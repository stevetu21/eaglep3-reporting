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Runs'!$A$12:$AG$265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6" i="1" l="1"/>
  <c r="X157" i="1"/>
  <c r="X158" i="1"/>
  <c r="X159" i="1"/>
  <c r="X160" i="1"/>
  <c r="X161" i="1"/>
  <c r="X162" i="1"/>
  <c r="X163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W16" i="1" s="1"/>
  <c r="AB16" i="1"/>
  <c r="AC16" i="1"/>
  <c r="AD16" i="1"/>
  <c r="T16" i="1" s="1"/>
  <c r="AE16" i="1"/>
  <c r="AF16" i="1"/>
  <c r="AG16" i="1"/>
  <c r="AI16" i="1" s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G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X28" i="1"/>
  <c r="Y28" i="1"/>
  <c r="AA28" i="1" s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AA32" i="1" s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/>
  <c r="V38" i="1"/>
  <c r="S7" i="3" s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X40" i="1"/>
  <c r="Y40" i="1"/>
  <c r="Z40" i="1"/>
  <c r="AA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AA47" i="1" s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R11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W52" i="1" s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R17" i="3" s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AA58" i="1" s="1"/>
  <c r="W58" i="1" s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T59" i="1"/>
  <c r="V59" i="1"/>
  <c r="X59" i="1"/>
  <c r="Y59" i="1"/>
  <c r="Z59" i="1"/>
  <c r="AB59" i="1"/>
  <c r="AC59" i="1"/>
  <c r="AD59" i="1"/>
  <c r="AE59" i="1"/>
  <c r="AF59" i="1"/>
  <c r="AG59" i="1"/>
  <c r="AI59" i="1" s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/>
  <c r="V62" i="1"/>
  <c r="Y62" i="1"/>
  <c r="Z62" i="1"/>
  <c r="AB62" i="1"/>
  <c r="AC62" i="1"/>
  <c r="AD62" i="1"/>
  <c r="AG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W69" i="1" s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N71" i="1" s="1"/>
  <c r="V71" i="1"/>
  <c r="X71" i="1"/>
  <c r="Y71" i="1"/>
  <c r="Z71" i="1"/>
  <c r="AA71" i="1" s="1"/>
  <c r="W71" i="1" s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T76" i="1"/>
  <c r="V76" i="1"/>
  <c r="X76" i="1"/>
  <c r="Y76" i="1"/>
  <c r="Z76" i="1"/>
  <c r="AA76" i="1" s="1"/>
  <c r="AB76" i="1"/>
  <c r="AC76" i="1"/>
  <c r="AD76" i="1"/>
  <c r="AE76" i="1"/>
  <c r="AF76" i="1"/>
  <c r="AG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AA78" i="1" s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G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AA92" i="1" s="1"/>
  <c r="Z92" i="1"/>
  <c r="AB92" i="1"/>
  <c r="AC92" i="1"/>
  <c r="AD92" i="1"/>
  <c r="AG92" i="1" s="1"/>
  <c r="AE92" i="1"/>
  <c r="AF92" i="1"/>
  <c r="AH92" i="1"/>
  <c r="AM92" i="1"/>
  <c r="AN92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93" i="1"/>
  <c r="AM93" i="1"/>
  <c r="AN93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94" i="1"/>
  <c r="AM94" i="1"/>
  <c r="AN94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5" i="1"/>
  <c r="AM95" i="1"/>
  <c r="AN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6" i="1"/>
  <c r="AM96" i="1"/>
  <c r="AN96" i="1"/>
  <c r="K161" i="1"/>
  <c r="L161" i="1"/>
  <c r="M161" i="1"/>
  <c r="N161" i="1" s="1"/>
  <c r="V161" i="1"/>
  <c r="Y161" i="1"/>
  <c r="AA161" i="1" s="1"/>
  <c r="Z161" i="1"/>
  <c r="AB161" i="1"/>
  <c r="AC161" i="1"/>
  <c r="AD161" i="1"/>
  <c r="T161" i="1" s="1"/>
  <c r="AE161" i="1"/>
  <c r="AF161" i="1"/>
  <c r="AH97" i="1"/>
  <c r="AM97" i="1"/>
  <c r="AN97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AH98" i="1"/>
  <c r="AM98" i="1"/>
  <c r="AN98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9" i="1"/>
  <c r="AM99" i="1"/>
  <c r="AN99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01" i="1"/>
  <c r="AM101" i="1"/>
  <c r="AN101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03" i="1"/>
  <c r="AM103" i="1"/>
  <c r="AN103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104" i="1"/>
  <c r="AM104" i="1"/>
  <c r="AN104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105" i="1"/>
  <c r="AM105" i="1"/>
  <c r="AN105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G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K172" i="1"/>
  <c r="L172" i="1"/>
  <c r="M172" i="1"/>
  <c r="N172" i="1" s="1"/>
  <c r="V172" i="1"/>
  <c r="Y172" i="1"/>
  <c r="AA172" i="1" s="1"/>
  <c r="Z172" i="1"/>
  <c r="AB172" i="1"/>
  <c r="AC172" i="1"/>
  <c r="AD172" i="1"/>
  <c r="AG172" i="1" s="1"/>
  <c r="AE172" i="1"/>
  <c r="AF172" i="1"/>
  <c r="AH109" i="1"/>
  <c r="AM109" i="1"/>
  <c r="AN109" i="1"/>
  <c r="K173" i="1"/>
  <c r="L173" i="1"/>
  <c r="M173" i="1"/>
  <c r="N173" i="1" s="1"/>
  <c r="T173" i="1"/>
  <c r="V173" i="1"/>
  <c r="X173" i="1"/>
  <c r="Y173" i="1"/>
  <c r="Z173" i="1"/>
  <c r="AB173" i="1"/>
  <c r="AC173" i="1"/>
  <c r="AD173" i="1"/>
  <c r="AE173" i="1"/>
  <c r="AF173" i="1"/>
  <c r="AG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1" i="1"/>
  <c r="AM111" i="1"/>
  <c r="AN111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13" i="1"/>
  <c r="AM113" i="1"/>
  <c r="AN11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14" i="1"/>
  <c r="AM114" i="1"/>
  <c r="AN11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G177" i="1"/>
  <c r="AH115" i="1"/>
  <c r="AM115" i="1"/>
  <c r="AN115" i="1"/>
  <c r="K178" i="1"/>
  <c r="L178" i="1"/>
  <c r="M178" i="1"/>
  <c r="N178" i="1" s="1"/>
  <c r="V178" i="1"/>
  <c r="S32" i="3" s="1"/>
  <c r="Y178" i="1"/>
  <c r="Z178" i="1"/>
  <c r="AB178" i="1"/>
  <c r="AC178" i="1"/>
  <c r="AD178" i="1"/>
  <c r="T178" i="1" s="1"/>
  <c r="AE178" i="1"/>
  <c r="AF178" i="1"/>
  <c r="AH116" i="1"/>
  <c r="AM116" i="1"/>
  <c r="AN116" i="1"/>
  <c r="K179" i="1"/>
  <c r="L179" i="1"/>
  <c r="M179" i="1"/>
  <c r="N179" i="1" s="1"/>
  <c r="V179" i="1"/>
  <c r="Y179" i="1"/>
  <c r="Z179" i="1"/>
  <c r="AA179" i="1" s="1"/>
  <c r="W179" i="1" s="1"/>
  <c r="AB179" i="1"/>
  <c r="AC179" i="1"/>
  <c r="AD179" i="1"/>
  <c r="AG179" i="1" s="1"/>
  <c r="AE179" i="1"/>
  <c r="AF179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AM118" i="1"/>
  <c r="AN118" i="1"/>
  <c r="K181" i="1"/>
  <c r="L181" i="1"/>
  <c r="M181" i="1"/>
  <c r="N181" i="1"/>
  <c r="V181" i="1"/>
  <c r="Y181" i="1"/>
  <c r="Z181" i="1"/>
  <c r="AB181" i="1"/>
  <c r="AC181" i="1"/>
  <c r="AD181" i="1"/>
  <c r="AG181" i="1" s="1"/>
  <c r="AE181" i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2" i="1"/>
  <c r="AM122" i="1"/>
  <c r="AN122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3" i="1"/>
  <c r="AM123" i="1"/>
  <c r="AN1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4" i="1"/>
  <c r="AM124" i="1"/>
  <c r="AN12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25" i="1"/>
  <c r="AM125" i="1"/>
  <c r="AN125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6" i="1"/>
  <c r="AM126" i="1"/>
  <c r="AN12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7" i="1"/>
  <c r="AM127" i="1"/>
  <c r="AN12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128" i="1"/>
  <c r="AM128" i="1"/>
  <c r="AN12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9" i="1"/>
  <c r="AM129" i="1"/>
  <c r="AN129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0" i="1"/>
  <c r="AM130" i="1"/>
  <c r="AN130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131" i="1"/>
  <c r="AM131" i="1"/>
  <c r="AN131" i="1"/>
  <c r="K98" i="1"/>
  <c r="L98" i="1"/>
  <c r="M98" i="1"/>
  <c r="N98" i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AM136" i="1"/>
  <c r="AN13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37" i="1"/>
  <c r="AM137" i="1"/>
  <c r="AN13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38" i="1"/>
  <c r="AM138" i="1"/>
  <c r="AN138" i="1"/>
  <c r="K103" i="1"/>
  <c r="L103" i="1"/>
  <c r="M103" i="1"/>
  <c r="N103" i="1" s="1"/>
  <c r="V103" i="1"/>
  <c r="Y103" i="1"/>
  <c r="Z103" i="1"/>
  <c r="AA103" i="1" s="1"/>
  <c r="AB103" i="1"/>
  <c r="AC103" i="1"/>
  <c r="AD103" i="1"/>
  <c r="T103" i="1" s="1"/>
  <c r="AE103" i="1"/>
  <c r="AF103" i="1"/>
  <c r="AH139" i="1"/>
  <c r="AM139" i="1"/>
  <c r="AN139" i="1"/>
  <c r="K104" i="1"/>
  <c r="L104" i="1"/>
  <c r="M104" i="1"/>
  <c r="N104" i="1" s="1"/>
  <c r="V104" i="1"/>
  <c r="Y104" i="1"/>
  <c r="Z104" i="1"/>
  <c r="AA104" i="1" s="1"/>
  <c r="W104" i="1" s="1"/>
  <c r="AB104" i="1"/>
  <c r="AC104" i="1"/>
  <c r="AD104" i="1"/>
  <c r="AG104" i="1" s="1"/>
  <c r="AE104" i="1"/>
  <c r="AF104" i="1"/>
  <c r="AH140" i="1"/>
  <c r="AM140" i="1"/>
  <c r="AN140" i="1"/>
  <c r="K105" i="1"/>
  <c r="L105" i="1"/>
  <c r="M105" i="1"/>
  <c r="N105" i="1" s="1"/>
  <c r="V105" i="1"/>
  <c r="X105" i="1"/>
  <c r="Y105" i="1"/>
  <c r="Z105" i="1"/>
  <c r="AB105" i="1"/>
  <c r="AC105" i="1"/>
  <c r="AD105" i="1"/>
  <c r="T105" i="1" s="1"/>
  <c r="AE105" i="1"/>
  <c r="AF105" i="1"/>
  <c r="AG105" i="1"/>
  <c r="AH141" i="1"/>
  <c r="AM141" i="1"/>
  <c r="AN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4" i="1"/>
  <c r="AM144" i="1"/>
  <c r="AN144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G109" i="1"/>
  <c r="AH145" i="1"/>
  <c r="AM145" i="1"/>
  <c r="AN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48" i="1"/>
  <c r="AM148" i="1"/>
  <c r="AN148" i="1"/>
  <c r="K113" i="1"/>
  <c r="L113" i="1"/>
  <c r="M113" i="1"/>
  <c r="N113" i="1" s="1"/>
  <c r="T113" i="1"/>
  <c r="V113" i="1"/>
  <c r="X113" i="1"/>
  <c r="Y113" i="1"/>
  <c r="Z113" i="1"/>
  <c r="AB113" i="1"/>
  <c r="AC113" i="1"/>
  <c r="AD113" i="1"/>
  <c r="AE113" i="1"/>
  <c r="AF113" i="1"/>
  <c r="AG113" i="1"/>
  <c r="AH149" i="1"/>
  <c r="AM149" i="1"/>
  <c r="AN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AM151" i="1"/>
  <c r="AN151" i="1"/>
  <c r="K116" i="1"/>
  <c r="L116" i="1"/>
  <c r="M116" i="1"/>
  <c r="N116" i="1" s="1"/>
  <c r="V116" i="1"/>
  <c r="Y116" i="1"/>
  <c r="Z116" i="1"/>
  <c r="AA116" i="1" s="1"/>
  <c r="AB116" i="1"/>
  <c r="AC116" i="1"/>
  <c r="AD116" i="1"/>
  <c r="AG116" i="1" s="1"/>
  <c r="AE116" i="1"/>
  <c r="AF116" i="1"/>
  <c r="AH152" i="1"/>
  <c r="AM152" i="1"/>
  <c r="AN152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53" i="1"/>
  <c r="AM153" i="1"/>
  <c r="AN153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54" i="1"/>
  <c r="AM154" i="1"/>
  <c r="AN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K120" i="1"/>
  <c r="L120" i="1"/>
  <c r="M120" i="1"/>
  <c r="N120" i="1"/>
  <c r="V120" i="1"/>
  <c r="Y120" i="1"/>
  <c r="AA120" i="1" s="1"/>
  <c r="Z120" i="1"/>
  <c r="AB120" i="1"/>
  <c r="AC120" i="1"/>
  <c r="AD120" i="1"/>
  <c r="AG120" i="1" s="1"/>
  <c r="AI120" i="1" s="1"/>
  <c r="AE120" i="1"/>
  <c r="AF120" i="1"/>
  <c r="AH156" i="1"/>
  <c r="AM156" i="1"/>
  <c r="AN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/>
  <c r="V124" i="1"/>
  <c r="Y124" i="1"/>
  <c r="Z124" i="1"/>
  <c r="AB124" i="1"/>
  <c r="AC124" i="1"/>
  <c r="AD124" i="1"/>
  <c r="AG124" i="1" s="1"/>
  <c r="AI124" i="1" s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A126" i="1" s="1"/>
  <c r="AB126" i="1"/>
  <c r="AC126" i="1"/>
  <c r="AD126" i="1"/>
  <c r="AE126" i="1"/>
  <c r="AF126" i="1"/>
  <c r="AH161" i="1"/>
  <c r="AM161" i="1"/>
  <c r="AN161" i="1"/>
  <c r="K127" i="1"/>
  <c r="L127" i="1"/>
  <c r="M127" i="1"/>
  <c r="N127" i="1" s="1"/>
  <c r="T127" i="1"/>
  <c r="V127" i="1"/>
  <c r="X127" i="1"/>
  <c r="Y127" i="1"/>
  <c r="Z127" i="1"/>
  <c r="AB127" i="1"/>
  <c r="AC127" i="1"/>
  <c r="AD127" i="1"/>
  <c r="AE127" i="1"/>
  <c r="AF127" i="1"/>
  <c r="AG127" i="1"/>
  <c r="AH162" i="1"/>
  <c r="AM162" i="1"/>
  <c r="AN162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63" i="1"/>
  <c r="AM163" i="1"/>
  <c r="AN163" i="1"/>
  <c r="K129" i="1"/>
  <c r="L129" i="1"/>
  <c r="M129" i="1"/>
  <c r="N129" i="1" s="1"/>
  <c r="V129" i="1"/>
  <c r="Y129" i="1"/>
  <c r="AA129" i="1" s="1"/>
  <c r="Z129" i="1"/>
  <c r="AB129" i="1"/>
  <c r="AC129" i="1"/>
  <c r="AD129" i="1"/>
  <c r="AG129" i="1" s="1"/>
  <c r="AI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65" i="1"/>
  <c r="AM165" i="1"/>
  <c r="AN165" i="1"/>
  <c r="K131" i="1"/>
  <c r="L131" i="1"/>
  <c r="M131" i="1"/>
  <c r="N131" i="1" s="1"/>
  <c r="T131" i="1"/>
  <c r="V131" i="1"/>
  <c r="Y131" i="1"/>
  <c r="Z131" i="1"/>
  <c r="AB131" i="1"/>
  <c r="AC131" i="1"/>
  <c r="AD131" i="1"/>
  <c r="AE131" i="1"/>
  <c r="AF131" i="1"/>
  <c r="AH166" i="1"/>
  <c r="AM166" i="1"/>
  <c r="AN166" i="1"/>
  <c r="K132" i="1"/>
  <c r="L132" i="1"/>
  <c r="M132" i="1"/>
  <c r="N132" i="1"/>
  <c r="V132" i="1"/>
  <c r="Y132" i="1"/>
  <c r="Z132" i="1"/>
  <c r="AB132" i="1"/>
  <c r="AC132" i="1"/>
  <c r="AD132" i="1"/>
  <c r="AG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AA133" i="1" s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 s="1"/>
  <c r="V134" i="1"/>
  <c r="Y134" i="1"/>
  <c r="Z134" i="1"/>
  <c r="AA134" i="1" s="1"/>
  <c r="AB134" i="1"/>
  <c r="AC134" i="1"/>
  <c r="AD134" i="1"/>
  <c r="AG134" i="1" s="1"/>
  <c r="AE134" i="1"/>
  <c r="AF134" i="1"/>
  <c r="AH169" i="1"/>
  <c r="AM169" i="1"/>
  <c r="AN169" i="1"/>
  <c r="K135" i="1"/>
  <c r="L135" i="1"/>
  <c r="M135" i="1"/>
  <c r="N135" i="1" s="1"/>
  <c r="T135" i="1"/>
  <c r="V135" i="1"/>
  <c r="Y135" i="1"/>
  <c r="Z135" i="1"/>
  <c r="AB135" i="1"/>
  <c r="AC135" i="1"/>
  <c r="AD135" i="1"/>
  <c r="AE135" i="1"/>
  <c r="AF135" i="1"/>
  <c r="AH170" i="1"/>
  <c r="AM170" i="1"/>
  <c r="AN170" i="1"/>
  <c r="K136" i="1"/>
  <c r="L136" i="1"/>
  <c r="M136" i="1"/>
  <c r="N136" i="1"/>
  <c r="V136" i="1"/>
  <c r="Y136" i="1"/>
  <c r="Z136" i="1"/>
  <c r="AB136" i="1"/>
  <c r="AC136" i="1"/>
  <c r="AD136" i="1"/>
  <c r="AG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A138" i="1" s="1"/>
  <c r="AB138" i="1"/>
  <c r="AC138" i="1"/>
  <c r="AD138" i="1"/>
  <c r="AG138" i="1" s="1"/>
  <c r="AE138" i="1"/>
  <c r="AF138" i="1"/>
  <c r="AH173" i="1"/>
  <c r="AM173" i="1"/>
  <c r="AN173" i="1"/>
  <c r="K139" i="1"/>
  <c r="L139" i="1"/>
  <c r="M139" i="1"/>
  <c r="N139" i="1" s="1"/>
  <c r="T139" i="1"/>
  <c r="V139" i="1"/>
  <c r="Y139" i="1"/>
  <c r="Z139" i="1"/>
  <c r="AB139" i="1"/>
  <c r="AC139" i="1"/>
  <c r="AD139" i="1"/>
  <c r="AE139" i="1"/>
  <c r="AF139" i="1"/>
  <c r="AH174" i="1"/>
  <c r="AM174" i="1"/>
  <c r="AN174" i="1"/>
  <c r="K140" i="1"/>
  <c r="L140" i="1"/>
  <c r="M140" i="1"/>
  <c r="N140" i="1"/>
  <c r="V140" i="1"/>
  <c r="Y140" i="1"/>
  <c r="Z140" i="1"/>
  <c r="AB140" i="1"/>
  <c r="AC140" i="1"/>
  <c r="AD140" i="1"/>
  <c r="AG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N142" i="1" s="1"/>
  <c r="V142" i="1"/>
  <c r="Y142" i="1"/>
  <c r="Z142" i="1"/>
  <c r="AA142" i="1" s="1"/>
  <c r="AB142" i="1"/>
  <c r="AC142" i="1"/>
  <c r="AD142" i="1"/>
  <c r="AG142" i="1" s="1"/>
  <c r="AE142" i="1"/>
  <c r="AF142" i="1"/>
  <c r="AH177" i="1"/>
  <c r="AM177" i="1"/>
  <c r="AN177" i="1"/>
  <c r="K143" i="1"/>
  <c r="L143" i="1"/>
  <c r="M143" i="1"/>
  <c r="N143" i="1" s="1"/>
  <c r="T143" i="1"/>
  <c r="V143" i="1"/>
  <c r="Y143" i="1"/>
  <c r="Z143" i="1"/>
  <c r="AB143" i="1"/>
  <c r="AC143" i="1"/>
  <c r="AD143" i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X146" i="1"/>
  <c r="Y146" i="1"/>
  <c r="AA146" i="1" s="1"/>
  <c r="Z146" i="1"/>
  <c r="AB146" i="1"/>
  <c r="AC146" i="1"/>
  <c r="AD146" i="1"/>
  <c r="AG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AA149" i="1" s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AM185" i="1"/>
  <c r="AN185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7" i="1"/>
  <c r="AM187" i="1"/>
  <c r="AN187" i="1"/>
  <c r="K153" i="1"/>
  <c r="L153" i="1"/>
  <c r="M153" i="1"/>
  <c r="N153" i="1" s="1"/>
  <c r="V153" i="1"/>
  <c r="Y153" i="1"/>
  <c r="AA153" i="1" s="1"/>
  <c r="Z153" i="1"/>
  <c r="AB153" i="1"/>
  <c r="AC153" i="1"/>
  <c r="AD153" i="1"/>
  <c r="T153" i="1" s="1"/>
  <c r="AE153" i="1"/>
  <c r="AF153" i="1"/>
  <c r="AH188" i="1"/>
  <c r="AM188" i="1"/>
  <c r="AN188" i="1"/>
  <c r="K154" i="1"/>
  <c r="L154" i="1"/>
  <c r="M154" i="1"/>
  <c r="N154" i="1" s="1"/>
  <c r="V154" i="1"/>
  <c r="Y154" i="1"/>
  <c r="Z154" i="1"/>
  <c r="AA154" i="1"/>
  <c r="AB154" i="1"/>
  <c r="AC154" i="1"/>
  <c r="AD154" i="1"/>
  <c r="AG154" i="1" s="1"/>
  <c r="AE154" i="1"/>
  <c r="AF154" i="1"/>
  <c r="AH189" i="1"/>
  <c r="AM189" i="1"/>
  <c r="AN189" i="1"/>
  <c r="K155" i="1"/>
  <c r="L155" i="1"/>
  <c r="M155" i="1"/>
  <c r="N155" i="1" s="1"/>
  <c r="T155" i="1"/>
  <c r="V155" i="1"/>
  <c r="Y155" i="1"/>
  <c r="Z155" i="1"/>
  <c r="AB155" i="1"/>
  <c r="AC155" i="1"/>
  <c r="AD155" i="1"/>
  <c r="AE155" i="1"/>
  <c r="AF155" i="1"/>
  <c r="AH190" i="1"/>
  <c r="AM190" i="1"/>
  <c r="AN190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1" i="1"/>
  <c r="AM191" i="1"/>
  <c r="AN191" i="1"/>
  <c r="AH192" i="1"/>
  <c r="AM192" i="1"/>
  <c r="AN192" i="1"/>
  <c r="K191" i="1"/>
  <c r="L191" i="1"/>
  <c r="M191" i="1"/>
  <c r="N191" i="1" s="1"/>
  <c r="V191" i="1"/>
  <c r="Y191" i="1"/>
  <c r="Z191" i="1"/>
  <c r="AA191" i="1"/>
  <c r="AB191" i="1"/>
  <c r="AC191" i="1"/>
  <c r="AD191" i="1"/>
  <c r="AG191" i="1" s="1"/>
  <c r="AE191" i="1"/>
  <c r="AF191" i="1"/>
  <c r="AH193" i="1"/>
  <c r="AM193" i="1"/>
  <c r="AN193" i="1"/>
  <c r="K192" i="1"/>
  <c r="L192" i="1"/>
  <c r="M192" i="1"/>
  <c r="N192" i="1" s="1"/>
  <c r="T192" i="1"/>
  <c r="V192" i="1"/>
  <c r="Y192" i="1"/>
  <c r="Z192" i="1"/>
  <c r="AB192" i="1"/>
  <c r="AC192" i="1"/>
  <c r="AD192" i="1"/>
  <c r="X192" i="1" s="1"/>
  <c r="AE192" i="1"/>
  <c r="AF192" i="1"/>
  <c r="AH194" i="1"/>
  <c r="AM194" i="1"/>
  <c r="AN194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5" i="1"/>
  <c r="AM195" i="1"/>
  <c r="AN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197" i="1"/>
  <c r="AM197" i="1"/>
  <c r="AN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AM205" i="1"/>
  <c r="AN205" i="1"/>
  <c r="K206" i="1"/>
  <c r="L206" i="1"/>
  <c r="M206" i="1"/>
  <c r="N206" i="1" s="1"/>
  <c r="V206" i="1"/>
  <c r="Y206" i="1"/>
  <c r="AA206" i="1" s="1"/>
  <c r="Z206" i="1"/>
  <c r="AB206" i="1"/>
  <c r="AC206" i="1"/>
  <c r="AD206" i="1"/>
  <c r="T206" i="1" s="1"/>
  <c r="AE206" i="1"/>
  <c r="AF206" i="1"/>
  <c r="AH206" i="1"/>
  <c r="AM206" i="1"/>
  <c r="AN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7" i="1"/>
  <c r="AM207" i="1"/>
  <c r="AN207" i="1"/>
  <c r="M20" i="3"/>
  <c r="R20" i="3"/>
  <c r="S20" i="3"/>
  <c r="U20" i="3"/>
  <c r="T20" i="3" s="1"/>
  <c r="V20" i="3"/>
  <c r="W20" i="3"/>
  <c r="X20" i="3"/>
  <c r="M22" i="3"/>
  <c r="R22" i="3"/>
  <c r="S22" i="3"/>
  <c r="U22" i="3"/>
  <c r="T22" i="3" s="1"/>
  <c r="V22" i="3"/>
  <c r="W22" i="3"/>
  <c r="X22" i="3"/>
  <c r="AC22" i="3"/>
  <c r="M14" i="3"/>
  <c r="R14" i="3"/>
  <c r="S14" i="3"/>
  <c r="U14" i="3"/>
  <c r="AC14" i="3" s="1"/>
  <c r="V14" i="3"/>
  <c r="W14" i="3"/>
  <c r="X14" i="3"/>
  <c r="Y14" i="3"/>
  <c r="M15" i="3"/>
  <c r="R15" i="3"/>
  <c r="S15" i="3"/>
  <c r="U15" i="3"/>
  <c r="AC15" i="3" s="1"/>
  <c r="V15" i="3"/>
  <c r="W15" i="3"/>
  <c r="X15" i="3"/>
  <c r="Y15" i="3"/>
  <c r="M7" i="3"/>
  <c r="R7" i="3"/>
  <c r="U7" i="3"/>
  <c r="AC7" i="3" s="1"/>
  <c r="V7" i="3"/>
  <c r="W7" i="3"/>
  <c r="X7" i="3"/>
  <c r="M11" i="3"/>
  <c r="S11" i="3"/>
  <c r="U11" i="3"/>
  <c r="T11" i="3" s="1"/>
  <c r="V11" i="3"/>
  <c r="AE11" i="3" s="1"/>
  <c r="W11" i="3"/>
  <c r="Y11" i="3" s="1"/>
  <c r="X11" i="3"/>
  <c r="AC11" i="3"/>
  <c r="M17" i="3"/>
  <c r="S17" i="3"/>
  <c r="U17" i="3"/>
  <c r="AC17" i="3" s="1"/>
  <c r="V17" i="3"/>
  <c r="W17" i="3"/>
  <c r="Y17" i="3" s="1"/>
  <c r="X17" i="3"/>
  <c r="M23" i="3"/>
  <c r="R23" i="3"/>
  <c r="S23" i="3"/>
  <c r="U23" i="3"/>
  <c r="AC23" i="3" s="1"/>
  <c r="V23" i="3"/>
  <c r="W23" i="3"/>
  <c r="X23" i="3"/>
  <c r="M21" i="3"/>
  <c r="R21" i="3"/>
  <c r="S21" i="3"/>
  <c r="T21" i="3"/>
  <c r="U21" i="3"/>
  <c r="AC21" i="3" s="1"/>
  <c r="V21" i="3"/>
  <c r="W21" i="3"/>
  <c r="X21" i="3"/>
  <c r="M28" i="3"/>
  <c r="R28" i="3"/>
  <c r="S28" i="3"/>
  <c r="U28" i="3"/>
  <c r="T28" i="3" s="1"/>
  <c r="V28" i="3"/>
  <c r="W28" i="3"/>
  <c r="X28" i="3"/>
  <c r="AC28" i="3"/>
  <c r="AD17" i="3"/>
  <c r="M29" i="3"/>
  <c r="R29" i="3"/>
  <c r="S29" i="3"/>
  <c r="U29" i="3"/>
  <c r="V29" i="3"/>
  <c r="W29" i="3"/>
  <c r="Y29" i="3" s="1"/>
  <c r="X29" i="3"/>
  <c r="M33" i="3"/>
  <c r="R33" i="3"/>
  <c r="S33" i="3"/>
  <c r="U33" i="3"/>
  <c r="AC33" i="3" s="1"/>
  <c r="V33" i="3"/>
  <c r="W33" i="3"/>
  <c r="X33" i="3"/>
  <c r="M9" i="3"/>
  <c r="R9" i="3"/>
  <c r="S9" i="3"/>
  <c r="U9" i="3"/>
  <c r="AC9" i="3" s="1"/>
  <c r="V9" i="3"/>
  <c r="W9" i="3"/>
  <c r="X9" i="3"/>
  <c r="AD20" i="3"/>
  <c r="M8" i="3"/>
  <c r="R8" i="3"/>
  <c r="S8" i="3"/>
  <c r="U8" i="3"/>
  <c r="T8" i="3" s="1"/>
  <c r="V8" i="3"/>
  <c r="W8" i="3"/>
  <c r="X8" i="3"/>
  <c r="AC8" i="3"/>
  <c r="AD21" i="3"/>
  <c r="M13" i="3"/>
  <c r="R13" i="3"/>
  <c r="S13" i="3"/>
  <c r="U13" i="3"/>
  <c r="V13" i="3"/>
  <c r="W13" i="3"/>
  <c r="Y13" i="3" s="1"/>
  <c r="X13" i="3"/>
  <c r="M12" i="3"/>
  <c r="R12" i="3"/>
  <c r="S12" i="3"/>
  <c r="U12" i="3"/>
  <c r="AC12" i="3" s="1"/>
  <c r="V12" i="3"/>
  <c r="W12" i="3"/>
  <c r="X12" i="3"/>
  <c r="M18" i="3"/>
  <c r="R18" i="3"/>
  <c r="S18" i="3"/>
  <c r="T18" i="3"/>
  <c r="U18" i="3"/>
  <c r="AC18" i="3" s="1"/>
  <c r="V18" i="3"/>
  <c r="W18" i="3"/>
  <c r="X18" i="3"/>
  <c r="M30" i="3"/>
  <c r="R30" i="3"/>
  <c r="S30" i="3"/>
  <c r="U30" i="3"/>
  <c r="T30" i="3" s="1"/>
  <c r="V30" i="3"/>
  <c r="W30" i="3"/>
  <c r="X30" i="3"/>
  <c r="AC30" i="3"/>
  <c r="M32" i="3"/>
  <c r="R32" i="3"/>
  <c r="U32" i="3"/>
  <c r="V32" i="3"/>
  <c r="W32" i="3"/>
  <c r="Y32" i="3" s="1"/>
  <c r="X32" i="3"/>
  <c r="M24" i="3"/>
  <c r="R24" i="3"/>
  <c r="S24" i="3"/>
  <c r="U24" i="3"/>
  <c r="AC24" i="3" s="1"/>
  <c r="V24" i="3"/>
  <c r="W24" i="3"/>
  <c r="Y24" i="3" s="1"/>
  <c r="X24" i="3"/>
  <c r="M25" i="3"/>
  <c r="R25" i="3"/>
  <c r="S25" i="3"/>
  <c r="U25" i="3"/>
  <c r="AC25" i="3" s="1"/>
  <c r="V25" i="3"/>
  <c r="W25" i="3"/>
  <c r="X25" i="3"/>
  <c r="AD28" i="3"/>
  <c r="M31" i="3"/>
  <c r="R31" i="3"/>
  <c r="S31" i="3"/>
  <c r="U31" i="3"/>
  <c r="T31" i="3" s="1"/>
  <c r="V31" i="3"/>
  <c r="W31" i="3"/>
  <c r="X31" i="3"/>
  <c r="AC31" i="3"/>
  <c r="AD29" i="3"/>
  <c r="M19" i="3"/>
  <c r="R19" i="3"/>
  <c r="S19" i="3"/>
  <c r="U19" i="3"/>
  <c r="V19" i="3"/>
  <c r="W19" i="3"/>
  <c r="Y19" i="3" s="1"/>
  <c r="X19" i="3"/>
  <c r="M26" i="3"/>
  <c r="R26" i="3"/>
  <c r="S26" i="3"/>
  <c r="U26" i="3"/>
  <c r="AC26" i="3" s="1"/>
  <c r="V26" i="3"/>
  <c r="W26" i="3"/>
  <c r="Y26" i="3" s="1"/>
  <c r="X26" i="3"/>
  <c r="M10" i="3"/>
  <c r="R10" i="3"/>
  <c r="S10" i="3"/>
  <c r="U10" i="3"/>
  <c r="AC10" i="3" s="1"/>
  <c r="V10" i="3"/>
  <c r="W10" i="3"/>
  <c r="X10" i="3"/>
  <c r="AD32" i="3"/>
  <c r="M27" i="3"/>
  <c r="R27" i="3"/>
  <c r="S27" i="3"/>
  <c r="U27" i="3"/>
  <c r="T27" i="3" s="1"/>
  <c r="V27" i="3"/>
  <c r="W27" i="3"/>
  <c r="X27" i="3"/>
  <c r="AC27" i="3"/>
  <c r="AD33" i="3"/>
  <c r="M16" i="3"/>
  <c r="R16" i="3"/>
  <c r="S16" i="3"/>
  <c r="U16" i="3"/>
  <c r="V16" i="3"/>
  <c r="W16" i="3"/>
  <c r="Y16" i="3" s="1"/>
  <c r="X16" i="3"/>
  <c r="M34" i="3"/>
  <c r="R34" i="3"/>
  <c r="S34" i="3"/>
  <c r="U34" i="3"/>
  <c r="AC34" i="3" s="1"/>
  <c r="V34" i="3"/>
  <c r="W34" i="3"/>
  <c r="X34" i="3"/>
  <c r="Y27" i="3" l="1"/>
  <c r="Y31" i="3"/>
  <c r="Y30" i="3"/>
  <c r="Y8" i="3"/>
  <c r="Y20" i="3"/>
  <c r="AA152" i="1"/>
  <c r="AA150" i="1"/>
  <c r="W150" i="1" s="1"/>
  <c r="AA148" i="1"/>
  <c r="X143" i="1"/>
  <c r="X130" i="1"/>
  <c r="T129" i="1"/>
  <c r="U129" i="1" s="1"/>
  <c r="S129" i="1" s="1"/>
  <c r="AA128" i="1"/>
  <c r="W128" i="1" s="1"/>
  <c r="AG125" i="1"/>
  <c r="AA123" i="1"/>
  <c r="AA112" i="1"/>
  <c r="W112" i="1" s="1"/>
  <c r="AA204" i="1"/>
  <c r="AA99" i="1"/>
  <c r="AG190" i="1"/>
  <c r="AA189" i="1"/>
  <c r="W189" i="1" s="1"/>
  <c r="AA176" i="1"/>
  <c r="X172" i="1"/>
  <c r="AA168" i="1"/>
  <c r="AG157" i="1"/>
  <c r="U157" i="1" s="1"/>
  <c r="S157" i="1" s="1"/>
  <c r="AA89" i="1"/>
  <c r="AA87" i="1"/>
  <c r="AA85" i="1"/>
  <c r="AA83" i="1"/>
  <c r="X79" i="1"/>
  <c r="AA77" i="1"/>
  <c r="W77" i="1" s="1"/>
  <c r="AG68" i="1"/>
  <c r="AG67" i="1"/>
  <c r="U67" i="1" s="1"/>
  <c r="S67" i="1" s="1"/>
  <c r="AA66" i="1"/>
  <c r="AA62" i="1"/>
  <c r="W62" i="1" s="1"/>
  <c r="X58" i="1"/>
  <c r="X56" i="1"/>
  <c r="AG55" i="1"/>
  <c r="AI55" i="1" s="1"/>
  <c r="X55" i="1"/>
  <c r="X54" i="1"/>
  <c r="AG45" i="1"/>
  <c r="AI45" i="1" s="1"/>
  <c r="X45" i="1"/>
  <c r="X44" i="1"/>
  <c r="AG33" i="1"/>
  <c r="AI33" i="1" s="1"/>
  <c r="X33" i="1"/>
  <c r="X32" i="1"/>
  <c r="T29" i="1"/>
  <c r="X20" i="1"/>
  <c r="AD34" i="3"/>
  <c r="AD30" i="3"/>
  <c r="AD26" i="3"/>
  <c r="AD25" i="3"/>
  <c r="AD22" i="3"/>
  <c r="Y22" i="3"/>
  <c r="AA199" i="1"/>
  <c r="X142" i="1"/>
  <c r="X138" i="1"/>
  <c r="X134" i="1"/>
  <c r="X121" i="1"/>
  <c r="X116" i="1"/>
  <c r="X97" i="1"/>
  <c r="AA165" i="1"/>
  <c r="X83" i="1"/>
  <c r="X80" i="1"/>
  <c r="X64" i="1"/>
  <c r="AA49" i="1"/>
  <c r="AA37" i="1"/>
  <c r="AA31" i="1"/>
  <c r="X25" i="1"/>
  <c r="AI21" i="1"/>
  <c r="X21" i="1"/>
  <c r="X191" i="1"/>
  <c r="AA130" i="1"/>
  <c r="AA111" i="1"/>
  <c r="AA188" i="1"/>
  <c r="AA95" i="1"/>
  <c r="AA180" i="1"/>
  <c r="W180" i="1" s="1"/>
  <c r="X176" i="1"/>
  <c r="U162" i="1"/>
  <c r="AA79" i="1"/>
  <c r="AA68" i="1"/>
  <c r="W68" i="1" s="1"/>
  <c r="AA67" i="1"/>
  <c r="AA44" i="1"/>
  <c r="W44" i="1" s="1"/>
  <c r="T44" i="1"/>
  <c r="AA43" i="1"/>
  <c r="AA36" i="1"/>
  <c r="W36" i="1" s="1"/>
  <c r="AA20" i="1"/>
  <c r="X199" i="1"/>
  <c r="AA195" i="1"/>
  <c r="W195" i="1" s="1"/>
  <c r="AA194" i="1"/>
  <c r="AA156" i="1"/>
  <c r="X154" i="1"/>
  <c r="T151" i="1"/>
  <c r="AA145" i="1"/>
  <c r="AA140" i="1"/>
  <c r="X139" i="1"/>
  <c r="AA136" i="1"/>
  <c r="W136" i="1" s="1"/>
  <c r="X135" i="1"/>
  <c r="AA132" i="1"/>
  <c r="X131" i="1"/>
  <c r="AA124" i="1"/>
  <c r="W124" i="1" s="1"/>
  <c r="AA119" i="1"/>
  <c r="AA114" i="1"/>
  <c r="AA108" i="1"/>
  <c r="AA107" i="1"/>
  <c r="X104" i="1"/>
  <c r="AG103" i="1"/>
  <c r="U103" i="1" s="1"/>
  <c r="S103" i="1" s="1"/>
  <c r="AA101" i="1"/>
  <c r="AG97" i="1"/>
  <c r="W97" i="1" s="1"/>
  <c r="AA190" i="1"/>
  <c r="T189" i="1"/>
  <c r="AA187" i="1"/>
  <c r="AA185" i="1"/>
  <c r="AG180" i="1"/>
  <c r="X180" i="1"/>
  <c r="AG94" i="1"/>
  <c r="X94" i="1"/>
  <c r="AG174" i="1"/>
  <c r="T169" i="1"/>
  <c r="AG166" i="1"/>
  <c r="X166" i="1"/>
  <c r="AA158" i="1"/>
  <c r="AA88" i="1"/>
  <c r="AG86" i="1"/>
  <c r="AG84" i="1"/>
  <c r="U84" i="1" s="1"/>
  <c r="S84" i="1" s="1"/>
  <c r="X84" i="1"/>
  <c r="AA82" i="1"/>
  <c r="AA70" i="1"/>
  <c r="W70" i="1" s="1"/>
  <c r="AA63" i="1"/>
  <c r="AG60" i="1"/>
  <c r="X60" i="1"/>
  <c r="AI52" i="1"/>
  <c r="AG47" i="1"/>
  <c r="U47" i="1" s="1"/>
  <c r="S47" i="1" s="1"/>
  <c r="AA46" i="1"/>
  <c r="AG41" i="1"/>
  <c r="AI41" i="1" s="1"/>
  <c r="X41" i="1"/>
  <c r="AA23" i="1"/>
  <c r="AA19" i="1"/>
  <c r="AG17" i="1"/>
  <c r="AI17" i="1" s="1"/>
  <c r="X17" i="1"/>
  <c r="AA193" i="1"/>
  <c r="W193" i="1" s="1"/>
  <c r="AA144" i="1"/>
  <c r="T92" i="1"/>
  <c r="T86" i="1"/>
  <c r="U76" i="1"/>
  <c r="X62" i="1"/>
  <c r="AA202" i="1"/>
  <c r="AA122" i="1"/>
  <c r="AA115" i="1"/>
  <c r="AA109" i="1"/>
  <c r="X108" i="1"/>
  <c r="AG107" i="1"/>
  <c r="AI107" i="1" s="1"/>
  <c r="AA106" i="1"/>
  <c r="AA102" i="1"/>
  <c r="AA100" i="1"/>
  <c r="AA98" i="1"/>
  <c r="T97" i="1"/>
  <c r="AA96" i="1"/>
  <c r="AG185" i="1"/>
  <c r="X185" i="1"/>
  <c r="AG169" i="1"/>
  <c r="AG161" i="1"/>
  <c r="W161" i="1" s="1"/>
  <c r="AG158" i="1"/>
  <c r="U158" i="1" s="1"/>
  <c r="X92" i="1"/>
  <c r="AA86" i="1"/>
  <c r="W86" i="1" s="1"/>
  <c r="AA84" i="1"/>
  <c r="AA81" i="1"/>
  <c r="W81" i="1" s="1"/>
  <c r="AA74" i="1"/>
  <c r="AA54" i="1"/>
  <c r="AA39" i="1"/>
  <c r="AG37" i="1"/>
  <c r="AI37" i="1" s="1"/>
  <c r="X37" i="1"/>
  <c r="AA26" i="1"/>
  <c r="X24" i="1"/>
  <c r="X19" i="1"/>
  <c r="X16" i="1"/>
  <c r="AG202" i="1"/>
  <c r="AA201" i="1"/>
  <c r="X200" i="1"/>
  <c r="AA196" i="1"/>
  <c r="X155" i="1"/>
  <c r="X150" i="1"/>
  <c r="T147" i="1"/>
  <c r="AA141" i="1"/>
  <c r="AA137" i="1"/>
  <c r="W129" i="1"/>
  <c r="U127" i="1"/>
  <c r="U125" i="1"/>
  <c r="S125" i="1" s="1"/>
  <c r="X125" i="1"/>
  <c r="T121" i="1"/>
  <c r="T117" i="1"/>
  <c r="X109" i="1"/>
  <c r="T187" i="1"/>
  <c r="X168" i="1"/>
  <c r="AA30" i="1"/>
  <c r="AA121" i="1"/>
  <c r="T120" i="1"/>
  <c r="AA113" i="1"/>
  <c r="W113" i="1" s="1"/>
  <c r="T112" i="1"/>
  <c r="AA110" i="1"/>
  <c r="AA105" i="1"/>
  <c r="W105" i="1" s="1"/>
  <c r="T104" i="1"/>
  <c r="AG204" i="1"/>
  <c r="AI204" i="1" s="1"/>
  <c r="X204" i="1"/>
  <c r="AG96" i="1"/>
  <c r="X96" i="1"/>
  <c r="AI127" i="1"/>
  <c r="X188" i="1"/>
  <c r="X189" i="1"/>
  <c r="AG188" i="1"/>
  <c r="U188" i="1" s="1"/>
  <c r="S188" i="1" s="1"/>
  <c r="AI125" i="1"/>
  <c r="T95" i="1"/>
  <c r="U95" i="1" s="1"/>
  <c r="S95" i="1" s="1"/>
  <c r="AG95" i="1"/>
  <c r="AI75" i="1"/>
  <c r="X203" i="1"/>
  <c r="AA200" i="1"/>
  <c r="T199" i="1"/>
  <c r="AG196" i="1"/>
  <c r="U196" i="1" s="1"/>
  <c r="X196" i="1"/>
  <c r="AA192" i="1"/>
  <c r="T191" i="1"/>
  <c r="U191" i="1" s="1"/>
  <c r="S191" i="1" s="1"/>
  <c r="AA155" i="1"/>
  <c r="T154" i="1"/>
  <c r="U154" i="1" s="1"/>
  <c r="S154" i="1" s="1"/>
  <c r="AA151" i="1"/>
  <c r="T150" i="1"/>
  <c r="AA147" i="1"/>
  <c r="T146" i="1"/>
  <c r="U146" i="1" s="1"/>
  <c r="S146" i="1" s="1"/>
  <c r="AA143" i="1"/>
  <c r="T142" i="1"/>
  <c r="AA139" i="1"/>
  <c r="T138" i="1"/>
  <c r="U138" i="1" s="1"/>
  <c r="S138" i="1" s="1"/>
  <c r="AA135" i="1"/>
  <c r="T134" i="1"/>
  <c r="U134" i="1" s="1"/>
  <c r="S134" i="1" s="1"/>
  <c r="AA131" i="1"/>
  <c r="T130" i="1"/>
  <c r="U130" i="1" s="1"/>
  <c r="S130" i="1" s="1"/>
  <c r="X124" i="1"/>
  <c r="AG121" i="1"/>
  <c r="AI121" i="1" s="1"/>
  <c r="AA117" i="1"/>
  <c r="T116" i="1"/>
  <c r="U116" i="1" s="1"/>
  <c r="S116" i="1" s="1"/>
  <c r="W109" i="1"/>
  <c r="T108" i="1"/>
  <c r="X102" i="1"/>
  <c r="AI97" i="1"/>
  <c r="W49" i="1"/>
  <c r="AI20" i="1"/>
  <c r="AG206" i="1"/>
  <c r="U206" i="1" s="1"/>
  <c r="X206" i="1"/>
  <c r="T195" i="1"/>
  <c r="AA207" i="1"/>
  <c r="W207" i="1" s="1"/>
  <c r="AA203" i="1"/>
  <c r="W203" i="1" s="1"/>
  <c r="T203" i="1"/>
  <c r="U203" i="1" s="1"/>
  <c r="S203" i="1" s="1"/>
  <c r="AG200" i="1"/>
  <c r="AG198" i="1"/>
  <c r="W198" i="1" s="1"/>
  <c r="X195" i="1"/>
  <c r="AG192" i="1"/>
  <c r="U192" i="1" s="1"/>
  <c r="AG155" i="1"/>
  <c r="U155" i="1" s="1"/>
  <c r="AG151" i="1"/>
  <c r="AG147" i="1"/>
  <c r="U147" i="1" s="1"/>
  <c r="S147" i="1" s="1"/>
  <c r="AG143" i="1"/>
  <c r="AG139" i="1"/>
  <c r="AG135" i="1"/>
  <c r="U135" i="1" s="1"/>
  <c r="AG131" i="1"/>
  <c r="AA127" i="1"/>
  <c r="W127" i="1" s="1"/>
  <c r="AA125" i="1"/>
  <c r="X120" i="1"/>
  <c r="AG117" i="1"/>
  <c r="AI117" i="1" s="1"/>
  <c r="AG115" i="1"/>
  <c r="W115" i="1" s="1"/>
  <c r="X112" i="1"/>
  <c r="AA205" i="1"/>
  <c r="AG98" i="1"/>
  <c r="W98" i="1" s="1"/>
  <c r="X98" i="1"/>
  <c r="W190" i="1"/>
  <c r="T186" i="1"/>
  <c r="X187" i="1"/>
  <c r="X186" i="1"/>
  <c r="AG186" i="1"/>
  <c r="AI71" i="1"/>
  <c r="AI49" i="1"/>
  <c r="AA197" i="1"/>
  <c r="W197" i="1" s="1"/>
  <c r="T124" i="1"/>
  <c r="W204" i="1"/>
  <c r="T102" i="1"/>
  <c r="U102" i="1" s="1"/>
  <c r="S102" i="1" s="1"/>
  <c r="X99" i="1"/>
  <c r="AG99" i="1"/>
  <c r="W99" i="1" s="1"/>
  <c r="W188" i="1"/>
  <c r="W95" i="1"/>
  <c r="AG183" i="1"/>
  <c r="AA178" i="1"/>
  <c r="AA177" i="1"/>
  <c r="W177" i="1" s="1"/>
  <c r="AA94" i="1"/>
  <c r="W94" i="1" s="1"/>
  <c r="T176" i="1"/>
  <c r="AA175" i="1"/>
  <c r="AA174" i="1"/>
  <c r="W174" i="1" s="1"/>
  <c r="AA173" i="1"/>
  <c r="W173" i="1" s="1"/>
  <c r="T172" i="1"/>
  <c r="AA171" i="1"/>
  <c r="AA170" i="1"/>
  <c r="W170" i="1" s="1"/>
  <c r="AA169" i="1"/>
  <c r="W169" i="1" s="1"/>
  <c r="T168" i="1"/>
  <c r="AA167" i="1"/>
  <c r="AA93" i="1"/>
  <c r="AA166" i="1"/>
  <c r="W166" i="1" s="1"/>
  <c r="T165" i="1"/>
  <c r="AA164" i="1"/>
  <c r="AA163" i="1"/>
  <c r="AA162" i="1"/>
  <c r="W162" i="1" s="1"/>
  <c r="AG159" i="1"/>
  <c r="AG90" i="1"/>
  <c r="U90" i="1" s="1"/>
  <c r="AG89" i="1"/>
  <c r="X89" i="1"/>
  <c r="X88" i="1"/>
  <c r="AA80" i="1"/>
  <c r="W80" i="1" s="1"/>
  <c r="AG79" i="1"/>
  <c r="X75" i="1"/>
  <c r="AG72" i="1"/>
  <c r="U72" i="1" s="1"/>
  <c r="X72" i="1"/>
  <c r="X70" i="1"/>
  <c r="X67" i="1"/>
  <c r="AA65" i="1"/>
  <c r="AA64" i="1"/>
  <c r="T64" i="1"/>
  <c r="AG63" i="1"/>
  <c r="T62" i="1"/>
  <c r="AA59" i="1"/>
  <c r="W59" i="1" s="1"/>
  <c r="T58" i="1"/>
  <c r="AA55" i="1"/>
  <c r="W55" i="1" s="1"/>
  <c r="T54" i="1"/>
  <c r="X52" i="1"/>
  <c r="T49" i="1"/>
  <c r="U49" i="1" s="1"/>
  <c r="S49" i="1" s="1"/>
  <c r="AA48" i="1"/>
  <c r="W48" i="1" s="1"/>
  <c r="AA45" i="1"/>
  <c r="AG43" i="1"/>
  <c r="AI43" i="1" s="1"/>
  <c r="AG29" i="1"/>
  <c r="AI29" i="1" s="1"/>
  <c r="AG25" i="1"/>
  <c r="AI25" i="1" s="1"/>
  <c r="AA184" i="1"/>
  <c r="AA182" i="1"/>
  <c r="W182" i="1" s="1"/>
  <c r="AA181" i="1"/>
  <c r="X179" i="1"/>
  <c r="U94" i="1"/>
  <c r="U173" i="1"/>
  <c r="S173" i="1" s="1"/>
  <c r="U169" i="1"/>
  <c r="U166" i="1"/>
  <c r="W158" i="1"/>
  <c r="U86" i="1"/>
  <c r="S86" i="1" s="1"/>
  <c r="T83" i="1"/>
  <c r="W75" i="1"/>
  <c r="T71" i="1"/>
  <c r="U71" i="1" s="1"/>
  <c r="S71" i="1" s="1"/>
  <c r="U68" i="1"/>
  <c r="S68" i="1" s="1"/>
  <c r="X68" i="1"/>
  <c r="X66" i="1"/>
  <c r="X63" i="1"/>
  <c r="AA61" i="1"/>
  <c r="W61" i="1" s="1"/>
  <c r="AA60" i="1"/>
  <c r="W60" i="1" s="1"/>
  <c r="AA57" i="1"/>
  <c r="W57" i="1" s="1"/>
  <c r="AA56" i="1"/>
  <c r="T56" i="1"/>
  <c r="AA53" i="1"/>
  <c r="W53" i="1" s="1"/>
  <c r="AA50" i="1"/>
  <c r="W50" i="1" s="1"/>
  <c r="T50" i="1"/>
  <c r="W47" i="1"/>
  <c r="AA42" i="1"/>
  <c r="W37" i="1"/>
  <c r="T36" i="1"/>
  <c r="AA34" i="1"/>
  <c r="W20" i="1"/>
  <c r="AA14" i="1"/>
  <c r="AA186" i="1"/>
  <c r="W186" i="1" s="1"/>
  <c r="U185" i="1"/>
  <c r="S185" i="1" s="1"/>
  <c r="AA183" i="1"/>
  <c r="W183" i="1" s="1"/>
  <c r="AG93" i="1"/>
  <c r="AI93" i="1" s="1"/>
  <c r="X165" i="1"/>
  <c r="AG163" i="1"/>
  <c r="AA160" i="1"/>
  <c r="AA159" i="1"/>
  <c r="W159" i="1" s="1"/>
  <c r="AA157" i="1"/>
  <c r="AA91" i="1"/>
  <c r="AA90" i="1"/>
  <c r="T88" i="1"/>
  <c r="AG83" i="1"/>
  <c r="U80" i="1"/>
  <c r="S80" i="1" s="1"/>
  <c r="W79" i="1"/>
  <c r="T75" i="1"/>
  <c r="U75" i="1" s="1"/>
  <c r="S75" i="1" s="1"/>
  <c r="AA73" i="1"/>
  <c r="W73" i="1" s="1"/>
  <c r="AA72" i="1"/>
  <c r="W72" i="1" s="1"/>
  <c r="T70" i="1"/>
  <c r="AG64" i="1"/>
  <c r="U64" i="1" s="1"/>
  <c r="T52" i="1"/>
  <c r="W43" i="1"/>
  <c r="T20" i="1"/>
  <c r="U20" i="1" s="1"/>
  <c r="S20" i="1" s="1"/>
  <c r="T179" i="1"/>
  <c r="U179" i="1" s="1"/>
  <c r="S179" i="1" s="1"/>
  <c r="U161" i="1"/>
  <c r="S161" i="1" s="1"/>
  <c r="W84" i="1"/>
  <c r="W76" i="1"/>
  <c r="T66" i="1"/>
  <c r="U60" i="1"/>
  <c r="S60" i="1" s="1"/>
  <c r="AG56" i="1"/>
  <c r="AA51" i="1"/>
  <c r="X50" i="1"/>
  <c r="AA41" i="1"/>
  <c r="W41" i="1" s="1"/>
  <c r="T40" i="1"/>
  <c r="AA38" i="1"/>
  <c r="X36" i="1"/>
  <c r="AA33" i="1"/>
  <c r="W33" i="1" s="1"/>
  <c r="T32" i="1"/>
  <c r="AA29" i="1"/>
  <c r="W29" i="1" s="1"/>
  <c r="T28" i="1"/>
  <c r="AA25" i="1"/>
  <c r="W25" i="1" s="1"/>
  <c r="T24" i="1"/>
  <c r="AA22" i="1"/>
  <c r="AA21" i="1"/>
  <c r="W21" i="1" s="1"/>
  <c r="T19" i="1"/>
  <c r="AA18" i="1"/>
  <c r="AA17" i="1"/>
  <c r="W17" i="1" s="1"/>
  <c r="U16" i="1"/>
  <c r="S16" i="1" s="1"/>
  <c r="AI191" i="1"/>
  <c r="AI187" i="1"/>
  <c r="AI179" i="1"/>
  <c r="AI169" i="1"/>
  <c r="AI193" i="1"/>
  <c r="AI189" i="1"/>
  <c r="AI183" i="1"/>
  <c r="AI203" i="1"/>
  <c r="AI181" i="1"/>
  <c r="AI201" i="1"/>
  <c r="U199" i="1"/>
  <c r="S199" i="1" s="1"/>
  <c r="AI195" i="1"/>
  <c r="AI185" i="1"/>
  <c r="U150" i="1"/>
  <c r="S150" i="1" s="1"/>
  <c r="AI177" i="1"/>
  <c r="U142" i="1"/>
  <c r="S142" i="1" s="1"/>
  <c r="AI173" i="1"/>
  <c r="AI165" i="1"/>
  <c r="AI163" i="1"/>
  <c r="AI207" i="1"/>
  <c r="U202" i="1"/>
  <c r="S202" i="1" s="1"/>
  <c r="W201" i="1"/>
  <c r="W199" i="1"/>
  <c r="AI199" i="1"/>
  <c r="AI197" i="1"/>
  <c r="U195" i="1"/>
  <c r="S195" i="1" s="1"/>
  <c r="W191" i="1"/>
  <c r="W156" i="1"/>
  <c r="W154" i="1"/>
  <c r="W152" i="1"/>
  <c r="W148" i="1"/>
  <c r="W146" i="1"/>
  <c r="W144" i="1"/>
  <c r="W142" i="1"/>
  <c r="W140" i="1"/>
  <c r="W138" i="1"/>
  <c r="W134" i="1"/>
  <c r="W132" i="1"/>
  <c r="W130" i="1"/>
  <c r="X207" i="1"/>
  <c r="T207" i="1"/>
  <c r="U207" i="1" s="1"/>
  <c r="S207" i="1" s="1"/>
  <c r="AI206" i="1"/>
  <c r="S206" i="1"/>
  <c r="X201" i="1"/>
  <c r="T201" i="1"/>
  <c r="U201" i="1" s="1"/>
  <c r="S201" i="1" s="1"/>
  <c r="AI202" i="1"/>
  <c r="X197" i="1"/>
  <c r="T197" i="1"/>
  <c r="U197" i="1" s="1"/>
  <c r="S197" i="1" s="1"/>
  <c r="AI198" i="1"/>
  <c r="S196" i="1"/>
  <c r="AG194" i="1"/>
  <c r="AI194" i="1" s="1"/>
  <c r="X193" i="1"/>
  <c r="T193" i="1"/>
  <c r="U193" i="1" s="1"/>
  <c r="S193" i="1" s="1"/>
  <c r="S192" i="1"/>
  <c r="T156" i="1"/>
  <c r="U156" i="1" s="1"/>
  <c r="S156" i="1" s="1"/>
  <c r="AI190" i="1"/>
  <c r="S155" i="1"/>
  <c r="AG153" i="1"/>
  <c r="AI153" i="1" s="1"/>
  <c r="X152" i="1"/>
  <c r="T152" i="1"/>
  <c r="U152" i="1" s="1"/>
  <c r="S152" i="1" s="1"/>
  <c r="AI186" i="1"/>
  <c r="AG149" i="1"/>
  <c r="X148" i="1"/>
  <c r="T148" i="1"/>
  <c r="U148" i="1" s="1"/>
  <c r="S148" i="1" s="1"/>
  <c r="AI182" i="1"/>
  <c r="AG145" i="1"/>
  <c r="W145" i="1" s="1"/>
  <c r="X144" i="1"/>
  <c r="T144" i="1"/>
  <c r="U144" i="1" s="1"/>
  <c r="S144" i="1" s="1"/>
  <c r="AG141" i="1"/>
  <c r="X140" i="1"/>
  <c r="T140" i="1"/>
  <c r="U140" i="1" s="1"/>
  <c r="S140" i="1" s="1"/>
  <c r="AI174" i="1"/>
  <c r="AG137" i="1"/>
  <c r="W137" i="1" s="1"/>
  <c r="X136" i="1"/>
  <c r="T136" i="1"/>
  <c r="U136" i="1" s="1"/>
  <c r="S136" i="1" s="1"/>
  <c r="AI170" i="1"/>
  <c r="S135" i="1"/>
  <c r="AG133" i="1"/>
  <c r="X132" i="1"/>
  <c r="T132" i="1"/>
  <c r="U132" i="1" s="1"/>
  <c r="S132" i="1" s="1"/>
  <c r="AI166" i="1"/>
  <c r="X128" i="1"/>
  <c r="T128" i="1"/>
  <c r="U128" i="1" s="1"/>
  <c r="S128" i="1" s="1"/>
  <c r="AI162" i="1"/>
  <c r="S127" i="1"/>
  <c r="AI152" i="1"/>
  <c r="U108" i="1"/>
  <c r="S108" i="1" s="1"/>
  <c r="AI144" i="1"/>
  <c r="U189" i="1"/>
  <c r="S189" i="1" s="1"/>
  <c r="AI128" i="1"/>
  <c r="U187" i="1"/>
  <c r="S187" i="1" s="1"/>
  <c r="X202" i="1"/>
  <c r="X198" i="1"/>
  <c r="X194" i="1"/>
  <c r="X153" i="1"/>
  <c r="X149" i="1"/>
  <c r="X145" i="1"/>
  <c r="X141" i="1"/>
  <c r="X137" i="1"/>
  <c r="X133" i="1"/>
  <c r="X129" i="1"/>
  <c r="T126" i="1"/>
  <c r="X126" i="1"/>
  <c r="AG126" i="1"/>
  <c r="AI126" i="1" s="1"/>
  <c r="W125" i="1"/>
  <c r="U107" i="1"/>
  <c r="S107" i="1" s="1"/>
  <c r="W102" i="1"/>
  <c r="U124" i="1"/>
  <c r="S124" i="1" s="1"/>
  <c r="AI159" i="1"/>
  <c r="W120" i="1"/>
  <c r="AI136" i="1"/>
  <c r="U120" i="1"/>
  <c r="S120" i="1" s="1"/>
  <c r="AI156" i="1"/>
  <c r="W116" i="1"/>
  <c r="U112" i="1"/>
  <c r="S112" i="1" s="1"/>
  <c r="AI148" i="1"/>
  <c r="W108" i="1"/>
  <c r="U104" i="1"/>
  <c r="S104" i="1" s="1"/>
  <c r="AI140" i="1"/>
  <c r="AI132" i="1"/>
  <c r="AI130" i="1"/>
  <c r="U96" i="1"/>
  <c r="S96" i="1" s="1"/>
  <c r="W187" i="1"/>
  <c r="U121" i="1"/>
  <c r="S121" i="1" s="1"/>
  <c r="U117" i="1"/>
  <c r="S117" i="1" s="1"/>
  <c r="U113" i="1"/>
  <c r="S113" i="1" s="1"/>
  <c r="U109" i="1"/>
  <c r="S109" i="1" s="1"/>
  <c r="U105" i="1"/>
  <c r="S105" i="1" s="1"/>
  <c r="U204" i="1"/>
  <c r="S204" i="1" s="1"/>
  <c r="U99" i="1"/>
  <c r="S99" i="1" s="1"/>
  <c r="U190" i="1"/>
  <c r="S190" i="1" s="1"/>
  <c r="U183" i="1"/>
  <c r="S183" i="1" s="1"/>
  <c r="U176" i="1"/>
  <c r="S176" i="1"/>
  <c r="AI113" i="1"/>
  <c r="U172" i="1"/>
  <c r="S172" i="1" s="1"/>
  <c r="AI109" i="1"/>
  <c r="U168" i="1"/>
  <c r="S168" i="1"/>
  <c r="AI105" i="1"/>
  <c r="U165" i="1"/>
  <c r="S165" i="1"/>
  <c r="AI101" i="1"/>
  <c r="AG122" i="1"/>
  <c r="AG118" i="1"/>
  <c r="AG114" i="1"/>
  <c r="W114" i="1" s="1"/>
  <c r="AG110" i="1"/>
  <c r="AI110" i="1" s="1"/>
  <c r="AG106" i="1"/>
  <c r="AG205" i="1"/>
  <c r="AI205" i="1" s="1"/>
  <c r="AG100" i="1"/>
  <c r="X190" i="1"/>
  <c r="X95" i="1"/>
  <c r="AG184" i="1"/>
  <c r="W184" i="1" s="1"/>
  <c r="X183" i="1"/>
  <c r="AI118" i="1"/>
  <c r="W92" i="1"/>
  <c r="AG123" i="1"/>
  <c r="X122" i="1"/>
  <c r="AG119" i="1"/>
  <c r="W119" i="1" s="1"/>
  <c r="X118" i="1"/>
  <c r="X114" i="1"/>
  <c r="AI149" i="1"/>
  <c r="AG111" i="1"/>
  <c r="W111" i="1" s="1"/>
  <c r="X110" i="1"/>
  <c r="AI145" i="1"/>
  <c r="X106" i="1"/>
  <c r="AI141" i="1"/>
  <c r="X205" i="1"/>
  <c r="AG101" i="1"/>
  <c r="X100" i="1"/>
  <c r="AI133" i="1"/>
  <c r="X184" i="1"/>
  <c r="T182" i="1"/>
  <c r="U182" i="1" s="1"/>
  <c r="S182" i="1" s="1"/>
  <c r="W181" i="1"/>
  <c r="AI92" i="1"/>
  <c r="U92" i="1"/>
  <c r="S92" i="1" s="1"/>
  <c r="W88" i="1"/>
  <c r="X123" i="1"/>
  <c r="X119" i="1"/>
  <c r="X115" i="1"/>
  <c r="X111" i="1"/>
  <c r="X107" i="1"/>
  <c r="X103" i="1"/>
  <c r="X101" i="1"/>
  <c r="X182" i="1"/>
  <c r="T181" i="1"/>
  <c r="U181" i="1" s="1"/>
  <c r="S181" i="1" s="1"/>
  <c r="X181" i="1"/>
  <c r="U180" i="1"/>
  <c r="S180" i="1" s="1"/>
  <c r="W176" i="1"/>
  <c r="W172" i="1"/>
  <c r="W168" i="1"/>
  <c r="W165" i="1"/>
  <c r="AI88" i="1"/>
  <c r="U88" i="1"/>
  <c r="S88" i="1" s="1"/>
  <c r="U177" i="1"/>
  <c r="S177" i="1" s="1"/>
  <c r="U174" i="1"/>
  <c r="S174" i="1" s="1"/>
  <c r="U170" i="1"/>
  <c r="S170" i="1" s="1"/>
  <c r="U93" i="1"/>
  <c r="S93" i="1" s="1"/>
  <c r="U163" i="1"/>
  <c r="S163" i="1" s="1"/>
  <c r="U159" i="1"/>
  <c r="S159" i="1" s="1"/>
  <c r="AG91" i="1"/>
  <c r="W91" i="1" s="1"/>
  <c r="X90" i="1"/>
  <c r="AG87" i="1"/>
  <c r="T85" i="1"/>
  <c r="X85" i="1"/>
  <c r="AI77" i="1"/>
  <c r="AI69" i="1"/>
  <c r="W65" i="1"/>
  <c r="AI62" i="1"/>
  <c r="U62" i="1"/>
  <c r="S62" i="1" s="1"/>
  <c r="AI58" i="1"/>
  <c r="U58" i="1"/>
  <c r="S58" i="1" s="1"/>
  <c r="AI54" i="1"/>
  <c r="U54" i="1"/>
  <c r="S54" i="1" s="1"/>
  <c r="AG178" i="1"/>
  <c r="W178" i="1" s="1"/>
  <c r="X177" i="1"/>
  <c r="S94" i="1"/>
  <c r="AG175" i="1"/>
  <c r="W175" i="1" s="1"/>
  <c r="X174" i="1"/>
  <c r="AG171" i="1"/>
  <c r="W171" i="1" s="1"/>
  <c r="X170" i="1"/>
  <c r="AI106" i="1"/>
  <c r="S169" i="1"/>
  <c r="AG167" i="1"/>
  <c r="W167" i="1" s="1"/>
  <c r="X93" i="1"/>
  <c r="AI102" i="1"/>
  <c r="S166" i="1"/>
  <c r="AG164" i="1"/>
  <c r="W164" i="1" s="1"/>
  <c r="AI98" i="1"/>
  <c r="S162" i="1"/>
  <c r="AG160" i="1"/>
  <c r="W160" i="1" s="1"/>
  <c r="AI94" i="1"/>
  <c r="S158" i="1"/>
  <c r="X91" i="1"/>
  <c r="T91" i="1"/>
  <c r="AI90" i="1"/>
  <c r="S90" i="1"/>
  <c r="X87" i="1"/>
  <c r="T87" i="1"/>
  <c r="AI86" i="1"/>
  <c r="AG85" i="1"/>
  <c r="W85" i="1" s="1"/>
  <c r="AI65" i="1"/>
  <c r="X178" i="1"/>
  <c r="AI115" i="1"/>
  <c r="X175" i="1"/>
  <c r="X171" i="1"/>
  <c r="X167" i="1"/>
  <c r="AI103" i="1"/>
  <c r="X164" i="1"/>
  <c r="AI99" i="1"/>
  <c r="AI95" i="1"/>
  <c r="AI81" i="1"/>
  <c r="AI70" i="1"/>
  <c r="U70" i="1"/>
  <c r="S70" i="1" s="1"/>
  <c r="W66" i="1"/>
  <c r="AI61" i="1"/>
  <c r="AI57" i="1"/>
  <c r="AI53" i="1"/>
  <c r="AI73" i="1"/>
  <c r="AI66" i="1"/>
  <c r="U66" i="1"/>
  <c r="S66" i="1" s="1"/>
  <c r="W54" i="1"/>
  <c r="AG82" i="1"/>
  <c r="X81" i="1"/>
  <c r="T81" i="1"/>
  <c r="U81" i="1" s="1"/>
  <c r="S81" i="1" s="1"/>
  <c r="AI80" i="1"/>
  <c r="AG78" i="1"/>
  <c r="X77" i="1"/>
  <c r="T77" i="1"/>
  <c r="U77" i="1" s="1"/>
  <c r="S77" i="1" s="1"/>
  <c r="AI76" i="1"/>
  <c r="S76" i="1"/>
  <c r="AG74" i="1"/>
  <c r="X73" i="1"/>
  <c r="T73" i="1"/>
  <c r="U73" i="1" s="1"/>
  <c r="S73" i="1" s="1"/>
  <c r="AI72" i="1"/>
  <c r="S72" i="1"/>
  <c r="X69" i="1"/>
  <c r="T69" i="1"/>
  <c r="U69" i="1" s="1"/>
  <c r="S69" i="1" s="1"/>
  <c r="AI68" i="1"/>
  <c r="X65" i="1"/>
  <c r="T65" i="1"/>
  <c r="U65" i="1" s="1"/>
  <c r="S65" i="1" s="1"/>
  <c r="AI64" i="1"/>
  <c r="S64" i="1"/>
  <c r="X61" i="1"/>
  <c r="T61" i="1"/>
  <c r="U61" i="1" s="1"/>
  <c r="S61" i="1" s="1"/>
  <c r="AI60" i="1"/>
  <c r="X57" i="1"/>
  <c r="T57" i="1"/>
  <c r="U57" i="1" s="1"/>
  <c r="S57" i="1" s="1"/>
  <c r="AI56" i="1"/>
  <c r="X53" i="1"/>
  <c r="T53" i="1"/>
  <c r="U53" i="1" s="1"/>
  <c r="S53" i="1" s="1"/>
  <c r="U52" i="1"/>
  <c r="S52" i="1" s="1"/>
  <c r="U44" i="1"/>
  <c r="S44" i="1" s="1"/>
  <c r="AI44" i="1"/>
  <c r="X82" i="1"/>
  <c r="X78" i="1"/>
  <c r="X74" i="1"/>
  <c r="U59" i="1"/>
  <c r="S59" i="1" s="1"/>
  <c r="U55" i="1"/>
  <c r="S55" i="1" s="1"/>
  <c r="AI50" i="1"/>
  <c r="U50" i="1"/>
  <c r="S50" i="1" s="1"/>
  <c r="AI48" i="1"/>
  <c r="U36" i="1"/>
  <c r="S36" i="1" s="1"/>
  <c r="AI36" i="1"/>
  <c r="T51" i="1"/>
  <c r="X51" i="1"/>
  <c r="W40" i="1"/>
  <c r="W32" i="1"/>
  <c r="W28" i="1"/>
  <c r="W24" i="1"/>
  <c r="W19" i="1"/>
  <c r="AG51" i="1"/>
  <c r="U40" i="1"/>
  <c r="S40" i="1"/>
  <c r="AI40" i="1"/>
  <c r="U32" i="1"/>
  <c r="S32" i="1" s="1"/>
  <c r="AI32" i="1"/>
  <c r="U28" i="1"/>
  <c r="S28" i="1"/>
  <c r="AI28" i="1"/>
  <c r="U24" i="1"/>
  <c r="S24" i="1" s="1"/>
  <c r="AI24" i="1"/>
  <c r="U19" i="1"/>
  <c r="S19" i="1" s="1"/>
  <c r="AI19" i="1"/>
  <c r="X48" i="1"/>
  <c r="T48" i="1"/>
  <c r="U48" i="1" s="1"/>
  <c r="S48" i="1" s="1"/>
  <c r="U41" i="1"/>
  <c r="S41" i="1" s="1"/>
  <c r="U37" i="1"/>
  <c r="S37" i="1" s="1"/>
  <c r="U33" i="1"/>
  <c r="S33" i="1" s="1"/>
  <c r="U29" i="1"/>
  <c r="S29" i="1" s="1"/>
  <c r="U25" i="1"/>
  <c r="S25" i="1" s="1"/>
  <c r="U21" i="1"/>
  <c r="S21" i="1" s="1"/>
  <c r="U17" i="1"/>
  <c r="S17" i="1" s="1"/>
  <c r="X49" i="1"/>
  <c r="AG46" i="1"/>
  <c r="AG42" i="1"/>
  <c r="AG38" i="1"/>
  <c r="W38" i="1" s="1"/>
  <c r="AG34" i="1"/>
  <c r="AG30" i="1"/>
  <c r="AG26" i="1"/>
  <c r="W26" i="1" s="1"/>
  <c r="AG22" i="1"/>
  <c r="AG18" i="1"/>
  <c r="AG14" i="1"/>
  <c r="X46" i="1"/>
  <c r="X42" i="1"/>
  <c r="AG39" i="1"/>
  <c r="X38" i="1"/>
  <c r="AG35" i="1"/>
  <c r="W35" i="1" s="1"/>
  <c r="X34" i="1"/>
  <c r="AG31" i="1"/>
  <c r="W31" i="1" s="1"/>
  <c r="X30" i="1"/>
  <c r="AG27" i="1"/>
  <c r="W27" i="1" s="1"/>
  <c r="X26" i="1"/>
  <c r="AG23" i="1"/>
  <c r="X22" i="1"/>
  <c r="X18" i="1"/>
  <c r="AG15" i="1"/>
  <c r="W15" i="1" s="1"/>
  <c r="X47" i="1"/>
  <c r="X43" i="1"/>
  <c r="X39" i="1"/>
  <c r="X35" i="1"/>
  <c r="X31" i="1"/>
  <c r="X27" i="1"/>
  <c r="X23" i="1"/>
  <c r="X15" i="1"/>
  <c r="AD24" i="3"/>
  <c r="Y33" i="3"/>
  <c r="AD18" i="3"/>
  <c r="Y28" i="3"/>
  <c r="AD16" i="3"/>
  <c r="AD12" i="3"/>
  <c r="AD9" i="3"/>
  <c r="T9" i="3"/>
  <c r="Y34" i="3"/>
  <c r="Y12" i="3"/>
  <c r="AC29" i="3"/>
  <c r="AE16" i="3"/>
  <c r="Y23" i="3"/>
  <c r="T15" i="3"/>
  <c r="AD8" i="3"/>
  <c r="T25" i="3"/>
  <c r="Y18" i="3"/>
  <c r="Y9" i="3"/>
  <c r="Y21" i="3"/>
  <c r="AE15" i="3"/>
  <c r="AD13" i="3"/>
  <c r="T7" i="3"/>
  <c r="T10" i="3"/>
  <c r="Y10" i="3"/>
  <c r="Y25" i="3"/>
  <c r="AC16" i="3"/>
  <c r="AE32" i="3"/>
  <c r="AC19" i="3"/>
  <c r="AE28" i="3"/>
  <c r="AC32" i="3"/>
  <c r="AE24" i="3"/>
  <c r="AC13" i="3"/>
  <c r="AE20" i="3"/>
  <c r="Y7" i="3"/>
  <c r="T23" i="3"/>
  <c r="AE12" i="3"/>
  <c r="T12" i="3"/>
  <c r="AE27" i="3"/>
  <c r="T24" i="3"/>
  <c r="AE23" i="3"/>
  <c r="AE19" i="3"/>
  <c r="T33" i="3"/>
  <c r="AE34" i="3"/>
  <c r="T16" i="3"/>
  <c r="AD31" i="3"/>
  <c r="AE30" i="3"/>
  <c r="T19" i="3"/>
  <c r="AD27" i="3"/>
  <c r="AE26" i="3"/>
  <c r="T32" i="3"/>
  <c r="AD23" i="3"/>
  <c r="AE22" i="3"/>
  <c r="T13" i="3"/>
  <c r="AD19" i="3"/>
  <c r="AE18" i="3"/>
  <c r="T29" i="3"/>
  <c r="AD15" i="3"/>
  <c r="AE14" i="3"/>
  <c r="T17" i="3"/>
  <c r="AD11" i="3"/>
  <c r="AE10" i="3"/>
  <c r="T14" i="3"/>
  <c r="AC20" i="3"/>
  <c r="T34" i="3"/>
  <c r="AE31" i="3"/>
  <c r="T26" i="3"/>
  <c r="AE33" i="3"/>
  <c r="AE29" i="3"/>
  <c r="AE25" i="3"/>
  <c r="AE21" i="3"/>
  <c r="AE17" i="3"/>
  <c r="AD14" i="3"/>
  <c r="AE13" i="3"/>
  <c r="AD10" i="3"/>
  <c r="AE9" i="3"/>
  <c r="AE8" i="3"/>
  <c r="M35" i="3"/>
  <c r="R35" i="3"/>
  <c r="U35" i="3"/>
  <c r="W35" i="3"/>
  <c r="X35" i="3"/>
  <c r="Y35" i="3" l="1"/>
  <c r="AI47" i="1"/>
  <c r="W74" i="1"/>
  <c r="AI114" i="1"/>
  <c r="W122" i="1"/>
  <c r="U98" i="1"/>
  <c r="S98" i="1" s="1"/>
  <c r="W141" i="1"/>
  <c r="W96" i="1"/>
  <c r="U97" i="1"/>
  <c r="S97" i="1" s="1"/>
  <c r="AI67" i="1"/>
  <c r="W67" i="1"/>
  <c r="AI84" i="1"/>
  <c r="W157" i="1"/>
  <c r="W45" i="1"/>
  <c r="W206" i="1"/>
  <c r="W23" i="1"/>
  <c r="W34" i="1"/>
  <c r="U45" i="1"/>
  <c r="S45" i="1" s="1"/>
  <c r="U43" i="1"/>
  <c r="S43" i="1" s="1"/>
  <c r="W63" i="1"/>
  <c r="W202" i="1"/>
  <c r="W185" i="1"/>
  <c r="W107" i="1"/>
  <c r="AI164" i="1"/>
  <c r="W196" i="1"/>
  <c r="W64" i="1"/>
  <c r="W103" i="1"/>
  <c r="AI119" i="1"/>
  <c r="W110" i="1"/>
  <c r="U89" i="1"/>
  <c r="S89" i="1" s="1"/>
  <c r="AI89" i="1"/>
  <c r="U143" i="1"/>
  <c r="S143" i="1" s="1"/>
  <c r="AI143" i="1"/>
  <c r="AI137" i="1"/>
  <c r="AI160" i="1"/>
  <c r="U115" i="1"/>
  <c r="S115" i="1" s="1"/>
  <c r="U198" i="1"/>
  <c r="S198" i="1" s="1"/>
  <c r="AI171" i="1"/>
  <c r="U56" i="1"/>
  <c r="S56" i="1" s="1"/>
  <c r="U83" i="1"/>
  <c r="S83" i="1" s="1"/>
  <c r="AI83" i="1"/>
  <c r="W56" i="1"/>
  <c r="W163" i="1"/>
  <c r="W93" i="1"/>
  <c r="U131" i="1"/>
  <c r="S131" i="1" s="1"/>
  <c r="AI131" i="1"/>
  <c r="U200" i="1"/>
  <c r="S200" i="1" s="1"/>
  <c r="AI200" i="1"/>
  <c r="W135" i="1"/>
  <c r="W143" i="1"/>
  <c r="W151" i="1"/>
  <c r="W192" i="1"/>
  <c r="W200" i="1"/>
  <c r="W121" i="1"/>
  <c r="AI111" i="1"/>
  <c r="AI178" i="1"/>
  <c r="AI167" i="1"/>
  <c r="AI175" i="1"/>
  <c r="U63" i="1"/>
  <c r="S63" i="1" s="1"/>
  <c r="AI63" i="1"/>
  <c r="U151" i="1"/>
  <c r="S151" i="1" s="1"/>
  <c r="AI151" i="1"/>
  <c r="W123" i="1"/>
  <c r="AI123" i="1"/>
  <c r="W89" i="1"/>
  <c r="W90" i="1"/>
  <c r="U79" i="1"/>
  <c r="S79" i="1" s="1"/>
  <c r="AI79" i="1"/>
  <c r="U186" i="1"/>
  <c r="S186" i="1" s="1"/>
  <c r="U139" i="1"/>
  <c r="S139" i="1" s="1"/>
  <c r="AI139" i="1"/>
  <c r="W83" i="1"/>
  <c r="W117" i="1"/>
  <c r="W131" i="1"/>
  <c r="W139" i="1"/>
  <c r="W147" i="1"/>
  <c r="W155" i="1"/>
  <c r="U51" i="1"/>
  <c r="S51" i="1" s="1"/>
  <c r="AI51" i="1"/>
  <c r="U101" i="1"/>
  <c r="S101" i="1" s="1"/>
  <c r="AI135" i="1"/>
  <c r="U119" i="1"/>
  <c r="S119" i="1" s="1"/>
  <c r="AI155" i="1"/>
  <c r="AI146" i="1"/>
  <c r="U110" i="1"/>
  <c r="S110" i="1" s="1"/>
  <c r="AI168" i="1"/>
  <c r="U133" i="1"/>
  <c r="S133" i="1" s="1"/>
  <c r="AI184" i="1"/>
  <c r="U149" i="1"/>
  <c r="S149" i="1" s="1"/>
  <c r="W149" i="1"/>
  <c r="U27" i="1"/>
  <c r="S27" i="1" s="1"/>
  <c r="AI27" i="1"/>
  <c r="AI42" i="1"/>
  <c r="U42" i="1"/>
  <c r="S42" i="1" s="1"/>
  <c r="AI14" i="1"/>
  <c r="U14" i="1"/>
  <c r="S14" i="1" s="1"/>
  <c r="AI30" i="1"/>
  <c r="U30" i="1"/>
  <c r="S30" i="1" s="1"/>
  <c r="AI46" i="1"/>
  <c r="U46" i="1"/>
  <c r="S46" i="1" s="1"/>
  <c r="AI91" i="1"/>
  <c r="U91" i="1"/>
  <c r="S91" i="1" s="1"/>
  <c r="AI122" i="1"/>
  <c r="U184" i="1"/>
  <c r="S184" i="1" s="1"/>
  <c r="AI134" i="1"/>
  <c r="U100" i="1"/>
  <c r="S100" i="1" s="1"/>
  <c r="AI150" i="1"/>
  <c r="U114" i="1"/>
  <c r="S114" i="1" s="1"/>
  <c r="AI161" i="1"/>
  <c r="U126" i="1"/>
  <c r="S126" i="1" s="1"/>
  <c r="AI172" i="1"/>
  <c r="U137" i="1"/>
  <c r="S137" i="1" s="1"/>
  <c r="AI188" i="1"/>
  <c r="U153" i="1"/>
  <c r="S153" i="1" s="1"/>
  <c r="W153" i="1"/>
  <c r="U35" i="1"/>
  <c r="S35" i="1"/>
  <c r="AI35" i="1"/>
  <c r="AI26" i="1"/>
  <c r="U26" i="1"/>
  <c r="S26" i="1" s="1"/>
  <c r="U31" i="1"/>
  <c r="S31" i="1" s="1"/>
  <c r="AI31" i="1"/>
  <c r="AI18" i="1"/>
  <c r="U18" i="1"/>
  <c r="S18" i="1" s="1"/>
  <c r="W30" i="1"/>
  <c r="W42" i="1"/>
  <c r="S160" i="1"/>
  <c r="AI96" i="1"/>
  <c r="U160" i="1"/>
  <c r="AI100" i="1"/>
  <c r="U164" i="1"/>
  <c r="S164" i="1" s="1"/>
  <c r="AI104" i="1"/>
  <c r="U167" i="1"/>
  <c r="S167" i="1" s="1"/>
  <c r="AI108" i="1"/>
  <c r="U171" i="1"/>
  <c r="S171" i="1" s="1"/>
  <c r="AI112" i="1"/>
  <c r="U175" i="1"/>
  <c r="S175" i="1" s="1"/>
  <c r="AI116" i="1"/>
  <c r="U178" i="1"/>
  <c r="S178" i="1" s="1"/>
  <c r="AI87" i="1"/>
  <c r="U87" i="1"/>
  <c r="S87" i="1" s="1"/>
  <c r="AI138" i="1"/>
  <c r="U205" i="1"/>
  <c r="S205" i="1" s="1"/>
  <c r="AI154" i="1"/>
  <c r="U118" i="1"/>
  <c r="S118" i="1" s="1"/>
  <c r="W118" i="1"/>
  <c r="W205" i="1"/>
  <c r="AI176" i="1"/>
  <c r="U141" i="1"/>
  <c r="S141" i="1" s="1"/>
  <c r="AI192" i="1"/>
  <c r="AI78" i="1"/>
  <c r="U78" i="1"/>
  <c r="S78" i="1" s="1"/>
  <c r="U82" i="1"/>
  <c r="W82" i="1"/>
  <c r="S82" i="1"/>
  <c r="AI82" i="1"/>
  <c r="U23" i="1"/>
  <c r="S23" i="1" s="1"/>
  <c r="AI23" i="1"/>
  <c r="U39" i="1"/>
  <c r="S39" i="1" s="1"/>
  <c r="AI39" i="1"/>
  <c r="AI34" i="1"/>
  <c r="U34" i="1"/>
  <c r="S34" i="1" s="1"/>
  <c r="W39" i="1"/>
  <c r="W51" i="1"/>
  <c r="W78" i="1"/>
  <c r="U15" i="1"/>
  <c r="S15" i="1" s="1"/>
  <c r="AI15" i="1"/>
  <c r="AI22" i="1"/>
  <c r="U22" i="1"/>
  <c r="S22" i="1" s="1"/>
  <c r="AI38" i="1"/>
  <c r="U38" i="1"/>
  <c r="S38" i="1" s="1"/>
  <c r="W18" i="1"/>
  <c r="W22" i="1"/>
  <c r="W46" i="1"/>
  <c r="W14" i="1"/>
  <c r="AI74" i="1"/>
  <c r="U74" i="1"/>
  <c r="S74" i="1" s="1"/>
  <c r="AI85" i="1"/>
  <c r="U85" i="1"/>
  <c r="S85" i="1" s="1"/>
  <c r="W87" i="1"/>
  <c r="U111" i="1"/>
  <c r="S111" i="1"/>
  <c r="AI147" i="1"/>
  <c r="U123" i="1"/>
  <c r="S123" i="1" s="1"/>
  <c r="AI158" i="1"/>
  <c r="S106" i="1"/>
  <c r="AI142" i="1"/>
  <c r="U106" i="1"/>
  <c r="AI157" i="1"/>
  <c r="U122" i="1"/>
  <c r="S122" i="1" s="1"/>
  <c r="W101" i="1"/>
  <c r="W100" i="1"/>
  <c r="W106" i="1"/>
  <c r="W126" i="1"/>
  <c r="AI180" i="1"/>
  <c r="U145" i="1"/>
  <c r="S145" i="1" s="1"/>
  <c r="AI196" i="1"/>
  <c r="U194" i="1"/>
  <c r="S194" i="1" s="1"/>
  <c r="W133" i="1"/>
  <c r="W194" i="1"/>
  <c r="AD35" i="3"/>
  <c r="M28" i="5" l="1"/>
  <c r="M23" i="5" l="1"/>
  <c r="S35" i="3" l="1"/>
  <c r="V35" i="3"/>
  <c r="AE35" i="3" s="1"/>
  <c r="AC35" i="3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9" i="3" l="1"/>
  <c r="N31" i="3"/>
  <c r="N24" i="3"/>
  <c r="N25" i="3"/>
  <c r="N30" i="3"/>
  <c r="N8" i="3"/>
  <c r="N7" i="3"/>
  <c r="N20" i="3"/>
  <c r="N26" i="3"/>
  <c r="N32" i="3"/>
  <c r="N17" i="3"/>
  <c r="N34" i="3"/>
  <c r="N16" i="3"/>
  <c r="N27" i="3"/>
  <c r="N10" i="3"/>
  <c r="N19" i="3"/>
  <c r="N33" i="3"/>
  <c r="N29" i="3"/>
  <c r="N21" i="3"/>
  <c r="N28" i="3"/>
  <c r="N22" i="3"/>
  <c r="N18" i="3"/>
  <c r="N13" i="3"/>
  <c r="N12" i="3"/>
  <c r="N23" i="3"/>
  <c r="N11" i="3"/>
  <c r="N14" i="3"/>
  <c r="N15" i="3"/>
  <c r="N35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5" i="3" l="1"/>
  <c r="AF13" i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<sst xmlns="http://schemas.openxmlformats.org/spreadsheetml/2006/main" count="2750" uniqueCount="971">
  <si>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</si>
  <si>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</si>
  <si>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</si>
  <si>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</si>
  <si>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</si>
  <si>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</si>
  <si>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</si>
  <si>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</si>
  <si>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</si>
  <si>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</si>
  <si>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</si>
  <si>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</si>
  <si>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</si>
  <si>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</si>
  <si>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</si>
  <si>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</si>
  <si>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</si>
  <si>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</si>
  <si>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</si>
  <si>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</si>
  <si>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</si>
  <si>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</si>
  <si>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</si>
  <si>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</si>
  <si>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</si>
  <si>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</si>
  <si>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</si>
  <si>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</si>
  <si>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</si>
  <si>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</si>
  <si>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</si>
  <si>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</si>
  <si>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</si>
  <si>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</si>
  <si>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</si>
  <si>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</si>
  <si>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</si>
  <si>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</si>
  <si>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</si>
  <si>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</si>
  <si>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</si>
  <si>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</si>
  <si>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</si>
  <si>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</si>
  <si>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</si>
  <si>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</si>
  <si>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</si>
  <si>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</si>
  <si>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</si>
  <si>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</si>
  <si>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</si>
  <si>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</si>
  <si>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</si>
  <si>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</si>
  <si>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</si>
  <si>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</si>
  <si>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</si>
  <si>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</si>
  <si>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</si>
  <si>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</si>
  <si>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</si>
  <si>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</si>
  <si>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</si>
  <si>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</si>
  <si>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</si>
  <si>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</si>
  <si>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</si>
  <si>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</si>
  <si>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</si>
  <si>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</si>
  <si>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</si>
  <si>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</si>
  <si>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</si>
  <si>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</si>
  <si>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</si>
  <si>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</si>
  <si>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</si>
  <si>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</si>
  <si>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</si>
  <si>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</si>
  <si>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</si>
  <si>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</si>
  <si>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</si>
  <si>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</si>
  <si>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</si>
  <si>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</si>
  <si>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</si>
  <si>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</si>
  <si>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</si>
  <si>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</si>
  <si>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</si>
  <si>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</si>
  <si>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</si>
  <si>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</si>
  <si>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</si>
  <si>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</si>
  <si>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</si>
  <si>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</si>
  <si>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</si>
  <si>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</si>
  <si>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</si>
  <si>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</si>
  <si>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</si>
  <si>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</si>
  <si>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</si>
  <si>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</si>
  <si>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</si>
  <si>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</si>
  <si>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</si>
  <si>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</si>
  <si>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</si>
  <si>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</si>
  <si>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</si>
  <si>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</si>
  <si>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</si>
  <si>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</si>
  <si>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</si>
  <si>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</si>
  <si>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</si>
  <si>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</si>
  <si>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</si>
  <si>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</si>
  <si>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</si>
  <si>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</si>
  <si>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</si>
  <si>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</si>
  <si>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</si>
  <si>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</si>
  <si>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</si>
  <si>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</si>
  <si>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</si>
  <si>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</si>
  <si>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</si>
  <si>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</si>
  <si>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</si>
  <si>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</si>
  <si>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</si>
  <si>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</si>
  <si>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</si>
  <si>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</si>
  <si>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</si>
  <si>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</si>
  <si>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</si>
  <si>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</si>
  <si>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</si>
  <si>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</si>
  <si>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</si>
  <si>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</si>
  <si>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</si>
  <si>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</si>
  <si>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</si>
  <si>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</si>
  <si>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</si>
  <si>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</si>
  <si>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</si>
  <si>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</si>
  <si>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</si>
  <si>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</si>
  <si>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</si>
  <si>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</si>
  <si>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</si>
  <si>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</si>
  <si>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</si>
  <si>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</si>
  <si>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</si>
  <si>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</si>
  <si>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</si>
  <si>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</si>
  <si>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</si>
  <si>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</si>
  <si>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</si>
  <si>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</si>
  <si>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</si>
  <si>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</si>
  <si>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</si>
  <si>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</si>
  <si>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</si>
  <si>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</si>
  <si>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</si>
  <si>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</si>
  <si>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</si>
  <si>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</si>
  <si>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</si>
  <si>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</si>
  <si>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</si>
  <si>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</si>
  <si>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</si>
  <si>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</si>
  <si>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</si>
  <si>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</si>
  <si>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</si>
  <si>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</si>
  <si>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</si>
  <si>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</si>
  <si>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</si>
  <si>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</si>
  <si>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</si>
  <si>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</si>
  <si>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</si>
  <si>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</si>
  <si>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</si>
  <si>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</si>
  <si>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</si>
  <si>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</si>
  <si>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</si>
  <si>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</si>
  <si>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</si>
  <si>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</si>
  <si>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</si>
  <si>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</si>
  <si>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</si>
  <si>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</si>
  <si>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</si>
  <si>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</si>
  <si>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</si>
  <si>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</si>
  <si>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</si>
  <si>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</si>
  <si>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</si>
  <si>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</si>
  <si>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</si>
  <si>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</si>
  <si>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</si>
  <si>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</si>
  <si>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</si>
  <si>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</si>
  <si>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</si>
  <si>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</si>
  <si>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</si>
  <si>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</si>
  <si>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</si>
  <si>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</si>
  <si>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</si>
  <si>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</si>
  <si>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</si>
  <si>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</si>
  <si>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</si>
  <si>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</si>
  <si>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</si>
  <si>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</si>
  <si>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</si>
  <si>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</si>
  <si>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</si>
  <si>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</si>
  <si>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</si>
  <si>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</si>
  <si>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</si>
  <si>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</si>
  <si>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</si>
  <si>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</si>
  <si>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</si>
  <si>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</si>
  <si>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</si>
  <si>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</si>
  <si>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</si>
  <si>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</si>
  <si>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</si>
  <si>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</si>
  <si>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</si>
  <si>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</si>
  <si>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</si>
  <si>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</si>
  <si>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</si>
  <si>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</si>
  <si>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</si>
  <si>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</si>
  <si>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</si>
  <si>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</si>
  <si>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</si>
  <si>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</si>
  <si>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</si>
  <si>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</si>
  <si>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</si>
  <si>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</si>
  <si>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</si>
  <si>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</si>
  <si>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</si>
  <si>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</si>
  <si>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</si>
  <si>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</si>
  <si>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</si>
  <si>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</si>
  <si>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</si>
  <si>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</si>
  <si>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</si>
  <si>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</si>
  <si>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</si>
  <si>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</si>
  <si>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</si>
  <si>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</si>
  <si>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</si>
  <si>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</si>
  <si>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</si>
  <si>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</si>
  <si>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</si>
  <si>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</si>
  <si>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</si>
  <si>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</si>
  <si>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</si>
  <si>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</si>
  <si>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</si>
  <si>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</si>
  <si>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</si>
  <si>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</si>
  <si>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</si>
  <si>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</si>
  <si>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</si>
  <si>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</si>
  <si>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</si>
  <si>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</si>
  <si>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</si>
  <si>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</si>
  <si>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</si>
  <si>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</si>
  <si>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</si>
  <si>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</si>
  <si>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</si>
  <si>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</si>
  <si>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</si>
  <si>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</si>
  <si>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</si>
  <si>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</si>
  <si>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</si>
  <si>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</si>
  <si>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</si>
  <si>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</si>
  <si>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</si>
  <si>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</si>
  <si>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</si>
  <si>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</si>
  <si>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</si>
  <si>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</si>
  <si>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</si>
  <si>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</si>
  <si>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</si>
  <si>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</si>
  <si>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</si>
  <si>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</si>
  <si>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</si>
  <si>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</si>
  <si>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</si>
  <si>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</si>
  <si>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</si>
  <si>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</si>
  <si>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</si>
  <si>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</si>
  <si>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</si>
  <si>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</si>
  <si>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</si>
  <si>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</si>
  <si>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</si>
  <si>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</si>
  <si>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</si>
  <si>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</si>
  <si>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</si>
  <si>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</si>
  <si>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</si>
  <si>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</si>
  <si>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</si>
  <si>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</si>
  <si>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</si>
  <si>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</si>
  <si>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</si>
  <si>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</si>
  <si>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</si>
  <si>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</si>
  <si>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</si>
  <si>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</si>
  <si>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</si>
  <si>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</si>
  <si>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</si>
  <si>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</si>
  <si>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</si>
  <si>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</si>
  <si>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</si>
  <si>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</si>
  <si>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</si>
  <si>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</si>
  <si>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</si>
  <si>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</si>
  <si>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</si>
  <si>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</si>
  <si>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</si>
  <si>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</si>
  <si>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</si>
  <si>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</si>
  <si>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</si>
  <si>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</si>
  <si>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</si>
  <si>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</si>
  <si>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</si>
  <si>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</si>
  <si>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</si>
  <si>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</si>
  <si>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</si>
  <si>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</si>
  <si>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</si>
  <si>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rtdc.l.rtdc.4029:itc</t>
  </si>
  <si>
    <t>238-18</t>
  </si>
  <si>
    <t>243-18</t>
  </si>
  <si>
    <t>MACDONALD</t>
  </si>
  <si>
    <t>THOMAS</t>
  </si>
  <si>
    <t>228-18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</si>
  <si>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</si>
  <si>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</si>
  <si>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</si>
  <si>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</si>
  <si>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</si>
  <si>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</si>
  <si>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</si>
  <si>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</si>
  <si>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</si>
  <si>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</si>
  <si>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</si>
  <si>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</si>
  <si>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</si>
  <si>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</si>
  <si>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</si>
  <si>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</si>
  <si>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</si>
  <si>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</si>
  <si>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</si>
  <si>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</si>
  <si>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</si>
  <si>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</si>
  <si>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</si>
  <si>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</si>
  <si>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rtdc.l.rtdc.4026:itc</t>
  </si>
  <si>
    <t>rtdc.l.rtdc.4025:itc</t>
  </si>
  <si>
    <t>LOCKLEAR</t>
  </si>
  <si>
    <t>TRAVIS</t>
  </si>
  <si>
    <t>CHANDLER</t>
  </si>
  <si>
    <t>KELVIN</t>
  </si>
  <si>
    <t>NEWELL</t>
  </si>
  <si>
    <t>Mostly Cloudy</t>
  </si>
  <si>
    <t>204:161</t>
  </si>
  <si>
    <t>204:464</t>
  </si>
  <si>
    <t>Early arrival</t>
  </si>
  <si>
    <t>STORY</t>
  </si>
  <si>
    <t>SAMANTHA</t>
  </si>
  <si>
    <t>204:232977</t>
  </si>
  <si>
    <t>204:232994</t>
  </si>
  <si>
    <t>rtdc.l.rtdc.4014:itc</t>
  </si>
  <si>
    <t>rtdc.l.rtdc.4013:itc</t>
  </si>
  <si>
    <t>204:233289</t>
  </si>
  <si>
    <t>204:233301</t>
  </si>
  <si>
    <t>204:232984</t>
  </si>
  <si>
    <t>rtdc.l.rtdc.4040:itc</t>
  </si>
  <si>
    <t>rtdc.l.rtdc.4039:itc</t>
  </si>
  <si>
    <t>204:232982</t>
  </si>
  <si>
    <t>204:233295</t>
  </si>
  <si>
    <t>204:138</t>
  </si>
  <si>
    <t>204:139</t>
  </si>
  <si>
    <t>204:233299</t>
  </si>
  <si>
    <t>204:233317</t>
  </si>
  <si>
    <t>precipType</t>
  </si>
  <si>
    <t>rain</t>
  </si>
  <si>
    <t>204:444</t>
  </si>
  <si>
    <t>204:447</t>
  </si>
  <si>
    <t>204:141</t>
  </si>
  <si>
    <t>204:233312</t>
  </si>
  <si>
    <t>204:136</t>
  </si>
  <si>
    <t>rtdc.l.rtdc.4051:itc</t>
  </si>
  <si>
    <t>204:163</t>
  </si>
  <si>
    <t>204:469</t>
  </si>
  <si>
    <t>204:134</t>
  </si>
  <si>
    <t>204:233303</t>
  </si>
  <si>
    <t>300:58941</t>
  </si>
  <si>
    <t>WCR Redmine cURL</t>
  </si>
  <si>
    <t>27f4683f8c668ceb395ce0223286e38dfe180cf8</t>
  </si>
  <si>
    <t>https://ptcsupport.wabtec.com/issues.json</t>
  </si>
  <si>
    <t>rtdc.l.rtdc.4010:itc</t>
  </si>
  <si>
    <t>Light Rain</t>
  </si>
  <si>
    <t>204:232976</t>
  </si>
  <si>
    <t>204:233304</t>
  </si>
  <si>
    <t>204:462</t>
  </si>
  <si>
    <t>204:232973</t>
  </si>
  <si>
    <t>204:232961</t>
  </si>
  <si>
    <t>Cancelled due to signaling system failure</t>
  </si>
  <si>
    <t>rtdc.l.rtdc.4019:itc</t>
  </si>
  <si>
    <t>rtdc.l.rtdc.4020:itc</t>
  </si>
  <si>
    <t>JOHN</t>
  </si>
  <si>
    <t>SULLIVAN</t>
  </si>
  <si>
    <t>BRANDON</t>
  </si>
  <si>
    <t>204:232993</t>
  </si>
  <si>
    <t>204:167</t>
  </si>
  <si>
    <t>204:232978</t>
  </si>
  <si>
    <t>204:440</t>
  </si>
  <si>
    <t>204:232979</t>
  </si>
  <si>
    <t>204:232992</t>
  </si>
  <si>
    <t>204:233321</t>
  </si>
  <si>
    <t>204:232989</t>
  </si>
  <si>
    <t>204:233036</t>
  </si>
  <si>
    <t>204:233308</t>
  </si>
  <si>
    <t>300:23346</t>
  </si>
  <si>
    <t>300:58626</t>
  </si>
  <si>
    <t>300:58939</t>
  </si>
  <si>
    <t>204:761</t>
  </si>
  <si>
    <t>rtdc.l.rtdc.4052:itc</t>
  </si>
  <si>
    <t>GEBRETEKLE</t>
  </si>
  <si>
    <t>DAGNEW</t>
  </si>
  <si>
    <t>YORK</t>
  </si>
  <si>
    <t>EDGAR</t>
  </si>
  <si>
    <t>WHITED</t>
  </si>
  <si>
    <t>DUSTIN</t>
  </si>
  <si>
    <t>LALONDE</t>
  </si>
  <si>
    <t>GREGORY</t>
  </si>
  <si>
    <t>LOPES</t>
  </si>
  <si>
    <t>KIMBERLY</t>
  </si>
  <si>
    <t>204:233011</t>
  </si>
  <si>
    <t>204:748</t>
  </si>
  <si>
    <t>204:233300</t>
  </si>
  <si>
    <t>204:232986</t>
  </si>
  <si>
    <t>204:233302</t>
  </si>
  <si>
    <t>204:438</t>
  </si>
  <si>
    <t>204:233310</t>
  </si>
  <si>
    <t>204:232990</t>
  </si>
  <si>
    <t>204:233315</t>
  </si>
  <si>
    <t>204:446</t>
  </si>
  <si>
    <t>204:233025</t>
  </si>
  <si>
    <t>204:233000</t>
  </si>
  <si>
    <t>204:1025</t>
  </si>
  <si>
    <t>300:58960</t>
  </si>
  <si>
    <t>300:58623</t>
  </si>
  <si>
    <t>rtdc.l.rtdc.4009:itc</t>
  </si>
  <si>
    <t>rtdc.l.rtdc.4001:itc</t>
  </si>
  <si>
    <t>233-30</t>
  </si>
  <si>
    <t>rtdc.l.rtdc.4045:itc</t>
  </si>
  <si>
    <t>ROBINSON</t>
  </si>
  <si>
    <t>KADDIBA</t>
  </si>
  <si>
    <t>rtdc.l.rtdc.4002:itc</t>
  </si>
  <si>
    <t>SHOOK</t>
  </si>
  <si>
    <t>BRANDNER</t>
  </si>
  <si>
    <t>MELINDA</t>
  </si>
  <si>
    <t>BRUDER</t>
  </si>
  <si>
    <t>RICHARD</t>
  </si>
  <si>
    <t>88-30</t>
  </si>
  <si>
    <t>843-30</t>
  </si>
  <si>
    <t>224-30</t>
  </si>
  <si>
    <t>227-30</t>
  </si>
  <si>
    <t>842-30</t>
  </si>
  <si>
    <t>226-30</t>
  </si>
  <si>
    <t>229-30</t>
  </si>
  <si>
    <t>845-30</t>
  </si>
  <si>
    <t>228-30</t>
  </si>
  <si>
    <t>231-30</t>
  </si>
  <si>
    <t>844-30</t>
  </si>
  <si>
    <t>230-30</t>
  </si>
  <si>
    <t>235-30</t>
  </si>
  <si>
    <t>908-30</t>
  </si>
  <si>
    <t>847-30</t>
  </si>
  <si>
    <t>232-30</t>
  </si>
  <si>
    <t>237-30</t>
  </si>
  <si>
    <t>234-30</t>
  </si>
  <si>
    <t>236-30</t>
  </si>
  <si>
    <t>239-30</t>
  </si>
  <si>
    <t>238-30</t>
  </si>
  <si>
    <t>241-30</t>
  </si>
  <si>
    <t>240-30</t>
  </si>
  <si>
    <t>243-30</t>
  </si>
  <si>
    <t>315-30</t>
  </si>
  <si>
    <t>242-30</t>
  </si>
  <si>
    <t>309-30</t>
  </si>
  <si>
    <t>244-30</t>
  </si>
  <si>
    <t>311-30</t>
  </si>
  <si>
    <t>313-30</t>
  </si>
  <si>
    <t>partly-cloudy-night</t>
  </si>
  <si>
    <t>204:743</t>
  </si>
  <si>
    <t>204:114</t>
  </si>
  <si>
    <t>204:772</t>
  </si>
  <si>
    <t>204:735</t>
  </si>
  <si>
    <t>204:232974</t>
  </si>
  <si>
    <t>204:752</t>
  </si>
  <si>
    <t>204:233291</t>
  </si>
  <si>
    <t>204:233274</t>
  </si>
  <si>
    <t>204:232955</t>
  </si>
  <si>
    <t>204:233002</t>
  </si>
  <si>
    <t>204:471</t>
  </si>
  <si>
    <t>204:233006</t>
  </si>
  <si>
    <t>204:233324</t>
  </si>
  <si>
    <t>204:232988</t>
  </si>
  <si>
    <t>204:233282</t>
  </si>
  <si>
    <t>204:233297</t>
  </si>
  <si>
    <t>204:145</t>
  </si>
  <si>
    <t>204:466</t>
  </si>
  <si>
    <t>204:233284</t>
  </si>
  <si>
    <t>204:482</t>
  </si>
  <si>
    <t>204:160</t>
  </si>
  <si>
    <t>204:233332</t>
  </si>
  <si>
    <t>204:233322</t>
  </si>
  <si>
    <t>204:233318</t>
  </si>
  <si>
    <t>204:233327</t>
  </si>
  <si>
    <t>204:233280</t>
  </si>
  <si>
    <t>204:233320</t>
  </si>
  <si>
    <t>204:232998</t>
  </si>
  <si>
    <t>204:170</t>
  </si>
  <si>
    <t>204:233364</t>
  </si>
  <si>
    <t>204:442</t>
  </si>
  <si>
    <t>300:23301</t>
  </si>
  <si>
    <t>204:745</t>
  </si>
  <si>
    <t>204:1027</t>
  </si>
  <si>
    <t>300:58950</t>
  </si>
  <si>
    <t>300:58621</t>
  </si>
  <si>
    <t>204:741</t>
  </si>
  <si>
    <t>204:1044</t>
  </si>
  <si>
    <t>302-02</t>
  </si>
  <si>
    <t>rtdc.l.rtdc.4054:itc</t>
  </si>
  <si>
    <t>105-02</t>
  </si>
  <si>
    <t>104-02</t>
  </si>
  <si>
    <t>rtdc.l.rtdc.4053:itc</t>
  </si>
  <si>
    <t>120-02</t>
  </si>
  <si>
    <t>rtdc.l.rtdc.4015:itc</t>
  </si>
  <si>
    <t>126-02</t>
  </si>
  <si>
    <t>138-02</t>
  </si>
  <si>
    <t>144-02</t>
  </si>
  <si>
    <t>142-02</t>
  </si>
  <si>
    <t>152-02</t>
  </si>
  <si>
    <t>155-02</t>
  </si>
  <si>
    <t>171-02</t>
  </si>
  <si>
    <t>rtdc.l.rtdc.4017:itc</t>
  </si>
  <si>
    <t>1816-02</t>
  </si>
  <si>
    <t>183-02</t>
  </si>
  <si>
    <t>185-02</t>
  </si>
  <si>
    <t>189-02</t>
  </si>
  <si>
    <t>199-02</t>
  </si>
  <si>
    <t>197-02</t>
  </si>
  <si>
    <t>rtdc.l.rtdc.4018:itc</t>
  </si>
  <si>
    <t>1821-02</t>
  </si>
  <si>
    <t>198-02</t>
  </si>
  <si>
    <t>219-02</t>
  </si>
  <si>
    <t>220-02</t>
  </si>
  <si>
    <t>216-02</t>
  </si>
  <si>
    <t>228-02</t>
  </si>
  <si>
    <t>230-02</t>
  </si>
  <si>
    <t>1833-02</t>
  </si>
  <si>
    <t>242-01</t>
  </si>
  <si>
    <t>245-01</t>
  </si>
  <si>
    <t>309-01</t>
  </si>
  <si>
    <t>244-01</t>
  </si>
  <si>
    <t>311-01</t>
  </si>
  <si>
    <t>246-01</t>
  </si>
  <si>
    <t>313-01</t>
  </si>
  <si>
    <t>315-01</t>
  </si>
  <si>
    <t>SANTIZO</t>
  </si>
  <si>
    <t>D. EDY</t>
  </si>
  <si>
    <t>rtdc.l.rtdc.4016:itc</t>
  </si>
  <si>
    <t>101-02</t>
  </si>
  <si>
    <t>304-02</t>
  </si>
  <si>
    <t>MAELZER</t>
  </si>
  <si>
    <t>KURT</t>
  </si>
  <si>
    <t>103-02</t>
  </si>
  <si>
    <t>306-02</t>
  </si>
  <si>
    <t>DELGADO</t>
  </si>
  <si>
    <t>DIANAH</t>
  </si>
  <si>
    <t>102-02</t>
  </si>
  <si>
    <t>308-02</t>
  </si>
  <si>
    <t>DAVIS</t>
  </si>
  <si>
    <t>WENDY</t>
  </si>
  <si>
    <t>310-02</t>
  </si>
  <si>
    <t>107-02</t>
  </si>
  <si>
    <t>109-02</t>
  </si>
  <si>
    <t>111-02</t>
  </si>
  <si>
    <t>106-02</t>
  </si>
  <si>
    <t>113-02</t>
  </si>
  <si>
    <t>1901-02</t>
  </si>
  <si>
    <t>108-02</t>
  </si>
  <si>
    <t>1800-02</t>
  </si>
  <si>
    <t>115-02</t>
  </si>
  <si>
    <t>117-02</t>
  </si>
  <si>
    <t>110-02</t>
  </si>
  <si>
    <t>112-02</t>
  </si>
  <si>
    <t>119-02</t>
  </si>
  <si>
    <t>1801-02</t>
  </si>
  <si>
    <t>114-02</t>
  </si>
  <si>
    <t>116-02</t>
  </si>
  <si>
    <t>121-02</t>
  </si>
  <si>
    <t>123-02</t>
  </si>
  <si>
    <t>118-02</t>
  </si>
  <si>
    <t>1802-02</t>
  </si>
  <si>
    <t>125-02</t>
  </si>
  <si>
    <t>127-02</t>
  </si>
  <si>
    <t>1803-02</t>
  </si>
  <si>
    <t>122-02</t>
  </si>
  <si>
    <t>129-02</t>
  </si>
  <si>
    <t>124-02</t>
  </si>
  <si>
    <t>131-02</t>
  </si>
  <si>
    <t>1804-02</t>
  </si>
  <si>
    <t>128-02</t>
  </si>
  <si>
    <t>133-02</t>
  </si>
  <si>
    <t>135-02</t>
  </si>
  <si>
    <t>130-02</t>
  </si>
  <si>
    <t>1805-02</t>
  </si>
  <si>
    <t>137-02</t>
  </si>
  <si>
    <t>132-02</t>
  </si>
  <si>
    <t>139-02</t>
  </si>
  <si>
    <t>1806-02</t>
  </si>
  <si>
    <t>134-02</t>
  </si>
  <si>
    <t>141-02</t>
  </si>
  <si>
    <t>136-02</t>
  </si>
  <si>
    <t>143-02</t>
  </si>
  <si>
    <t>1807-02</t>
  </si>
  <si>
    <t>140-02</t>
  </si>
  <si>
    <t>145-02</t>
  </si>
  <si>
    <t>147-02</t>
  </si>
  <si>
    <t>1808-02</t>
  </si>
  <si>
    <t>149-02</t>
  </si>
  <si>
    <t>151-02</t>
  </si>
  <si>
    <t>146-02</t>
  </si>
  <si>
    <t>1809-02</t>
  </si>
  <si>
    <t>153-02</t>
  </si>
  <si>
    <t>148-02</t>
  </si>
  <si>
    <t>ROMERO</t>
  </si>
  <si>
    <t>CHAD</t>
  </si>
  <si>
    <t>1810-02</t>
  </si>
  <si>
    <t>150-02</t>
  </si>
  <si>
    <t>157-02</t>
  </si>
  <si>
    <t>154-02</t>
  </si>
  <si>
    <t>1811-02</t>
  </si>
  <si>
    <t>159-02</t>
  </si>
  <si>
    <t>STEWART</t>
  </si>
  <si>
    <t>161-02</t>
  </si>
  <si>
    <t>156-02</t>
  </si>
  <si>
    <t>158-02</t>
  </si>
  <si>
    <t>163-02</t>
  </si>
  <si>
    <t>LEVIN</t>
  </si>
  <si>
    <t>SCOTT</t>
  </si>
  <si>
    <t>1812-02</t>
  </si>
  <si>
    <t>165-02</t>
  </si>
  <si>
    <t>160-02</t>
  </si>
  <si>
    <t>167-02</t>
  </si>
  <si>
    <t>1813-02</t>
  </si>
  <si>
    <t>169-02</t>
  </si>
  <si>
    <t>162-02</t>
  </si>
  <si>
    <t>164-02</t>
  </si>
  <si>
    <t>166-02</t>
  </si>
  <si>
    <t>1814-02</t>
  </si>
  <si>
    <t>173-02</t>
  </si>
  <si>
    <t>170-02</t>
  </si>
  <si>
    <t>168-02</t>
  </si>
  <si>
    <t>1815-02</t>
  </si>
  <si>
    <t>175-02</t>
  </si>
  <si>
    <t>177-02</t>
  </si>
  <si>
    <t>172-02</t>
  </si>
  <si>
    <t>179-02</t>
  </si>
  <si>
    <t>174-02</t>
  </si>
  <si>
    <t>181-02</t>
  </si>
  <si>
    <t>176-02</t>
  </si>
  <si>
    <t>178-02</t>
  </si>
  <si>
    <t>1817-02</t>
  </si>
  <si>
    <t>180-02</t>
  </si>
  <si>
    <t>187-02</t>
  </si>
  <si>
    <t>1818-02</t>
  </si>
  <si>
    <t>182-02</t>
  </si>
  <si>
    <t>184-02</t>
  </si>
  <si>
    <t>191-02</t>
  </si>
  <si>
    <t>186-02</t>
  </si>
  <si>
    <t>193-02</t>
  </si>
  <si>
    <t>1819-02</t>
  </si>
  <si>
    <t>188-02</t>
  </si>
  <si>
    <t>195-02</t>
  </si>
  <si>
    <t>1820-02</t>
  </si>
  <si>
    <t>190-02</t>
  </si>
  <si>
    <t>192-02</t>
  </si>
  <si>
    <t>194-02</t>
  </si>
  <si>
    <t>201-02</t>
  </si>
  <si>
    <t>196-02</t>
  </si>
  <si>
    <t>203-02</t>
  </si>
  <si>
    <t>205-02</t>
  </si>
  <si>
    <t>1822-02</t>
  </si>
  <si>
    <t>207-02</t>
  </si>
  <si>
    <t>200-02</t>
  </si>
  <si>
    <t>67-02</t>
  </si>
  <si>
    <t>202-02</t>
  </si>
  <si>
    <t>209-02</t>
  </si>
  <si>
    <t>1823-02</t>
  </si>
  <si>
    <t>204-02</t>
  </si>
  <si>
    <t>211-02</t>
  </si>
  <si>
    <t>1824-02</t>
  </si>
  <si>
    <t>206-02</t>
  </si>
  <si>
    <t>213-02</t>
  </si>
  <si>
    <t>208-02</t>
  </si>
  <si>
    <t>215-02</t>
  </si>
  <si>
    <t>52-02</t>
  </si>
  <si>
    <t>DUNCAN</t>
  </si>
  <si>
    <t>SHEILA</t>
  </si>
  <si>
    <t>210-02</t>
  </si>
  <si>
    <t>217-02</t>
  </si>
  <si>
    <t>1825-02</t>
  </si>
  <si>
    <t>212-02</t>
  </si>
  <si>
    <t>214-02</t>
  </si>
  <si>
    <t>1826-02</t>
  </si>
  <si>
    <t>303-02</t>
  </si>
  <si>
    <t>221-02</t>
  </si>
  <si>
    <t>218-02</t>
  </si>
  <si>
    <t>305-02</t>
  </si>
  <si>
    <t>1827-02</t>
  </si>
  <si>
    <t>223-02</t>
  </si>
  <si>
    <t>1828-02</t>
  </si>
  <si>
    <t>307-02</t>
  </si>
  <si>
    <t>222-02</t>
  </si>
  <si>
    <t>225-02</t>
  </si>
  <si>
    <t>227-02</t>
  </si>
  <si>
    <t>224-02</t>
  </si>
  <si>
    <t>1829-02</t>
  </si>
  <si>
    <t>1830-02</t>
  </si>
  <si>
    <t>226-02</t>
  </si>
  <si>
    <t>229-02</t>
  </si>
  <si>
    <t>YANG</t>
  </si>
  <si>
    <t>JAN</t>
  </si>
  <si>
    <t>231-02</t>
  </si>
  <si>
    <t>1831-02</t>
  </si>
  <si>
    <t>1832-02</t>
  </si>
  <si>
    <t>233-02</t>
  </si>
  <si>
    <t>235-02</t>
  </si>
  <si>
    <t>232-02</t>
  </si>
  <si>
    <t>1902-02</t>
  </si>
  <si>
    <t>234-02</t>
  </si>
  <si>
    <t>237-02</t>
  </si>
  <si>
    <t>239-02</t>
  </si>
  <si>
    <t>236-02</t>
  </si>
  <si>
    <t>241-02</t>
  </si>
  <si>
    <t>238-02</t>
  </si>
  <si>
    <t>243-02</t>
  </si>
  <si>
    <t>240-02</t>
  </si>
  <si>
    <t>315-02</t>
  </si>
  <si>
    <t>242-02</t>
  </si>
  <si>
    <t>309-02</t>
  </si>
  <si>
    <t>244-02</t>
  </si>
  <si>
    <t>311-02</t>
  </si>
  <si>
    <t>313-02</t>
  </si>
  <si>
    <t>51-03</t>
  </si>
  <si>
    <t>clear-day</t>
  </si>
  <si>
    <t>Clear</t>
  </si>
  <si>
    <t>204:730</t>
  </si>
  <si>
    <t>204:232683</t>
  </si>
  <si>
    <t>204:232700</t>
  </si>
  <si>
    <t>204:127</t>
  </si>
  <si>
    <t>204:703</t>
  </si>
  <si>
    <t>204:233366</t>
  </si>
  <si>
    <t>204:232726</t>
  </si>
  <si>
    <t>204:233007</t>
  </si>
  <si>
    <t>204:759</t>
  </si>
  <si>
    <t>204:739</t>
  </si>
  <si>
    <t>204:233305</t>
  </si>
  <si>
    <t>204:233004</t>
  </si>
  <si>
    <t>204:233325</t>
  </si>
  <si>
    <t>204:233010</t>
  </si>
  <si>
    <t>204:233005</t>
  </si>
  <si>
    <t>204:130</t>
  </si>
  <si>
    <t>204:233351</t>
  </si>
  <si>
    <t>204:233019</t>
  </si>
  <si>
    <t>204:458</t>
  </si>
  <si>
    <t>204:233326</t>
  </si>
  <si>
    <t>204:233008</t>
  </si>
  <si>
    <t>204:191</t>
  </si>
  <si>
    <t>204:233026</t>
  </si>
  <si>
    <t>204:233360</t>
  </si>
  <si>
    <t>204:233013</t>
  </si>
  <si>
    <t>204:500</t>
  </si>
  <si>
    <t>204:233410</t>
  </si>
  <si>
    <t>204:233086</t>
  </si>
  <si>
    <t>204:121</t>
  </si>
  <si>
    <t>204:233346</t>
  </si>
  <si>
    <t>204:233023</t>
  </si>
  <si>
    <t>204:132</t>
  </si>
  <si>
    <t>204:477</t>
  </si>
  <si>
    <t>204:233048</t>
  </si>
  <si>
    <t>204:232985</t>
  </si>
  <si>
    <t>204:416</t>
  </si>
  <si>
    <t>204:233057</t>
  </si>
  <si>
    <t>204:233357</t>
  </si>
  <si>
    <t>204:233381</t>
  </si>
  <si>
    <t>204:233062</t>
  </si>
  <si>
    <t>300:58935</t>
  </si>
  <si>
    <t>300:58617</t>
  </si>
  <si>
    <t>204:1021</t>
  </si>
  <si>
    <t>300:58943</t>
  </si>
  <si>
    <t>300:58619</t>
  </si>
  <si>
    <t>300:58624</t>
  </si>
  <si>
    <t>204:738</t>
  </si>
  <si>
    <t>300:58615</t>
  </si>
  <si>
    <t>204:731</t>
  </si>
  <si>
    <t>300:58928</t>
  </si>
  <si>
    <t>204:233336</t>
  </si>
  <si>
    <t>204:729</t>
  </si>
  <si>
    <t>204:1030</t>
  </si>
  <si>
    <t>300:58630</t>
  </si>
  <si>
    <t>204:1014</t>
  </si>
  <si>
    <t>300:58952</t>
  </si>
  <si>
    <t>204:1060</t>
  </si>
  <si>
    <t>204:233038</t>
  </si>
  <si>
    <t>204:757</t>
  </si>
  <si>
    <t>204:1049</t>
  </si>
  <si>
    <t>204:1062</t>
  </si>
  <si>
    <t>204:1055</t>
  </si>
  <si>
    <t>204:794</t>
  </si>
  <si>
    <t>204:1065</t>
  </si>
  <si>
    <t>300:58946</t>
  </si>
  <si>
    <t>204:776</t>
  </si>
  <si>
    <t>300:58926</t>
  </si>
  <si>
    <t>300:58609</t>
  </si>
  <si>
    <t>204:773</t>
  </si>
  <si>
    <t>204:1074</t>
  </si>
  <si>
    <t>300:58933</t>
  </si>
  <si>
    <t>204:736</t>
  </si>
  <si>
    <t>204:1023</t>
  </si>
  <si>
    <t>204:431</t>
  </si>
  <si>
    <t>300:30036</t>
  </si>
  <si>
    <t>300:21742</t>
  </si>
  <si>
    <t>204:233370</t>
  </si>
  <si>
    <t>204:233046</t>
  </si>
  <si>
    <t>204:233376</t>
  </si>
  <si>
    <t>204:233074</t>
  </si>
  <si>
    <t>204:192</t>
  </si>
  <si>
    <t>204:233001</t>
  </si>
  <si>
    <t>204:232991</t>
  </si>
  <si>
    <t>204:429</t>
  </si>
  <si>
    <t>204:233385</t>
  </si>
  <si>
    <t>204:233070</t>
  </si>
  <si>
    <t>204:502</t>
  </si>
  <si>
    <t>204:233337</t>
  </si>
  <si>
    <t>204:233015</t>
  </si>
  <si>
    <t>204:233306</t>
  </si>
  <si>
    <t>204:233391</t>
  </si>
  <si>
    <t>204:233063</t>
  </si>
  <si>
    <t>204:233298</t>
  </si>
  <si>
    <t>204:233264</t>
  </si>
  <si>
    <t>204:198</t>
  </si>
  <si>
    <t>204:232983</t>
  </si>
  <si>
    <t>204:233417</t>
  </si>
  <si>
    <t>204:233144</t>
  </si>
  <si>
    <t>204:488</t>
  </si>
  <si>
    <t>204:233363</t>
  </si>
  <si>
    <t>204:233287</t>
  </si>
  <si>
    <t>204:233372</t>
  </si>
  <si>
    <t>300:19474</t>
  </si>
  <si>
    <t>300:23332</t>
  </si>
  <si>
    <t>300:23306</t>
  </si>
  <si>
    <t>300:22293</t>
  </si>
  <si>
    <t>204:94</t>
  </si>
  <si>
    <t>300:23026</t>
  </si>
  <si>
    <t>300:23610</t>
  </si>
  <si>
    <t>300:23470</t>
  </si>
  <si>
    <t>204:125</t>
  </si>
  <si>
    <t>300:23295</t>
  </si>
  <si>
    <t>300:23310</t>
  </si>
  <si>
    <t>300:23302</t>
  </si>
  <si>
    <t>204:1158</t>
  </si>
  <si>
    <t>204:107249</t>
  </si>
  <si>
    <t>300:22109</t>
  </si>
  <si>
    <t>204:2087</t>
  </si>
  <si>
    <t>start /low /b %USERPROFILE%\Documents\GitHub\eaglep3\Utilities\DownloadLogsFromS3.py --loco 4015 --day 2017-04-02</t>
  </si>
  <si>
    <t>start /low /b %USERPROFILE%\Documents\GitHub\eaglep3\Utilities\DownloadLogsFromS3.py --loco 4002 --day 2017-04-02</t>
  </si>
  <si>
    <t>start /low /b %USERPROFILE%\Documents\GitHub\eaglep3\Utilities\DownloadLogsFromS3.py --loco 4020 --day 2017-04-02</t>
  </si>
  <si>
    <t>start /low /b %USERPROFILE%\Documents\GitHub\eaglep3\Utilities\DownloadLogsFromS3.py --loco 4009 --day 2017-04-03</t>
  </si>
  <si>
    <t>start /low /b %USERPROFILE%\Documents\GitHub\eaglep3\Utilities\DownloadLogsFromS3.py --loco 4012 --day 2017-04-02</t>
  </si>
  <si>
    <t>start /low /b %USERPROFILE%\Documents\GitHub\eaglep3\Utilities\DownloadLogsFromS3.py --loco 4054 --day 2017-04-02</t>
  </si>
  <si>
    <t>start /low /b %USERPROFILE%\Documents\GitHub\eaglep3\Utilities\DownloadLogsFromS3.py --loco 4053 --day 2017-04-02</t>
  </si>
  <si>
    <t>start /low /b %USERPROFILE%\Documents\GitHub\eaglep3\Utilities\DownloadLogsFromS3.py --loco 4015 --day 2017-04-03</t>
  </si>
  <si>
    <t>start /low /b %USERPROFILE%\Documents\GitHub\eaglep3\Utilities\DownloadLogsFromS3.py --loco 4001 --day 2017-04-02</t>
  </si>
  <si>
    <t>start /low /b %USERPROFILE%\Documents\GitHub\eaglep3\Utilities\DownloadLogsFromS3.py --loco 4026 --day 2017-04-02</t>
  </si>
  <si>
    <t>start /low /b %USERPROFILE%\Documents\GitHub\eaglep3\Utilities\DownloadLogsFromS3.py --loco 4019 --day 2017-04-02</t>
  </si>
  <si>
    <t>start /low /b %USERPROFILE%\Documents\GitHub\eaglep3\Utilities\DownloadLogsFromS3.py --loco 4026 --day 2017-04-03</t>
  </si>
  <si>
    <t>start /low /b %USERPROFILE%\Documents\GitHub\eaglep3\Utilities\DownloadLogsFromS3.py --loco 4010 --day 2017-04-03</t>
  </si>
  <si>
    <t>start /low /b %USERPROFILE%\Documents\GitHub\eaglep3\Utilities\DownloadLogsFromS3.py --loco 4018 --day 2017-04-02</t>
  </si>
  <si>
    <t>start /low /b %USERPROFILE%\Documents\GitHub\eaglep3\Utilities\DownloadLogsFromS3.py --loco 4017 --day 2017-04-02</t>
  </si>
  <si>
    <t>start /low /b %USERPROFILE%\Documents\GitHub\eaglep3\Utilities\DownloadLogsFromS3.py --loco 4018 --day 2017-04-03</t>
  </si>
  <si>
    <t>No issues found (usual assortment of warnings/enforcements)</t>
  </si>
  <si>
    <t>Red fence reported at Sand Creek 2N, signal cleared by dispatcher shortly afterward</t>
  </si>
  <si>
    <t>Wi-MAX data drop, no enforcement (operator slowed train to avoid)</t>
  </si>
  <si>
    <t>http://stevetu21.github.io/eaglep3/load_kml.html?kml=http://rtdc.gmaps-snips.s3.amazonaws.com/dcfaddd6-c19d-4655-bd94-58e95e918d1a.kml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</si>
</sst>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42827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42827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34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COUNTIFS($N$13:$N$9330,"&gt;0",$AG$13:$AG$9330,I1)</f>
        <v>144</v>
      </c>
      <c r="K5" s="40"/>
      <c r="L5" s="40"/>
      <c r="M5" s="41">
        <f>AVERAGEIFS($N$13:$N$9330,$AG$13:$AG$9330,I1)</f>
        <v>37.895486110937782</v>
      </c>
      <c r="N5" s="39">
        <f t="array" ref="N5">MIN(IF($AG$13:$AG$9330=I1,IF(ISNUMBER($N$13:$N$9330),IF($N$13:$N$9330&gt;0,$N$13:$N$9330))))</f>
        <v>34.68333333148621</v>
      </c>
      <c r="O5" s="3">
        <f t="array" ref="O5">MAX(IF($AG$13:$AG$9330=I1,IF(ISNUMBER($N$13:$N$9330),IF($N$13:$N$9330&gt;0,$N$13:$N$9330))))</f>
        <v>45.03333333064802</v>
      </c>
      <c r="P5" s="2"/>
      <c r="R5" s="74" t="s">
        <v>17</v>
      </c>
      <c r="S5" s="50">
        <f>COUNTIFS($N$13:$N$9330,"&gt;0",$AG$13:$AG$9330,R1)</f>
        <v>34</v>
      </c>
      <c r="T5" s="40"/>
      <c r="U5" s="173"/>
      <c r="V5" s="170">
        <f>AVERAGEIFS($N$13:$N$9330,$AG$13:$AG$9330,R1)</f>
        <v>13.565196076969562</v>
      </c>
      <c r="W5" s="171">
        <f t="array" ref="W5">MIN(IF($AG$13:$AG$9330=R1,IF(ISNUMBER($N$13:$N$9330),IF($N$13:$N$9330&gt;0,$N$13:$N$9330))))</f>
        <v>11.933333325432613</v>
      </c>
      <c r="X5" s="172">
        <f t="array" ref="X5">MAX(IF($AG$13:$AG$9330=R1,IF(ISNUMBER($N$13:$N$9330),IF($N$13:$N$9330&gt;0,$N$13:$N$9330))))</f>
        <v>17.399999991757795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COUNT($O$13:$O$116)</f>
        <v>0</v>
      </c>
      <c r="K6" s="40"/>
      <c r="L6" s="40"/>
      <c r="M6" s="41">
        <f>IFERROR(AVERAGE($O$13:$O$116),0)</f>
        <v>0</v>
      </c>
      <c r="N6" s="39">
        <f>MIN($O$13:$O$116)</f>
        <v>0</v>
      </c>
      <c r="O6" s="3">
        <f>MAX($O$13:$O$116)</f>
        <v>0</v>
      </c>
      <c r="P6" s="2"/>
      <c r="R6" s="75" t="s">
        <v>43</v>
      </c>
      <c r="S6" s="50">
        <f>COUNT($O$13:$O$116)</f>
        <v>0</v>
      </c>
      <c r="T6" s="40"/>
      <c r="U6" s="173"/>
      <c r="V6" s="170">
        <f>IFERROR(AVERAGE($O$13:$O$116),0)</f>
        <v>0</v>
      </c>
      <c r="W6" s="171">
        <f>MIN($O$13:$O$116)</f>
        <v>0</v>
      </c>
      <c r="X6" s="172">
        <f>MAX($O$13:$O$116)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COUNTIFS($P$13:$P$9330,"&gt;0",$AG$13:$AG$9330,I1)</f>
        <v>0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COUNTIFS($P$13:$P$9330,"&gt;0",$AG$13:$AG$9330,R1)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144</v>
      </c>
      <c r="K8" s="40"/>
      <c r="L8" s="40"/>
      <c r="M8" s="41">
        <f>M5</f>
        <v>37.895486110937782</v>
      </c>
      <c r="N8" s="39">
        <f>N5</f>
        <v>34.68333333148621</v>
      </c>
      <c r="O8" s="3">
        <f>O5</f>
        <v>45.03333333064802</v>
      </c>
      <c r="P8" s="2"/>
      <c r="R8" s="74" t="s">
        <v>16</v>
      </c>
      <c r="S8" s="50">
        <f>S5</f>
        <v>34</v>
      </c>
      <c r="T8" s="40"/>
      <c r="U8" s="173"/>
      <c r="V8" s="170">
        <f>V5</f>
        <v>13.565196076969562</v>
      </c>
      <c r="W8" s="171">
        <f>W5</f>
        <v>11.933333325432613</v>
      </c>
      <c r="X8" s="172">
        <f>X5</f>
        <v>17.399999991757795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1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- 2017-04-02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AVERAGE(S13:S88)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468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646</v>
      </c>
      <c r="B13" s="7">
        <v>4016</v>
      </c>
      <c r="C13" s="21" t="s">
        <v>217</v>
      </c>
      <c r="D13" s="21" t="s">
        <v>833</v>
      </c>
      <c r="E13" s="13">
        <v>42827.131168981483</v>
      </c>
      <c r="F13" s="13">
        <v>42827.135613425926</v>
      </c>
      <c r="G13" s="7">
        <v>1</v>
      </c>
      <c r="H13" s="21" t="s">
        <v>425</v>
      </c>
      <c r="I13" s="13">
        <v>42827.160613425927</v>
      </c>
      <c r="J13" s="7">
        <v>0</v>
      </c>
      <c r="K13" s="97" t="str">
        <f t="shared" ref="K13:K44" si="0">IF(ISEVEN(B13),(B13-1)&amp;"/"&amp;B13,B13&amp;"/"&amp;(B13+1))</f>
        <v>4015/4016</v>
      </c>
      <c r="L13" s="21" t="str">
        <f>VLOOKUP(A13,'Trips&amp;Operators'!$C$1:$G$99999,5,FALSE)</f>
        <v>SANTIZO D. EDY</v>
      </c>
      <c r="M13" s="6">
        <f t="shared" ref="M13:M44" si="1">I13-F13</f>
        <v>2.5000000001455192E-2</v>
      </c>
      <c r="N13" s="7">
        <f t="shared" ref="N13:N44" si="2">24*60*SUM($M13:$M13)</f>
        <v>36.000000002095476</v>
      </c>
      <c r="O13" s="7"/>
      <c r="P13" s="7"/>
      <c r="Q13" s="22"/>
      <c r="R13" s="22"/>
      <c r="S13" s="31">
        <f t="shared" ref="S13:S44" si="3">SUM(U13:U13)/IF(AG13="EC",12,1)</f>
        <v>1</v>
      </c>
      <c r="T13" s="46" t="str">
        <f t="shared" ref="T13:T44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44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-02T02:08:53-0600',mode:absolute,to:'2017-04-02T04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" s="183" t="str">
        <f t="shared" ref="W13:W44" si="6">IF(AA13&lt;IF(AG13="EC",23,5.65),"Y","N")</f>
        <v>N</v>
      </c>
      <c r="X13" s="183" t="e">
        <f t="shared" ref="X13:X44" si="7">VALUE(LEFT(AD13,4))-VALUE(LEFT(AD12,4))</f>
        <v>#VALUE!</v>
      </c>
      <c r="Y13" s="62">
        <f t="shared" ref="Y13:Y44" si="8">RIGHT(D13,LEN(D13)-4)/10000</f>
        <v>7.2999999999999995E-2</v>
      </c>
      <c r="Z13" s="62">
        <f t="shared" ref="Z13:Z44" si="9">RIGHT(H13,LEN(H13)-4)/10000</f>
        <v>23.331399999999999</v>
      </c>
      <c r="AA13" s="62">
        <f t="shared" ref="AA13:AA44" si="10">ABS(Z13-Y13)</f>
        <v>23.258399999999998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44" si="11">IF(LEN(A13)=6,"0"&amp;A13,A13)</f>
        <v>0101-02</v>
      </c>
      <c r="AE13" s="85" t="str">
        <f t="shared" ref="AE13:AE44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13" s="82" t="str">
        <f t="shared" ref="AF13:AF44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/stypes="app*4016*20170402*" /stext=" 09:.+((SYSTEM_STATE.+slice.+state.+changed )|(ment ac)|(multiple cpu faults)|(system.+state.+changed )|(\[timeout)|(PRM\|1\|D)|(kpr)|(kdp)|(\|lc)|(penalty))"</v>
      </c>
      <c r="AG13" s="1" t="str">
        <f t="shared" ref="AG13:AG44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4016 --swversion DE.1.0.9.0 --startMP 204:730 --initTime 2017-04-02T03:08:53 --startdatetime 2017-04-02T03:15:17 --delay 1 --endMP 204:233314 --enddatetime 2017-04-02T03:51:17 --enforcementcount 0 &gt;&gt;C:\Users\stu\Documents\GitHub\eaglep3-reporting\EC\2017-04-02-refined-times.txt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{"issue":{"subject":"","project_id":79,"tracker_id":40,"status_id":1,"priority_id":2,"assigned_to_id":23,"start_date":"2017-04-02","description":"","custom_fields":[{"id":1,"name":"Subdivision","value":"EC"},{"id":4,"name":"Milepost","value":"23.3314"},{"id":17,"name":"Train ID","value":"101-02"},{"id":16,"name":"Locomotive ID","value":"4016"},{"id":130,"name":"Impact","value":""},{"id":150,"name":"Time of Event (Mountain Time)","value":"03:51:17"},{"id":151,"name":"Denver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4016 --day 2017-04-02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09:51:17"},{"id":29,"name":"Sharepoint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654</v>
      </c>
      <c r="B14" s="7">
        <v>4019</v>
      </c>
      <c r="C14" s="21" t="s">
        <v>217</v>
      </c>
      <c r="D14" s="21" t="s">
        <v>834</v>
      </c>
      <c r="E14" s="13">
        <v>42827.166655092595</v>
      </c>
      <c r="F14" s="13">
        <v>42827.174502314818</v>
      </c>
      <c r="G14" s="7">
        <v>1</v>
      </c>
      <c r="H14" s="21" t="s">
        <v>184</v>
      </c>
      <c r="I14" s="13">
        <v>42827.200601851851</v>
      </c>
      <c r="J14" s="7">
        <v>0</v>
      </c>
      <c r="K14" s="97" t="str">
        <f t="shared" si="0"/>
        <v>4019/4020</v>
      </c>
      <c r="L14" s="21" t="str">
        <f>VLOOKUP(A14,'Trips&amp;Operators'!$C$1:$G$99999,5,FALSE)</f>
        <v>SANTIZO D. EDY</v>
      </c>
      <c r="M14" s="6">
        <f t="shared" si="1"/>
        <v>2.6099537033587694E-2</v>
      </c>
      <c r="N14" s="7">
        <f t="shared" si="2"/>
        <v>37.58333332836628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-04-02T02:59:59-0600',mode:absolute,to:'2017-04-02T05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23.2683</v>
      </c>
      <c r="Z14" s="62">
        <f t="shared" si="9"/>
        <v>1.49E-2</v>
      </c>
      <c r="AA14" s="62">
        <f t="shared" si="10"/>
        <v>23.253399999999999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0102-02</v>
      </c>
      <c r="AE14" s="85" t="str">
        <f t="shared" si="12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14" s="82" t="str">
        <f t="shared" si="13"/>
        <v>"C:\Program Files (x86)\AstroGrep\AstroGrep.exe" /e /r /s /spath="%USERPROFILE%\AppData\Local\Temp\OnboardLogs" /stypes="app*4019*20170402*"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4019 --swversion DE.1.0.9.0 --startMP 204:232683 --initTime 2017-04-02T03:59:59 --startdatetime 2017-04-02T04:11:17 --delay 1 --endMP 204:149 --enddatetime 2017-04-02T04:48:52 --enforcementcount 0 &gt;&gt;C:\Users\stu\Documents\GitHub\eaglep3-reporting\EC\2017-04-02-refined-times.txt</v>
      </c>
      <c r="AI14" s="104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{"issue":{"subject":"","project_id":79,"tracker_id":40,"status_id":1,"priority_id":2,"assigned_to_id":23,"start_date":"2017-04-02","description":"","custom_fields":[{"id":1,"name":"Subdivision","value":"EC"},{"id":4,"name":"Milepost","value":"0.0149"},{"id":17,"name":"Train ID","value":"102-02"},{"id":16,"name":"Locomotive ID","value":"4019"},{"id":130,"name":"Impact","value":""},{"id":150,"name":"Time of Event (Mountain Time)","value":"04:48:52"},{"id":151,"name":"Denver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21">"start /low /b "&amp;dls3logs&amp;" --loco "&amp;B14&amp;" --day "&amp;TEXT(F14,"YYYY-MM-DD")</f>
        <v>start /low /b %USERPROFILE%\Documents\GitHub\eaglep3\Utilities\DownloadLogsFromS3.py --loco 4019 --day 2017-04-02</v>
      </c>
      <c r="AN14" s="159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10:48:52"},{"id":29,"name":"Sharepoint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650</v>
      </c>
      <c r="B15" s="7">
        <v>4002</v>
      </c>
      <c r="C15" s="21" t="s">
        <v>217</v>
      </c>
      <c r="D15" s="21" t="s">
        <v>569</v>
      </c>
      <c r="E15" s="13">
        <v>42827.149930555555</v>
      </c>
      <c r="F15" s="13">
        <v>42827.1565162037</v>
      </c>
      <c r="G15" s="7">
        <v>1</v>
      </c>
      <c r="H15" s="21" t="s">
        <v>588</v>
      </c>
      <c r="I15" s="13">
        <v>42827.181342592594</v>
      </c>
      <c r="J15" s="7">
        <v>0</v>
      </c>
      <c r="K15" s="97" t="str">
        <f t="shared" si="0"/>
        <v>4001/4002</v>
      </c>
      <c r="L15" s="21" t="str">
        <f>VLOOKUP(A15,'Trips&amp;Operators'!$C$1:$G$99999,5,FALSE)</f>
        <v>MAELZER KURT</v>
      </c>
      <c r="M15" s="6">
        <f t="shared" si="1"/>
        <v>2.4826388893416151E-2</v>
      </c>
      <c r="N15" s="7">
        <f t="shared" si="2"/>
        <v>35.750000006519258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-04-02T02:35:54-0600',mode:absolute,to:'2017-04-02T05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7.7200000000000005E-2</v>
      </c>
      <c r="Z15" s="62">
        <f t="shared" si="9"/>
        <v>23.333200000000001</v>
      </c>
      <c r="AA15" s="62">
        <f t="shared" si="10"/>
        <v>23.256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0103-02</v>
      </c>
      <c r="AE15" s="85" t="str">
        <f t="shared" si="12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15" s="82" t="str">
        <f t="shared" si="13"/>
        <v>"C:\Program Files (x86)\AstroGrep\AstroGrep.exe" /e /r /s /spath="%USERPROFILE%\AppData\Local\Temp\OnboardLogs" /stypes="app*4002*20170402*"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103-02 --locoid 4002 --swversion DE.1.0.9.0 --startMP 204:772 --initTime 2017-04-02T03:35:54 --startdatetime 2017-04-02T03:45:23 --delay 1 --endMP 204:233332 --enddatetime 2017-04-02T04:21:08 --enforcementcount 0 &gt;&gt;C:\Users\stu\Documents\GitHub\eaglep3-reporting\EC\2017-04-02-refined-times.txt</v>
      </c>
      <c r="AI15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{"issue":{"subject":"","project_id":79,"tracker_id":40,"status_id":1,"priority_id":2,"assigned_to_id":23,"start_date":"2017-04-02","description":"","custom_fields":[{"id":1,"name":"Subdivision","value":"EC"},{"id":4,"name":"Milepost","value":"23.3332"},{"id":17,"name":"Train ID","value":"103-02"},{"id":16,"name":"Locomotive ID","value":"4002"},{"id":130,"name":"Impact","value":""},{"id":150,"name":"Time of Event (Mountain Time)","value":"04:21:08"},{"id":151,"name":"Denver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4002 --day 2017-04-02</v>
      </c>
      <c r="AN15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608</v>
      </c>
      <c r="B16" s="7">
        <v>4026</v>
      </c>
      <c r="C16" s="21" t="s">
        <v>217</v>
      </c>
      <c r="D16" s="21" t="s">
        <v>835</v>
      </c>
      <c r="E16" s="13">
        <v>42827.186979166669</v>
      </c>
      <c r="F16" s="13">
        <v>42827.195439814815</v>
      </c>
      <c r="G16" s="7">
        <v>2</v>
      </c>
      <c r="H16" s="21" t="s">
        <v>836</v>
      </c>
      <c r="I16" s="13">
        <v>42827.225972222222</v>
      </c>
      <c r="J16" s="7">
        <v>0</v>
      </c>
      <c r="K16" s="97" t="str">
        <f t="shared" si="0"/>
        <v>4025/4026</v>
      </c>
      <c r="L16" s="21" t="str">
        <f>VLOOKUP(A16,'Trips&amp;Operators'!$C$1:$G$99999,5,FALSE)</f>
        <v>MAELZER KURT</v>
      </c>
      <c r="M16" s="6">
        <f t="shared" si="1"/>
        <v>3.0532407407008577E-2</v>
      </c>
      <c r="N16" s="7">
        <f t="shared" si="2"/>
        <v>43.966666666092351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-04-02T03:29:15-0600',mode:absolute,to:'2017-04-02T06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23.27</v>
      </c>
      <c r="Z16" s="62">
        <f t="shared" si="9"/>
        <v>1.2699999999999999E-2</v>
      </c>
      <c r="AA16" s="62">
        <f t="shared" si="10"/>
        <v>23.257300000000001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0104-02</v>
      </c>
      <c r="AE16" s="85" t="str">
        <f t="shared" si="12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16" s="82" t="str">
        <f t="shared" si="13"/>
        <v>"C:\Program Files (x86)\AstroGrep\AstroGrep.exe" /e /r /s /spath="%USERPROFILE%\AppData\Local\Temp\OnboardLogs" /stypes="app*4026*20170402*"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104-02 --locoid 4026 --swversion DE.1.0.9.0 --startMP 204:232700 --initTime 2017-04-02T04:29:15 --startdatetime 2017-04-02T04:41:26 --delay 2 --endMP 204:127 --enddatetime 2017-04-02T05:25:24 --enforcementcount 0 &gt;&gt;C:\Users\stu\Documents\GitHub\eaglep3-reporting\EC\2017-04-02-refined-times.txt</v>
      </c>
      <c r="AI16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{"issue":{"subject":"","project_id":79,"tracker_id":40,"status_id":1,"priority_id":2,"assigned_to_id":23,"start_date":"2017-04-02","description":"","custom_fields":[{"id":1,"name":"Subdivision","value":"EC"},{"id":4,"name":"Milepost","value":"0.0127"},{"id":17,"name":"Train ID","value":"104-02"},{"id":16,"name":"Locomotive ID","value":"4026"},{"id":130,"name":"Impact","value":""},{"id":150,"name":"Time of Event (Mountain Time)","value":"05:25:24"},{"id":151,"name":"Denver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4026 --day 2017-04-02</v>
      </c>
      <c r="AN16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607</v>
      </c>
      <c r="B17" s="7">
        <v>4054</v>
      </c>
      <c r="C17" s="21" t="s">
        <v>217</v>
      </c>
      <c r="D17" s="21" t="s">
        <v>837</v>
      </c>
      <c r="E17" s="13">
        <v>42827.170081018521</v>
      </c>
      <c r="F17" s="13">
        <v>42827.177303240744</v>
      </c>
      <c r="G17" s="7">
        <v>1</v>
      </c>
      <c r="H17" s="21" t="s">
        <v>838</v>
      </c>
      <c r="I17" s="13">
        <v>42827.203703703701</v>
      </c>
      <c r="J17" s="7">
        <v>0</v>
      </c>
      <c r="K17" s="97" t="str">
        <f t="shared" si="0"/>
        <v>4053/4054</v>
      </c>
      <c r="L17" s="21" t="str">
        <f>VLOOKUP(A17,'Trips&amp;Operators'!$C$1:$G$99999,5,FALSE)</f>
        <v>DELGADO DIANAH</v>
      </c>
      <c r="M17" s="6">
        <f t="shared" si="1"/>
        <v>2.640046295709908E-2</v>
      </c>
      <c r="N17" s="7">
        <f t="shared" si="2"/>
        <v>38.016666658222675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-04-02T03:04:55-0600',mode:absolute,to:'2017-04-02T05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7.0300000000000001E-2</v>
      </c>
      <c r="Z17" s="62">
        <f t="shared" si="9"/>
        <v>23.336600000000001</v>
      </c>
      <c r="AA17" s="62">
        <f t="shared" si="10"/>
        <v>23.266300000000001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0105-02</v>
      </c>
      <c r="AE17" s="85" t="str">
        <f t="shared" si="12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17" s="82" t="str">
        <f t="shared" si="13"/>
        <v>"C:\Program Files (x86)\AstroGrep\AstroGrep.exe" /e /r /s /spath="%USERPROFILE%\AppData\Local\Temp\OnboardLogs" /stypes="app*4054*20170402*"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105-02 --locoid 4054 --swversion DE.1.0.9.0 --startMP 204:703 --initTime 2017-04-02T04:04:55 --startdatetime 2017-04-02T04:15:19 --delay 1 --endMP 204:233366 --enddatetime 2017-04-02T04:53:20 --enforcementcount 0 &gt;&gt;C:\Users\stu\Documents\GitHub\eaglep3-reporting\EC\2017-04-02-refined-times.txt</v>
      </c>
      <c r="AI17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{"issue":{"subject":"","project_id":79,"tracker_id":40,"status_id":1,"priority_id":2,"assigned_to_id":23,"start_date":"2017-04-02","description":"","custom_fields":[{"id":1,"name":"Subdivision","value":"EC"},{"id":4,"name":"Milepost","value":"23.3366"},{"id":17,"name":"Train ID","value":"105-02"},{"id":16,"name":"Locomotive ID","value":"4054"},{"id":130,"name":"Impact","value":""},{"id":150,"name":"Time of Event (Mountain Time)","value":"04:53:20"},{"id":151,"name":"Denver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4054 --day 2017-04-02</v>
      </c>
      <c r="AN17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662</v>
      </c>
      <c r="B18" s="7">
        <v>4013</v>
      </c>
      <c r="C18" s="21" t="s">
        <v>217</v>
      </c>
      <c r="D18" s="21" t="s">
        <v>839</v>
      </c>
      <c r="E18" s="13">
        <v>42827.208101851851</v>
      </c>
      <c r="F18" s="13">
        <v>42827.216296296298</v>
      </c>
      <c r="G18" s="7">
        <v>1</v>
      </c>
      <c r="H18" s="21" t="s">
        <v>452</v>
      </c>
      <c r="I18" s="13">
        <v>42827.243518518517</v>
      </c>
      <c r="J18" s="7">
        <v>0</v>
      </c>
      <c r="K18" s="97" t="str">
        <f t="shared" si="0"/>
        <v>4013/4014</v>
      </c>
      <c r="L18" s="21" t="str">
        <f>VLOOKUP(A18,'Trips&amp;Operators'!$C$1:$G$99999,5,FALSE)</f>
        <v>DELGADO DIANAH</v>
      </c>
      <c r="M18" s="6">
        <f t="shared" si="1"/>
        <v>2.7222222219279502E-2</v>
      </c>
      <c r="N18" s="7">
        <f t="shared" si="2"/>
        <v>39.199999995762482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-04-02T03:59:40-0600',mode:absolute,to:'2017-04-02T06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23.272600000000001</v>
      </c>
      <c r="Z18" s="62">
        <f t="shared" si="9"/>
        <v>1.3899999999999999E-2</v>
      </c>
      <c r="AA18" s="62">
        <f t="shared" si="10"/>
        <v>23.258700000000001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0106-02</v>
      </c>
      <c r="AE18" s="85" t="str">
        <f t="shared" si="12"/>
        <v>aws s3 cp s3://rtdc.mdm.uploadarchive.raw/RTDC4013/ "%USERPROFILE%\AppData\Local\Temp\OnboardLogs"\RTDC4013\2017-04-02 --exclude "*" --recursive --include "*20170402*" &amp; "%USERPROFILE%\Documents\GitHub\mrs-test-scripts\Headless Mode &amp; Sideloading\WalkAndUnGZ.bat" "%USERPROFILE%\AppData\Local\Temp\OnboardLogs"\RTDC4013\2017-04-02 &amp; 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</v>
      </c>
      <c r="AF18" s="82" t="str">
        <f t="shared" si="13"/>
        <v>"C:\Program Files (x86)\AstroGrep\AstroGrep.exe" /e /r /s /spath="%USERPROFILE%\AppData\Local\Temp\OnboardLogs" /stypes="app*4013*20170402*"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106-02 --locoid 4013 --swversion DE.1.0.9.0 --startMP 204:232726 --initTime 2017-04-02T04:59:40 --startdatetime 2017-04-02T05:11:28 --delay 1 --endMP 204:139 --enddatetime 2017-04-02T05:50:40 --enforcementcount 0 &gt;&gt;C:\Users\stu\Documents\GitHub\eaglep3-reporting\EC\2017-04-02-refined-times.txt</v>
      </c>
      <c r="AI18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{"issue":{"subject":"","project_id":79,"tracker_id":40,"status_id":1,"priority_id":2,"assigned_to_id":23,"start_date":"2017-04-02","description":"","custom_fields":[{"id":1,"name":"Subdivision","value":"EC"},{"id":4,"name":"Milepost","value":"0.0139"},{"id":17,"name":"Train ID","value":"106-02"},{"id":16,"name":"Locomotive ID","value":"4013"},{"id":130,"name":"Impact","value":""},{"id":150,"name":"Time of Event (Mountain Time)","value":"05:50:40"},{"id":151,"name":"Denver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4013 --day 2017-04-02</v>
      </c>
      <c r="AN18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659</v>
      </c>
      <c r="B19" s="7">
        <v>4010</v>
      </c>
      <c r="C19" s="21" t="s">
        <v>217</v>
      </c>
      <c r="D19" s="21" t="s">
        <v>436</v>
      </c>
      <c r="E19" s="13">
        <v>42827.1878125</v>
      </c>
      <c r="F19" s="13">
        <v>42827.191180555557</v>
      </c>
      <c r="G19" s="7">
        <v>1</v>
      </c>
      <c r="H19" s="21" t="s">
        <v>445</v>
      </c>
      <c r="I19" s="13">
        <v>42827.21733796296</v>
      </c>
      <c r="J19" s="7">
        <v>0</v>
      </c>
      <c r="K19" s="97" t="str">
        <f t="shared" si="0"/>
        <v>4009/4010</v>
      </c>
      <c r="L19" s="21" t="str">
        <f>VLOOKUP(A19,'Trips&amp;Operators'!$C$1:$G$99999,5,FALSE)</f>
        <v>DAVIS WENDY</v>
      </c>
      <c r="M19" s="6">
        <f t="shared" si="1"/>
        <v>2.6157407402934041E-2</v>
      </c>
      <c r="N19" s="7">
        <f t="shared" si="2"/>
        <v>37.666666660225019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-04-02T03:30:27-0600',mode:absolute,to:'2017-04-02T06:12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4.6399999999999997E-2</v>
      </c>
      <c r="Z19" s="62">
        <f t="shared" si="9"/>
        <v>23.330100000000002</v>
      </c>
      <c r="AA19" s="62">
        <f t="shared" si="10"/>
        <v>23.283700000000003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0107-02</v>
      </c>
      <c r="AE19" s="85" t="str">
        <f t="shared" si="12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19" s="82" t="str">
        <f t="shared" si="13"/>
        <v>"C:\Program Files (x86)\AstroGrep\AstroGrep.exe" /e /r /s /spath="%USERPROFILE%\AppData\Local\Temp\OnboardLogs" /stypes="app*4010*20170402*"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107-02 --locoid 4010 --swversion DE.1.0.9.0 --startMP 204:464 --initTime 2017-04-02T04:30:27 --startdatetime 2017-04-02T04:35:18 --delay 1 --endMP 204:233301 --enddatetime 2017-04-02T05:12:58 --enforcementcount 0 &gt;&gt;C:\Users\stu\Documents\GitHub\eaglep3-reporting\EC\2017-04-02-refined-times.txt</v>
      </c>
      <c r="AI19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{"issue":{"subject":"","project_id":79,"tracker_id":40,"status_id":1,"priority_id":2,"assigned_to_id":23,"start_date":"2017-04-02","description":"","custom_fields":[{"id":1,"name":"Subdivision","value":"EC"},{"id":4,"name":"Milepost","value":"23.3301"},{"id":17,"name":"Train ID","value":"107-02"},{"id":16,"name":"Locomotive ID","value":"4010"},{"id":130,"name":"Impact","value":""},{"id":150,"name":"Time of Event (Mountain Time)","value":"05:12:58"},{"id":151,"name":"Denver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4010 --day 2017-04-02</v>
      </c>
      <c r="AN19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11:12:58"},{"id":29,"name":"Sharepoint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665</v>
      </c>
      <c r="B20" s="7">
        <v>4009</v>
      </c>
      <c r="C20" s="21" t="s">
        <v>217</v>
      </c>
      <c r="D20" s="21" t="s">
        <v>449</v>
      </c>
      <c r="E20" s="13">
        <v>42827.224548611113</v>
      </c>
      <c r="F20" s="13">
        <v>42827.226539351854</v>
      </c>
      <c r="G20" s="7">
        <v>1</v>
      </c>
      <c r="H20" s="21" t="s">
        <v>200</v>
      </c>
      <c r="I20" s="13">
        <v>42827.255428240744</v>
      </c>
      <c r="J20" s="7">
        <v>0</v>
      </c>
      <c r="K20" s="97" t="str">
        <f t="shared" si="0"/>
        <v>4009/4010</v>
      </c>
      <c r="L20" s="21" t="str">
        <f>VLOOKUP(A20,'Trips&amp;Operators'!$C$1:$G$99999,5,FALSE)</f>
        <v>DAVIS WENDY</v>
      </c>
      <c r="M20" s="6">
        <f t="shared" si="1"/>
        <v>2.8888888889923692E-2</v>
      </c>
      <c r="N20" s="7">
        <f t="shared" si="2"/>
        <v>41.600000001490116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-04-02T04:23:21-0600',mode:absolute,to:'2017-04-02T07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23.298200000000001</v>
      </c>
      <c r="Z20" s="62">
        <f t="shared" si="9"/>
        <v>1.5800000000000002E-2</v>
      </c>
      <c r="AA20" s="62">
        <f t="shared" si="10"/>
        <v>23.282400000000003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0108-02</v>
      </c>
      <c r="AE20" s="85" t="str">
        <f t="shared" si="12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20" s="82" t="str">
        <f t="shared" si="13"/>
        <v>"C:\Program Files (x86)\AstroGrep\AstroGrep.exe" /e /r /s /spath="%USERPROFILE%\AppData\Local\Temp\OnboardLogs" /stypes="app*4009*20170402*"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108-02 --locoid 4009 --swversion DE.1.0.9.0 --startMP 204:232982 --initTime 2017-04-02T05:23:21 --startdatetime 2017-04-02T05:26:13 --delay 1 --endMP 204:158 --enddatetime 2017-04-02T06:07:49 --enforcementcount 0 &gt;&gt;C:\Users\stu\Documents\GitHub\eaglep3-reporting\EC\2017-04-02-refined-times.txt</v>
      </c>
      <c r="AI20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{"issue":{"subject":"","project_id":79,"tracker_id":40,"status_id":1,"priority_id":2,"assigned_to_id":23,"start_date":"2017-04-02","description":"","custom_fields":[{"id":1,"name":"Subdivision","value":"EC"},{"id":4,"name":"Milepost","value":"0.0158"},{"id":17,"name":"Train ID","value":"108-02"},{"id":16,"name":"Locomotive ID","value":"4009"},{"id":130,"name":"Impact","value":""},{"id":150,"name":"Time of Event (Mountain Time)","value":"06:07:49"},{"id":151,"name":"Denver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4009 --day 2017-04-02</v>
      </c>
      <c r="AN20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660</v>
      </c>
      <c r="B21" s="7">
        <v>4011</v>
      </c>
      <c r="C21" s="21" t="s">
        <v>217</v>
      </c>
      <c r="D21" s="21" t="s">
        <v>475</v>
      </c>
      <c r="E21" s="13">
        <v>42827.194421296299</v>
      </c>
      <c r="F21" s="13">
        <v>42827.198067129626</v>
      </c>
      <c r="G21" s="7">
        <v>1</v>
      </c>
      <c r="H21" s="21" t="s">
        <v>454</v>
      </c>
      <c r="I21" s="13">
        <v>42827.224374999998</v>
      </c>
      <c r="J21" s="7">
        <v>0</v>
      </c>
      <c r="K21" s="97" t="str">
        <f t="shared" si="0"/>
        <v>4011/4012</v>
      </c>
      <c r="L21" s="21" t="str">
        <f>VLOOKUP(A21,'Trips&amp;Operators'!$C$1:$G$99999,5,FALSE)</f>
        <v>ROBINSON KADDIBA</v>
      </c>
      <c r="M21" s="6">
        <f t="shared" si="1"/>
        <v>2.6307870371965691E-2</v>
      </c>
      <c r="N21" s="7">
        <f t="shared" si="2"/>
        <v>37.883333335630596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-04-02T03:39:58-0600',mode:absolute,to:'2017-04-02T06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4.6199999999999998E-2</v>
      </c>
      <c r="Z21" s="62">
        <f t="shared" si="9"/>
        <v>23.331700000000001</v>
      </c>
      <c r="AA21" s="62">
        <f t="shared" si="10"/>
        <v>23.285500000000003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0109-02</v>
      </c>
      <c r="AE21" s="85" t="str">
        <f t="shared" si="12"/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21" s="82" t="str">
        <f t="shared" si="13"/>
        <v>"C:\Program Files (x86)\AstroGrep\AstroGrep.exe" /e /r /s /spath="%USERPROFILE%\AppData\Local\Temp\OnboardLogs" /stypes="app*4011*20170402*"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109-02 --locoid 4011 --swversion DE.1.0.9.0 --startMP 204:462 --initTime 2017-04-02T04:39:58 --startdatetime 2017-04-02T04:45:13 --delay 1 --endMP 204:233317 --enddatetime 2017-04-02T05:23:06 --enforcementcount 0 &gt;&gt;C:\Users\stu\Documents\GitHub\eaglep3-reporting\EC\2017-04-02-refined-times.txt</v>
      </c>
      <c r="AI21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{"issue":{"subject":"","project_id":79,"tracker_id":40,"status_id":1,"priority_id":2,"assigned_to_id":23,"start_date":"2017-04-02","description":"","custom_fields":[{"id":1,"name":"Subdivision","value":"EC"},{"id":4,"name":"Milepost","value":"23.3317"},{"id":17,"name":"Train ID","value":"109-02"},{"id":16,"name":"Locomotive ID","value":"4011"},{"id":130,"name":"Impact","value":""},{"id":150,"name":"Time of Event (Mountain Time)","value":"05:23:06"},{"id":151,"name":"Denver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4011 --day 2017-04-02</v>
      </c>
      <c r="AN21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669</v>
      </c>
      <c r="B22" s="7">
        <v>4012</v>
      </c>
      <c r="C22" s="21" t="s">
        <v>217</v>
      </c>
      <c r="D22" s="21" t="s">
        <v>484</v>
      </c>
      <c r="E22" s="13">
        <v>42827.233101851853</v>
      </c>
      <c r="F22" s="13">
        <v>42827.237025462964</v>
      </c>
      <c r="G22" s="7">
        <v>1</v>
      </c>
      <c r="H22" s="21" t="s">
        <v>184</v>
      </c>
      <c r="I22" s="13">
        <v>42827.265034722222</v>
      </c>
      <c r="J22" s="7">
        <v>0</v>
      </c>
      <c r="K22" s="97" t="str">
        <f t="shared" si="0"/>
        <v>4011/4012</v>
      </c>
      <c r="L22" s="21" t="str">
        <f>VLOOKUP(A22,'Trips&amp;Operators'!$C$1:$G$99999,5,FALSE)</f>
        <v>ROBINSON KADDIBA</v>
      </c>
      <c r="M22" s="6">
        <f t="shared" si="1"/>
        <v>2.8009259258396924E-2</v>
      </c>
      <c r="N22" s="7">
        <f t="shared" si="2"/>
        <v>40.33333333209157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-04-02T04:35:40-0600',mode:absolute,to:'2017-04-02T07:21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23.299299999999999</v>
      </c>
      <c r="Z22" s="62">
        <f t="shared" si="9"/>
        <v>1.49E-2</v>
      </c>
      <c r="AA22" s="62">
        <f t="shared" si="10"/>
        <v>23.284399999999998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0110-02</v>
      </c>
      <c r="AE22" s="85" t="str">
        <f t="shared" si="12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22" s="82" t="str">
        <f t="shared" si="13"/>
        <v>"C:\Program Files (x86)\AstroGrep\AstroGrep.exe" /e /r /s /spath="%USERPROFILE%\AppData\Local\Temp\OnboardLogs" /stypes="app*4012*20170402*"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110-02 --locoid 4012 --swversion DE.1.0.9.0 --startMP 204:232993 --initTime 2017-04-02T05:35:40 --startdatetime 2017-04-02T05:41:19 --delay 1 --endMP 204:149 --enddatetime 2017-04-02T06:21:39 --enforcementcount 0 &gt;&gt;C:\Users\stu\Documents\GitHub\eaglep3-reporting\EC\2017-04-02-refined-times.txt</v>
      </c>
      <c r="AI22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{"issue":{"subject":"","project_id":79,"tracker_id":40,"status_id":1,"priority_id":2,"assigned_to_id":23,"start_date":"2017-04-02","description":"","custom_fields":[{"id":1,"name":"Subdivision","value":"EC"},{"id":4,"name":"Milepost","value":"0.0149"},{"id":17,"name":"Train ID","value":"110-02"},{"id":16,"name":"Locomotive ID","value":"4012"},{"id":130,"name":"Impact","value":""},{"id":150,"name":"Time of Event (Mountain Time)","value":"06:21:39"},{"id":151,"name":"Denver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4012 --day 2017-04-02</v>
      </c>
      <c r="AN22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661</v>
      </c>
      <c r="B23" s="7">
        <v>4016</v>
      </c>
      <c r="C23" s="21" t="s">
        <v>217</v>
      </c>
      <c r="D23" s="21" t="s">
        <v>570</v>
      </c>
      <c r="E23" s="13">
        <v>42827.203553240739</v>
      </c>
      <c r="F23" s="13">
        <v>42827.208657407406</v>
      </c>
      <c r="G23" s="7">
        <v>1</v>
      </c>
      <c r="H23" s="21" t="s">
        <v>593</v>
      </c>
      <c r="I23" s="13">
        <v>42827.232881944445</v>
      </c>
      <c r="J23" s="7">
        <v>0</v>
      </c>
      <c r="K23" s="97" t="str">
        <f t="shared" si="0"/>
        <v>4015/4016</v>
      </c>
      <c r="L23" s="21" t="str">
        <f>VLOOKUP(A23,'Trips&amp;Operators'!$C$1:$G$99999,5,FALSE)</f>
        <v>GEBRETEKLE DAGNEW</v>
      </c>
      <c r="M23" s="6">
        <f t="shared" si="1"/>
        <v>2.4224537039117422E-2</v>
      </c>
      <c r="N23" s="7">
        <f t="shared" si="2"/>
        <v>34.883333336329088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-04-02T03:53:07-0600',mode:absolute,to:'2017-04-02T06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7.3499999999999996E-2</v>
      </c>
      <c r="Z23" s="62">
        <f t="shared" si="9"/>
        <v>23.332000000000001</v>
      </c>
      <c r="AA23" s="62">
        <f t="shared" si="10"/>
        <v>23.258500000000002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0111-02</v>
      </c>
      <c r="AE23" s="85" t="str">
        <f t="shared" si="12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23" s="82" t="str">
        <f t="shared" si="13"/>
        <v>"C:\Program Files (x86)\AstroGrep\AstroGrep.exe" /e /r /s /spath="%USERPROFILE%\AppData\Local\Temp\OnboardLogs" /stypes="app*4016*20170402*"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111-02 --locoid 4016 --swversion DE.1.0.9.0 --startMP 204:735 --initTime 2017-04-02T04:53:07 --startdatetime 2017-04-02T05:00:28 --delay 1 --endMP 204:233320 --enddatetime 2017-04-02T05:35:21 --enforcementcount 0 &gt;&gt;C:\Users\stu\Documents\GitHub\eaglep3-reporting\EC\2017-04-02-refined-times.txt</v>
      </c>
      <c r="AI23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{"issue":{"subject":"","project_id":79,"tracker_id":40,"status_id":1,"priority_id":2,"assigned_to_id":23,"start_date":"2017-04-02","description":"","custom_fields":[{"id":1,"name":"Subdivision","value":"EC"},{"id":4,"name":"Milepost","value":"23.332"},{"id":17,"name":"Train ID","value":"111-02"},{"id":16,"name":"Locomotive ID","value":"4016"},{"id":130,"name":"Impact","value":""},{"id":150,"name":"Time of Event (Mountain Time)","value":"05:35:21"},{"id":151,"name":"Denver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4016 --day 2017-04-02</v>
      </c>
      <c r="AN23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670</v>
      </c>
      <c r="B24" s="7">
        <v>4015</v>
      </c>
      <c r="C24" s="21" t="s">
        <v>217</v>
      </c>
      <c r="D24" s="21" t="s">
        <v>840</v>
      </c>
      <c r="E24" s="13">
        <v>42827.234432870369</v>
      </c>
      <c r="F24" s="13">
        <v>42827.247395833336</v>
      </c>
      <c r="G24" s="7">
        <v>1</v>
      </c>
      <c r="H24" s="21" t="s">
        <v>595</v>
      </c>
      <c r="I24" s="13">
        <v>42827.273888888885</v>
      </c>
      <c r="J24" s="7">
        <v>0</v>
      </c>
      <c r="K24" s="97" t="str">
        <f t="shared" si="0"/>
        <v>4015/4016</v>
      </c>
      <c r="L24" s="21" t="str">
        <f>VLOOKUP(A24,'Trips&amp;Operators'!$C$1:$G$99999,5,FALSE)</f>
        <v>GEBRETEKLE DAGNEW</v>
      </c>
      <c r="M24" s="6">
        <f t="shared" si="1"/>
        <v>2.6493055549508426E-2</v>
      </c>
      <c r="N24" s="7">
        <f t="shared" si="2"/>
        <v>38.149999991292134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-04-02T04:37:35-0600',mode:absolute,to:'2017-04-02T07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23.300699999999999</v>
      </c>
      <c r="Z24" s="62">
        <f t="shared" si="9"/>
        <v>1.7000000000000001E-2</v>
      </c>
      <c r="AA24" s="62">
        <f t="shared" si="10"/>
        <v>23.2837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0112-02</v>
      </c>
      <c r="AE24" s="85" t="str">
        <f t="shared" si="12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24" s="82" t="str">
        <f t="shared" si="13"/>
        <v>"C:\Program Files (x86)\AstroGrep\AstroGrep.exe" /e /r /s /spath="%USERPROFILE%\AppData\Local\Temp\OnboardLogs" /stypes="app*4015*20170402*"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112-02 --locoid 4015 --swversion DE.1.0.9.0 --startMP 204:233007 --initTime 2017-04-02T05:37:35 --startdatetime 2017-04-02T05:56:15 --delay 1 --endMP 204:170 --enddatetime 2017-04-02T06:34:24 --enforcementcount 0 &gt;&gt;C:\Users\stu\Documents\GitHub\eaglep3-reporting\EC\2017-04-02-refined-times.txt</v>
      </c>
      <c r="AI24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{"issue":{"subject":"","project_id":79,"tracker_id":40,"status_id":1,"priority_id":2,"assigned_to_id":23,"start_date":"2017-04-02","description":"","custom_fields":[{"id":1,"name":"Subdivision","value":"EC"},{"id":4,"name":"Milepost","value":"0.017"},{"id":17,"name":"Train ID","value":"112-02"},{"id":16,"name":"Locomotive ID","value":"4015"},{"id":130,"name":"Impact","value":""},{"id":150,"name":"Time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4015 --day 2017-04-02</v>
      </c>
      <c r="AN24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663</v>
      </c>
      <c r="B25" s="7">
        <v>4020</v>
      </c>
      <c r="C25" s="21" t="s">
        <v>217</v>
      </c>
      <c r="D25" s="21" t="s">
        <v>458</v>
      </c>
      <c r="E25" s="13">
        <v>42827.210381944446</v>
      </c>
      <c r="F25" s="13">
        <v>42827.219166666669</v>
      </c>
      <c r="G25" s="7">
        <v>1</v>
      </c>
      <c r="H25" s="21" t="s">
        <v>425</v>
      </c>
      <c r="I25" s="13">
        <v>42827.24486111111</v>
      </c>
      <c r="J25" s="7">
        <v>0</v>
      </c>
      <c r="K25" s="97" t="str">
        <f t="shared" si="0"/>
        <v>4019/4020</v>
      </c>
      <c r="L25" s="21" t="str">
        <f>VLOOKUP(A25,'Trips&amp;Operators'!$C$1:$G$99999,5,FALSE)</f>
        <v>SANTIZO D. EDY</v>
      </c>
      <c r="M25" s="6">
        <f t="shared" si="1"/>
        <v>2.569444444088731E-2</v>
      </c>
      <c r="N25" s="7">
        <f t="shared" si="2"/>
        <v>36.999999994877726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-04-02T04:02:57-0600',mode:absolute,to:'2017-04-02T06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4.4699999999999997E-2</v>
      </c>
      <c r="Z25" s="62">
        <f t="shared" si="9"/>
        <v>23.331399999999999</v>
      </c>
      <c r="AA25" s="62">
        <f t="shared" si="10"/>
        <v>23.2867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0113-02</v>
      </c>
      <c r="AE25" s="85" t="str">
        <f t="shared" si="12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25" s="82" t="str">
        <f t="shared" si="13"/>
        <v>"C:\Program Files (x86)\AstroGrep\AstroGrep.exe" /e /r /s /spath="%USERPROFILE%\AppData\Local\Temp\OnboardLogs" /stypes="app*4020*20170402*"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113-02 --locoid 4020 --swversion DE.1.0.9.0 --startMP 204:447 --initTime 2017-04-02T05:02:57 --startdatetime 2017-04-02T05:15:36 --delay 1 --endMP 204:233314 --enddatetime 2017-04-02T05:52:36 --enforcementcount 0 &gt;&gt;C:\Users\stu\Documents\GitHub\eaglep3-reporting\EC\2017-04-02-refined-times.txt</v>
      </c>
      <c r="AI25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{"issue":{"subject":"","project_id":79,"tracker_id":40,"status_id":1,"priority_id":2,"assigned_to_id":23,"start_date":"2017-04-02","description":"","custom_fields":[{"id":1,"name":"Subdivision","value":"EC"},{"id":4,"name":"Milepost","value":"23.3314"},{"id":17,"name":"Train ID","value":"113-02"},{"id":16,"name":"Locomotive ID","value":"4020"},{"id":130,"name":"Impact","value":""},{"id":150,"name":"Time of Event (Mountain Time)","value":"05:52:36"},{"id":151,"name":"Denver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4020 --day 2017-04-02</v>
      </c>
      <c r="AN25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673</v>
      </c>
      <c r="B26" s="7">
        <v>4019</v>
      </c>
      <c r="C26" s="21" t="s">
        <v>217</v>
      </c>
      <c r="D26" s="21" t="s">
        <v>594</v>
      </c>
      <c r="E26" s="13">
        <v>42827.248472222222</v>
      </c>
      <c r="F26" s="13">
        <v>42827.257835648146</v>
      </c>
      <c r="G26" s="7">
        <v>0</v>
      </c>
      <c r="H26" s="21" t="s">
        <v>191</v>
      </c>
      <c r="I26" s="13">
        <v>42827.283645833333</v>
      </c>
      <c r="J26" s="7">
        <v>0</v>
      </c>
      <c r="K26" s="97" t="str">
        <f t="shared" si="0"/>
        <v>4019/4020</v>
      </c>
      <c r="L26" s="21" t="str">
        <f>VLOOKUP(A26,'Trips&amp;Operators'!$C$1:$G$99999,5,FALSE)</f>
        <v>SANTIZO D. EDY</v>
      </c>
      <c r="M26" s="6">
        <f t="shared" si="1"/>
        <v>2.5810185186855961E-2</v>
      </c>
      <c r="N26" s="7">
        <f t="shared" si="2"/>
        <v>37.166666669072583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-04-02T04:57:48-0600',mode:absolute,to:'2017-04-02T07:48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23.299800000000001</v>
      </c>
      <c r="Z26" s="62">
        <f t="shared" si="9"/>
        <v>1.4999999999999999E-2</v>
      </c>
      <c r="AA26" s="62">
        <f t="shared" si="10"/>
        <v>23.284800000000001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0114-02</v>
      </c>
      <c r="AE26" s="85" t="str">
        <f t="shared" si="12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26" s="82" t="str">
        <f t="shared" si="13"/>
        <v>"C:\Program Files (x86)\AstroGrep\AstroGrep.exe" /e /r /s /spath="%USERPROFILE%\AppData\Local\Temp\OnboardLogs" /stypes="app*4019*20170402*"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114-02 --locoid 4019 --swversion DE.1.0.9.0 --startMP 204:232998 --initTime 2017-04-02T05:57:48 --startdatetime 2017-04-02T06:11:17 --delay 0 --endMP 204:150 --enddatetime 2017-04-02T06:48:27 --enforcementcount 0 &gt;&gt;C:\Users\stu\Documents\GitHub\eaglep3-reporting\EC\2017-04-02-refined-times.txt</v>
      </c>
      <c r="AI26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{"issue":{"subject":"","project_id":79,"tracker_id":40,"status_id":1,"priority_id":2,"assigned_to_id":23,"start_date":"2017-04-02","description":"","custom_fields":[{"id":1,"name":"Subdivision","value":"EC"},{"id":4,"name":"Milepost","value":"0.015"},{"id":17,"name":"Train ID","value":"114-02"},{"id":16,"name":"Locomotive ID","value":"4019"},{"id":130,"name":"Impact","value":""},{"id":150,"name":"Time of Event (Mountain Time)","value":"06:48:27"},{"id":151,"name":"Denver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4019 --day 2017-04-02</v>
      </c>
      <c r="AN26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12:48:27"},{"id":29,"name":"Sharepoint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667</v>
      </c>
      <c r="B27" s="7">
        <v>4002</v>
      </c>
      <c r="C27" s="21" t="s">
        <v>217</v>
      </c>
      <c r="D27" s="21" t="s">
        <v>841</v>
      </c>
      <c r="E27" s="13">
        <v>42827.228217592594</v>
      </c>
      <c r="F27" s="13">
        <v>42827.229861111111</v>
      </c>
      <c r="G27" s="7">
        <v>1</v>
      </c>
      <c r="H27" s="21" t="s">
        <v>579</v>
      </c>
      <c r="I27" s="13">
        <v>42827.255520833336</v>
      </c>
      <c r="J27" s="7">
        <v>0</v>
      </c>
      <c r="K27" s="97" t="str">
        <f t="shared" si="0"/>
        <v>4001/4002</v>
      </c>
      <c r="L27" s="21" t="str">
        <f>VLOOKUP(A27,'Trips&amp;Operators'!$C$1:$G$99999,5,FALSE)</f>
        <v>SHOOK JOHN</v>
      </c>
      <c r="M27" s="6">
        <f t="shared" si="1"/>
        <v>2.5659722225100268E-2</v>
      </c>
      <c r="N27" s="7">
        <f t="shared" si="2"/>
        <v>36.950000004144385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-04-02T04:28:38-0600',mode:absolute,to:'2017-04-02T07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7.5899999999999995E-2</v>
      </c>
      <c r="Z27" s="62">
        <f t="shared" si="9"/>
        <v>23.3324</v>
      </c>
      <c r="AA27" s="62">
        <f t="shared" si="10"/>
        <v>23.256499999999999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0115-02</v>
      </c>
      <c r="AE27" s="85" t="str">
        <f t="shared" si="12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27" s="82" t="str">
        <f t="shared" si="13"/>
        <v>"C:\Program Files (x86)\AstroGrep\AstroGrep.exe" /e /r /s /spath="%USERPROFILE%\AppData\Local\Temp\OnboardLogs" /stypes="app*4002*20170402*"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115-02 --locoid 4002 --swversion DE.1.0.9.0 --startMP 204:759 --initTime 2017-04-02T05:28:38 --startdatetime 2017-04-02T05:31:00 --delay 1 --endMP 204:233324 --enddatetime 2017-04-02T06:07:57 --enforcementcount 0 &gt;&gt;C:\Users\stu\Documents\GitHub\eaglep3-reporting\EC\2017-04-02-refined-times.txt</v>
      </c>
      <c r="AI27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{"issue":{"subject":"","project_id":79,"tracker_id":40,"status_id":1,"priority_id":2,"assigned_to_id":23,"start_date":"2017-04-02","description":"","custom_fields":[{"id":1,"name":"Subdivision","value":"EC"},{"id":4,"name":"Milepost","value":"23.3324"},{"id":17,"name":"Train ID","value":"115-02"},{"id":16,"name":"Locomotive ID","value":"4002"},{"id":130,"name":"Impact","value":""},{"id":150,"name":"Time of Event (Mountain Time)","value":"06:07:57"},{"id":151,"name":"Denver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4002 --day 2017-04-02</v>
      </c>
      <c r="AN27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674</v>
      </c>
      <c r="B28" s="7">
        <v>4001</v>
      </c>
      <c r="C28" s="21" t="s">
        <v>217</v>
      </c>
      <c r="D28" s="21" t="s">
        <v>512</v>
      </c>
      <c r="E28" s="13">
        <v>42827.257245370369</v>
      </c>
      <c r="F28" s="13">
        <v>42827.268229166664</v>
      </c>
      <c r="G28" s="7">
        <v>1</v>
      </c>
      <c r="H28" s="21" t="s">
        <v>191</v>
      </c>
      <c r="I28" s="13">
        <v>42827.296458333331</v>
      </c>
      <c r="J28" s="7">
        <v>0</v>
      </c>
      <c r="K28" s="97" t="str">
        <f t="shared" si="0"/>
        <v>4001/4002</v>
      </c>
      <c r="L28" s="21" t="str">
        <f>VLOOKUP(A28,'Trips&amp;Operators'!$C$1:$G$99999,5,FALSE)</f>
        <v>SHOOK JOHN</v>
      </c>
      <c r="M28" s="6">
        <f t="shared" si="1"/>
        <v>2.8229166666278616E-2</v>
      </c>
      <c r="N28" s="7">
        <f t="shared" si="2"/>
        <v>40.649999999441206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-04-02T05:10:26-0600',mode:absolute,to:'2017-04-02T08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23.2986</v>
      </c>
      <c r="Z28" s="62">
        <f t="shared" si="9"/>
        <v>1.4999999999999999E-2</v>
      </c>
      <c r="AA28" s="62">
        <f t="shared" si="10"/>
        <v>23.2836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0116-02</v>
      </c>
      <c r="AE28" s="85" t="str">
        <f t="shared" si="12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28" s="82" t="str">
        <f t="shared" si="13"/>
        <v>"C:\Program Files (x86)\AstroGrep\AstroGrep.exe" /e /r /s /spath="%USERPROFILE%\AppData\Local\Temp\OnboardLogs" /stypes="app*4001*20170402*"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116-02 --locoid 4001 --swversion DE.1.0.9.0 --startMP 204:232986 --initTime 2017-04-02T06:10:26 --startdatetime 2017-04-02T06:26:15 --delay 1 --endMP 204:150 --enddatetime 2017-04-02T07:06:54 --enforcementcount 0 &gt;&gt;C:\Users\stu\Documents\GitHub\eaglep3-reporting\EC\2017-04-02-refined-times.txt</v>
      </c>
      <c r="AI28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{"issue":{"subject":"","project_id":79,"tracker_id":40,"status_id":1,"priority_id":2,"assigned_to_id":23,"start_date":"2017-04-02","description":"","custom_fields":[{"id":1,"name":"Subdivision","value":"EC"},{"id":4,"name":"Milepost","value":"0.015"},{"id":17,"name":"Train ID","value":"116-02"},{"id":16,"name":"Locomotive ID","value":"4001"},{"id":130,"name":"Impact","value":""},{"id":150,"name":"Time of Event (Mountain Time)","value":"07:06:54"},{"id":151,"name":"Denver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4001 --day 2017-04-02</v>
      </c>
      <c r="AN28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668</v>
      </c>
      <c r="B29" s="7">
        <v>4025</v>
      </c>
      <c r="C29" s="21" t="s">
        <v>217</v>
      </c>
      <c r="D29" s="21" t="s">
        <v>206</v>
      </c>
      <c r="E29" s="13">
        <v>42827.230740740742</v>
      </c>
      <c r="F29" s="13">
        <v>42827.239849537036</v>
      </c>
      <c r="G29" s="7">
        <v>1</v>
      </c>
      <c r="H29" s="21" t="s">
        <v>493</v>
      </c>
      <c r="I29" s="13">
        <v>42827.264907407407</v>
      </c>
      <c r="J29" s="7">
        <v>0</v>
      </c>
      <c r="K29" s="97" t="str">
        <f t="shared" si="0"/>
        <v>4025/4026</v>
      </c>
      <c r="L29" s="21" t="str">
        <f>VLOOKUP(A29,'Trips&amp;Operators'!$C$1:$G$99999,5,FALSE)</f>
        <v>MAELZER KURT</v>
      </c>
      <c r="M29" s="6">
        <f t="shared" si="1"/>
        <v>2.5057870370801538E-2</v>
      </c>
      <c r="N29" s="7">
        <f t="shared" si="2"/>
        <v>36.083333333954215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-04-02T04:32:16-0600',mode:absolute,to:'2017-04-02T07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4.5100000000000001E-2</v>
      </c>
      <c r="Z29" s="62">
        <f t="shared" si="9"/>
        <v>23.3308</v>
      </c>
      <c r="AA29" s="62">
        <f t="shared" si="10"/>
        <v>23.285699999999999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0117-02</v>
      </c>
      <c r="AE29" s="85" t="str">
        <f t="shared" si="12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29" s="82" t="str">
        <f t="shared" si="13"/>
        <v>"C:\Program Files (x86)\AstroGrep\AstroGrep.exe" /e /r /s /spath="%USERPROFILE%\AppData\Local\Temp\OnboardLogs" /stypes="app*4025*20170402*"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117-02 --locoid 4025 --swversion DE.1.0.9.0 --startMP 204:451 --initTime 2017-04-02T05:32:16 --startdatetime 2017-04-02T05:45:23 --delay 1 --endMP 204:233308 --enddatetime 2017-04-02T06:21:28 --enforcementcount 0 &gt;&gt;C:\Users\stu\Documents\GitHub\eaglep3-reporting\EC\2017-04-02-refined-times.txt</v>
      </c>
      <c r="AI29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{"issue":{"subject":"","project_id":79,"tracker_id":40,"status_id":1,"priority_id":2,"assigned_to_id":23,"start_date":"2017-04-02","description":"","custom_fields":[{"id":1,"name":"Subdivision","value":"EC"},{"id":4,"name":"Milepost","value":"23.3308"},{"id":17,"name":"Train ID","value":"117-02"},{"id":16,"name":"Locomotive ID","value":"4025"},{"id":130,"name":"Impact","value":""},{"id":150,"name":"Time of Event (Mountain Time)","value":"06:21:28"},{"id":151,"name":"Denver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4025 --day 2017-04-02</v>
      </c>
      <c r="AN29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677</v>
      </c>
      <c r="B30" s="7">
        <v>4026</v>
      </c>
      <c r="C30" s="21" t="s">
        <v>217</v>
      </c>
      <c r="D30" s="21" t="s">
        <v>491</v>
      </c>
      <c r="E30" s="13">
        <v>42827.27375</v>
      </c>
      <c r="F30" s="13">
        <v>42827.278784722221</v>
      </c>
      <c r="G30" s="7">
        <v>1</v>
      </c>
      <c r="H30" s="21" t="s">
        <v>184</v>
      </c>
      <c r="I30" s="13">
        <v>42827.306018518517</v>
      </c>
      <c r="J30" s="7">
        <v>0</v>
      </c>
      <c r="K30" s="97" t="str">
        <f t="shared" si="0"/>
        <v>4025/4026</v>
      </c>
      <c r="L30" s="21" t="str">
        <f>VLOOKUP(A30,'Trips&amp;Operators'!$C$1:$G$99999,5,FALSE)</f>
        <v>MAELZER KURT</v>
      </c>
      <c r="M30" s="6">
        <f t="shared" si="1"/>
        <v>2.7233796296059154E-2</v>
      </c>
      <c r="N30" s="7">
        <f t="shared" si="2"/>
        <v>39.216666666325182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-04-02T05:34:12-0600',mode:absolute,to:'2017-04-02T08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23.2989</v>
      </c>
      <c r="Z30" s="62">
        <f t="shared" si="9"/>
        <v>1.49E-2</v>
      </c>
      <c r="AA30" s="62">
        <f t="shared" si="10"/>
        <v>23.283999999999999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0118-02</v>
      </c>
      <c r="AE30" s="85" t="str">
        <f t="shared" si="12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30" s="82" t="str">
        <f t="shared" si="13"/>
        <v>"C:\Program Files (x86)\AstroGrep\AstroGrep.exe" /e /r /s /spath="%USERPROFILE%\AppData\Local\Temp\OnboardLogs" /stypes="app*4026*20170402*"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118-02 --locoid 4026 --swversion DE.1.0.9.0 --startMP 204:232989 --initTime 2017-04-02T06:34:12 --startdatetime 2017-04-02T06:41:27 --delay 1 --endMP 204:149 --enddatetime 2017-04-02T07:20:40 --enforcementcount 0 &gt;&gt;C:\Users\stu\Documents\GitHub\eaglep3-reporting\EC\2017-04-02-refined-times.txt</v>
      </c>
      <c r="AI30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{"issue":{"subject":"","project_id":79,"tracker_id":40,"status_id":1,"priority_id":2,"assigned_to_id":23,"start_date":"2017-04-02","description":"","custom_fields":[{"id":1,"name":"Subdivision","value":"EC"},{"id":4,"name":"Milepost","value":"0.0149"},{"id":17,"name":"Train ID","value":"118-02"},{"id":16,"name":"Locomotive ID","value":"4026"},{"id":130,"name":"Impact","value":""},{"id":150,"name":"Time of Event (Mountain Time)","value":"07:20:40"},{"id":151,"name":"Denver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4026 --day 2017-04-02</v>
      </c>
      <c r="AN30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671</v>
      </c>
      <c r="B31" s="7">
        <v>4054</v>
      </c>
      <c r="C31" s="21" t="s">
        <v>217</v>
      </c>
      <c r="D31" s="21" t="s">
        <v>842</v>
      </c>
      <c r="E31" s="13">
        <v>42827.246076388888</v>
      </c>
      <c r="F31" s="13">
        <v>42827.250219907408</v>
      </c>
      <c r="G31" s="7">
        <v>1</v>
      </c>
      <c r="H31" s="21" t="s">
        <v>843</v>
      </c>
      <c r="I31" s="13">
        <v>42827.274907407409</v>
      </c>
      <c r="J31" s="7">
        <v>0</v>
      </c>
      <c r="K31" s="97" t="str">
        <f t="shared" si="0"/>
        <v>4053/4054</v>
      </c>
      <c r="L31" s="21" t="str">
        <f>VLOOKUP(A31,'Trips&amp;Operators'!$C$1:$G$99999,5,FALSE)</f>
        <v>LOPES KIMBERLY</v>
      </c>
      <c r="M31" s="6">
        <f t="shared" si="1"/>
        <v>2.4687500001164153E-2</v>
      </c>
      <c r="N31" s="7">
        <f t="shared" si="2"/>
        <v>35.550000001676381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-04-02T04:54:21-0600',mode:absolute,to:'2017-04-02T07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7.3899999999999993E-2</v>
      </c>
      <c r="Z31" s="62">
        <f t="shared" si="9"/>
        <v>23.330500000000001</v>
      </c>
      <c r="AA31" s="62">
        <f t="shared" si="10"/>
        <v>23.256600000000002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0119-02</v>
      </c>
      <c r="AE31" s="85" t="str">
        <f t="shared" si="12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31" s="82" t="str">
        <f t="shared" si="13"/>
        <v>"C:\Program Files (x86)\AstroGrep\AstroGrep.exe" /e /r /s /spath="%USERPROFILE%\AppData\Local\Temp\OnboardLogs" /stypes="app*4054*20170402*"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119-02 --locoid 4054 --swversion DE.1.0.9.0 --startMP 204:739 --initTime 2017-04-02T05:54:21 --startdatetime 2017-04-02T06:00:19 --delay 1 --endMP 204:233305 --enddatetime 2017-04-02T06:35:52 --enforcementcount 0 &gt;&gt;C:\Users\stu\Documents\GitHub\eaglep3-reporting\EC\2017-04-02-refined-times.txt</v>
      </c>
      <c r="AI31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{"issue":{"subject":"","project_id":79,"tracker_id":40,"status_id":1,"priority_id":2,"assigned_to_id":23,"start_date":"2017-04-02","description":"","custom_fields":[{"id":1,"name":"Subdivision","value":"EC"},{"id":4,"name":"Milepost","value":"23.3305"},{"id":17,"name":"Train ID","value":"119-02"},{"id":16,"name":"Locomotive ID","value":"4054"},{"id":130,"name":"Impact","value":""},{"id":150,"name":"Time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4054 --day 2017-04-02</v>
      </c>
      <c r="AN31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610</v>
      </c>
      <c r="B32" s="7">
        <v>4053</v>
      </c>
      <c r="C32" s="21" t="s">
        <v>217</v>
      </c>
      <c r="D32" s="21" t="s">
        <v>486</v>
      </c>
      <c r="E32" s="13">
        <v>42827.280775462961</v>
      </c>
      <c r="F32" s="13">
        <v>42827.289293981485</v>
      </c>
      <c r="G32" s="7">
        <v>1</v>
      </c>
      <c r="H32" s="21" t="s">
        <v>191</v>
      </c>
      <c r="I32" s="13">
        <v>42827.316122685188</v>
      </c>
      <c r="J32" s="7">
        <v>0</v>
      </c>
      <c r="K32" s="97" t="str">
        <f t="shared" si="0"/>
        <v>4053/4054</v>
      </c>
      <c r="L32" s="21" t="str">
        <f>VLOOKUP(A32,'Trips&amp;Operators'!$C$1:$G$99999,5,FALSE)</f>
        <v>LOPES KIMBERLY</v>
      </c>
      <c r="M32" s="6">
        <f t="shared" si="1"/>
        <v>2.6828703703358769E-2</v>
      </c>
      <c r="N32" s="7">
        <f t="shared" si="2"/>
        <v>38.633333332836628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-04-02T05:44:19-0600',mode:absolute,to:'2017-04-02T08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23.297799999999999</v>
      </c>
      <c r="Z32" s="62">
        <f t="shared" si="9"/>
        <v>1.4999999999999999E-2</v>
      </c>
      <c r="AA32" s="62">
        <f t="shared" si="10"/>
        <v>23.282799999999998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0120-02</v>
      </c>
      <c r="AE32" s="85" t="str">
        <f t="shared" si="12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32" s="82" t="str">
        <f t="shared" si="13"/>
        <v>"C:\Program Files (x86)\AstroGrep\AstroGrep.exe" /e /r /s /spath="%USERPROFILE%\AppData\Local\Temp\OnboardLogs" /stypes="app*4053*20170402*"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120-02 --locoid 4053 --swversion DE.1.0.9.0 --startMP 204:232978 --initTime 2017-04-02T06:44:19 --startdatetime 2017-04-02T06:56:35 --delay 1 --endMP 204:150 --enddatetime 2017-04-02T07:35:13 --enforcementcount 0 &gt;&gt;C:\Users\stu\Documents\GitHub\eaglep3-reporting\EC\2017-04-02-refined-times.txt</v>
      </c>
      <c r="AI32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{"issue":{"subject":"","project_id":79,"tracker_id":40,"status_id":1,"priority_id":2,"assigned_to_id":23,"start_date":"2017-04-02","description":"","custom_fields":[{"id":1,"name":"Subdivision","value":"EC"},{"id":4,"name":"Milepost","value":"0.015"},{"id":17,"name":"Train ID","value":"120-02"},{"id":16,"name":"Locomotive ID","value":"4053"},{"id":130,"name":"Impact","value":""},{"id":150,"name":"Time of Event (Mountain Time)","value":"07:35:13"},{"id":151,"name":"Denver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4053 --day 2017-04-02</v>
      </c>
      <c r="AN32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675</v>
      </c>
      <c r="B33" s="7">
        <v>4010</v>
      </c>
      <c r="C33" s="21" t="s">
        <v>217</v>
      </c>
      <c r="D33" s="21" t="s">
        <v>211</v>
      </c>
      <c r="E33" s="13">
        <v>42827.257708333331</v>
      </c>
      <c r="F33" s="13">
        <v>42827.260613425926</v>
      </c>
      <c r="G33" s="7">
        <v>1</v>
      </c>
      <c r="H33" s="21" t="s">
        <v>450</v>
      </c>
      <c r="I33" s="13">
        <v>42827.286863425928</v>
      </c>
      <c r="J33" s="7">
        <v>0</v>
      </c>
      <c r="K33" s="97" t="str">
        <f t="shared" si="0"/>
        <v>4009/4010</v>
      </c>
      <c r="L33" s="21" t="str">
        <f>VLOOKUP(A33,'Trips&amp;Operators'!$C$1:$G$99999,5,FALSE)</f>
        <v>DAVIS WENDY</v>
      </c>
      <c r="M33" s="6">
        <f t="shared" si="1"/>
        <v>2.6250000002619345E-2</v>
      </c>
      <c r="N33" s="7">
        <f t="shared" si="2"/>
        <v>37.800000003771856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-04-02T05:11:06-0600',mode:absolute,to:'2017-04-02T07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4.53E-2</v>
      </c>
      <c r="Z33" s="62">
        <f t="shared" si="9"/>
        <v>23.329499999999999</v>
      </c>
      <c r="AA33" s="62">
        <f t="shared" si="10"/>
        <v>23.284199999999998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0121-02</v>
      </c>
      <c r="AE33" s="85" t="str">
        <f t="shared" si="12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33" s="82" t="str">
        <f t="shared" si="13"/>
        <v>"C:\Program Files (x86)\AstroGrep\AstroGrep.exe" /e /r /s /spath="%USERPROFILE%\AppData\Local\Temp\OnboardLogs" /stypes="app*4010*20170402*"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121-02 --locoid 4010 --swversion DE.1.0.9.0 --startMP 204:453 --initTime 2017-04-02T06:11:06 --startdatetime 2017-04-02T06:15:17 --delay 1 --endMP 204:233295 --enddatetime 2017-04-02T06:53:05 --enforcementcount 0 &gt;&gt;C:\Users\stu\Documents\GitHub\eaglep3-reporting\EC\2017-04-02-refined-times.txt</v>
      </c>
      <c r="AI33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{"issue":{"subject":"","project_id":79,"tracker_id":40,"status_id":1,"priority_id":2,"assigned_to_id":23,"start_date":"2017-04-02","description":"","custom_fields":[{"id":1,"name":"Subdivision","value":"EC"},{"id":4,"name":"Milepost","value":"23.3295"},{"id":17,"name":"Train ID","value":"121-02"},{"id":16,"name":"Locomotive ID","value":"4010"},{"id":130,"name":"Impact","value":""},{"id":150,"name":"Time of Event (Mountain Time)","value":"06:53:05"},{"id":151,"name":"Denver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4010 --day 2017-04-02</v>
      </c>
      <c r="AN33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682</v>
      </c>
      <c r="B34" s="7">
        <v>4009</v>
      </c>
      <c r="C34" s="21" t="s">
        <v>217</v>
      </c>
      <c r="D34" s="21" t="s">
        <v>844</v>
      </c>
      <c r="E34" s="13">
        <v>42827.295486111114</v>
      </c>
      <c r="F34" s="13">
        <v>42827.299444444441</v>
      </c>
      <c r="G34" s="7">
        <v>1</v>
      </c>
      <c r="H34" s="21" t="s">
        <v>485</v>
      </c>
      <c r="I34" s="13">
        <v>42827.326967592591</v>
      </c>
      <c r="J34" s="7">
        <v>0</v>
      </c>
      <c r="K34" s="97" t="str">
        <f t="shared" si="0"/>
        <v>4009/4010</v>
      </c>
      <c r="L34" s="21" t="str">
        <f>VLOOKUP(A34,'Trips&amp;Operators'!$C$1:$G$99999,5,FALSE)</f>
        <v>DAVIS WENDY</v>
      </c>
      <c r="M34" s="6">
        <f t="shared" si="1"/>
        <v>2.7523148150066845E-2</v>
      </c>
      <c r="N34" s="7">
        <f t="shared" si="2"/>
        <v>39.633333336096257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-04-02T06:05:30-0600',mode:absolute,to:'2017-04-02T08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23.3004</v>
      </c>
      <c r="Z34" s="62">
        <f t="shared" si="9"/>
        <v>1.67E-2</v>
      </c>
      <c r="AA34" s="62">
        <f t="shared" si="10"/>
        <v>23.2837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0122-02</v>
      </c>
      <c r="AE34" s="85" t="str">
        <f t="shared" si="12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34" s="82" t="str">
        <f t="shared" si="13"/>
        <v>"C:\Program Files (x86)\AstroGrep\AstroGrep.exe" /e /r /s /spath="%USERPROFILE%\AppData\Local\Temp\OnboardLogs" /stypes="app*4009*20170402*"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122-02 --locoid 4009 --swversion DE.1.0.9.0 --startMP 204:233004 --initTime 2017-04-02T07:05:30 --startdatetime 2017-04-02T07:11:12 --delay 1 --endMP 204:167 --enddatetime 2017-04-02T07:50:50 --enforcementcount 0 &gt;&gt;C:\Users\stu\Documents\GitHub\eaglep3-reporting\EC\2017-04-02-refined-times.txt</v>
      </c>
      <c r="AI34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{"issue":{"subject":"","project_id":79,"tracker_id":40,"status_id":1,"priority_id":2,"assigned_to_id":23,"start_date":"2017-04-02","description":"","custom_fields":[{"id":1,"name":"Subdivision","value":"EC"},{"id":4,"name":"Milepost","value":"0.0167"},{"id":17,"name":"Train ID","value":"122-02"},{"id":16,"name":"Locomotive ID","value":"4009"},{"id":130,"name":"Impact","value":""},{"id":150,"name":"Time of Event (Mountain Time)","value":"07:50:50"},{"id":151,"name":"Denver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4009 --day 2017-04-02</v>
      </c>
      <c r="AN34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676</v>
      </c>
      <c r="B35" s="7">
        <v>4011</v>
      </c>
      <c r="C35" s="21" t="s">
        <v>217</v>
      </c>
      <c r="D35" s="21" t="s">
        <v>208</v>
      </c>
      <c r="E35" s="13">
        <v>42827.266701388886</v>
      </c>
      <c r="F35" s="13">
        <v>42827.270995370367</v>
      </c>
      <c r="G35" s="7">
        <v>1</v>
      </c>
      <c r="H35" s="21" t="s">
        <v>585</v>
      </c>
      <c r="I35" s="13">
        <v>42827.296747685185</v>
      </c>
      <c r="J35" s="7">
        <v>0</v>
      </c>
      <c r="K35" s="97" t="str">
        <f t="shared" si="0"/>
        <v>4011/4012</v>
      </c>
      <c r="L35" s="21" t="str">
        <f>VLOOKUP(A35,'Trips&amp;Operators'!$C$1:$G$99999,5,FALSE)</f>
        <v>ROBINSON KADDIBA</v>
      </c>
      <c r="M35" s="6">
        <f t="shared" si="1"/>
        <v>2.5752314817509614E-2</v>
      </c>
      <c r="N35" s="7">
        <f t="shared" si="2"/>
        <v>37.083333337213844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-04-02T05:24:03-0600',mode:absolute,to:'2017-04-02T08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4.5999999999999999E-2</v>
      </c>
      <c r="Z35" s="62">
        <f t="shared" si="9"/>
        <v>23.328399999999998</v>
      </c>
      <c r="AA35" s="62">
        <f t="shared" si="10"/>
        <v>23.282399999999999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0123-02</v>
      </c>
      <c r="AE35" s="85" t="str">
        <f t="shared" si="12"/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35" s="82" t="str">
        <f t="shared" si="13"/>
        <v>"C:\Program Files (x86)\AstroGrep\AstroGrep.exe" /e /r /s /spath="%USERPROFILE%\AppData\Local\Temp\OnboardLogs" /stypes="app*4011*20170402*"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123-02 --locoid 4011 --swversion DE.1.0.9.0 --startMP 204:460 --initTime 2017-04-02T06:24:03 --startdatetime 2017-04-02T06:30:14 --delay 1 --endMP 204:233284 --enddatetime 2017-04-02T07:07:19 --enforcementcount 0 &gt;&gt;C:\Users\stu\Documents\GitHub\eaglep3-reporting\EC\2017-04-02-refined-times.txt</v>
      </c>
      <c r="AI35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{"issue":{"subject":"","project_id":79,"tracker_id":40,"status_id":1,"priority_id":2,"assigned_to_id":23,"start_date":"2017-04-02","description":"","custom_fields":[{"id":1,"name":"Subdivision","value":"EC"},{"id":4,"name":"Milepost","value":"23.3284"},{"id":17,"name":"Train ID","value":"123-02"},{"id":16,"name":"Locomotive ID","value":"4011"},{"id":130,"name":"Impact","value":""},{"id":150,"name":"Time of Event (Mountain Time)","value":"07:07:19"},{"id":151,"name":"Denver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4011 --day 2017-04-02</v>
      </c>
      <c r="AN35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684</v>
      </c>
      <c r="B36" s="7">
        <v>4012</v>
      </c>
      <c r="C36" s="21" t="s">
        <v>217</v>
      </c>
      <c r="D36" s="21" t="s">
        <v>477</v>
      </c>
      <c r="E36" s="13">
        <v>42827.305486111109</v>
      </c>
      <c r="F36" s="13">
        <v>42827.309895833336</v>
      </c>
      <c r="G36" s="7">
        <v>1</v>
      </c>
      <c r="H36" s="21" t="s">
        <v>214</v>
      </c>
      <c r="I36" s="13">
        <v>42827.337129629632</v>
      </c>
      <c r="J36" s="7">
        <v>0</v>
      </c>
      <c r="K36" s="97" t="str">
        <f t="shared" si="0"/>
        <v>4011/4012</v>
      </c>
      <c r="L36" s="21" t="str">
        <f>VLOOKUP(A36,'Trips&amp;Operators'!$C$1:$G$99999,5,FALSE)</f>
        <v>ROBINSON KADDIBA</v>
      </c>
      <c r="M36" s="6">
        <f t="shared" si="1"/>
        <v>2.7233796296059154E-2</v>
      </c>
      <c r="N36" s="7">
        <f t="shared" si="2"/>
        <v>39.216666666325182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-04-02T06:19:54-0600',mode:absolute,to:'2017-04-02T09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23.296099999999999</v>
      </c>
      <c r="Z36" s="62">
        <f t="shared" si="9"/>
        <v>1.47E-2</v>
      </c>
      <c r="AA36" s="62">
        <f t="shared" si="10"/>
        <v>23.281399999999998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0124-02</v>
      </c>
      <c r="AE36" s="85" t="str">
        <f t="shared" si="12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36" s="82" t="str">
        <f t="shared" si="13"/>
        <v>"C:\Program Files (x86)\AstroGrep\AstroGrep.exe" /e /r /s /spath="%USERPROFILE%\AppData\Local\Temp\OnboardLogs" /stypes="app*4012*20170402*"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124-02 --locoid 4012 --swversion DE.1.0.9.0 --startMP 204:232961 --initTime 2017-04-02T07:19:54 --startdatetime 2017-04-02T07:26:15 --delay 1 --endMP 204:147 --enddatetime 2017-04-02T08:05:28 --enforcementcount 0 &gt;&gt;C:\Users\stu\Documents\GitHub\eaglep3-reporting\EC\2017-04-02-refined-times.txt</v>
      </c>
      <c r="AI36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{"issue":{"subject":"","project_id":79,"tracker_id":40,"status_id":1,"priority_id":2,"assigned_to_id":23,"start_date":"2017-04-02","description":"","custom_fields":[{"id":1,"name":"Subdivision","value":"EC"},{"id":4,"name":"Milepost","value":"0.0147"},{"id":17,"name":"Train ID","value":"124-02"},{"id":16,"name":"Locomotive ID","value":"4012"},{"id":130,"name":"Impact","value":""},{"id":150,"name":"Time of Event (Mountain Time)","value":"08:05:28"},{"id":151,"name":"Denver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4012 --day 2017-04-02</v>
      </c>
      <c r="AN36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679</v>
      </c>
      <c r="B37" s="7">
        <v>4016</v>
      </c>
      <c r="C37" s="21" t="s">
        <v>217</v>
      </c>
      <c r="D37" s="21" t="s">
        <v>487</v>
      </c>
      <c r="E37" s="13">
        <v>42827.276331018518</v>
      </c>
      <c r="F37" s="13">
        <v>42827.281770833331</v>
      </c>
      <c r="G37" s="7">
        <v>1</v>
      </c>
      <c r="H37" s="21" t="s">
        <v>425</v>
      </c>
      <c r="I37" s="13">
        <v>42827.306111111109</v>
      </c>
      <c r="J37" s="7">
        <v>0</v>
      </c>
      <c r="K37" s="97" t="str">
        <f t="shared" si="0"/>
        <v>4015/4016</v>
      </c>
      <c r="L37" s="21" t="str">
        <f>VLOOKUP(A37,'Trips&amp;Operators'!$C$1:$G$99999,5,FALSE)</f>
        <v>GEBRETEKLE DAGNEW</v>
      </c>
      <c r="M37" s="6">
        <f t="shared" si="1"/>
        <v>2.4340277777810115E-2</v>
      </c>
      <c r="N37" s="7">
        <f t="shared" si="2"/>
        <v>35.050000000046566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-04-02T05:37:55-0600',mode:absolute,to:'2017-04-02T08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4.3999999999999997E-2</v>
      </c>
      <c r="Z37" s="62">
        <f t="shared" si="9"/>
        <v>23.331399999999999</v>
      </c>
      <c r="AA37" s="62">
        <f t="shared" si="10"/>
        <v>23.287399999999998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0125-02</v>
      </c>
      <c r="AE37" s="85" t="str">
        <f t="shared" si="12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37" s="82" t="str">
        <f t="shared" si="13"/>
        <v>"C:\Program Files (x86)\AstroGrep\AstroGrep.exe" /e /r /s /spath="%USERPROFILE%\AppData\Local\Temp\OnboardLogs" /stypes="app*4016*20170402*"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125-02 --locoid 4016 --swversion DE.1.0.9.0 --startMP 204:440 --initTime 2017-04-02T06:37:55 --startdatetime 2017-04-02T06:45:45 --delay 1 --endMP 204:233314 --enddatetime 2017-04-02T07:20:48 --enforcementcount 0 &gt;&gt;C:\Users\stu\Documents\GitHub\eaglep3-reporting\EC\2017-04-02-refined-times.txt</v>
      </c>
      <c r="AI37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{"issue":{"subject":"","project_id":79,"tracker_id":40,"status_id":1,"priority_id":2,"assigned_to_id":23,"start_date":"2017-04-02","description":"","custom_fields":[{"id":1,"name":"Subdivision","value":"EC"},{"id":4,"name":"Milepost","value":"23.3314"},{"id":17,"name":"Train ID","value":"125-02"},{"id":16,"name":"Locomotive ID","value":"4016"},{"id":130,"name":"Impact","value":""},{"id":150,"name":"Time of Event (Mountain Time)","value":"07:20:48"},{"id":151,"name":"Denver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4016 --day 2017-04-02</v>
      </c>
      <c r="AN37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612</v>
      </c>
      <c r="B38" s="7">
        <v>4015</v>
      </c>
      <c r="C38" s="21" t="s">
        <v>217</v>
      </c>
      <c r="D38" s="21" t="s">
        <v>519</v>
      </c>
      <c r="E38" s="13">
        <v>42827.307303240741</v>
      </c>
      <c r="F38" s="13">
        <v>42827.320324074077</v>
      </c>
      <c r="G38" s="7">
        <v>1</v>
      </c>
      <c r="H38" s="21" t="s">
        <v>191</v>
      </c>
      <c r="I38" s="13">
        <v>42827.34684027778</v>
      </c>
      <c r="J38" s="7">
        <v>0</v>
      </c>
      <c r="K38" s="97" t="str">
        <f t="shared" si="0"/>
        <v>4015/4016</v>
      </c>
      <c r="L38" s="21" t="str">
        <f>VLOOKUP(A38,'Trips&amp;Operators'!$C$1:$G$99999,5,FALSE)</f>
        <v>GEBRETEKLE DAGNEW</v>
      </c>
      <c r="M38" s="6">
        <f t="shared" si="1"/>
        <v>2.6516203703067731E-2</v>
      </c>
      <c r="N38" s="7">
        <f t="shared" si="2"/>
        <v>38.183333332417533</v>
      </c>
      <c r="O38" s="7"/>
      <c r="P38" s="7"/>
      <c r="Q38" s="22"/>
      <c r="R38" s="22" t="s">
        <v>967</v>
      </c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-04-02T06:22:31-0600',mode:absolute,to:'2017-04-02T09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23.302499999999998</v>
      </c>
      <c r="Z38" s="62">
        <f t="shared" si="9"/>
        <v>1.4999999999999999E-2</v>
      </c>
      <c r="AA38" s="62">
        <f t="shared" si="10"/>
        <v>23.287499999999998</v>
      </c>
      <c r="AB38" s="59" t="str">
        <f>VLOOKUP(A38,Enforcements!$C$7:$K$13,8,0)</f>
        <v>Bulletin (2)</v>
      </c>
      <c r="AC38" s="55" t="str">
        <f>VLOOKUP(A38,Enforcements!$C$7:$E$13,3,0)</f>
        <v>GRADE CROSSING</v>
      </c>
      <c r="AD38" s="56" t="str">
        <f t="shared" si="11"/>
        <v>0126-02</v>
      </c>
      <c r="AE38" s="85" t="str">
        <f t="shared" si="12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38" s="82" t="str">
        <f t="shared" si="13"/>
        <v>"C:\Program Files (x86)\AstroGrep\AstroGrep.exe" /e /r /s /spath="%USERPROFILE%\AppData\Local\Temp\OnboardLogs" /stypes="app*4015*20170402*"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126-02 --locoid 4015 --swversion DE.1.0.9.0 --startMP 204:233025 --initTime 2017-04-02T07:22:31 --startdatetime 2017-04-02T07:41:16 --delay 1 --endMP 204:150 --enddatetime 2017-04-02T08:19:27 --enforcementcount 0 &gt;&gt;C:\Users\stu\Documents\GitHub\eaglep3-reporting\EC\2017-04-02-refined-times.txt</v>
      </c>
      <c r="AI38" s="104" t="str">
        <f t="shared" si="20"/>
        <v>echo {"issue":{"subject":"No issues found (usual assortment of warnings/enforcements)","project_id":79,"tracker_id":40,"status_id":1,"priority_id":2,"assigned_to_id":23,"start_date":"2017-04-02","description":"","custom_fields":[{"id":1,"name":"Subdivision","value":"EC"},{"id":4,"name":"Milepost","value":"0.015"},{"id":17,"name":"Train ID","value":"126-02"},{"id":16,"name":"Locomotive ID","value":"4015"},{"id":130,"name":"Impact","value":""},{"id":150,"name":"Time of Event (Mountain Time)","value":"08:19:27"},{"id":151,"name":"Denver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4015 --day 2017-04-02</v>
      </c>
      <c r="AN38" s="159" t="str">
        <f t="shared" si="22"/>
        <v>echo {"issue":{"subject":"No issues found (usual assortment of warnings/enforcements)","project_id":30,"tracker_id":4,"status_id":1,"priority_id":1,"assigned_to_id":10,"start_date":"2017-04-02","description":"","custom_fields":[{"id":30,"name":"Category","value":"Issue"},{"id":3,"name":"Functional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680</v>
      </c>
      <c r="B39" s="7">
        <v>4020</v>
      </c>
      <c r="C39" s="21" t="s">
        <v>217</v>
      </c>
      <c r="D39" s="21" t="s">
        <v>597</v>
      </c>
      <c r="E39" s="13">
        <v>42827.285312499997</v>
      </c>
      <c r="F39" s="13">
        <v>42827.291990740741</v>
      </c>
      <c r="G39" s="7">
        <v>1</v>
      </c>
      <c r="H39" s="21" t="s">
        <v>460</v>
      </c>
      <c r="I39" s="13">
        <v>42827.316412037035</v>
      </c>
      <c r="J39" s="7">
        <v>0</v>
      </c>
      <c r="K39" s="97" t="str">
        <f t="shared" si="0"/>
        <v>4019/4020</v>
      </c>
      <c r="L39" s="21" t="str">
        <f>VLOOKUP(A39,'Trips&amp;Operators'!$C$1:$G$99999,5,FALSE)</f>
        <v>SANTIZO D. EDY</v>
      </c>
      <c r="M39" s="6">
        <f t="shared" si="1"/>
        <v>2.4421296293439809E-2</v>
      </c>
      <c r="N39" s="7">
        <f t="shared" si="2"/>
        <v>35.166666662553325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-04-02T05:50:51-0600',mode:absolute,to:'2017-04-02T08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4.4200000000000003E-2</v>
      </c>
      <c r="Z39" s="62">
        <f t="shared" si="9"/>
        <v>23.331199999999999</v>
      </c>
      <c r="AA39" s="62">
        <f t="shared" si="10"/>
        <v>23.286999999999999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0127-02</v>
      </c>
      <c r="AE39" s="85" t="str">
        <f t="shared" si="12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39" s="82" t="str">
        <f t="shared" si="13"/>
        <v>"C:\Program Files (x86)\AstroGrep\AstroGrep.exe" /e /r /s /spath="%USERPROFILE%\AppData\Local\Temp\OnboardLogs" /stypes="app*4020*20170402*"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127-02 --locoid 4020 --swversion DE.1.0.9.0 --startMP 204:442 --initTime 2017-04-02T06:50:51 --startdatetime 2017-04-02T07:00:28 --delay 1 --endMP 204:233312 --enddatetime 2017-04-02T07:35:38 --enforcementcount 0 &gt;&gt;C:\Users\stu\Documents\GitHub\eaglep3-reporting\EC\2017-04-02-refined-times.txt</v>
      </c>
      <c r="AI39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{"issue":{"subject":"","project_id":79,"tracker_id":40,"status_id":1,"priority_id":2,"assigned_to_id":23,"start_date":"2017-04-02","description":"","custom_fields":[{"id":1,"name":"Subdivision","value":"EC"},{"id":4,"name":"Milepost","value":"23.3312"},{"id":17,"name":"Train ID","value":"127-02"},{"id":16,"name":"Locomotive ID","value":"4020"},{"id":130,"name":"Impact","value":""},{"id":150,"name":"Time of Event (Mountain Time)","value":"07:35:38"},{"id":151,"name":"Denver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4020 --day 2017-04-02</v>
      </c>
      <c r="AN39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687</v>
      </c>
      <c r="B40" s="7">
        <v>4019</v>
      </c>
      <c r="C40" s="21" t="s">
        <v>217</v>
      </c>
      <c r="D40" s="21" t="s">
        <v>580</v>
      </c>
      <c r="E40" s="13">
        <v>42827.317395833335</v>
      </c>
      <c r="F40" s="13">
        <v>42827.330706018518</v>
      </c>
      <c r="G40" s="7">
        <v>1</v>
      </c>
      <c r="H40" s="21" t="s">
        <v>214</v>
      </c>
      <c r="I40" s="13">
        <v>42827.356909722221</v>
      </c>
      <c r="J40" s="7">
        <v>0</v>
      </c>
      <c r="K40" s="97" t="str">
        <f t="shared" si="0"/>
        <v>4019/4020</v>
      </c>
      <c r="L40" s="21" t="str">
        <f>VLOOKUP(A40,'Trips&amp;Operators'!$C$1:$G$99999,5,FALSE)</f>
        <v>SANTIZO D. EDY</v>
      </c>
      <c r="M40" s="6">
        <f t="shared" si="1"/>
        <v>2.6203703702776693E-2</v>
      </c>
      <c r="N40" s="7">
        <f t="shared" si="2"/>
        <v>37.733333331998438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-04-02T06:37:03-0600',mode:absolute,to:'2017-04-02T09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23.2988</v>
      </c>
      <c r="Z40" s="62">
        <f t="shared" si="9"/>
        <v>1.47E-2</v>
      </c>
      <c r="AA40" s="62">
        <f t="shared" si="10"/>
        <v>23.284099999999999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0128-02</v>
      </c>
      <c r="AE40" s="85" t="str">
        <f t="shared" si="12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40" s="82" t="str">
        <f t="shared" si="13"/>
        <v>"C:\Program Files (x86)\AstroGrep\AstroGrep.exe" /e /r /s /spath="%USERPROFILE%\AppData\Local\Temp\OnboardLogs" /stypes="app*4019*20170402*"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128-02 --locoid 4019 --swversion DE.1.0.9.0 --startMP 204:232988 --initTime 2017-04-02T07:37:03 --startdatetime 2017-04-02T07:56:13 --delay 1 --endMP 204:147 --enddatetime 2017-04-02T08:33:57 --enforcementcount 0 &gt;&gt;C:\Users\stu\Documents\GitHub\eaglep3-reporting\EC\2017-04-02-refined-times.txt</v>
      </c>
      <c r="AI40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{"issue":{"subject":"","project_id":79,"tracker_id":40,"status_id":1,"priority_id":2,"assigned_to_id":23,"start_date":"2017-04-02","description":"","custom_fields":[{"id":1,"name":"Subdivision","value":"EC"},{"id":4,"name":"Milepost","value":"0.0147"},{"id":17,"name":"Train ID","value":"128-02"},{"id":16,"name":"Locomotive ID","value":"4019"},{"id":130,"name":"Impact","value":""},{"id":150,"name":"Time of Event (Mountain Time)","value":"08:33:57"},{"id":151,"name":"Denver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4019 --day 2017-04-02</v>
      </c>
      <c r="AN40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683</v>
      </c>
      <c r="B41" s="7">
        <v>4002</v>
      </c>
      <c r="C41" s="21" t="s">
        <v>217</v>
      </c>
      <c r="D41" s="21" t="s">
        <v>206</v>
      </c>
      <c r="E41" s="13">
        <v>42827.298101851855</v>
      </c>
      <c r="F41" s="13">
        <v>42827.302256944444</v>
      </c>
      <c r="G41" s="7">
        <v>1</v>
      </c>
      <c r="H41" s="21" t="s">
        <v>845</v>
      </c>
      <c r="I41" s="13">
        <v>42827.327777777777</v>
      </c>
      <c r="J41" s="7">
        <v>0</v>
      </c>
      <c r="K41" s="97" t="str">
        <f t="shared" si="0"/>
        <v>4001/4002</v>
      </c>
      <c r="L41" s="21" t="str">
        <f>VLOOKUP(A41,'Trips&amp;Operators'!$C$1:$G$99999,5,FALSE)</f>
        <v>SHOOK JOHN</v>
      </c>
      <c r="M41" s="6">
        <f t="shared" si="1"/>
        <v>2.5520833332848269E-2</v>
      </c>
      <c r="N41" s="7">
        <f t="shared" si="2"/>
        <v>36.749999999301508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-04-02T06:09:16-0600',mode:absolute,to:'2017-04-02T08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4.5100000000000001E-2</v>
      </c>
      <c r="Z41" s="62">
        <f t="shared" si="9"/>
        <v>23.3325</v>
      </c>
      <c r="AA41" s="62">
        <f t="shared" si="10"/>
        <v>23.287399999999998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0129-02</v>
      </c>
      <c r="AE41" s="85" t="str">
        <f t="shared" si="12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41" s="82" t="str">
        <f t="shared" si="13"/>
        <v>"C:\Program Files (x86)\AstroGrep\AstroGrep.exe" /e /r /s /spath="%USERPROFILE%\AppData\Local\Temp\OnboardLogs" /stypes="app*4002*20170402*"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129-02 --locoid 4002 --swversion DE.1.0.9.0 --startMP 204:451 --initTime 2017-04-02T07:09:16 --startdatetime 2017-04-02T07:15:15 --delay 1 --endMP 204:233325 --enddatetime 2017-04-02T07:52:00 --enforcementcount 0 &gt;&gt;C:\Users\stu\Documents\GitHub\eaglep3-reporting\EC\2017-04-02-refined-times.txt</v>
      </c>
      <c r="AI41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{"issue":{"subject":"","project_id":79,"tracker_id":40,"status_id":1,"priority_id":2,"assigned_to_id":23,"start_date":"2017-04-02","description":"","custom_fields":[{"id":1,"name":"Subdivision","value":"EC"},{"id":4,"name":"Milepost","value":"23.3325"},{"id":17,"name":"Train ID","value":"129-02"},{"id":16,"name":"Locomotive ID","value":"4002"},{"id":130,"name":"Impact","value":""},{"id":150,"name":"Time of Event (Mountain Time)","value":"07:52:00"},{"id":151,"name":"Denver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4002 --day 2017-04-02</v>
      </c>
      <c r="AN41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690</v>
      </c>
      <c r="B42" s="7">
        <v>4001</v>
      </c>
      <c r="C42" s="21" t="s">
        <v>217</v>
      </c>
      <c r="D42" s="21" t="s">
        <v>846</v>
      </c>
      <c r="E42" s="13">
        <v>42827.329421296294</v>
      </c>
      <c r="F42" s="13">
        <v>42827.341145833336</v>
      </c>
      <c r="G42" s="7">
        <v>1</v>
      </c>
      <c r="H42" s="21" t="s">
        <v>386</v>
      </c>
      <c r="I42" s="13">
        <v>42827.370393518519</v>
      </c>
      <c r="J42" s="7">
        <v>0</v>
      </c>
      <c r="K42" s="97" t="str">
        <f t="shared" si="0"/>
        <v>4001/4002</v>
      </c>
      <c r="L42" s="21" t="str">
        <f>VLOOKUP(A42,'Trips&amp;Operators'!$C$1:$G$99999,5,FALSE)</f>
        <v>SHOOK JOHN</v>
      </c>
      <c r="M42" s="6">
        <f t="shared" si="1"/>
        <v>2.9247685182781424E-2</v>
      </c>
      <c r="N42" s="7">
        <f t="shared" si="2"/>
        <v>42.116666663205251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-04-02T06:54:22-0600',mode:absolute,to:'2017-04-02T09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23.300999999999998</v>
      </c>
      <c r="Z42" s="62">
        <f t="shared" si="9"/>
        <v>1.43E-2</v>
      </c>
      <c r="AA42" s="62">
        <f t="shared" si="10"/>
        <v>23.2867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0130-02</v>
      </c>
      <c r="AE42" s="85" t="str">
        <f t="shared" si="12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42" s="82" t="str">
        <f t="shared" si="13"/>
        <v>"C:\Program Files (x86)\AstroGrep\AstroGrep.exe" /e /r /s /spath="%USERPROFILE%\AppData\Local\Temp\OnboardLogs" /stypes="app*4001*20170402*"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130-02 --locoid 4001 --swversion DE.1.0.9.0 --startMP 204:233010 --initTime 2017-04-02T07:54:22 --startdatetime 2017-04-02T08:11:15 --delay 1 --endMP 204:143 --enddatetime 2017-04-02T08:53:22 --enforcementcount 0 &gt;&gt;C:\Users\stu\Documents\GitHub\eaglep3-reporting\EC\2017-04-02-refined-times.txt</v>
      </c>
      <c r="AI42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{"issue":{"subject":"","project_id":79,"tracker_id":40,"status_id":1,"priority_id":2,"assigned_to_id":23,"start_date":"2017-04-02","description":"","custom_fields":[{"id":1,"name":"Subdivision","value":"EC"},{"id":4,"name":"Milepost","value":"0.0143"},{"id":17,"name":"Train ID","value":"130-02"},{"id":16,"name":"Locomotive ID","value":"4001"},{"id":130,"name":"Impact","value":""},{"id":150,"name":"Time of Event (Mountain Time)","value":"08:53:22"},{"id":151,"name":"Denver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4001 --day 2017-04-02</v>
      </c>
      <c r="AN42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685</v>
      </c>
      <c r="B43" s="7">
        <v>4025</v>
      </c>
      <c r="C43" s="21" t="s">
        <v>217</v>
      </c>
      <c r="D43" s="21" t="s">
        <v>458</v>
      </c>
      <c r="E43" s="13">
        <v>42827.307719907411</v>
      </c>
      <c r="F43" s="13">
        <v>42827.3128125</v>
      </c>
      <c r="G43" s="7">
        <v>1</v>
      </c>
      <c r="H43" s="21" t="s">
        <v>466</v>
      </c>
      <c r="I43" s="13">
        <v>42827.337476851855</v>
      </c>
      <c r="J43" s="7">
        <v>0</v>
      </c>
      <c r="K43" s="97" t="str">
        <f t="shared" si="0"/>
        <v>4025/4026</v>
      </c>
      <c r="L43" s="21" t="str">
        <f>VLOOKUP(A43,'Trips&amp;Operators'!$C$1:$G$99999,5,FALSE)</f>
        <v>MAELZER KURT</v>
      </c>
      <c r="M43" s="6">
        <f t="shared" si="1"/>
        <v>2.4664351854880806E-2</v>
      </c>
      <c r="N43" s="7">
        <f t="shared" si="2"/>
        <v>35.516666671028361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-04-02T06:23:07-0600',mode:absolute,to:'2017-04-02T09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4.4699999999999997E-2</v>
      </c>
      <c r="Z43" s="62">
        <f t="shared" si="9"/>
        <v>23.330300000000001</v>
      </c>
      <c r="AA43" s="62">
        <f t="shared" si="10"/>
        <v>23.285600000000002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0131-02</v>
      </c>
      <c r="AE43" s="85" t="str">
        <f t="shared" si="12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43" s="82" t="str">
        <f t="shared" si="13"/>
        <v>"C:\Program Files (x86)\AstroGrep\AstroGrep.exe" /e /r /s /spath="%USERPROFILE%\AppData\Local\Temp\OnboardLogs" /stypes="app*4025*20170402*"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131-02 --locoid 4025 --swversion DE.1.0.9.0 --startMP 204:447 --initTime 2017-04-02T07:23:07 --startdatetime 2017-04-02T07:30:27 --delay 1 --endMP 204:233303 --enddatetime 2017-04-02T08:05:58 --enforcementcount 0 &gt;&gt;C:\Users\stu\Documents\GitHub\eaglep3-reporting\EC\2017-04-02-refined-times.txt</v>
      </c>
      <c r="AI43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{"issue":{"subject":"","project_id":79,"tracker_id":40,"status_id":1,"priority_id":2,"assigned_to_id":23,"start_date":"2017-04-02","description":"","custom_fields":[{"id":1,"name":"Subdivision","value":"EC"},{"id":4,"name":"Milepost","value":"23.3303"},{"id":17,"name":"Train ID","value":"131-02"},{"id":16,"name":"Locomotive ID","value":"4025"},{"id":130,"name":"Impact","value":""},{"id":150,"name":"Time of Event (Mountain Time)","value":"08:05:58"},{"id":151,"name":"Denver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4025 --day 2017-04-02</v>
      </c>
      <c r="AN43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693</v>
      </c>
      <c r="B44" s="7">
        <v>4026</v>
      </c>
      <c r="C44" s="21" t="s">
        <v>217</v>
      </c>
      <c r="D44" s="21" t="s">
        <v>847</v>
      </c>
      <c r="E44" s="13">
        <v>42827.346516203703</v>
      </c>
      <c r="F44" s="13">
        <v>42827.351967592593</v>
      </c>
      <c r="G44" s="7">
        <v>1</v>
      </c>
      <c r="H44" s="21" t="s">
        <v>848</v>
      </c>
      <c r="I44" s="13">
        <v>42827.381423611114</v>
      </c>
      <c r="J44" s="7">
        <v>0</v>
      </c>
      <c r="K44" s="97" t="str">
        <f t="shared" si="0"/>
        <v>4025/4026</v>
      </c>
      <c r="L44" s="21" t="str">
        <f>VLOOKUP(A44,'Trips&amp;Operators'!$C$1:$G$99999,5,FALSE)</f>
        <v>MAELZER KURT</v>
      </c>
      <c r="M44" s="6">
        <f t="shared" si="1"/>
        <v>2.9456018521159422E-2</v>
      </c>
      <c r="N44" s="7">
        <f t="shared" si="2"/>
        <v>42.416666670469567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-04-02T07:18:59-0600',mode:absolute,to:'2017-04-02T10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23.3005</v>
      </c>
      <c r="Z44" s="62">
        <f t="shared" si="9"/>
        <v>1.2999999999999999E-2</v>
      </c>
      <c r="AA44" s="62">
        <f t="shared" si="10"/>
        <v>23.287499999999998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0132-02</v>
      </c>
      <c r="AE44" s="85" t="str">
        <f t="shared" si="12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44" s="82" t="str">
        <f t="shared" si="13"/>
        <v>"C:\Program Files (x86)\AstroGrep\AstroGrep.exe" /e /r /s /spath="%USERPROFILE%\AppData\Local\Temp\OnboardLogs" /stypes="app*4026*20170402*"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132-02 --locoid 4026 --swversion DE.1.0.9.0 --startMP 204:233005 --initTime 2017-04-02T08:18:59 --startdatetime 2017-04-02T08:26:50 --delay 1 --endMP 204:130 --enddatetime 2017-04-02T09:09:15 --enforcementcount 0 &gt;&gt;C:\Users\stu\Documents\GitHub\eaglep3-reporting\EC\2017-04-02-refined-times.txt</v>
      </c>
      <c r="AI44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{"issue":{"subject":"","project_id":79,"tracker_id":40,"status_id":1,"priority_id":2,"assigned_to_id":23,"start_date":"2017-04-02","description":"","custom_fields":[{"id":1,"name":"Subdivision","value":"EC"},{"id":4,"name":"Milepost","value":"0.013"},{"id":17,"name":"Train ID","value":"132-02"},{"id":16,"name":"Locomotive ID","value":"4026"},{"id":130,"name":"Impact","value":""},{"id":150,"name":"Time of Event (Mountain Time)","value":"09:09:15"},{"id":151,"name":"Denver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4026 --day 2017-04-02</v>
      </c>
      <c r="AN44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688</v>
      </c>
      <c r="B45" s="7">
        <v>4054</v>
      </c>
      <c r="C45" s="21" t="s">
        <v>217</v>
      </c>
      <c r="D45" s="21" t="s">
        <v>518</v>
      </c>
      <c r="E45" s="13">
        <v>42827.318206018521</v>
      </c>
      <c r="F45" s="13">
        <v>42827.323113425926</v>
      </c>
      <c r="G45" s="7">
        <v>1</v>
      </c>
      <c r="H45" s="21" t="s">
        <v>849</v>
      </c>
      <c r="I45" s="13">
        <v>42827.347928240742</v>
      </c>
      <c r="J45" s="7">
        <v>0</v>
      </c>
      <c r="K45" s="97" t="str">
        <f t="shared" ref="K45:K76" si="23">IF(ISEVEN(B45),(B45-1)&amp;"/"&amp;B45,B45&amp;"/"&amp;(B45+1))</f>
        <v>4053/4054</v>
      </c>
      <c r="L45" s="21" t="str">
        <f>VLOOKUP(A45,'Trips&amp;Operators'!$C$1:$G$99999,5,FALSE)</f>
        <v>DELGADO DIANAH</v>
      </c>
      <c r="M45" s="6">
        <f t="shared" ref="M45:M76" si="24">I45-F45</f>
        <v>2.4814814816636499E-2</v>
      </c>
      <c r="N45" s="7">
        <f t="shared" ref="N45:N76" si="25">24*60*SUM($M45:$M45)</f>
        <v>35.733333335956559</v>
      </c>
      <c r="O45" s="7"/>
      <c r="P45" s="7"/>
      <c r="Q45" s="22"/>
      <c r="R45" s="22"/>
      <c r="S45" s="31">
        <f t="shared" ref="S45:S76" si="26">SUM(U45:U45)/IF(AG45="EC",12,1)</f>
        <v>1</v>
      </c>
      <c r="T45" s="46" t="str">
        <f t="shared" ref="T45:T76" si="27">IF(ISEVEN(LEFT(AD45,4)),"Southbound","NorthBound")</f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ref="V45:V76" si="28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-02T06:38:13-0600',mode:absolute,to:'2017-04-02T09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5" s="183" t="str">
        <f t="shared" ref="W45:W76" si="29">IF(AA45&lt;IF(AG45="EC",23,5.65),"Y","N")</f>
        <v>N</v>
      </c>
      <c r="X45" s="183">
        <f t="shared" ref="X45:X76" si="30">VALUE(LEFT(AD45,4))-VALUE(LEFT(AD44,4))</f>
        <v>1</v>
      </c>
      <c r="Y45" s="62">
        <f t="shared" ref="Y45:Y76" si="31">RIGHT(D45,LEN(D45)-4)/10000</f>
        <v>4.4600000000000001E-2</v>
      </c>
      <c r="Z45" s="62">
        <f t="shared" ref="Z45:Z76" si="32">RIGHT(H45,LEN(H45)-4)/10000</f>
        <v>23.335100000000001</v>
      </c>
      <c r="AA45" s="62">
        <f t="shared" ref="AA45:AA76" si="33">ABS(Z45-Y45)</f>
        <v>23.290500000000002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ref="AD45:AD76" si="34">IF(LEN(A45)=6,"0"&amp;A45,A45)</f>
        <v>0133-02</v>
      </c>
      <c r="AE45" s="85" t="str">
        <f t="shared" ref="AE45:AE76" si="35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45" s="82" t="str">
        <f t="shared" ref="AF45:AF76" si="36"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/stypes="app*4054*20170402*" /stext=" 14:.+((SYSTEM_STATE.+slice.+state.+changed )|(ment ac)|(multiple cpu faults)|(system.+state.+changed )|(\[timeout)|(PRM\|1\|D)|(kpr)|(kdp)|(\|lc)|(penalty))"</v>
      </c>
      <c r="AG45" s="1" t="str">
        <f t="shared" ref="AG45:AG76" si="37">IFERROR(IF(VALUE(LEFT(AD45,2))&lt;=2,"EC",IF(OR(VALUE(LEFT(AD45,2))=8,VALUE(LEFT(AD45,2))=18),"NW","Other")),"Other")</f>
        <v>EC</v>
      </c>
      <c r="AH45" s="86" t="str">
        <f t="shared" si="19"/>
        <v>"%USERPROFILE%\Documents\GitHub\eaglep3\Utilities\RefineRTDCRunTimes.py" --tripid 133-02 --locoid 4054 --swversion DE.1.0.9.0 --startMP 204:446 --initTime 2017-04-02T07:38:13 --startdatetime 2017-04-02T07:45:17 --delay 1 --endMP 204:233351 --enddatetime 2017-04-02T08:21:01 --enforcementcount 0 &gt;&gt;C:\Users\stu\Documents\GitHub\eaglep3-reporting\EC\2017-04-02-refined-times.txt</v>
      </c>
      <c r="AI45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{"issue":{"subject":"","project_id":79,"tracker_id":40,"status_id":1,"priority_id":2,"assigned_to_id":23,"start_date":"2017-04-02","description":"","custom_fields":[{"id":1,"name":"Subdivision","value":"EC"},{"id":4,"name":"Milepost","value":"23.3351"},{"id":17,"name":"Train ID","value":"133-02"},{"id":16,"name":"Locomotive ID","value":"4054"},{"id":130,"name":"Impact","value":""},{"id":150,"name":"Time of Event (Mountain Time)","value":"08:21:01"},{"id":151,"name":"Denver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4054 --day 2017-04-02</v>
      </c>
      <c r="AN45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696</v>
      </c>
      <c r="B46" s="7">
        <v>4053</v>
      </c>
      <c r="C46" s="21" t="s">
        <v>217</v>
      </c>
      <c r="D46" s="21" t="s">
        <v>850</v>
      </c>
      <c r="E46" s="13">
        <v>42827.358541666668</v>
      </c>
      <c r="F46" s="13">
        <v>42827.36204861111</v>
      </c>
      <c r="G46" s="7">
        <v>1</v>
      </c>
      <c r="H46" s="21" t="s">
        <v>583</v>
      </c>
      <c r="I46" s="13">
        <v>42827.388333333336</v>
      </c>
      <c r="J46" s="7">
        <v>0</v>
      </c>
      <c r="K46" s="97" t="str">
        <f t="shared" si="23"/>
        <v>4053/4054</v>
      </c>
      <c r="L46" s="21" t="str">
        <f>VLOOKUP(A46,'Trips&amp;Operators'!$C$1:$G$99999,5,FALSE)</f>
        <v>DELGADO DIANAH</v>
      </c>
      <c r="M46" s="6">
        <f t="shared" si="24"/>
        <v>2.6284722225682344E-2</v>
      </c>
      <c r="N46" s="7">
        <f t="shared" si="25"/>
        <v>37.850000004982576</v>
      </c>
      <c r="O46" s="7"/>
      <c r="P46" s="7"/>
      <c r="Q46" s="22"/>
      <c r="R46" s="22"/>
      <c r="S46" s="31">
        <f t="shared" si="26"/>
        <v>1</v>
      </c>
      <c r="T46" s="46" t="str">
        <f t="shared" si="27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28"/>
        <v>https://d0f6bd738d7f1b3e5a7ca70fe4ff75f0.us-east-1.aws.found.io/app/kibana#/discover/Steve-Slow-Train-Analysis-(2080s-and-2083s)?_g=(refreshInterval:(display:Off,pause:!f,section:0,value:0),time:(from:'2017-04-02T07:36:18-0600',mode:absolute,to:'2017-04-02T10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6" s="183" t="str">
        <f t="shared" si="29"/>
        <v>N</v>
      </c>
      <c r="X46" s="183">
        <f t="shared" si="30"/>
        <v>1</v>
      </c>
      <c r="Y46" s="62">
        <f t="shared" si="31"/>
        <v>23.3019</v>
      </c>
      <c r="Z46" s="62">
        <f t="shared" si="32"/>
        <v>1.4500000000000001E-2</v>
      </c>
      <c r="AA46" s="62">
        <f t="shared" si="33"/>
        <v>23.287399999999998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34"/>
        <v>0134-02</v>
      </c>
      <c r="AE46" s="85" t="str">
        <f t="shared" si="35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46" s="82" t="str">
        <f t="shared" si="36"/>
        <v>"C:\Program Files (x86)\AstroGrep\AstroGrep.exe" /e /r /s /spath="%USERPROFILE%\AppData\Local\Temp\OnboardLogs" /stypes="app*4053*20170402*" /stext=" 15:.+((SYSTEM_STATE.+slice.+state.+changed )|(ment ac)|(multiple cpu faults)|(system.+state.+changed )|(\[timeout)|(PRM\|1\|D)|(kpr)|(kdp)|(\|lc)|(penalty))"</v>
      </c>
      <c r="AG46" s="1" t="str">
        <f t="shared" si="37"/>
        <v>EC</v>
      </c>
      <c r="AH46" s="86" t="str">
        <f t="shared" si="19"/>
        <v>"%USERPROFILE%\Documents\GitHub\eaglep3\Utilities\RefineRTDCRunTimes.py" --tripid 134-02 --locoid 4053 --swversion DE.1.0.9.0 --startMP 204:233019 --initTime 2017-04-02T08:36:18 --startdatetime 2017-04-02T08:41:21 --delay 1 --endMP 204:145 --enddatetime 2017-04-02T09:19:12 --enforcementcount 0 &gt;&gt;C:\Users\stu\Documents\GitHub\eaglep3-reporting\EC\2017-04-02-refined-times.txt</v>
      </c>
      <c r="AI46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{"issue":{"subject":"","project_id":79,"tracker_id":40,"status_id":1,"priority_id":2,"assigned_to_id":23,"start_date":"2017-04-02","description":"","custom_fields":[{"id":1,"name":"Subdivision","value":"EC"},{"id":4,"name":"Milepost","value":"0.0145"},{"id":17,"name":"Train ID","value":"134-02"},{"id":16,"name":"Locomotive ID","value":"4053"},{"id":130,"name":"Impact","value":""},{"id":150,"name":"Time of Event (Mountain Time)","value":"09:19:12"},{"id":151,"name":"Denver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4053 --day 2017-04-02</v>
      </c>
      <c r="AN46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689</v>
      </c>
      <c r="B47" s="7">
        <v>4010</v>
      </c>
      <c r="C47" s="21" t="s">
        <v>217</v>
      </c>
      <c r="D47" s="21" t="s">
        <v>851</v>
      </c>
      <c r="E47" s="13">
        <v>42827.329143518517</v>
      </c>
      <c r="F47" s="13">
        <v>42827.333553240744</v>
      </c>
      <c r="G47" s="7">
        <v>1</v>
      </c>
      <c r="H47" s="21" t="s">
        <v>852</v>
      </c>
      <c r="I47" s="13">
        <v>42827.361944444441</v>
      </c>
      <c r="J47" s="7">
        <v>0</v>
      </c>
      <c r="K47" s="97" t="str">
        <f t="shared" si="23"/>
        <v>4009/4010</v>
      </c>
      <c r="L47" s="21" t="str">
        <f>VLOOKUP(A47,'Trips&amp;Operators'!$C$1:$G$99999,5,FALSE)</f>
        <v>DAVIS WENDY</v>
      </c>
      <c r="M47" s="6">
        <f t="shared" si="24"/>
        <v>2.8391203697538003E-2</v>
      </c>
      <c r="N47" s="7">
        <f t="shared" si="25"/>
        <v>40.883333324454725</v>
      </c>
      <c r="O47" s="7"/>
      <c r="P47" s="7"/>
      <c r="Q47" s="22"/>
      <c r="R47" s="22" t="s">
        <v>968</v>
      </c>
      <c r="S47" s="31">
        <f t="shared" si="26"/>
        <v>1</v>
      </c>
      <c r="T47" s="46" t="str">
        <f t="shared" si="27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28"/>
        <v>https://d0f6bd738d7f1b3e5a7ca70fe4ff75f0.us-east-1.aws.found.io/app/kibana#/discover/Steve-Slow-Train-Analysis-(2080s-and-2083s)?_g=(refreshInterval:(display:Off,pause:!f,section:0,value:0),time:(from:'2017-04-02T06:53:58-0600',mode:absolute,to:'2017-04-02T09:41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83" t="str">
        <f t="shared" si="29"/>
        <v>N</v>
      </c>
      <c r="X47" s="183">
        <f t="shared" si="30"/>
        <v>1</v>
      </c>
      <c r="Y47" s="62">
        <f t="shared" si="31"/>
        <v>4.58E-2</v>
      </c>
      <c r="Z47" s="62">
        <f t="shared" si="32"/>
        <v>23.332599999999999</v>
      </c>
      <c r="AA47" s="62">
        <f t="shared" si="33"/>
        <v>23.286799999999999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34"/>
        <v>0135-02</v>
      </c>
      <c r="AE47" s="85" t="str">
        <f t="shared" si="35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47" s="82" t="str">
        <f t="shared" si="36"/>
        <v>"C:\Program Files (x86)\AstroGrep\AstroGrep.exe" /e /r /s /spath="%USERPROFILE%\AppData\Local\Temp\OnboardLogs" /stypes="app*4010*20170402*" /stext=" 14:.+((SYSTEM_STATE.+slice.+state.+changed )|(ment ac)|(multiple cpu faults)|(system.+state.+changed )|(\[timeout)|(PRM\|1\|D)|(kpr)|(kdp)|(\|lc)|(penalty))"</v>
      </c>
      <c r="AG47" s="1" t="str">
        <f t="shared" si="37"/>
        <v>EC</v>
      </c>
      <c r="AH47" s="86" t="str">
        <f t="shared" si="19"/>
        <v>"%USERPROFILE%\Documents\GitHub\eaglep3\Utilities\RefineRTDCRunTimes.py" --tripid 135-02 --locoid 4010 --swversion DE.1.0.9.0 --startMP 204:458 --initTime 2017-04-02T07:53:58 --startdatetime 2017-04-02T08:00:19 --delay 1 --endMP 204:233326 --enddatetime 2017-04-02T08:41:12 --enforcementcount 0 &gt;&gt;C:\Users\stu\Documents\GitHub\eaglep3-reporting\EC\2017-04-02-refined-times.txt</v>
      </c>
      <c r="AI47" s="104" t="str">
        <f t="shared" si="20"/>
        <v>echo {"issue":{"subject":"Red fence reported at Sand Creek 2N, signal cleared by dispatcher shortly afterward","project_id":79,"tracker_id":40,"status_id":1,"priority_id":2,"assigned_to_id":23,"start_date":"2017-04-02","description":"","custom_fields":[{"id":1,"name":"Subdivision","value":"EC"},{"id":4,"name":"Milepost","value":"23.3326"},{"id":17,"name":"Train ID","value":"135-02"},{"id":16,"name":"Locomotive ID","value":"4010"},{"id":130,"name":"Impact","value":""},{"id":150,"name":"Time of Event (Mountain Time)","value":"08:41:12"},{"id":151,"name":"Denver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4010 --day 2017-04-02</v>
      </c>
      <c r="AN47" s="159" t="str">
        <f t="shared" si="22"/>
        <v>echo {"issue":{"subject":"Red fence reported at Sand Creek 2N, signal cleared by dispatcher shortly afterward","project_id":30,"tracker_id":4,"status_id":1,"priority_id":1,"assigned_to_id":10,"start_date":"2017-04-02","description":"","custom_fields":[{"id":30,"name":"Category","value":"Issue"},{"id":3,"name":"Functional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14:41:12"},{"id":29,"name":"Sharepoint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698</v>
      </c>
      <c r="B48" s="7">
        <v>4009</v>
      </c>
      <c r="C48" s="21" t="s">
        <v>217</v>
      </c>
      <c r="D48" s="21" t="s">
        <v>520</v>
      </c>
      <c r="E48" s="13">
        <v>42827.369340277779</v>
      </c>
      <c r="F48" s="13">
        <v>42827.372407407405</v>
      </c>
      <c r="G48" s="7">
        <v>1</v>
      </c>
      <c r="H48" s="21" t="s">
        <v>205</v>
      </c>
      <c r="I48" s="13">
        <v>42827.400208333333</v>
      </c>
      <c r="J48" s="7">
        <v>0</v>
      </c>
      <c r="K48" s="97" t="str">
        <f t="shared" si="23"/>
        <v>4009/4010</v>
      </c>
      <c r="L48" s="21" t="str">
        <f>VLOOKUP(A48,'Trips&amp;Operators'!$C$1:$G$99999,5,FALSE)</f>
        <v>DAVIS WENDY</v>
      </c>
      <c r="M48" s="6">
        <f t="shared" si="24"/>
        <v>2.7800925927294884E-2</v>
      </c>
      <c r="N48" s="7">
        <f t="shared" si="25"/>
        <v>40.033333335304633</v>
      </c>
      <c r="O48" s="7"/>
      <c r="P48" s="7"/>
      <c r="Q48" s="22"/>
      <c r="R48" s="22"/>
      <c r="S48" s="31">
        <f t="shared" si="26"/>
        <v>1</v>
      </c>
      <c r="T48" s="46" t="str">
        <f t="shared" si="27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28"/>
        <v>https://d0f6bd738d7f1b3e5a7ca70fe4ff75f0.us-east-1.aws.found.io/app/kibana#/discover/Steve-Slow-Train-Analysis-(2080s-and-2083s)?_g=(refreshInterval:(display:Off,pause:!f,section:0,value:0),time:(from:'2017-04-02T07:51:51-0600',mode:absolute,to:'2017-04-02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83" t="str">
        <f t="shared" si="29"/>
        <v>N</v>
      </c>
      <c r="X48" s="183">
        <f t="shared" si="30"/>
        <v>1</v>
      </c>
      <c r="Y48" s="62">
        <f t="shared" si="31"/>
        <v>23.3</v>
      </c>
      <c r="Z48" s="62">
        <f t="shared" si="32"/>
        <v>1.54E-2</v>
      </c>
      <c r="AA48" s="62">
        <f t="shared" si="33"/>
        <v>23.284600000000001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34"/>
        <v>0136-02</v>
      </c>
      <c r="AE48" s="85" t="str">
        <f t="shared" si="35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48" s="82" t="str">
        <f t="shared" si="36"/>
        <v>"C:\Program Files (x86)\AstroGrep\AstroGrep.exe" /e /r /s /spath="%USERPROFILE%\AppData\Local\Temp\OnboardLogs" /stypes="app*4009*20170402*" /stext=" 15:.+((SYSTEM_STATE.+slice.+state.+changed )|(ment ac)|(multiple cpu faults)|(system.+state.+changed )|(\[timeout)|(PRM\|1\|D)|(kpr)|(kdp)|(\|lc)|(penalty))"</v>
      </c>
      <c r="AG48" s="1" t="str">
        <f t="shared" si="37"/>
        <v>EC</v>
      </c>
      <c r="AH48" s="86" t="str">
        <f t="shared" si="19"/>
        <v>"%USERPROFILE%\Documents\GitHub\eaglep3\Utilities\RefineRTDCRunTimes.py" --tripid 136-02 --locoid 4009 --swversion DE.1.0.9.0 --startMP 204:233000 --initTime 2017-04-02T08:51:51 --startdatetime 2017-04-02T08:56:16 --delay 1 --endMP 204:154 --enddatetime 2017-04-02T09:36:18 --enforcementcount 0 &gt;&gt;C:\Users\stu\Documents\GitHub\eaglep3-reporting\EC\2017-04-02-refined-times.txt</v>
      </c>
      <c r="AI48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{"issue":{"subject":"","project_id":79,"tracker_id":40,"status_id":1,"priority_id":2,"assigned_to_id":23,"start_date":"2017-04-02","description":"","custom_fields":[{"id":1,"name":"Subdivision","value":"EC"},{"id":4,"name":"Milepost","value":"0.0154"},{"id":17,"name":"Train ID","value":"136-02"},{"id":16,"name":"Locomotive ID","value":"4009"},{"id":130,"name":"Impact","value":""},{"id":150,"name":"Time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4009 --day 2017-04-02</v>
      </c>
      <c r="AN48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692</v>
      </c>
      <c r="B49" s="7">
        <v>4011</v>
      </c>
      <c r="C49" s="21" t="s">
        <v>217</v>
      </c>
      <c r="D49" s="21" t="s">
        <v>211</v>
      </c>
      <c r="E49" s="13">
        <v>42827.339108796295</v>
      </c>
      <c r="F49" s="13">
        <v>42827.343912037039</v>
      </c>
      <c r="G49" s="7">
        <v>1</v>
      </c>
      <c r="H49" s="21" t="s">
        <v>515</v>
      </c>
      <c r="I49" s="13">
        <v>42827.369849537034</v>
      </c>
      <c r="J49" s="7">
        <v>0</v>
      </c>
      <c r="K49" s="97" t="str">
        <f t="shared" si="23"/>
        <v>4011/4012</v>
      </c>
      <c r="L49" s="21" t="str">
        <f>VLOOKUP(A49,'Trips&amp;Operators'!$C$1:$G$99999,5,FALSE)</f>
        <v>ROBINSON KADDIBA</v>
      </c>
      <c r="M49" s="6">
        <f t="shared" si="24"/>
        <v>2.5937499995052349E-2</v>
      </c>
      <c r="N49" s="7">
        <f t="shared" si="25"/>
        <v>37.349999992875382</v>
      </c>
      <c r="O49" s="7"/>
      <c r="P49" s="7"/>
      <c r="Q49" s="22"/>
      <c r="R49" s="22"/>
      <c r="S49" s="31">
        <f t="shared" si="26"/>
        <v>1</v>
      </c>
      <c r="T49" s="46" t="str">
        <f t="shared" si="27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28"/>
        <v>https://d0f6bd738d7f1b3e5a7ca70fe4ff75f0.us-east-1.aws.found.io/app/kibana#/discover/Steve-Slow-Train-Analysis-(2080s-and-2083s)?_g=(refreshInterval:(display:Off,pause:!f,section:0,value:0),time:(from:'2017-04-02T07:08:19-0600',mode:absolute,to:'2017-04-02T09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183" t="str">
        <f t="shared" si="29"/>
        <v>N</v>
      </c>
      <c r="X49" s="183">
        <f t="shared" si="30"/>
        <v>1</v>
      </c>
      <c r="Y49" s="62">
        <f t="shared" si="31"/>
        <v>4.53E-2</v>
      </c>
      <c r="Z49" s="62">
        <f t="shared" si="32"/>
        <v>23.331</v>
      </c>
      <c r="AA49" s="62">
        <f t="shared" si="33"/>
        <v>23.285699999999999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34"/>
        <v>0137-02</v>
      </c>
      <c r="AE49" s="85" t="str">
        <f t="shared" si="35"/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49" s="82" t="str">
        <f t="shared" si="36"/>
        <v>"C:\Program Files (x86)\AstroGrep\AstroGrep.exe" /e /r /s /spath="%USERPROFILE%\AppData\Local\Temp\OnboardLogs" /stypes="app*4011*20170402*" /stext=" 14:.+((SYSTEM_STATE.+slice.+state.+changed )|(ment ac)|(multiple cpu faults)|(system.+state.+changed )|(\[timeout)|(PRM\|1\|D)|(kpr)|(kdp)|(\|lc)|(penalty))"</v>
      </c>
      <c r="AG49" s="1" t="str">
        <f t="shared" si="37"/>
        <v>EC</v>
      </c>
      <c r="AH49" s="86" t="str">
        <f t="shared" si="19"/>
        <v>"%USERPROFILE%\Documents\GitHub\eaglep3\Utilities\RefineRTDCRunTimes.py" --tripid 137-02 --locoid 4011 --swversion DE.1.0.9.0 --startMP 204:453 --initTime 2017-04-02T08:08:19 --startdatetime 2017-04-02T08:15:14 --delay 1 --endMP 204:233310 --enddatetime 2017-04-02T08:52:35 --enforcementcount 0 &gt;&gt;C:\Users\stu\Documents\GitHub\eaglep3-reporting\EC\2017-04-02-refined-times.txt</v>
      </c>
      <c r="AI49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{"issue":{"subject":"","project_id":79,"tracker_id":40,"status_id":1,"priority_id":2,"assigned_to_id":23,"start_date":"2017-04-02","description":"","custom_fields":[{"id":1,"name":"Subdivision","value":"EC"},{"id":4,"name":"Milepost","value":"23.331"},{"id":17,"name":"Train ID","value":"137-02"},{"id":16,"name":"Locomotive ID","value":"4011"},{"id":130,"name":"Impact","value":""},{"id":150,"name":"Time of Event (Mountain Time)","value":"08:52:35"},{"id":151,"name":"Denver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4011 --day 2017-04-02</v>
      </c>
      <c r="AN49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613</v>
      </c>
      <c r="B50" s="7">
        <v>4012</v>
      </c>
      <c r="C50" s="21" t="s">
        <v>217</v>
      </c>
      <c r="D50" s="21" t="s">
        <v>853</v>
      </c>
      <c r="E50" s="13">
        <v>42827.377442129633</v>
      </c>
      <c r="F50" s="13">
        <v>42827.382800925923</v>
      </c>
      <c r="G50" s="7">
        <v>1</v>
      </c>
      <c r="H50" s="21" t="s">
        <v>184</v>
      </c>
      <c r="I50" s="13">
        <v>42827.410046296296</v>
      </c>
      <c r="J50" s="7">
        <v>0</v>
      </c>
      <c r="K50" s="97" t="str">
        <f t="shared" si="23"/>
        <v>4011/4012</v>
      </c>
      <c r="L50" s="21" t="str">
        <f>VLOOKUP(A50,'Trips&amp;Operators'!$C$1:$G$99999,5,FALSE)</f>
        <v>ROBINSON KADDIBA</v>
      </c>
      <c r="M50" s="6">
        <f t="shared" si="24"/>
        <v>2.7245370372838806E-2</v>
      </c>
      <c r="N50" s="7">
        <f t="shared" si="25"/>
        <v>39.233333336887881</v>
      </c>
      <c r="O50" s="7"/>
      <c r="P50" s="7"/>
      <c r="Q50" s="22"/>
      <c r="R50" s="22"/>
      <c r="S50" s="31">
        <f t="shared" si="26"/>
        <v>1</v>
      </c>
      <c r="T50" s="46" t="str">
        <f t="shared" si="27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28"/>
        <v>https://d0f6bd738d7f1b3e5a7ca70fe4ff75f0.us-east-1.aws.found.io/app/kibana#/discover/Steve-Slow-Train-Analysis-(2080s-and-2083s)?_g=(refreshInterval:(display:Off,pause:!f,section:0,value:0),time:(from:'2017-04-02T08:03:31-0600',mode:absolute,to:'2017-04-02T10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183" t="str">
        <f t="shared" si="29"/>
        <v>N</v>
      </c>
      <c r="X50" s="183">
        <f t="shared" si="30"/>
        <v>1</v>
      </c>
      <c r="Y50" s="62">
        <f t="shared" si="31"/>
        <v>23.300799999999999</v>
      </c>
      <c r="Z50" s="62">
        <f t="shared" si="32"/>
        <v>1.49E-2</v>
      </c>
      <c r="AA50" s="62">
        <f t="shared" si="33"/>
        <v>23.285899999999998</v>
      </c>
      <c r="AB50" s="59" t="str">
        <f>VLOOKUP(A50,Enforcements!$C$7:$K$13,8,0)</f>
        <v>Bulletin (2)</v>
      </c>
      <c r="AC50" s="55" t="str">
        <f>VLOOKUP(A50,Enforcements!$C$7:$E$13,3,0)</f>
        <v>GRADE CROSSING</v>
      </c>
      <c r="AD50" s="56" t="str">
        <f t="shared" si="34"/>
        <v>0138-02</v>
      </c>
      <c r="AE50" s="85" t="str">
        <f t="shared" si="35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50" s="82" t="str">
        <f t="shared" si="36"/>
        <v>"C:\Program Files (x86)\AstroGrep\AstroGrep.exe" /e /r /s /spath="%USERPROFILE%\AppData\Local\Temp\OnboardLogs" /stypes="app*4012*20170402*" /stext=" 15:.+((SYSTEM_STATE.+slice.+state.+changed )|(ment ac)|(multiple cpu faults)|(system.+state.+changed )|(\[timeout)|(PRM\|1\|D)|(kpr)|(kdp)|(\|lc)|(penalty))"</v>
      </c>
      <c r="AG50" s="1" t="str">
        <f t="shared" si="37"/>
        <v>EC</v>
      </c>
      <c r="AH50" s="86" t="str">
        <f t="shared" si="19"/>
        <v>"%USERPROFILE%\Documents\GitHub\eaglep3\Utilities\RefineRTDCRunTimes.py" --tripid 138-02 --locoid 4012 --swversion DE.1.0.9.0 --startMP 204:233008 --initTime 2017-04-02T09:03:31 --startdatetime 2017-04-02T09:11:14 --delay 1 --endMP 204:149 --enddatetime 2017-04-02T09:50:28 --enforcementcount 0 &gt;&gt;C:\Users\stu\Documents\GitHub\eaglep3-reporting\EC\2017-04-02-refined-times.txt</v>
      </c>
      <c r="AI50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{"issue":{"subject":"","project_id":79,"tracker_id":40,"status_id":1,"priority_id":2,"assigned_to_id":23,"start_date":"2017-04-02","description":"","custom_fields":[{"id":1,"name":"Subdivision","value":"EC"},{"id":4,"name":"Milepost","value":"0.0149"},{"id":17,"name":"Train ID","value":"138-02"},{"id":16,"name":"Locomotive ID","value":"4012"},{"id":130,"name":"Impact","value":""},{"id":150,"name":"Time of Event (Mountain Time)","value":"09:50:28"},{"id":151,"name":"Denver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4012 --day 2017-04-02</v>
      </c>
      <c r="AN50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694</v>
      </c>
      <c r="B51" s="7">
        <v>4016</v>
      </c>
      <c r="C51" s="21" t="s">
        <v>217</v>
      </c>
      <c r="D51" s="21" t="s">
        <v>423</v>
      </c>
      <c r="E51" s="13">
        <v>42827.349293981482</v>
      </c>
      <c r="F51" s="13">
        <v>42827.35434027778</v>
      </c>
      <c r="G51" s="7">
        <v>2</v>
      </c>
      <c r="H51" s="21" t="s">
        <v>590</v>
      </c>
      <c r="I51" s="13">
        <v>42827.37872685185</v>
      </c>
      <c r="J51" s="7">
        <v>0</v>
      </c>
      <c r="K51" s="97" t="str">
        <f t="shared" si="23"/>
        <v>4015/4016</v>
      </c>
      <c r="L51" s="21" t="str">
        <f>VLOOKUP(A51,'Trips&amp;Operators'!$C$1:$G$99999,5,FALSE)</f>
        <v>GEBRETEKLE DAGNEW</v>
      </c>
      <c r="M51" s="6">
        <f t="shared" si="24"/>
        <v>2.438657407037681E-2</v>
      </c>
      <c r="N51" s="7">
        <f t="shared" si="25"/>
        <v>35.116666661342606</v>
      </c>
      <c r="O51" s="7"/>
      <c r="P51" s="7"/>
      <c r="Q51" s="22"/>
      <c r="R51" s="22"/>
      <c r="S51" s="31">
        <f t="shared" si="26"/>
        <v>1</v>
      </c>
      <c r="T51" s="46" t="str">
        <f t="shared" si="27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28"/>
        <v>https://d0f6bd738d7f1b3e5a7ca70fe4ff75f0.us-east-1.aws.found.io/app/kibana#/discover/Steve-Slow-Train-Analysis-(2080s-and-2083s)?_g=(refreshInterval:(display:Off,pause:!f,section:0,value:0),time:(from:'2017-04-02T07:22:59-0600',mode:absolute,to:'2017-04-02T10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1" s="183" t="str">
        <f t="shared" si="29"/>
        <v>N</v>
      </c>
      <c r="X51" s="183">
        <f t="shared" si="30"/>
        <v>1</v>
      </c>
      <c r="Y51" s="62">
        <f t="shared" si="31"/>
        <v>4.4900000000000002E-2</v>
      </c>
      <c r="Z51" s="62">
        <f t="shared" si="32"/>
        <v>23.331800000000001</v>
      </c>
      <c r="AA51" s="62">
        <f t="shared" si="33"/>
        <v>23.286900000000003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34"/>
        <v>0139-02</v>
      </c>
      <c r="AE51" s="85" t="str">
        <f t="shared" si="35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51" s="82" t="str">
        <f t="shared" si="36"/>
        <v>"C:\Program Files (x86)\AstroGrep\AstroGrep.exe" /e /r /s /spath="%USERPROFILE%\AppData\Local\Temp\OnboardLogs" /stypes="app*4016*20170402*" /stext=" 15:.+((SYSTEM_STATE.+slice.+state.+changed )|(ment ac)|(multiple cpu faults)|(system.+state.+changed )|(\[timeout)|(PRM\|1\|D)|(kpr)|(kdp)|(\|lc)|(penalty))"</v>
      </c>
      <c r="AG51" s="1" t="str">
        <f t="shared" si="37"/>
        <v>EC</v>
      </c>
      <c r="AH51" s="86" t="str">
        <f t="shared" si="19"/>
        <v>"%USERPROFILE%\Documents\GitHub\eaglep3\Utilities\RefineRTDCRunTimes.py" --tripid 139-02 --locoid 4016 --swversion DE.1.0.9.0 --startMP 204:449 --initTime 2017-04-02T08:22:59 --startdatetime 2017-04-02T08:30:15 --delay 2 --endMP 204:233318 --enddatetime 2017-04-02T09:05:22 --enforcementcount 0 &gt;&gt;C:\Users\stu\Documents\GitHub\eaglep3-reporting\EC\2017-04-02-refined-times.txt</v>
      </c>
      <c r="AI51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{"issue":{"subject":"","project_id":79,"tracker_id":40,"status_id":1,"priority_id":2,"assigned_to_id":23,"start_date":"2017-04-02","description":"","custom_fields":[{"id":1,"name":"Subdivision","value":"EC"},{"id":4,"name":"Milepost","value":"23.3318"},{"id":17,"name":"Train ID","value":"139-02"},{"id":16,"name":"Locomotive ID","value":"4016"},{"id":130,"name":"Impact","value":""},{"id":150,"name":"Time of Event (Mountain Time)","value":"09:05:22"},{"id":151,"name":"Denver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4016 --day 2017-04-02</v>
      </c>
      <c r="AN51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701</v>
      </c>
      <c r="B52" s="7">
        <v>4015</v>
      </c>
      <c r="C52" s="21" t="s">
        <v>217</v>
      </c>
      <c r="D52" s="21" t="s">
        <v>489</v>
      </c>
      <c r="E52" s="13">
        <v>42827.380069444444</v>
      </c>
      <c r="F52" s="13">
        <v>42827.393229166664</v>
      </c>
      <c r="G52" s="7">
        <v>1</v>
      </c>
      <c r="H52" s="21" t="s">
        <v>435</v>
      </c>
      <c r="I52" s="13">
        <v>42827.420810185184</v>
      </c>
      <c r="J52" s="7">
        <v>0</v>
      </c>
      <c r="K52" s="97" t="str">
        <f t="shared" si="23"/>
        <v>4015/4016</v>
      </c>
      <c r="L52" s="21" t="str">
        <f>VLOOKUP(A52,'Trips&amp;Operators'!$C$1:$G$99999,5,FALSE)</f>
        <v>GEBRETEKLE DAGNEW</v>
      </c>
      <c r="M52" s="6">
        <f t="shared" si="24"/>
        <v>2.7581018519413192E-2</v>
      </c>
      <c r="N52" s="7">
        <f t="shared" si="25"/>
        <v>39.716666667954996</v>
      </c>
      <c r="O52" s="7"/>
      <c r="P52" s="7"/>
      <c r="Q52" s="22"/>
      <c r="R52" s="22"/>
      <c r="S52" s="31">
        <f t="shared" si="26"/>
        <v>1</v>
      </c>
      <c r="T52" s="46" t="str">
        <f t="shared" si="27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28"/>
        <v>https://d0f6bd738d7f1b3e5a7ca70fe4ff75f0.us-east-1.aws.found.io/app/kibana#/discover/Steve-Slow-Train-Analysis-(2080s-and-2083s)?_g=(refreshInterval:(display:Off,pause:!f,section:0,value:0),time:(from:'2017-04-02T08:07:18-0600',mode:absolute,to:'2017-04-02T11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2" s="183" t="str">
        <f t="shared" si="29"/>
        <v>N</v>
      </c>
      <c r="X52" s="183">
        <f t="shared" si="30"/>
        <v>1</v>
      </c>
      <c r="Y52" s="62">
        <f t="shared" si="31"/>
        <v>23.299199999999999</v>
      </c>
      <c r="Z52" s="62">
        <f t="shared" si="32"/>
        <v>1.61E-2</v>
      </c>
      <c r="AA52" s="62">
        <f t="shared" si="33"/>
        <v>23.283099999999997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34"/>
        <v>0140-02</v>
      </c>
      <c r="AE52" s="85" t="str">
        <f t="shared" si="35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52" s="82" t="str">
        <f t="shared" si="36"/>
        <v>"C:\Program Files (x86)\AstroGrep\AstroGrep.exe" /e /r /s /spath="%USERPROFILE%\AppData\Local\Temp\OnboardLogs" /stypes="app*4015*20170402*" /stext=" 16:.+((SYSTEM_STATE.+slice.+state.+changed )|(ment ac)|(multiple cpu faults)|(system.+state.+changed )|(\[timeout)|(PRM\|1\|D)|(kpr)|(kdp)|(\|lc)|(penalty))"</v>
      </c>
      <c r="AG52" s="1" t="str">
        <f t="shared" si="37"/>
        <v>EC</v>
      </c>
      <c r="AH52" s="86" t="str">
        <f t="shared" si="19"/>
        <v>"%USERPROFILE%\Documents\GitHub\eaglep3\Utilities\RefineRTDCRunTimes.py" --tripid 140-02 --locoid 4015 --swversion DE.1.0.9.0 --startMP 204:232992 --initTime 2017-04-02T09:07:18 --startdatetime 2017-04-02T09:26:15 --delay 1 --endMP 204:161 --enddatetime 2017-04-02T10:05:58 --enforcementcount 0 &gt;&gt;C:\Users\stu\Documents\GitHub\eaglep3-reporting\EC\2017-04-02-refined-times.txt</v>
      </c>
      <c r="AI52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{"issue":{"subject":"","project_id":79,"tracker_id":40,"status_id":1,"priority_id":2,"assigned_to_id":23,"start_date":"2017-04-02","description":"","custom_fields":[{"id":1,"name":"Subdivision","value":"EC"},{"id":4,"name":"Milepost","value":"0.0161"},{"id":17,"name":"Train ID","value":"140-02"},{"id":16,"name":"Locomotive ID","value":"4015"},{"id":130,"name":"Impact","value":""},{"id":150,"name":"Time of Event (Mountain Time)","value":"10:05:58"},{"id":151,"name":"Denver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4015 --day 2017-04-02</v>
      </c>
      <c r="AN52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697</v>
      </c>
      <c r="B53" s="7">
        <v>4020</v>
      </c>
      <c r="C53" s="21" t="s">
        <v>217</v>
      </c>
      <c r="D53" s="21" t="s">
        <v>206</v>
      </c>
      <c r="E53" s="13">
        <v>42827.362025462964</v>
      </c>
      <c r="F53" s="13">
        <v>42827.36478009259</v>
      </c>
      <c r="G53" s="7">
        <v>1</v>
      </c>
      <c r="H53" s="21" t="s">
        <v>474</v>
      </c>
      <c r="I53" s="13">
        <v>42827.389710648145</v>
      </c>
      <c r="J53" s="7">
        <v>0</v>
      </c>
      <c r="K53" s="97" t="str">
        <f t="shared" si="23"/>
        <v>4019/4020</v>
      </c>
      <c r="L53" s="21" t="str">
        <f>VLOOKUP(A53,'Trips&amp;Operators'!$C$1:$G$99999,5,FALSE)</f>
        <v>SANTIZO D. EDY</v>
      </c>
      <c r="M53" s="6">
        <f t="shared" si="24"/>
        <v>2.4930555555329192E-2</v>
      </c>
      <c r="N53" s="7">
        <f t="shared" si="25"/>
        <v>35.899999999674037</v>
      </c>
      <c r="O53" s="7"/>
      <c r="P53" s="7"/>
      <c r="Q53" s="22"/>
      <c r="R53" s="22"/>
      <c r="S53" s="31">
        <f t="shared" si="26"/>
        <v>1</v>
      </c>
      <c r="T53" s="46" t="str">
        <f t="shared" si="27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28"/>
        <v>https://d0f6bd738d7f1b3e5a7ca70fe4ff75f0.us-east-1.aws.found.io/app/kibana#/discover/Steve-Slow-Train-Analysis-(2080s-and-2083s)?_g=(refreshInterval:(display:Off,pause:!f,section:0,value:0),time:(from:'2017-04-02T07:41:19-0600',mode:absolute,to:'2017-04-02T10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183" t="str">
        <f t="shared" si="29"/>
        <v>N</v>
      </c>
      <c r="X53" s="183">
        <f t="shared" si="30"/>
        <v>1</v>
      </c>
      <c r="Y53" s="62">
        <f t="shared" si="31"/>
        <v>4.5100000000000001E-2</v>
      </c>
      <c r="Z53" s="62">
        <f t="shared" si="32"/>
        <v>23.330400000000001</v>
      </c>
      <c r="AA53" s="62">
        <f t="shared" si="33"/>
        <v>23.285299999999999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34"/>
        <v>0141-02</v>
      </c>
      <c r="AE53" s="85" t="str">
        <f t="shared" si="35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53" s="82" t="str">
        <f t="shared" si="36"/>
        <v>"C:\Program Files (x86)\AstroGrep\AstroGrep.exe" /e /r /s /spath="%USERPROFILE%\AppData\Local\Temp\OnboardLogs" /stypes="app*4020*20170402*" /stext=" 15:.+((SYSTEM_STATE.+slice.+state.+changed )|(ment ac)|(multiple cpu faults)|(system.+state.+changed )|(\[timeout)|(PRM\|1\|D)|(kpr)|(kdp)|(\|lc)|(penalty))"</v>
      </c>
      <c r="AG53" s="1" t="str">
        <f t="shared" si="37"/>
        <v>EC</v>
      </c>
      <c r="AH53" s="86" t="str">
        <f t="shared" si="19"/>
        <v>"%USERPROFILE%\Documents\GitHub\eaglep3\Utilities\RefineRTDCRunTimes.py" --tripid 141-02 --locoid 4020 --swversion DE.1.0.9.0 --startMP 204:451 --initTime 2017-04-02T08:41:19 --startdatetime 2017-04-02T08:45:17 --delay 1 --endMP 204:233304 --enddatetime 2017-04-02T09:21:11 --enforcementcount 0 &gt;&gt;C:\Users\stu\Documents\GitHub\eaglep3-reporting\EC\2017-04-02-refined-times.txt</v>
      </c>
      <c r="AI53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{"issue":{"subject":"","project_id":79,"tracker_id":40,"status_id":1,"priority_id":2,"assigned_to_id":23,"start_date":"2017-04-02","description":"","custom_fields":[{"id":1,"name":"Subdivision","value":"EC"},{"id":4,"name":"Milepost","value":"23.3304"},{"id":17,"name":"Train ID","value":"141-02"},{"id":16,"name":"Locomotive ID","value":"4020"},{"id":130,"name":"Impact","value":""},{"id":150,"name":"Time of Event (Mountain Time)","value":"09:21:11"},{"id":151,"name":"Denver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4020 --day 2017-04-02</v>
      </c>
      <c r="AN53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615</v>
      </c>
      <c r="B54" s="7">
        <v>4019</v>
      </c>
      <c r="C54" s="21" t="s">
        <v>217</v>
      </c>
      <c r="D54" s="21" t="s">
        <v>844</v>
      </c>
      <c r="E54" s="13">
        <v>42827.390902777777</v>
      </c>
      <c r="F54" s="13">
        <v>42827.403680555559</v>
      </c>
      <c r="G54" s="7">
        <v>1</v>
      </c>
      <c r="H54" s="21" t="s">
        <v>854</v>
      </c>
      <c r="I54" s="13">
        <v>42827.429363425923</v>
      </c>
      <c r="J54" s="7">
        <v>0</v>
      </c>
      <c r="K54" s="97" t="str">
        <f t="shared" si="23"/>
        <v>4019/4020</v>
      </c>
      <c r="L54" s="21" t="str">
        <f>VLOOKUP(A54,'Trips&amp;Operators'!$C$1:$G$99999,5,FALSE)</f>
        <v>SANTIZO D. EDY</v>
      </c>
      <c r="M54" s="6">
        <f t="shared" si="24"/>
        <v>2.5682870364107657E-2</v>
      </c>
      <c r="N54" s="7">
        <f t="shared" si="25"/>
        <v>36.983333324315026</v>
      </c>
      <c r="O54" s="7"/>
      <c r="P54" s="7"/>
      <c r="Q54" s="22"/>
      <c r="R54" s="22"/>
      <c r="S54" s="31">
        <f t="shared" si="26"/>
        <v>1</v>
      </c>
      <c r="T54" s="46" t="str">
        <f t="shared" si="27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28"/>
        <v>https://d0f6bd738d7f1b3e5a7ca70fe4ff75f0.us-east-1.aws.found.io/app/kibana#/discover/Steve-Slow-Train-Analysis-(2080s-and-2083s)?_g=(refreshInterval:(display:Off,pause:!f,section:0,value:0),time:(from:'2017-04-02T08:22:54-0600',mode:absolute,to:'2017-04-02T11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183" t="str">
        <f t="shared" si="29"/>
        <v>N</v>
      </c>
      <c r="X54" s="183">
        <f t="shared" si="30"/>
        <v>1</v>
      </c>
      <c r="Y54" s="62">
        <f t="shared" si="31"/>
        <v>23.3004</v>
      </c>
      <c r="Z54" s="62">
        <f t="shared" si="32"/>
        <v>1.9099999999999999E-2</v>
      </c>
      <c r="AA54" s="62">
        <f t="shared" si="33"/>
        <v>23.281299999999998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34"/>
        <v>0142-02</v>
      </c>
      <c r="AE54" s="85" t="str">
        <f t="shared" si="35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54" s="82" t="str">
        <f t="shared" si="36"/>
        <v>"C:\Program Files (x86)\AstroGrep\AstroGrep.exe" /e /r /s /spath="%USERPROFILE%\AppData\Local\Temp\OnboardLogs" /stypes="app*4019*20170402*" /stext=" 16:.+((SYSTEM_STATE.+slice.+state.+changed )|(ment ac)|(multiple cpu faults)|(system.+state.+changed )|(\[timeout)|(PRM\|1\|D)|(kpr)|(kdp)|(\|lc)|(penalty))"</v>
      </c>
      <c r="AG54" s="1" t="str">
        <f t="shared" si="37"/>
        <v>EC</v>
      </c>
      <c r="AH54" s="86" t="str">
        <f t="shared" si="19"/>
        <v>"%USERPROFILE%\Documents\GitHub\eaglep3\Utilities\RefineRTDCRunTimes.py" --tripid 142-02 --locoid 4019 --swversion DE.1.0.9.0 --startMP 204:233004 --initTime 2017-04-02T09:22:54 --startdatetime 2017-04-02T09:41:18 --delay 1 --endMP 204:191 --enddatetime 2017-04-02T10:18:17 --enforcementcount 0 &gt;&gt;C:\Users\stu\Documents\GitHub\eaglep3-reporting\EC\2017-04-02-refined-times.txt</v>
      </c>
      <c r="AI54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{"issue":{"subject":"","project_id":79,"tracker_id":40,"status_id":1,"priority_id":2,"assigned_to_id":23,"start_date":"2017-04-02","description":"","custom_fields":[{"id":1,"name":"Subdivision","value":"EC"},{"id":4,"name":"Milepost","value":"0.0191"},{"id":17,"name":"Train ID","value":"142-02"},{"id":16,"name":"Locomotive ID","value":"4019"},{"id":130,"name":"Impact","value":""},{"id":150,"name":"Time of Event (Mountain Time)","value":"10:18:17"},{"id":151,"name":"Denver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4019 --day 2017-04-02</v>
      </c>
      <c r="AN54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16:18:17"},{"id":29,"name":"Sharepoint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699</v>
      </c>
      <c r="B55" s="7">
        <v>4002</v>
      </c>
      <c r="C55" s="21" t="s">
        <v>217</v>
      </c>
      <c r="D55" s="21" t="s">
        <v>584</v>
      </c>
      <c r="E55" s="13">
        <v>42827.371921296297</v>
      </c>
      <c r="F55" s="13">
        <v>42827.375150462962</v>
      </c>
      <c r="G55" s="7">
        <v>0</v>
      </c>
      <c r="H55" s="21" t="s">
        <v>589</v>
      </c>
      <c r="I55" s="13">
        <v>42827.400300925925</v>
      </c>
      <c r="J55" s="7">
        <v>0</v>
      </c>
      <c r="K55" s="97" t="str">
        <f t="shared" si="23"/>
        <v>4001/4002</v>
      </c>
      <c r="L55" s="21" t="str">
        <f>VLOOKUP(A55,'Trips&amp;Operators'!$C$1:$G$99999,5,FALSE)</f>
        <v>SHOOK JOHN</v>
      </c>
      <c r="M55" s="6">
        <f t="shared" si="24"/>
        <v>2.5150462963210884E-2</v>
      </c>
      <c r="N55" s="7">
        <f t="shared" si="25"/>
        <v>36.216666667023674</v>
      </c>
      <c r="O55" s="7"/>
      <c r="P55" s="7"/>
      <c r="Q55" s="22"/>
      <c r="R55" s="22"/>
      <c r="S55" s="31">
        <f t="shared" si="26"/>
        <v>1</v>
      </c>
      <c r="T55" s="46" t="str">
        <f t="shared" si="27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28"/>
        <v>https://d0f6bd738d7f1b3e5a7ca70fe4ff75f0.us-east-1.aws.found.io/app/kibana#/discover/Steve-Slow-Train-Analysis-(2080s-and-2083s)?_g=(refreshInterval:(display:Off,pause:!f,section:0,value:0),time:(from:'2017-04-02T07:55:34-0600',mode:absolute,to:'2017-04-02T10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183" t="str">
        <f t="shared" si="29"/>
        <v>N</v>
      </c>
      <c r="X55" s="183">
        <f t="shared" si="30"/>
        <v>1</v>
      </c>
      <c r="Y55" s="62">
        <f t="shared" si="31"/>
        <v>4.6600000000000003E-2</v>
      </c>
      <c r="Z55" s="62">
        <f t="shared" si="32"/>
        <v>23.3322</v>
      </c>
      <c r="AA55" s="62">
        <f t="shared" si="33"/>
        <v>23.285599999999999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34"/>
        <v>0143-02</v>
      </c>
      <c r="AE55" s="85" t="str">
        <f t="shared" si="35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55" s="82" t="str">
        <f t="shared" si="36"/>
        <v>"C:\Program Files (x86)\AstroGrep\AstroGrep.exe" /e /r /s /spath="%USERPROFILE%\AppData\Local\Temp\OnboardLogs" /stypes="app*4002*20170402*" /stext=" 15:.+((SYSTEM_STATE.+slice.+state.+changed )|(ment ac)|(multiple cpu faults)|(system.+state.+changed )|(\[timeout)|(PRM\|1\|D)|(kpr)|(kdp)|(\|lc)|(penalty))"</v>
      </c>
      <c r="AG55" s="1" t="str">
        <f t="shared" si="37"/>
        <v>EC</v>
      </c>
      <c r="AH55" s="86" t="str">
        <f t="shared" si="19"/>
        <v>"%USERPROFILE%\Documents\GitHub\eaglep3\Utilities\RefineRTDCRunTimes.py" --tripid 143-02 --locoid 4002 --swversion DE.1.0.9.0 --startMP 204:466 --initTime 2017-04-02T08:55:34 --startdatetime 2017-04-02T09:00:13 --delay 0 --endMP 204:233322 --enddatetime 2017-04-02T09:36:26 --enforcementcount 0 &gt;&gt;C:\Users\stu\Documents\GitHub\eaglep3-reporting\EC\2017-04-02-refined-times.txt</v>
      </c>
      <c r="AI55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{"issue":{"subject":"","project_id":79,"tracker_id":40,"status_id":1,"priority_id":2,"assigned_to_id":23,"start_date":"2017-04-02","description":"","custom_fields":[{"id":1,"name":"Subdivision","value":"EC"},{"id":4,"name":"Milepost","value":"23.3322"},{"id":17,"name":"Train ID","value":"143-02"},{"id":16,"name":"Locomotive ID","value":"4002"},{"id":130,"name":"Impact","value":""},{"id":150,"name":"Time of Event (Mountain Time)","value":"09:36:26"},{"id":151,"name":"Denver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4002 --day 2017-04-02</v>
      </c>
      <c r="AN55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614</v>
      </c>
      <c r="B56" s="7">
        <v>4001</v>
      </c>
      <c r="C56" s="21" t="s">
        <v>217</v>
      </c>
      <c r="D56" s="21" t="s">
        <v>840</v>
      </c>
      <c r="E56" s="13">
        <v>42827.402430555558</v>
      </c>
      <c r="F56" s="13">
        <v>42827.4140625</v>
      </c>
      <c r="G56" s="7">
        <v>1</v>
      </c>
      <c r="H56" s="21" t="s">
        <v>435</v>
      </c>
      <c r="I56" s="13">
        <v>42827.442974537036</v>
      </c>
      <c r="J56" s="7">
        <v>0</v>
      </c>
      <c r="K56" s="97" t="str">
        <f t="shared" si="23"/>
        <v>4001/4002</v>
      </c>
      <c r="L56" s="21" t="str">
        <f>VLOOKUP(A56,'Trips&amp;Operators'!$C$1:$G$99999,5,FALSE)</f>
        <v>SHOOK JOHN</v>
      </c>
      <c r="M56" s="6">
        <f t="shared" si="24"/>
        <v>2.8912037036207039E-2</v>
      </c>
      <c r="N56" s="7">
        <f t="shared" si="25"/>
        <v>41.633333332138136</v>
      </c>
      <c r="O56" s="7"/>
      <c r="P56" s="7"/>
      <c r="Q56" s="22"/>
      <c r="R56" s="22"/>
      <c r="S56" s="31">
        <f t="shared" si="26"/>
        <v>1</v>
      </c>
      <c r="T56" s="46" t="str">
        <f t="shared" si="27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28"/>
        <v>https://d0f6bd738d7f1b3e5a7ca70fe4ff75f0.us-east-1.aws.found.io/app/kibana#/discover/Steve-Slow-Train-Analysis-(2080s-and-2083s)?_g=(refreshInterval:(display:Off,pause:!f,section:0,value:0),time:(from:'2017-04-02T08:39:30-0600',mode:absolute,to:'2017-04-02T11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183" t="str">
        <f t="shared" si="29"/>
        <v>N</v>
      </c>
      <c r="X56" s="183">
        <f t="shared" si="30"/>
        <v>1</v>
      </c>
      <c r="Y56" s="62">
        <f t="shared" si="31"/>
        <v>23.300699999999999</v>
      </c>
      <c r="Z56" s="62">
        <f t="shared" si="32"/>
        <v>1.61E-2</v>
      </c>
      <c r="AA56" s="62">
        <f t="shared" si="33"/>
        <v>23.284599999999998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34"/>
        <v>0144-02</v>
      </c>
      <c r="AE56" s="85" t="str">
        <f t="shared" si="35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56" s="82" t="str">
        <f t="shared" si="36"/>
        <v>"C:\Program Files (x86)\AstroGrep\AstroGrep.exe" /e /r /s /spath="%USERPROFILE%\AppData\Local\Temp\OnboardLogs" /stypes="app*4001*20170402*" /stext=" 16:.+((SYSTEM_STATE.+slice.+state.+changed )|(ment ac)|(multiple cpu faults)|(system.+state.+changed )|(\[timeout)|(PRM\|1\|D)|(kpr)|(kdp)|(\|lc)|(penalty))"</v>
      </c>
      <c r="AG56" s="1" t="str">
        <f t="shared" si="37"/>
        <v>EC</v>
      </c>
      <c r="AH56" s="86" t="str">
        <f t="shared" si="19"/>
        <v>"%USERPROFILE%\Documents\GitHub\eaglep3\Utilities\RefineRTDCRunTimes.py" --tripid 144-02 --locoid 4001 --swversion DE.1.0.9.0 --startMP 204:233007 --initTime 2017-04-02T09:39:30 --startdatetime 2017-04-02T09:56:15 --delay 1 --endMP 204:161 --enddatetime 2017-04-02T10:37:53 --enforcementcount 0 &gt;&gt;C:\Users\stu\Documents\GitHub\eaglep3-reporting\EC\2017-04-02-refined-times.txt</v>
      </c>
      <c r="AI56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{"issue":{"subject":"","project_id":79,"tracker_id":40,"status_id":1,"priority_id":2,"assigned_to_id":23,"start_date":"2017-04-02","description":"","custom_fields":[{"id":1,"name":"Subdivision","value":"EC"},{"id":4,"name":"Milepost","value":"0.0161"},{"id":17,"name":"Train ID","value":"144-02"},{"id":16,"name":"Locomotive ID","value":"4001"},{"id":130,"name":"Impact","value":""},{"id":150,"name":"Time of Event (Mountain Time)","value":"10:37:53"},{"id":151,"name":"Denver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4001 --day 2017-04-02</v>
      </c>
      <c r="AN56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702</v>
      </c>
      <c r="B57" s="7">
        <v>4025</v>
      </c>
      <c r="C57" s="21" t="s">
        <v>217</v>
      </c>
      <c r="D57" s="21" t="s">
        <v>851</v>
      </c>
      <c r="E57" s="13">
        <v>42827.38318287037</v>
      </c>
      <c r="F57" s="13">
        <v>42827.385879629626</v>
      </c>
      <c r="G57" s="7">
        <v>1</v>
      </c>
      <c r="H57" s="21" t="s">
        <v>591</v>
      </c>
      <c r="I57" s="13">
        <v>42827.410196759258</v>
      </c>
      <c r="J57" s="7">
        <v>0</v>
      </c>
      <c r="K57" s="97" t="str">
        <f t="shared" si="23"/>
        <v>4025/4026</v>
      </c>
      <c r="L57" s="21" t="str">
        <f>VLOOKUP(A57,'Trips&amp;Operators'!$C$1:$G$99999,5,FALSE)</f>
        <v>MAELZER KURT</v>
      </c>
      <c r="M57" s="6">
        <f t="shared" si="24"/>
        <v>2.4317129631526768E-2</v>
      </c>
      <c r="N57" s="7">
        <f t="shared" si="25"/>
        <v>35.016666669398546</v>
      </c>
      <c r="O57" s="7"/>
      <c r="P57" s="7"/>
      <c r="Q57" s="22"/>
      <c r="R57" s="22"/>
      <c r="S57" s="31">
        <f t="shared" si="26"/>
        <v>1</v>
      </c>
      <c r="T57" s="46" t="str">
        <f t="shared" si="27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28"/>
        <v>https://d0f6bd738d7f1b3e5a7ca70fe4ff75f0.us-east-1.aws.found.io/app/kibana#/discover/Steve-Slow-Train-Analysis-(2080s-and-2083s)?_g=(refreshInterval:(display:Off,pause:!f,section:0,value:0),time:(from:'2017-04-02T08:11:47-0600',mode:absolute,to:'2017-04-02T10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83" t="str">
        <f t="shared" si="29"/>
        <v>N</v>
      </c>
      <c r="X57" s="183">
        <f t="shared" si="30"/>
        <v>1</v>
      </c>
      <c r="Y57" s="62">
        <f t="shared" si="31"/>
        <v>4.58E-2</v>
      </c>
      <c r="Z57" s="62">
        <f t="shared" si="32"/>
        <v>23.332699999999999</v>
      </c>
      <c r="AA57" s="62">
        <f t="shared" si="33"/>
        <v>23.286899999999999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34"/>
        <v>0145-02</v>
      </c>
      <c r="AE57" s="85" t="str">
        <f t="shared" si="35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57" s="82" t="str">
        <f t="shared" si="36"/>
        <v>"C:\Program Files (x86)\AstroGrep\AstroGrep.exe" /e /r /s /spath="%USERPROFILE%\AppData\Local\Temp\OnboardLogs" /stypes="app*4025*20170402*" /stext=" 15:.+((SYSTEM_STATE.+slice.+state.+changed )|(ment ac)|(multiple cpu faults)|(system.+state.+changed )|(\[timeout)|(PRM\|1\|D)|(kpr)|(kdp)|(\|lc)|(penalty))"</v>
      </c>
      <c r="AG57" s="1" t="str">
        <f t="shared" si="37"/>
        <v>EC</v>
      </c>
      <c r="AH57" s="86" t="str">
        <f t="shared" si="19"/>
        <v>"%USERPROFILE%\Documents\GitHub\eaglep3\Utilities\RefineRTDCRunTimes.py" --tripid 145-02 --locoid 4025 --swversion DE.1.0.9.0 --startMP 204:458 --initTime 2017-04-02T09:11:47 --startdatetime 2017-04-02T09:15:40 --delay 1 --endMP 204:233327 --enddatetime 2017-04-02T09:50:41 --enforcementcount 0 &gt;&gt;C:\Users\stu\Documents\GitHub\eaglep3-reporting\EC\2017-04-02-refined-times.txt</v>
      </c>
      <c r="AI57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{"issue":{"subject":"","project_id":79,"tracker_id":40,"status_id":1,"priority_id":2,"assigned_to_id":23,"start_date":"2017-04-02","description":"","custom_fields":[{"id":1,"name":"Subdivision","value":"EC"},{"id":4,"name":"Milepost","value":"23.3327"},{"id":17,"name":"Train ID","value":"145-02"},{"id":16,"name":"Locomotive ID","value":"4025"},{"id":130,"name":"Impact","value":""},{"id":150,"name":"Time of Event (Mountain Time)","value":"09:50:41"},{"id":151,"name":"Denver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4025 --day 2017-04-02</v>
      </c>
      <c r="AN57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707</v>
      </c>
      <c r="B58" s="7">
        <v>4026</v>
      </c>
      <c r="C58" s="21" t="s">
        <v>217</v>
      </c>
      <c r="D58" s="21" t="s">
        <v>520</v>
      </c>
      <c r="E58" s="13">
        <v>42827.415208333332</v>
      </c>
      <c r="F58" s="13">
        <v>42827.42459490741</v>
      </c>
      <c r="G58" s="7">
        <v>1</v>
      </c>
      <c r="H58" s="21" t="s">
        <v>451</v>
      </c>
      <c r="I58" s="13">
        <v>42827.455868055556</v>
      </c>
      <c r="J58" s="7">
        <v>0</v>
      </c>
      <c r="K58" s="97" t="str">
        <f t="shared" si="23"/>
        <v>4025/4026</v>
      </c>
      <c r="L58" s="21" t="str">
        <f>VLOOKUP(A58,'Trips&amp;Operators'!$C$1:$G$99999,5,FALSE)</f>
        <v>MAELZER KURT</v>
      </c>
      <c r="M58" s="6">
        <f t="shared" si="24"/>
        <v>3.1273148146283347E-2</v>
      </c>
      <c r="N58" s="7">
        <f t="shared" si="25"/>
        <v>45.03333333064802</v>
      </c>
      <c r="O58" s="7"/>
      <c r="P58" s="7"/>
      <c r="Q58" s="22"/>
      <c r="R58" s="22"/>
      <c r="S58" s="31">
        <f t="shared" si="26"/>
        <v>1</v>
      </c>
      <c r="T58" s="46" t="str">
        <f t="shared" si="27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28"/>
        <v>https://d0f6bd738d7f1b3e5a7ca70fe4ff75f0.us-east-1.aws.found.io/app/kibana#/discover/Steve-Slow-Train-Analysis-(2080s-and-2083s)?_g=(refreshInterval:(display:Off,pause:!f,section:0,value:0),time:(from:'2017-04-02T08:57:54-0600',mode:absolute,to:'2017-04-02T11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183" t="str">
        <f t="shared" si="29"/>
        <v>N</v>
      </c>
      <c r="X58" s="183">
        <f t="shared" si="30"/>
        <v>1</v>
      </c>
      <c r="Y58" s="62">
        <f t="shared" si="31"/>
        <v>23.3</v>
      </c>
      <c r="Z58" s="62">
        <f t="shared" si="32"/>
        <v>1.38E-2</v>
      </c>
      <c r="AA58" s="62">
        <f t="shared" si="33"/>
        <v>23.286200000000001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34"/>
        <v>0146-02</v>
      </c>
      <c r="AE58" s="85" t="str">
        <f t="shared" si="35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58" s="82" t="str">
        <f t="shared" si="36"/>
        <v>"C:\Program Files (x86)\AstroGrep\AstroGrep.exe" /e /r /s /spath="%USERPROFILE%\AppData\Local\Temp\OnboardLogs" /stypes="app*4026*20170402*" /stext=" 16:.+((SYSTEM_STATE.+slice.+state.+changed )|(ment ac)|(multiple cpu faults)|(system.+state.+changed )|(\[timeout)|(PRM\|1\|D)|(kpr)|(kdp)|(\|lc)|(penalty))"</v>
      </c>
      <c r="AG58" s="1" t="str">
        <f t="shared" si="37"/>
        <v>EC</v>
      </c>
      <c r="AH58" s="86" t="str">
        <f t="shared" si="19"/>
        <v>"%USERPROFILE%\Documents\GitHub\eaglep3\Utilities\RefineRTDCRunTimes.py" --tripid 146-02 --locoid 4026 --swversion DE.1.0.9.0 --startMP 204:233000 --initTime 2017-04-02T09:57:54 --startdatetime 2017-04-02T10:11:25 --delay 1 --endMP 204:138 --enddatetime 2017-04-02T10:56:27 --enforcementcount 0 &gt;&gt;C:\Users\stu\Documents\GitHub\eaglep3-reporting\EC\2017-04-02-refined-times.txt</v>
      </c>
      <c r="AI58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{"issue":{"subject":"","project_id":79,"tracker_id":40,"status_id":1,"priority_id":2,"assigned_to_id":23,"start_date":"2017-04-02","description":"","custom_fields":[{"id":1,"name":"Subdivision","value":"EC"},{"id":4,"name":"Milepost","value":"0.0138"},{"id":17,"name":"Train ID","value":"146-02"},{"id":16,"name":"Locomotive ID","value":"4026"},{"id":130,"name":"Impact","value":""},{"id":150,"name":"Time of Event (Mountain Time)","value":"10:56:27"},{"id":151,"name":"Denver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4026 --day 2017-04-02</v>
      </c>
      <c r="AN58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703</v>
      </c>
      <c r="B59" s="7">
        <v>4054</v>
      </c>
      <c r="C59" s="21" t="s">
        <v>217</v>
      </c>
      <c r="D59" s="21" t="s">
        <v>487</v>
      </c>
      <c r="E59" s="13">
        <v>42827.390740740739</v>
      </c>
      <c r="F59" s="13">
        <v>42827.396018518521</v>
      </c>
      <c r="G59" s="7">
        <v>1</v>
      </c>
      <c r="H59" s="21" t="s">
        <v>849</v>
      </c>
      <c r="I59" s="13">
        <v>42827.421053240738</v>
      </c>
      <c r="J59" s="7">
        <v>0</v>
      </c>
      <c r="K59" s="97" t="str">
        <f t="shared" si="23"/>
        <v>4053/4054</v>
      </c>
      <c r="L59" s="21" t="str">
        <f>VLOOKUP(A59,'Trips&amp;Operators'!$C$1:$G$99999,5,FALSE)</f>
        <v>DELGADO DIANAH</v>
      </c>
      <c r="M59" s="6">
        <f t="shared" si="24"/>
        <v>2.5034722217242233E-2</v>
      </c>
      <c r="N59" s="7">
        <f t="shared" si="25"/>
        <v>36.049999992828816</v>
      </c>
      <c r="O59" s="7"/>
      <c r="P59" s="7"/>
      <c r="Q59" s="22"/>
      <c r="R59" s="22"/>
      <c r="S59" s="31">
        <f t="shared" si="26"/>
        <v>1</v>
      </c>
      <c r="T59" s="46" t="str">
        <f t="shared" si="27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28"/>
        <v>https://d0f6bd738d7f1b3e5a7ca70fe4ff75f0.us-east-1.aws.found.io/app/kibana#/discover/Steve-Slow-Train-Analysis-(2080s-and-2083s)?_g=(refreshInterval:(display:Off,pause:!f,section:0,value:0),time:(from:'2017-04-02T08:22:40-0600',mode:absolute,to:'2017-04-02T11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9" s="183" t="str">
        <f t="shared" si="29"/>
        <v>N</v>
      </c>
      <c r="X59" s="183">
        <f t="shared" si="30"/>
        <v>1</v>
      </c>
      <c r="Y59" s="62">
        <f t="shared" si="31"/>
        <v>4.3999999999999997E-2</v>
      </c>
      <c r="Z59" s="62">
        <f t="shared" si="32"/>
        <v>23.335100000000001</v>
      </c>
      <c r="AA59" s="62">
        <f t="shared" si="33"/>
        <v>23.2911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34"/>
        <v>0147-02</v>
      </c>
      <c r="AE59" s="85" t="str">
        <f t="shared" si="35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59" s="82" t="str">
        <f t="shared" si="36"/>
        <v>"C:\Program Files (x86)\AstroGrep\AstroGrep.exe" /e /r /s /spath="%USERPROFILE%\AppData\Local\Temp\OnboardLogs" /stypes="app*4054*20170402*" /stext=" 16:.+((SYSTEM_STATE.+slice.+state.+changed )|(ment ac)|(multiple cpu faults)|(system.+state.+changed )|(\[timeout)|(PRM\|1\|D)|(kpr)|(kdp)|(\|lc)|(penalty))"</v>
      </c>
      <c r="AG59" s="1" t="str">
        <f t="shared" si="37"/>
        <v>EC</v>
      </c>
      <c r="AH59" s="86" t="str">
        <f t="shared" si="19"/>
        <v>"%USERPROFILE%\Documents\GitHub\eaglep3\Utilities\RefineRTDCRunTimes.py" --tripid 147-02 --locoid 4054 --swversion DE.1.0.9.0 --startMP 204:440 --initTime 2017-04-02T09:22:40 --startdatetime 2017-04-02T09:30:16 --delay 1 --endMP 204:233351 --enddatetime 2017-04-02T10:06:19 --enforcementcount 0 &gt;&gt;C:\Users\stu\Documents\GitHub\eaglep3-reporting\EC\2017-04-02-refined-times.txt</v>
      </c>
      <c r="AI59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{"issue":{"subject":"","project_id":79,"tracker_id":40,"status_id":1,"priority_id":2,"assigned_to_id":23,"start_date":"2017-04-02","description":"","custom_fields":[{"id":1,"name":"Subdivision","value":"EC"},{"id":4,"name":"Milepost","value":"23.3351"},{"id":17,"name":"Train ID","value":"147-02"},{"id":16,"name":"Locomotive ID","value":"4054"},{"id":130,"name":"Impact","value":""},{"id":150,"name":"Time of Event (Mountain Time)","value":"10:06:19"},{"id":151,"name":"Denver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4054 --day 2017-04-02</v>
      </c>
      <c r="AN59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710</v>
      </c>
      <c r="B60" s="7">
        <v>4053</v>
      </c>
      <c r="C60" s="21" t="s">
        <v>217</v>
      </c>
      <c r="D60" s="21" t="s">
        <v>855</v>
      </c>
      <c r="E60" s="13">
        <v>42827.429745370369</v>
      </c>
      <c r="F60" s="13">
        <v>42827.434918981482</v>
      </c>
      <c r="G60" s="7">
        <v>1</v>
      </c>
      <c r="H60" s="21" t="s">
        <v>583</v>
      </c>
      <c r="I60" s="13">
        <v>42827.461724537039</v>
      </c>
      <c r="J60" s="7">
        <v>0</v>
      </c>
      <c r="K60" s="97" t="str">
        <f t="shared" si="23"/>
        <v>4053/4054</v>
      </c>
      <c r="L60" s="21" t="str">
        <f>VLOOKUP(A60,'Trips&amp;Operators'!$C$1:$G$99999,5,FALSE)</f>
        <v>DELGADO DIANAH</v>
      </c>
      <c r="M60" s="6">
        <f t="shared" si="24"/>
        <v>2.6805555557075422E-2</v>
      </c>
      <c r="N60" s="7">
        <f t="shared" si="25"/>
        <v>38.600000002188608</v>
      </c>
      <c r="O60" s="7"/>
      <c r="P60" s="7"/>
      <c r="Q60" s="22"/>
      <c r="R60" s="22"/>
      <c r="S60" s="31">
        <f t="shared" si="26"/>
        <v>1</v>
      </c>
      <c r="T60" s="46" t="str">
        <f t="shared" si="27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28"/>
        <v>https://d0f6bd738d7f1b3e5a7ca70fe4ff75f0.us-east-1.aws.found.io/app/kibana#/discover/Steve-Slow-Train-Analysis-(2080s-and-2083s)?_g=(refreshInterval:(display:Off,pause:!f,section:0,value:0),time:(from:'2017-04-02T09:18:50-0600',mode:absolute,to:'2017-04-02T12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0" s="183" t="str">
        <f t="shared" si="29"/>
        <v>N</v>
      </c>
      <c r="X60" s="183">
        <f t="shared" si="30"/>
        <v>1</v>
      </c>
      <c r="Y60" s="62">
        <f t="shared" si="31"/>
        <v>23.302600000000002</v>
      </c>
      <c r="Z60" s="62">
        <f t="shared" si="32"/>
        <v>1.4500000000000001E-2</v>
      </c>
      <c r="AA60" s="62">
        <f t="shared" si="33"/>
        <v>23.2881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34"/>
        <v>0148-02</v>
      </c>
      <c r="AE60" s="85" t="str">
        <f t="shared" si="35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60" s="82" t="str">
        <f t="shared" si="36"/>
        <v>"C:\Program Files (x86)\AstroGrep\AstroGrep.exe" /e /r /s /spath="%USERPROFILE%\AppData\Local\Temp\OnboardLogs" /stypes="app*4053*20170402*" /stext=" 17:.+((SYSTEM_STATE.+slice.+state.+changed )|(ment ac)|(multiple cpu faults)|(system.+state.+changed )|(\[timeout)|(PRM\|1\|D)|(kpr)|(kdp)|(\|lc)|(penalty))"</v>
      </c>
      <c r="AG60" s="1" t="str">
        <f t="shared" si="37"/>
        <v>EC</v>
      </c>
      <c r="AH60" s="86" t="str">
        <f t="shared" si="19"/>
        <v>"%USERPROFILE%\Documents\GitHub\eaglep3\Utilities\RefineRTDCRunTimes.py" --tripid 148-02 --locoid 4053 --swversion DE.1.0.9.0 --startMP 204:233026 --initTime 2017-04-02T10:18:50 --startdatetime 2017-04-02T10:26:17 --delay 1 --endMP 204:145 --enddatetime 2017-04-02T11:04:53 --enforcementcount 0 &gt;&gt;C:\Users\stu\Documents\GitHub\eaglep3-reporting\EC\2017-04-02-refined-times.txt</v>
      </c>
      <c r="AI60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{"issue":{"subject":"","project_id":79,"tracker_id":40,"status_id":1,"priority_id":2,"assigned_to_id":23,"start_date":"2017-04-02","description":"","custom_fields":[{"id":1,"name":"Subdivision","value":"EC"},{"id":4,"name":"Milepost","value":"0.0145"},{"id":17,"name":"Train ID","value":"148-02"},{"id":16,"name":"Locomotive ID","value":"4053"},{"id":130,"name":"Impact","value":""},{"id":150,"name":"Time of Event (Mountain Time)","value":"11:04:53"},{"id":151,"name":"Denver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4053 --day 2017-04-02</v>
      </c>
      <c r="AN60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705</v>
      </c>
      <c r="B61" s="7">
        <v>4010</v>
      </c>
      <c r="C61" s="21" t="s">
        <v>217</v>
      </c>
      <c r="D61" s="21" t="s">
        <v>436</v>
      </c>
      <c r="E61" s="13">
        <v>42827.402071759258</v>
      </c>
      <c r="F61" s="13">
        <v>42827.406435185185</v>
      </c>
      <c r="G61" s="7">
        <v>1</v>
      </c>
      <c r="H61" s="21" t="s">
        <v>425</v>
      </c>
      <c r="I61" s="13">
        <v>42827.431990740741</v>
      </c>
      <c r="J61" s="7">
        <v>0</v>
      </c>
      <c r="K61" s="97" t="str">
        <f t="shared" si="23"/>
        <v>4009/4010</v>
      </c>
      <c r="L61" s="21" t="str">
        <f>VLOOKUP(A61,'Trips&amp;Operators'!$C$1:$G$99999,5,FALSE)</f>
        <v>DAVIS WENDY</v>
      </c>
      <c r="M61" s="6">
        <f t="shared" si="24"/>
        <v>2.5555555555911269E-2</v>
      </c>
      <c r="N61" s="7">
        <f t="shared" si="25"/>
        <v>36.800000000512227</v>
      </c>
      <c r="O61" s="7"/>
      <c r="P61" s="7"/>
      <c r="Q61" s="22"/>
      <c r="R61" s="22"/>
      <c r="S61" s="31">
        <f t="shared" si="26"/>
        <v>1</v>
      </c>
      <c r="T61" s="46" t="str">
        <f t="shared" si="27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28"/>
        <v>https://d0f6bd738d7f1b3e5a7ca70fe4ff75f0.us-east-1.aws.found.io/app/kibana#/discover/Steve-Slow-Train-Analysis-(2080s-and-2083s)?_g=(refreshInterval:(display:Off,pause:!f,section:0,value:0),time:(from:'2017-04-02T08:38:59-0600',mode:absolute,to:'2017-04-02T11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1" s="183" t="str">
        <f t="shared" si="29"/>
        <v>N</v>
      </c>
      <c r="X61" s="183">
        <f t="shared" si="30"/>
        <v>1</v>
      </c>
      <c r="Y61" s="62">
        <f t="shared" si="31"/>
        <v>4.6399999999999997E-2</v>
      </c>
      <c r="Z61" s="62">
        <f t="shared" si="32"/>
        <v>23.331399999999999</v>
      </c>
      <c r="AA61" s="62">
        <f t="shared" si="33"/>
        <v>23.285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34"/>
        <v>0149-02</v>
      </c>
      <c r="AE61" s="85" t="str">
        <f t="shared" si="35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61" s="82" t="str">
        <f t="shared" si="36"/>
        <v>"C:\Program Files (x86)\AstroGrep\AstroGrep.exe" /e /r /s /spath="%USERPROFILE%\AppData\Local\Temp\OnboardLogs" /stypes="app*4010*20170402*" /stext=" 16:.+((SYSTEM_STATE.+slice.+state.+changed )|(ment ac)|(multiple cpu faults)|(system.+state.+changed )|(\[timeout)|(PRM\|1\|D)|(kpr)|(kdp)|(\|lc)|(penalty))"</v>
      </c>
      <c r="AG61" s="1" t="str">
        <f t="shared" si="37"/>
        <v>EC</v>
      </c>
      <c r="AH61" s="86" t="str">
        <f t="shared" si="19"/>
        <v>"%USERPROFILE%\Documents\GitHub\eaglep3\Utilities\RefineRTDCRunTimes.py" --tripid 149-02 --locoid 4010 --swversion DE.1.0.9.0 --startMP 204:464 --initTime 2017-04-02T09:38:59 --startdatetime 2017-04-02T09:45:16 --delay 1 --endMP 204:233314 --enddatetime 2017-04-02T10:22:04 --enforcementcount 0 &gt;&gt;C:\Users\stu\Documents\GitHub\eaglep3-reporting\EC\2017-04-02-refined-times.txt</v>
      </c>
      <c r="AI61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{"issue":{"subject":"","project_id":79,"tracker_id":40,"status_id":1,"priority_id":2,"assigned_to_id":23,"start_date":"2017-04-02","description":"","custom_fields":[{"id":1,"name":"Subdivision","value":"EC"},{"id":4,"name":"Milepost","value":"23.3314"},{"id":17,"name":"Train ID","value":"149-02"},{"id":16,"name":"Locomotive ID","value":"4010"},{"id":130,"name":"Impact","value":""},{"id":150,"name":"Time of Event (Mountain Time)","value":"10:22:04"},{"id":151,"name":"Denver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4010 --day 2017-04-02</v>
      </c>
      <c r="AN61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714</v>
      </c>
      <c r="B62" s="7">
        <v>4009</v>
      </c>
      <c r="C62" s="21" t="s">
        <v>217</v>
      </c>
      <c r="D62" s="21" t="s">
        <v>509</v>
      </c>
      <c r="E62" s="13">
        <v>42827.443541666667</v>
      </c>
      <c r="F62" s="13">
        <v>42827.445289351854</v>
      </c>
      <c r="G62" s="7">
        <v>1</v>
      </c>
      <c r="H62" s="21" t="s">
        <v>435</v>
      </c>
      <c r="I62" s="13">
        <v>42827.473900462966</v>
      </c>
      <c r="J62" s="7">
        <v>0</v>
      </c>
      <c r="K62" s="97" t="str">
        <f t="shared" si="23"/>
        <v>4009/4010</v>
      </c>
      <c r="L62" s="21" t="str">
        <f>VLOOKUP(A62,'Trips&amp;Operators'!$C$1:$G$99999,5,FALSE)</f>
        <v>DAVIS WENDY</v>
      </c>
      <c r="M62" s="6">
        <f t="shared" si="24"/>
        <v>2.8611111112695653E-2</v>
      </c>
      <c r="N62" s="7">
        <f t="shared" si="25"/>
        <v>41.20000000228174</v>
      </c>
      <c r="O62" s="7"/>
      <c r="P62" s="7"/>
      <c r="Q62" s="22"/>
      <c r="R62" s="22"/>
      <c r="S62" s="31">
        <f t="shared" si="26"/>
        <v>1</v>
      </c>
      <c r="T62" s="46" t="str">
        <f t="shared" si="27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28"/>
        <v>https://d0f6bd738d7f1b3e5a7ca70fe4ff75f0.us-east-1.aws.found.io/app/kibana#/discover/Steve-Slow-Train-Analysis-(2080s-and-2083s)?_g=(refreshInterval:(display:Off,pause:!f,section:0,value:0),time:(from:'2017-04-02T09:38:42-0600',mode:absolute,to:'2017-04-02T12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183" t="str">
        <f t="shared" si="29"/>
        <v>N</v>
      </c>
      <c r="X62" s="183">
        <f t="shared" si="30"/>
        <v>1</v>
      </c>
      <c r="Y62" s="62">
        <f t="shared" si="31"/>
        <v>23.301100000000002</v>
      </c>
      <c r="Z62" s="62">
        <f t="shared" si="32"/>
        <v>1.61E-2</v>
      </c>
      <c r="AA62" s="62">
        <f t="shared" si="33"/>
        <v>23.285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34"/>
        <v>0150-02</v>
      </c>
      <c r="AE62" s="85" t="str">
        <f t="shared" si="35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62" s="82" t="str">
        <f t="shared" si="36"/>
        <v>"C:\Program Files (x86)\AstroGrep\AstroGrep.exe" /e /r /s /spath="%USERPROFILE%\AppData\Local\Temp\OnboardLogs" /stypes="app*4009*20170402*" /stext=" 17:.+((SYSTEM_STATE.+slice.+state.+changed )|(ment ac)|(multiple cpu faults)|(system.+state.+changed )|(\[timeout)|(PRM\|1\|D)|(kpr)|(kdp)|(\|lc)|(penalty))"</v>
      </c>
      <c r="AG62" s="1" t="str">
        <f t="shared" si="37"/>
        <v>EC</v>
      </c>
      <c r="AH62" s="86" t="str">
        <f t="shared" si="19"/>
        <v>"%USERPROFILE%\Documents\GitHub\eaglep3\Utilities\RefineRTDCRunTimes.py" --tripid 150-02 --locoid 4009 --swversion DE.1.0.9.0 --startMP 204:233011 --initTime 2017-04-02T10:38:42 --startdatetime 2017-04-02T10:41:13 --delay 1 --endMP 204:161 --enddatetime 2017-04-02T11:22:25 --enforcementcount 0 &gt;&gt;C:\Users\stu\Documents\GitHub\eaglep3-reporting\EC\2017-04-02-refined-times.txt</v>
      </c>
      <c r="AI62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{"issue":{"subject":"","project_id":79,"tracker_id":40,"status_id":1,"priority_id":2,"assigned_to_id":23,"start_date":"2017-04-02","description":"","custom_fields":[{"id":1,"name":"Subdivision","value":"EC"},{"id":4,"name":"Milepost","value":"0.0161"},{"id":17,"name":"Train ID","value":"150-02"},{"id":16,"name":"Locomotive ID","value":"4009"},{"id":130,"name":"Impact","value":""},{"id":150,"name":"Time of Event (Mountain Time)","value":"11:22:25"},{"id":151,"name":"Denver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4009 --day 2017-04-02</v>
      </c>
      <c r="AN62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706</v>
      </c>
      <c r="B63" s="7">
        <v>4011</v>
      </c>
      <c r="C63" s="21" t="s">
        <v>217</v>
      </c>
      <c r="D63" s="21" t="s">
        <v>211</v>
      </c>
      <c r="E63" s="13">
        <v>42827.412581018521</v>
      </c>
      <c r="F63" s="13">
        <v>42827.416851851849</v>
      </c>
      <c r="G63" s="7">
        <v>1</v>
      </c>
      <c r="H63" s="21" t="s">
        <v>856</v>
      </c>
      <c r="I63" s="13">
        <v>42827.442071759258</v>
      </c>
      <c r="J63" s="7">
        <v>0</v>
      </c>
      <c r="K63" s="97" t="str">
        <f t="shared" si="23"/>
        <v>4011/4012</v>
      </c>
      <c r="L63" s="21" t="str">
        <f>VLOOKUP(A63,'Trips&amp;Operators'!$C$1:$G$99999,5,FALSE)</f>
        <v>ROBINSON KADDIBA</v>
      </c>
      <c r="M63" s="6">
        <f t="shared" si="24"/>
        <v>2.5219907409336884E-2</v>
      </c>
      <c r="N63" s="7">
        <f t="shared" si="25"/>
        <v>36.316666669445112</v>
      </c>
      <c r="O63" s="7"/>
      <c r="P63" s="7"/>
      <c r="Q63" s="22"/>
      <c r="R63" s="22"/>
      <c r="S63" s="31">
        <f t="shared" si="26"/>
        <v>1</v>
      </c>
      <c r="T63" s="46" t="str">
        <f t="shared" si="27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28"/>
        <v>https://d0f6bd738d7f1b3e5a7ca70fe4ff75f0.us-east-1.aws.found.io/app/kibana#/discover/Steve-Slow-Train-Analysis-(2080s-and-2083s)?_g=(refreshInterval:(display:Off,pause:!f,section:0,value:0),time:(from:'2017-04-02T08:54:07-0600',mode:absolute,to:'2017-04-02T11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183" t="str">
        <f t="shared" si="29"/>
        <v>N</v>
      </c>
      <c r="X63" s="183">
        <f t="shared" si="30"/>
        <v>1</v>
      </c>
      <c r="Y63" s="62">
        <f t="shared" si="31"/>
        <v>4.53E-2</v>
      </c>
      <c r="Z63" s="62">
        <f t="shared" si="32"/>
        <v>23.335999999999999</v>
      </c>
      <c r="AA63" s="62">
        <f t="shared" si="33"/>
        <v>23.290699999999998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34"/>
        <v>0151-02</v>
      </c>
      <c r="AE63" s="85" t="str">
        <f t="shared" si="35"/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63" s="82" t="str">
        <f t="shared" si="36"/>
        <v>"C:\Program Files (x86)\AstroGrep\AstroGrep.exe" /e /r /s /spath="%USERPROFILE%\AppData\Local\Temp\OnboardLogs" /stypes="app*4011*20170402*" /stext=" 16:.+((SYSTEM_STATE.+slice.+state.+changed )|(ment ac)|(multiple cpu faults)|(system.+state.+changed )|(\[timeout)|(PRM\|1\|D)|(kpr)|(kdp)|(\|lc)|(penalty))"</v>
      </c>
      <c r="AG63" s="1" t="str">
        <f t="shared" si="37"/>
        <v>EC</v>
      </c>
      <c r="AH63" s="86" t="str">
        <f t="shared" si="19"/>
        <v>"%USERPROFILE%\Documents\GitHub\eaglep3\Utilities\RefineRTDCRunTimes.py" --tripid 151-02 --locoid 4011 --swversion DE.1.0.9.0 --startMP 204:453 --initTime 2017-04-02T09:54:07 --startdatetime 2017-04-02T10:00:16 --delay 1 --endMP 204:233360 --enddatetime 2017-04-02T10:36:35 --enforcementcount 0 &gt;&gt;C:\Users\stu\Documents\GitHub\eaglep3-reporting\EC\2017-04-02-refined-times.txt</v>
      </c>
      <c r="AI63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{"issue":{"subject":"","project_id":79,"tracker_id":40,"status_id":1,"priority_id":2,"assigned_to_id":23,"start_date":"2017-04-02","description":"","custom_fields":[{"id":1,"name":"Subdivision","value":"EC"},{"id":4,"name":"Milepost","value":"23.336"},{"id":17,"name":"Train ID","value":"151-02"},{"id":16,"name":"Locomotive ID","value":"4011"},{"id":130,"name":"Impact","value":""},{"id":150,"name":"Time of Event (Mountain Time)","value":"10:36:35"},{"id":151,"name":"Denver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4011 --day 2017-04-02</v>
      </c>
      <c r="AN63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616</v>
      </c>
      <c r="B64" s="7">
        <v>4012</v>
      </c>
      <c r="C64" s="21" t="s">
        <v>217</v>
      </c>
      <c r="D64" s="21" t="s">
        <v>512</v>
      </c>
      <c r="E64" s="13">
        <v>42827.452951388892</v>
      </c>
      <c r="F64" s="13">
        <v>42827.455729166664</v>
      </c>
      <c r="G64" s="7">
        <v>1</v>
      </c>
      <c r="H64" s="21" t="s">
        <v>485</v>
      </c>
      <c r="I64" s="13">
        <v>42827.483124999999</v>
      </c>
      <c r="J64" s="7">
        <v>0</v>
      </c>
      <c r="K64" s="97" t="str">
        <f t="shared" si="23"/>
        <v>4011/4012</v>
      </c>
      <c r="L64" s="21" t="str">
        <f>VLOOKUP(A64,'Trips&amp;Operators'!$C$1:$G$99999,5,FALSE)</f>
        <v>ROBINSON KADDIBA</v>
      </c>
      <c r="M64" s="6">
        <f t="shared" si="24"/>
        <v>2.7395833334594499E-2</v>
      </c>
      <c r="N64" s="7">
        <f t="shared" si="25"/>
        <v>39.450000001816079</v>
      </c>
      <c r="O64" s="7"/>
      <c r="P64" s="7"/>
      <c r="Q64" s="22"/>
      <c r="R64" s="22"/>
      <c r="S64" s="31">
        <f t="shared" si="26"/>
        <v>1</v>
      </c>
      <c r="T64" s="46" t="str">
        <f t="shared" si="27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28"/>
        <v>https://d0f6bd738d7f1b3e5a7ca70fe4ff75f0.us-east-1.aws.found.io/app/kibana#/discover/Steve-Slow-Train-Analysis-(2080s-and-2083s)?_g=(refreshInterval:(display:Off,pause:!f,section:0,value:0),time:(from:'2017-04-02T09:52:15-0600',mode:absolute,to:'2017-04-02T12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183" t="str">
        <f t="shared" si="29"/>
        <v>N</v>
      </c>
      <c r="X64" s="183">
        <f t="shared" si="30"/>
        <v>1</v>
      </c>
      <c r="Y64" s="62">
        <f t="shared" si="31"/>
        <v>23.2986</v>
      </c>
      <c r="Z64" s="62">
        <f t="shared" si="32"/>
        <v>1.67E-2</v>
      </c>
      <c r="AA64" s="62">
        <f t="shared" si="33"/>
        <v>23.2819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34"/>
        <v>0152-02</v>
      </c>
      <c r="AE64" s="85" t="str">
        <f t="shared" si="35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64" s="82" t="str">
        <f t="shared" si="36"/>
        <v>"C:\Program Files (x86)\AstroGrep\AstroGrep.exe" /e /r /s /spath="%USERPROFILE%\AppData\Local\Temp\OnboardLogs" /stypes="app*4012*20170402*" /stext=" 17:.+((SYSTEM_STATE.+slice.+state.+changed )|(ment ac)|(multiple cpu faults)|(system.+state.+changed )|(\[timeout)|(PRM\|1\|D)|(kpr)|(kdp)|(\|lc)|(penalty))"</v>
      </c>
      <c r="AG64" s="1" t="str">
        <f t="shared" si="37"/>
        <v>EC</v>
      </c>
      <c r="AH64" s="86" t="str">
        <f t="shared" si="19"/>
        <v>"%USERPROFILE%\Documents\GitHub\eaglep3\Utilities\RefineRTDCRunTimes.py" --tripid 152-02 --locoid 4012 --swversion DE.1.0.9.0 --startMP 204:232986 --initTime 2017-04-02T10:52:15 --startdatetime 2017-04-02T10:56:15 --delay 1 --endMP 204:167 --enddatetime 2017-04-02T11:35:42 --enforcementcount 0 &gt;&gt;C:\Users\stu\Documents\GitHub\eaglep3-reporting\EC\2017-04-02-refined-times.txt</v>
      </c>
      <c r="AI64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{"issue":{"subject":"","project_id":79,"tracker_id":40,"status_id":1,"priority_id":2,"assigned_to_id":23,"start_date":"2017-04-02","description":"","custom_fields":[{"id":1,"name":"Subdivision","value":"EC"},{"id":4,"name":"Milepost","value":"0.0167"},{"id":17,"name":"Train ID","value":"152-02"},{"id":16,"name":"Locomotive ID","value":"4012"},{"id":130,"name":"Impact","value":""},{"id":150,"name":"Time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4012 --day 2017-04-02</v>
      </c>
      <c r="AN64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709</v>
      </c>
      <c r="B65" s="7">
        <v>4016</v>
      </c>
      <c r="C65" s="21" t="s">
        <v>217</v>
      </c>
      <c r="D65" s="21" t="s">
        <v>208</v>
      </c>
      <c r="E65" s="13">
        <v>42827.423460648148</v>
      </c>
      <c r="F65" s="13">
        <v>42827.427245370367</v>
      </c>
      <c r="G65" s="7">
        <v>1</v>
      </c>
      <c r="H65" s="21" t="s">
        <v>591</v>
      </c>
      <c r="I65" s="13">
        <v>42827.453206018516</v>
      </c>
      <c r="J65" s="7">
        <v>0</v>
      </c>
      <c r="K65" s="97" t="str">
        <f t="shared" si="23"/>
        <v>4015/4016</v>
      </c>
      <c r="L65" s="21" t="str">
        <f>VLOOKUP(A65,'Trips&amp;Operators'!$C$1:$G$99999,5,FALSE)</f>
        <v>GEBRETEKLE DAGNEW</v>
      </c>
      <c r="M65" s="6">
        <f t="shared" si="24"/>
        <v>2.5960648148611654E-2</v>
      </c>
      <c r="N65" s="7">
        <f t="shared" si="25"/>
        <v>37.383333334000781</v>
      </c>
      <c r="O65" s="7"/>
      <c r="P65" s="7"/>
      <c r="Q65" s="22"/>
      <c r="R65" s="22"/>
      <c r="S65" s="31">
        <f t="shared" si="26"/>
        <v>1</v>
      </c>
      <c r="T65" s="46" t="str">
        <f t="shared" si="27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28"/>
        <v>https://d0f6bd738d7f1b3e5a7ca70fe4ff75f0.us-east-1.aws.found.io/app/kibana#/discover/Steve-Slow-Train-Analysis-(2080s-and-2083s)?_g=(refreshInterval:(display:Off,pause:!f,section:0,value:0),time:(from:'2017-04-02T09:09:47-0600',mode:absolute,to:'2017-04-02T11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5" s="183" t="str">
        <f t="shared" si="29"/>
        <v>N</v>
      </c>
      <c r="X65" s="183">
        <f t="shared" si="30"/>
        <v>1</v>
      </c>
      <c r="Y65" s="62">
        <f t="shared" si="31"/>
        <v>4.5999999999999999E-2</v>
      </c>
      <c r="Z65" s="62">
        <f t="shared" si="32"/>
        <v>23.332699999999999</v>
      </c>
      <c r="AA65" s="62">
        <f t="shared" si="33"/>
        <v>23.2867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34"/>
        <v>0153-02</v>
      </c>
      <c r="AE65" s="85" t="str">
        <f t="shared" si="35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65" s="82" t="str">
        <f t="shared" si="36"/>
        <v>"C:\Program Files (x86)\AstroGrep\AstroGrep.exe" /e /r /s /spath="%USERPROFILE%\AppData\Local\Temp\OnboardLogs" /stypes="app*4016*20170402*" /stext=" 16:.+((SYSTEM_STATE.+slice.+state.+changed )|(ment ac)|(multiple cpu faults)|(system.+state.+changed )|(\[timeout)|(PRM\|1\|D)|(kpr)|(kdp)|(\|lc)|(penalty))"</v>
      </c>
      <c r="AG65" s="1" t="str">
        <f t="shared" si="37"/>
        <v>EC</v>
      </c>
      <c r="AH65" s="86" t="str">
        <f t="shared" si="19"/>
        <v>"%USERPROFILE%\Documents\GitHub\eaglep3\Utilities\RefineRTDCRunTimes.py" --tripid 153-02 --locoid 4016 --swversion DE.1.0.9.0 --startMP 204:460 --initTime 2017-04-02T10:09:47 --startdatetime 2017-04-02T10:15:14 --delay 1 --endMP 204:233327 --enddatetime 2017-04-02T10:52:37 --enforcementcount 0 &gt;&gt;C:\Users\stu\Documents\GitHub\eaglep3-reporting\EC\2017-04-02-refined-times.txt</v>
      </c>
      <c r="AI65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{"issue":{"subject":"","project_id":79,"tracker_id":40,"status_id":1,"priority_id":2,"assigned_to_id":23,"start_date":"2017-04-02","description":"","custom_fields":[{"id":1,"name":"Subdivision","value":"EC"},{"id":4,"name":"Milepost","value":"23.3327"},{"id":17,"name":"Train ID","value":"153-02"},{"id":16,"name":"Locomotive ID","value":"4016"},{"id":130,"name":"Impact","value":""},{"id":150,"name":"Time of Event (Mountain Time)","value":"10:52:37"},{"id":151,"name":"Denver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4016 --day 2017-04-02</v>
      </c>
      <c r="AN65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716</v>
      </c>
      <c r="B66" s="7">
        <v>4015</v>
      </c>
      <c r="C66" s="21" t="s">
        <v>217</v>
      </c>
      <c r="D66" s="21" t="s">
        <v>857</v>
      </c>
      <c r="E66" s="13">
        <v>42827.45449074074</v>
      </c>
      <c r="F66" s="13">
        <v>42827.466180555559</v>
      </c>
      <c r="G66" s="7">
        <v>1</v>
      </c>
      <c r="H66" s="21" t="s">
        <v>199</v>
      </c>
      <c r="I66" s="13">
        <v>42827.492962962962</v>
      </c>
      <c r="J66" s="7">
        <v>0</v>
      </c>
      <c r="K66" s="97" t="str">
        <f t="shared" si="23"/>
        <v>4015/4016</v>
      </c>
      <c r="L66" s="21" t="str">
        <f>VLOOKUP(A66,'Trips&amp;Operators'!$C$1:$G$99999,5,FALSE)</f>
        <v>GEBRETEKLE DAGNEW</v>
      </c>
      <c r="M66" s="6">
        <f t="shared" si="24"/>
        <v>2.6782407403516117E-2</v>
      </c>
      <c r="N66" s="7">
        <f t="shared" si="25"/>
        <v>38.566666661063209</v>
      </c>
      <c r="O66" s="7"/>
      <c r="P66" s="7"/>
      <c r="Q66" s="22"/>
      <c r="R66" s="22"/>
      <c r="S66" s="31">
        <f t="shared" si="26"/>
        <v>1</v>
      </c>
      <c r="T66" s="46" t="str">
        <f t="shared" si="27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28"/>
        <v>https://d0f6bd738d7f1b3e5a7ca70fe4ff75f0.us-east-1.aws.found.io/app/kibana#/discover/Steve-Slow-Train-Analysis-(2080s-and-2083s)?_g=(refreshInterval:(display:Off,pause:!f,section:0,value:0),time:(from:'2017-04-02T09:54:28-0600',mode:absolute,to:'2017-04-02T12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6" s="183" t="str">
        <f t="shared" si="29"/>
        <v>N</v>
      </c>
      <c r="X66" s="183">
        <f t="shared" si="30"/>
        <v>1</v>
      </c>
      <c r="Y66" s="62">
        <f t="shared" si="31"/>
        <v>23.301300000000001</v>
      </c>
      <c r="Z66" s="62">
        <f t="shared" si="32"/>
        <v>1.52E-2</v>
      </c>
      <c r="AA66" s="62">
        <f t="shared" si="33"/>
        <v>23.286100000000001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34"/>
        <v>0154-02</v>
      </c>
      <c r="AE66" s="85" t="str">
        <f t="shared" si="35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66" s="82" t="str">
        <f t="shared" si="36"/>
        <v>"C:\Program Files (x86)\AstroGrep\AstroGrep.exe" /e /r /s /spath="%USERPROFILE%\AppData\Local\Temp\OnboardLogs" /stypes="app*4015*20170402*" /stext=" 17:.+((SYSTEM_STATE.+slice.+state.+changed )|(ment ac)|(multiple cpu faults)|(system.+state.+changed )|(\[timeout)|(PRM\|1\|D)|(kpr)|(kdp)|(\|lc)|(penalty))"</v>
      </c>
      <c r="AG66" s="1" t="str">
        <f t="shared" si="37"/>
        <v>EC</v>
      </c>
      <c r="AH66" s="86" t="str">
        <f t="shared" si="19"/>
        <v>"%USERPROFILE%\Documents\GitHub\eaglep3\Utilities\RefineRTDCRunTimes.py" --tripid 154-02 --locoid 4015 --swversion DE.1.0.9.0 --startMP 204:233013 --initTime 2017-04-02T10:54:28 --startdatetime 2017-04-02T11:11:18 --delay 1 --endMP 204:152 --enddatetime 2017-04-02T11:49:52 --enforcementcount 0 &gt;&gt;C:\Users\stu\Documents\GitHub\eaglep3-reporting\EC\2017-04-02-refined-times.txt</v>
      </c>
      <c r="AI66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{"issue":{"subject":"","project_id":79,"tracker_id":40,"status_id":1,"priority_id":2,"assigned_to_id":23,"start_date":"2017-04-02","description":"","custom_fields":[{"id":1,"name":"Subdivision","value":"EC"},{"id":4,"name":"Milepost","value":"0.0152"},{"id":17,"name":"Train ID","value":"154-02"},{"id":16,"name":"Locomotive ID","value":"4015"},{"id":130,"name":"Impact","value":""},{"id":150,"name":"Time of Event (Mountain Time)","value":"11:49:52"},{"id":151,"name":"Denver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4015 --day 2017-04-02</v>
      </c>
      <c r="AN66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617</v>
      </c>
      <c r="B67" s="7">
        <v>4020</v>
      </c>
      <c r="C67" s="21" t="s">
        <v>217</v>
      </c>
      <c r="D67" s="21" t="s">
        <v>858</v>
      </c>
      <c r="E67" s="13">
        <v>42827.432442129626</v>
      </c>
      <c r="F67" s="13">
        <v>42827.437696759262</v>
      </c>
      <c r="G67" s="7">
        <v>2</v>
      </c>
      <c r="H67" s="21" t="s">
        <v>859</v>
      </c>
      <c r="I67" s="13">
        <v>42827.461793981478</v>
      </c>
      <c r="J67" s="7">
        <v>0</v>
      </c>
      <c r="K67" s="97" t="str">
        <f t="shared" si="23"/>
        <v>4019/4020</v>
      </c>
      <c r="L67" s="21" t="str">
        <f>VLOOKUP(A67,'Trips&amp;Operators'!$C$1:$G$99999,5,FALSE)</f>
        <v>ROMERO CHAD</v>
      </c>
      <c r="M67" s="6">
        <f t="shared" si="24"/>
        <v>2.4097222216369119E-2</v>
      </c>
      <c r="N67" s="7">
        <f t="shared" si="25"/>
        <v>34.699999991571531</v>
      </c>
      <c r="O67" s="7"/>
      <c r="P67" s="7"/>
      <c r="Q67" s="22"/>
      <c r="R67" s="22"/>
      <c r="S67" s="31">
        <f t="shared" si="26"/>
        <v>1</v>
      </c>
      <c r="T67" s="46" t="str">
        <f t="shared" si="27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28"/>
        <v>https://d0f6bd738d7f1b3e5a7ca70fe4ff75f0.us-east-1.aws.found.io/app/kibana#/discover/Steve-Slow-Train-Analysis-(2080s-and-2083s)?_g=(refreshInterval:(display:Off,pause:!f,section:0,value:0),time:(from:'2017-04-02T09:22:43-0600',mode:absolute,to:'2017-04-02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183" t="str">
        <f t="shared" si="29"/>
        <v>N</v>
      </c>
      <c r="X67" s="183">
        <f t="shared" si="30"/>
        <v>1</v>
      </c>
      <c r="Y67" s="62">
        <f t="shared" si="31"/>
        <v>0.05</v>
      </c>
      <c r="Z67" s="62">
        <f t="shared" si="32"/>
        <v>23.341000000000001</v>
      </c>
      <c r="AA67" s="62">
        <f t="shared" si="33"/>
        <v>23.291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34"/>
        <v>0155-02</v>
      </c>
      <c r="AE67" s="85" t="str">
        <f t="shared" si="35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67" s="82" t="str">
        <f t="shared" si="36"/>
        <v>"C:\Program Files (x86)\AstroGrep\AstroGrep.exe" /e /r /s /spath="%USERPROFILE%\AppData\Local\Temp\OnboardLogs" /stypes="app*4020*20170402*" /stext=" 17:.+((SYSTEM_STATE.+slice.+state.+changed )|(ment ac)|(multiple cpu faults)|(system.+state.+changed )|(\[timeout)|(PRM\|1\|D)|(kpr)|(kdp)|(\|lc)|(penalty))"</v>
      </c>
      <c r="AG67" s="1" t="str">
        <f t="shared" si="37"/>
        <v>EC</v>
      </c>
      <c r="AH67" s="86" t="str">
        <f t="shared" si="19"/>
        <v>"%USERPROFILE%\Documents\GitHub\eaglep3\Utilities\RefineRTDCRunTimes.py" --tripid 155-02 --locoid 4020 --swversion DE.1.0.9.0 --startMP 204:500 --initTime 2017-04-02T10:22:43 --startdatetime 2017-04-02T10:30:17 --delay 2 --endMP 204:233410 --enddatetime 2017-04-02T11:04:59 --enforcementcount 0 &gt;&gt;C:\Users\stu\Documents\GitHub\eaglep3-reporting\EC\2017-04-02-refined-times.txt</v>
      </c>
      <c r="AI67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{"issue":{"subject":"","project_id":79,"tracker_id":40,"status_id":1,"priority_id":2,"assigned_to_id":23,"start_date":"2017-04-02","description":"","custom_fields":[{"id":1,"name":"Subdivision","value":"EC"},{"id":4,"name":"Milepost","value":"23.341"},{"id":17,"name":"Train ID","value":"155-02"},{"id":16,"name":"Locomotive ID","value":"4020"},{"id":130,"name":"Impact","value":""},{"id":150,"name":"Time of Event (Mountain Time)","value":"11:04:59"},{"id":151,"name":"Denver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4020 --day 2017-04-02</v>
      </c>
      <c r="AN67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721</v>
      </c>
      <c r="B68" s="7">
        <v>4019</v>
      </c>
      <c r="C68" s="21" t="s">
        <v>217</v>
      </c>
      <c r="D68" s="21" t="s">
        <v>860</v>
      </c>
      <c r="E68" s="13">
        <v>42827.46465277778</v>
      </c>
      <c r="F68" s="13">
        <v>42827.476539351854</v>
      </c>
      <c r="G68" s="7">
        <v>2</v>
      </c>
      <c r="H68" s="21" t="s">
        <v>861</v>
      </c>
      <c r="I68" s="13">
        <v>42827.503240740742</v>
      </c>
      <c r="J68" s="7">
        <v>0</v>
      </c>
      <c r="K68" s="97" t="str">
        <f t="shared" si="23"/>
        <v>4019/4020</v>
      </c>
      <c r="L68" s="21" t="str">
        <f>VLOOKUP(A68,'Trips&amp;Operators'!$C$1:$G$99999,5,FALSE)</f>
        <v>ROMERO CHAD</v>
      </c>
      <c r="M68" s="6">
        <f t="shared" si="24"/>
        <v>2.6701388887886424E-2</v>
      </c>
      <c r="N68" s="7">
        <f t="shared" si="25"/>
        <v>38.44999999855645</v>
      </c>
      <c r="O68" s="7"/>
      <c r="P68" s="7"/>
      <c r="Q68" s="22"/>
      <c r="R68" s="22"/>
      <c r="S68" s="31">
        <f t="shared" si="26"/>
        <v>1</v>
      </c>
      <c r="T68" s="46" t="str">
        <f t="shared" si="27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28"/>
        <v>https://d0f6bd738d7f1b3e5a7ca70fe4ff75f0.us-east-1.aws.found.io/app/kibana#/discover/Steve-Slow-Train-Analysis-(2080s-and-2083s)?_g=(refreshInterval:(display:Off,pause:!f,section:0,value:0),time:(from:'2017-04-02T10:09:06-0600',mode:absolute,to:'2017-04-02T13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183" t="str">
        <f t="shared" si="29"/>
        <v>N</v>
      </c>
      <c r="X68" s="183">
        <f t="shared" si="30"/>
        <v>1</v>
      </c>
      <c r="Y68" s="62">
        <f t="shared" si="31"/>
        <v>23.308599999999998</v>
      </c>
      <c r="Z68" s="62">
        <f t="shared" si="32"/>
        <v>1.21E-2</v>
      </c>
      <c r="AA68" s="62">
        <f t="shared" si="33"/>
        <v>23.296499999999998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34"/>
        <v>0156-02</v>
      </c>
      <c r="AE68" s="85" t="str">
        <f t="shared" si="35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68" s="82" t="str">
        <f t="shared" si="36"/>
        <v>"C:\Program Files (x86)\AstroGrep\AstroGrep.exe" /e /r /s /spath="%USERPROFILE%\AppData\Local\Temp\OnboardLogs" /stypes="app*4019*20170402*" /stext=" 18:.+((SYSTEM_STATE.+slice.+state.+changed )|(ment ac)|(multiple cpu faults)|(system.+state.+changed )|(\[timeout)|(PRM\|1\|D)|(kpr)|(kdp)|(\|lc)|(penalty))"</v>
      </c>
      <c r="AG68" s="1" t="str">
        <f t="shared" si="37"/>
        <v>EC</v>
      </c>
      <c r="AH68" s="86" t="str">
        <f t="shared" si="19"/>
        <v>"%USERPROFILE%\Documents\GitHub\eaglep3\Utilities\RefineRTDCRunTimes.py" --tripid 156-02 --locoid 4019 --swversion DE.1.0.9.0 --startMP 204:233086 --initTime 2017-04-02T11:09:06 --startdatetime 2017-04-02T11:26:13 --delay 2 --endMP 204:121 --enddatetime 2017-04-02T12:04:40 --enforcementcount 0 &gt;&gt;C:\Users\stu\Documents\GitHub\eaglep3-reporting\EC\2017-04-02-refined-times.txt</v>
      </c>
      <c r="AI68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{"issue":{"subject":"","project_id":79,"tracker_id":40,"status_id":1,"priority_id":2,"assigned_to_id":23,"start_date":"2017-04-02","description":"","custom_fields":[{"id":1,"name":"Subdivision","value":"EC"},{"id":4,"name":"Milepost","value":"0.0121"},{"id":17,"name":"Train ID","value":"156-02"},{"id":16,"name":"Locomotive ID","value":"4019"},{"id":130,"name":"Impact","value":""},{"id":150,"name":"Time of Event (Mountain Time)","value":"12:04:40"},{"id":151,"name":"Denver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4019 --day 2017-04-02</v>
      </c>
      <c r="AN68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715</v>
      </c>
      <c r="B69" s="7">
        <v>4002</v>
      </c>
      <c r="C69" s="21" t="s">
        <v>217</v>
      </c>
      <c r="D69" s="21" t="s">
        <v>597</v>
      </c>
      <c r="E69" s="13">
        <v>42827.444467592592</v>
      </c>
      <c r="F69" s="13">
        <v>42827.448078703703</v>
      </c>
      <c r="G69" s="7">
        <v>1</v>
      </c>
      <c r="H69" s="21" t="s">
        <v>862</v>
      </c>
      <c r="I69" s="13">
        <v>42827.473773148151</v>
      </c>
      <c r="J69" s="7">
        <v>0</v>
      </c>
      <c r="K69" s="97" t="str">
        <f t="shared" si="23"/>
        <v>4001/4002</v>
      </c>
      <c r="L69" s="21" t="str">
        <f>VLOOKUP(A69,'Trips&amp;Operators'!$C$1:$G$99999,5,FALSE)</f>
        <v>SHOOK JOHN</v>
      </c>
      <c r="M69" s="6">
        <f t="shared" si="24"/>
        <v>2.5694444448163267E-2</v>
      </c>
      <c r="N69" s="7">
        <f t="shared" si="25"/>
        <v>37.000000005355105</v>
      </c>
      <c r="O69" s="7"/>
      <c r="P69" s="7"/>
      <c r="Q69" s="22"/>
      <c r="R69" s="22"/>
      <c r="S69" s="31">
        <f t="shared" si="26"/>
        <v>1</v>
      </c>
      <c r="T69" s="46" t="str">
        <f t="shared" si="27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28"/>
        <v>https://d0f6bd738d7f1b3e5a7ca70fe4ff75f0.us-east-1.aws.found.io/app/kibana#/discover/Steve-Slow-Train-Analysis-(2080s-and-2083s)?_g=(refreshInterval:(display:Off,pause:!f,section:0,value:0),time:(from:'2017-04-02T09:40:02-0600',mode:absolute,to:'2017-04-02T12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183" t="str">
        <f t="shared" si="29"/>
        <v>N</v>
      </c>
      <c r="X69" s="183">
        <f t="shared" si="30"/>
        <v>1</v>
      </c>
      <c r="Y69" s="62">
        <f t="shared" si="31"/>
        <v>4.4200000000000003E-2</v>
      </c>
      <c r="Z69" s="62">
        <f t="shared" si="32"/>
        <v>23.334599999999998</v>
      </c>
      <c r="AA69" s="62">
        <f t="shared" si="33"/>
        <v>23.290399999999998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34"/>
        <v>0157-02</v>
      </c>
      <c r="AE69" s="85" t="str">
        <f t="shared" si="35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69" s="82" t="str">
        <f t="shared" si="36"/>
        <v>"C:\Program Files (x86)\AstroGrep\AstroGrep.exe" /e /r /s /spath="%USERPROFILE%\AppData\Local\Temp\OnboardLogs" /stypes="app*4002*20170402*" /stext=" 17:.+((SYSTEM_STATE.+slice.+state.+changed )|(ment ac)|(multiple cpu faults)|(system.+state.+changed )|(\[timeout)|(PRM\|1\|D)|(kpr)|(kdp)|(\|lc)|(penalty))"</v>
      </c>
      <c r="AG69" s="1" t="str">
        <f t="shared" si="37"/>
        <v>EC</v>
      </c>
      <c r="AH69" s="86" t="str">
        <f t="shared" si="19"/>
        <v>"%USERPROFILE%\Documents\GitHub\eaglep3\Utilities\RefineRTDCRunTimes.py" --tripid 157-02 --locoid 4002 --swversion DE.1.0.9.0 --startMP 204:442 --initTime 2017-04-02T10:40:02 --startdatetime 2017-04-02T10:45:14 --delay 1 --endMP 204:233346 --enddatetime 2017-04-02T11:22:14 --enforcementcount 0 &gt;&gt;C:\Users\stu\Documents\GitHub\eaglep3-reporting\EC\2017-04-02-refined-times.txt</v>
      </c>
      <c r="AI69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{"issue":{"subject":"","project_id":79,"tracker_id":40,"status_id":1,"priority_id":2,"assigned_to_id":23,"start_date":"2017-04-02","description":"","custom_fields":[{"id":1,"name":"Subdivision","value":"EC"},{"id":4,"name":"Milepost","value":"23.3346"},{"id":17,"name":"Train ID","value":"157-02"},{"id":16,"name":"Locomotive ID","value":"4002"},{"id":130,"name":"Impact","value":""},{"id":150,"name":"Time of Event (Mountain Time)","value":"11:22:14"},{"id":151,"name":"Denver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4002 --day 2017-04-02</v>
      </c>
      <c r="AN69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722</v>
      </c>
      <c r="B70" s="7">
        <v>4001</v>
      </c>
      <c r="C70" s="21" t="s">
        <v>217</v>
      </c>
      <c r="D70" s="21" t="s">
        <v>863</v>
      </c>
      <c r="E70" s="13">
        <v>42827.475208333337</v>
      </c>
      <c r="F70" s="13">
        <v>42827.486979166664</v>
      </c>
      <c r="G70" s="7">
        <v>1</v>
      </c>
      <c r="H70" s="21" t="s">
        <v>199</v>
      </c>
      <c r="I70" s="13">
        <v>42827.515162037038</v>
      </c>
      <c r="J70" s="7">
        <v>0</v>
      </c>
      <c r="K70" s="97" t="str">
        <f t="shared" si="23"/>
        <v>4001/4002</v>
      </c>
      <c r="L70" s="21" t="str">
        <f>VLOOKUP(A70,'Trips&amp;Operators'!$C$1:$G$99999,5,FALSE)</f>
        <v>SHOOK JOHN</v>
      </c>
      <c r="M70" s="6">
        <f t="shared" si="24"/>
        <v>2.8182870373711921E-2</v>
      </c>
      <c r="N70" s="7">
        <f t="shared" si="25"/>
        <v>40.583333338145167</v>
      </c>
      <c r="O70" s="7"/>
      <c r="P70" s="7"/>
      <c r="Q70" s="22"/>
      <c r="R70" s="22"/>
      <c r="S70" s="31">
        <f t="shared" si="26"/>
        <v>1</v>
      </c>
      <c r="T70" s="46" t="str">
        <f t="shared" si="27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28"/>
        <v>https://d0f6bd738d7f1b3e5a7ca70fe4ff75f0.us-east-1.aws.found.io/app/kibana#/discover/Steve-Slow-Train-Analysis-(2080s-and-2083s)?_g=(refreshInterval:(display:Off,pause:!f,section:0,value:0),time:(from:'2017-04-02T10:24:18-0600',mode:absolute,to:'2017-04-02T13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183" t="str">
        <f t="shared" si="29"/>
        <v>N</v>
      </c>
      <c r="X70" s="183">
        <f t="shared" si="30"/>
        <v>1</v>
      </c>
      <c r="Y70" s="62">
        <f t="shared" si="31"/>
        <v>23.302299999999999</v>
      </c>
      <c r="Z70" s="62">
        <f t="shared" si="32"/>
        <v>1.52E-2</v>
      </c>
      <c r="AA70" s="62">
        <f t="shared" si="33"/>
        <v>23.287099999999999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34"/>
        <v>0158-02</v>
      </c>
      <c r="AE70" s="85" t="str">
        <f t="shared" si="35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70" s="82" t="str">
        <f t="shared" si="36"/>
        <v>"C:\Program Files (x86)\AstroGrep\AstroGrep.exe" /e /r /s /spath="%USERPROFILE%\AppData\Local\Temp\OnboardLogs" /stypes="app*4001*20170402*" /stext=" 18:.+((SYSTEM_STATE.+slice.+state.+changed )|(ment ac)|(multiple cpu faults)|(system.+state.+changed )|(\[timeout)|(PRM\|1\|D)|(kpr)|(kdp)|(\|lc)|(penalty))"</v>
      </c>
      <c r="AG70" s="1" t="str">
        <f t="shared" si="37"/>
        <v>EC</v>
      </c>
      <c r="AH70" s="86" t="str">
        <f t="shared" si="19"/>
        <v>"%USERPROFILE%\Documents\GitHub\eaglep3\Utilities\RefineRTDCRunTimes.py" --tripid 158-02 --locoid 4001 --swversion DE.1.0.9.0 --startMP 204:233023 --initTime 2017-04-02T11:24:18 --startdatetime 2017-04-02T11:41:15 --delay 1 --endMP 204:152 --enddatetime 2017-04-02T12:21:50 --enforcementcount 0 &gt;&gt;C:\Users\stu\Documents\GitHub\eaglep3-reporting\EC\2017-04-02-refined-times.txt</v>
      </c>
      <c r="AI70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{"issue":{"subject":"","project_id":79,"tracker_id":40,"status_id":1,"priority_id":2,"assigned_to_id":23,"start_date":"2017-04-02","description":"","custom_fields":[{"id":1,"name":"Subdivision","value":"EC"},{"id":4,"name":"Milepost","value":"0.0152"},{"id":17,"name":"Train ID","value":"158-02"},{"id":16,"name":"Locomotive ID","value":"4001"},{"id":130,"name":"Impact","value":""},{"id":150,"name":"Time of Event (Mountain Time)","value":"12:21:50"},{"id":151,"name":"Denver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4001 --day 2017-04-02</v>
      </c>
      <c r="AN70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718</v>
      </c>
      <c r="B71" s="7">
        <v>4025</v>
      </c>
      <c r="C71" s="21" t="s">
        <v>217</v>
      </c>
      <c r="D71" s="21" t="s">
        <v>584</v>
      </c>
      <c r="E71" s="13">
        <v>42827.457986111112</v>
      </c>
      <c r="F71" s="13">
        <v>42827.460023148145</v>
      </c>
      <c r="G71" s="7">
        <v>2</v>
      </c>
      <c r="H71" s="21" t="s">
        <v>582</v>
      </c>
      <c r="I71" s="13">
        <v>42827.484282407408</v>
      </c>
      <c r="J71" s="7">
        <v>0</v>
      </c>
      <c r="K71" s="97" t="str">
        <f t="shared" si="23"/>
        <v>4025/4026</v>
      </c>
      <c r="L71" s="21" t="str">
        <f>VLOOKUP(A71,'Trips&amp;Operators'!$C$1:$G$99999,5,FALSE)</f>
        <v>STEWART MICHAEL</v>
      </c>
      <c r="M71" s="6">
        <f t="shared" si="24"/>
        <v>2.4259259262180422E-2</v>
      </c>
      <c r="N71" s="7">
        <f t="shared" si="25"/>
        <v>34.933333337539807</v>
      </c>
      <c r="O71" s="7"/>
      <c r="P71" s="7"/>
      <c r="Q71" s="22"/>
      <c r="R71" s="22"/>
      <c r="S71" s="31">
        <f t="shared" si="26"/>
        <v>1</v>
      </c>
      <c r="T71" s="46" t="str">
        <f t="shared" si="27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28"/>
        <v>https://d0f6bd738d7f1b3e5a7ca70fe4ff75f0.us-east-1.aws.found.io/app/kibana#/discover/Steve-Slow-Train-Analysis-(2080s-and-2083s)?_g=(refreshInterval:(display:Off,pause:!f,section:0,value:0),time:(from:'2017-04-02T09:59:30-0600',mode:absolute,to:'2017-04-02T12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83" t="str">
        <f t="shared" si="29"/>
        <v>N</v>
      </c>
      <c r="X71" s="183">
        <f t="shared" si="30"/>
        <v>1</v>
      </c>
      <c r="Y71" s="62">
        <f t="shared" si="31"/>
        <v>4.6600000000000003E-2</v>
      </c>
      <c r="Z71" s="62">
        <f t="shared" si="32"/>
        <v>23.329699999999999</v>
      </c>
      <c r="AA71" s="62">
        <f t="shared" si="33"/>
        <v>23.283099999999997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34"/>
        <v>0159-02</v>
      </c>
      <c r="AE71" s="85" t="str">
        <f t="shared" si="35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71" s="82" t="str">
        <f t="shared" si="36"/>
        <v>"C:\Program Files (x86)\AstroGrep\AstroGrep.exe" /e /r /s /spath="%USERPROFILE%\AppData\Local\Temp\OnboardLogs" /stypes="app*4025*20170402*" /stext=" 17:.+((SYSTEM_STATE.+slice.+state.+changed )|(ment ac)|(multiple cpu faults)|(system.+state.+changed )|(\[timeout)|(PRM\|1\|D)|(kpr)|(kdp)|(\|lc)|(penalty))"</v>
      </c>
      <c r="AG71" s="1" t="str">
        <f t="shared" si="37"/>
        <v>EC</v>
      </c>
      <c r="AH71" s="86" t="str">
        <f t="shared" si="19"/>
        <v>"%USERPROFILE%\Documents\GitHub\eaglep3\Utilities\RefineRTDCRunTimes.py" --tripid 159-02 --locoid 4025 --swversion DE.1.0.9.0 --startMP 204:466 --initTime 2017-04-02T10:59:30 --startdatetime 2017-04-02T11:02:26 --delay 2 --endMP 204:233297 --enddatetime 2017-04-02T11:37:22 --enforcementcount 0 &gt;&gt;C:\Users\stu\Documents\GitHub\eaglep3-reporting\EC\2017-04-02-refined-times.txt</v>
      </c>
      <c r="AI71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{"issue":{"subject":"","project_id":79,"tracker_id":40,"status_id":1,"priority_id":2,"assigned_to_id":23,"start_date":"2017-04-02","description":"","custom_fields":[{"id":1,"name":"Subdivision","value":"EC"},{"id":4,"name":"Milepost","value":"23.3297"},{"id":17,"name":"Train ID","value":"159-02"},{"id":16,"name":"Locomotive ID","value":"4025"},{"id":130,"name":"Impact","value":""},{"id":150,"name":"Time of Event (Mountain Time)","value":"11:37:22"},{"id":151,"name":"Denver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4025 --day 2017-04-02</v>
      </c>
      <c r="AN71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728</v>
      </c>
      <c r="B72" s="7">
        <v>4026</v>
      </c>
      <c r="C72" s="21" t="s">
        <v>217</v>
      </c>
      <c r="D72" s="21" t="s">
        <v>477</v>
      </c>
      <c r="E72" s="13">
        <v>42827.494108796294</v>
      </c>
      <c r="F72" s="13">
        <v>42827.497418981482</v>
      </c>
      <c r="G72" s="7">
        <v>1</v>
      </c>
      <c r="H72" s="21" t="s">
        <v>463</v>
      </c>
      <c r="I72" s="13">
        <v>42827.525266203702</v>
      </c>
      <c r="J72" s="7">
        <v>0</v>
      </c>
      <c r="K72" s="97" t="str">
        <f t="shared" si="23"/>
        <v>4025/4026</v>
      </c>
      <c r="L72" s="21" t="str">
        <f>VLOOKUP(A72,'Trips&amp;Operators'!$C$1:$G$99999,5,FALSE)</f>
        <v>STEWART MICHAEL</v>
      </c>
      <c r="M72" s="6">
        <f t="shared" si="24"/>
        <v>2.7847222219861578E-2</v>
      </c>
      <c r="N72" s="7">
        <f t="shared" si="25"/>
        <v>40.099999996600673</v>
      </c>
      <c r="O72" s="7"/>
      <c r="P72" s="7"/>
      <c r="Q72" s="22"/>
      <c r="R72" s="22"/>
      <c r="S72" s="31">
        <f t="shared" si="26"/>
        <v>1</v>
      </c>
      <c r="T72" s="46" t="str">
        <f t="shared" si="27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28"/>
        <v>https://d0f6bd738d7f1b3e5a7ca70fe4ff75f0.us-east-1.aws.found.io/app/kibana#/discover/Steve-Slow-Train-Analysis-(2080s-and-2083s)?_g=(refreshInterval:(display:Off,pause:!f,section:0,value:0),time:(from:'2017-04-02T10:51:31-0600',mode:absolute,to:'2017-04-02T13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83" t="str">
        <f t="shared" si="29"/>
        <v>N</v>
      </c>
      <c r="X72" s="183">
        <f t="shared" si="30"/>
        <v>1</v>
      </c>
      <c r="Y72" s="62">
        <f t="shared" si="31"/>
        <v>23.296099999999999</v>
      </c>
      <c r="Z72" s="62">
        <f t="shared" si="32"/>
        <v>1.6299999999999999E-2</v>
      </c>
      <c r="AA72" s="62">
        <f t="shared" si="33"/>
        <v>23.279799999999998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34"/>
        <v>0160-02</v>
      </c>
      <c r="AE72" s="85" t="str">
        <f t="shared" si="35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72" s="82" t="str">
        <f t="shared" si="36"/>
        <v>"C:\Program Files (x86)\AstroGrep\AstroGrep.exe" /e /r /s /spath="%USERPROFILE%\AppData\Local\Temp\OnboardLogs" /stypes="app*4026*20170402*" /stext=" 18:.+((SYSTEM_STATE.+slice.+state.+changed )|(ment ac)|(multiple cpu faults)|(system.+state.+changed )|(\[timeout)|(PRM\|1\|D)|(kpr)|(kdp)|(\|lc)|(penalty))"</v>
      </c>
      <c r="AG72" s="1" t="str">
        <f t="shared" si="37"/>
        <v>EC</v>
      </c>
      <c r="AH72" s="86" t="str">
        <f t="shared" si="19"/>
        <v>"%USERPROFILE%\Documents\GitHub\eaglep3\Utilities\RefineRTDCRunTimes.py" --tripid 160-02 --locoid 4026 --swversion DE.1.0.9.0 --startMP 204:232961 --initTime 2017-04-02T11:51:31 --startdatetime 2017-04-02T11:56:17 --delay 1 --endMP 204:163 --enddatetime 2017-04-02T12:36:23 --enforcementcount 0 &gt;&gt;C:\Users\stu\Documents\GitHub\eaglep3-reporting\EC\2017-04-02-refined-times.txt</v>
      </c>
      <c r="AI72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{"issue":{"subject":"","project_id":79,"tracker_id":40,"status_id":1,"priority_id":2,"assigned_to_id":23,"start_date":"2017-04-02","description":"","custom_fields":[{"id":1,"name":"Subdivision","value":"EC"},{"id":4,"name":"Milepost","value":"0.0163"},{"id":17,"name":"Train ID","value":"160-02"},{"id":16,"name":"Locomotive ID","value":"4026"},{"id":130,"name":"Impact","value":""},{"id":150,"name":"Time of Event (Mountain Time)","value":"12:36:23"},{"id":151,"name":"Denver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4026 --day 2017-04-02</v>
      </c>
      <c r="AN72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720</v>
      </c>
      <c r="B73" s="7">
        <v>4054</v>
      </c>
      <c r="C73" s="21" t="s">
        <v>217</v>
      </c>
      <c r="D73" s="21" t="s">
        <v>423</v>
      </c>
      <c r="E73" s="13">
        <v>42827.464571759258</v>
      </c>
      <c r="F73" s="13">
        <v>42827.469189814816</v>
      </c>
      <c r="G73" s="7">
        <v>2</v>
      </c>
      <c r="H73" s="21" t="s">
        <v>474</v>
      </c>
      <c r="I73" s="13">
        <v>42827.495289351849</v>
      </c>
      <c r="J73" s="7">
        <v>0</v>
      </c>
      <c r="K73" s="97" t="str">
        <f t="shared" si="23"/>
        <v>4053/4054</v>
      </c>
      <c r="L73" s="21" t="str">
        <f>VLOOKUP(A73,'Trips&amp;Operators'!$C$1:$G$99999,5,FALSE)</f>
        <v>DAVIS MICHAEL</v>
      </c>
      <c r="M73" s="6">
        <f t="shared" si="24"/>
        <v>2.6099537033587694E-2</v>
      </c>
      <c r="N73" s="7">
        <f t="shared" si="25"/>
        <v>37.58333332836628</v>
      </c>
      <c r="O73" s="7"/>
      <c r="P73" s="7"/>
      <c r="Q73" s="22"/>
      <c r="R73" s="22"/>
      <c r="S73" s="31">
        <f t="shared" si="26"/>
        <v>1</v>
      </c>
      <c r="T73" s="46" t="str">
        <f t="shared" si="27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28"/>
        <v>https://d0f6bd738d7f1b3e5a7ca70fe4ff75f0.us-east-1.aws.found.io/app/kibana#/discover/Steve-Slow-Train-Analysis-(2080s-and-2083s)?_g=(refreshInterval:(display:Off,pause:!f,section:0,value:0),time:(from:'2017-04-02T10:08:59-0600',mode:absolute,to:'2017-04-02T12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83" t="str">
        <f t="shared" si="29"/>
        <v>N</v>
      </c>
      <c r="X73" s="183">
        <f t="shared" si="30"/>
        <v>1</v>
      </c>
      <c r="Y73" s="62">
        <f t="shared" si="31"/>
        <v>4.4900000000000002E-2</v>
      </c>
      <c r="Z73" s="62">
        <f t="shared" si="32"/>
        <v>23.330400000000001</v>
      </c>
      <c r="AA73" s="62">
        <f t="shared" si="33"/>
        <v>23.285500000000003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34"/>
        <v>0161-02</v>
      </c>
      <c r="AE73" s="85" t="str">
        <f t="shared" si="35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73" s="82" t="str">
        <f t="shared" si="36"/>
        <v>"C:\Program Files (x86)\AstroGrep\AstroGrep.exe" /e /r /s /spath="%USERPROFILE%\AppData\Local\Temp\OnboardLogs" /stypes="app*4054*20170402*" /stext=" 17:.+((SYSTEM_STATE.+slice.+state.+changed )|(ment ac)|(multiple cpu faults)|(system.+state.+changed )|(\[timeout)|(PRM\|1\|D)|(kpr)|(kdp)|(\|lc)|(penalty))"</v>
      </c>
      <c r="AG73" s="1" t="str">
        <f t="shared" si="37"/>
        <v>EC</v>
      </c>
      <c r="AH73" s="86" t="str">
        <f t="shared" si="19"/>
        <v>"%USERPROFILE%\Documents\GitHub\eaglep3\Utilities\RefineRTDCRunTimes.py" --tripid 161-02 --locoid 4054 --swversion DE.1.0.9.0 --startMP 204:449 --initTime 2017-04-02T11:08:59 --startdatetime 2017-04-02T11:15:38 --delay 2 --endMP 204:233304 --enddatetime 2017-04-02T11:53:13 --enforcementcount 0 &gt;&gt;C:\Users\stu\Documents\GitHub\eaglep3-reporting\EC\2017-04-02-refined-times.txt</v>
      </c>
      <c r="AI73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{"issue":{"subject":"","project_id":79,"tracker_id":40,"status_id":1,"priority_id":2,"assigned_to_id":23,"start_date":"2017-04-02","description":"","custom_fields":[{"id":1,"name":"Subdivision","value":"EC"},{"id":4,"name":"Milepost","value":"23.3304"},{"id":17,"name":"Train ID","value":"161-02"},{"id":16,"name":"Locomotive ID","value":"4054"},{"id":130,"name":"Impact","value":""},{"id":150,"name":"Time of Event (Mountain Time)","value":"11:53:13"},{"id":151,"name":"Denver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4054 --day 2017-04-02</v>
      </c>
      <c r="AN73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732</v>
      </c>
      <c r="B74" s="7">
        <v>4053</v>
      </c>
      <c r="C74" s="21" t="s">
        <v>217</v>
      </c>
      <c r="D74" s="21" t="s">
        <v>488</v>
      </c>
      <c r="E74" s="13">
        <v>42827.50644675926</v>
      </c>
      <c r="F74" s="13">
        <v>42827.508449074077</v>
      </c>
      <c r="G74" s="7">
        <v>1</v>
      </c>
      <c r="H74" s="21" t="s">
        <v>864</v>
      </c>
      <c r="I74" s="13">
        <v>42827.536006944443</v>
      </c>
      <c r="J74" s="7">
        <v>0</v>
      </c>
      <c r="K74" s="97" t="str">
        <f t="shared" si="23"/>
        <v>4053/4054</v>
      </c>
      <c r="L74" s="21" t="str">
        <f>VLOOKUP(A74,'Trips&amp;Operators'!$C$1:$G$99999,5,FALSE)</f>
        <v>DAVIS MICHAEL</v>
      </c>
      <c r="M74" s="6">
        <f t="shared" si="24"/>
        <v>2.7557870365853887E-2</v>
      </c>
      <c r="N74" s="7">
        <f t="shared" si="25"/>
        <v>39.683333326829597</v>
      </c>
      <c r="O74" s="7"/>
      <c r="P74" s="7"/>
      <c r="Q74" s="22"/>
      <c r="R74" s="22"/>
      <c r="S74" s="31">
        <f t="shared" si="26"/>
        <v>1</v>
      </c>
      <c r="T74" s="46" t="str">
        <f t="shared" si="27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28"/>
        <v>https://d0f6bd738d7f1b3e5a7ca70fe4ff75f0.us-east-1.aws.found.io/app/kibana#/discover/Steve-Slow-Train-Analysis-(2080s-and-2083s)?_g=(refreshInterval:(display:Off,pause:!f,section:0,value:0),time:(from:'2017-04-02T11:09:17-0600',mode:absolute,to:'2017-04-02T13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83" t="str">
        <f t="shared" si="29"/>
        <v>N</v>
      </c>
      <c r="X74" s="183">
        <f t="shared" si="30"/>
        <v>1</v>
      </c>
      <c r="Y74" s="62">
        <f t="shared" si="31"/>
        <v>23.297899999999998</v>
      </c>
      <c r="Z74" s="62">
        <f t="shared" si="32"/>
        <v>1.32E-2</v>
      </c>
      <c r="AA74" s="62">
        <f t="shared" si="33"/>
        <v>23.284699999999997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34"/>
        <v>0162-02</v>
      </c>
      <c r="AE74" s="85" t="str">
        <f t="shared" si="35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74" s="82" t="str">
        <f t="shared" si="36"/>
        <v>"C:\Program Files (x86)\AstroGrep\AstroGrep.exe" /e /r /s /spath="%USERPROFILE%\AppData\Local\Temp\OnboardLogs" /stypes="app*4053*20170402*" /stext=" 18:.+((SYSTEM_STATE.+slice.+state.+changed )|(ment ac)|(multiple cpu faults)|(system.+state.+changed )|(\[timeout)|(PRM\|1\|D)|(kpr)|(kdp)|(\|lc)|(penalty))"</v>
      </c>
      <c r="AG74" s="1" t="str">
        <f t="shared" si="37"/>
        <v>EC</v>
      </c>
      <c r="AH74" s="86" t="str">
        <f t="shared" si="19"/>
        <v>"%USERPROFILE%\Documents\GitHub\eaglep3\Utilities\RefineRTDCRunTimes.py" --tripid 162-02 --locoid 4053 --swversion DE.1.0.9.0 --startMP 204:232979 --initTime 2017-04-02T12:09:17 --startdatetime 2017-04-02T12:12:10 --delay 1 --endMP 204:132 --enddatetime 2017-04-02T12:51:51 --enforcementcount 0 &gt;&gt;C:\Users\stu\Documents\GitHub\eaglep3-reporting\EC\2017-04-02-refined-times.txt</v>
      </c>
      <c r="AI74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{"issue":{"subject":"","project_id":79,"tracker_id":40,"status_id":1,"priority_id":2,"assigned_to_id":23,"start_date":"2017-04-02","description":"","custom_fields":[{"id":1,"name":"Subdivision","value":"EC"},{"id":4,"name":"Milepost","value":"0.0132"},{"id":17,"name":"Train ID","value":"162-02"},{"id":16,"name":"Locomotive ID","value":"4053"},{"id":130,"name":"Impact","value":""},{"id":150,"name":"Time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4053 --day 2017-04-02</v>
      </c>
      <c r="AN74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723</v>
      </c>
      <c r="B75" s="7">
        <v>4010</v>
      </c>
      <c r="C75" s="21" t="s">
        <v>217</v>
      </c>
      <c r="D75" s="21" t="s">
        <v>865</v>
      </c>
      <c r="E75" s="13">
        <v>42827.475937499999</v>
      </c>
      <c r="F75" s="13">
        <v>42827.479351851849</v>
      </c>
      <c r="G75" s="7">
        <v>1</v>
      </c>
      <c r="H75" s="21" t="s">
        <v>856</v>
      </c>
      <c r="I75" s="13">
        <v>42827.503819444442</v>
      </c>
      <c r="J75" s="7">
        <v>0</v>
      </c>
      <c r="K75" s="97" t="str">
        <f t="shared" si="23"/>
        <v>4009/4010</v>
      </c>
      <c r="L75" s="21" t="str">
        <f>VLOOKUP(A75,'Trips&amp;Operators'!$C$1:$G$99999,5,FALSE)</f>
        <v>LEVIN SCOTT</v>
      </c>
      <c r="M75" s="6">
        <f t="shared" si="24"/>
        <v>2.4467592593282461E-2</v>
      </c>
      <c r="N75" s="7">
        <f t="shared" si="25"/>
        <v>35.233333334326744</v>
      </c>
      <c r="O75" s="7"/>
      <c r="P75" s="7"/>
      <c r="Q75" s="22"/>
      <c r="R75" s="22"/>
      <c r="S75" s="31">
        <f t="shared" si="26"/>
        <v>1</v>
      </c>
      <c r="T75" s="46" t="str">
        <f t="shared" si="27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28"/>
        <v>https://d0f6bd738d7f1b3e5a7ca70fe4ff75f0.us-east-1.aws.found.io/app/kibana#/discover/Steve-Slow-Train-Analysis-(2080s-and-2083s)?_g=(refreshInterval:(display:Off,pause:!f,section:0,value:0),time:(from:'2017-04-02T10:25:21-0600',mode:absolute,to:'2017-04-02T13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5" s="183" t="str">
        <f t="shared" si="29"/>
        <v>N</v>
      </c>
      <c r="X75" s="183">
        <f t="shared" si="30"/>
        <v>1</v>
      </c>
      <c r="Y75" s="62">
        <f t="shared" si="31"/>
        <v>4.7699999999999999E-2</v>
      </c>
      <c r="Z75" s="62">
        <f t="shared" si="32"/>
        <v>23.335999999999999</v>
      </c>
      <c r="AA75" s="62">
        <f t="shared" si="33"/>
        <v>23.2883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34"/>
        <v>0163-02</v>
      </c>
      <c r="AE75" s="85" t="str">
        <f t="shared" si="35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75" s="82" t="str">
        <f t="shared" si="36"/>
        <v>"C:\Program Files (x86)\AstroGrep\AstroGrep.exe" /e /r /s /spath="%USERPROFILE%\AppData\Local\Temp\OnboardLogs" /stypes="app*4010*20170402*" /stext=" 18:.+((SYSTEM_STATE.+slice.+state.+changed )|(ment ac)|(multiple cpu faults)|(system.+state.+changed )|(\[timeout)|(PRM\|1\|D)|(kpr)|(kdp)|(\|lc)|(penalty))"</v>
      </c>
      <c r="AG75" s="1" t="str">
        <f t="shared" si="37"/>
        <v>EC</v>
      </c>
      <c r="AH75" s="86" t="str">
        <f t="shared" si="19"/>
        <v>"%USERPROFILE%\Documents\GitHub\eaglep3\Utilities\RefineRTDCRunTimes.py" --tripid 163-02 --locoid 4010 --swversion DE.1.0.9.0 --startMP 204:477 --initTime 2017-04-02T11:25:21 --startdatetime 2017-04-02T11:30:16 --delay 1 --endMP 204:233360 --enddatetime 2017-04-02T12:05:30 --enforcementcount 0 &gt;&gt;C:\Users\stu\Documents\GitHub\eaglep3-reporting\EC\2017-04-02-refined-times.txt</v>
      </c>
      <c r="AI75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{"issue":{"subject":"","project_id":79,"tracker_id":40,"status_id":1,"priority_id":2,"assigned_to_id":23,"start_date":"2017-04-02","description":"","custom_fields":[{"id":1,"name":"Subdivision","value":"EC"},{"id":4,"name":"Milepost","value":"23.336"},{"id":17,"name":"Train ID","value":"163-02"},{"id":16,"name":"Locomotive ID","value":"4010"},{"id":130,"name":"Impact","value":""},{"id":150,"name":"Time of Event (Mountain Time)","value":"12:05:30"},{"id":151,"name":"Denver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4010 --day 2017-04-02</v>
      </c>
      <c r="AN75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733</v>
      </c>
      <c r="B76" s="7">
        <v>4009</v>
      </c>
      <c r="C76" s="21" t="s">
        <v>217</v>
      </c>
      <c r="D76" s="21" t="s">
        <v>866</v>
      </c>
      <c r="E76" s="13">
        <v>42827.515613425923</v>
      </c>
      <c r="F76" s="13">
        <v>42827.518229166664</v>
      </c>
      <c r="G76" s="7">
        <v>1</v>
      </c>
      <c r="H76" s="21" t="s">
        <v>191</v>
      </c>
      <c r="I76" s="13">
        <v>42827.54488425926</v>
      </c>
      <c r="J76" s="7">
        <v>0</v>
      </c>
      <c r="K76" s="97" t="str">
        <f t="shared" si="23"/>
        <v>4009/4010</v>
      </c>
      <c r="L76" s="21" t="str">
        <f>VLOOKUP(A76,'Trips&amp;Operators'!$C$1:$G$99999,5,FALSE)</f>
        <v>LEVIN SCOTT</v>
      </c>
      <c r="M76" s="6">
        <f t="shared" si="24"/>
        <v>2.6655092595319729E-2</v>
      </c>
      <c r="N76" s="7">
        <f t="shared" si="25"/>
        <v>38.38333333726041</v>
      </c>
      <c r="O76" s="7"/>
      <c r="P76" s="7"/>
      <c r="Q76" s="22"/>
      <c r="R76" s="22"/>
      <c r="S76" s="31">
        <f t="shared" si="26"/>
        <v>1</v>
      </c>
      <c r="T76" s="46" t="str">
        <f t="shared" si="27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28"/>
        <v>https://d0f6bd738d7f1b3e5a7ca70fe4ff75f0.us-east-1.aws.found.io/app/kibana#/discover/Steve-Slow-Train-Analysis-(2080s-and-2083s)?_g=(refreshInterval:(display:Off,pause:!f,section:0,value:0),time:(from:'2017-04-02T11:22:29-0600',mode:absolute,to:'2017-04-02T14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183" t="str">
        <f t="shared" si="29"/>
        <v>N</v>
      </c>
      <c r="X76" s="183">
        <f t="shared" si="30"/>
        <v>1</v>
      </c>
      <c r="Y76" s="62">
        <f t="shared" si="31"/>
        <v>23.3048</v>
      </c>
      <c r="Z76" s="62">
        <f t="shared" si="32"/>
        <v>1.4999999999999999E-2</v>
      </c>
      <c r="AA76" s="62">
        <f t="shared" si="33"/>
        <v>23.2898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34"/>
        <v>0164-02</v>
      </c>
      <c r="AE76" s="85" t="str">
        <f t="shared" si="35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76" s="82" t="str">
        <f t="shared" si="36"/>
        <v>"C:\Program Files (x86)\AstroGrep\AstroGrep.exe" /e /r /s /spath="%USERPROFILE%\AppData\Local\Temp\OnboardLogs" /stypes="app*4009*20170402*" /stext=" 19:.+((SYSTEM_STATE.+slice.+state.+changed )|(ment ac)|(multiple cpu faults)|(system.+state.+changed )|(\[timeout)|(PRM\|1\|D)|(kpr)|(kdp)|(\|lc)|(penalty))"</v>
      </c>
      <c r="AG76" s="1" t="str">
        <f t="shared" si="37"/>
        <v>EC</v>
      </c>
      <c r="AH76" s="86" t="str">
        <f t="shared" si="19"/>
        <v>"%USERPROFILE%\Documents\GitHub\eaglep3\Utilities\RefineRTDCRunTimes.py" --tripid 164-02 --locoid 4009 --swversion DE.1.0.9.0 --startMP 204:233048 --initTime 2017-04-02T12:22:29 --startdatetime 2017-04-02T12:26:15 --delay 1 --endMP 204:150 --enddatetime 2017-04-02T13:04:38 --enforcementcount 0 &gt;&gt;C:\Users\stu\Documents\GitHub\eaglep3-reporting\EC\2017-04-02-refined-times.txt</v>
      </c>
      <c r="AI76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{"issue":{"subject":"","project_id":79,"tracker_id":40,"status_id":1,"priority_id":2,"assigned_to_id":23,"start_date":"2017-04-02","description":"","custom_fields":[{"id":1,"name":"Subdivision","value":"EC"},{"id":4,"name":"Milepost","value":"0.015"},{"id":17,"name":"Train ID","value":"164-02"},{"id":16,"name":"Locomotive ID","value":"4009"},{"id":130,"name":"Impact","value":""},{"id":150,"name":"Time of Event (Mountain Time)","value":"13:04:38"},{"id":151,"name":"Denver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4009 --day 2017-04-02</v>
      </c>
      <c r="AN76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727</v>
      </c>
      <c r="B77" s="7">
        <v>4011</v>
      </c>
      <c r="C77" s="21" t="s">
        <v>217</v>
      </c>
      <c r="D77" s="21" t="s">
        <v>851</v>
      </c>
      <c r="E77" s="13">
        <v>42827.48609953704</v>
      </c>
      <c r="F77" s="13">
        <v>42827.489745370367</v>
      </c>
      <c r="G77" s="7">
        <v>1</v>
      </c>
      <c r="H77" s="21" t="s">
        <v>493</v>
      </c>
      <c r="I77" s="13">
        <v>42827.514745370368</v>
      </c>
      <c r="J77" s="7">
        <v>0</v>
      </c>
      <c r="K77" s="97" t="str">
        <f t="shared" ref="K77:K108" si="38">IF(ISEVEN(B77),(B77-1)&amp;"/"&amp;B77,B77&amp;"/"&amp;(B77+1))</f>
        <v>4011/4012</v>
      </c>
      <c r="L77" s="21" t="str">
        <f>VLOOKUP(A77,'Trips&amp;Operators'!$C$1:$G$99999,5,FALSE)</f>
        <v>BRUDER RICHARD</v>
      </c>
      <c r="M77" s="6">
        <f t="shared" ref="M77:M108" si="39">I77-F77</f>
        <v>2.5000000001455192E-2</v>
      </c>
      <c r="N77" s="7">
        <f t="shared" ref="N77:N108" si="40">24*60*SUM($M77:$M77)</f>
        <v>36.000000002095476</v>
      </c>
      <c r="O77" s="7"/>
      <c r="P77" s="7"/>
      <c r="Q77" s="22"/>
      <c r="R77" s="22"/>
      <c r="S77" s="31">
        <f t="shared" ref="S77:S108" si="41">SUM(U77:U77)/IF(AG77="EC",12,1)</f>
        <v>1</v>
      </c>
      <c r="T77" s="46" t="str">
        <f t="shared" ref="T77:T108" si="42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08" si="43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-02T10:39:59-0600',mode:absolute,to:'2017-04-02T13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7" s="183" t="str">
        <f t="shared" ref="W77:W108" si="44">IF(AA77&lt;IF(AG77="EC",23,5.65),"Y","N")</f>
        <v>N</v>
      </c>
      <c r="X77" s="183">
        <f t="shared" ref="X77:X108" si="45">VALUE(LEFT(AD77,4))-VALUE(LEFT(AD76,4))</f>
        <v>1</v>
      </c>
      <c r="Y77" s="62">
        <f t="shared" ref="Y77:Y108" si="46">RIGHT(D77,LEN(D77)-4)/10000</f>
        <v>4.58E-2</v>
      </c>
      <c r="Z77" s="62">
        <f t="shared" ref="Z77:Z108" si="47">RIGHT(H77,LEN(H77)-4)/10000</f>
        <v>23.3308</v>
      </c>
      <c r="AA77" s="62">
        <f t="shared" ref="AA77:AA108" si="48">ABS(Z77-Y77)</f>
        <v>23.285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08" si="49">IF(LEN(A77)=6,"0"&amp;A77,A77)</f>
        <v>0165-02</v>
      </c>
      <c r="AE77" s="85" t="str">
        <f t="shared" ref="AE77:AE108" si="50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77" s="82" t="str">
        <f t="shared" ref="AF77:AF108" si="51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/stypes="app*4011*20170402*" /stext=" 18:.+((SYSTEM_STATE.+slice.+state.+changed )|(ment ac)|(multiple cpu faults)|(system.+state.+changed )|(\[timeout)|(PRM\|1\|D)|(kpr)|(kdp)|(\|lc)|(penalty))"</v>
      </c>
      <c r="AG77" s="1" t="str">
        <f t="shared" ref="AG77:AG108" si="52">IFERROR(IF(VALUE(LEFT(AD77,2))&lt;=2,"EC",IF(OR(VALUE(LEFT(AD77,2))=8,VALUE(LEFT(AD77,2))=18),"NW","Other")),"Other")</f>
        <v>EC</v>
      </c>
      <c r="AH77" s="86" t="str">
        <f t="shared" si="19"/>
        <v>"%USERPROFILE%\Documents\GitHub\eaglep3\Utilities\RefineRTDCRunTimes.py" --tripid 165-02 --locoid 4011 --swversion DE.1.0.9.0 --startMP 204:458 --initTime 2017-04-02T11:39:59 --startdatetime 2017-04-02T11:45:14 --delay 1 --endMP 204:233308 --enddatetime 2017-04-02T12:21:14 --enforcementcount 0 &gt;&gt;C:\Users\stu\Documents\GitHub\eaglep3-reporting\EC\2017-04-02-refined-times.txt</v>
      </c>
      <c r="AI77" s="104" t="str">
        <f t="shared" si="20"/>
        <v>echo {"issue":{"subject":"","project_id":79,"tracker_id":40,"status_id":1,"priority_id":2,"assigned_to_id":23,"start_date":"2017-04-02","description":"","custom_fields":[{"id":1,"name":"Subdivision","value":"EC"},{"id":4,"name":"Milepost","value":"23.3308"},{"id":17,"name":"Train ID","value":"165-02"},{"id":16,"name":"Locomotive ID","value":"4011"},{"id":130,"name":"Impact","value":""},{"id":150,"name":"Time of Event (Mountain Time)","value":"12:21:14"},{"id":151,"name":"Denver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21"/>
        <v>start /low /b %USERPROFILE%\Documents\GitHub\eaglep3\Utilities\DownloadLogsFromS3.py --loco 4011 --day 2017-04-02</v>
      </c>
      <c r="AN77" s="159" t="str">
        <f t="shared" si="22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734</v>
      </c>
      <c r="B78" s="7">
        <v>4012</v>
      </c>
      <c r="C78" s="21" t="s">
        <v>217</v>
      </c>
      <c r="D78" s="21" t="s">
        <v>867</v>
      </c>
      <c r="E78" s="13">
        <v>42827.523472222223</v>
      </c>
      <c r="F78" s="13">
        <v>42827.528784722221</v>
      </c>
      <c r="G78" s="7">
        <v>1</v>
      </c>
      <c r="H78" s="21" t="s">
        <v>199</v>
      </c>
      <c r="I78" s="13">
        <v>42827.555590277778</v>
      </c>
      <c r="J78" s="7">
        <v>0</v>
      </c>
      <c r="K78" s="97" t="str">
        <f t="shared" si="38"/>
        <v>4011/4012</v>
      </c>
      <c r="L78" s="21" t="str">
        <f>VLOOKUP(A78,'Trips&amp;Operators'!$C$1:$G$99999,5,FALSE)</f>
        <v>BRUDER RICHARD</v>
      </c>
      <c r="M78" s="6">
        <f t="shared" si="39"/>
        <v>2.6805555557075422E-2</v>
      </c>
      <c r="N78" s="7">
        <f t="shared" si="40"/>
        <v>38.600000002188608</v>
      </c>
      <c r="O78" s="7"/>
      <c r="P78" s="7"/>
      <c r="Q78" s="22"/>
      <c r="R78" s="22"/>
      <c r="S78" s="31">
        <f t="shared" si="41"/>
        <v>1</v>
      </c>
      <c r="T78" s="46" t="str">
        <f t="shared" si="42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43"/>
        <v>https://d0f6bd738d7f1b3e5a7ca70fe4ff75f0.us-east-1.aws.found.io/app/kibana#/discover/Steve-Slow-Train-Analysis-(2080s-and-2083s)?_g=(refreshInterval:(display:Off,pause:!f,section:0,value:0),time:(from:'2017-04-02T11:33:48-0600',mode:absolute,to:'2017-04-02T14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183" t="str">
        <f t="shared" si="44"/>
        <v>N</v>
      </c>
      <c r="X78" s="183">
        <f t="shared" si="45"/>
        <v>1</v>
      </c>
      <c r="Y78" s="62">
        <f t="shared" si="46"/>
        <v>23.298500000000001</v>
      </c>
      <c r="Z78" s="62">
        <f t="shared" si="47"/>
        <v>1.52E-2</v>
      </c>
      <c r="AA78" s="62">
        <f t="shared" si="48"/>
        <v>23.283300000000001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49"/>
        <v>0166-02</v>
      </c>
      <c r="AE78" s="85" t="str">
        <f t="shared" si="50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78" s="82" t="str">
        <f t="shared" si="51"/>
        <v>"C:\Program Files (x86)\AstroGrep\AstroGrep.exe" /e /r /s /spath="%USERPROFILE%\AppData\Local\Temp\OnboardLogs" /stypes="app*4012*20170402*" /stext=" 19:.+((SYSTEM_STATE.+slice.+state.+changed )|(ment ac)|(multiple cpu faults)|(system.+state.+changed )|(\[timeout)|(PRM\|1\|D)|(kpr)|(kdp)|(\|lc)|(penalty))"</v>
      </c>
      <c r="AG78" s="1" t="str">
        <f t="shared" si="52"/>
        <v>EC</v>
      </c>
      <c r="AH78" s="86" t="str">
        <f t="shared" ref="AH78:AH141" si="53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166-02 --locoid 4012 --swversion DE.1.0.9.0 --startMP 204:232985 --initTime 2017-04-02T12:33:48 --startdatetime 2017-04-02T12:41:27 --delay 1 --endMP 204:152 --enddatetime 2017-04-02T13:20:03 --enforcementcount 0 &gt;&gt;C:\Users\stu\Documents\GitHub\eaglep3-reporting\EC\2017-04-02-refined-times.txt</v>
      </c>
      <c r="AI78" s="104" t="str">
        <f t="shared" ref="AI78:AI141" si="54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{"issue":{"subject":"","project_id":79,"tracker_id":40,"status_id":1,"priority_id":2,"assigned_to_id":23,"start_date":"2017-04-02","description":"","custom_fields":[{"id":1,"name":"Subdivision","value":"EC"},{"id":4,"name":"Milepost","value":"0.0152"},{"id":17,"name":"Train ID","value":"166-02"},{"id":16,"name":"Locomotive ID","value":"4012"},{"id":130,"name":"Impact","value":""},{"id":150,"name":"Time of Event (Mountain Time)","value":"13:20:03"},{"id":151,"name":"Denver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55">"start /low /b "&amp;dls3logs&amp;" --loco "&amp;B78&amp;" --day "&amp;TEXT(F78,"YYYY-MM-DD")</f>
        <v>start /low /b %USERPROFILE%\Documents\GitHub\eaglep3\Utilities\DownloadLogsFromS3.py --loco 4012 --day 2017-04-02</v>
      </c>
      <c r="AN78" s="159" t="str">
        <f t="shared" ref="AN78:AN141" si="56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729</v>
      </c>
      <c r="B79" s="7">
        <v>4016</v>
      </c>
      <c r="C79" s="21" t="s">
        <v>217</v>
      </c>
      <c r="D79" s="21" t="s">
        <v>586</v>
      </c>
      <c r="E79" s="13">
        <v>42827.494791666664</v>
      </c>
      <c r="F79" s="13">
        <v>42827.500162037039</v>
      </c>
      <c r="G79" s="7">
        <v>1</v>
      </c>
      <c r="H79" s="21" t="s">
        <v>596</v>
      </c>
      <c r="I79" s="13">
        <v>42827.524837962963</v>
      </c>
      <c r="J79" s="7">
        <v>0</v>
      </c>
      <c r="K79" s="97" t="str">
        <f t="shared" si="38"/>
        <v>4015/4016</v>
      </c>
      <c r="L79" s="21" t="str">
        <f>VLOOKUP(A79,'Trips&amp;Operators'!$C$1:$G$99999,5,FALSE)</f>
        <v>LOCKLEAR TRAVIS</v>
      </c>
      <c r="M79" s="6">
        <f t="shared" si="39"/>
        <v>2.4675925924384501E-2</v>
      </c>
      <c r="N79" s="7">
        <f t="shared" si="40"/>
        <v>35.533333331113681</v>
      </c>
      <c r="O79" s="7"/>
      <c r="P79" s="7"/>
      <c r="Q79" s="22"/>
      <c r="R79" s="22"/>
      <c r="S79" s="31">
        <f t="shared" si="41"/>
        <v>1</v>
      </c>
      <c r="T79" s="46" t="str">
        <f t="shared" si="42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43"/>
        <v>https://d0f6bd738d7f1b3e5a7ca70fe4ff75f0.us-east-1.aws.found.io/app/kibana#/discover/Steve-Slow-Train-Analysis-(2080s-and-2083s)?_g=(refreshInterval:(display:Off,pause:!f,section:0,value:0),time:(from:'2017-04-02T10:52:30-0600',mode:absolute,to:'2017-04-02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183" t="str">
        <f t="shared" si="44"/>
        <v>N</v>
      </c>
      <c r="X79" s="183">
        <f t="shared" si="45"/>
        <v>1</v>
      </c>
      <c r="Y79" s="62">
        <f t="shared" si="46"/>
        <v>4.82E-2</v>
      </c>
      <c r="Z79" s="62">
        <f t="shared" si="47"/>
        <v>23.336400000000001</v>
      </c>
      <c r="AA79" s="62">
        <f t="shared" si="48"/>
        <v>23.2882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49"/>
        <v>0167-02</v>
      </c>
      <c r="AE79" s="85" t="str">
        <f t="shared" si="50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79" s="82" t="str">
        <f t="shared" si="51"/>
        <v>"C:\Program Files (x86)\AstroGrep\AstroGrep.exe" /e /r /s /spath="%USERPROFILE%\AppData\Local\Temp\OnboardLogs" /stypes="app*4016*20170402*" /stext=" 18:.+((SYSTEM_STATE.+slice.+state.+changed )|(ment ac)|(multiple cpu faults)|(system.+state.+changed )|(\[timeout)|(PRM\|1\|D)|(kpr)|(kdp)|(\|lc)|(penalty))"</v>
      </c>
      <c r="AG79" s="1" t="str">
        <f t="shared" si="52"/>
        <v>EC</v>
      </c>
      <c r="AH79" s="86" t="str">
        <f t="shared" si="53"/>
        <v>"%USERPROFILE%\Documents\GitHub\eaglep3\Utilities\RefineRTDCRunTimes.py" --tripid 167-02 --locoid 4016 --swversion DE.1.0.9.0 --startMP 204:482 --initTime 2017-04-02T11:52:30 --startdatetime 2017-04-02T12:00:14 --delay 1 --endMP 204:233364 --enddatetime 2017-04-02T12:35:46 --enforcementcount 0 &gt;&gt;C:\Users\stu\Documents\GitHub\eaglep3-reporting\EC\2017-04-02-refined-times.txt</v>
      </c>
      <c r="AI79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{"issue":{"subject":"","project_id":79,"tracker_id":40,"status_id":1,"priority_id":2,"assigned_to_id":23,"start_date":"2017-04-02","description":"","custom_fields":[{"id":1,"name":"Subdivision","value":"EC"},{"id":4,"name":"Milepost","value":"23.3364"},{"id":17,"name":"Train ID","value":"167-02"},{"id":16,"name":"Locomotive ID","value":"4016"},{"id":130,"name":"Impact","value":""},{"id":150,"name":"Time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55"/>
        <v>start /low /b %USERPROFILE%\Documents\GitHub\eaglep3\Utilities\DownloadLogsFromS3.py --loco 4016 --day 2017-04-02</v>
      </c>
      <c r="AN79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738</v>
      </c>
      <c r="B80" s="7">
        <v>4015</v>
      </c>
      <c r="C80" s="21" t="s">
        <v>217</v>
      </c>
      <c r="D80" s="21" t="s">
        <v>519</v>
      </c>
      <c r="E80" s="13">
        <v>42827.536944444444</v>
      </c>
      <c r="F80" s="13">
        <v>42827.5390625</v>
      </c>
      <c r="G80" s="7">
        <v>1</v>
      </c>
      <c r="H80" s="21" t="s">
        <v>485</v>
      </c>
      <c r="I80" s="13">
        <v>42827.566469907404</v>
      </c>
      <c r="J80" s="7">
        <v>0</v>
      </c>
      <c r="K80" s="97" t="str">
        <f t="shared" si="38"/>
        <v>4015/4016</v>
      </c>
      <c r="L80" s="21" t="str">
        <f>VLOOKUP(A80,'Trips&amp;Operators'!$C$1:$G$99999,5,FALSE)</f>
        <v>LOCKLEAR TRAVIS</v>
      </c>
      <c r="M80" s="6">
        <f t="shared" si="39"/>
        <v>2.7407407404098194E-2</v>
      </c>
      <c r="N80" s="7">
        <f t="shared" si="40"/>
        <v>39.466666661901399</v>
      </c>
      <c r="O80" s="7"/>
      <c r="P80" s="7"/>
      <c r="Q80" s="22"/>
      <c r="R80" s="22"/>
      <c r="S80" s="31">
        <f t="shared" si="41"/>
        <v>1</v>
      </c>
      <c r="T80" s="46" t="str">
        <f t="shared" si="42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43"/>
        <v>https://d0f6bd738d7f1b3e5a7ca70fe4ff75f0.us-east-1.aws.found.io/app/kibana#/discover/Steve-Slow-Train-Analysis-(2080s-and-2083s)?_g=(refreshInterval:(display:Off,pause:!f,section:0,value:0),time:(from:'2017-04-02T11:53:12-0600',mode:absolute,to:'2017-04-02T14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183" t="str">
        <f t="shared" si="44"/>
        <v>N</v>
      </c>
      <c r="X80" s="183">
        <f t="shared" si="45"/>
        <v>1</v>
      </c>
      <c r="Y80" s="62">
        <f t="shared" si="46"/>
        <v>23.302499999999998</v>
      </c>
      <c r="Z80" s="62">
        <f t="shared" si="47"/>
        <v>1.67E-2</v>
      </c>
      <c r="AA80" s="62">
        <f t="shared" si="48"/>
        <v>23.285799999999998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49"/>
        <v>0168-02</v>
      </c>
      <c r="AE80" s="85" t="str">
        <f t="shared" si="50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80" s="82" t="str">
        <f t="shared" si="51"/>
        <v>"C:\Program Files (x86)\AstroGrep\AstroGrep.exe" /e /r /s /spath="%USERPROFILE%\AppData\Local\Temp\OnboardLogs" /stypes="app*4015*20170402*" /stext=" 19:.+((SYSTEM_STATE.+slice.+state.+changed )|(ment ac)|(multiple cpu faults)|(system.+state.+changed )|(\[timeout)|(PRM\|1\|D)|(kpr)|(kdp)|(\|lc)|(penalty))"</v>
      </c>
      <c r="AG80" s="1" t="str">
        <f t="shared" si="52"/>
        <v>EC</v>
      </c>
      <c r="AH80" s="86" t="str">
        <f t="shared" si="53"/>
        <v>"%USERPROFILE%\Documents\GitHub\eaglep3\Utilities\RefineRTDCRunTimes.py" --tripid 168-02 --locoid 4015 --swversion DE.1.0.9.0 --startMP 204:233025 --initTime 2017-04-02T12:53:12 --startdatetime 2017-04-02T12:56:15 --delay 1 --endMP 204:167 --enddatetime 2017-04-02T13:35:43 --enforcementcount 0 &gt;&gt;C:\Users\stu\Documents\GitHub\eaglep3-reporting\EC\2017-04-02-refined-times.txt</v>
      </c>
      <c r="AI80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{"issue":{"subject":"","project_id":79,"tracker_id":40,"status_id":1,"priority_id":2,"assigned_to_id":23,"start_date":"2017-04-02","description":"","custom_fields":[{"id":1,"name":"Subdivision","value":"EC"},{"id":4,"name":"Milepost","value":"0.0167"},{"id":17,"name":"Train ID","value":"168-02"},{"id":16,"name":"Locomotive ID","value":"4015"},{"id":130,"name":"Impact","value":""},{"id":150,"name":"Time of Event (Mountain Time)","value":"13:35:43"},{"id":151,"name":"Denver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55"/>
        <v>start /low /b %USERPROFILE%\Documents\GitHub\eaglep3\Utilities\DownloadLogsFromS3.py --loco 4015 --day 2017-04-02</v>
      </c>
      <c r="AN80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731</v>
      </c>
      <c r="B81" s="7">
        <v>4020</v>
      </c>
      <c r="C81" s="21" t="s">
        <v>217</v>
      </c>
      <c r="D81" s="21" t="s">
        <v>868</v>
      </c>
      <c r="E81" s="13">
        <v>42827.505243055559</v>
      </c>
      <c r="F81" s="13">
        <v>42827.510567129626</v>
      </c>
      <c r="G81" s="7">
        <v>1</v>
      </c>
      <c r="H81" s="21" t="s">
        <v>838</v>
      </c>
      <c r="I81" s="13">
        <v>42827.535300925927</v>
      </c>
      <c r="J81" s="7">
        <v>0</v>
      </c>
      <c r="K81" s="97" t="str">
        <f t="shared" si="38"/>
        <v>4019/4020</v>
      </c>
      <c r="L81" s="21" t="str">
        <f>VLOOKUP(A81,'Trips&amp;Operators'!$C$1:$G$99999,5,FALSE)</f>
        <v>ROMERO CHAD</v>
      </c>
      <c r="M81" s="6">
        <f t="shared" si="39"/>
        <v>2.4733796301006805E-2</v>
      </c>
      <c r="N81" s="7">
        <f t="shared" si="40"/>
        <v>35.616666673449799</v>
      </c>
      <c r="O81" s="7"/>
      <c r="P81" s="7"/>
      <c r="Q81" s="22"/>
      <c r="R81" s="22"/>
      <c r="S81" s="31">
        <f t="shared" si="41"/>
        <v>1</v>
      </c>
      <c r="T81" s="46" t="str">
        <f t="shared" si="42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43"/>
        <v>https://d0f6bd738d7f1b3e5a7ca70fe4ff75f0.us-east-1.aws.found.io/app/kibana#/discover/Steve-Slow-Train-Analysis-(2080s-and-2083s)?_g=(refreshInterval:(display:Off,pause:!f,section:0,value:0),time:(from:'2017-04-02T11:07:33-0600',mode:absolute,to:'2017-04-02T13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183" t="str">
        <f t="shared" si="44"/>
        <v>N</v>
      </c>
      <c r="X81" s="183">
        <f t="shared" si="45"/>
        <v>1</v>
      </c>
      <c r="Y81" s="62">
        <f t="shared" si="46"/>
        <v>4.1599999999999998E-2</v>
      </c>
      <c r="Z81" s="62">
        <f t="shared" si="47"/>
        <v>23.336600000000001</v>
      </c>
      <c r="AA81" s="62">
        <f t="shared" si="48"/>
        <v>23.295000000000002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49"/>
        <v>0169-02</v>
      </c>
      <c r="AE81" s="85" t="str">
        <f t="shared" si="50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81" s="82" t="str">
        <f t="shared" si="51"/>
        <v>"C:\Program Files (x86)\AstroGrep\AstroGrep.exe" /e /r /s /spath="%USERPROFILE%\AppData\Local\Temp\OnboardLogs" /stypes="app*4020*20170402*" /stext=" 18:.+((SYSTEM_STATE.+slice.+state.+changed )|(ment ac)|(multiple cpu faults)|(system.+state.+changed )|(\[timeout)|(PRM\|1\|D)|(kpr)|(kdp)|(\|lc)|(penalty))"</v>
      </c>
      <c r="AG81" s="1" t="str">
        <f t="shared" si="52"/>
        <v>EC</v>
      </c>
      <c r="AH81" s="86" t="str">
        <f t="shared" si="53"/>
        <v>"%USERPROFILE%\Documents\GitHub\eaglep3\Utilities\RefineRTDCRunTimes.py" --tripid 169-02 --locoid 4020 --swversion DE.1.0.9.0 --startMP 204:416 --initTime 2017-04-02T12:07:33 --startdatetime 2017-04-02T12:15:13 --delay 1 --endMP 204:233366 --enddatetime 2017-04-02T12:50:50 --enforcementcount 0 &gt;&gt;C:\Users\stu\Documents\GitHub\eaglep3-reporting\EC\2017-04-02-refined-times.txt</v>
      </c>
      <c r="AI81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{"issue":{"subject":"","project_id":79,"tracker_id":40,"status_id":1,"priority_id":2,"assigned_to_id":23,"start_date":"2017-04-02","description":"","custom_fields":[{"id":1,"name":"Subdivision","value":"EC"},{"id":4,"name":"Milepost","value":"23.3366"},{"id":17,"name":"Train ID","value":"169-02"},{"id":16,"name":"Locomotive ID","value":"4020"},{"id":130,"name":"Impact","value":""},{"id":150,"name":"Time of Event (Mountain Time)","value":"12:50:50"},{"id":151,"name":"Denver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55"/>
        <v>start /low /b %USERPROFILE%\Documents\GitHub\eaglep3\Utilities\DownloadLogsFromS3.py --loco 4020 --day 2017-04-02</v>
      </c>
      <c r="AN81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737</v>
      </c>
      <c r="B82" s="7">
        <v>4019</v>
      </c>
      <c r="C82" s="21" t="s">
        <v>217</v>
      </c>
      <c r="D82" s="21" t="s">
        <v>869</v>
      </c>
      <c r="E82" s="13">
        <v>42827.536805555559</v>
      </c>
      <c r="F82" s="13">
        <v>42827.549768518518</v>
      </c>
      <c r="G82" s="7">
        <v>1</v>
      </c>
      <c r="H82" s="21" t="s">
        <v>452</v>
      </c>
      <c r="I82" s="13">
        <v>42827.575543981482</v>
      </c>
      <c r="J82" s="7">
        <v>0</v>
      </c>
      <c r="K82" s="97" t="str">
        <f t="shared" si="38"/>
        <v>4019/4020</v>
      </c>
      <c r="L82" s="21" t="str">
        <f>VLOOKUP(A82,'Trips&amp;Operators'!$C$1:$G$99999,5,FALSE)</f>
        <v>ROMERO CHAD</v>
      </c>
      <c r="M82" s="6">
        <f t="shared" si="39"/>
        <v>2.5775462963792961E-2</v>
      </c>
      <c r="N82" s="7">
        <f t="shared" si="40"/>
        <v>37.116666667861864</v>
      </c>
      <c r="O82" s="7"/>
      <c r="P82" s="7"/>
      <c r="Q82" s="22"/>
      <c r="R82" s="22"/>
      <c r="S82" s="31">
        <f t="shared" si="41"/>
        <v>1</v>
      </c>
      <c r="T82" s="46" t="str">
        <f t="shared" si="42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43"/>
        <v>https://d0f6bd738d7f1b3e5a7ca70fe4ff75f0.us-east-1.aws.found.io/app/kibana#/discover/Steve-Slow-Train-Analysis-(2080s-and-2083s)?_g=(refreshInterval:(display:Off,pause:!f,section:0,value:0),time:(from:'2017-04-02T11:53:00-0600',mode:absolute,to:'2017-04-02T14:48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183" t="str">
        <f t="shared" si="44"/>
        <v>N</v>
      </c>
      <c r="X82" s="183">
        <f t="shared" si="45"/>
        <v>1</v>
      </c>
      <c r="Y82" s="62">
        <f t="shared" si="46"/>
        <v>23.305700000000002</v>
      </c>
      <c r="Z82" s="62">
        <f t="shared" si="47"/>
        <v>1.3899999999999999E-2</v>
      </c>
      <c r="AA82" s="62">
        <f t="shared" si="48"/>
        <v>23.291800000000002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49"/>
        <v>0170-02</v>
      </c>
      <c r="AE82" s="85" t="str">
        <f t="shared" si="50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82" s="82" t="str">
        <f t="shared" si="51"/>
        <v>"C:\Program Files (x86)\AstroGrep\AstroGrep.exe" /e /r /s /spath="%USERPROFILE%\AppData\Local\Temp\OnboardLogs" /stypes="app*4019*20170402*" /stext=" 19:.+((SYSTEM_STATE.+slice.+state.+changed )|(ment ac)|(multiple cpu faults)|(system.+state.+changed )|(\[timeout)|(PRM\|1\|D)|(kpr)|(kdp)|(\|lc)|(penalty))"</v>
      </c>
      <c r="AG82" s="1" t="str">
        <f t="shared" si="52"/>
        <v>EC</v>
      </c>
      <c r="AH82" s="86" t="str">
        <f t="shared" si="53"/>
        <v>"%USERPROFILE%\Documents\GitHub\eaglep3\Utilities\RefineRTDCRunTimes.py" --tripid 170-02 --locoid 4019 --swversion DE.1.0.9.0 --startMP 204:233057 --initTime 2017-04-02T12:53:00 --startdatetime 2017-04-02T13:11:40 --delay 1 --endMP 204:139 --enddatetime 2017-04-02T13:48:47 --enforcementcount 0 &gt;&gt;C:\Users\stu\Documents\GitHub\eaglep3-reporting\EC\2017-04-02-refined-times.txt</v>
      </c>
      <c r="AI82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{"issue":{"subject":"","project_id":79,"tracker_id":40,"status_id":1,"priority_id":2,"assigned_to_id":23,"start_date":"2017-04-02","description":"","custom_fields":[{"id":1,"name":"Subdivision","value":"EC"},{"id":4,"name":"Milepost","value":"0.0139"},{"id":17,"name":"Train ID","value":"170-02"},{"id":16,"name":"Locomotive ID","value":"4019"},{"id":130,"name":"Impact","value":""},{"id":150,"name":"Time of Event (Mountain Time)","value":"13:48:47"},{"id":151,"name":"Denver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8"/>
      <c r="AL82" s="48"/>
      <c r="AM82" s="150" t="str">
        <f t="shared" si="55"/>
        <v>start /low /b %USERPROFILE%\Documents\GitHub\eaglep3\Utilities\DownloadLogsFromS3.py --loco 4019 --day 2017-04-02</v>
      </c>
      <c r="AN82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19:48:47"},{"id":29,"name":"Sharepoint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3" t="s">
        <v>618</v>
      </c>
      <c r="B83" s="7">
        <v>4002</v>
      </c>
      <c r="C83" s="21" t="s">
        <v>217</v>
      </c>
      <c r="D83" s="21" t="s">
        <v>865</v>
      </c>
      <c r="E83" s="13">
        <v>42827.517233796294</v>
      </c>
      <c r="F83" s="13">
        <v>42827.521122685182</v>
      </c>
      <c r="G83" s="7">
        <v>2</v>
      </c>
      <c r="H83" s="21" t="s">
        <v>574</v>
      </c>
      <c r="I83" s="13">
        <v>42827.547037037039</v>
      </c>
      <c r="J83" s="7">
        <v>0</v>
      </c>
      <c r="K83" s="97" t="str">
        <f t="shared" si="38"/>
        <v>4001/4002</v>
      </c>
      <c r="L83" s="21" t="str">
        <f>VLOOKUP(A83,'Trips&amp;Operators'!$C$1:$G$99999,5,FALSE)</f>
        <v>BRANDNER MELINDA</v>
      </c>
      <c r="M83" s="6">
        <f t="shared" si="39"/>
        <v>2.5914351856044959E-2</v>
      </c>
      <c r="N83" s="7">
        <f t="shared" si="40"/>
        <v>37.316666672704741</v>
      </c>
      <c r="O83" s="7"/>
      <c r="P83" s="7"/>
      <c r="Q83" s="22"/>
      <c r="R83" s="22"/>
      <c r="S83" s="31">
        <f t="shared" si="41"/>
        <v>1</v>
      </c>
      <c r="T83" s="46" t="str">
        <f t="shared" si="42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43"/>
        <v>https://d0f6bd738d7f1b3e5a7ca70fe4ff75f0.us-east-1.aws.found.io/app/kibana#/discover/Steve-Slow-Train-Analysis-(2080s-and-2083s)?_g=(refreshInterval:(display:Off,pause:!f,section:0,value:0),time:(from:'2017-04-02T11:24:49-0600',mode:absolute,to:'2017-04-02T14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183" t="str">
        <f t="shared" si="44"/>
        <v>N</v>
      </c>
      <c r="X83" s="183">
        <f t="shared" si="45"/>
        <v>1</v>
      </c>
      <c r="Y83" s="62">
        <f t="shared" si="46"/>
        <v>4.7699999999999999E-2</v>
      </c>
      <c r="Z83" s="62">
        <f t="shared" si="47"/>
        <v>23.327400000000001</v>
      </c>
      <c r="AA83" s="62">
        <f t="shared" si="48"/>
        <v>23.279700000000002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49"/>
        <v>0171-02</v>
      </c>
      <c r="AE83" s="85" t="str">
        <f t="shared" si="50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83" s="82" t="str">
        <f t="shared" si="51"/>
        <v>"C:\Program Files (x86)\AstroGrep\AstroGrep.exe" /e /r /s /spath="%USERPROFILE%\AppData\Local\Temp\OnboardLogs" /stypes="app*4002*20170402*" /stext=" 19:.+((SYSTEM_STATE.+slice.+state.+changed )|(ment ac)|(multiple cpu faults)|(system.+state.+changed )|(\[timeout)|(PRM\|1\|D)|(kpr)|(kdp)|(\|lc)|(penalty))"</v>
      </c>
      <c r="AG83" s="1" t="str">
        <f t="shared" si="52"/>
        <v>EC</v>
      </c>
      <c r="AH83" s="86" t="str">
        <f t="shared" si="53"/>
        <v>"%USERPROFILE%\Documents\GitHub\eaglep3\Utilities\RefineRTDCRunTimes.py" --tripid 171-02 --locoid 4002 --swversion DE.1.0.9.0 --startMP 204:477 --initTime 2017-04-02T12:24:49 --startdatetime 2017-04-02T12:30:25 --delay 2 --endMP 204:233274 --enddatetime 2017-04-02T13:07:44 --enforcementcount 0 &gt;&gt;C:\Users\stu\Documents\GitHub\eaglep3-reporting\EC\2017-04-02-refined-times.txt</v>
      </c>
      <c r="AI83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{"issue":{"subject":"","project_id":79,"tracker_id":40,"status_id":1,"priority_id":2,"assigned_to_id":23,"start_date":"2017-04-02","description":"","custom_fields":[{"id":1,"name":"Subdivision","value":"EC"},{"id":4,"name":"Milepost","value":"23.3274"},{"id":17,"name":"Train ID","value":"171-02"},{"id":16,"name":"Locomotive ID","value":"4002"},{"id":130,"name":"Impact","value":""},{"id":150,"name":"Time of Event (Mountain Time)","value":"13:07:44"},{"id":151,"name":"Denver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8"/>
      <c r="AL83" s="48"/>
      <c r="AM83" s="150" t="str">
        <f t="shared" si="55"/>
        <v>start /low /b %USERPROFILE%\Documents\GitHub\eaglep3\Utilities\DownloadLogsFromS3.py --loco 4002 --day 2017-04-02</v>
      </c>
      <c r="AN83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742</v>
      </c>
      <c r="B84" s="7">
        <v>4001</v>
      </c>
      <c r="C84" s="21" t="s">
        <v>217</v>
      </c>
      <c r="D84" s="21" t="s">
        <v>575</v>
      </c>
      <c r="E84" s="13">
        <v>42827.555694444447</v>
      </c>
      <c r="F84" s="13">
        <v>42827.559930555559</v>
      </c>
      <c r="G84" s="7">
        <v>1</v>
      </c>
      <c r="H84" s="21" t="s">
        <v>583</v>
      </c>
      <c r="I84" s="13">
        <v>42827.588217592594</v>
      </c>
      <c r="J84" s="7">
        <v>0</v>
      </c>
      <c r="K84" s="97" t="str">
        <f t="shared" si="38"/>
        <v>4001/4002</v>
      </c>
      <c r="L84" s="21" t="str">
        <f>VLOOKUP(A84,'Trips&amp;Operators'!$C$1:$G$99999,5,FALSE)</f>
        <v>BRANDNER MELINDA</v>
      </c>
      <c r="M84" s="6">
        <f t="shared" si="39"/>
        <v>2.8287037035624962E-2</v>
      </c>
      <c r="N84" s="7">
        <f t="shared" si="40"/>
        <v>40.733333331299946</v>
      </c>
      <c r="O84" s="7"/>
      <c r="P84" s="7"/>
      <c r="Q84" s="22"/>
      <c r="R84" s="22"/>
      <c r="S84" s="31">
        <f t="shared" si="41"/>
        <v>1</v>
      </c>
      <c r="T84" s="46" t="str">
        <f t="shared" si="42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43"/>
        <v>https://d0f6bd738d7f1b3e5a7ca70fe4ff75f0.us-east-1.aws.found.io/app/kibana#/discover/Steve-Slow-Train-Analysis-(2080s-and-2083s)?_g=(refreshInterval:(display:Off,pause:!f,section:0,value:0),time:(from:'2017-04-02T12:20:12-0600',mode:absolute,to:'2017-04-02T15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183" t="str">
        <f t="shared" si="44"/>
        <v>N</v>
      </c>
      <c r="X84" s="183">
        <f t="shared" si="45"/>
        <v>1</v>
      </c>
      <c r="Y84" s="62">
        <f t="shared" si="46"/>
        <v>23.295500000000001</v>
      </c>
      <c r="Z84" s="62">
        <f t="shared" si="47"/>
        <v>1.4500000000000001E-2</v>
      </c>
      <c r="AA84" s="62">
        <f t="shared" si="48"/>
        <v>23.280999999999999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49"/>
        <v>0172-02</v>
      </c>
      <c r="AE84" s="85" t="str">
        <f t="shared" si="50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84" s="82" t="str">
        <f t="shared" si="51"/>
        <v>"C:\Program Files (x86)\AstroGrep\AstroGrep.exe" /e /r /s /spath="%USERPROFILE%\AppData\Local\Temp\OnboardLogs" /stypes="app*4001*20170402*" /stext=" 20:.+((SYSTEM_STATE.+slice.+state.+changed )|(ment ac)|(multiple cpu faults)|(system.+state.+changed )|(\[timeout)|(PRM\|1\|D)|(kpr)|(kdp)|(\|lc)|(penalty))"</v>
      </c>
      <c r="AG84" s="1" t="str">
        <f t="shared" si="52"/>
        <v>EC</v>
      </c>
      <c r="AH84" s="86" t="str">
        <f t="shared" si="53"/>
        <v>"%USERPROFILE%\Documents\GitHub\eaglep3\Utilities\RefineRTDCRunTimes.py" --tripid 172-02 --locoid 4001 --swversion DE.1.0.9.0 --startMP 204:232955 --initTime 2017-04-02T13:20:12 --startdatetime 2017-04-02T13:26:18 --delay 1 --endMP 204:145 --enddatetime 2017-04-02T14:07:02 --enforcementcount 0 &gt;&gt;C:\Users\stu\Documents\GitHub\eaglep3-reporting\EC\2017-04-02-refined-times.txt</v>
      </c>
      <c r="AI84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{"issue":{"subject":"","project_id":79,"tracker_id":40,"status_id":1,"priority_id":2,"assigned_to_id":23,"start_date":"2017-04-02","description":"","custom_fields":[{"id":1,"name":"Subdivision","value":"EC"},{"id":4,"name":"Milepost","value":"0.0145"},{"id":17,"name":"Train ID","value":"172-02"},{"id":16,"name":"Locomotive ID","value":"4001"},{"id":130,"name":"Impact","value":""},{"id":150,"name":"Time of Event (Mountain Time)","value":"14:07:02"},{"id":151,"name":"Denver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55"/>
        <v>start /low /b %USERPROFILE%\Documents\GitHub\eaglep3\Utilities\DownloadLogsFromS3.py --loco 4001 --day 2017-04-02</v>
      </c>
      <c r="AN84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736</v>
      </c>
      <c r="B85" s="7">
        <v>4025</v>
      </c>
      <c r="C85" s="21" t="s">
        <v>217</v>
      </c>
      <c r="D85" s="21" t="s">
        <v>218</v>
      </c>
      <c r="E85" s="13">
        <v>42827.527418981481</v>
      </c>
      <c r="F85" s="13">
        <v>42827.531481481485</v>
      </c>
      <c r="G85" s="7">
        <v>2</v>
      </c>
      <c r="H85" s="21" t="s">
        <v>377</v>
      </c>
      <c r="I85" s="13">
        <v>42827.556180555555</v>
      </c>
      <c r="J85" s="7">
        <v>0</v>
      </c>
      <c r="K85" s="97" t="str">
        <f t="shared" si="38"/>
        <v>4025/4026</v>
      </c>
      <c r="L85" s="21" t="str">
        <f>VLOOKUP(A85,'Trips&amp;Operators'!$C$1:$G$99999,5,FALSE)</f>
        <v>STEWART MICHAEL</v>
      </c>
      <c r="M85" s="6">
        <f t="shared" si="39"/>
        <v>2.4699074070667848E-2</v>
      </c>
      <c r="N85" s="7">
        <f t="shared" si="40"/>
        <v>35.566666661761701</v>
      </c>
      <c r="O85" s="7"/>
      <c r="P85" s="7"/>
      <c r="Q85" s="22"/>
      <c r="R85" s="22"/>
      <c r="S85" s="31">
        <f t="shared" si="41"/>
        <v>1</v>
      </c>
      <c r="T85" s="46" t="str">
        <f t="shared" si="42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43"/>
        <v>https://d0f6bd738d7f1b3e5a7ca70fe4ff75f0.us-east-1.aws.found.io/app/kibana#/discover/Steve-Slow-Train-Analysis-(2080s-and-2083s)?_g=(refreshInterval:(display:Off,pause:!f,section:0,value:0),time:(from:'2017-04-02T11:39:29-0600',mode:absolute,to:'2017-04-02T14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83" t="str">
        <f t="shared" si="44"/>
        <v>N</v>
      </c>
      <c r="X85" s="183">
        <f t="shared" si="45"/>
        <v>1</v>
      </c>
      <c r="Y85" s="62">
        <f t="shared" si="46"/>
        <v>4.6699999999999998E-2</v>
      </c>
      <c r="Z85" s="62">
        <f t="shared" si="47"/>
        <v>23.3293</v>
      </c>
      <c r="AA85" s="62">
        <f t="shared" si="48"/>
        <v>23.282599999999999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49"/>
        <v>0173-02</v>
      </c>
      <c r="AE85" s="85" t="str">
        <f t="shared" si="50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85" s="82" t="str">
        <f t="shared" si="51"/>
        <v>"C:\Program Files (x86)\AstroGrep\AstroGrep.exe" /e /r /s /spath="%USERPROFILE%\AppData\Local\Temp\OnboardLogs" /stypes="app*4025*20170402*" /stext=" 19:.+((SYSTEM_STATE.+slice.+state.+changed )|(ment ac)|(multiple cpu faults)|(system.+state.+changed )|(\[timeout)|(PRM\|1\|D)|(kpr)|(kdp)|(\|lc)|(penalty))"</v>
      </c>
      <c r="AG85" s="1" t="str">
        <f t="shared" si="52"/>
        <v>EC</v>
      </c>
      <c r="AH85" s="86" t="str">
        <f t="shared" si="53"/>
        <v>"%USERPROFILE%\Documents\GitHub\eaglep3\Utilities\RefineRTDCRunTimes.py" --tripid 173-02 --locoid 4025 --swversion DE.1.0.9.0 --startMP 204:467 --initTime 2017-04-02T12:39:29 --startdatetime 2017-04-02T12:45:20 --delay 2 --endMP 204:233293 --enddatetime 2017-04-02T13:20:54 --enforcementcount 0 &gt;&gt;C:\Users\stu\Documents\GitHub\eaglep3-reporting\EC\2017-04-02-refined-times.txt</v>
      </c>
      <c r="AI85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{"issue":{"subject":"","project_id":79,"tracker_id":40,"status_id":1,"priority_id":2,"assigned_to_id":23,"start_date":"2017-04-02","description":"","custom_fields":[{"id":1,"name":"Subdivision","value":"EC"},{"id":4,"name":"Milepost","value":"23.3293"},{"id":17,"name":"Train ID","value":"173-02"},{"id":16,"name":"Locomotive ID","value":"4025"},{"id":130,"name":"Impact","value":""},{"id":150,"name":"Time of Event (Mountain Time)","value":"13:20:54"},{"id":151,"name":"Denver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55"/>
        <v>start /low /b %USERPROFILE%\Documents\GitHub\eaglep3\Utilities\DownloadLogsFromS3.py --loco 4025 --day 2017-04-02</v>
      </c>
      <c r="AN85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744</v>
      </c>
      <c r="B86" s="7">
        <v>4026</v>
      </c>
      <c r="C86" s="21" t="s">
        <v>217</v>
      </c>
      <c r="D86" s="21" t="s">
        <v>571</v>
      </c>
      <c r="E86" s="13">
        <v>42827.564768518518</v>
      </c>
      <c r="F86" s="13">
        <v>42827.570462962962</v>
      </c>
      <c r="G86" s="7">
        <v>2</v>
      </c>
      <c r="H86" s="21" t="s">
        <v>485</v>
      </c>
      <c r="I86" s="13">
        <v>42827.597546296296</v>
      </c>
      <c r="J86" s="7">
        <v>0</v>
      </c>
      <c r="K86" s="97" t="str">
        <f t="shared" si="38"/>
        <v>4025/4026</v>
      </c>
      <c r="L86" s="21" t="str">
        <f>VLOOKUP(A86,'Trips&amp;Operators'!$C$1:$G$99999,5,FALSE)</f>
        <v>STEWART MICHAEL</v>
      </c>
      <c r="M86" s="6">
        <f t="shared" si="39"/>
        <v>2.7083333334303461E-2</v>
      </c>
      <c r="N86" s="7">
        <f t="shared" si="40"/>
        <v>39.000000001396984</v>
      </c>
      <c r="O86" s="7"/>
      <c r="P86" s="7"/>
      <c r="Q86" s="22"/>
      <c r="R86" s="22"/>
      <c r="S86" s="31">
        <f t="shared" si="41"/>
        <v>1</v>
      </c>
      <c r="T86" s="46" t="str">
        <f t="shared" si="42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43"/>
        <v>https://d0f6bd738d7f1b3e5a7ca70fe4ff75f0.us-east-1.aws.found.io/app/kibana#/discover/Steve-Slow-Train-Analysis-(2080s-and-2083s)?_g=(refreshInterval:(display:Off,pause:!f,section:0,value:0),time:(from:'2017-04-02T12:33:16-0600',mode:absolute,to:'2017-04-02T15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83" t="str">
        <f t="shared" si="44"/>
        <v>N</v>
      </c>
      <c r="X86" s="183">
        <f t="shared" si="45"/>
        <v>1</v>
      </c>
      <c r="Y86" s="62">
        <f t="shared" si="46"/>
        <v>23.2974</v>
      </c>
      <c r="Z86" s="62">
        <f t="shared" si="47"/>
        <v>1.67E-2</v>
      </c>
      <c r="AA86" s="62">
        <f t="shared" si="48"/>
        <v>23.2807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49"/>
        <v>0174-02</v>
      </c>
      <c r="AE86" s="85" t="str">
        <f t="shared" si="50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86" s="82" t="str">
        <f t="shared" si="51"/>
        <v>"C:\Program Files (x86)\AstroGrep\AstroGrep.exe" /e /r /s /spath="%USERPROFILE%\AppData\Local\Temp\OnboardLogs" /stypes="app*4026*20170402*" /stext=" 20:.+((SYSTEM_STATE.+slice.+state.+changed )|(ment ac)|(multiple cpu faults)|(system.+state.+changed )|(\[timeout)|(PRM\|1\|D)|(kpr)|(kdp)|(\|lc)|(penalty))"</v>
      </c>
      <c r="AG86" s="1" t="str">
        <f t="shared" si="52"/>
        <v>EC</v>
      </c>
      <c r="AH86" s="86" t="str">
        <f t="shared" si="53"/>
        <v>"%USERPROFILE%\Documents\GitHub\eaglep3\Utilities\RefineRTDCRunTimes.py" --tripid 174-02 --locoid 4026 --swversion DE.1.0.9.0 --startMP 204:232974 --initTime 2017-04-02T13:33:16 --startdatetime 2017-04-02T13:41:28 --delay 2 --endMP 204:167 --enddatetime 2017-04-02T14:20:28 --enforcementcount 0 &gt;&gt;C:\Users\stu\Documents\GitHub\eaglep3-reporting\EC\2017-04-02-refined-times.txt</v>
      </c>
      <c r="AI86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{"issue":{"subject":"","project_id":79,"tracker_id":40,"status_id":1,"priority_id":2,"assigned_to_id":23,"start_date":"2017-04-02","description":"","custom_fields":[{"id":1,"name":"Subdivision","value":"EC"},{"id":4,"name":"Milepost","value":"0.0167"},{"id":17,"name":"Train ID","value":"174-02"},{"id":16,"name":"Locomotive ID","value":"4026"},{"id":130,"name":"Impact","value":""},{"id":150,"name":"Time of Event (Mountain Time)","value":"14:20:28"},{"id":151,"name":"Denver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55"/>
        <v>start /low /b %USERPROFILE%\Documents\GitHub\eaglep3\Utilities\DownloadLogsFromS3.py --loco 4026 --day 2017-04-02</v>
      </c>
      <c r="AN86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20" customFormat="1" x14ac:dyDescent="0.25">
      <c r="A87" s="33" t="s">
        <v>740</v>
      </c>
      <c r="B87" s="7">
        <v>4054</v>
      </c>
      <c r="C87" s="21" t="s">
        <v>217</v>
      </c>
      <c r="D87" s="21" t="s">
        <v>457</v>
      </c>
      <c r="E87" s="13">
        <v>42827.540775462963</v>
      </c>
      <c r="F87" s="13">
        <v>42827.542303240742</v>
      </c>
      <c r="G87" s="7">
        <v>1</v>
      </c>
      <c r="H87" s="21" t="s">
        <v>870</v>
      </c>
      <c r="I87" s="13">
        <v>42827.568449074075</v>
      </c>
      <c r="J87" s="7">
        <v>0</v>
      </c>
      <c r="K87" s="97" t="str">
        <f t="shared" si="38"/>
        <v>4053/4054</v>
      </c>
      <c r="L87" s="21" t="str">
        <f>VLOOKUP(A87,'Trips&amp;Operators'!$C$1:$G$99999,5,FALSE)</f>
        <v>DAVIS MICHAEL</v>
      </c>
      <c r="M87" s="6">
        <f t="shared" si="39"/>
        <v>2.6145833333430346E-2</v>
      </c>
      <c r="N87" s="7">
        <f t="shared" si="40"/>
        <v>37.650000000139698</v>
      </c>
      <c r="O87" s="7"/>
      <c r="P87" s="7"/>
      <c r="Q87" s="22"/>
      <c r="R87" s="22"/>
      <c r="S87" s="31">
        <f t="shared" si="41"/>
        <v>1</v>
      </c>
      <c r="T87" s="46" t="str">
        <f t="shared" si="42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43"/>
        <v>https://d0f6bd738d7f1b3e5a7ca70fe4ff75f0.us-east-1.aws.found.io/app/kibana#/discover/Steve-Slow-Train-Analysis-(2080s-and-2083s)?_g=(refreshInterval:(display:Off,pause:!f,section:0,value:0),time:(from:'2017-04-02T11:58:43-0600',mode:absolute,to:'2017-04-02T14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83" t="str">
        <f t="shared" si="44"/>
        <v>N</v>
      </c>
      <c r="X87" s="183">
        <f t="shared" si="45"/>
        <v>1</v>
      </c>
      <c r="Y87" s="62">
        <f t="shared" si="46"/>
        <v>4.4400000000000002E-2</v>
      </c>
      <c r="Z87" s="62">
        <f t="shared" si="47"/>
        <v>23.335699999999999</v>
      </c>
      <c r="AA87" s="62">
        <f t="shared" si="48"/>
        <v>23.2913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49"/>
        <v>0175-02</v>
      </c>
      <c r="AE87" s="85" t="str">
        <f t="shared" si="50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87" s="82" t="str">
        <f t="shared" si="51"/>
        <v>"C:\Program Files (x86)\AstroGrep\AstroGrep.exe" /e /r /s /spath="%USERPROFILE%\AppData\Local\Temp\OnboardLogs" /stypes="app*4054*20170402*" /stext=" 19:.+((SYSTEM_STATE.+slice.+state.+changed )|(ment ac)|(multiple cpu faults)|(system.+state.+changed )|(\[timeout)|(PRM\|1\|D)|(kpr)|(kdp)|(\|lc)|(penalty))"</v>
      </c>
      <c r="AG87" s="1" t="str">
        <f t="shared" si="52"/>
        <v>EC</v>
      </c>
      <c r="AH87" s="86" t="str">
        <f t="shared" si="53"/>
        <v>"%USERPROFILE%\Documents\GitHub\eaglep3\Utilities\RefineRTDCRunTimes.py" --tripid 175-02 --locoid 4054 --swversion DE.1.0.9.0 --startMP 204:444 --initTime 2017-04-02T12:58:43 --startdatetime 2017-04-02T13:00:55 --delay 1 --endMP 204:233357 --enddatetime 2017-04-02T13:38:34 --enforcementcount 0 &gt;&gt;C:\Users\stu\Documents\GitHub\eaglep3-reporting\EC\2017-04-02-refined-times.txt</v>
      </c>
      <c r="AI87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{"issue":{"subject":"","project_id":79,"tracker_id":40,"status_id":1,"priority_id":2,"assigned_to_id":23,"start_date":"2017-04-02","description":"","custom_fields":[{"id":1,"name":"Subdivision","value":"EC"},{"id":4,"name":"Milepost","value":"23.3357"},{"id":17,"name":"Train ID","value":"175-02"},{"id":16,"name":"Locomotive ID","value":"4054"},{"id":130,"name":"Impact","value":""},{"id":150,"name":"Time of Event (Mountain Time)","value":"13:38:34"},{"id":151,"name":"Denver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55"/>
        <v>start /low /b %USERPROFILE%\Documents\GitHub\eaglep3\Utilities\DownloadLogsFromS3.py --loco 4054 --day 2017-04-02</v>
      </c>
      <c r="AN87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746</v>
      </c>
      <c r="B88" s="7">
        <v>4053</v>
      </c>
      <c r="C88" s="21" t="s">
        <v>217</v>
      </c>
      <c r="D88" s="21" t="s">
        <v>441</v>
      </c>
      <c r="E88" s="13">
        <v>42827.581724537034</v>
      </c>
      <c r="F88" s="13">
        <v>42827.583356481482</v>
      </c>
      <c r="G88" s="7">
        <v>1</v>
      </c>
      <c r="H88" s="21" t="s">
        <v>214</v>
      </c>
      <c r="I88" s="13">
        <v>42827.611180555556</v>
      </c>
      <c r="J88" s="7">
        <v>0</v>
      </c>
      <c r="K88" s="97" t="str">
        <f t="shared" si="38"/>
        <v>4053/4054</v>
      </c>
      <c r="L88" s="21" t="str">
        <f>VLOOKUP(A88,'Trips&amp;Operators'!$C$1:$G$99999,5,FALSE)</f>
        <v>DAVIS MICHAEL</v>
      </c>
      <c r="M88" s="6">
        <f t="shared" si="39"/>
        <v>2.7824074073578231E-2</v>
      </c>
      <c r="N88" s="7">
        <f t="shared" si="40"/>
        <v>40.066666665952653</v>
      </c>
      <c r="O88" s="7"/>
      <c r="P88" s="7"/>
      <c r="Q88" s="22"/>
      <c r="R88" s="22"/>
      <c r="S88" s="31">
        <f t="shared" si="41"/>
        <v>1</v>
      </c>
      <c r="T88" s="46" t="str">
        <f t="shared" si="42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43"/>
        <v>https://d0f6bd738d7f1b3e5a7ca70fe4ff75f0.us-east-1.aws.found.io/app/kibana#/discover/Steve-Slow-Train-Analysis-(2080s-and-2083s)?_g=(refreshInterval:(display:Off,pause:!f,section:0,value:0),time:(from:'2017-04-02T12:57:41-0600',mode:absolute,to:'2017-04-02T15:40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83" t="str">
        <f t="shared" si="44"/>
        <v>N</v>
      </c>
      <c r="X88" s="183">
        <f t="shared" si="45"/>
        <v>1</v>
      </c>
      <c r="Y88" s="62">
        <f t="shared" si="46"/>
        <v>23.299399999999999</v>
      </c>
      <c r="Z88" s="62">
        <f t="shared" si="47"/>
        <v>1.47E-2</v>
      </c>
      <c r="AA88" s="62">
        <f t="shared" si="48"/>
        <v>23.284699999999997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49"/>
        <v>0176-02</v>
      </c>
      <c r="AE88" s="85" t="str">
        <f t="shared" si="50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88" s="82" t="str">
        <f t="shared" si="51"/>
        <v>"C:\Program Files (x86)\AstroGrep\AstroGrep.exe" /e /r /s /spath="%USERPROFILE%\AppData\Local\Temp\OnboardLogs" /stypes="app*4053*20170402*" /stext=" 20:.+((SYSTEM_STATE.+slice.+state.+changed )|(ment ac)|(multiple cpu faults)|(system.+state.+changed )|(\[timeout)|(PRM\|1\|D)|(kpr)|(kdp)|(\|lc)|(penalty))"</v>
      </c>
      <c r="AG88" s="1" t="str">
        <f t="shared" si="52"/>
        <v>EC</v>
      </c>
      <c r="AH88" s="86" t="str">
        <f t="shared" si="53"/>
        <v>"%USERPROFILE%\Documents\GitHub\eaglep3\Utilities\RefineRTDCRunTimes.py" --tripid 176-02 --locoid 4053 --swversion DE.1.0.9.0 --startMP 204:232994 --initTime 2017-04-02T13:57:41 --startdatetime 2017-04-02T14:00:02 --delay 1 --endMP 204:147 --enddatetime 2017-04-02T14:40:06 --enforcementcount 0 &gt;&gt;C:\Users\stu\Documents\GitHub\eaglep3-reporting\EC\2017-04-02-refined-times.txt</v>
      </c>
      <c r="AI88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{"issue":{"subject":"","project_id":79,"tracker_id":40,"status_id":1,"priority_id":2,"assigned_to_id":23,"start_date":"2017-04-02","description":"","custom_fields":[{"id":1,"name":"Subdivision","value":"EC"},{"id":4,"name":"Milepost","value":"0.0147"},{"id":17,"name":"Train ID","value":"176-02"},{"id":16,"name":"Locomotive ID","value":"4053"},{"id":130,"name":"Impact","value":""},{"id":150,"name":"Time of Event (Mountain Time)","value":"14:40:06"},{"id":151,"name":"Denver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55"/>
        <v>start /low /b %USERPROFILE%\Documents\GitHub\eaglep3\Utilities\DownloadLogsFromS3.py --loco 4053 --day 2017-04-02</v>
      </c>
      <c r="AN88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20:40:06"},{"id":29,"name":"Sharepoint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741</v>
      </c>
      <c r="B89" s="7">
        <v>4010</v>
      </c>
      <c r="C89" s="21" t="s">
        <v>217</v>
      </c>
      <c r="D89" s="21" t="s">
        <v>423</v>
      </c>
      <c r="E89" s="13">
        <v>42827.547662037039</v>
      </c>
      <c r="F89" s="13">
        <v>42827.552256944444</v>
      </c>
      <c r="G89" s="7">
        <v>1</v>
      </c>
      <c r="H89" s="21" t="s">
        <v>871</v>
      </c>
      <c r="I89" s="13">
        <v>42827.577164351853</v>
      </c>
      <c r="J89" s="7">
        <v>0</v>
      </c>
      <c r="K89" s="97" t="str">
        <f t="shared" si="38"/>
        <v>4009/4010</v>
      </c>
      <c r="L89" s="21" t="str">
        <f>VLOOKUP(A89,'Trips&amp;Operators'!$C$1:$G$99999,5,FALSE)</f>
        <v>LEVIN SCOTT</v>
      </c>
      <c r="M89" s="6">
        <f t="shared" si="39"/>
        <v>2.4907407409045845E-2</v>
      </c>
      <c r="N89" s="7">
        <f t="shared" si="40"/>
        <v>35.866666669026017</v>
      </c>
      <c r="O89" s="7"/>
      <c r="P89" s="7"/>
      <c r="Q89" s="22"/>
      <c r="R89" s="22"/>
      <c r="S89" s="31">
        <f t="shared" si="41"/>
        <v>1</v>
      </c>
      <c r="T89" s="46" t="str">
        <f t="shared" si="42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43"/>
        <v>https://d0f6bd738d7f1b3e5a7ca70fe4ff75f0.us-east-1.aws.found.io/app/kibana#/discover/Steve-Slow-Train-Analysis-(2080s-and-2083s)?_g=(refreshInterval:(display:Off,pause:!f,section:0,value:0),time:(from:'2017-04-02T12:08:38-0600',mode:absolute,to:'2017-04-02T14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9" s="183" t="str">
        <f t="shared" si="44"/>
        <v>N</v>
      </c>
      <c r="X89" s="183">
        <f t="shared" si="45"/>
        <v>1</v>
      </c>
      <c r="Y89" s="62">
        <f t="shared" si="46"/>
        <v>4.4900000000000002E-2</v>
      </c>
      <c r="Z89" s="62">
        <f t="shared" si="47"/>
        <v>23.338100000000001</v>
      </c>
      <c r="AA89" s="62">
        <f t="shared" si="48"/>
        <v>23.293200000000002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49"/>
        <v>0177-02</v>
      </c>
      <c r="AE89" s="85" t="str">
        <f t="shared" si="50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89" s="82" t="str">
        <f t="shared" si="51"/>
        <v>"C:\Program Files (x86)\AstroGrep\AstroGrep.exe" /e /r /s /spath="%USERPROFILE%\AppData\Local\Temp\OnboardLogs" /stypes="app*4010*20170402*" /stext=" 19:.+((SYSTEM_STATE.+slice.+state.+changed )|(ment ac)|(multiple cpu faults)|(system.+state.+changed )|(\[timeout)|(PRM\|1\|D)|(kpr)|(kdp)|(\|lc)|(penalty))"</v>
      </c>
      <c r="AG89" s="1" t="str">
        <f t="shared" si="52"/>
        <v>EC</v>
      </c>
      <c r="AH89" s="86" t="str">
        <f t="shared" si="53"/>
        <v>"%USERPROFILE%\Documents\GitHub\eaglep3\Utilities\RefineRTDCRunTimes.py" --tripid 177-02 --locoid 4010 --swversion DE.1.0.9.0 --startMP 204:449 --initTime 2017-04-02T13:08:38 --startdatetime 2017-04-02T13:15:15 --delay 1 --endMP 204:233381 --enddatetime 2017-04-02T13:51:07 --enforcementcount 0 &gt;&gt;C:\Users\stu\Documents\GitHub\eaglep3-reporting\EC\2017-04-02-refined-times.txt</v>
      </c>
      <c r="AI89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{"issue":{"subject":"","project_id":79,"tracker_id":40,"status_id":1,"priority_id":2,"assigned_to_id":23,"start_date":"2017-04-02","description":"","custom_fields":[{"id":1,"name":"Subdivision","value":"EC"},{"id":4,"name":"Milepost","value":"23.3381"},{"id":17,"name":"Train ID","value":"177-02"},{"id":16,"name":"Locomotive ID","value":"4010"},{"id":130,"name":"Impact","value":""},{"id":150,"name":"Time of Event (Mountain Time)","value":"13:51:07"},{"id":151,"name":"Denver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55"/>
        <v>start /low /b %USERPROFILE%\Documents\GitHub\eaglep3\Utilities\DownloadLogsFromS3.py --loco 4010 --day 2017-04-02</v>
      </c>
      <c r="AN89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3" t="s">
        <v>747</v>
      </c>
      <c r="B90" s="7">
        <v>4009</v>
      </c>
      <c r="C90" s="21" t="s">
        <v>217</v>
      </c>
      <c r="D90" s="21" t="s">
        <v>872</v>
      </c>
      <c r="E90" s="13">
        <v>42827.587997685187</v>
      </c>
      <c r="F90" s="13">
        <v>42827.591331018521</v>
      </c>
      <c r="G90" s="7">
        <v>1</v>
      </c>
      <c r="H90" s="21" t="s">
        <v>836</v>
      </c>
      <c r="I90" s="13">
        <v>42827.617881944447</v>
      </c>
      <c r="J90" s="7">
        <v>0</v>
      </c>
      <c r="K90" s="97" t="str">
        <f t="shared" si="38"/>
        <v>4009/4010</v>
      </c>
      <c r="L90" s="21" t="str">
        <f>VLOOKUP(A90,'Trips&amp;Operators'!$C$1:$G$99999,5,FALSE)</f>
        <v>LEVIN SCOTT</v>
      </c>
      <c r="M90" s="6">
        <f t="shared" si="39"/>
        <v>2.6550925926130731E-2</v>
      </c>
      <c r="N90" s="7">
        <f t="shared" si="40"/>
        <v>38.233333333628252</v>
      </c>
      <c r="O90" s="7"/>
      <c r="P90" s="7"/>
      <c r="Q90" s="22"/>
      <c r="R90" s="22"/>
      <c r="S90" s="31">
        <f t="shared" si="41"/>
        <v>1</v>
      </c>
      <c r="T90" s="46" t="str">
        <f t="shared" si="42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43"/>
        <v>https://d0f6bd738d7f1b3e5a7ca70fe4ff75f0.us-east-1.aws.found.io/app/kibana#/discover/Steve-Slow-Train-Analysis-(2080s-and-2083s)?_g=(refreshInterval:(display:Off,pause:!f,section:0,value:0),time:(from:'2017-04-02T13:06:43-0600',mode:absolute,to:'2017-04-02T15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0" s="183" t="str">
        <f t="shared" si="44"/>
        <v>N</v>
      </c>
      <c r="X90" s="183">
        <f t="shared" si="45"/>
        <v>1</v>
      </c>
      <c r="Y90" s="62">
        <f t="shared" si="46"/>
        <v>23.3062</v>
      </c>
      <c r="Z90" s="62">
        <f t="shared" si="47"/>
        <v>1.2699999999999999E-2</v>
      </c>
      <c r="AA90" s="62">
        <f t="shared" si="48"/>
        <v>23.293500000000002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49"/>
        <v>0178-02</v>
      </c>
      <c r="AE90" s="85" t="str">
        <f t="shared" si="50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90" s="82" t="str">
        <f t="shared" si="51"/>
        <v>"C:\Program Files (x86)\AstroGrep\AstroGrep.exe" /e /r /s /spath="%USERPROFILE%\AppData\Local\Temp\OnboardLogs" /stypes="app*4009*20170402*" /stext=" 20:.+((SYSTEM_STATE.+slice.+state.+changed )|(ment ac)|(multiple cpu faults)|(system.+state.+changed )|(\[timeout)|(PRM\|1\|D)|(kpr)|(kdp)|(\|lc)|(penalty))"</v>
      </c>
      <c r="AG90" s="1" t="str">
        <f t="shared" si="52"/>
        <v>EC</v>
      </c>
      <c r="AH90" s="86" t="str">
        <f t="shared" si="53"/>
        <v>"%USERPROFILE%\Documents\GitHub\eaglep3\Utilities\RefineRTDCRunTimes.py" --tripid 178-02 --locoid 4009 --swversion DE.1.0.9.0 --startMP 204:233062 --initTime 2017-04-02T14:06:43 --startdatetime 2017-04-02T14:11:31 --delay 1 --endMP 204:127 --enddatetime 2017-04-02T14:49:45 --enforcementcount 0 &gt;&gt;C:\Users\stu\Documents\GitHub\eaglep3-reporting\EC\2017-04-02-refined-times.txt</v>
      </c>
      <c r="AI90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{"issue":{"subject":"","project_id":79,"tracker_id":40,"status_id":1,"priority_id":2,"assigned_to_id":23,"start_date":"2017-04-02","description":"","custom_fields":[{"id":1,"name":"Subdivision","value":"EC"},{"id":4,"name":"Milepost","value":"0.0127"},{"id":17,"name":"Train ID","value":"178-02"},{"id":16,"name":"Locomotive ID","value":"4009"},{"id":130,"name":"Impact","value":""},{"id":150,"name":"Time of Event (Mountain Time)","value":"14:49:45"},{"id":151,"name":"Denver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8"/>
      <c r="AL90" s="48"/>
      <c r="AM90" s="150" t="str">
        <f t="shared" si="55"/>
        <v>start /low /b %USERPROFILE%\Documents\GitHub\eaglep3\Utilities\DownloadLogsFromS3.py --loco 4009 --day 2017-04-02</v>
      </c>
      <c r="AN90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1" spans="1:91" s="20" customFormat="1" x14ac:dyDescent="0.25">
      <c r="A91" s="33" t="s">
        <v>743</v>
      </c>
      <c r="B91" s="7">
        <v>4011</v>
      </c>
      <c r="C91" s="21" t="s">
        <v>217</v>
      </c>
      <c r="D91" s="21" t="s">
        <v>475</v>
      </c>
      <c r="E91" s="13">
        <v>42827.557754629626</v>
      </c>
      <c r="F91" s="13">
        <v>42827.562673611108</v>
      </c>
      <c r="G91" s="7">
        <v>1</v>
      </c>
      <c r="H91" s="21" t="s">
        <v>581</v>
      </c>
      <c r="I91" s="13">
        <v>42827.587511574071</v>
      </c>
      <c r="J91" s="7">
        <v>0</v>
      </c>
      <c r="K91" s="97" t="str">
        <f t="shared" si="38"/>
        <v>4011/4012</v>
      </c>
      <c r="L91" s="21" t="str">
        <f>VLOOKUP(A91,'Trips&amp;Operators'!$C$1:$G$99999,5,FALSE)</f>
        <v>BRUDER RICHARD</v>
      </c>
      <c r="M91" s="6">
        <f t="shared" si="39"/>
        <v>2.4837962962919846E-2</v>
      </c>
      <c r="N91" s="7">
        <f t="shared" si="40"/>
        <v>35.766666666604578</v>
      </c>
      <c r="O91" s="7"/>
      <c r="P91" s="7"/>
      <c r="Q91" s="22"/>
      <c r="R91" s="22"/>
      <c r="S91" s="31">
        <f t="shared" si="41"/>
        <v>1</v>
      </c>
      <c r="T91" s="46" t="str">
        <f t="shared" si="42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43"/>
        <v>https://d0f6bd738d7f1b3e5a7ca70fe4ff75f0.us-east-1.aws.found.io/app/kibana#/discover/Steve-Slow-Train-Analysis-(2080s-and-2083s)?_g=(refreshInterval:(display:Off,pause:!f,section:0,value:0),time:(from:'2017-04-02T12:23:10-0600',mode:absolute,to:'2017-04-02T15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183" t="str">
        <f t="shared" si="44"/>
        <v>N</v>
      </c>
      <c r="X91" s="183">
        <f t="shared" si="45"/>
        <v>1</v>
      </c>
      <c r="Y91" s="62">
        <f t="shared" si="46"/>
        <v>4.6199999999999998E-2</v>
      </c>
      <c r="Z91" s="62">
        <f t="shared" si="47"/>
        <v>23.328199999999999</v>
      </c>
      <c r="AA91" s="62">
        <f t="shared" si="48"/>
        <v>23.282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49"/>
        <v>0179-02</v>
      </c>
      <c r="AE91" s="85" t="str">
        <f t="shared" si="50"/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91" s="82" t="str">
        <f t="shared" si="51"/>
        <v>"C:\Program Files (x86)\AstroGrep\AstroGrep.exe" /e /r /s /spath="%USERPROFILE%\AppData\Local\Temp\OnboardLogs" /stypes="app*4011*20170402*" /stext=" 20:.+((SYSTEM_STATE.+slice.+state.+changed )|(ment ac)|(multiple cpu faults)|(system.+state.+changed )|(\[timeout)|(PRM\|1\|D)|(kpr)|(kdp)|(\|lc)|(penalty))"</v>
      </c>
      <c r="AG91" s="1" t="str">
        <f t="shared" si="52"/>
        <v>EC</v>
      </c>
      <c r="AH91" s="86" t="str">
        <f t="shared" si="53"/>
        <v>"%USERPROFILE%\Documents\GitHub\eaglep3\Utilities\RefineRTDCRunTimes.py" --tripid 179-02 --locoid 4011 --swversion DE.1.0.9.0 --startMP 204:462 --initTime 2017-04-02T13:23:10 --startdatetime 2017-04-02T13:30:15 --delay 1 --endMP 204:233282 --enddatetime 2017-04-02T14:06:01 --enforcementcount 0 &gt;&gt;C:\Users\stu\Documents\GitHub\eaglep3-reporting\EC\2017-04-02-refined-times.txt</v>
      </c>
      <c r="AI91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{"issue":{"subject":"","project_id":79,"tracker_id":40,"status_id":1,"priority_id":2,"assigned_to_id":23,"start_date":"2017-04-02","description":"","custom_fields":[{"id":1,"name":"Subdivision","value":"EC"},{"id":4,"name":"Milepost","value":"23.3282"},{"id":17,"name":"Train ID","value":"179-02"},{"id":16,"name":"Locomotive ID","value":"4011"},{"id":130,"name":"Impact","value":""},{"id":150,"name":"Time of Event (Mountain Time)","value":"14:06:01"},{"id":151,"name":"Denver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55"/>
        <v>start /low /b %USERPROFILE%\Documents\GitHub\eaglep3\Utilities\DownloadLogsFromS3.py --loco 4011 --day 2017-04-02</v>
      </c>
      <c r="AN91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749</v>
      </c>
      <c r="B92" s="7">
        <v>4012</v>
      </c>
      <c r="C92" s="21" t="s">
        <v>217</v>
      </c>
      <c r="D92" s="21" t="s">
        <v>476</v>
      </c>
      <c r="E92" s="13">
        <v>42827.596944444442</v>
      </c>
      <c r="F92" s="13">
        <v>42827.601620370369</v>
      </c>
      <c r="G92" s="7">
        <v>1</v>
      </c>
      <c r="H92" s="21" t="s">
        <v>214</v>
      </c>
      <c r="I92" s="13">
        <v>42827.628483796296</v>
      </c>
      <c r="J92" s="7">
        <v>0</v>
      </c>
      <c r="K92" s="97" t="str">
        <f t="shared" si="38"/>
        <v>4011/4012</v>
      </c>
      <c r="L92" s="21" t="str">
        <f>VLOOKUP(A92,'Trips&amp;Operators'!$C$1:$G$99999,5,FALSE)</f>
        <v>BRUDER RICHARD</v>
      </c>
      <c r="M92" s="6">
        <f t="shared" si="39"/>
        <v>2.6863425926421769E-2</v>
      </c>
      <c r="N92" s="7">
        <f t="shared" si="40"/>
        <v>38.683333334047347</v>
      </c>
      <c r="O92" s="7"/>
      <c r="P92" s="7"/>
      <c r="Q92" s="22"/>
      <c r="R92" s="22"/>
      <c r="S92" s="31">
        <f t="shared" si="41"/>
        <v>1</v>
      </c>
      <c r="T92" s="46" t="str">
        <f t="shared" si="42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43"/>
        <v>https://d0f6bd738d7f1b3e5a7ca70fe4ff75f0.us-east-1.aws.found.io/app/kibana#/discover/Steve-Slow-Train-Analysis-(2080s-and-2083s)?_g=(refreshInterval:(display:Off,pause:!f,section:0,value:0),time:(from:'2017-04-02T13:19:36-0600',mode:absolute,to:'2017-04-02T16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83" t="str">
        <f t="shared" si="44"/>
        <v>N</v>
      </c>
      <c r="X92" s="183">
        <f t="shared" si="45"/>
        <v>1</v>
      </c>
      <c r="Y92" s="62">
        <f t="shared" si="46"/>
        <v>23.2973</v>
      </c>
      <c r="Z92" s="62">
        <f t="shared" si="47"/>
        <v>1.47E-2</v>
      </c>
      <c r="AA92" s="62">
        <f t="shared" si="48"/>
        <v>23.282599999999999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49"/>
        <v>0180-02</v>
      </c>
      <c r="AE92" s="85" t="str">
        <f t="shared" si="50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92" s="82" t="str">
        <f t="shared" si="51"/>
        <v>"C:\Program Files (x86)\AstroGrep\AstroGrep.exe" /e /r /s /spath="%USERPROFILE%\AppData\Local\Temp\OnboardLogs" /stypes="app*4012*20170402*" /stext=" 21:.+((SYSTEM_STATE.+slice.+state.+changed )|(ment ac)|(multiple cpu faults)|(system.+state.+changed )|(\[timeout)|(PRM\|1\|D)|(kpr)|(kdp)|(\|lc)|(penalty))"</v>
      </c>
      <c r="AG92" s="1" t="str">
        <f t="shared" si="52"/>
        <v>EC</v>
      </c>
      <c r="AH92" s="86" t="str">
        <f t="shared" si="53"/>
        <v>"%USERPROFILE%\Documents\GitHub\eaglep3\Utilities\RefineRTDCRunTimes.py" --tripid 180-02 --locoid 4012 --swversion DE.1.0.9.0 --startMP 204:232973 --initTime 2017-04-02T14:19:36 --startdatetime 2017-04-02T14:26:20 --delay 1 --endMP 204:147 --enddatetime 2017-04-02T15:05:01 --enforcementcount 0 &gt;&gt;C:\Users\stu\Documents\GitHub\eaglep3-reporting\EC\2017-04-02-refined-times.txt</v>
      </c>
      <c r="AI92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{"issue":{"subject":"","project_id":79,"tracker_id":40,"status_id":1,"priority_id":2,"assigned_to_id":23,"start_date":"2017-04-02","description":"","custom_fields":[{"id":1,"name":"Subdivision","value":"EC"},{"id":4,"name":"Milepost","value":"0.0147"},{"id":17,"name":"Train ID","value":"180-02"},{"id":16,"name":"Locomotive ID","value":"4012"},{"id":130,"name":"Impact","value":""},{"id":150,"name":"Time of Event (Mountain Time)","value":"15:05:01"},{"id":151,"name":"Denver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55"/>
        <v>start /low /b %USERPROFILE%\Documents\GitHub\eaglep3\Utilities\DownloadLogsFromS3.py --loco 4012 --day 2017-04-02</v>
      </c>
      <c r="AN92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745</v>
      </c>
      <c r="B93" s="7">
        <v>4016</v>
      </c>
      <c r="C93" s="21" t="s">
        <v>217</v>
      </c>
      <c r="D93" s="21" t="s">
        <v>586</v>
      </c>
      <c r="E93" s="13">
        <v>42827.568194444444</v>
      </c>
      <c r="F93" s="13">
        <v>42827.573067129626</v>
      </c>
      <c r="G93" s="7">
        <v>1</v>
      </c>
      <c r="H93" s="21" t="s">
        <v>883</v>
      </c>
      <c r="I93" s="13">
        <v>42827.598321759258</v>
      </c>
      <c r="J93" s="7">
        <v>0</v>
      </c>
      <c r="K93" s="97" t="str">
        <f t="shared" si="38"/>
        <v>4015/4016</v>
      </c>
      <c r="L93" s="21" t="str">
        <f>VLOOKUP(A93,'Trips&amp;Operators'!$C$1:$G$99999,5,FALSE)</f>
        <v>LOCKLEAR TRAVIS</v>
      </c>
      <c r="M93" s="6">
        <f t="shared" si="39"/>
        <v>2.5254629632399883E-2</v>
      </c>
      <c r="N93" s="7">
        <f t="shared" si="40"/>
        <v>36.366666670655832</v>
      </c>
      <c r="O93" s="7"/>
      <c r="P93" s="7"/>
      <c r="Q93" s="22"/>
      <c r="R93" s="22"/>
      <c r="S93" s="31">
        <f t="shared" si="41"/>
        <v>1</v>
      </c>
      <c r="T93" s="46" t="str">
        <f t="shared" si="42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43"/>
        <v>https://d0f6bd738d7f1b3e5a7ca70fe4ff75f0.us-east-1.aws.found.io/app/kibana#/discover/Steve-Slow-Train-Analysis-(2080s-and-2083s)?_g=(refreshInterval:(display:Off,pause:!f,section:0,value:0),time:(from:'2017-04-02T12:38:12-0600',mode:absolute,to:'2017-04-02T15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3" s="183" t="str">
        <f t="shared" si="44"/>
        <v>N</v>
      </c>
      <c r="X93" s="183">
        <f t="shared" si="45"/>
        <v>1</v>
      </c>
      <c r="Y93" s="62">
        <f t="shared" si="46"/>
        <v>4.82E-2</v>
      </c>
      <c r="Z93" s="62">
        <f t="shared" si="47"/>
        <v>23.333600000000001</v>
      </c>
      <c r="AA93" s="62">
        <f t="shared" si="48"/>
        <v>23.285399999999999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49"/>
        <v>0181-02</v>
      </c>
      <c r="AE93" s="85" t="str">
        <f t="shared" si="50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93" s="82" t="str">
        <f t="shared" si="51"/>
        <v>"C:\Program Files (x86)\AstroGrep\AstroGrep.exe" /e /r /s /spath="%USERPROFILE%\AppData\Local\Temp\OnboardLogs" /stypes="app*4016*20170402*" /stext=" 20:.+((SYSTEM_STATE.+slice.+state.+changed )|(ment ac)|(multiple cpu faults)|(system.+state.+changed )|(\[timeout)|(PRM\|1\|D)|(kpr)|(kdp)|(\|lc)|(penalty))"</v>
      </c>
      <c r="AG93" s="1" t="str">
        <f t="shared" si="52"/>
        <v>EC</v>
      </c>
      <c r="AH93" s="86" t="str">
        <f t="shared" si="53"/>
        <v>"%USERPROFILE%\Documents\GitHub\eaglep3\Utilities\RefineRTDCRunTimes.py" --tripid 181-02 --locoid 4016 --swversion DE.1.0.9.0 --startMP 204:482 --initTime 2017-04-02T13:38:12 --startdatetime 2017-04-02T13:45:13 --delay 1 --endMP 204:233336 --enddatetime 2017-04-02T14:21:35 --enforcementcount 0 &gt;&gt;C:\Users\stu\Documents\GitHub\eaglep3-reporting\EC\2017-04-02-refined-times.txt</v>
      </c>
      <c r="AI93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{"issue":{"subject":"","project_id":79,"tracker_id":40,"status_id":1,"priority_id":2,"assigned_to_id":23,"start_date":"2017-04-02","description":"","custom_fields":[{"id":1,"name":"Subdivision","value":"EC"},{"id":4,"name":"Milepost","value":"23.3336"},{"id":17,"name":"Train ID","value":"181-02"},{"id":16,"name":"Locomotive ID","value":"4016"},{"id":130,"name":"Impact","value":""},{"id":150,"name":"Time of Event (Mountain Time)","value":"14:21:35"},{"id":151,"name":"Denver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55"/>
        <v>start /low /b %USERPROFILE%\Documents\GitHub\eaglep3\Utilities\DownloadLogsFromS3.py --loco 4016 --day 2017-04-02</v>
      </c>
      <c r="AN93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752</v>
      </c>
      <c r="B94" s="7">
        <v>4015</v>
      </c>
      <c r="C94" s="21" t="s">
        <v>217</v>
      </c>
      <c r="D94" s="21" t="s">
        <v>890</v>
      </c>
      <c r="E94" s="13">
        <v>42827.609861111108</v>
      </c>
      <c r="F94" s="13">
        <v>42827.611967592595</v>
      </c>
      <c r="G94" s="7">
        <v>1</v>
      </c>
      <c r="H94" s="21" t="s">
        <v>583</v>
      </c>
      <c r="I94" s="13">
        <v>42827.639490740738</v>
      </c>
      <c r="J94" s="7">
        <v>0</v>
      </c>
      <c r="K94" s="97" t="str">
        <f t="shared" si="38"/>
        <v>4015/4016</v>
      </c>
      <c r="L94" s="21" t="str">
        <f>VLOOKUP(A94,'Trips&amp;Operators'!$C$1:$G$99999,5,FALSE)</f>
        <v>LOCKLEAR TRAVIS</v>
      </c>
      <c r="M94" s="6">
        <f t="shared" si="39"/>
        <v>2.7523148142790888E-2</v>
      </c>
      <c r="N94" s="7">
        <f t="shared" si="40"/>
        <v>39.633333325618878</v>
      </c>
      <c r="O94" s="7"/>
      <c r="P94" s="7"/>
      <c r="Q94" s="22"/>
      <c r="R94" s="22"/>
      <c r="S94" s="31">
        <f t="shared" si="41"/>
        <v>1</v>
      </c>
      <c r="T94" s="46" t="str">
        <f t="shared" si="42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43"/>
        <v>https://d0f6bd738d7f1b3e5a7ca70fe4ff75f0.us-east-1.aws.found.io/app/kibana#/discover/Steve-Slow-Train-Analysis-(2080s-and-2083s)?_g=(refreshInterval:(display:Off,pause:!f,section:0,value:0),time:(from:'2017-04-02T13:38:12-0600',mode:absolute,to:'2017-04-02T16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4" s="183" t="str">
        <f t="shared" si="44"/>
        <v>N</v>
      </c>
      <c r="X94" s="183">
        <f t="shared" si="45"/>
        <v>1</v>
      </c>
      <c r="Y94" s="62">
        <f t="shared" si="46"/>
        <v>23.303799999999999</v>
      </c>
      <c r="Z94" s="62">
        <f t="shared" si="47"/>
        <v>1.4500000000000001E-2</v>
      </c>
      <c r="AA94" s="62">
        <f t="shared" si="48"/>
        <v>23.289299999999997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49"/>
        <v>0182-02</v>
      </c>
      <c r="AE94" s="85" t="str">
        <f t="shared" si="50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94" s="82" t="str">
        <f t="shared" si="51"/>
        <v>"C:\Program Files (x86)\AstroGrep\AstroGrep.exe" /e /r /s /spath="%USERPROFILE%\AppData\Local\Temp\OnboardLogs" /stypes="app*4015*20170402*" /stext=" 21:.+((SYSTEM_STATE.+slice.+state.+changed )|(ment ac)|(multiple cpu faults)|(system.+state.+changed )|(\[timeout)|(PRM\|1\|D)|(kpr)|(kdp)|(\|lc)|(penalty))"</v>
      </c>
      <c r="AG94" s="1" t="str">
        <f t="shared" si="52"/>
        <v>EC</v>
      </c>
      <c r="AH94" s="86" t="str">
        <f t="shared" si="53"/>
        <v>"%USERPROFILE%\Documents\GitHub\eaglep3\Utilities\RefineRTDCRunTimes.py" --tripid 182-02 --locoid 4015 --swversion DE.1.0.9.0 --startMP 204:233038 --initTime 2017-04-02T14:38:12 --startdatetime 2017-04-02T14:41:14 --delay 1 --endMP 204:145 --enddatetime 2017-04-02T15:20:52 --enforcementcount 0 &gt;&gt;C:\Users\stu\Documents\GitHub\eaglep3-reporting\EC\2017-04-02-refined-times.txt</v>
      </c>
      <c r="AI94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{"issue":{"subject":"","project_id":79,"tracker_id":40,"status_id":1,"priority_id":2,"assigned_to_id":23,"start_date":"2017-04-02","description":"","custom_fields":[{"id":1,"name":"Subdivision","value":"EC"},{"id":4,"name":"Milepost","value":"0.0145"},{"id":17,"name":"Train ID","value":"182-02"},{"id":16,"name":"Locomotive ID","value":"4015"},{"id":130,"name":"Impact","value":""},{"id":150,"name":"Time of Event (Mountain Time)","value":"15:20:52"},{"id":151,"name":"Denver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55"/>
        <v>start /low /b %USERPROFILE%\Documents\GitHub\eaglep3\Utilities\DownloadLogsFromS3.py --loco 4015 --day 2017-04-02</v>
      </c>
      <c r="AN94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621</v>
      </c>
      <c r="B95" s="7">
        <v>4020</v>
      </c>
      <c r="C95" s="21" t="s">
        <v>217</v>
      </c>
      <c r="D95" s="21" t="s">
        <v>211</v>
      </c>
      <c r="E95" s="13">
        <v>42827.578912037039</v>
      </c>
      <c r="F95" s="13">
        <v>42827.583518518521</v>
      </c>
      <c r="G95" s="7">
        <v>1</v>
      </c>
      <c r="H95" s="21" t="s">
        <v>883</v>
      </c>
      <c r="I95" s="13">
        <v>42827.610069444447</v>
      </c>
      <c r="J95" s="7">
        <v>0</v>
      </c>
      <c r="K95" s="97" t="str">
        <f t="shared" si="38"/>
        <v>4019/4020</v>
      </c>
      <c r="L95" s="21" t="str">
        <f>VLOOKUP(A95,'Trips&amp;Operators'!$C$1:$G$99999,5,FALSE)</f>
        <v>WHITED DUSTIN</v>
      </c>
      <c r="M95" s="6">
        <f t="shared" si="39"/>
        <v>2.6550925926130731E-2</v>
      </c>
      <c r="N95" s="7">
        <f t="shared" si="40"/>
        <v>38.233333333628252</v>
      </c>
      <c r="O95" s="7"/>
      <c r="P95" s="7"/>
      <c r="Q95" s="22"/>
      <c r="R95" s="22"/>
      <c r="S95" s="31">
        <f t="shared" si="41"/>
        <v>1</v>
      </c>
      <c r="T95" s="46" t="str">
        <f t="shared" si="42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43"/>
        <v>https://d0f6bd738d7f1b3e5a7ca70fe4ff75f0.us-east-1.aws.found.io/app/kibana#/discover/Steve-Slow-Train-Analysis-(2080s-and-2083s)?_g=(refreshInterval:(display:Off,pause:!f,section:0,value:0),time:(from:'2017-04-02T12:53:38-0600',mode:absolute,to:'2017-04-02T15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183" t="str">
        <f t="shared" si="44"/>
        <v>N</v>
      </c>
      <c r="X95" s="183">
        <f t="shared" si="45"/>
        <v>1</v>
      </c>
      <c r="Y95" s="62">
        <f t="shared" si="46"/>
        <v>4.53E-2</v>
      </c>
      <c r="Z95" s="62">
        <f t="shared" si="47"/>
        <v>23.333600000000001</v>
      </c>
      <c r="AA95" s="62">
        <f t="shared" si="48"/>
        <v>23.2883</v>
      </c>
      <c r="AB95" s="59" t="str">
        <f>VLOOKUP(A95,Enforcements!$C$7:$K$13,8,0)</f>
        <v>Bulletin (2)</v>
      </c>
      <c r="AC95" s="55" t="str">
        <f>VLOOKUP(A95,Enforcements!$C$7:$E$13,3,0)</f>
        <v>GRADE CROSSING</v>
      </c>
      <c r="AD95" s="56" t="str">
        <f t="shared" si="49"/>
        <v>0183-02</v>
      </c>
      <c r="AE95" s="85" t="str">
        <f t="shared" si="50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95" s="82" t="str">
        <f t="shared" si="51"/>
        <v>"C:\Program Files (x86)\AstroGrep\AstroGrep.exe" /e /r /s /spath="%USERPROFILE%\AppData\Local\Temp\OnboardLogs" /stypes="app*4020*20170402*" /stext=" 20:.+((SYSTEM_STATE.+slice.+state.+changed )|(ment ac)|(multiple cpu faults)|(system.+state.+changed )|(\[timeout)|(PRM\|1\|D)|(kpr)|(kdp)|(\|lc)|(penalty))"</v>
      </c>
      <c r="AG95" s="1" t="str">
        <f t="shared" si="52"/>
        <v>EC</v>
      </c>
      <c r="AH95" s="86" t="str">
        <f t="shared" si="53"/>
        <v>"%USERPROFILE%\Documents\GitHub\eaglep3\Utilities\RefineRTDCRunTimes.py" --tripid 183-02 --locoid 4020 --swversion DE.1.0.9.0 --startMP 204:453 --initTime 2017-04-02T13:53:38 --startdatetime 2017-04-02T14:00:16 --delay 1 --endMP 204:233336 --enddatetime 2017-04-02T14:38:30 --enforcementcount 0 &gt;&gt;C:\Users\stu\Documents\GitHub\eaglep3-reporting\EC\2017-04-02-refined-times.txt</v>
      </c>
      <c r="AI95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{"issue":{"subject":"","project_id":79,"tracker_id":40,"status_id":1,"priority_id":2,"assigned_to_id":23,"start_date":"2017-04-02","description":"","custom_fields":[{"id":1,"name":"Subdivision","value":"EC"},{"id":4,"name":"Milepost","value":"23.3336"},{"id":17,"name":"Train ID","value":"183-02"},{"id":16,"name":"Locomotive ID","value":"4020"},{"id":130,"name":"Impact","value":""},{"id":150,"name":"Time of Event (Mountain Time)","value":"14:38:30"},{"id":151,"name":"Denver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55"/>
        <v>start /low /b %USERPROFILE%\Documents\GitHub\eaglep3\Utilities\DownloadLogsFromS3.py --loco 4020 --day 2017-04-02</v>
      </c>
      <c r="AN95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753</v>
      </c>
      <c r="B96" s="7">
        <v>4019</v>
      </c>
      <c r="C96" s="21" t="s">
        <v>217</v>
      </c>
      <c r="D96" s="21" t="s">
        <v>509</v>
      </c>
      <c r="E96" s="13">
        <v>42827.614363425928</v>
      </c>
      <c r="F96" s="13">
        <v>42827.622488425928</v>
      </c>
      <c r="G96" s="7">
        <v>1</v>
      </c>
      <c r="H96" s="21" t="s">
        <v>459</v>
      </c>
      <c r="I96" s="13">
        <v>42827.649861111109</v>
      </c>
      <c r="J96" s="7">
        <v>0</v>
      </c>
      <c r="K96" s="97" t="str">
        <f t="shared" si="38"/>
        <v>4019/4020</v>
      </c>
      <c r="L96" s="21" t="str">
        <f>VLOOKUP(A96,'Trips&amp;Operators'!$C$1:$G$99999,5,FALSE)</f>
        <v>WHITED DUSTIN</v>
      </c>
      <c r="M96" s="6">
        <f t="shared" si="39"/>
        <v>2.7372685181035195E-2</v>
      </c>
      <c r="N96" s="7">
        <f t="shared" si="40"/>
        <v>39.41666666069068</v>
      </c>
      <c r="O96" s="7"/>
      <c r="P96" s="7"/>
      <c r="Q96" s="22"/>
      <c r="R96" s="22"/>
      <c r="S96" s="31">
        <f t="shared" si="41"/>
        <v>1</v>
      </c>
      <c r="T96" s="46" t="str">
        <f t="shared" si="42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43"/>
        <v>https://d0f6bd738d7f1b3e5a7ca70fe4ff75f0.us-east-1.aws.found.io/app/kibana#/discover/Steve-Slow-Train-Analysis-(2080s-and-2083s)?_g=(refreshInterval:(display:Off,pause:!f,section:0,value:0),time:(from:'2017-04-02T13:44:41-0600',mode:absolute,to:'2017-04-02T16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183" t="str">
        <f t="shared" si="44"/>
        <v>N</v>
      </c>
      <c r="X96" s="183">
        <f t="shared" si="45"/>
        <v>1</v>
      </c>
      <c r="Y96" s="62">
        <f t="shared" si="46"/>
        <v>23.301100000000002</v>
      </c>
      <c r="Z96" s="62">
        <f t="shared" si="47"/>
        <v>1.41E-2</v>
      </c>
      <c r="AA96" s="62">
        <f t="shared" si="48"/>
        <v>23.287000000000003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49"/>
        <v>0184-02</v>
      </c>
      <c r="AE96" s="85" t="str">
        <f t="shared" si="50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96" s="82" t="str">
        <f t="shared" si="51"/>
        <v>"C:\Program Files (x86)\AstroGrep\AstroGrep.exe" /e /r /s /spath="%USERPROFILE%\AppData\Local\Temp\OnboardLogs" /stypes="app*4019*20170402*" /stext=" 21:.+((SYSTEM_STATE.+slice.+state.+changed )|(ment ac)|(multiple cpu faults)|(system.+state.+changed )|(\[timeout)|(PRM\|1\|D)|(kpr)|(kdp)|(\|lc)|(penalty))"</v>
      </c>
      <c r="AG96" s="1" t="str">
        <f t="shared" si="52"/>
        <v>EC</v>
      </c>
      <c r="AH96" s="86" t="str">
        <f t="shared" si="53"/>
        <v>"%USERPROFILE%\Documents\GitHub\eaglep3\Utilities\RefineRTDCRunTimes.py" --tripid 184-02 --locoid 4019 --swversion DE.1.0.9.0 --startMP 204:233011 --initTime 2017-04-02T14:44:41 --startdatetime 2017-04-02T14:56:23 --delay 1 --endMP 204:141 --enddatetime 2017-04-02T15:35:48 --enforcementcount 0 &gt;&gt;C:\Users\stu\Documents\GitHub\eaglep3-reporting\EC\2017-04-02-refined-times.txt</v>
      </c>
      <c r="AI96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{"issue":{"subject":"","project_id":79,"tracker_id":40,"status_id":1,"priority_id":2,"assigned_to_id":23,"start_date":"2017-04-02","description":"","custom_fields":[{"id":1,"name":"Subdivision","value":"EC"},{"id":4,"name":"Milepost","value":"0.0141"},{"id":17,"name":"Train ID","value":"184-02"},{"id":16,"name":"Locomotive ID","value":"4019"},{"id":130,"name":"Impact","value":""},{"id":150,"name":"Time of Event (Mountain Time)","value":"15:35:48"},{"id":151,"name":"Denver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55"/>
        <v>start /low /b %USERPROFILE%\Documents\GitHub\eaglep3\Utilities\DownloadLogsFromS3.py --loco 4019 --day 2017-04-02</v>
      </c>
      <c r="AN96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3" t="s">
        <v>622</v>
      </c>
      <c r="B97" s="7">
        <v>4002</v>
      </c>
      <c r="C97" s="21" t="s">
        <v>217</v>
      </c>
      <c r="D97" s="21" t="s">
        <v>906</v>
      </c>
      <c r="E97" s="13">
        <v>42827.590949074074</v>
      </c>
      <c r="F97" s="13">
        <v>42827.594039351854</v>
      </c>
      <c r="G97" s="7">
        <v>1</v>
      </c>
      <c r="H97" s="21" t="s">
        <v>454</v>
      </c>
      <c r="I97" s="13">
        <v>42827.620034722226</v>
      </c>
      <c r="J97" s="7">
        <v>0</v>
      </c>
      <c r="K97" s="97" t="str">
        <f t="shared" si="38"/>
        <v>4001/4002</v>
      </c>
      <c r="L97" s="21" t="str">
        <f>VLOOKUP(A97,'Trips&amp;Operators'!$C$1:$G$99999,5,FALSE)</f>
        <v>BRANDNER MELINDA</v>
      </c>
      <c r="M97" s="6">
        <f t="shared" si="39"/>
        <v>2.5995370371674653E-2</v>
      </c>
      <c r="N97" s="7">
        <f t="shared" si="40"/>
        <v>37.433333335211501</v>
      </c>
      <c r="O97" s="7"/>
      <c r="P97" s="7"/>
      <c r="Q97" s="22"/>
      <c r="R97" s="22"/>
      <c r="S97" s="31">
        <f t="shared" si="41"/>
        <v>1</v>
      </c>
      <c r="T97" s="46" t="str">
        <f t="shared" si="42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43"/>
        <v>https://d0f6bd738d7f1b3e5a7ca70fe4ff75f0.us-east-1.aws.found.io/app/kibana#/discover/Steve-Slow-Train-Analysis-(2080s-and-2083s)?_g=(refreshInterval:(display:Off,pause:!f,section:0,value:0),time:(from:'2017-04-02T13:10:58-0600',mode:absolute,to:'2017-04-02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183" t="str">
        <f t="shared" si="44"/>
        <v>N</v>
      </c>
      <c r="X97" s="183">
        <f t="shared" si="45"/>
        <v>1</v>
      </c>
      <c r="Y97" s="62">
        <f t="shared" si="46"/>
        <v>4.3099999999999999E-2</v>
      </c>
      <c r="Z97" s="62">
        <f t="shared" si="47"/>
        <v>23.331700000000001</v>
      </c>
      <c r="AA97" s="62">
        <f t="shared" si="48"/>
        <v>23.288600000000002</v>
      </c>
      <c r="AB97" s="59" t="str">
        <f>VLOOKUP(A97,Enforcements!$C$7:$K$13,8,0)</f>
        <v>Bulletin (2)</v>
      </c>
      <c r="AC97" s="55" t="str">
        <f>VLOOKUP(A97,Enforcements!$C$7:$E$13,3,0)</f>
        <v>GRADE CROSSING</v>
      </c>
      <c r="AD97" s="56" t="str">
        <f t="shared" si="49"/>
        <v>0185-02</v>
      </c>
      <c r="AE97" s="85" t="str">
        <f t="shared" si="50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97" s="82" t="str">
        <f t="shared" si="51"/>
        <v>"C:\Program Files (x86)\AstroGrep\AstroGrep.exe" /e /r /s /spath="%USERPROFILE%\AppData\Local\Temp\OnboardLogs" /stypes="app*4002*20170402*" /stext=" 20:.+((SYSTEM_STATE.+slice.+state.+changed )|(ment ac)|(multiple cpu faults)|(system.+state.+changed )|(\[timeout)|(PRM\|1\|D)|(kpr)|(kdp)|(\|lc)|(penalty))"</v>
      </c>
      <c r="AG97" s="1" t="str">
        <f t="shared" si="52"/>
        <v>EC</v>
      </c>
      <c r="AH97" s="86" t="str">
        <f t="shared" si="53"/>
        <v>"%USERPROFILE%\Documents\GitHub\eaglep3\Utilities\RefineRTDCRunTimes.py" --tripid 185-02 --locoid 4002 --swversion DE.1.0.9.0 --startMP 204:431 --initTime 2017-04-02T14:10:58 --startdatetime 2017-04-02T14:15:25 --delay 1 --endMP 204:233317 --enddatetime 2017-04-02T14:52:51 --enforcementcount 0 &gt;&gt;C:\Users\stu\Documents\GitHub\eaglep3-reporting\EC\2017-04-02-refined-times.txt</v>
      </c>
      <c r="AI97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{"issue":{"subject":"","project_id":79,"tracker_id":40,"status_id":1,"priority_id":2,"assigned_to_id":23,"start_date":"2017-04-02","description":"","custom_fields":[{"id":1,"name":"Subdivision","value":"EC"},{"id":4,"name":"Milepost","value":"23.3317"},{"id":17,"name":"Train ID","value":"185-02"},{"id":16,"name":"Locomotive ID","value":"4002"},{"id":130,"name":"Impact","value":""},{"id":150,"name":"Time of Event (Mountain Time)","value":"14:52:51"},{"id":151,"name":"Denver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8"/>
      <c r="AL97" s="48"/>
      <c r="AM97" s="150" t="str">
        <f t="shared" si="55"/>
        <v>start /low /b %USERPROFILE%\Documents\GitHub\eaglep3\Utilities\DownloadLogsFromS3.py --loco 4002 --day 2017-04-02</v>
      </c>
      <c r="AN97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3" t="s">
        <v>755</v>
      </c>
      <c r="B98" s="7">
        <v>4001</v>
      </c>
      <c r="C98" s="21" t="s">
        <v>217</v>
      </c>
      <c r="D98" s="21" t="s">
        <v>844</v>
      </c>
      <c r="E98" s="13">
        <v>42827.628541666665</v>
      </c>
      <c r="F98" s="13">
        <v>42827.634212962963</v>
      </c>
      <c r="G98" s="7">
        <v>1</v>
      </c>
      <c r="H98" s="21" t="s">
        <v>451</v>
      </c>
      <c r="I98" s="13">
        <v>42827.662476851852</v>
      </c>
      <c r="J98" s="7">
        <v>0</v>
      </c>
      <c r="K98" s="97" t="str">
        <f t="shared" si="38"/>
        <v>4001/4002</v>
      </c>
      <c r="L98" s="21" t="str">
        <f>VLOOKUP(A98,'Trips&amp;Operators'!$C$1:$G$99999,5,FALSE)</f>
        <v>BRANDNER MELINDA</v>
      </c>
      <c r="M98" s="6">
        <f t="shared" si="39"/>
        <v>2.8263888889341615E-2</v>
      </c>
      <c r="N98" s="7">
        <f t="shared" si="40"/>
        <v>40.700000000651926</v>
      </c>
      <c r="O98" s="7"/>
      <c r="P98" s="7"/>
      <c r="Q98" s="22"/>
      <c r="R98" s="22"/>
      <c r="S98" s="31">
        <f t="shared" si="41"/>
        <v>1</v>
      </c>
      <c r="T98" s="46" t="str">
        <f t="shared" si="42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43"/>
        <v>https://d0f6bd738d7f1b3e5a7ca70fe4ff75f0.us-east-1.aws.found.io/app/kibana#/discover/Steve-Slow-Train-Analysis-(2080s-and-2083s)?_g=(refreshInterval:(display:Off,pause:!f,section:0,value:0),time:(from:'2017-04-02T14:05:06-0600',mode:absolute,to:'2017-04-02T16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183" t="str">
        <f t="shared" si="44"/>
        <v>N</v>
      </c>
      <c r="X98" s="183">
        <f t="shared" si="45"/>
        <v>1</v>
      </c>
      <c r="Y98" s="62">
        <f t="shared" si="46"/>
        <v>23.3004</v>
      </c>
      <c r="Z98" s="62">
        <f t="shared" si="47"/>
        <v>1.38E-2</v>
      </c>
      <c r="AA98" s="62">
        <f t="shared" si="48"/>
        <v>23.2866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49"/>
        <v>0186-02</v>
      </c>
      <c r="AE98" s="85" t="str">
        <f t="shared" si="50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98" s="82" t="str">
        <f t="shared" si="51"/>
        <v>"C:\Program Files (x86)\AstroGrep\AstroGrep.exe" /e /r /s /spath="%USERPROFILE%\AppData\Local\Temp\OnboardLogs" /stypes="app*4001*20170402*" /stext=" 21:.+((SYSTEM_STATE.+slice.+state.+changed )|(ment ac)|(multiple cpu faults)|(system.+state.+changed )|(\[timeout)|(PRM\|1\|D)|(kpr)|(kdp)|(\|lc)|(penalty))"</v>
      </c>
      <c r="AG98" s="1" t="str">
        <f t="shared" si="52"/>
        <v>EC</v>
      </c>
      <c r="AH98" s="86" t="str">
        <f t="shared" si="53"/>
        <v>"%USERPROFILE%\Documents\GitHub\eaglep3\Utilities\RefineRTDCRunTimes.py" --tripid 186-02 --locoid 4001 --swversion DE.1.0.9.0 --startMP 204:233004 --initTime 2017-04-02T15:05:06 --startdatetime 2017-04-02T15:13:16 --delay 1 --endMP 204:138 --enddatetime 2017-04-02T15:53:58 --enforcementcount 0 &gt;&gt;C:\Users\stu\Documents\GitHub\eaglep3-reporting\EC\2017-04-02-refined-times.txt</v>
      </c>
      <c r="AI98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{"issue":{"subject":"","project_id":79,"tracker_id":40,"status_id":1,"priority_id":2,"assigned_to_id":23,"start_date":"2017-04-02","description":"","custom_fields":[{"id":1,"name":"Subdivision","value":"EC"},{"id":4,"name":"Milepost","value":"0.0138"},{"id":17,"name":"Train ID","value":"186-02"},{"id":16,"name":"Locomotive ID","value":"4001"},{"id":130,"name":"Impact","value":""},{"id":150,"name":"Time of Event (Mountain Time)","value":"15:53:58"},{"id":151,"name":"Denver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55"/>
        <v>start /low /b %USERPROFILE%\Documents\GitHub\eaglep3\Utilities\DownloadLogsFromS3.py --loco 4001 --day 2017-04-02</v>
      </c>
      <c r="AN98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750</v>
      </c>
      <c r="B99" s="7">
        <v>4025</v>
      </c>
      <c r="C99" s="21" t="s">
        <v>217</v>
      </c>
      <c r="D99" s="21" t="s">
        <v>390</v>
      </c>
      <c r="E99" s="13">
        <v>42827.599988425929</v>
      </c>
      <c r="F99" s="13">
        <v>42827.604456018518</v>
      </c>
      <c r="G99" s="7">
        <v>2</v>
      </c>
      <c r="H99" s="21" t="s">
        <v>592</v>
      </c>
      <c r="I99" s="13">
        <v>42827.629571759258</v>
      </c>
      <c r="J99" s="7">
        <v>0</v>
      </c>
      <c r="K99" s="97" t="str">
        <f t="shared" si="38"/>
        <v>4025/4026</v>
      </c>
      <c r="L99" s="21" t="str">
        <f>VLOOKUP(A99,'Trips&amp;Operators'!$C$1:$G$99999,5,FALSE)</f>
        <v>STEWART MICHAEL</v>
      </c>
      <c r="M99" s="6">
        <f t="shared" si="39"/>
        <v>2.5115740740147885E-2</v>
      </c>
      <c r="N99" s="7">
        <f t="shared" si="40"/>
        <v>36.166666665812954</v>
      </c>
      <c r="O99" s="7"/>
      <c r="P99" s="7"/>
      <c r="Q99" s="22"/>
      <c r="R99" s="22"/>
      <c r="S99" s="31">
        <f t="shared" si="41"/>
        <v>1</v>
      </c>
      <c r="T99" s="46" t="str">
        <f t="shared" si="42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43"/>
        <v>https://d0f6bd738d7f1b3e5a7ca70fe4ff75f0.us-east-1.aws.found.io/app/kibana#/discover/Steve-Slow-Train-Analysis-(2080s-and-2083s)?_g=(refreshInterval:(display:Off,pause:!f,section:0,value:0),time:(from:'2017-04-02T13:23:59-0600',mode:absolute,to:'2017-04-02T16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83" t="str">
        <f t="shared" si="44"/>
        <v>N</v>
      </c>
      <c r="X99" s="183">
        <f t="shared" si="45"/>
        <v>1</v>
      </c>
      <c r="Y99" s="62">
        <f t="shared" si="46"/>
        <v>4.7300000000000002E-2</v>
      </c>
      <c r="Z99" s="62">
        <f t="shared" si="47"/>
        <v>23.327999999999999</v>
      </c>
      <c r="AA99" s="62">
        <f t="shared" si="48"/>
        <v>23.2807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49"/>
        <v>0187-02</v>
      </c>
      <c r="AE99" s="85" t="str">
        <f t="shared" si="50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99" s="82" t="str">
        <f t="shared" si="51"/>
        <v>"C:\Program Files (x86)\AstroGrep\AstroGrep.exe" /e /r /s /spath="%USERPROFILE%\AppData\Local\Temp\OnboardLogs" /stypes="app*4025*20170402*" /stext=" 21:.+((SYSTEM_STATE.+slice.+state.+changed )|(ment ac)|(multiple cpu faults)|(system.+state.+changed )|(\[timeout)|(PRM\|1\|D)|(kpr)|(kdp)|(\|lc)|(penalty))"</v>
      </c>
      <c r="AG99" s="1" t="str">
        <f t="shared" si="52"/>
        <v>EC</v>
      </c>
      <c r="AH99" s="86" t="str">
        <f t="shared" si="53"/>
        <v>"%USERPROFILE%\Documents\GitHub\eaglep3\Utilities\RefineRTDCRunTimes.py" --tripid 187-02 --locoid 4025 --swversion DE.1.0.9.0 --startMP 204:473 --initTime 2017-04-02T14:23:59 --startdatetime 2017-04-02T14:30:25 --delay 2 --endMP 204:233280 --enddatetime 2017-04-02T15:06:35 --enforcementcount 0 &gt;&gt;C:\Users\stu\Documents\GitHub\eaglep3-reporting\EC\2017-04-02-refined-times.txt</v>
      </c>
      <c r="AI99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{"issue":{"subject":"","project_id":79,"tracker_id":40,"status_id":1,"priority_id":2,"assigned_to_id":23,"start_date":"2017-04-02","description":"","custom_fields":[{"id":1,"name":"Subdivision","value":"EC"},{"id":4,"name":"Milepost","value":"23.328"},{"id":17,"name":"Train ID","value":"187-02"},{"id":16,"name":"Locomotive ID","value":"4025"},{"id":130,"name":"Impact","value":""},{"id":150,"name":"Time of Event (Mountain Time)","value":"15:06:35"},{"id":151,"name":"Denver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55"/>
        <v>start /low /b %USERPROFILE%\Documents\GitHub\eaglep3\Utilities\DownloadLogsFromS3.py --loco 4025 --day 2017-04-02</v>
      </c>
      <c r="AN99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758</v>
      </c>
      <c r="B100" s="7">
        <v>4026</v>
      </c>
      <c r="C100" s="21" t="s">
        <v>217</v>
      </c>
      <c r="D100" s="21" t="s">
        <v>446</v>
      </c>
      <c r="E100" s="13">
        <v>42827.642361111109</v>
      </c>
      <c r="F100" s="13">
        <v>42827.643599537034</v>
      </c>
      <c r="G100" s="7">
        <v>1</v>
      </c>
      <c r="H100" s="21" t="s">
        <v>199</v>
      </c>
      <c r="I100" s="13">
        <v>42827.670300925929</v>
      </c>
      <c r="J100" s="7">
        <v>0</v>
      </c>
      <c r="K100" s="97" t="str">
        <f t="shared" si="38"/>
        <v>4025/4026</v>
      </c>
      <c r="L100" s="21" t="str">
        <f>VLOOKUP(A100,'Trips&amp;Operators'!$C$1:$G$99999,5,FALSE)</f>
        <v>STEWART MICHAEL</v>
      </c>
      <c r="M100" s="6">
        <f t="shared" si="39"/>
        <v>2.6701388895162381E-2</v>
      </c>
      <c r="N100" s="7">
        <f t="shared" si="40"/>
        <v>38.450000009033829</v>
      </c>
      <c r="O100" s="7"/>
      <c r="P100" s="7"/>
      <c r="Q100" s="22"/>
      <c r="R100" s="22"/>
      <c r="S100" s="31">
        <f t="shared" si="41"/>
        <v>1</v>
      </c>
      <c r="T100" s="46" t="str">
        <f t="shared" si="42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43"/>
        <v>https://d0f6bd738d7f1b3e5a7ca70fe4ff75f0.us-east-1.aws.found.io/app/kibana#/discover/Steve-Slow-Train-Analysis-(2080s-and-2083s)?_g=(refreshInterval:(display:Off,pause:!f,section:0,value:0),time:(from:'2017-04-02T14:25:00-0600',mode:absolute,to:'2017-04-02T17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83" t="str">
        <f t="shared" si="44"/>
        <v>N</v>
      </c>
      <c r="X100" s="183">
        <f t="shared" si="45"/>
        <v>1</v>
      </c>
      <c r="Y100" s="62">
        <f t="shared" si="46"/>
        <v>23.298400000000001</v>
      </c>
      <c r="Z100" s="62">
        <f t="shared" si="47"/>
        <v>1.52E-2</v>
      </c>
      <c r="AA100" s="62">
        <f t="shared" si="48"/>
        <v>23.283200000000001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49"/>
        <v>0188-02</v>
      </c>
      <c r="AE100" s="85" t="str">
        <f t="shared" si="50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100" s="82" t="str">
        <f t="shared" si="51"/>
        <v>"C:\Program Files (x86)\AstroGrep\AstroGrep.exe" /e /r /s /spath="%USERPROFILE%\AppData\Local\Temp\OnboardLogs" /stypes="app*4026*20170402*" /stext=" 22:.+((SYSTEM_STATE.+slice.+state.+changed )|(ment ac)|(multiple cpu faults)|(system.+state.+changed )|(\[timeout)|(PRM\|1\|D)|(kpr)|(kdp)|(\|lc)|(penalty))"</v>
      </c>
      <c r="AG100" s="1" t="str">
        <f t="shared" si="52"/>
        <v>EC</v>
      </c>
      <c r="AH100" s="86" t="str">
        <f t="shared" si="53"/>
        <v>"%USERPROFILE%\Documents\GitHub\eaglep3\Utilities\RefineRTDCRunTimes.py" --tripid 188-02 --locoid 4026 --swversion DE.1.0.9.0 --startMP 204:232984 --initTime 2017-04-02T15:25:00 --startdatetime 2017-04-02T15:26:47 --delay 1 --endMP 204:152 --enddatetime 2017-04-02T16:05:14 --enforcementcount 0 &gt;&gt;C:\Users\stu\Documents\GitHub\eaglep3-reporting\EC\2017-04-02-refined-times.txt</v>
      </c>
      <c r="AI100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{"issue":{"subject":"","project_id":79,"tracker_id":40,"status_id":1,"priority_id":2,"assigned_to_id":23,"start_date":"2017-04-02","description":"","custom_fields":[{"id":1,"name":"Subdivision","value":"EC"},{"id":4,"name":"Milepost","value":"0.0152"},{"id":17,"name":"Train ID","value":"188-02"},{"id":16,"name":"Locomotive ID","value":"4026"},{"id":130,"name":"Impact","value":""},{"id":150,"name":"Time of Event (Mountain Time)","value":"16:05:14"},{"id":151,"name":"Denver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55"/>
        <v>start /low /b %USERPROFILE%\Documents\GitHub\eaglep3\Utilities\DownloadLogsFromS3.py --loco 4026 --day 2017-04-02</v>
      </c>
      <c r="AN100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623</v>
      </c>
      <c r="B101" s="7">
        <v>4054</v>
      </c>
      <c r="C101" s="21" t="s">
        <v>217</v>
      </c>
      <c r="D101" s="21" t="s">
        <v>211</v>
      </c>
      <c r="E101" s="13">
        <v>42827.613483796296</v>
      </c>
      <c r="F101" s="13">
        <v>42827.614861111113</v>
      </c>
      <c r="G101" s="7">
        <v>1</v>
      </c>
      <c r="H101" s="21" t="s">
        <v>377</v>
      </c>
      <c r="I101" s="13">
        <v>42827.642534722225</v>
      </c>
      <c r="J101" s="7">
        <v>0</v>
      </c>
      <c r="K101" s="97" t="str">
        <f t="shared" si="38"/>
        <v>4053/4054</v>
      </c>
      <c r="L101" s="21" t="str">
        <f>VLOOKUP(A101,'Trips&amp;Operators'!$C$1:$G$99999,5,FALSE)</f>
        <v>DAVIS MICHAEL</v>
      </c>
      <c r="M101" s="6">
        <f t="shared" si="39"/>
        <v>2.7673611111822538E-2</v>
      </c>
      <c r="N101" s="7">
        <f t="shared" si="40"/>
        <v>39.850000001024455</v>
      </c>
      <c r="O101" s="7"/>
      <c r="P101" s="7"/>
      <c r="Q101" s="22"/>
      <c r="R101" s="22"/>
      <c r="S101" s="31">
        <f t="shared" si="41"/>
        <v>1</v>
      </c>
      <c r="T101" s="46" t="str">
        <f t="shared" si="42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43"/>
        <v>https://d0f6bd738d7f1b3e5a7ca70fe4ff75f0.us-east-1.aws.found.io/app/kibana#/discover/Steve-Slow-Train-Analysis-(2080s-and-2083s)?_g=(refreshInterval:(display:Off,pause:!f,section:0,value:0),time:(from:'2017-04-02T13:43:25-0600',mode:absolute,to:'2017-04-02T16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83" t="str">
        <f t="shared" si="44"/>
        <v>N</v>
      </c>
      <c r="X101" s="183">
        <f t="shared" si="45"/>
        <v>1</v>
      </c>
      <c r="Y101" s="62">
        <f t="shared" si="46"/>
        <v>4.53E-2</v>
      </c>
      <c r="Z101" s="62">
        <f t="shared" si="47"/>
        <v>23.3293</v>
      </c>
      <c r="AA101" s="62">
        <f t="shared" si="48"/>
        <v>23.283999999999999</v>
      </c>
      <c r="AB101" s="59" t="str">
        <f>VLOOKUP(A101,Enforcements!$C$7:$K$13,8,0)</f>
        <v>Bulletin (2)</v>
      </c>
      <c r="AC101" s="55" t="str">
        <f>VLOOKUP(A101,Enforcements!$C$7:$E$13,3,0)</f>
        <v>GRADE CROSSING</v>
      </c>
      <c r="AD101" s="56" t="str">
        <f t="shared" si="49"/>
        <v>0189-02</v>
      </c>
      <c r="AE101" s="85" t="str">
        <f t="shared" si="50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101" s="82" t="str">
        <f t="shared" si="51"/>
        <v>"C:\Program Files (x86)\AstroGrep\AstroGrep.exe" /e /r /s /spath="%USERPROFILE%\AppData\Local\Temp\OnboardLogs" /stypes="app*4054*20170402*" /stext=" 21:.+((SYSTEM_STATE.+slice.+state.+changed )|(ment ac)|(multiple cpu faults)|(system.+state.+changed )|(\[timeout)|(PRM\|1\|D)|(kpr)|(kdp)|(\|lc)|(penalty))"</v>
      </c>
      <c r="AG101" s="1" t="str">
        <f t="shared" si="52"/>
        <v>EC</v>
      </c>
      <c r="AH101" s="86" t="str">
        <f t="shared" si="53"/>
        <v>"%USERPROFILE%\Documents\GitHub\eaglep3\Utilities\RefineRTDCRunTimes.py" --tripid 189-02 --locoid 4054 --swversion DE.1.0.9.0 --startMP 204:453 --initTime 2017-04-02T14:43:25 --startdatetime 2017-04-02T14:45:24 --delay 1 --endMP 204:233293 --enddatetime 2017-04-02T15:25:15 --enforcementcount 0 &gt;&gt;C:\Users\stu\Documents\GitHub\eaglep3-reporting\EC\2017-04-02-refined-times.txt</v>
      </c>
      <c r="AI101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{"issue":{"subject":"","project_id":79,"tracker_id":40,"status_id":1,"priority_id":2,"assigned_to_id":23,"start_date":"2017-04-02","description":"","custom_fields":[{"id":1,"name":"Subdivision","value":"EC"},{"id":4,"name":"Milepost","value":"23.3293"},{"id":17,"name":"Train ID","value":"189-02"},{"id":16,"name":"Locomotive ID","value":"4054"},{"id":130,"name":"Impact","value":""},{"id":150,"name":"Time of Event (Mountain Time)","value":"15:25:15"},{"id":151,"name":"Denver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55"/>
        <v>start /low /b %USERPROFILE%\Documents\GitHub\eaglep3\Utilities\DownloadLogsFromS3.py --loco 4054 --day 2017-04-02</v>
      </c>
      <c r="AN101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761</v>
      </c>
      <c r="B102" s="7">
        <v>4053</v>
      </c>
      <c r="C102" s="21" t="s">
        <v>217</v>
      </c>
      <c r="D102" s="21" t="s">
        <v>576</v>
      </c>
      <c r="E102" s="13">
        <v>42827.651018518518</v>
      </c>
      <c r="F102" s="13">
        <v>42827.653784722221</v>
      </c>
      <c r="G102" s="7">
        <v>1</v>
      </c>
      <c r="H102" s="21" t="s">
        <v>184</v>
      </c>
      <c r="I102" s="13">
        <v>42827.681979166664</v>
      </c>
      <c r="J102" s="7">
        <v>0</v>
      </c>
      <c r="K102" s="97" t="str">
        <f t="shared" si="38"/>
        <v>4053/4054</v>
      </c>
      <c r="L102" s="21" t="str">
        <f>VLOOKUP(A102,'Trips&amp;Operators'!$C$1:$G$99999,5,FALSE)</f>
        <v>DAVIS MICHAEL</v>
      </c>
      <c r="M102" s="6">
        <f t="shared" si="39"/>
        <v>2.8194444443215616E-2</v>
      </c>
      <c r="N102" s="7">
        <f t="shared" si="40"/>
        <v>40.599999998230487</v>
      </c>
      <c r="O102" s="7"/>
      <c r="P102" s="7"/>
      <c r="Q102" s="22"/>
      <c r="R102" s="22"/>
      <c r="S102" s="31">
        <f t="shared" si="41"/>
        <v>1</v>
      </c>
      <c r="T102" s="46" t="str">
        <f t="shared" si="42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43"/>
        <v>https://d0f6bd738d7f1b3e5a7ca70fe4ff75f0.us-east-1.aws.found.io/app/kibana#/discover/Steve-Slow-Train-Analysis-(2080s-and-2083s)?_g=(refreshInterval:(display:Off,pause:!f,section:0,value:0),time:(from:'2017-04-02T14:37:28-0600',mode:absolute,to:'2017-04-02T17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83" t="str">
        <f t="shared" si="44"/>
        <v>N</v>
      </c>
      <c r="X102" s="183">
        <f t="shared" si="45"/>
        <v>1</v>
      </c>
      <c r="Y102" s="62">
        <f t="shared" si="46"/>
        <v>23.3002</v>
      </c>
      <c r="Z102" s="62">
        <f t="shared" si="47"/>
        <v>1.49E-2</v>
      </c>
      <c r="AA102" s="62">
        <f t="shared" si="48"/>
        <v>23.285299999999999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49"/>
        <v>0190-02</v>
      </c>
      <c r="AE102" s="85" t="str">
        <f t="shared" si="50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102" s="82" t="str">
        <f t="shared" si="51"/>
        <v>"C:\Program Files (x86)\AstroGrep\AstroGrep.exe" /e /r /s /spath="%USERPROFILE%\AppData\Local\Temp\OnboardLogs" /stypes="app*4053*20170402*" /stext=" 22:.+((SYSTEM_STATE.+slice.+state.+changed )|(ment ac)|(multiple cpu faults)|(system.+state.+changed )|(\[timeout)|(PRM\|1\|D)|(kpr)|(kdp)|(\|lc)|(penalty))"</v>
      </c>
      <c r="AG102" s="1" t="str">
        <f t="shared" si="52"/>
        <v>EC</v>
      </c>
      <c r="AH102" s="86" t="str">
        <f t="shared" si="53"/>
        <v>"%USERPROFILE%\Documents\GitHub\eaglep3\Utilities\RefineRTDCRunTimes.py" --tripid 190-02 --locoid 4053 --swversion DE.1.0.9.0 --startMP 204:233002 --initTime 2017-04-02T15:37:28 --startdatetime 2017-04-02T15:41:27 --delay 1 --endMP 204:149 --enddatetime 2017-04-02T16:22:03 --enforcementcount 0 &gt;&gt;C:\Users\stu\Documents\GitHub\eaglep3-reporting\EC\2017-04-02-refined-times.txt</v>
      </c>
      <c r="AI102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{"issue":{"subject":"","project_id":79,"tracker_id":40,"status_id":1,"priority_id":2,"assigned_to_id":23,"start_date":"2017-04-02","description":"","custom_fields":[{"id":1,"name":"Subdivision","value":"EC"},{"id":4,"name":"Milepost","value":"0.0149"},{"id":17,"name":"Train ID","value":"190-02"},{"id":16,"name":"Locomotive ID","value":"4053"},{"id":130,"name":"Impact","value":""},{"id":150,"name":"Time of Event (Mountain Time)","value":"16:22:03"},{"id":151,"name":"Denver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55"/>
        <v>start /low /b %USERPROFILE%\Documents\GitHub\eaglep3\Utilities\DownloadLogsFromS3.py --loco 4053 --day 2017-04-02</v>
      </c>
      <c r="AN102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754</v>
      </c>
      <c r="B103" s="7">
        <v>4010</v>
      </c>
      <c r="C103" s="21" t="s">
        <v>217</v>
      </c>
      <c r="D103" s="21" t="s">
        <v>514</v>
      </c>
      <c r="E103" s="13">
        <v>42827.620451388888</v>
      </c>
      <c r="F103" s="13">
        <v>42827.625335648147</v>
      </c>
      <c r="G103" s="7">
        <v>1</v>
      </c>
      <c r="H103" s="21" t="s">
        <v>596</v>
      </c>
      <c r="I103" s="13">
        <v>42827.650416666664</v>
      </c>
      <c r="J103" s="7">
        <v>0</v>
      </c>
      <c r="K103" s="97" t="str">
        <f t="shared" si="38"/>
        <v>4009/4010</v>
      </c>
      <c r="L103" s="21" t="str">
        <f>VLOOKUP(A103,'Trips&amp;Operators'!$C$1:$G$99999,5,FALSE)</f>
        <v>LEVIN SCOTT</v>
      </c>
      <c r="M103" s="6">
        <f t="shared" si="39"/>
        <v>2.5081018517084885E-2</v>
      </c>
      <c r="N103" s="7">
        <f t="shared" si="40"/>
        <v>36.116666664602235</v>
      </c>
      <c r="O103" s="7"/>
      <c r="P103" s="7"/>
      <c r="Q103" s="22"/>
      <c r="R103" s="22"/>
      <c r="S103" s="31">
        <f t="shared" si="41"/>
        <v>1</v>
      </c>
      <c r="T103" s="46" t="str">
        <f t="shared" si="42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43"/>
        <v>https://d0f6bd738d7f1b3e5a7ca70fe4ff75f0.us-east-1.aws.found.io/app/kibana#/discover/Steve-Slow-Train-Analysis-(2080s-and-2083s)?_g=(refreshInterval:(display:Off,pause:!f,section:0,value:0),time:(from:'2017-04-02T13:53:27-0600',mode:absolute,to:'2017-04-02T16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3" s="183" t="str">
        <f t="shared" si="44"/>
        <v>N</v>
      </c>
      <c r="X103" s="183">
        <f t="shared" si="45"/>
        <v>1</v>
      </c>
      <c r="Y103" s="62">
        <f t="shared" si="46"/>
        <v>4.3799999999999999E-2</v>
      </c>
      <c r="Z103" s="62">
        <f t="shared" si="47"/>
        <v>23.336400000000001</v>
      </c>
      <c r="AA103" s="62">
        <f t="shared" si="48"/>
        <v>23.2926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49"/>
        <v>0191-02</v>
      </c>
      <c r="AE103" s="85" t="str">
        <f t="shared" si="50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103" s="82" t="str">
        <f t="shared" si="51"/>
        <v>"C:\Program Files (x86)\AstroGrep\AstroGrep.exe" /e /r /s /spath="%USERPROFILE%\AppData\Local\Temp\OnboardLogs" /stypes="app*4010*20170402*" /stext=" 21:.+((SYSTEM_STATE.+slice.+state.+changed )|(ment ac)|(multiple cpu faults)|(system.+state.+changed )|(\[timeout)|(PRM\|1\|D)|(kpr)|(kdp)|(\|lc)|(penalty))"</v>
      </c>
      <c r="AG103" s="1" t="str">
        <f t="shared" si="52"/>
        <v>EC</v>
      </c>
      <c r="AH103" s="86" t="str">
        <f t="shared" si="53"/>
        <v>"%USERPROFILE%\Documents\GitHub\eaglep3\Utilities\RefineRTDCRunTimes.py" --tripid 191-02 --locoid 4010 --swversion DE.1.0.9.0 --startMP 204:438 --initTime 2017-04-02T14:53:27 --startdatetime 2017-04-02T15:00:29 --delay 1 --endMP 204:233364 --enddatetime 2017-04-02T15:36:36 --enforcementcount 0 &gt;&gt;C:\Users\stu\Documents\GitHub\eaglep3-reporting\EC\2017-04-02-refined-times.txt</v>
      </c>
      <c r="AI103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{"issue":{"subject":"","project_id":79,"tracker_id":40,"status_id":1,"priority_id":2,"assigned_to_id":23,"start_date":"2017-04-02","description":"","custom_fields":[{"id":1,"name":"Subdivision","value":"EC"},{"id":4,"name":"Milepost","value":"23.3364"},{"id":17,"name":"Train ID","value":"191-02"},{"id":16,"name":"Locomotive ID","value":"4010"},{"id":130,"name":"Impact","value":""},{"id":150,"name":"Time of Event (Mountain Time)","value":"15:36:36"},{"id":151,"name":"Denver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55"/>
        <v>start /low /b %USERPROFILE%\Documents\GitHub\eaglep3\Utilities\DownloadLogsFromS3.py --loco 4010 --day 2017-04-02</v>
      </c>
      <c r="AN103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762</v>
      </c>
      <c r="B104" s="7">
        <v>4009</v>
      </c>
      <c r="C104" s="21" t="s">
        <v>217</v>
      </c>
      <c r="D104" s="21" t="s">
        <v>850</v>
      </c>
      <c r="E104" s="13">
        <v>42827.659386574072</v>
      </c>
      <c r="F104" s="13">
        <v>42827.664178240739</v>
      </c>
      <c r="G104" s="7">
        <v>1</v>
      </c>
      <c r="H104" s="21" t="s">
        <v>836</v>
      </c>
      <c r="I104" s="13">
        <v>42827.690254629626</v>
      </c>
      <c r="J104" s="7">
        <v>0</v>
      </c>
      <c r="K104" s="97" t="str">
        <f t="shared" si="38"/>
        <v>4009/4010</v>
      </c>
      <c r="L104" s="21" t="str">
        <f>VLOOKUP(A104,'Trips&amp;Operators'!$C$1:$G$99999,5,FALSE)</f>
        <v>LEVIN SCOTT</v>
      </c>
      <c r="M104" s="6">
        <f t="shared" si="39"/>
        <v>2.6076388887304347E-2</v>
      </c>
      <c r="N104" s="7">
        <f t="shared" si="40"/>
        <v>37.54999999771826</v>
      </c>
      <c r="O104" s="7"/>
      <c r="P104" s="7"/>
      <c r="Q104" s="22"/>
      <c r="R104" s="22"/>
      <c r="S104" s="31">
        <f t="shared" si="41"/>
        <v>1</v>
      </c>
      <c r="T104" s="46" t="str">
        <f t="shared" si="42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43"/>
        <v>https://d0f6bd738d7f1b3e5a7ca70fe4ff75f0.us-east-1.aws.found.io/app/kibana#/discover/Steve-Slow-Train-Analysis-(2080s-and-2083s)?_g=(refreshInterval:(display:Off,pause:!f,section:0,value:0),time:(from:'2017-04-02T14:49:31-0600',mode:absolute,to:'2017-04-02T17:33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183" t="str">
        <f t="shared" si="44"/>
        <v>N</v>
      </c>
      <c r="X104" s="183">
        <f t="shared" si="45"/>
        <v>1</v>
      </c>
      <c r="Y104" s="62">
        <f t="shared" si="46"/>
        <v>23.3019</v>
      </c>
      <c r="Z104" s="62">
        <f t="shared" si="47"/>
        <v>1.2699999999999999E-2</v>
      </c>
      <c r="AA104" s="62">
        <f t="shared" si="48"/>
        <v>23.289200000000001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49"/>
        <v>0192-02</v>
      </c>
      <c r="AE104" s="85" t="str">
        <f t="shared" si="50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104" s="82" t="str">
        <f t="shared" si="51"/>
        <v>"C:\Program Files (x86)\AstroGrep\AstroGrep.exe" /e /r /s /spath="%USERPROFILE%\AppData\Local\Temp\OnboardLogs" /stypes="app*4009*20170402*" /stext=" 22:.+((SYSTEM_STATE.+slice.+state.+changed )|(ment ac)|(multiple cpu faults)|(system.+state.+changed )|(\[timeout)|(PRM\|1\|D)|(kpr)|(kdp)|(\|lc)|(penalty))"</v>
      </c>
      <c r="AG104" s="1" t="str">
        <f t="shared" si="52"/>
        <v>EC</v>
      </c>
      <c r="AH104" s="86" t="str">
        <f t="shared" si="53"/>
        <v>"%USERPROFILE%\Documents\GitHub\eaglep3\Utilities\RefineRTDCRunTimes.py" --tripid 192-02 --locoid 4009 --swversion DE.1.0.9.0 --startMP 204:233019 --initTime 2017-04-02T15:49:31 --startdatetime 2017-04-02T15:56:25 --delay 1 --endMP 204:127 --enddatetime 2017-04-02T16:33:58 --enforcementcount 0 &gt;&gt;C:\Users\stu\Documents\GitHub\eaglep3-reporting\EC\2017-04-02-refined-times.txt</v>
      </c>
      <c r="AI104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{"issue":{"subject":"","project_id":79,"tracker_id":40,"status_id":1,"priority_id":2,"assigned_to_id":23,"start_date":"2017-04-02","description":"","custom_fields":[{"id":1,"name":"Subdivision","value":"EC"},{"id":4,"name":"Milepost","value":"0.0127"},{"id":17,"name":"Train ID","value":"192-02"},{"id":16,"name":"Locomotive ID","value":"4009"},{"id":130,"name":"Impact","value":""},{"id":150,"name":"Time of Event (Mountain Time)","value":"16:33:58"},{"id":151,"name":"Denver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55"/>
        <v>start /low /b %USERPROFILE%\Documents\GitHub\eaglep3\Utilities\DownloadLogsFromS3.py --loco 4009 --day 2017-04-02</v>
      </c>
      <c r="AN104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22:33:58"},{"id":29,"name":"Sharepoint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756</v>
      </c>
      <c r="B105" s="7">
        <v>4011</v>
      </c>
      <c r="C105" s="21" t="s">
        <v>217</v>
      </c>
      <c r="D105" s="21" t="s">
        <v>207</v>
      </c>
      <c r="E105" s="13">
        <v>42827.630439814813</v>
      </c>
      <c r="F105" s="13">
        <v>42827.635601851849</v>
      </c>
      <c r="G105" s="7">
        <v>1</v>
      </c>
      <c r="H105" s="21" t="s">
        <v>517</v>
      </c>
      <c r="I105" s="13">
        <v>42827.660254629627</v>
      </c>
      <c r="J105" s="7">
        <v>0</v>
      </c>
      <c r="K105" s="97" t="str">
        <f t="shared" si="38"/>
        <v>4011/4012</v>
      </c>
      <c r="L105" s="21" t="str">
        <f>VLOOKUP(A105,'Trips&amp;Operators'!$C$1:$G$99999,5,FALSE)</f>
        <v>BRUDER RICHARD</v>
      </c>
      <c r="M105" s="6">
        <f t="shared" si="39"/>
        <v>2.4652777778101154E-2</v>
      </c>
      <c r="N105" s="7">
        <f t="shared" si="40"/>
        <v>35.500000000465661</v>
      </c>
      <c r="O105" s="7"/>
      <c r="P105" s="7"/>
      <c r="Q105" s="22"/>
      <c r="R105" s="22"/>
      <c r="S105" s="31">
        <f t="shared" si="41"/>
        <v>1</v>
      </c>
      <c r="T105" s="46" t="str">
        <f t="shared" si="42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43"/>
        <v>https://d0f6bd738d7f1b3e5a7ca70fe4ff75f0.us-east-1.aws.found.io/app/kibana#/discover/Steve-Slow-Train-Analysis-(2080s-and-2083s)?_g=(refreshInterval:(display:Off,pause:!f,section:0,value:0),time:(from:'2017-04-02T14:07:50-0600',mode:absolute,to:'2017-04-02T16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183" t="str">
        <f t="shared" si="44"/>
        <v>N</v>
      </c>
      <c r="X105" s="183">
        <f t="shared" si="45"/>
        <v>1</v>
      </c>
      <c r="Y105" s="62">
        <f t="shared" si="46"/>
        <v>4.5699999999999998E-2</v>
      </c>
      <c r="Z105" s="62">
        <f t="shared" si="47"/>
        <v>23.331499999999998</v>
      </c>
      <c r="AA105" s="62">
        <f t="shared" si="48"/>
        <v>23.285799999999998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49"/>
        <v>0193-02</v>
      </c>
      <c r="AE105" s="85" t="str">
        <f t="shared" si="50"/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105" s="82" t="str">
        <f t="shared" si="51"/>
        <v>"C:\Program Files (x86)\AstroGrep\AstroGrep.exe" /e /r /s /spath="%USERPROFILE%\AppData\Local\Temp\OnboardLogs" /stypes="app*4011*20170402*" /stext=" 21:.+((SYSTEM_STATE.+slice.+state.+changed )|(ment ac)|(multiple cpu faults)|(system.+state.+changed )|(\[timeout)|(PRM\|1\|D)|(kpr)|(kdp)|(\|lc)|(penalty))"</v>
      </c>
      <c r="AG105" s="1" t="str">
        <f t="shared" si="52"/>
        <v>EC</v>
      </c>
      <c r="AH105" s="86" t="str">
        <f t="shared" si="53"/>
        <v>"%USERPROFILE%\Documents\GitHub\eaglep3\Utilities\RefineRTDCRunTimes.py" --tripid 193-02 --locoid 4011 --swversion DE.1.0.9.0 --startMP 204:457 --initTime 2017-04-02T15:07:50 --startdatetime 2017-04-02T15:15:16 --delay 1 --endMP 204:233315 --enddatetime 2017-04-02T15:50:46 --enforcementcount 0 &gt;&gt;C:\Users\stu\Documents\GitHub\eaglep3-reporting\EC\2017-04-02-refined-times.txt</v>
      </c>
      <c r="AI105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{"issue":{"subject":"","project_id":79,"tracker_id":40,"status_id":1,"priority_id":2,"assigned_to_id":23,"start_date":"2017-04-02","description":"","custom_fields":[{"id":1,"name":"Subdivision","value":"EC"},{"id":4,"name":"Milepost","value":"23.3315"},{"id":17,"name":"Train ID","value":"193-02"},{"id":16,"name":"Locomotive ID","value":"4011"},{"id":130,"name":"Impact","value":""},{"id":150,"name":"Time of Event (Mountain Time)","value":"15:50:46"},{"id":151,"name":"Denver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55"/>
        <v>start /low /b %USERPROFILE%\Documents\GitHub\eaglep3\Utilities\DownloadLogsFromS3.py --loco 4011 --day 2017-04-02</v>
      </c>
      <c r="AN105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763</v>
      </c>
      <c r="B106" s="7">
        <v>4012</v>
      </c>
      <c r="C106" s="21" t="s">
        <v>217</v>
      </c>
      <c r="D106" s="21" t="s">
        <v>867</v>
      </c>
      <c r="E106" s="13">
        <v>42827.670324074075</v>
      </c>
      <c r="F106" s="13">
        <v>42827.674502314818</v>
      </c>
      <c r="G106" s="7">
        <v>1</v>
      </c>
      <c r="H106" s="21" t="s">
        <v>213</v>
      </c>
      <c r="I106" s="13">
        <v>42827.701458333337</v>
      </c>
      <c r="J106" s="7">
        <v>0</v>
      </c>
      <c r="K106" s="97" t="str">
        <f t="shared" si="38"/>
        <v>4011/4012</v>
      </c>
      <c r="L106" s="21" t="str">
        <f>VLOOKUP(A106,'Trips&amp;Operators'!$C$1:$G$99999,5,FALSE)</f>
        <v>BRUDER RICHARD</v>
      </c>
      <c r="M106" s="6">
        <f t="shared" si="39"/>
        <v>2.6956018518831115E-2</v>
      </c>
      <c r="N106" s="7">
        <f t="shared" si="40"/>
        <v>38.816666667116806</v>
      </c>
      <c r="O106" s="7"/>
      <c r="P106" s="7"/>
      <c r="Q106" s="22"/>
      <c r="R106" s="22"/>
      <c r="S106" s="31">
        <f t="shared" si="41"/>
        <v>1</v>
      </c>
      <c r="T106" s="46" t="str">
        <f t="shared" si="42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43"/>
        <v>https://d0f6bd738d7f1b3e5a7ca70fe4ff75f0.us-east-1.aws.found.io/app/kibana#/discover/Steve-Slow-Train-Analysis-(2080s-and-2083s)?_g=(refreshInterval:(display:Off,pause:!f,section:0,value:0),time:(from:'2017-04-02T15:05:16-0600',mode:absolute,to:'2017-04-02T17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183" t="str">
        <f t="shared" si="44"/>
        <v>N</v>
      </c>
      <c r="X106" s="183">
        <f t="shared" si="45"/>
        <v>1</v>
      </c>
      <c r="Y106" s="62">
        <f t="shared" si="46"/>
        <v>23.298500000000001</v>
      </c>
      <c r="Z106" s="62">
        <f t="shared" si="47"/>
        <v>1.5599999999999999E-2</v>
      </c>
      <c r="AA106" s="62">
        <f t="shared" si="48"/>
        <v>23.282900000000001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49"/>
        <v>0194-02</v>
      </c>
      <c r="AE106" s="85" t="str">
        <f t="shared" si="50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106" s="82" t="str">
        <f t="shared" si="51"/>
        <v>"C:\Program Files (x86)\AstroGrep\AstroGrep.exe" /e /r /s /spath="%USERPROFILE%\AppData\Local\Temp\OnboardLogs" /stypes="app*4012*20170402*" /stext=" 22:.+((SYSTEM_STATE.+slice.+state.+changed )|(ment ac)|(multiple cpu faults)|(system.+state.+changed )|(\[timeout)|(PRM\|1\|D)|(kpr)|(kdp)|(\|lc)|(penalty))"</v>
      </c>
      <c r="AG106" s="1" t="str">
        <f t="shared" si="52"/>
        <v>EC</v>
      </c>
      <c r="AH106" s="86" t="str">
        <f t="shared" si="53"/>
        <v>"%USERPROFILE%\Documents\GitHub\eaglep3\Utilities\RefineRTDCRunTimes.py" --tripid 194-02 --locoid 4012 --swversion DE.1.0.9.0 --startMP 204:232985 --initTime 2017-04-02T16:05:16 --startdatetime 2017-04-02T16:11:17 --delay 1 --endMP 204:156 --enddatetime 2017-04-02T16:50:06 --enforcementcount 0 &gt;&gt;C:\Users\stu\Documents\GitHub\eaglep3-reporting\EC\2017-04-02-refined-times.txt</v>
      </c>
      <c r="AI106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{"issue":{"subject":"","project_id":79,"tracker_id":40,"status_id":1,"priority_id":2,"assigned_to_id":23,"start_date":"2017-04-02","description":"","custom_fields":[{"id":1,"name":"Subdivision","value":"EC"},{"id":4,"name":"Milepost","value":"0.0156"},{"id":17,"name":"Train ID","value":"194-02"},{"id":16,"name":"Locomotive ID","value":"4012"},{"id":130,"name":"Impact","value":""},{"id":150,"name":"Time of Event (Mountain Time)","value":"16:50:06"},{"id":151,"name":"Denver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55"/>
        <v>start /low /b %USERPROFILE%\Documents\GitHub\eaglep3\Utilities\DownloadLogsFromS3.py --loco 4012 --day 2017-04-02</v>
      </c>
      <c r="AN106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759</v>
      </c>
      <c r="B107" s="7">
        <v>4016</v>
      </c>
      <c r="C107" s="21" t="s">
        <v>217</v>
      </c>
      <c r="D107" s="21" t="s">
        <v>487</v>
      </c>
      <c r="E107" s="13">
        <v>42827.643090277779</v>
      </c>
      <c r="F107" s="13">
        <v>42827.645983796298</v>
      </c>
      <c r="G107" s="7">
        <v>1</v>
      </c>
      <c r="H107" s="21" t="s">
        <v>909</v>
      </c>
      <c r="I107" s="13">
        <v>42827.671261574076</v>
      </c>
      <c r="J107" s="7">
        <v>0</v>
      </c>
      <c r="K107" s="97" t="str">
        <f t="shared" si="38"/>
        <v>4015/4016</v>
      </c>
      <c r="L107" s="21" t="str">
        <f>VLOOKUP(A107,'Trips&amp;Operators'!$C$1:$G$99999,5,FALSE)</f>
        <v>LOCKLEAR TRAVIS</v>
      </c>
      <c r="M107" s="6">
        <f t="shared" si="39"/>
        <v>2.527777777868323E-2</v>
      </c>
      <c r="N107" s="7">
        <f t="shared" si="40"/>
        <v>36.400000001303852</v>
      </c>
      <c r="O107" s="7"/>
      <c r="P107" s="7"/>
      <c r="Q107" s="22"/>
      <c r="R107" s="22"/>
      <c r="S107" s="31">
        <f t="shared" si="41"/>
        <v>1</v>
      </c>
      <c r="T107" s="46" t="str">
        <f t="shared" si="42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43"/>
        <v>https://d0f6bd738d7f1b3e5a7ca70fe4ff75f0.us-east-1.aws.found.io/app/kibana#/discover/Steve-Slow-Train-Analysis-(2080s-and-2083s)?_g=(refreshInterval:(display:Off,pause:!f,section:0,value:0),time:(from:'2017-04-02T14:26:03-0600',mode:absolute,to:'2017-04-02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7" s="183" t="str">
        <f t="shared" si="44"/>
        <v>N</v>
      </c>
      <c r="X107" s="183">
        <f t="shared" si="45"/>
        <v>1</v>
      </c>
      <c r="Y107" s="62">
        <f t="shared" si="46"/>
        <v>4.3999999999999997E-2</v>
      </c>
      <c r="Z107" s="62">
        <f t="shared" si="47"/>
        <v>23.337</v>
      </c>
      <c r="AA107" s="62">
        <f t="shared" si="48"/>
        <v>23.292999999999999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49"/>
        <v>0195-02</v>
      </c>
      <c r="AE107" s="85" t="str">
        <f t="shared" si="50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107" s="82" t="str">
        <f t="shared" si="51"/>
        <v>"C:\Program Files (x86)\AstroGrep\AstroGrep.exe" /e /r /s /spath="%USERPROFILE%\AppData\Local\Temp\OnboardLogs" /stypes="app*4016*20170402*" /stext=" 22:.+((SYSTEM_STATE.+slice.+state.+changed )|(ment ac)|(multiple cpu faults)|(system.+state.+changed )|(\[timeout)|(PRM\|1\|D)|(kpr)|(kdp)|(\|lc)|(penalty))"</v>
      </c>
      <c r="AG107" s="1" t="str">
        <f t="shared" si="52"/>
        <v>EC</v>
      </c>
      <c r="AH107" s="86" t="str">
        <f t="shared" si="53"/>
        <v>"%USERPROFILE%\Documents\GitHub\eaglep3\Utilities\RefineRTDCRunTimes.py" --tripid 195-02 --locoid 4016 --swversion DE.1.0.9.0 --startMP 204:440 --initTime 2017-04-02T15:26:03 --startdatetime 2017-04-02T15:30:13 --delay 1 --endMP 204:233370 --enddatetime 2017-04-02T16:06:37 --enforcementcount 0 &gt;&gt;C:\Users\stu\Documents\GitHub\eaglep3-reporting\EC\2017-04-02-refined-times.txt</v>
      </c>
      <c r="AI107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{"issue":{"subject":"","project_id":79,"tracker_id":40,"status_id":1,"priority_id":2,"assigned_to_id":23,"start_date":"2017-04-02","description":"","custom_fields":[{"id":1,"name":"Subdivision","value":"EC"},{"id":4,"name":"Milepost","value":"23.337"},{"id":17,"name":"Train ID","value":"195-02"},{"id":16,"name":"Locomotive ID","value":"4016"},{"id":130,"name":"Impact","value":""},{"id":150,"name":"Time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55"/>
        <v>start /low /b %USERPROFILE%\Documents\GitHub\eaglep3\Utilities\DownloadLogsFromS3.py --loco 4016 --day 2017-04-02</v>
      </c>
      <c r="AN107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765</v>
      </c>
      <c r="B108" s="7">
        <v>4015</v>
      </c>
      <c r="C108" s="21" t="s">
        <v>217</v>
      </c>
      <c r="D108" s="21" t="s">
        <v>910</v>
      </c>
      <c r="E108" s="13">
        <v>42827.681886574072</v>
      </c>
      <c r="F108" s="13">
        <v>42827.684918981482</v>
      </c>
      <c r="G108" s="7">
        <v>1</v>
      </c>
      <c r="H108" s="21" t="s">
        <v>200</v>
      </c>
      <c r="I108" s="13">
        <v>42827.711678240739</v>
      </c>
      <c r="J108" s="7">
        <v>0</v>
      </c>
      <c r="K108" s="97" t="str">
        <f t="shared" si="38"/>
        <v>4015/4016</v>
      </c>
      <c r="L108" s="21" t="str">
        <f>VLOOKUP(A108,'Trips&amp;Operators'!$C$1:$G$99999,5,FALSE)</f>
        <v>LOCKLEAR TRAVIS</v>
      </c>
      <c r="M108" s="6">
        <f t="shared" si="39"/>
        <v>2.675925925723277E-2</v>
      </c>
      <c r="N108" s="7">
        <f t="shared" si="40"/>
        <v>38.533333330415189</v>
      </c>
      <c r="O108" s="7"/>
      <c r="P108" s="7"/>
      <c r="Q108" s="22"/>
      <c r="R108" s="22"/>
      <c r="S108" s="31">
        <f t="shared" si="41"/>
        <v>1</v>
      </c>
      <c r="T108" s="46" t="str">
        <f t="shared" si="42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43"/>
        <v>https://d0f6bd738d7f1b3e5a7ca70fe4ff75f0.us-east-1.aws.found.io/app/kibana#/discover/Steve-Slow-Train-Analysis-(2080s-and-2083s)?_g=(refreshInterval:(display:Off,pause:!f,section:0,value:0),time:(from:'2017-04-02T15:21:55-0600',mode:absolute,to:'2017-04-02T18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8" s="183" t="str">
        <f t="shared" si="44"/>
        <v>N</v>
      </c>
      <c r="X108" s="183">
        <f t="shared" si="45"/>
        <v>1</v>
      </c>
      <c r="Y108" s="62">
        <f t="shared" si="46"/>
        <v>23.304600000000001</v>
      </c>
      <c r="Z108" s="62">
        <f t="shared" si="47"/>
        <v>1.5800000000000002E-2</v>
      </c>
      <c r="AA108" s="62">
        <f t="shared" si="48"/>
        <v>23.288800000000002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49"/>
        <v>0196-02</v>
      </c>
      <c r="AE108" s="85" t="str">
        <f t="shared" si="50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108" s="82" t="str">
        <f t="shared" si="51"/>
        <v>"C:\Program Files (x86)\AstroGrep\AstroGrep.exe" /e /r /s /spath="%USERPROFILE%\AppData\Local\Temp\OnboardLogs" /stypes="app*4015*20170402*" /stext=" 23:.+((SYSTEM_STATE.+slice.+state.+changed )|(ment ac)|(multiple cpu faults)|(system.+state.+changed )|(\[timeout)|(PRM\|1\|D)|(kpr)|(kdp)|(\|lc)|(penalty))"</v>
      </c>
      <c r="AG108" s="1" t="str">
        <f t="shared" si="52"/>
        <v>EC</v>
      </c>
      <c r="AH108" s="86" t="str">
        <f t="shared" si="53"/>
        <v>"%USERPROFILE%\Documents\GitHub\eaglep3\Utilities\RefineRTDCRunTimes.py" --tripid 196-02 --locoid 4015 --swversion DE.1.0.9.0 --startMP 204:233046 --initTime 2017-04-02T16:21:55 --startdatetime 2017-04-02T16:26:17 --delay 1 --endMP 204:158 --enddatetime 2017-04-02T17:04:49 --enforcementcount 0 &gt;&gt;C:\Users\stu\Documents\GitHub\eaglep3-reporting\EC\2017-04-02-refined-times.txt</v>
      </c>
      <c r="AI108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{"issue":{"subject":"","project_id":79,"tracker_id":40,"status_id":1,"priority_id":2,"assigned_to_id":23,"start_date":"2017-04-02","description":"","custom_fields":[{"id":1,"name":"Subdivision","value":"EC"},{"id":4,"name":"Milepost","value":"0.0158"},{"id":17,"name":"Train ID","value":"196-02"},{"id":16,"name":"Locomotive ID","value":"4015"},{"id":130,"name":"Impact","value":""},{"id":150,"name":"Time of Event (Mountain Time)","value":"17:04:49"},{"id":151,"name":"Denver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55"/>
        <v>start /low /b %USERPROFILE%\Documents\GitHub\eaglep3\Utilities\DownloadLogsFromS3.py --loco 4015 --day 2017-04-02</v>
      </c>
      <c r="AN108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625</v>
      </c>
      <c r="B109" s="7">
        <v>4020</v>
      </c>
      <c r="C109" s="21" t="s">
        <v>217</v>
      </c>
      <c r="D109" s="21" t="s">
        <v>390</v>
      </c>
      <c r="E109" s="13">
        <v>42827.653287037036</v>
      </c>
      <c r="F109" s="13">
        <v>42827.65662037037</v>
      </c>
      <c r="G109" s="7">
        <v>2</v>
      </c>
      <c r="H109" s="21" t="s">
        <v>911</v>
      </c>
      <c r="I109" s="13">
        <v>42827.680706018517</v>
      </c>
      <c r="J109" s="7">
        <v>0</v>
      </c>
      <c r="K109" s="97" t="str">
        <f t="shared" ref="K109:K140" si="57">IF(ISEVEN(B109),(B109-1)&amp;"/"&amp;B109,B109&amp;"/"&amp;(B109+1))</f>
        <v>4019/4020</v>
      </c>
      <c r="L109" s="21" t="str">
        <f>VLOOKUP(A109,'Trips&amp;Operators'!$C$1:$G$99999,5,FALSE)</f>
        <v>ROMERO CHAD</v>
      </c>
      <c r="M109" s="6">
        <f t="shared" ref="M109:M140" si="58">I109-F109</f>
        <v>2.4085648146865424E-2</v>
      </c>
      <c r="N109" s="7">
        <f t="shared" ref="N109:N140" si="59">24*60*SUM($M109:$M109)</f>
        <v>34.68333333148621</v>
      </c>
      <c r="O109" s="7"/>
      <c r="P109" s="7"/>
      <c r="Q109" s="22"/>
      <c r="R109" s="22"/>
      <c r="S109" s="31">
        <f t="shared" ref="S109:S140" si="60">SUM(U109:U109)/IF(AG109="EC",12,1)</f>
        <v>1</v>
      </c>
      <c r="T109" s="46" t="str">
        <f t="shared" ref="T109:T140" si="61">IF(ISEVEN(LEFT(AD109,4)),"Southbound","NorthBound")</f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ref="V109:V140" si="62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-02T14:40:44-0600',mode:absolute,to:'2017-04-02T17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183" t="str">
        <f t="shared" ref="W109:W140" si="63">IF(AA109&lt;IF(AG109="EC",23,5.65),"Y","N")</f>
        <v>N</v>
      </c>
      <c r="X109" s="183">
        <f t="shared" ref="X109:X140" si="64">VALUE(LEFT(AD109,4))-VALUE(LEFT(AD108,4))</f>
        <v>1</v>
      </c>
      <c r="Y109" s="62">
        <f t="shared" ref="Y109:Y140" si="65">RIGHT(D109,LEN(D109)-4)/10000</f>
        <v>4.7300000000000002E-2</v>
      </c>
      <c r="Z109" s="62">
        <f t="shared" ref="Z109:Z140" si="66">RIGHT(H109,LEN(H109)-4)/10000</f>
        <v>23.337599999999998</v>
      </c>
      <c r="AA109" s="62">
        <f t="shared" ref="AA109:AA140" si="67">ABS(Z109-Y109)</f>
        <v>23.290299999999998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ref="AD109:AD140" si="68">IF(LEN(A109)=6,"0"&amp;A109,A109)</f>
        <v>0197-02</v>
      </c>
      <c r="AE109" s="85" t="str">
        <f t="shared" ref="AE109:AE140" si="69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109" s="82" t="str">
        <f t="shared" ref="AF109:AF140" si="70"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/stypes="app*4020*20170402*" /stext=" 22:.+((SYSTEM_STATE.+slice.+state.+changed )|(ment ac)|(multiple cpu faults)|(system.+state.+changed )|(\[timeout)|(PRM\|1\|D)|(kpr)|(kdp)|(\|lc)|(penalty))"</v>
      </c>
      <c r="AG109" s="1" t="str">
        <f t="shared" ref="AG109:AG140" si="71">IFERROR(IF(VALUE(LEFT(AD109,2))&lt;=2,"EC",IF(OR(VALUE(LEFT(AD109,2))=8,VALUE(LEFT(AD109,2))=18),"NW","Other")),"Other")</f>
        <v>EC</v>
      </c>
      <c r="AH109" s="86" t="str">
        <f t="shared" si="53"/>
        <v>"%USERPROFILE%\Documents\GitHub\eaglep3\Utilities\RefineRTDCRunTimes.py" --tripid 197-02 --locoid 4020 --swversion DE.1.0.9.0 --startMP 204:473 --initTime 2017-04-02T15:40:44 --startdatetime 2017-04-02T15:45:32 --delay 2 --endMP 204:233376 --enddatetime 2017-04-02T16:20:13 --enforcementcount 0 &gt;&gt;C:\Users\stu\Documents\GitHub\eaglep3-reporting\EC\2017-04-02-refined-times.txt</v>
      </c>
      <c r="AI109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{"issue":{"subject":"","project_id":79,"tracker_id":40,"status_id":1,"priority_id":2,"assigned_to_id":23,"start_date":"2017-04-02","description":"","custom_fields":[{"id":1,"name":"Subdivision","value":"EC"},{"id":4,"name":"Milepost","value":"23.3376"},{"id":17,"name":"Train ID","value":"197-02"},{"id":16,"name":"Locomotive ID","value":"4020"},{"id":130,"name":"Impact","value":""},{"id":150,"name":"Time of Event (Mountain Time)","value":"16:20:13"},{"id":151,"name":"Denver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55"/>
        <v>start /low /b %USERPROFILE%\Documents\GitHub\eaglep3\Utilities\DownloadLogsFromS3.py --loco 4020 --day 2017-04-02</v>
      </c>
      <c r="AN109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628</v>
      </c>
      <c r="B110" s="7">
        <v>4019</v>
      </c>
      <c r="C110" s="21" t="s">
        <v>217</v>
      </c>
      <c r="D110" s="21" t="s">
        <v>912</v>
      </c>
      <c r="E110" s="13">
        <v>42827.691145833334</v>
      </c>
      <c r="F110" s="13">
        <v>42827.695775462962</v>
      </c>
      <c r="G110" s="7">
        <v>2</v>
      </c>
      <c r="H110" s="21" t="s">
        <v>913</v>
      </c>
      <c r="I110" s="13">
        <v>42827.72184027778</v>
      </c>
      <c r="J110" s="7">
        <v>0</v>
      </c>
      <c r="K110" s="97" t="str">
        <f t="shared" si="57"/>
        <v>4019/4020</v>
      </c>
      <c r="L110" s="21" t="str">
        <f>VLOOKUP(A110,'Trips&amp;Operators'!$C$1:$G$99999,5,FALSE)</f>
        <v>ROMERO CHAD</v>
      </c>
      <c r="M110" s="6">
        <f t="shared" si="58"/>
        <v>2.6064814817800652E-2</v>
      </c>
      <c r="N110" s="7">
        <f t="shared" si="59"/>
        <v>37.533333337632939</v>
      </c>
      <c r="O110" s="7"/>
      <c r="P110" s="7"/>
      <c r="Q110" s="22"/>
      <c r="R110" s="22"/>
      <c r="S110" s="31">
        <f t="shared" si="60"/>
        <v>1</v>
      </c>
      <c r="T110" s="46" t="str">
        <f t="shared" si="61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62"/>
        <v>https://d0f6bd738d7f1b3e5a7ca70fe4ff75f0.us-east-1.aws.found.io/app/kibana#/discover/Steve-Slow-Train-Analysis-(2080s-and-2083s)?_g=(refreshInterval:(display:Off,pause:!f,section:0,value:0),time:(from:'2017-04-02T15:35:15-0600',mode:absolute,to:'2017-04-02T18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183" t="str">
        <f t="shared" si="63"/>
        <v>N</v>
      </c>
      <c r="X110" s="183">
        <f t="shared" si="64"/>
        <v>1</v>
      </c>
      <c r="Y110" s="62">
        <f t="shared" si="65"/>
        <v>23.307400000000001</v>
      </c>
      <c r="Z110" s="62">
        <f t="shared" si="66"/>
        <v>1.9199999999999998E-2</v>
      </c>
      <c r="AA110" s="62">
        <f t="shared" si="67"/>
        <v>23.2882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68"/>
        <v>0198-02</v>
      </c>
      <c r="AE110" s="85" t="str">
        <f t="shared" si="69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110" s="82" t="str">
        <f t="shared" si="70"/>
        <v>"C:\Program Files (x86)\AstroGrep\AstroGrep.exe" /e /r /s /spath="%USERPROFILE%\AppData\Local\Temp\OnboardLogs" /stypes="app*4019*20170402*" /stext=" 23:.+((SYSTEM_STATE.+slice.+state.+changed )|(ment ac)|(multiple cpu faults)|(system.+state.+changed )|(\[timeout)|(PRM\|1\|D)|(kpr)|(kdp)|(\|lc)|(penalty))"</v>
      </c>
      <c r="AG110" s="1" t="str">
        <f t="shared" si="71"/>
        <v>EC</v>
      </c>
      <c r="AH110" s="86" t="str">
        <f t="shared" si="53"/>
        <v>"%USERPROFILE%\Documents\GitHub\eaglep3\Utilities\RefineRTDCRunTimes.py" --tripid 198-02 --locoid 4019 --swversion DE.1.0.9.0 --startMP 204:233074 --initTime 2017-04-02T16:35:15 --startdatetime 2017-04-02T16:41:55 --delay 2 --endMP 204:192 --enddatetime 2017-04-02T17:19:27 --enforcementcount 0 &gt;&gt;C:\Users\stu\Documents\GitHub\eaglep3-reporting\EC\2017-04-02-refined-times.txt</v>
      </c>
      <c r="AI110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{"issue":{"subject":"","project_id":79,"tracker_id":40,"status_id":1,"priority_id":2,"assigned_to_id":23,"start_date":"2017-04-02","description":"","custom_fields":[{"id":1,"name":"Subdivision","value":"EC"},{"id":4,"name":"Milepost","value":"0.0192"},{"id":17,"name":"Train ID","value":"198-02"},{"id":16,"name":"Locomotive ID","value":"4019"},{"id":130,"name":"Impact","value":""},{"id":150,"name":"Time of Event (Mountain Time)","value":"17:19:27"},{"id":151,"name":"Denver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55"/>
        <v>start /low /b %USERPROFILE%\Documents\GitHub\eaglep3\Utilities\DownloadLogsFromS3.py --loco 4019 --day 2017-04-02</v>
      </c>
      <c r="AN110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624</v>
      </c>
      <c r="B111" s="7">
        <v>4002</v>
      </c>
      <c r="C111" s="21" t="s">
        <v>217</v>
      </c>
      <c r="D111" s="21" t="s">
        <v>457</v>
      </c>
      <c r="E111" s="13">
        <v>42827.665069444447</v>
      </c>
      <c r="F111" s="13">
        <v>42827.667094907411</v>
      </c>
      <c r="G111" s="7">
        <v>1</v>
      </c>
      <c r="H111" s="21" t="s">
        <v>590</v>
      </c>
      <c r="I111" s="13">
        <v>42827.693437499998</v>
      </c>
      <c r="J111" s="7">
        <v>0</v>
      </c>
      <c r="K111" s="97" t="str">
        <f t="shared" si="57"/>
        <v>4001/4002</v>
      </c>
      <c r="L111" s="21" t="str">
        <f>VLOOKUP(A111,'Trips&amp;Operators'!$C$1:$G$99999,5,FALSE)</f>
        <v>BRANDNER MELINDA</v>
      </c>
      <c r="M111" s="6">
        <f t="shared" si="58"/>
        <v>2.6342592587752733E-2</v>
      </c>
      <c r="N111" s="7">
        <f t="shared" si="59"/>
        <v>37.933333326363936</v>
      </c>
      <c r="O111" s="7"/>
      <c r="P111" s="7"/>
      <c r="Q111" s="22"/>
      <c r="R111" s="22"/>
      <c r="S111" s="31">
        <f t="shared" si="60"/>
        <v>1</v>
      </c>
      <c r="T111" s="46" t="str">
        <f t="shared" si="61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62"/>
        <v>https://d0f6bd738d7f1b3e5a7ca70fe4ff75f0.us-east-1.aws.found.io/app/kibana#/discover/Steve-Slow-Train-Analysis-(2080s-and-2083s)?_g=(refreshInterval:(display:Off,pause:!f,section:0,value:0),time:(from:'2017-04-02T14:57:42-0600',mode:absolute,to:'2017-04-02T17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183" t="str">
        <f t="shared" si="63"/>
        <v>N</v>
      </c>
      <c r="X111" s="183">
        <f t="shared" si="64"/>
        <v>1</v>
      </c>
      <c r="Y111" s="62">
        <f t="shared" si="65"/>
        <v>4.4400000000000002E-2</v>
      </c>
      <c r="Z111" s="62">
        <f t="shared" si="66"/>
        <v>23.331800000000001</v>
      </c>
      <c r="AA111" s="62">
        <f t="shared" si="67"/>
        <v>23.287400000000002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68"/>
        <v>0199-02</v>
      </c>
      <c r="AE111" s="85" t="str">
        <f t="shared" si="69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111" s="82" t="str">
        <f t="shared" si="70"/>
        <v>"C:\Program Files (x86)\AstroGrep\AstroGrep.exe" /e /r /s /spath="%USERPROFILE%\AppData\Local\Temp\OnboardLogs" /stypes="app*4002*20170402*" /stext=" 22:.+((SYSTEM_STATE.+slice.+state.+changed )|(ment ac)|(multiple cpu faults)|(system.+state.+changed )|(\[timeout)|(PRM\|1\|D)|(kpr)|(kdp)|(\|lc)|(penalty))"</v>
      </c>
      <c r="AG111" s="1" t="str">
        <f t="shared" si="71"/>
        <v>EC</v>
      </c>
      <c r="AH111" s="86" t="str">
        <f t="shared" si="53"/>
        <v>"%USERPROFILE%\Documents\GitHub\eaglep3\Utilities\RefineRTDCRunTimes.py" --tripid 199-02 --locoid 4002 --swversion DE.1.0.9.0 --startMP 204:444 --initTime 2017-04-02T15:57:42 --startdatetime 2017-04-02T16:00:37 --delay 1 --endMP 204:233318 --enddatetime 2017-04-02T16:38:33 --enforcementcount 0 &gt;&gt;C:\Users\stu\Documents\GitHub\eaglep3-reporting\EC\2017-04-02-refined-times.txt</v>
      </c>
      <c r="AI111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{"issue":{"subject":"","project_id":79,"tracker_id":40,"status_id":1,"priority_id":2,"assigned_to_id":23,"start_date":"2017-04-02","description":"","custom_fields":[{"id":1,"name":"Subdivision","value":"EC"},{"id":4,"name":"Milepost","value":"23.3318"},{"id":17,"name":"Train ID","value":"199-02"},{"id":16,"name":"Locomotive ID","value":"4002"},{"id":130,"name":"Impact","value":""},{"id":150,"name":"Time of Event (Mountain Time)","value":"16:38:33"},{"id":151,"name":"Denver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55"/>
        <v>start /low /b %USERPROFILE%\Documents\GitHub\eaglep3\Utilities\DownloadLogsFromS3.py --loco 4002 --day 2017-04-02</v>
      </c>
      <c r="AN111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770</v>
      </c>
      <c r="B112" s="7">
        <v>4001</v>
      </c>
      <c r="C112" s="21" t="s">
        <v>217</v>
      </c>
      <c r="D112" s="21" t="s">
        <v>914</v>
      </c>
      <c r="E112" s="13">
        <v>42827.703032407408</v>
      </c>
      <c r="F112" s="13">
        <v>42827.707245370373</v>
      </c>
      <c r="G112" s="7">
        <v>1</v>
      </c>
      <c r="H112" s="21" t="s">
        <v>461</v>
      </c>
      <c r="I112" s="13">
        <v>42827.734699074077</v>
      </c>
      <c r="J112" s="7">
        <v>0</v>
      </c>
      <c r="K112" s="97" t="str">
        <f t="shared" si="57"/>
        <v>4001/4002</v>
      </c>
      <c r="L112" s="21" t="str">
        <f>VLOOKUP(A112,'Trips&amp;Operators'!$C$1:$G$99999,5,FALSE)</f>
        <v>BRANDNER MELINDA</v>
      </c>
      <c r="M112" s="6">
        <f t="shared" si="58"/>
        <v>2.7453703703940846E-2</v>
      </c>
      <c r="N112" s="7">
        <f t="shared" si="59"/>
        <v>39.533333333674818</v>
      </c>
      <c r="O112" s="7"/>
      <c r="P112" s="7"/>
      <c r="Q112" s="22"/>
      <c r="R112" s="22"/>
      <c r="S112" s="31">
        <f t="shared" si="60"/>
        <v>1</v>
      </c>
      <c r="T112" s="46" t="str">
        <f t="shared" si="61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62"/>
        <v>https://d0f6bd738d7f1b3e5a7ca70fe4ff75f0.us-east-1.aws.found.io/app/kibana#/discover/Steve-Slow-Train-Analysis-(2080s-and-2083s)?_g=(refreshInterval:(display:Off,pause:!f,section:0,value:0),time:(from:'2017-04-02T15:52:22-0600',mode:absolute,to:'2017-04-02T18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183" t="str">
        <f t="shared" si="63"/>
        <v>N</v>
      </c>
      <c r="X112" s="183">
        <f t="shared" si="64"/>
        <v>1</v>
      </c>
      <c r="Y112" s="62">
        <f t="shared" si="65"/>
        <v>23.3001</v>
      </c>
      <c r="Z112" s="62">
        <f t="shared" si="66"/>
        <v>1.3599999999999999E-2</v>
      </c>
      <c r="AA112" s="62">
        <f t="shared" si="67"/>
        <v>23.2865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68"/>
        <v>0200-02</v>
      </c>
      <c r="AE112" s="85" t="str">
        <f t="shared" si="69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112" s="82" t="str">
        <f t="shared" si="70"/>
        <v>"C:\Program Files (x86)\AstroGrep\AstroGrep.exe" /e /r /s /spath="%USERPROFILE%\AppData\Local\Temp\OnboardLogs" /stypes="app*4001*20170402*" /stext=" 23:.+((SYSTEM_STATE.+slice.+state.+changed )|(ment ac)|(multiple cpu faults)|(system.+state.+changed )|(\[timeout)|(PRM\|1\|D)|(kpr)|(kdp)|(\|lc)|(penalty))"</v>
      </c>
      <c r="AG112" s="1" t="str">
        <f t="shared" si="71"/>
        <v>EC</v>
      </c>
      <c r="AH112" s="86" t="str">
        <f t="shared" si="53"/>
        <v>"%USERPROFILE%\Documents\GitHub\eaglep3\Utilities\RefineRTDCRunTimes.py" --tripid 200-02 --locoid 4001 --swversion DE.1.0.9.0 --startMP 204:233001 --initTime 2017-04-02T16:52:22 --startdatetime 2017-04-02T16:58:26 --delay 1 --endMP 204:136 --enddatetime 2017-04-02T17:37:58 --enforcementcount 0 &gt;&gt;C:\Users\stu\Documents\GitHub\eaglep3-reporting\EC\2017-04-02-refined-times.txt</v>
      </c>
      <c r="AI112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{"issue":{"subject":"","project_id":79,"tracker_id":40,"status_id":1,"priority_id":2,"assigned_to_id":23,"start_date":"2017-04-02","description":"","custom_fields":[{"id":1,"name":"Subdivision","value":"EC"},{"id":4,"name":"Milepost","value":"0.0136"},{"id":17,"name":"Train ID","value":"200-02"},{"id":16,"name":"Locomotive ID","value":"4001"},{"id":130,"name":"Impact","value":""},{"id":150,"name":"Time of Event (Mountain Time)","value":"17:37:58"},{"id":151,"name":"Denver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55"/>
        <v>start /low /b %USERPROFILE%\Documents\GitHub\eaglep3\Utilities\DownloadLogsFromS3.py --loco 4001 --day 2017-04-02</v>
      </c>
      <c r="AN112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764</v>
      </c>
      <c r="B113" s="7">
        <v>4025</v>
      </c>
      <c r="C113" s="21" t="s">
        <v>217</v>
      </c>
      <c r="D113" s="21" t="s">
        <v>390</v>
      </c>
      <c r="E113" s="13">
        <v>42827.673356481479</v>
      </c>
      <c r="F113" s="13">
        <v>42827.677314814813</v>
      </c>
      <c r="G113" s="7">
        <v>2</v>
      </c>
      <c r="H113" s="21" t="s">
        <v>511</v>
      </c>
      <c r="I113" s="13">
        <v>42827.701921296299</v>
      </c>
      <c r="J113" s="7">
        <v>0</v>
      </c>
      <c r="K113" s="97" t="str">
        <f t="shared" si="57"/>
        <v>4025/4026</v>
      </c>
      <c r="L113" s="21" t="str">
        <f>VLOOKUP(A113,'Trips&amp;Operators'!$C$1:$G$99999,5,FALSE)</f>
        <v>STEWART MICHAEL</v>
      </c>
      <c r="M113" s="6">
        <f t="shared" si="58"/>
        <v>2.4606481485534459E-2</v>
      </c>
      <c r="N113" s="7">
        <f t="shared" si="59"/>
        <v>35.433333339169621</v>
      </c>
      <c r="O113" s="7"/>
      <c r="P113" s="7"/>
      <c r="Q113" s="22"/>
      <c r="R113" s="22"/>
      <c r="S113" s="31">
        <f t="shared" si="60"/>
        <v>1</v>
      </c>
      <c r="T113" s="46" t="str">
        <f t="shared" si="61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62"/>
        <v>https://d0f6bd738d7f1b3e5a7ca70fe4ff75f0.us-east-1.aws.found.io/app/kibana#/discover/Steve-Slow-Train-Analysis-(2080s-and-2083s)?_g=(refreshInterval:(display:Off,pause:!f,section:0,value:0),time:(from:'2017-04-02T15:09:38-0600',mode:absolute,to:'2017-04-02T17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83" t="str">
        <f t="shared" si="63"/>
        <v>N</v>
      </c>
      <c r="X113" s="183">
        <f t="shared" si="64"/>
        <v>1</v>
      </c>
      <c r="Y113" s="62">
        <f t="shared" si="65"/>
        <v>4.7300000000000002E-2</v>
      </c>
      <c r="Z113" s="62">
        <f t="shared" si="66"/>
        <v>23.33</v>
      </c>
      <c r="AA113" s="62">
        <f t="shared" si="67"/>
        <v>23.282699999999998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68"/>
        <v>0201-02</v>
      </c>
      <c r="AE113" s="85" t="str">
        <f t="shared" si="69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113" s="82" t="str">
        <f t="shared" si="70"/>
        <v>"C:\Program Files (x86)\AstroGrep\AstroGrep.exe" /e /r /s /spath="%USERPROFILE%\AppData\Local\Temp\OnboardLogs" /stypes="app*4025*20170402*" /stext=" 22:.+((SYSTEM_STATE.+slice.+state.+changed )|(ment ac)|(multiple cpu faults)|(system.+state.+changed )|(\[timeout)|(PRM\|1\|D)|(kpr)|(kdp)|(\|lc)|(penalty))"</v>
      </c>
      <c r="AG113" s="1" t="str">
        <f t="shared" si="71"/>
        <v>EC</v>
      </c>
      <c r="AH113" s="86" t="str">
        <f t="shared" si="53"/>
        <v>"%USERPROFILE%\Documents\GitHub\eaglep3\Utilities\RefineRTDCRunTimes.py" --tripid 201-02 --locoid 4025 --swversion DE.1.0.9.0 --startMP 204:473 --initTime 2017-04-02T16:09:38 --startdatetime 2017-04-02T16:15:20 --delay 2 --endMP 204:233300 --enddatetime 2017-04-02T16:50:46 --enforcementcount 0 &gt;&gt;C:\Users\stu\Documents\GitHub\eaglep3-reporting\EC\2017-04-02-refined-times.txt</v>
      </c>
      <c r="AI113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{"issue":{"subject":"","project_id":79,"tracker_id":40,"status_id":1,"priority_id":2,"assigned_to_id":23,"start_date":"2017-04-02","description":"","custom_fields":[{"id":1,"name":"Subdivision","value":"EC"},{"id":4,"name":"Milepost","value":"23.33"},{"id":17,"name":"Train ID","value":"201-02"},{"id":16,"name":"Locomotive ID","value":"4025"},{"id":130,"name":"Impact","value":""},{"id":150,"name":"Time of Event (Mountain Time)","value":"16:50:46"},{"id":151,"name":"Denver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 t="shared" si="55"/>
        <v>start /low /b %USERPROFILE%\Documents\GitHub\eaglep3\Utilities\DownloadLogsFromS3.py --loco 4025 --day 2017-04-02</v>
      </c>
      <c r="AN113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772</v>
      </c>
      <c r="B114" s="7">
        <v>4026</v>
      </c>
      <c r="C114" s="21" t="s">
        <v>217</v>
      </c>
      <c r="D114" s="21" t="s">
        <v>915</v>
      </c>
      <c r="E114" s="13">
        <v>42827.712395833332</v>
      </c>
      <c r="F114" s="13">
        <v>42827.716180555559</v>
      </c>
      <c r="G114" s="7">
        <v>1</v>
      </c>
      <c r="H114" s="21" t="s">
        <v>200</v>
      </c>
      <c r="I114" s="13">
        <v>42827.743194444447</v>
      </c>
      <c r="J114" s="7">
        <v>0</v>
      </c>
      <c r="K114" s="97" t="str">
        <f t="shared" si="57"/>
        <v>4025/4026</v>
      </c>
      <c r="L114" s="21" t="str">
        <f>VLOOKUP(A114,'Trips&amp;Operators'!$C$1:$G$99999,5,FALSE)</f>
        <v>STEWART MICHAEL</v>
      </c>
      <c r="M114" s="6">
        <f t="shared" si="58"/>
        <v>2.7013888888177462E-2</v>
      </c>
      <c r="N114" s="7">
        <f t="shared" si="59"/>
        <v>38.899999998975545</v>
      </c>
      <c r="O114" s="7"/>
      <c r="P114" s="7"/>
      <c r="Q114" s="22"/>
      <c r="R114" s="22"/>
      <c r="S114" s="31">
        <f t="shared" si="60"/>
        <v>1</v>
      </c>
      <c r="T114" s="46" t="str">
        <f t="shared" si="61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62"/>
        <v>https://d0f6bd738d7f1b3e5a7ca70fe4ff75f0.us-east-1.aws.found.io/app/kibana#/discover/Steve-Slow-Train-Analysis-(2080s-and-2083s)?_g=(refreshInterval:(display:Off,pause:!f,section:0,value:0),time:(from:'2017-04-02T16:05:51-0600',mode:absolute,to:'2017-04-02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83" t="str">
        <f t="shared" si="63"/>
        <v>N</v>
      </c>
      <c r="X114" s="183">
        <f t="shared" si="64"/>
        <v>1</v>
      </c>
      <c r="Y114" s="62">
        <f t="shared" si="65"/>
        <v>23.299099999999999</v>
      </c>
      <c r="Z114" s="62">
        <f t="shared" si="66"/>
        <v>1.5800000000000002E-2</v>
      </c>
      <c r="AA114" s="62">
        <f t="shared" si="67"/>
        <v>23.283300000000001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68"/>
        <v>0202-02</v>
      </c>
      <c r="AE114" s="85" t="str">
        <f t="shared" si="69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114" s="82" t="str">
        <f t="shared" si="70"/>
        <v>"C:\Program Files (x86)\AstroGrep\AstroGrep.exe" /e /r /s /spath="%USERPROFILE%\AppData\Local\Temp\OnboardLogs" /stypes="app*4026*20170402*" /stext=" 23:.+((SYSTEM_STATE.+slice.+state.+changed )|(ment ac)|(multiple cpu faults)|(system.+state.+changed )|(\[timeout)|(PRM\|1\|D)|(kpr)|(kdp)|(\|lc)|(penalty))"</v>
      </c>
      <c r="AG114" s="1" t="str">
        <f t="shared" si="71"/>
        <v>EC</v>
      </c>
      <c r="AH114" s="86" t="str">
        <f t="shared" si="53"/>
        <v>"%USERPROFILE%\Documents\GitHub\eaglep3\Utilities\RefineRTDCRunTimes.py" --tripid 202-02 --locoid 4026 --swversion DE.1.0.9.0 --startMP 204:232991 --initTime 2017-04-02T17:05:51 --startdatetime 2017-04-02T17:11:18 --delay 1 --endMP 204:158 --enddatetime 2017-04-02T17:50:12 --enforcementcount 0 &gt;&gt;C:\Users\stu\Documents\GitHub\eaglep3-reporting\EC\2017-04-02-refined-times.txt</v>
      </c>
      <c r="AI114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{"issue":{"subject":"","project_id":79,"tracker_id":40,"status_id":1,"priority_id":2,"assigned_to_id":23,"start_date":"2017-04-02","description":"","custom_fields":[{"id":1,"name":"Subdivision","value":"EC"},{"id":4,"name":"Milepost","value":"0.0158"},{"id":17,"name":"Train ID","value":"202-02"},{"id":16,"name":"Locomotive ID","value":"4026"},{"id":130,"name":"Impact","value":""},{"id":150,"name":"Time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55"/>
        <v>start /low /b %USERPROFILE%\Documents\GitHub\eaglep3\Utilities\DownloadLogsFromS3.py --loco 4026 --day 2017-04-02</v>
      </c>
      <c r="AN114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x14ac:dyDescent="0.25">
      <c r="A115" s="33" t="s">
        <v>766</v>
      </c>
      <c r="B115" s="7">
        <v>4054</v>
      </c>
      <c r="C115" s="21" t="s">
        <v>217</v>
      </c>
      <c r="D115" s="21" t="s">
        <v>597</v>
      </c>
      <c r="E115" s="13">
        <v>42827.68414351852</v>
      </c>
      <c r="F115" s="13">
        <v>42827.687743055554</v>
      </c>
      <c r="G115" s="7">
        <v>1</v>
      </c>
      <c r="H115" s="21" t="s">
        <v>579</v>
      </c>
      <c r="I115" s="13">
        <v>42827.71570601852</v>
      </c>
      <c r="J115" s="7">
        <v>0</v>
      </c>
      <c r="K115" s="97" t="str">
        <f t="shared" si="57"/>
        <v>4053/4054</v>
      </c>
      <c r="L115" s="21" t="str">
        <f>VLOOKUP(A115,'Trips&amp;Operators'!$C$1:$G$99999,5,FALSE)</f>
        <v>DAVIS MICHAEL</v>
      </c>
      <c r="M115" s="6">
        <f t="shared" si="58"/>
        <v>2.7962962965830229E-2</v>
      </c>
      <c r="N115" s="7">
        <f t="shared" si="59"/>
        <v>40.26666667079553</v>
      </c>
      <c r="O115" s="7"/>
      <c r="P115" s="7"/>
      <c r="Q115" s="22"/>
      <c r="R115" s="22"/>
      <c r="S115" s="31">
        <f t="shared" si="60"/>
        <v>1</v>
      </c>
      <c r="T115" s="46" t="str">
        <f t="shared" si="61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62"/>
        <v>https://d0f6bd738d7f1b3e5a7ca70fe4ff75f0.us-east-1.aws.found.io/app/kibana#/discover/Steve-Slow-Train-Analysis-(2080s-and-2083s)?_g=(refreshInterval:(display:Off,pause:!f,section:0,value:0),time:(from:'2017-04-02T15:25:10-0600',mode:absolute,to:'2017-04-02T18:10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5" s="183" t="str">
        <f t="shared" si="63"/>
        <v>N</v>
      </c>
      <c r="X115" s="183">
        <f t="shared" si="64"/>
        <v>1</v>
      </c>
      <c r="Y115" s="62">
        <f t="shared" si="65"/>
        <v>4.4200000000000003E-2</v>
      </c>
      <c r="Z115" s="62">
        <f t="shared" si="66"/>
        <v>23.3324</v>
      </c>
      <c r="AA115" s="62">
        <f t="shared" si="67"/>
        <v>23.2882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68"/>
        <v>0203-02</v>
      </c>
      <c r="AE115" s="85" t="str">
        <f t="shared" si="69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115" s="82" t="str">
        <f t="shared" si="70"/>
        <v>"C:\Program Files (x86)\AstroGrep\AstroGrep.exe" /e /r /s /spath="%USERPROFILE%\AppData\Local\Temp\OnboardLogs" /stypes="app*4054*20170402*" /stext=" 23:.+((SYSTEM_STATE.+slice.+state.+changed )|(ment ac)|(multiple cpu faults)|(system.+state.+changed )|(\[timeout)|(PRM\|1\|D)|(kpr)|(kdp)|(\|lc)|(penalty))"</v>
      </c>
      <c r="AG115" s="1" t="str">
        <f t="shared" si="71"/>
        <v>EC</v>
      </c>
      <c r="AH115" s="86" t="str">
        <f t="shared" si="53"/>
        <v>"%USERPROFILE%\Documents\GitHub\eaglep3\Utilities\RefineRTDCRunTimes.py" --tripid 203-02 --locoid 4054 --swversion DE.1.0.9.0 --startMP 204:442 --initTime 2017-04-02T16:25:10 --startdatetime 2017-04-02T16:30:21 --delay 1 --endMP 204:233324 --enddatetime 2017-04-02T17:10:37 --enforcementcount 0 &gt;&gt;C:\Users\stu\Documents\GitHub\eaglep3-reporting\EC\2017-04-02-refined-times.txt</v>
      </c>
      <c r="AI115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{"issue":{"subject":"","project_id":79,"tracker_id":40,"status_id":1,"priority_id":2,"assigned_to_id":23,"start_date":"2017-04-02","description":"","custom_fields":[{"id":1,"name":"Subdivision","value":"EC"},{"id":4,"name":"Milepost","value":"23.3324"},{"id":17,"name":"Train ID","value":"203-02"},{"id":16,"name":"Locomotive ID","value":"4054"},{"id":130,"name":"Impact","value":""},{"id":150,"name":"Time of Event (Mountain Time)","value":"17:10:37"},{"id":151,"name":"Denver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20"/>
      <c r="AK115" s="48"/>
      <c r="AL115" s="48"/>
      <c r="AM115" s="150" t="str">
        <f t="shared" si="55"/>
        <v>start /low /b %USERPROFILE%\Documents\GitHub\eaglep3\Utilities\DownloadLogsFromS3.py --loco 4054 --day 2017-04-02</v>
      </c>
      <c r="AN115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23:10:37"},{"id":29,"name":"Sharepoint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6" spans="1:91" s="20" customFormat="1" x14ac:dyDescent="0.25">
      <c r="A116" s="33" t="s">
        <v>775</v>
      </c>
      <c r="B116" s="7">
        <v>4053</v>
      </c>
      <c r="C116" s="21" t="s">
        <v>217</v>
      </c>
      <c r="D116" s="21" t="s">
        <v>446</v>
      </c>
      <c r="E116" s="13">
        <v>42827.723854166667</v>
      </c>
      <c r="F116" s="13">
        <v>42827.726631944446</v>
      </c>
      <c r="G116" s="7">
        <v>1</v>
      </c>
      <c r="H116" s="21" t="s">
        <v>214</v>
      </c>
      <c r="I116" s="13">
        <v>42827.754652777781</v>
      </c>
      <c r="J116" s="7">
        <v>0</v>
      </c>
      <c r="K116" s="97" t="str">
        <f t="shared" si="57"/>
        <v>4053/4054</v>
      </c>
      <c r="L116" s="21" t="str">
        <f>VLOOKUP(A116,'Trips&amp;Operators'!$C$1:$G$99999,5,FALSE)</f>
        <v>DAVIS MICHAEL</v>
      </c>
      <c r="M116" s="6">
        <f t="shared" si="58"/>
        <v>2.8020833335176576E-2</v>
      </c>
      <c r="N116" s="7">
        <f t="shared" si="59"/>
        <v>40.350000002654269</v>
      </c>
      <c r="O116" s="7"/>
      <c r="P116" s="7"/>
      <c r="Q116" s="22"/>
      <c r="R116" s="22"/>
      <c r="S116" s="31">
        <f t="shared" si="60"/>
        <v>1</v>
      </c>
      <c r="T116" s="46" t="str">
        <f t="shared" si="61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62"/>
        <v>https://d0f6bd738d7f1b3e5a7ca70fe4ff75f0.us-east-1.aws.found.io/app/kibana#/discover/Steve-Slow-Train-Analysis-(2080s-and-2083s)?_g=(refreshInterval:(display:Off,pause:!f,section:0,value:0),time:(from:'2017-04-02T16:22:21-0600',mode:absolute,to:'2017-04-02T19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6" s="183" t="str">
        <f t="shared" si="63"/>
        <v>N</v>
      </c>
      <c r="X116" s="183">
        <f t="shared" si="64"/>
        <v>1</v>
      </c>
      <c r="Y116" s="62">
        <f t="shared" si="65"/>
        <v>23.298400000000001</v>
      </c>
      <c r="Z116" s="62">
        <f t="shared" si="66"/>
        <v>1.47E-2</v>
      </c>
      <c r="AA116" s="62">
        <f t="shared" si="67"/>
        <v>23.2837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68"/>
        <v>0204-02</v>
      </c>
      <c r="AE116" s="85" t="str">
        <f t="shared" si="69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116" s="82" t="str">
        <f t="shared" si="70"/>
        <v>"C:\Program Files (x86)\AstroGrep\AstroGrep.exe" /e /r /s /spath="%USERPROFILE%\AppData\Local\Temp\OnboardLogs" /stypes="app*4053*20170403*" /stext=" 00:.+((SYSTEM_STATE.+slice.+state.+changed )|(ment ac)|(multiple cpu faults)|(system.+state.+changed )|(\[timeout)|(PRM\|1\|D)|(kpr)|(kdp)|(\|lc)|(penalty))"</v>
      </c>
      <c r="AG116" s="1" t="str">
        <f t="shared" si="71"/>
        <v>EC</v>
      </c>
      <c r="AH116" s="86" t="str">
        <f t="shared" si="53"/>
        <v>"%USERPROFILE%\Documents\GitHub\eaglep3\Utilities\RefineRTDCRunTimes.py" --tripid 204-02 --locoid 4053 --swversion DE.1.0.9.0 --startMP 204:232984 --initTime 2017-04-02T17:22:21 --startdatetime 2017-04-02T17:26:21 --delay 1 --endMP 204:147 --enddatetime 2017-04-02T18:06:42 --enforcementcount 0 &gt;&gt;C:\Users\stu\Documents\GitHub\eaglep3-reporting\EC\2017-04-02-refined-times.txt</v>
      </c>
      <c r="AI116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{"issue":{"subject":"","project_id":79,"tracker_id":40,"status_id":1,"priority_id":2,"assigned_to_id":23,"start_date":"2017-04-02","description":"","custom_fields":[{"id":1,"name":"Subdivision","value":"EC"},{"id":4,"name":"Milepost","value":"0.0147"},{"id":17,"name":"Train ID","value":"204-02"},{"id":16,"name":"Locomotive ID","value":"4053"},{"id":130,"name":"Impact","value":""},{"id":150,"name":"Time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55"/>
        <v>start /low /b %USERPROFILE%\Documents\GitHub\eaglep3\Utilities\DownloadLogsFromS3.py --loco 4053 --day 2017-04-02</v>
      </c>
      <c r="AN116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767</v>
      </c>
      <c r="B117" s="7">
        <v>4010</v>
      </c>
      <c r="C117" s="21" t="s">
        <v>217</v>
      </c>
      <c r="D117" s="21" t="s">
        <v>916</v>
      </c>
      <c r="E117" s="13">
        <v>42827.693680555552</v>
      </c>
      <c r="F117" s="13">
        <v>42827.698113425926</v>
      </c>
      <c r="G117" s="7">
        <v>1</v>
      </c>
      <c r="H117" s="21" t="s">
        <v>917</v>
      </c>
      <c r="I117" s="13">
        <v>42827.723009259258</v>
      </c>
      <c r="J117" s="7">
        <v>0</v>
      </c>
      <c r="K117" s="97" t="str">
        <f t="shared" si="57"/>
        <v>4009/4010</v>
      </c>
      <c r="L117" s="21" t="str">
        <f>VLOOKUP(A117,'Trips&amp;Operators'!$C$1:$G$99999,5,FALSE)</f>
        <v>LEVIN SCOTT</v>
      </c>
      <c r="M117" s="6">
        <f t="shared" si="58"/>
        <v>2.4895833332266193E-2</v>
      </c>
      <c r="N117" s="7">
        <f t="shared" si="59"/>
        <v>35.849999998463318</v>
      </c>
      <c r="O117" s="7"/>
      <c r="P117" s="7"/>
      <c r="Q117" s="22"/>
      <c r="R117" s="22"/>
      <c r="S117" s="31">
        <f t="shared" si="60"/>
        <v>1</v>
      </c>
      <c r="T117" s="46" t="str">
        <f t="shared" si="61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62"/>
        <v>https://d0f6bd738d7f1b3e5a7ca70fe4ff75f0.us-east-1.aws.found.io/app/kibana#/discover/Steve-Slow-Train-Analysis-(2080s-and-2083s)?_g=(refreshInterval:(display:Off,pause:!f,section:0,value:0),time:(from:'2017-04-02T15:38:54-0600',mode:absolute,to:'2017-04-02T18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183" t="str">
        <f t="shared" si="63"/>
        <v>N</v>
      </c>
      <c r="X117" s="183">
        <f t="shared" si="64"/>
        <v>1</v>
      </c>
      <c r="Y117" s="62">
        <f t="shared" si="65"/>
        <v>4.2900000000000001E-2</v>
      </c>
      <c r="Z117" s="62">
        <f t="shared" si="66"/>
        <v>23.3385</v>
      </c>
      <c r="AA117" s="62">
        <f t="shared" si="67"/>
        <v>23.2956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68"/>
        <v>0205-02</v>
      </c>
      <c r="AE117" s="85" t="str">
        <f t="shared" si="69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117" s="82" t="str">
        <f t="shared" si="70"/>
        <v>"C:\Program Files (x86)\AstroGrep\AstroGrep.exe" /e /r /s /spath="%USERPROFILE%\AppData\Local\Temp\OnboardLogs" /stypes="app*4010*20170402*" /stext=" 23:.+((SYSTEM_STATE.+slice.+state.+changed )|(ment ac)|(multiple cpu faults)|(system.+state.+changed )|(\[timeout)|(PRM\|1\|D)|(kpr)|(kdp)|(\|lc)|(penalty))"</v>
      </c>
      <c r="AG117" s="1" t="str">
        <f t="shared" si="71"/>
        <v>EC</v>
      </c>
      <c r="AH117" s="86" t="str">
        <f t="shared" si="53"/>
        <v>"%USERPROFILE%\Documents\GitHub\eaglep3\Utilities\RefineRTDCRunTimes.py" --tripid 205-02 --locoid 4010 --swversion DE.1.0.9.0 --startMP 204:429 --initTime 2017-04-02T16:38:54 --startdatetime 2017-04-02T16:45:17 --delay 1 --endMP 204:233385 --enddatetime 2017-04-02T17:21:08 --enforcementcount 0 &gt;&gt;C:\Users\stu\Documents\GitHub\eaglep3-reporting\EC\2017-04-02-refined-times.txt</v>
      </c>
      <c r="AI117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{"issue":{"subject":"","project_id":79,"tracker_id":40,"status_id":1,"priority_id":2,"assigned_to_id":23,"start_date":"2017-04-02","description":"","custom_fields":[{"id":1,"name":"Subdivision","value":"EC"},{"id":4,"name":"Milepost","value":"23.3385"},{"id":17,"name":"Train ID","value":"205-02"},{"id":16,"name":"Locomotive ID","value":"4010"},{"id":130,"name":"Impact","value":""},{"id":150,"name":"Time of Event (Mountain Time)","value":"17:21:08"},{"id":151,"name":"Denver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55"/>
        <v>start /low /b %USERPROFILE%\Documents\GitHub\eaglep3\Utilities\DownloadLogsFromS3.py --loco 4010 --day 2017-04-02</v>
      </c>
      <c r="AN117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778</v>
      </c>
      <c r="B118" s="7">
        <v>4009</v>
      </c>
      <c r="C118" s="21" t="s">
        <v>217</v>
      </c>
      <c r="D118" s="21" t="s">
        <v>918</v>
      </c>
      <c r="E118" s="13">
        <v>42827.733634259261</v>
      </c>
      <c r="F118" s="13">
        <v>42827.737002314818</v>
      </c>
      <c r="G118" s="7">
        <v>1</v>
      </c>
      <c r="H118" s="21" t="s">
        <v>848</v>
      </c>
      <c r="I118" s="13">
        <v>42827.762928240743</v>
      </c>
      <c r="J118" s="7">
        <v>0</v>
      </c>
      <c r="K118" s="97" t="str">
        <f t="shared" si="57"/>
        <v>4009/4010</v>
      </c>
      <c r="L118" s="21" t="str">
        <f>VLOOKUP(A118,'Trips&amp;Operators'!$C$1:$G$99999,5,FALSE)</f>
        <v>LEVIN SCOTT</v>
      </c>
      <c r="M118" s="6">
        <f t="shared" si="58"/>
        <v>2.5925925925548654E-2</v>
      </c>
      <c r="N118" s="7">
        <f t="shared" si="59"/>
        <v>37.333333332790062</v>
      </c>
      <c r="O118" s="7"/>
      <c r="P118" s="7"/>
      <c r="Q118" s="22"/>
      <c r="R118" s="22"/>
      <c r="S118" s="31">
        <f t="shared" si="60"/>
        <v>1</v>
      </c>
      <c r="T118" s="46" t="str">
        <f t="shared" si="61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62"/>
        <v>https://d0f6bd738d7f1b3e5a7ca70fe4ff75f0.us-east-1.aws.found.io/app/kibana#/discover/Steve-Slow-Train-Analysis-(2080s-and-2083s)?_g=(refreshInterval:(display:Off,pause:!f,section:0,value:0),time:(from:'2017-04-02T16:36:26-0600',mode:absolute,to:'2017-04-02T19:18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183" t="str">
        <f t="shared" si="63"/>
        <v>N</v>
      </c>
      <c r="X118" s="183">
        <f t="shared" si="64"/>
        <v>1</v>
      </c>
      <c r="Y118" s="62">
        <f t="shared" si="65"/>
        <v>23.306999999999999</v>
      </c>
      <c r="Z118" s="62">
        <f t="shared" si="66"/>
        <v>1.2999999999999999E-2</v>
      </c>
      <c r="AA118" s="62">
        <f t="shared" si="67"/>
        <v>23.293999999999997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68"/>
        <v>0206-02</v>
      </c>
      <c r="AE118" s="85" t="str">
        <f t="shared" si="69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118" s="82" t="str">
        <f t="shared" si="70"/>
        <v>"C:\Program Files (x86)\AstroGrep\AstroGrep.exe" /e /r /s /spath="%USERPROFILE%\AppData\Local\Temp\OnboardLogs" /stypes="app*4009*20170403*" /stext=" 00:.+((SYSTEM_STATE.+slice.+state.+changed )|(ment ac)|(multiple cpu faults)|(system.+state.+changed )|(\[timeout)|(PRM\|1\|D)|(kpr)|(kdp)|(\|lc)|(penalty))"</v>
      </c>
      <c r="AG118" s="1" t="str">
        <f t="shared" si="71"/>
        <v>EC</v>
      </c>
      <c r="AH118" s="86" t="str">
        <f t="shared" si="53"/>
        <v>"%USERPROFILE%\Documents\GitHub\eaglep3\Utilities\RefineRTDCRunTimes.py" --tripid 206-02 --locoid 4009 --swversion DE.1.0.9.0 --startMP 204:233070 --initTime 2017-04-02T17:36:26 --startdatetime 2017-04-02T17:41:17 --delay 1 --endMP 204:130 --enddatetime 2017-04-02T18:18:37 --enforcementcount 0 &gt;&gt;C:\Users\stu\Documents\GitHub\eaglep3-reporting\EC\2017-04-02-refined-times.txt</v>
      </c>
      <c r="AI118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{"issue":{"subject":"","project_id":79,"tracker_id":40,"status_id":1,"priority_id":2,"assigned_to_id":23,"start_date":"2017-04-02","description":"","custom_fields":[{"id":1,"name":"Subdivision","value":"EC"},{"id":4,"name":"Milepost","value":"0.013"},{"id":17,"name":"Train ID","value":"206-02"},{"id":16,"name":"Locomotive ID","value":"4009"},{"id":130,"name":"Impact","value":""},{"id":150,"name":"Time of Event (Mountain Time)","value":"18:18:37"},{"id":151,"name":"Denver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55"/>
        <v>start /low /b %USERPROFILE%\Documents\GitHub\eaglep3\Utilities\DownloadLogsFromS3.py --loco 4009 --day 2017-04-02</v>
      </c>
      <c r="AN118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00:18:37"},{"id":29,"name":"Sharepoint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769</v>
      </c>
      <c r="B119" s="7">
        <v>4011</v>
      </c>
      <c r="C119" s="21" t="s">
        <v>217</v>
      </c>
      <c r="D119" s="21" t="s">
        <v>436</v>
      </c>
      <c r="E119" s="13">
        <v>42827.703344907408</v>
      </c>
      <c r="F119" s="13">
        <v>42827.708518518521</v>
      </c>
      <c r="G119" s="7">
        <v>1</v>
      </c>
      <c r="H119" s="21" t="s">
        <v>453</v>
      </c>
      <c r="I119" s="13">
        <v>42827.733715277776</v>
      </c>
      <c r="J119" s="7">
        <v>0</v>
      </c>
      <c r="K119" s="97" t="str">
        <f t="shared" si="57"/>
        <v>4011/4012</v>
      </c>
      <c r="L119" s="21" t="str">
        <f>VLOOKUP(A119,'Trips&amp;Operators'!$C$1:$G$99999,5,FALSE)</f>
        <v>BRUDER RICHARD</v>
      </c>
      <c r="M119" s="6">
        <f t="shared" si="58"/>
        <v>2.5196759255777579E-2</v>
      </c>
      <c r="N119" s="7">
        <f t="shared" si="59"/>
        <v>36.283333328319713</v>
      </c>
      <c r="O119" s="7"/>
      <c r="P119" s="7"/>
      <c r="Q119" s="22"/>
      <c r="R119" s="22"/>
      <c r="S119" s="31">
        <f t="shared" si="60"/>
        <v>1</v>
      </c>
      <c r="T119" s="46" t="str">
        <f t="shared" si="61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62"/>
        <v>https://d0f6bd738d7f1b3e5a7ca70fe4ff75f0.us-east-1.aws.found.io/app/kibana#/discover/Steve-Slow-Train-Analysis-(2080s-and-2083s)?_g=(refreshInterval:(display:Off,pause:!f,section:0,value:0),time:(from:'2017-04-02T15:52:49-0600',mode:absolute,to:'2017-04-02T18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183" t="str">
        <f t="shared" si="63"/>
        <v>N</v>
      </c>
      <c r="X119" s="183">
        <f t="shared" si="64"/>
        <v>1</v>
      </c>
      <c r="Y119" s="62">
        <f t="shared" si="65"/>
        <v>4.6399999999999997E-2</v>
      </c>
      <c r="Z119" s="62">
        <f t="shared" si="66"/>
        <v>23.329899999999999</v>
      </c>
      <c r="AA119" s="62">
        <f t="shared" si="67"/>
        <v>23.2835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68"/>
        <v>0207-02</v>
      </c>
      <c r="AE119" s="85" t="str">
        <f t="shared" si="69"/>
        <v>aws s3 cp s3://rtdc.mdm.uploadarchive.raw/RTDC4011/ "%USERPROFILE%\AppData\Local\Temp\OnboardLogs"\RTDC4011\2017-04-02 --exclude "*" --recursive --include "*20170402*" &amp; "%USERPROFILE%\Documents\GitHub\mrs-test-scripts\Headless Mode &amp; Sideloading\WalkAndUnGZ.bat" "%USERPROFILE%\AppData\Local\Temp\OnboardLogs"\RTDC4011\2017-04-02 &amp; aws s3 cp s3://rtdc.mdm.uploadarchive.raw/RTDC4011/ "%USERPROFILE%\AppData\Local\Temp\OnboardLogs"\RTDC4011\2017-04-03 --exclude "*" --recursive --include "*20170403*" &amp; "%USERPROFILE%\Documents\GitHub\mrs-test-scripts\Headless Mode &amp; Sideloading\WalkAndUnGZ.bat" "%USERPROFILE%\AppData\Local\Temp\OnboardLogs"\RTDC4011\2017-04-03</v>
      </c>
      <c r="AF119" s="82" t="str">
        <f t="shared" si="70"/>
        <v>"C:\Program Files (x86)\AstroGrep\AstroGrep.exe" /e /r /s /spath="%USERPROFILE%\AppData\Local\Temp\OnboardLogs" /stypes="app*4011*20170402*" /stext=" 23:.+((SYSTEM_STATE.+slice.+state.+changed )|(ment ac)|(multiple cpu faults)|(system.+state.+changed )|(\[timeout)|(PRM\|1\|D)|(kpr)|(kdp)|(\|lc)|(penalty))"</v>
      </c>
      <c r="AG119" s="1" t="str">
        <f t="shared" si="71"/>
        <v>EC</v>
      </c>
      <c r="AH119" s="86" t="str">
        <f t="shared" si="53"/>
        <v>"%USERPROFILE%\Documents\GitHub\eaglep3\Utilities\RefineRTDCRunTimes.py" --tripid 207-02 --locoid 4011 --swversion DE.1.0.9.0 --startMP 204:464 --initTime 2017-04-02T16:52:49 --startdatetime 2017-04-02T17:00:16 --delay 1 --endMP 204:233299 --enddatetime 2017-04-02T17:36:33 --enforcementcount 0 &gt;&gt;C:\Users\stu\Documents\GitHub\eaglep3-reporting\EC\2017-04-02-refined-times.txt</v>
      </c>
      <c r="AI119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{"issue":{"subject":"","project_id":79,"tracker_id":40,"status_id":1,"priority_id":2,"assigned_to_id":23,"start_date":"2017-04-02","description":"","custom_fields":[{"id":1,"name":"Subdivision","value":"EC"},{"id":4,"name":"Milepost","value":"23.3299"},{"id":17,"name":"Train ID","value":"207-02"},{"id":16,"name":"Locomotive ID","value":"4011"},{"id":130,"name":"Impact","value":""},{"id":150,"name":"Time of Event (Mountain Time)","value":"17:36:33"},{"id":151,"name":"Denver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55"/>
        <v>start /low /b %USERPROFILE%\Documents\GitHub\eaglep3\Utilities\DownloadLogsFromS3.py --loco 4011 --day 2017-04-02</v>
      </c>
      <c r="AN119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780</v>
      </c>
      <c r="B120" s="7">
        <v>4012</v>
      </c>
      <c r="C120" s="21" t="s">
        <v>217</v>
      </c>
      <c r="D120" s="21" t="s">
        <v>516</v>
      </c>
      <c r="E120" s="13">
        <v>42827.743171296293</v>
      </c>
      <c r="F120" s="13">
        <v>42827.747499999998</v>
      </c>
      <c r="G120" s="7">
        <v>1</v>
      </c>
      <c r="H120" s="21" t="s">
        <v>213</v>
      </c>
      <c r="I120" s="13">
        <v>42827.773969907408</v>
      </c>
      <c r="J120" s="7">
        <v>0</v>
      </c>
      <c r="K120" s="97" t="str">
        <f t="shared" si="57"/>
        <v>4011/4012</v>
      </c>
      <c r="L120" s="21" t="str">
        <f>VLOOKUP(A120,'Trips&amp;Operators'!$C$1:$G$99999,5,FALSE)</f>
        <v>BRUDER RICHARD</v>
      </c>
      <c r="M120" s="6">
        <f t="shared" si="58"/>
        <v>2.6469907410501037E-2</v>
      </c>
      <c r="N120" s="7">
        <f t="shared" si="59"/>
        <v>38.116666671121493</v>
      </c>
      <c r="O120" s="7"/>
      <c r="P120" s="7"/>
      <c r="Q120" s="22"/>
      <c r="R120" s="22"/>
      <c r="S120" s="31">
        <f t="shared" si="60"/>
        <v>1</v>
      </c>
      <c r="T120" s="46" t="str">
        <f t="shared" si="61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62"/>
        <v>https://d0f6bd738d7f1b3e5a7ca70fe4ff75f0.us-east-1.aws.found.io/app/kibana#/discover/Steve-Slow-Train-Analysis-(2080s-and-2083s)?_g=(refreshInterval:(display:Off,pause:!f,section:0,value:0),time:(from:'2017-04-02T16:50:10-0600',mode:absolute,to:'2017-04-02T19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183" t="str">
        <f t="shared" si="63"/>
        <v>N</v>
      </c>
      <c r="X120" s="183">
        <f t="shared" si="64"/>
        <v>1</v>
      </c>
      <c r="Y120" s="62">
        <f t="shared" si="65"/>
        <v>23.298999999999999</v>
      </c>
      <c r="Z120" s="62">
        <f t="shared" si="66"/>
        <v>1.5599999999999999E-2</v>
      </c>
      <c r="AA120" s="62">
        <f t="shared" si="67"/>
        <v>23.2834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68"/>
        <v>0208-02</v>
      </c>
      <c r="AE120" s="85" t="str">
        <f t="shared" si="69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120" s="82" t="str">
        <f t="shared" si="70"/>
        <v>"C:\Program Files (x86)\AstroGrep\AstroGrep.exe" /e /r /s /spath="%USERPROFILE%\AppData\Local\Temp\OnboardLogs" /stypes="app*4012*20170403*" /stext=" 00:.+((SYSTEM_STATE.+slice.+state.+changed )|(ment ac)|(multiple cpu faults)|(system.+state.+changed )|(\[timeout)|(PRM\|1\|D)|(kpr)|(kdp)|(\|lc)|(penalty))"</v>
      </c>
      <c r="AG120" s="1" t="str">
        <f t="shared" si="71"/>
        <v>EC</v>
      </c>
      <c r="AH120" s="86" t="str">
        <f t="shared" si="53"/>
        <v>"%USERPROFILE%\Documents\GitHub\eaglep3\Utilities\RefineRTDCRunTimes.py" --tripid 208-02 --locoid 4012 --swversion DE.1.0.9.0 --startMP 204:232990 --initTime 2017-04-02T17:50:10 --startdatetime 2017-04-02T17:56:24 --delay 1 --endMP 204:156 --enddatetime 2017-04-02T18:34:31 --enforcementcount 0 &gt;&gt;C:\Users\stu\Documents\GitHub\eaglep3-reporting\EC\2017-04-02-refined-times.txt</v>
      </c>
      <c r="AI120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{"issue":{"subject":"","project_id":79,"tracker_id":40,"status_id":1,"priority_id":2,"assigned_to_id":23,"start_date":"2017-04-02","description":"","custom_fields":[{"id":1,"name":"Subdivision","value":"EC"},{"id":4,"name":"Milepost","value":"0.0156"},{"id":17,"name":"Train ID","value":"208-02"},{"id":16,"name":"Locomotive ID","value":"4012"},{"id":130,"name":"Impact","value":""},{"id":150,"name":"Time of Event (Mountain Time)","value":"18:34:31"},{"id":151,"name":"Denver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55"/>
        <v>start /low /b %USERPROFILE%\Documents\GitHub\eaglep3\Utilities\DownloadLogsFromS3.py --loco 4012 --day 2017-04-02</v>
      </c>
      <c r="AN120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773</v>
      </c>
      <c r="B121" s="7">
        <v>4016</v>
      </c>
      <c r="C121" s="21" t="s">
        <v>217</v>
      </c>
      <c r="D121" s="21" t="s">
        <v>464</v>
      </c>
      <c r="E121" s="13">
        <v>42827.716168981482</v>
      </c>
      <c r="F121" s="13">
        <v>42827.718981481485</v>
      </c>
      <c r="G121" s="7">
        <v>1</v>
      </c>
      <c r="H121" s="21" t="s">
        <v>511</v>
      </c>
      <c r="I121" s="13">
        <v>42827.744131944448</v>
      </c>
      <c r="J121" s="7">
        <v>0</v>
      </c>
      <c r="K121" s="97" t="str">
        <f t="shared" si="57"/>
        <v>4015/4016</v>
      </c>
      <c r="L121" s="21" t="str">
        <f>VLOOKUP(A121,'Trips&amp;Operators'!$C$1:$G$99999,5,FALSE)</f>
        <v>CHANDLER KELVIN</v>
      </c>
      <c r="M121" s="6">
        <f t="shared" si="58"/>
        <v>2.5150462963210884E-2</v>
      </c>
      <c r="N121" s="7">
        <f t="shared" si="59"/>
        <v>36.216666667023674</v>
      </c>
      <c r="O121" s="7"/>
      <c r="P121" s="7"/>
      <c r="Q121" s="22"/>
      <c r="R121" s="22"/>
      <c r="S121" s="31">
        <f t="shared" si="60"/>
        <v>1</v>
      </c>
      <c r="T121" s="46" t="str">
        <f t="shared" si="61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62"/>
        <v>https://d0f6bd738d7f1b3e5a7ca70fe4ff75f0.us-east-1.aws.found.io/app/kibana#/discover/Steve-Slow-Train-Analysis-(2080s-and-2083s)?_g=(refreshInterval:(display:Off,pause:!f,section:0,value:0),time:(from:'2017-04-02T16:11:17-0600',mode:absolute,to:'2017-04-02T18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1" s="183" t="str">
        <f t="shared" si="63"/>
        <v>N</v>
      </c>
      <c r="X121" s="183">
        <f t="shared" si="64"/>
        <v>1</v>
      </c>
      <c r="Y121" s="62">
        <f t="shared" si="65"/>
        <v>4.6899999999999997E-2</v>
      </c>
      <c r="Z121" s="62">
        <f t="shared" si="66"/>
        <v>23.33</v>
      </c>
      <c r="AA121" s="62">
        <f t="shared" si="67"/>
        <v>23.283099999999997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68"/>
        <v>0209-02</v>
      </c>
      <c r="AE121" s="85" t="str">
        <f t="shared" si="69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121" s="82" t="str">
        <f t="shared" si="70"/>
        <v>"C:\Program Files (x86)\AstroGrep\AstroGrep.exe" /e /r /s /spath="%USERPROFILE%\AppData\Local\Temp\OnboardLogs" /stypes="app*4016*20170402*" /stext=" 23:.+((SYSTEM_STATE.+slice.+state.+changed )|(ment ac)|(multiple cpu faults)|(system.+state.+changed )|(\[timeout)|(PRM\|1\|D)|(kpr)|(kdp)|(\|lc)|(penalty))"</v>
      </c>
      <c r="AG121" s="1" t="str">
        <f t="shared" si="71"/>
        <v>EC</v>
      </c>
      <c r="AH121" s="86" t="str">
        <f t="shared" si="53"/>
        <v>"%USERPROFILE%\Documents\GitHub\eaglep3\Utilities\RefineRTDCRunTimes.py" --tripid 209-02 --locoid 4016 --swversion DE.1.0.9.0 --startMP 204:469 --initTime 2017-04-02T17:11:17 --startdatetime 2017-04-02T17:15:20 --delay 1 --endMP 204:233300 --enddatetime 2017-04-02T17:51:33 --enforcementcount 0 &gt;&gt;C:\Users\stu\Documents\GitHub\eaglep3-reporting\EC\2017-04-02-refined-times.txt</v>
      </c>
      <c r="AI121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{"issue":{"subject":"","project_id":79,"tracker_id":40,"status_id":1,"priority_id":2,"assigned_to_id":23,"start_date":"2017-04-02","description":"","custom_fields":[{"id":1,"name":"Subdivision","value":"EC"},{"id":4,"name":"Milepost","value":"23.33"},{"id":17,"name":"Train ID","value":"209-02"},{"id":16,"name":"Locomotive ID","value":"4016"},{"id":130,"name":"Impact","value":""},{"id":150,"name":"Time of Event (Mountain Time)","value":"17:51:33"},{"id":151,"name":"Denver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55"/>
        <v>start /low /b %USERPROFILE%\Documents\GitHub\eaglep3\Utilities\DownloadLogsFromS3.py --loco 4016 --day 2017-04-02</v>
      </c>
      <c r="AN121" s="159" t="str">
        <f t="shared" si="56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785</v>
      </c>
      <c r="B122" s="7">
        <v>4015</v>
      </c>
      <c r="C122" s="21" t="s">
        <v>217</v>
      </c>
      <c r="D122" s="21" t="s">
        <v>488</v>
      </c>
      <c r="E122" s="13">
        <v>42827.756354166668</v>
      </c>
      <c r="F122" s="13">
        <v>42827.757986111108</v>
      </c>
      <c r="G122" s="7">
        <v>1</v>
      </c>
      <c r="H122" s="21" t="s">
        <v>568</v>
      </c>
      <c r="I122" s="13">
        <v>42827.785925925928</v>
      </c>
      <c r="J122" s="7">
        <v>0</v>
      </c>
      <c r="K122" s="97" t="str">
        <f t="shared" si="57"/>
        <v>4015/4016</v>
      </c>
      <c r="L122" s="21" t="str">
        <f>VLOOKUP(A122,'Trips&amp;Operators'!$C$1:$G$99999,5,FALSE)</f>
        <v>CHANDLER KELVIN</v>
      </c>
      <c r="M122" s="6">
        <f t="shared" si="58"/>
        <v>2.7939814819546882E-2</v>
      </c>
      <c r="N122" s="7">
        <f t="shared" si="59"/>
        <v>40.23333334014751</v>
      </c>
      <c r="O122" s="7"/>
      <c r="P122" s="7"/>
      <c r="Q122" s="22"/>
      <c r="R122" s="22"/>
      <c r="S122" s="31">
        <f t="shared" si="60"/>
        <v>1</v>
      </c>
      <c r="T122" s="46" t="str">
        <f t="shared" si="61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62"/>
        <v>https://d0f6bd738d7f1b3e5a7ca70fe4ff75f0.us-east-1.aws.found.io/app/kibana#/discover/Steve-Slow-Train-Analysis-(2080s-and-2083s)?_g=(refreshInterval:(display:Off,pause:!f,section:0,value:0),time:(from:'2017-04-02T17:09:09-0600',mode:absolute,to:'2017-04-02T19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2" s="183" t="str">
        <f t="shared" si="63"/>
        <v>N</v>
      </c>
      <c r="X122" s="183">
        <f t="shared" si="64"/>
        <v>1</v>
      </c>
      <c r="Y122" s="62">
        <f t="shared" si="65"/>
        <v>23.297899999999998</v>
      </c>
      <c r="Z122" s="62">
        <f t="shared" si="66"/>
        <v>1.14E-2</v>
      </c>
      <c r="AA122" s="62">
        <f t="shared" si="67"/>
        <v>23.2865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68"/>
        <v>0210-02</v>
      </c>
      <c r="AE122" s="85" t="str">
        <f t="shared" si="69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122" s="82" t="str">
        <f t="shared" si="70"/>
        <v>"C:\Program Files (x86)\AstroGrep\AstroGrep.exe" /e /r /s /spath="%USERPROFILE%\AppData\Local\Temp\OnboardLogs" /stypes="app*4015*20170403*" /stext=" 00:.+((SYSTEM_STATE.+slice.+state.+changed )|(ment ac)|(multiple cpu faults)|(system.+state.+changed )|(\[timeout)|(PRM\|1\|D)|(kpr)|(kdp)|(\|lc)|(penalty))"</v>
      </c>
      <c r="AG122" s="1" t="str">
        <f t="shared" si="71"/>
        <v>EC</v>
      </c>
      <c r="AH122" s="86" t="str">
        <f t="shared" si="53"/>
        <v>"%USERPROFILE%\Documents\GitHub\eaglep3\Utilities\RefineRTDCRunTimes.py" --tripid 210-02 --locoid 4015 --swversion DE.1.0.9.0 --startMP 204:232979 --initTime 2017-04-02T18:09:09 --startdatetime 2017-04-02T18:11:30 --delay 1 --endMP 204:114 --enddatetime 2017-04-02T18:51:44 --enforcementcount 0 &gt;&gt;C:\Users\stu\Documents\GitHub\eaglep3-reporting\EC\2017-04-02-refined-times.txt</v>
      </c>
      <c r="AI122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{"issue":{"subject":"","project_id":79,"tracker_id":40,"status_id":1,"priority_id":2,"assigned_to_id":23,"start_date":"2017-04-02","description":"","custom_fields":[{"id":1,"name":"Subdivision","value":"EC"},{"id":4,"name":"Milepost","value":"0.0114"},{"id":17,"name":"Train ID","value":"210-02"},{"id":16,"name":"Locomotive ID","value":"4015"},{"id":130,"name":"Impact","value":""},{"id":150,"name":"Time of Event (Mountain Time)","value":"18:51:44"},{"id":151,"name":"Denver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55"/>
        <v>start /low /b %USERPROFILE%\Documents\GitHub\eaglep3\Utilities\DownloadLogsFromS3.py --loco 4015 --day 2017-04-02</v>
      </c>
      <c r="AN122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776</v>
      </c>
      <c r="B123" s="7">
        <v>4020</v>
      </c>
      <c r="C123" s="21" t="s">
        <v>217</v>
      </c>
      <c r="D123" s="21" t="s">
        <v>919</v>
      </c>
      <c r="E123" s="13">
        <v>42827.725277777776</v>
      </c>
      <c r="F123" s="13">
        <v>42827.729328703703</v>
      </c>
      <c r="G123" s="7">
        <v>2</v>
      </c>
      <c r="H123" s="21" t="s">
        <v>920</v>
      </c>
      <c r="I123" s="13">
        <v>42827.754791666666</v>
      </c>
      <c r="J123" s="7">
        <v>0</v>
      </c>
      <c r="K123" s="97" t="str">
        <f t="shared" si="57"/>
        <v>4019/4020</v>
      </c>
      <c r="L123" s="21" t="str">
        <f>VLOOKUP(A123,'Trips&amp;Operators'!$C$1:$G$99999,5,FALSE)</f>
        <v>LOCKLEAR TRAVIS</v>
      </c>
      <c r="M123" s="6">
        <f t="shared" si="58"/>
        <v>2.5462962963501923E-2</v>
      </c>
      <c r="N123" s="7">
        <f t="shared" si="59"/>
        <v>36.666666667442769</v>
      </c>
      <c r="O123" s="7"/>
      <c r="P123" s="7"/>
      <c r="Q123" s="22"/>
      <c r="R123" s="22"/>
      <c r="S123" s="31">
        <f t="shared" si="60"/>
        <v>1</v>
      </c>
      <c r="T123" s="46" t="str">
        <f t="shared" si="61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62"/>
        <v>https://d0f6bd738d7f1b3e5a7ca70fe4ff75f0.us-east-1.aws.found.io/app/kibana#/discover/Steve-Slow-Train-Analysis-(2080s-and-2083s)?_g=(refreshInterval:(display:Off,pause:!f,section:0,value:0),time:(from:'2017-04-02T16:24:24-0600',mode:absolute,to:'2017-04-02T19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183" t="str">
        <f t="shared" si="63"/>
        <v>N</v>
      </c>
      <c r="X123" s="183">
        <f t="shared" si="64"/>
        <v>1</v>
      </c>
      <c r="Y123" s="62">
        <f t="shared" si="65"/>
        <v>5.0200000000000002E-2</v>
      </c>
      <c r="Z123" s="62">
        <f t="shared" si="66"/>
        <v>23.3337</v>
      </c>
      <c r="AA123" s="62">
        <f t="shared" si="67"/>
        <v>23.2835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68"/>
        <v>0211-02</v>
      </c>
      <c r="AE123" s="85" t="str">
        <f t="shared" si="69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123" s="82" t="str">
        <f t="shared" si="70"/>
        <v>"C:\Program Files (x86)\AstroGrep\AstroGrep.exe" /e /r /s /spath="%USERPROFILE%\AppData\Local\Temp\OnboardLogs" /stypes="app*4020*20170403*" /stext=" 00:.+((SYSTEM_STATE.+slice.+state.+changed )|(ment ac)|(multiple cpu faults)|(system.+state.+changed )|(\[timeout)|(PRM\|1\|D)|(kpr)|(kdp)|(\|lc)|(penalty))"</v>
      </c>
      <c r="AG123" s="1" t="str">
        <f t="shared" si="71"/>
        <v>EC</v>
      </c>
      <c r="AH123" s="86" t="str">
        <f t="shared" si="53"/>
        <v>"%USERPROFILE%\Documents\GitHub\eaglep3\Utilities\RefineRTDCRunTimes.py" --tripid 211-02 --locoid 4020 --swversion DE.1.0.9.0 --startMP 204:502 --initTime 2017-04-02T17:24:24 --startdatetime 2017-04-02T17:30:14 --delay 2 --endMP 204:233337 --enddatetime 2017-04-02T18:06:54 --enforcementcount 0 &gt;&gt;C:\Users\stu\Documents\GitHub\eaglep3-reporting\EC\2017-04-02-refined-times.txt</v>
      </c>
      <c r="AI123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{"issue":{"subject":"","project_id":79,"tracker_id":40,"status_id":1,"priority_id":2,"assigned_to_id":23,"start_date":"2017-04-02","description":"","custom_fields":[{"id":1,"name":"Subdivision","value":"EC"},{"id":4,"name":"Milepost","value":"23.3337"},{"id":17,"name":"Train ID","value":"211-02"},{"id":16,"name":"Locomotive ID","value":"4020"},{"id":130,"name":"Impact","value":""},{"id":150,"name":"Time of Event (Mountain Time)","value":"18:06:54"},{"id":151,"name":"Denver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55"/>
        <v>start /low /b %USERPROFILE%\Documents\GitHub\eaglep3\Utilities\DownloadLogsFromS3.py --loco 4020 --day 2017-04-02</v>
      </c>
      <c r="AN123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788</v>
      </c>
      <c r="B124" s="7">
        <v>4019</v>
      </c>
      <c r="C124" s="21" t="s">
        <v>217</v>
      </c>
      <c r="D124" s="21" t="s">
        <v>921</v>
      </c>
      <c r="E124" s="13">
        <v>42827.765509259261</v>
      </c>
      <c r="F124" s="13">
        <v>42827.768229166664</v>
      </c>
      <c r="G124" s="7">
        <v>1</v>
      </c>
      <c r="H124" s="21" t="s">
        <v>435</v>
      </c>
      <c r="I124" s="13">
        <v>42827.795995370368</v>
      </c>
      <c r="J124" s="7">
        <v>0</v>
      </c>
      <c r="K124" s="97" t="str">
        <f t="shared" si="57"/>
        <v>4019/4020</v>
      </c>
      <c r="L124" s="21" t="str">
        <f>VLOOKUP(A124,'Trips&amp;Operators'!$C$1:$G$99999,5,FALSE)</f>
        <v>LOCKLEAR TRAVIS</v>
      </c>
      <c r="M124" s="6">
        <f t="shared" si="58"/>
        <v>2.7766203704231884E-2</v>
      </c>
      <c r="N124" s="7">
        <f t="shared" si="59"/>
        <v>39.983333334093913</v>
      </c>
      <c r="O124" s="7"/>
      <c r="P124" s="7"/>
      <c r="Q124" s="22"/>
      <c r="R124" s="22"/>
      <c r="S124" s="31">
        <f t="shared" si="60"/>
        <v>1</v>
      </c>
      <c r="T124" s="46" t="str">
        <f t="shared" si="61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62"/>
        <v>https://d0f6bd738d7f1b3e5a7ca70fe4ff75f0.us-east-1.aws.found.io/app/kibana#/discover/Steve-Slow-Train-Analysis-(2080s-and-2083s)?_g=(refreshInterval:(display:Off,pause:!f,section:0,value:0),time:(from:'2017-04-02T17:22:20-0600',mode:absolute,to:'2017-04-02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183" t="str">
        <f t="shared" si="63"/>
        <v>N</v>
      </c>
      <c r="X124" s="183">
        <f t="shared" si="64"/>
        <v>1</v>
      </c>
      <c r="Y124" s="62">
        <f t="shared" si="65"/>
        <v>23.301500000000001</v>
      </c>
      <c r="Z124" s="62">
        <f t="shared" si="66"/>
        <v>1.61E-2</v>
      </c>
      <c r="AA124" s="62">
        <f t="shared" si="67"/>
        <v>23.285399999999999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68"/>
        <v>0212-02</v>
      </c>
      <c r="AE124" s="85" t="str">
        <f t="shared" si="69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124" s="82" t="str">
        <f t="shared" si="70"/>
        <v>"C:\Program Files (x86)\AstroGrep\AstroGrep.exe" /e /r /s /spath="%USERPROFILE%\AppData\Local\Temp\OnboardLogs" /stypes="app*4019*20170403*" /stext=" 01:.+((SYSTEM_STATE.+slice.+state.+changed )|(ment ac)|(multiple cpu faults)|(system.+state.+changed )|(\[timeout)|(PRM\|1\|D)|(kpr)|(kdp)|(\|lc)|(penalty))"</v>
      </c>
      <c r="AG124" s="1" t="str">
        <f t="shared" si="71"/>
        <v>EC</v>
      </c>
      <c r="AH124" s="86" t="str">
        <f t="shared" si="53"/>
        <v>"%USERPROFILE%\Documents\GitHub\eaglep3\Utilities\RefineRTDCRunTimes.py" --tripid 212-02 --locoid 4019 --swversion DE.1.0.9.0 --startMP 204:233015 --initTime 2017-04-02T18:22:20 --startdatetime 2017-04-02T18:26:15 --delay 1 --endMP 204:161 --enddatetime 2017-04-02T19:06:14 --enforcementcount 0 &gt;&gt;C:\Users\stu\Documents\GitHub\eaglep3-reporting\EC\2017-04-02-refined-times.txt</v>
      </c>
      <c r="AI124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{"issue":{"subject":"","project_id":79,"tracker_id":40,"status_id":1,"priority_id":2,"assigned_to_id":23,"start_date":"2017-04-02","description":"","custom_fields":[{"id":1,"name":"Subdivision","value":"EC"},{"id":4,"name":"Milepost","value":"0.0161"},{"id":17,"name":"Train ID","value":"212-02"},{"id":16,"name":"Locomotive ID","value":"4019"},{"id":130,"name":"Impact","value":""},{"id":150,"name":"Time of Event (Mountain Time)","value":"19:06:14"},{"id":151,"name":"Denver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55"/>
        <v>start /low /b %USERPROFILE%\Documents\GitHub\eaglep3\Utilities\DownloadLogsFromS3.py --loco 4019 --day 2017-04-02</v>
      </c>
      <c r="AN124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779</v>
      </c>
      <c r="B125" s="7">
        <v>4002</v>
      </c>
      <c r="C125" s="21" t="s">
        <v>217</v>
      </c>
      <c r="D125" s="21" t="s">
        <v>208</v>
      </c>
      <c r="E125" s="13">
        <v>42827.736620370371</v>
      </c>
      <c r="F125" s="13">
        <v>42827.739861111113</v>
      </c>
      <c r="G125" s="7">
        <v>2</v>
      </c>
      <c r="H125" s="21" t="s">
        <v>922</v>
      </c>
      <c r="I125" s="13">
        <v>42827.764999999999</v>
      </c>
      <c r="J125" s="7">
        <v>0</v>
      </c>
      <c r="K125" s="97" t="str">
        <f t="shared" si="57"/>
        <v>4001/4002</v>
      </c>
      <c r="L125" s="21" t="str">
        <f>VLOOKUP(A125,'Trips&amp;Operators'!$C$1:$G$99999,5,FALSE)</f>
        <v>SAFIEF AEIMEN</v>
      </c>
      <c r="M125" s="6">
        <f t="shared" si="58"/>
        <v>2.5138888886431232E-2</v>
      </c>
      <c r="N125" s="7">
        <f t="shared" si="59"/>
        <v>36.199999996460974</v>
      </c>
      <c r="O125" s="7"/>
      <c r="P125" s="7"/>
      <c r="Q125" s="22"/>
      <c r="R125" s="22"/>
      <c r="S125" s="31">
        <f t="shared" si="60"/>
        <v>1</v>
      </c>
      <c r="T125" s="46" t="str">
        <f t="shared" si="61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62"/>
        <v>https://d0f6bd738d7f1b3e5a7ca70fe4ff75f0.us-east-1.aws.found.io/app/kibana#/discover/Steve-Slow-Train-Analysis-(2080s-and-2083s)?_g=(refreshInterval:(display:Off,pause:!f,section:0,value:0),time:(from:'2017-04-02T16:40:44-0600',mode:absolute,to:'2017-04-02T19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183" t="str">
        <f t="shared" si="63"/>
        <v>N</v>
      </c>
      <c r="X125" s="183">
        <f t="shared" si="64"/>
        <v>1</v>
      </c>
      <c r="Y125" s="62">
        <f t="shared" si="65"/>
        <v>4.5999999999999999E-2</v>
      </c>
      <c r="Z125" s="62">
        <f t="shared" si="66"/>
        <v>23.3306</v>
      </c>
      <c r="AA125" s="62">
        <f t="shared" si="67"/>
        <v>23.284600000000001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68"/>
        <v>0213-02</v>
      </c>
      <c r="AE125" s="85" t="str">
        <f t="shared" si="69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125" s="82" t="str">
        <f t="shared" si="70"/>
        <v>"C:\Program Files (x86)\AstroGrep\AstroGrep.exe" /e /r /s /spath="%USERPROFILE%\AppData\Local\Temp\OnboardLogs" /stypes="app*4002*20170403*" /stext=" 00:.+((SYSTEM_STATE.+slice.+state.+changed )|(ment ac)|(multiple cpu faults)|(system.+state.+changed )|(\[timeout)|(PRM\|1\|D)|(kpr)|(kdp)|(\|lc)|(penalty))"</v>
      </c>
      <c r="AG125" s="1" t="str">
        <f t="shared" si="71"/>
        <v>EC</v>
      </c>
      <c r="AH125" s="86" t="str">
        <f t="shared" si="53"/>
        <v>"%USERPROFILE%\Documents\GitHub\eaglep3\Utilities\RefineRTDCRunTimes.py" --tripid 213-02 --locoid 4002 --swversion DE.1.0.9.0 --startMP 204:460 --initTime 2017-04-02T17:40:44 --startdatetime 2017-04-02T17:45:24 --delay 2 --endMP 204:233306 --enddatetime 2017-04-02T18:21:36 --enforcementcount 0 &gt;&gt;C:\Users\stu\Documents\GitHub\eaglep3-reporting\EC\2017-04-02-refined-times.txt</v>
      </c>
      <c r="AI125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{"issue":{"subject":"","project_id":79,"tracker_id":40,"status_id":1,"priority_id":2,"assigned_to_id":23,"start_date":"2017-04-02","description":"","custom_fields":[{"id":1,"name":"Subdivision","value":"EC"},{"id":4,"name":"Milepost","value":"23.3306"},{"id":17,"name":"Train ID","value":"213-02"},{"id":16,"name":"Locomotive ID","value":"4002"},{"id":130,"name":"Impact","value":""},{"id":150,"name":"Time of Event (Mountain Time)","value":"18:21:36"},{"id":151,"name":"Denver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55"/>
        <v>start /low /b %USERPROFILE%\Documents\GitHub\eaglep3\Utilities\DownloadLogsFromS3.py --loco 4002 --day 2017-04-02</v>
      </c>
      <c r="AN125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789</v>
      </c>
      <c r="B126" s="7">
        <v>4001</v>
      </c>
      <c r="C126" s="21" t="s">
        <v>217</v>
      </c>
      <c r="D126" s="21" t="s">
        <v>426</v>
      </c>
      <c r="E126" s="13">
        <v>42827.767754629633</v>
      </c>
      <c r="F126" s="13">
        <v>42827.778807870367</v>
      </c>
      <c r="G126" s="7">
        <v>1</v>
      </c>
      <c r="H126" s="21" t="s">
        <v>214</v>
      </c>
      <c r="I126" s="13">
        <v>42827.805706018517</v>
      </c>
      <c r="J126" s="7">
        <v>0</v>
      </c>
      <c r="K126" s="97" t="str">
        <f t="shared" si="57"/>
        <v>4001/4002</v>
      </c>
      <c r="L126" s="21" t="str">
        <f>VLOOKUP(A126,'Trips&amp;Operators'!$C$1:$G$99999,5,FALSE)</f>
        <v>SAFIEF AEIMEN</v>
      </c>
      <c r="M126" s="6">
        <f t="shared" si="58"/>
        <v>2.6898148149484769E-2</v>
      </c>
      <c r="N126" s="7">
        <f t="shared" si="59"/>
        <v>38.733333335258067</v>
      </c>
      <c r="O126" s="7"/>
      <c r="P126" s="7"/>
      <c r="Q126" s="22"/>
      <c r="R126" s="22"/>
      <c r="S126" s="31">
        <f t="shared" si="60"/>
        <v>1</v>
      </c>
      <c r="T126" s="46" t="str">
        <f t="shared" si="61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62"/>
        <v>https://d0f6bd738d7f1b3e5a7ca70fe4ff75f0.us-east-1.aws.found.io/app/kibana#/discover/Steve-Slow-Train-Analysis-(2080s-and-2083s)?_g=(refreshInterval:(display:Off,pause:!f,section:0,value:0),time:(from:'2017-04-02T17:25:34-0600',mode:absolute,to:'2017-04-02T20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183" t="str">
        <f t="shared" si="63"/>
        <v>N</v>
      </c>
      <c r="X126" s="183">
        <f t="shared" si="64"/>
        <v>1</v>
      </c>
      <c r="Y126" s="62">
        <f t="shared" si="65"/>
        <v>23.299600000000002</v>
      </c>
      <c r="Z126" s="62">
        <f t="shared" si="66"/>
        <v>1.47E-2</v>
      </c>
      <c r="AA126" s="62">
        <f t="shared" si="67"/>
        <v>23.2849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68"/>
        <v>0214-02</v>
      </c>
      <c r="AE126" s="85" t="str">
        <f t="shared" si="69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126" s="82" t="str">
        <f t="shared" si="70"/>
        <v>"C:\Program Files (x86)\AstroGrep\AstroGrep.exe" /e /r /s /spath="%USERPROFILE%\AppData\Local\Temp\OnboardLogs" /stypes="app*4001*20170403*" /stext=" 01:.+((SYSTEM_STATE.+slice.+state.+changed )|(ment ac)|(multiple cpu faults)|(system.+state.+changed )|(\[timeout)|(PRM\|1\|D)|(kpr)|(kdp)|(\|lc)|(penalty))"</v>
      </c>
      <c r="AG126" s="1" t="str">
        <f t="shared" si="71"/>
        <v>EC</v>
      </c>
      <c r="AH126" s="86" t="str">
        <f t="shared" si="53"/>
        <v>"%USERPROFILE%\Documents\GitHub\eaglep3\Utilities\RefineRTDCRunTimes.py" --tripid 214-02 --locoid 4001 --swversion DE.1.0.9.0 --startMP 204:232996 --initTime 2017-04-02T18:25:34 --startdatetime 2017-04-02T18:41:29 --delay 1 --endMP 204:147 --enddatetime 2017-04-02T19:20:13 --enforcementcount 0 &gt;&gt;C:\Users\stu\Documents\GitHub\eaglep3-reporting\EC\2017-04-02-refined-times.txt</v>
      </c>
      <c r="AI126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{"issue":{"subject":"","project_id":79,"tracker_id":40,"status_id":1,"priority_id":2,"assigned_to_id":23,"start_date":"2017-04-02","description":"","custom_fields":[{"id":1,"name":"Subdivision","value":"EC"},{"id":4,"name":"Milepost","value":"0.0147"},{"id":17,"name":"Train ID","value":"214-02"},{"id":16,"name":"Locomotive ID","value":"4001"},{"id":130,"name":"Impact","value":""},{"id":150,"name":"Time of Event (Mountain Time)","value":"19:20:13"},{"id":151,"name":"Denver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55"/>
        <v>start /low /b %USERPROFILE%\Documents\GitHub\eaglep3\Utilities\DownloadLogsFromS3.py --loco 4001 --day 2017-04-02</v>
      </c>
      <c r="AN126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781</v>
      </c>
      <c r="B127" s="7">
        <v>4025</v>
      </c>
      <c r="C127" s="21" t="s">
        <v>217</v>
      </c>
      <c r="D127" s="21" t="s">
        <v>851</v>
      </c>
      <c r="E127" s="13">
        <v>42827.74527777778</v>
      </c>
      <c r="F127" s="13">
        <v>42827.750219907408</v>
      </c>
      <c r="G127" s="7">
        <v>2</v>
      </c>
      <c r="H127" s="21" t="s">
        <v>466</v>
      </c>
      <c r="I127" s="13">
        <v>42827.777685185189</v>
      </c>
      <c r="J127" s="7">
        <v>0</v>
      </c>
      <c r="K127" s="97" t="str">
        <f t="shared" si="57"/>
        <v>4025/4026</v>
      </c>
      <c r="L127" s="21" t="str">
        <f>VLOOKUP(A127,'Trips&amp;Operators'!$C$1:$G$99999,5,FALSE)</f>
        <v>BRANDNER MELINDA</v>
      </c>
      <c r="M127" s="6">
        <f t="shared" si="58"/>
        <v>2.7465277780720498E-2</v>
      </c>
      <c r="N127" s="7">
        <f t="shared" si="59"/>
        <v>39.550000004237518</v>
      </c>
      <c r="O127" s="7"/>
      <c r="P127" s="7"/>
      <c r="Q127" s="22"/>
      <c r="R127" s="22"/>
      <c r="S127" s="31">
        <f t="shared" si="60"/>
        <v>1</v>
      </c>
      <c r="T127" s="46" t="str">
        <f t="shared" si="61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62"/>
        <v>https://d0f6bd738d7f1b3e5a7ca70fe4ff75f0.us-east-1.aws.found.io/app/kibana#/discover/Steve-Slow-Train-Analysis-(2080s-and-2083s)?_g=(refreshInterval:(display:Off,pause:!f,section:0,value:0),time:(from:'2017-04-02T16:53:12-0600',mode:absolute,to:'2017-04-02T19:39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83" t="str">
        <f t="shared" si="63"/>
        <v>N</v>
      </c>
      <c r="X127" s="183">
        <f t="shared" si="64"/>
        <v>1</v>
      </c>
      <c r="Y127" s="62">
        <f t="shared" si="65"/>
        <v>4.58E-2</v>
      </c>
      <c r="Z127" s="62">
        <f t="shared" si="66"/>
        <v>23.330300000000001</v>
      </c>
      <c r="AA127" s="62">
        <f t="shared" si="67"/>
        <v>23.284500000000001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68"/>
        <v>0215-02</v>
      </c>
      <c r="AE127" s="85" t="str">
        <f t="shared" si="69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127" s="82" t="str">
        <f t="shared" si="70"/>
        <v>"C:\Program Files (x86)\AstroGrep\AstroGrep.exe" /e /r /s /spath="%USERPROFILE%\AppData\Local\Temp\OnboardLogs" /stypes="app*4025*20170403*" /stext=" 00:.+((SYSTEM_STATE.+slice.+state.+changed )|(ment ac)|(multiple cpu faults)|(system.+state.+changed )|(\[timeout)|(PRM\|1\|D)|(kpr)|(kdp)|(\|lc)|(penalty))"</v>
      </c>
      <c r="AG127" s="1" t="str">
        <f t="shared" si="71"/>
        <v>EC</v>
      </c>
      <c r="AH127" s="86" t="str">
        <f t="shared" si="53"/>
        <v>"%USERPROFILE%\Documents\GitHub\eaglep3\Utilities\RefineRTDCRunTimes.py" --tripid 215-02 --locoid 4025 --swversion DE.1.0.9.0 --startMP 204:458 --initTime 2017-04-02T17:53:12 --startdatetime 2017-04-02T18:00:19 --delay 2 --endMP 204:233303 --enddatetime 2017-04-02T18:39:52 --enforcementcount 0 &gt;&gt;C:\Users\stu\Documents\GitHub\eaglep3-reporting\EC\2017-04-02-refined-times.txt</v>
      </c>
      <c r="AI127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{"issue":{"subject":"","project_id":79,"tracker_id":40,"status_id":1,"priority_id":2,"assigned_to_id":23,"start_date":"2017-04-02","description":"","custom_fields":[{"id":1,"name":"Subdivision","value":"EC"},{"id":4,"name":"Milepost","value":"23.3303"},{"id":17,"name":"Train ID","value":"215-02"},{"id":16,"name":"Locomotive ID","value":"4025"},{"id":130,"name":"Impact","value":""},{"id":150,"name":"Time of Event (Mountain Time)","value":"18:39:52"},{"id":151,"name":"Denver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55"/>
        <v>start /low /b %USERPROFILE%\Documents\GitHub\eaglep3\Utilities\DownloadLogsFromS3.py --loco 4025 --day 2017-04-02</v>
      </c>
      <c r="AN127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00:39:52"},{"id":29,"name":"Sharepoint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631</v>
      </c>
      <c r="B128" s="7">
        <v>4026</v>
      </c>
      <c r="C128" s="21" t="s">
        <v>217</v>
      </c>
      <c r="D128" s="21" t="s">
        <v>476</v>
      </c>
      <c r="E128" s="13">
        <v>42827.784780092596</v>
      </c>
      <c r="F128" s="13">
        <v>42827.7891087963</v>
      </c>
      <c r="G128" s="7">
        <v>1</v>
      </c>
      <c r="H128" s="21" t="s">
        <v>213</v>
      </c>
      <c r="I128" s="13">
        <v>42827.816678240742</v>
      </c>
      <c r="J128" s="7">
        <v>0</v>
      </c>
      <c r="K128" s="97" t="str">
        <f t="shared" si="57"/>
        <v>4025/4026</v>
      </c>
      <c r="L128" s="21" t="str">
        <f>VLOOKUP(A128,'Trips&amp;Operators'!$C$1:$G$99999,5,FALSE)</f>
        <v>BRANDNER MELINDA</v>
      </c>
      <c r="M128" s="6">
        <f t="shared" si="58"/>
        <v>2.7569444442633539E-2</v>
      </c>
      <c r="N128" s="7">
        <f t="shared" si="59"/>
        <v>39.699999997392297</v>
      </c>
      <c r="O128" s="7"/>
      <c r="P128" s="7"/>
      <c r="Q128" s="22"/>
      <c r="R128" s="22"/>
      <c r="S128" s="31">
        <f t="shared" si="60"/>
        <v>1</v>
      </c>
      <c r="T128" s="46" t="str">
        <f t="shared" si="61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62"/>
        <v>https://d0f6bd738d7f1b3e5a7ca70fe4ff75f0.us-east-1.aws.found.io/app/kibana#/discover/Steve-Slow-Train-Analysis-(2080s-and-2083s)?_g=(refreshInterval:(display:Off,pause:!f,section:0,value:0),time:(from:'2017-04-02T17:50:05-0600',mode:absolute,to:'2017-04-02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183" t="str">
        <f t="shared" si="63"/>
        <v>N</v>
      </c>
      <c r="X128" s="183">
        <f t="shared" si="64"/>
        <v>1</v>
      </c>
      <c r="Y128" s="62">
        <f t="shared" si="65"/>
        <v>23.2973</v>
      </c>
      <c r="Z128" s="62">
        <f t="shared" si="66"/>
        <v>1.5599999999999999E-2</v>
      </c>
      <c r="AA128" s="62">
        <f t="shared" si="67"/>
        <v>23.281700000000001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68"/>
        <v>0216-02</v>
      </c>
      <c r="AE128" s="85" t="str">
        <f t="shared" si="69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128" s="82" t="str">
        <f t="shared" si="70"/>
        <v>"C:\Program Files (x86)\AstroGrep\AstroGrep.exe" /e /r /s /spath="%USERPROFILE%\AppData\Local\Temp\OnboardLogs" /stypes="app*4026*20170403*" /stext=" 01:.+((SYSTEM_STATE.+slice.+state.+changed )|(ment ac)|(multiple cpu faults)|(system.+state.+changed )|(\[timeout)|(PRM\|1\|D)|(kpr)|(kdp)|(\|lc)|(penalty))"</v>
      </c>
      <c r="AG128" s="1" t="str">
        <f t="shared" si="71"/>
        <v>EC</v>
      </c>
      <c r="AH128" s="86" t="str">
        <f t="shared" si="53"/>
        <v>"%USERPROFILE%\Documents\GitHub\eaglep3\Utilities\RefineRTDCRunTimes.py" --tripid 216-02 --locoid 4026 --swversion DE.1.0.9.0 --startMP 204:232973 --initTime 2017-04-02T18:50:05 --startdatetime 2017-04-02T18:56:19 --delay 1 --endMP 204:156 --enddatetime 2017-04-02T19:36:01 --enforcementcount 0 &gt;&gt;C:\Users\stu\Documents\GitHub\eaglep3-reporting\EC\2017-04-02-refined-times.txt</v>
      </c>
      <c r="AI128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{"issue":{"subject":"","project_id":79,"tracker_id":40,"status_id":1,"priority_id":2,"assigned_to_id":23,"start_date":"2017-04-02","description":"","custom_fields":[{"id":1,"name":"Subdivision","value":"EC"},{"id":4,"name":"Milepost","value":"0.0156"},{"id":17,"name":"Train ID","value":"216-02"},{"id":16,"name":"Locomotive ID","value":"4026"},{"id":130,"name":"Impact","value":""},{"id":150,"name":"Time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55"/>
        <v>start /low /b %USERPROFILE%\Documents\GitHub\eaglep3\Utilities\DownloadLogsFromS3.py --loco 4026 --day 2017-04-02</v>
      </c>
      <c r="AN128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786</v>
      </c>
      <c r="B129" s="7">
        <v>4054</v>
      </c>
      <c r="C129" s="21" t="s">
        <v>217</v>
      </c>
      <c r="D129" s="21" t="s">
        <v>597</v>
      </c>
      <c r="E129" s="13">
        <v>42827.7575462963</v>
      </c>
      <c r="F129" s="13">
        <v>42827.760717592595</v>
      </c>
      <c r="G129" s="7">
        <v>1</v>
      </c>
      <c r="H129" s="21" t="s">
        <v>573</v>
      </c>
      <c r="I129" s="13">
        <v>42827.785543981481</v>
      </c>
      <c r="J129" s="7">
        <v>0</v>
      </c>
      <c r="K129" s="97" t="str">
        <f t="shared" si="57"/>
        <v>4053/4054</v>
      </c>
      <c r="L129" s="21" t="str">
        <f>VLOOKUP(A129,'Trips&amp;Operators'!$C$1:$G$99999,5,FALSE)</f>
        <v>SMITH MICHAEL</v>
      </c>
      <c r="M129" s="6">
        <f t="shared" si="58"/>
        <v>2.4826388886140194E-2</v>
      </c>
      <c r="N129" s="7">
        <f t="shared" si="59"/>
        <v>35.749999996041879</v>
      </c>
      <c r="O129" s="7"/>
      <c r="P129" s="7"/>
      <c r="Q129" s="22"/>
      <c r="R129" s="22"/>
      <c r="S129" s="31">
        <f t="shared" si="60"/>
        <v>1</v>
      </c>
      <c r="T129" s="46" t="str">
        <f t="shared" si="61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62"/>
        <v>https://d0f6bd738d7f1b3e5a7ca70fe4ff75f0.us-east-1.aws.found.io/app/kibana#/discover/Steve-Slow-Train-Analysis-(2080s-and-2083s)?_g=(refreshInterval:(display:Off,pause:!f,section:0,value:0),time:(from:'2017-04-02T17:10:52-0600',mode:absolute,to:'2017-04-02T19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9" s="183" t="str">
        <f t="shared" si="63"/>
        <v>N</v>
      </c>
      <c r="X129" s="183">
        <f t="shared" si="64"/>
        <v>1</v>
      </c>
      <c r="Y129" s="62">
        <f t="shared" si="65"/>
        <v>4.4200000000000003E-2</v>
      </c>
      <c r="Z129" s="62">
        <f t="shared" si="66"/>
        <v>23.3291</v>
      </c>
      <c r="AA129" s="62">
        <f t="shared" si="67"/>
        <v>23.2849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68"/>
        <v>0217-02</v>
      </c>
      <c r="AE129" s="85" t="str">
        <f t="shared" si="69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129" s="82" t="str">
        <f t="shared" si="70"/>
        <v>"C:\Program Files (x86)\AstroGrep\AstroGrep.exe" /e /r /s /spath="%USERPROFILE%\AppData\Local\Temp\OnboardLogs" /stypes="app*4054*20170403*" /stext=" 00:.+((SYSTEM_STATE.+slice.+state.+changed )|(ment ac)|(multiple cpu faults)|(system.+state.+changed )|(\[timeout)|(PRM\|1\|D)|(kpr)|(kdp)|(\|lc)|(penalty))"</v>
      </c>
      <c r="AG129" s="1" t="str">
        <f t="shared" si="71"/>
        <v>EC</v>
      </c>
      <c r="AH129" s="86" t="str">
        <f t="shared" si="53"/>
        <v>"%USERPROFILE%\Documents\GitHub\eaglep3\Utilities\RefineRTDCRunTimes.py" --tripid 217-02 --locoid 4054 --swversion DE.1.0.9.0 --startMP 204:442 --initTime 2017-04-02T18:10:52 --startdatetime 2017-04-02T18:15:26 --delay 1 --endMP 204:233291 --enddatetime 2017-04-02T18:51:11 --enforcementcount 0 &gt;&gt;C:\Users\stu\Documents\GitHub\eaglep3-reporting\EC\2017-04-02-refined-times.txt</v>
      </c>
      <c r="AI129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{"issue":{"subject":"","project_id":79,"tracker_id":40,"status_id":1,"priority_id":2,"assigned_to_id":23,"start_date":"2017-04-02","description":"","custom_fields":[{"id":1,"name":"Subdivision","value":"EC"},{"id":4,"name":"Milepost","value":"23.3291"},{"id":17,"name":"Train ID","value":"217-02"},{"id":16,"name":"Locomotive ID","value":"4054"},{"id":130,"name":"Impact","value":""},{"id":150,"name":"Time of Event (Mountain Time)","value":"18:51:11"},{"id":151,"name":"Denver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55"/>
        <v>start /low /b %USERPROFILE%\Documents\GitHub\eaglep3\Utilities\DownloadLogsFromS3.py --loco 4054 --day 2017-04-02</v>
      </c>
      <c r="AN129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793</v>
      </c>
      <c r="B130" s="7">
        <v>4053</v>
      </c>
      <c r="C130" s="21" t="s">
        <v>217</v>
      </c>
      <c r="D130" s="21" t="s">
        <v>441</v>
      </c>
      <c r="E130" s="13">
        <v>42827.790752314817</v>
      </c>
      <c r="F130" s="13">
        <v>42827.799490740741</v>
      </c>
      <c r="G130" s="7">
        <v>1</v>
      </c>
      <c r="H130" s="21" t="s">
        <v>461</v>
      </c>
      <c r="I130" s="13">
        <v>42827.826840277776</v>
      </c>
      <c r="J130" s="7">
        <v>0</v>
      </c>
      <c r="K130" s="97" t="str">
        <f t="shared" si="57"/>
        <v>4053/4054</v>
      </c>
      <c r="L130" s="21" t="str">
        <f>VLOOKUP(A130,'Trips&amp;Operators'!$C$1:$G$99999,5,FALSE)</f>
        <v>SMITH MICHAEL</v>
      </c>
      <c r="M130" s="6">
        <f t="shared" si="58"/>
        <v>2.7349537034751847E-2</v>
      </c>
      <c r="N130" s="7">
        <f t="shared" si="59"/>
        <v>39.38333333004266</v>
      </c>
      <c r="O130" s="7"/>
      <c r="P130" s="7"/>
      <c r="Q130" s="22"/>
      <c r="R130" s="22"/>
      <c r="S130" s="31">
        <f t="shared" si="60"/>
        <v>1</v>
      </c>
      <c r="T130" s="46" t="str">
        <f t="shared" si="61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62"/>
        <v>https://d0f6bd738d7f1b3e5a7ca70fe4ff75f0.us-east-1.aws.found.io/app/kibana#/discover/Steve-Slow-Train-Analysis-(2080s-and-2083s)?_g=(refreshInterval:(display:Off,pause:!f,section:0,value:0),time:(from:'2017-04-02T17:58:41-0600',mode:absolute,to:'2017-04-02T20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0" s="183" t="str">
        <f t="shared" si="63"/>
        <v>N</v>
      </c>
      <c r="X130" s="183">
        <f t="shared" si="64"/>
        <v>1</v>
      </c>
      <c r="Y130" s="62">
        <f t="shared" si="65"/>
        <v>23.299399999999999</v>
      </c>
      <c r="Z130" s="62">
        <f t="shared" si="66"/>
        <v>1.3599999999999999E-2</v>
      </c>
      <c r="AA130" s="62">
        <f t="shared" si="67"/>
        <v>23.285799999999998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68"/>
        <v>0218-02</v>
      </c>
      <c r="AE130" s="85" t="str">
        <f t="shared" si="69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130" s="82" t="str">
        <f t="shared" si="70"/>
        <v>"C:\Program Files (x86)\AstroGrep\AstroGrep.exe" /e /r /s /spath="%USERPROFILE%\AppData\Local\Temp\OnboardLogs" /stypes="app*4053*20170403*" /stext=" 01:.+((SYSTEM_STATE.+slice.+state.+changed )|(ment ac)|(multiple cpu faults)|(system.+state.+changed )|(\[timeout)|(PRM\|1\|D)|(kpr)|(kdp)|(\|lc)|(penalty))"</v>
      </c>
      <c r="AG130" s="1" t="str">
        <f t="shared" si="71"/>
        <v>EC</v>
      </c>
      <c r="AH130" s="86" t="str">
        <f t="shared" si="53"/>
        <v>"%USERPROFILE%\Documents\GitHub\eaglep3\Utilities\RefineRTDCRunTimes.py" --tripid 218-02 --locoid 4053 --swversion DE.1.0.9.0 --startMP 204:232994 --initTime 2017-04-02T18:58:41 --startdatetime 2017-04-02T19:11:16 --delay 1 --endMP 204:136 --enddatetime 2017-04-02T19:50:39 --enforcementcount 0 &gt;&gt;C:\Users\stu\Documents\GitHub\eaglep3-reporting\EC\2017-04-02-refined-times.txt</v>
      </c>
      <c r="AI130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{"issue":{"subject":"","project_id":79,"tracker_id":40,"status_id":1,"priority_id":2,"assigned_to_id":23,"start_date":"2017-04-02","description":"","custom_fields":[{"id":1,"name":"Subdivision","value":"EC"},{"id":4,"name":"Milepost","value":"0.0136"},{"id":17,"name":"Train ID","value":"218-02"},{"id":16,"name":"Locomotive ID","value":"4053"},{"id":130,"name":"Impact","value":""},{"id":150,"name":"Time of Event (Mountain Time)","value":"19:50:39"},{"id":151,"name":"Denver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55"/>
        <v>start /low /b %USERPROFILE%\Documents\GitHub\eaglep3\Utilities\DownloadLogsFromS3.py --loco 4053 --day 2017-04-02</v>
      </c>
      <c r="AN130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629</v>
      </c>
      <c r="B131" s="7">
        <v>4010</v>
      </c>
      <c r="C131" s="21" t="s">
        <v>217</v>
      </c>
      <c r="D131" s="21" t="s">
        <v>487</v>
      </c>
      <c r="E131" s="13">
        <v>42827.765277777777</v>
      </c>
      <c r="F131" s="13">
        <v>42827.771585648145</v>
      </c>
      <c r="G131" s="7">
        <v>1</v>
      </c>
      <c r="H131" s="21" t="s">
        <v>923</v>
      </c>
      <c r="I131" s="13">
        <v>42827.796261574076</v>
      </c>
      <c r="J131" s="7">
        <v>0</v>
      </c>
      <c r="K131" s="97" t="str">
        <f t="shared" si="57"/>
        <v>4009/4010</v>
      </c>
      <c r="L131" s="21" t="str">
        <f>VLOOKUP(A131,'Trips&amp;Operators'!$C$1:$G$99999,5,FALSE)</f>
        <v>STAMBAUGH JAMES</v>
      </c>
      <c r="M131" s="6">
        <f t="shared" si="58"/>
        <v>2.4675925931660458E-2</v>
      </c>
      <c r="N131" s="7">
        <f t="shared" si="59"/>
        <v>35.53333334159106</v>
      </c>
      <c r="O131" s="7"/>
      <c r="P131" s="7"/>
      <c r="Q131" s="22"/>
      <c r="R131" s="22"/>
      <c r="S131" s="31">
        <f t="shared" si="60"/>
        <v>1</v>
      </c>
      <c r="T131" s="46" t="str">
        <f t="shared" si="61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62"/>
        <v>https://d0f6bd738d7f1b3e5a7ca70fe4ff75f0.us-east-1.aws.found.io/app/kibana#/discover/Steve-Slow-Train-Analysis-(2080s-and-2083s)?_g=(refreshInterval:(display:Off,pause:!f,section:0,value:0),time:(from:'2017-04-02T17:22:00-0600',mode:absolute,to:'2017-04-02T20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183" t="str">
        <f t="shared" si="63"/>
        <v>N</v>
      </c>
      <c r="X131" s="183">
        <f t="shared" si="64"/>
        <v>1</v>
      </c>
      <c r="Y131" s="62">
        <f t="shared" si="65"/>
        <v>4.3999999999999997E-2</v>
      </c>
      <c r="Z131" s="62">
        <f t="shared" si="66"/>
        <v>23.339099999999998</v>
      </c>
      <c r="AA131" s="62">
        <f t="shared" si="67"/>
        <v>23.295099999999998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68"/>
        <v>0219-02</v>
      </c>
      <c r="AE131" s="85" t="str">
        <f t="shared" si="69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131" s="82" t="str">
        <f t="shared" si="70"/>
        <v>"C:\Program Files (x86)\AstroGrep\AstroGrep.exe" /e /r /s /spath="%USERPROFILE%\AppData\Local\Temp\OnboardLogs" /stypes="app*4010*20170403*" /stext=" 01:.+((SYSTEM_STATE.+slice.+state.+changed )|(ment ac)|(multiple cpu faults)|(system.+state.+changed )|(\[timeout)|(PRM\|1\|D)|(kpr)|(kdp)|(\|lc)|(penalty))"</v>
      </c>
      <c r="AG131" s="1" t="str">
        <f t="shared" si="71"/>
        <v>EC</v>
      </c>
      <c r="AH131" s="86" t="str">
        <f t="shared" si="53"/>
        <v>"%USERPROFILE%\Documents\GitHub\eaglep3\Utilities\RefineRTDCRunTimes.py" --tripid 219-02 --locoid 4010 --swversion DE.1.0.9.0 --startMP 204:440 --initTime 2017-04-02T18:22:00 --startdatetime 2017-04-02T18:31:05 --delay 1 --endMP 204:233391 --enddatetime 2017-04-02T19:06:37 --enforcementcount 0 &gt;&gt;C:\Users\stu\Documents\GitHub\eaglep3-reporting\EC\2017-04-02-refined-times.txt</v>
      </c>
      <c r="AI131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{"issue":{"subject":"","project_id":79,"tracker_id":40,"status_id":1,"priority_id":2,"assigned_to_id":23,"start_date":"2017-04-02","description":"","custom_fields":[{"id":1,"name":"Subdivision","value":"EC"},{"id":4,"name":"Milepost","value":"23.3391"},{"id":17,"name":"Train ID","value":"219-02"},{"id":16,"name":"Locomotive ID","value":"4010"},{"id":130,"name":"Impact","value":""},{"id":150,"name":"Time of Event (Mountain Time)","value":"19:06:37"},{"id":151,"name":"Denver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55"/>
        <v>start /low /b %USERPROFILE%\Documents\GitHub\eaglep3\Utilities\DownloadLogsFromS3.py --loco 4010 --day 2017-04-02</v>
      </c>
      <c r="AN131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630</v>
      </c>
      <c r="B132" s="7">
        <v>4009</v>
      </c>
      <c r="C132" s="21" t="s">
        <v>217</v>
      </c>
      <c r="D132" s="21" t="s">
        <v>924</v>
      </c>
      <c r="E132" s="13">
        <v>42827.807905092595</v>
      </c>
      <c r="F132" s="13">
        <v>42827.810173611113</v>
      </c>
      <c r="G132" s="7">
        <v>2</v>
      </c>
      <c r="H132" s="21" t="s">
        <v>583</v>
      </c>
      <c r="I132" s="13">
        <v>42827.836527777778</v>
      </c>
      <c r="J132" s="7">
        <v>0</v>
      </c>
      <c r="K132" s="97" t="str">
        <f t="shared" si="57"/>
        <v>4009/4010</v>
      </c>
      <c r="L132" s="21" t="str">
        <f>VLOOKUP(A132,'Trips&amp;Operators'!$C$1:$G$99999,5,FALSE)</f>
        <v>STAMBAUGH JAMES</v>
      </c>
      <c r="M132" s="6">
        <f t="shared" si="58"/>
        <v>2.6354166664532386E-2</v>
      </c>
      <c r="N132" s="7">
        <f t="shared" si="59"/>
        <v>37.949999996926636</v>
      </c>
      <c r="O132" s="7"/>
      <c r="P132" s="7"/>
      <c r="Q132" s="22"/>
      <c r="R132" s="22"/>
      <c r="S132" s="31">
        <f t="shared" si="60"/>
        <v>1</v>
      </c>
      <c r="T132" s="46" t="str">
        <f t="shared" si="61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62"/>
        <v>https://d0f6bd738d7f1b3e5a7ca70fe4ff75f0.us-east-1.aws.found.io/app/kibana#/discover/Steve-Slow-Train-Analysis-(2080s-and-2083s)?_g=(refreshInterval:(display:Off,pause:!f,section:0,value:0),time:(from:'2017-04-02T18:23:23-0600',mode:absolute,to:'2017-04-02T21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183" t="str">
        <f t="shared" si="63"/>
        <v>N</v>
      </c>
      <c r="X132" s="183">
        <f t="shared" si="64"/>
        <v>1</v>
      </c>
      <c r="Y132" s="62">
        <f t="shared" si="65"/>
        <v>23.3063</v>
      </c>
      <c r="Z132" s="62">
        <f t="shared" si="66"/>
        <v>1.4500000000000001E-2</v>
      </c>
      <c r="AA132" s="62">
        <f t="shared" si="67"/>
        <v>23.291799999999999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68"/>
        <v>0220-02</v>
      </c>
      <c r="AE132" s="85" t="str">
        <f t="shared" si="69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132" s="82" t="str">
        <f t="shared" si="70"/>
        <v>"C:\Program Files (x86)\AstroGrep\AstroGrep.exe" /e /r /s /spath="%USERPROFILE%\AppData\Local\Temp\OnboardLogs" /stypes="app*4009*20170403*" /stext=" 02:.+((SYSTEM_STATE.+slice.+state.+changed )|(ment ac)|(multiple cpu faults)|(system.+state.+changed )|(\[timeout)|(PRM\|1\|D)|(kpr)|(kdp)|(\|lc)|(penalty))"</v>
      </c>
      <c r="AG132" s="1" t="str">
        <f t="shared" si="71"/>
        <v>EC</v>
      </c>
      <c r="AH132" s="86" t="str">
        <f t="shared" si="53"/>
        <v>"%USERPROFILE%\Documents\GitHub\eaglep3\Utilities\RefineRTDCRunTimes.py" --tripid 220-02 --locoid 4009 --swversion DE.1.0.9.0 --startMP 204:233063 --initTime 2017-04-02T19:23:23 --startdatetime 2017-04-02T19:26:39 --delay 2 --endMP 204:145 --enddatetime 2017-04-02T20:04:36 --enforcementcount 0 &gt;&gt;C:\Users\stu\Documents\GitHub\eaglep3-reporting\EC\2017-04-02-refined-times.txt</v>
      </c>
      <c r="AI132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{"issue":{"subject":"","project_id":79,"tracker_id":40,"status_id":1,"priority_id":2,"assigned_to_id":23,"start_date":"2017-04-02","description":"","custom_fields":[{"id":1,"name":"Subdivision","value":"EC"},{"id":4,"name":"Milepost","value":"0.0145"},{"id":17,"name":"Train ID","value":"220-02"},{"id":16,"name":"Locomotive ID","value":"4009"},{"id":130,"name":"Impact","value":""},{"id":150,"name":"Time of Event (Mountain Time)","value":"20:04:36"},{"id":151,"name":"Denver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55"/>
        <v>start /low /b %USERPROFILE%\Documents\GitHub\eaglep3\Utilities\DownloadLogsFromS3.py --loco 4009 --day 2017-04-02</v>
      </c>
      <c r="AN132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02:04:36"},{"id":29,"name":"Sharepoint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792</v>
      </c>
      <c r="B133" s="7">
        <v>4016</v>
      </c>
      <c r="C133" s="21" t="s">
        <v>217</v>
      </c>
      <c r="D133" s="21" t="s">
        <v>211</v>
      </c>
      <c r="E133" s="13">
        <v>42827.79115740741</v>
      </c>
      <c r="F133" s="13">
        <v>42827.792083333334</v>
      </c>
      <c r="G133" s="7">
        <v>0</v>
      </c>
      <c r="H133" s="21" t="s">
        <v>925</v>
      </c>
      <c r="I133" s="13">
        <v>42827.817361111112</v>
      </c>
      <c r="J133" s="7">
        <v>0</v>
      </c>
      <c r="K133" s="97" t="str">
        <f t="shared" si="57"/>
        <v>4015/4016</v>
      </c>
      <c r="L133" s="21" t="str">
        <f>VLOOKUP(A133,'Trips&amp;Operators'!$C$1:$G$99999,5,FALSE)</f>
        <v>CHANDLER KELVIN</v>
      </c>
      <c r="M133" s="6">
        <f t="shared" si="58"/>
        <v>2.527777777868323E-2</v>
      </c>
      <c r="N133" s="7">
        <f t="shared" si="59"/>
        <v>36.400000001303852</v>
      </c>
      <c r="O133" s="7"/>
      <c r="P133" s="7"/>
      <c r="Q133" s="22"/>
      <c r="R133" s="22"/>
      <c r="S133" s="31">
        <f t="shared" si="60"/>
        <v>1</v>
      </c>
      <c r="T133" s="46" t="str">
        <f t="shared" si="61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62"/>
        <v>https://d0f6bd738d7f1b3e5a7ca70fe4ff75f0.us-east-1.aws.found.io/app/kibana#/discover/Steve-Slow-Train-Analysis-(2080s-and-2083s)?_g=(refreshInterval:(display:Off,pause:!f,section:0,value:0),time:(from:'2017-04-02T17:59:16-0600',mode:absolute,to:'2017-04-02T20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83" t="str">
        <f t="shared" si="63"/>
        <v>N</v>
      </c>
      <c r="X133" s="183">
        <f t="shared" si="64"/>
        <v>1</v>
      </c>
      <c r="Y133" s="62">
        <f t="shared" si="65"/>
        <v>4.53E-2</v>
      </c>
      <c r="Z133" s="62">
        <f t="shared" si="66"/>
        <v>23.329799999999999</v>
      </c>
      <c r="AA133" s="62">
        <f t="shared" si="67"/>
        <v>23.284499999999998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68"/>
        <v>0221-02</v>
      </c>
      <c r="AE133" s="85" t="str">
        <f t="shared" si="69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133" s="82" t="str">
        <f t="shared" si="70"/>
        <v>"C:\Program Files (x86)\AstroGrep\AstroGrep.exe" /e /r /s /spath="%USERPROFILE%\AppData\Local\Temp\OnboardLogs" /stypes="app*4016*20170403*" /stext=" 01:.+((SYSTEM_STATE.+slice.+state.+changed )|(ment ac)|(multiple cpu faults)|(system.+state.+changed )|(\[timeout)|(PRM\|1\|D)|(kpr)|(kdp)|(\|lc)|(penalty))"</v>
      </c>
      <c r="AG133" s="1" t="str">
        <f t="shared" si="71"/>
        <v>EC</v>
      </c>
      <c r="AH133" s="86" t="str">
        <f t="shared" si="53"/>
        <v>"%USERPROFILE%\Documents\GitHub\eaglep3\Utilities\RefineRTDCRunTimes.py" --tripid 221-02 --locoid 4016 --swversion DE.1.0.9.0 --startMP 204:453 --initTime 2017-04-02T18:59:16 --startdatetime 2017-04-02T19:00:36 --delay 0 --endMP 204:233298 --enddatetime 2017-04-02T19:37:00 --enforcementcount 0 &gt;&gt;C:\Users\stu\Documents\GitHub\eaglep3-reporting\EC\2017-04-02-refined-times.txt</v>
      </c>
      <c r="AI133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{"issue":{"subject":"","project_id":79,"tracker_id":40,"status_id":1,"priority_id":2,"assigned_to_id":23,"start_date":"2017-04-02","description":"","custom_fields":[{"id":1,"name":"Subdivision","value":"EC"},{"id":4,"name":"Milepost","value":"23.3298"},{"id":17,"name":"Train ID","value":"221-02"},{"id":16,"name":"Locomotive ID","value":"4016"},{"id":130,"name":"Impact","value":""},{"id":150,"name":"Time of Event (Mountain Time)","value":"19:37:00"},{"id":151,"name":"Denver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55"/>
        <v>start /low /b %USERPROFILE%\Documents\GitHub\eaglep3\Utilities\DownloadLogsFromS3.py --loco 4016 --day 2017-04-02</v>
      </c>
      <c r="AN133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799</v>
      </c>
      <c r="B134" s="7">
        <v>4015</v>
      </c>
      <c r="C134" s="21" t="s">
        <v>217</v>
      </c>
      <c r="D134" s="21" t="s">
        <v>488</v>
      </c>
      <c r="E134" s="13">
        <v>42827.828773148147</v>
      </c>
      <c r="F134" s="13">
        <v>42827.830995370372</v>
      </c>
      <c r="G134" s="7">
        <v>0</v>
      </c>
      <c r="H134" s="21" t="s">
        <v>386</v>
      </c>
      <c r="I134" s="13">
        <v>42827.858680555553</v>
      </c>
      <c r="J134" s="7">
        <v>0</v>
      </c>
      <c r="K134" s="97" t="str">
        <f t="shared" si="57"/>
        <v>4015/4016</v>
      </c>
      <c r="L134" s="21" t="str">
        <f>VLOOKUP(A134,'Trips&amp;Operators'!$C$1:$G$99999,5,FALSE)</f>
        <v>CHANDLER KELVIN</v>
      </c>
      <c r="M134" s="6">
        <f t="shared" si="58"/>
        <v>2.7685185181326233E-2</v>
      </c>
      <c r="N134" s="7">
        <f t="shared" si="59"/>
        <v>39.866666661109775</v>
      </c>
      <c r="O134" s="7"/>
      <c r="P134" s="7"/>
      <c r="Q134" s="22"/>
      <c r="R134" s="22"/>
      <c r="S134" s="31">
        <f t="shared" si="60"/>
        <v>1</v>
      </c>
      <c r="T134" s="46" t="str">
        <f t="shared" si="61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62"/>
        <v>https://d0f6bd738d7f1b3e5a7ca70fe4ff75f0.us-east-1.aws.found.io/app/kibana#/discover/Steve-Slow-Train-Analysis-(2080s-and-2083s)?_g=(refreshInterval:(display:Off,pause:!f,section:0,value:0),time:(from:'2017-04-02T18:53:26-0600',mode:absolute,to:'2017-04-02T21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83" t="str">
        <f t="shared" si="63"/>
        <v>N</v>
      </c>
      <c r="X134" s="183">
        <f t="shared" si="64"/>
        <v>1</v>
      </c>
      <c r="Y134" s="62">
        <f t="shared" si="65"/>
        <v>23.297899999999998</v>
      </c>
      <c r="Z134" s="62">
        <f t="shared" si="66"/>
        <v>1.43E-2</v>
      </c>
      <c r="AA134" s="62">
        <f t="shared" si="67"/>
        <v>23.2836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68"/>
        <v>0222-02</v>
      </c>
      <c r="AE134" s="85" t="str">
        <f t="shared" si="69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134" s="82" t="str">
        <f t="shared" si="70"/>
        <v>"C:\Program Files (x86)\AstroGrep\AstroGrep.exe" /e /r /s /spath="%USERPROFILE%\AppData\Local\Temp\OnboardLogs" /stypes="app*4015*20170403*" /stext=" 02:.+((SYSTEM_STATE.+slice.+state.+changed )|(ment ac)|(multiple cpu faults)|(system.+state.+changed )|(\[timeout)|(PRM\|1\|D)|(kpr)|(kdp)|(\|lc)|(penalty))"</v>
      </c>
      <c r="AG134" s="1" t="str">
        <f t="shared" si="71"/>
        <v>EC</v>
      </c>
      <c r="AH134" s="86" t="str">
        <f t="shared" si="53"/>
        <v>"%USERPROFILE%\Documents\GitHub\eaglep3\Utilities\RefineRTDCRunTimes.py" --tripid 222-02 --locoid 4015 --swversion DE.1.0.9.0 --startMP 204:232979 --initTime 2017-04-02T19:53:26 --startdatetime 2017-04-02T19:56:38 --delay 0 --endMP 204:143 --enddatetime 2017-04-02T20:36:30 --enforcementcount 0 &gt;&gt;C:\Users\stu\Documents\GitHub\eaglep3-reporting\EC\2017-04-02-refined-times.txt</v>
      </c>
      <c r="AI134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{"issue":{"subject":"","project_id":79,"tracker_id":40,"status_id":1,"priority_id":2,"assigned_to_id":23,"start_date":"2017-04-02","description":"","custom_fields":[{"id":1,"name":"Subdivision","value":"EC"},{"id":4,"name":"Milepost","value":"0.0143"},{"id":17,"name":"Train ID","value":"222-02"},{"id":16,"name":"Locomotive ID","value":"4015"},{"id":130,"name":"Impact","value":""},{"id":150,"name":"Time of Event (Mountain Time)","value":"20:36:30"},{"id":151,"name":"Denver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55"/>
        <v>start /low /b %USERPROFILE%\Documents\GitHub\eaglep3\Utilities\DownloadLogsFromS3.py --loco 4015 --day 2017-04-02</v>
      </c>
      <c r="AN134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02:36:30"},{"id":29,"name":"Sharepoint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796</v>
      </c>
      <c r="B135" s="7">
        <v>4002</v>
      </c>
      <c r="C135" s="21" t="s">
        <v>217</v>
      </c>
      <c r="D135" s="21" t="s">
        <v>916</v>
      </c>
      <c r="E135" s="13">
        <v>42827.807430555556</v>
      </c>
      <c r="F135" s="13">
        <v>42827.8127662037</v>
      </c>
      <c r="G135" s="7">
        <v>1</v>
      </c>
      <c r="H135" s="21" t="s">
        <v>490</v>
      </c>
      <c r="I135" s="13">
        <v>42827.837766203702</v>
      </c>
      <c r="J135" s="7">
        <v>0</v>
      </c>
      <c r="K135" s="97" t="str">
        <f t="shared" si="57"/>
        <v>4001/4002</v>
      </c>
      <c r="L135" s="21" t="str">
        <f>VLOOKUP(A135,'Trips&amp;Operators'!$C$1:$G$99999,5,FALSE)</f>
        <v>SAFIEF AEIMEN</v>
      </c>
      <c r="M135" s="6">
        <f t="shared" si="58"/>
        <v>2.5000000001455192E-2</v>
      </c>
      <c r="N135" s="7">
        <f t="shared" si="59"/>
        <v>36.000000002095476</v>
      </c>
      <c r="O135" s="7"/>
      <c r="P135" s="7"/>
      <c r="Q135" s="22"/>
      <c r="R135" s="22"/>
      <c r="S135" s="31">
        <f t="shared" si="60"/>
        <v>1</v>
      </c>
      <c r="T135" s="46" t="str">
        <f t="shared" si="61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62"/>
        <v>https://d0f6bd738d7f1b3e5a7ca70fe4ff75f0.us-east-1.aws.found.io/app/kibana#/discover/Steve-Slow-Train-Analysis-(2080s-and-2083s)?_g=(refreshInterval:(display:Off,pause:!f,section:0,value:0),time:(from:'2017-04-02T18:22:42-0600',mode:absolute,to:'2017-04-02T21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5" s="183" t="str">
        <f t="shared" si="63"/>
        <v>N</v>
      </c>
      <c r="X135" s="183">
        <f t="shared" si="64"/>
        <v>1</v>
      </c>
      <c r="Y135" s="62">
        <f t="shared" si="65"/>
        <v>4.2900000000000001E-2</v>
      </c>
      <c r="Z135" s="62">
        <f t="shared" si="66"/>
        <v>23.332100000000001</v>
      </c>
      <c r="AA135" s="62">
        <f t="shared" si="67"/>
        <v>23.289200000000001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68"/>
        <v>0223-02</v>
      </c>
      <c r="AE135" s="85" t="str">
        <f t="shared" si="69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135" s="82" t="str">
        <f t="shared" si="70"/>
        <v>"C:\Program Files (x86)\AstroGrep\AstroGrep.exe" /e /r /s /spath="%USERPROFILE%\AppData\Local\Temp\OnboardLogs" /stypes="app*4002*20170403*" /stext=" 02:.+((SYSTEM_STATE.+slice.+state.+changed )|(ment ac)|(multiple cpu faults)|(system.+state.+changed )|(\[timeout)|(PRM\|1\|D)|(kpr)|(kdp)|(\|lc)|(penalty))"</v>
      </c>
      <c r="AG135" s="1" t="str">
        <f t="shared" si="71"/>
        <v>EC</v>
      </c>
      <c r="AH135" s="86" t="str">
        <f t="shared" si="53"/>
        <v>"%USERPROFILE%\Documents\GitHub\eaglep3\Utilities\RefineRTDCRunTimes.py" --tripid 223-02 --locoid 4002 --swversion DE.1.0.9.0 --startMP 204:429 --initTime 2017-04-02T19:22:42 --startdatetime 2017-04-02T19:30:23 --delay 1 --endMP 204:233321 --enddatetime 2017-04-02T20:06:23 --enforcementcount 0 &gt;&gt;C:\Users\stu\Documents\GitHub\eaglep3-reporting\EC\2017-04-02-refined-times.txt</v>
      </c>
      <c r="AI135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{"issue":{"subject":"","project_id":79,"tracker_id":40,"status_id":1,"priority_id":2,"assigned_to_id":23,"start_date":"2017-04-02","description":"","custom_fields":[{"id":1,"name":"Subdivision","value":"EC"},{"id":4,"name":"Milepost","value":"23.3321"},{"id":17,"name":"Train ID","value":"223-02"},{"id":16,"name":"Locomotive ID","value":"4002"},{"id":130,"name":"Impact","value":""},{"id":150,"name":"Time of Event (Mountain Time)","value":"20:06:23"},{"id":151,"name":"Denver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55"/>
        <v>start /low /b %USERPROFILE%\Documents\GitHub\eaglep3\Utilities\DownloadLogsFromS3.py --loco 4002 --day 2017-04-02</v>
      </c>
      <c r="AN135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802</v>
      </c>
      <c r="B136" s="7">
        <v>4001</v>
      </c>
      <c r="C136" s="21" t="s">
        <v>217</v>
      </c>
      <c r="D136" s="21" t="s">
        <v>578</v>
      </c>
      <c r="E136" s="13">
        <v>42827.840138888889</v>
      </c>
      <c r="F136" s="13">
        <v>42827.851678240739</v>
      </c>
      <c r="G136" s="7">
        <v>1</v>
      </c>
      <c r="H136" s="21" t="s">
        <v>583</v>
      </c>
      <c r="I136" s="13">
        <v>42827.879629629628</v>
      </c>
      <c r="J136" s="7">
        <v>0</v>
      </c>
      <c r="K136" s="97" t="str">
        <f t="shared" si="57"/>
        <v>4001/4002</v>
      </c>
      <c r="L136" s="21" t="str">
        <f>VLOOKUP(A136,'Trips&amp;Operators'!$C$1:$G$99999,5,FALSE)</f>
        <v>SAFIEF AEIMEN</v>
      </c>
      <c r="M136" s="6">
        <f t="shared" si="58"/>
        <v>2.7951388889050577E-2</v>
      </c>
      <c r="N136" s="7">
        <f t="shared" si="59"/>
        <v>40.250000000232831</v>
      </c>
      <c r="O136" s="7"/>
      <c r="P136" s="7"/>
      <c r="Q136" s="22"/>
      <c r="R136" s="22"/>
      <c r="S136" s="31">
        <f t="shared" si="60"/>
        <v>1</v>
      </c>
      <c r="T136" s="46" t="str">
        <f t="shared" si="61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62"/>
        <v>https://d0f6bd738d7f1b3e5a7ca70fe4ff75f0.us-east-1.aws.found.io/app/kibana#/discover/Steve-Slow-Train-Analysis-(2080s-and-2083s)?_g=(refreshInterval:(display:Off,pause:!f,section:0,value:0),time:(from:'2017-04-02T19:09:48-0600',mode:absolute,to:'2017-04-02T22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6" s="183" t="str">
        <f t="shared" si="63"/>
        <v>N</v>
      </c>
      <c r="X136" s="183">
        <f t="shared" si="64"/>
        <v>1</v>
      </c>
      <c r="Y136" s="62">
        <f t="shared" si="65"/>
        <v>23.300599999999999</v>
      </c>
      <c r="Z136" s="62">
        <f t="shared" si="66"/>
        <v>1.4500000000000001E-2</v>
      </c>
      <c r="AA136" s="62">
        <f t="shared" si="67"/>
        <v>23.286099999999998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68"/>
        <v>0224-02</v>
      </c>
      <c r="AE136" s="85" t="str">
        <f t="shared" si="69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136" s="82" t="str">
        <f t="shared" si="70"/>
        <v>"C:\Program Files (x86)\AstroGrep\AstroGrep.exe" /e /r /s /spath="%USERPROFILE%\AppData\Local\Temp\OnboardLogs" /stypes="app*4001*20170403*" /stext=" 03:.+((SYSTEM_STATE.+slice.+state.+changed )|(ment ac)|(multiple cpu faults)|(system.+state.+changed )|(\[timeout)|(PRM\|1\|D)|(kpr)|(kdp)|(\|lc)|(penalty))"</v>
      </c>
      <c r="AG136" s="1" t="str">
        <f t="shared" si="71"/>
        <v>EC</v>
      </c>
      <c r="AH136" s="86" t="str">
        <f t="shared" si="53"/>
        <v>"%USERPROFILE%\Documents\GitHub\eaglep3\Utilities\RefineRTDCRunTimes.py" --tripid 224-02 --locoid 4001 --swversion DE.1.0.9.0 --startMP 204:233006 --initTime 2017-04-02T20:09:48 --startdatetime 2017-04-02T20:26:25 --delay 1 --endMP 204:145 --enddatetime 2017-04-02T21:06:40 --enforcementcount 0 &gt;&gt;C:\Users\stu\Documents\GitHub\eaglep3-reporting\EC\2017-04-02-refined-times.txt</v>
      </c>
      <c r="AI136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{"issue":{"subject":"","project_id":79,"tracker_id":40,"status_id":1,"priority_id":2,"assigned_to_id":23,"start_date":"2017-04-02","description":"","custom_fields":[{"id":1,"name":"Subdivision","value":"EC"},{"id":4,"name":"Milepost","value":"0.0145"},{"id":17,"name":"Train ID","value":"224-02"},{"id":16,"name":"Locomotive ID","value":"4001"},{"id":130,"name":"Impact","value":""},{"id":150,"name":"Time of Event (Mountain Time)","value":"21:06:40"},{"id":151,"name":"Denver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55"/>
        <v>start /low /b %USERPROFILE%\Documents\GitHub\eaglep3\Utilities\DownloadLogsFromS3.py --loco 4001 --day 2017-04-02</v>
      </c>
      <c r="AN136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800</v>
      </c>
      <c r="B137" s="7">
        <v>4054</v>
      </c>
      <c r="C137" s="21" t="s">
        <v>217</v>
      </c>
      <c r="D137" s="21" t="s">
        <v>212</v>
      </c>
      <c r="E137" s="13">
        <v>42827.829189814816</v>
      </c>
      <c r="F137" s="13">
        <v>42827.833611111113</v>
      </c>
      <c r="G137" s="7">
        <v>1</v>
      </c>
      <c r="H137" s="21" t="s">
        <v>926</v>
      </c>
      <c r="I137" s="13">
        <v>42827.858530092592</v>
      </c>
      <c r="J137" s="7">
        <v>0</v>
      </c>
      <c r="K137" s="97" t="str">
        <f t="shared" si="57"/>
        <v>4053/4054</v>
      </c>
      <c r="L137" s="21" t="str">
        <f>VLOOKUP(A137,'Trips&amp;Operators'!$C$1:$G$99999,5,FALSE)</f>
        <v>SMITH MICHAEL</v>
      </c>
      <c r="M137" s="6">
        <f t="shared" si="58"/>
        <v>2.491898147854954E-2</v>
      </c>
      <c r="N137" s="7">
        <f t="shared" si="59"/>
        <v>35.883333329111338</v>
      </c>
      <c r="O137" s="7"/>
      <c r="P137" s="7"/>
      <c r="Q137" s="22"/>
      <c r="R137" s="22"/>
      <c r="S137" s="31">
        <f t="shared" si="60"/>
        <v>1</v>
      </c>
      <c r="T137" s="46" t="str">
        <f t="shared" si="61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62"/>
        <v>https://d0f6bd738d7f1b3e5a7ca70fe4ff75f0.us-east-1.aws.found.io/app/kibana#/discover/Steve-Slow-Train-Analysis-(2080s-and-2083s)?_g=(refreshInterval:(display:Off,pause:!f,section:0,value:0),time:(from:'2017-04-02T18:54:02-0600',mode:absolute,to:'2017-04-02T21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7" s="183" t="str">
        <f t="shared" si="63"/>
        <v>N</v>
      </c>
      <c r="X137" s="183">
        <f t="shared" si="64"/>
        <v>1</v>
      </c>
      <c r="Y137" s="62">
        <f t="shared" si="65"/>
        <v>4.5499999999999999E-2</v>
      </c>
      <c r="Z137" s="62">
        <f t="shared" si="66"/>
        <v>23.3264</v>
      </c>
      <c r="AA137" s="62">
        <f t="shared" si="67"/>
        <v>23.280899999999999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68"/>
        <v>0225-02</v>
      </c>
      <c r="AE137" s="85" t="str">
        <f t="shared" si="69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137" s="82" t="str">
        <f t="shared" si="70"/>
        <v>"C:\Program Files (x86)\AstroGrep\AstroGrep.exe" /e /r /s /spath="%USERPROFILE%\AppData\Local\Temp\OnboardLogs" /stypes="app*4054*20170403*" /stext=" 02:.+((SYSTEM_STATE.+slice.+state.+changed )|(ment ac)|(multiple cpu faults)|(system.+state.+changed )|(\[timeout)|(PRM\|1\|D)|(kpr)|(kdp)|(\|lc)|(penalty))"</v>
      </c>
      <c r="AG137" s="1" t="str">
        <f t="shared" si="71"/>
        <v>EC</v>
      </c>
      <c r="AH137" s="86" t="str">
        <f t="shared" si="53"/>
        <v>"%USERPROFILE%\Documents\GitHub\eaglep3\Utilities\RefineRTDCRunTimes.py" --tripid 225-02 --locoid 4054 --swversion DE.1.0.9.0 --startMP 204:455 --initTime 2017-04-02T19:54:02 --startdatetime 2017-04-02T20:00:24 --delay 1 --endMP 204:233264 --enddatetime 2017-04-02T20:36:17 --enforcementcount 0 &gt;&gt;C:\Users\stu\Documents\GitHub\eaglep3-reporting\EC\2017-04-02-refined-times.txt</v>
      </c>
      <c r="AI137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{"issue":{"subject":"","project_id":79,"tracker_id":40,"status_id":1,"priority_id":2,"assigned_to_id":23,"start_date":"2017-04-02","description":"","custom_fields":[{"id":1,"name":"Subdivision","value":"EC"},{"id":4,"name":"Milepost","value":"23.3264"},{"id":17,"name":"Train ID","value":"225-02"},{"id":16,"name":"Locomotive ID","value":"4054"},{"id":130,"name":"Impact","value":""},{"id":150,"name":"Time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55"/>
        <v>start /low /b %USERPROFILE%\Documents\GitHub\eaglep3\Utilities\DownloadLogsFromS3.py --loco 4054 --day 2017-04-02</v>
      </c>
      <c r="AN137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02:36:17"},{"id":29,"name":"Sharepoint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805</v>
      </c>
      <c r="B138" s="7">
        <v>4053</v>
      </c>
      <c r="C138" s="21" t="s">
        <v>217</v>
      </c>
      <c r="D138" s="21" t="s">
        <v>424</v>
      </c>
      <c r="E138" s="13">
        <v>42827.865185185183</v>
      </c>
      <c r="F138" s="13">
        <v>42827.872453703705</v>
      </c>
      <c r="G138" s="7">
        <v>1</v>
      </c>
      <c r="H138" s="21" t="s">
        <v>465</v>
      </c>
      <c r="I138" s="13">
        <v>42827.899629629632</v>
      </c>
      <c r="J138" s="7">
        <v>0</v>
      </c>
      <c r="K138" s="97" t="str">
        <f t="shared" si="57"/>
        <v>4053/4054</v>
      </c>
      <c r="L138" s="21" t="str">
        <f>VLOOKUP(A138,'Trips&amp;Operators'!$C$1:$G$99999,5,FALSE)</f>
        <v>SMITH MICHAEL</v>
      </c>
      <c r="M138" s="6">
        <f t="shared" si="58"/>
        <v>2.7175925926712807E-2</v>
      </c>
      <c r="N138" s="7">
        <f t="shared" si="59"/>
        <v>39.133333334466442</v>
      </c>
      <c r="O138" s="7"/>
      <c r="P138" s="7"/>
      <c r="Q138" s="22"/>
      <c r="R138" s="22"/>
      <c r="S138" s="31">
        <f t="shared" si="60"/>
        <v>1</v>
      </c>
      <c r="T138" s="46" t="str">
        <f t="shared" si="61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62"/>
        <v>https://d0f6bd738d7f1b3e5a7ca70fe4ff75f0.us-east-1.aws.found.io/app/kibana#/discover/Steve-Slow-Train-Analysis-(2080s-and-2083s)?_g=(refreshInterval:(display:Off,pause:!f,section:0,value:0),time:(from:'2017-04-02T19:45:52-0600',mode:absolute,to:'2017-04-02T22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8" s="183" t="str">
        <f t="shared" si="63"/>
        <v>N</v>
      </c>
      <c r="X138" s="183">
        <f t="shared" si="64"/>
        <v>1</v>
      </c>
      <c r="Y138" s="62">
        <f t="shared" si="65"/>
        <v>23.298100000000002</v>
      </c>
      <c r="Z138" s="62">
        <f t="shared" si="66"/>
        <v>1.34E-2</v>
      </c>
      <c r="AA138" s="62">
        <f t="shared" si="67"/>
        <v>23.284700000000001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68"/>
        <v>0226-02</v>
      </c>
      <c r="AE138" s="85" t="str">
        <f t="shared" si="69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138" s="82" t="str">
        <f t="shared" si="70"/>
        <v>"C:\Program Files (x86)\AstroGrep\AstroGrep.exe" /e /r /s /spath="%USERPROFILE%\AppData\Local\Temp\OnboardLogs" /stypes="app*4053*20170403*" /stext=" 03:.+((SYSTEM_STATE.+slice.+state.+changed )|(ment ac)|(multiple cpu faults)|(system.+state.+changed )|(\[timeout)|(PRM\|1\|D)|(kpr)|(kdp)|(\|lc)|(penalty))"</v>
      </c>
      <c r="AG138" s="1" t="str">
        <f t="shared" si="71"/>
        <v>EC</v>
      </c>
      <c r="AH138" s="86" t="str">
        <f t="shared" si="53"/>
        <v>"%USERPROFILE%\Documents\GitHub\eaglep3\Utilities\RefineRTDCRunTimes.py" --tripid 226-02 --locoid 4053 --swversion DE.1.0.9.0 --startMP 204:232981 --initTime 2017-04-02T20:45:52 --startdatetime 2017-04-02T20:56:20 --delay 1 --endMP 204:134 --enddatetime 2017-04-02T21:35:28 --enforcementcount 0 &gt;&gt;C:\Users\stu\Documents\GitHub\eaglep3-reporting\EC\2017-04-02-refined-times.txt</v>
      </c>
      <c r="AI138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{"issue":{"subject":"","project_id":79,"tracker_id":40,"status_id":1,"priority_id":2,"assigned_to_id":23,"start_date":"2017-04-02","description":"","custom_fields":[{"id":1,"name":"Subdivision","value":"EC"},{"id":4,"name":"Milepost","value":"0.0134"},{"id":17,"name":"Train ID","value":"226-02"},{"id":16,"name":"Locomotive ID","value":"4053"},{"id":130,"name":"Impact","value":""},{"id":150,"name":"Time of Event (Mountain Time)","value":"21:35:28"},{"id":151,"name":"Denver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55"/>
        <v>start /low /b %USERPROFILE%\Documents\GitHub\eaglep3\Utilities\DownloadLogsFromS3.py --loco 4053 --day 2017-04-02</v>
      </c>
      <c r="AN138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03:35:28"},{"id":29,"name":"Sharepoint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801</v>
      </c>
      <c r="B139" s="7">
        <v>4010</v>
      </c>
      <c r="C139" s="21" t="s">
        <v>217</v>
      </c>
      <c r="D139" s="21" t="s">
        <v>458</v>
      </c>
      <c r="E139" s="13">
        <v>42827.837500000001</v>
      </c>
      <c r="F139" s="13">
        <v>42827.854490740741</v>
      </c>
      <c r="G139" s="7">
        <v>1</v>
      </c>
      <c r="H139" s="21" t="s">
        <v>871</v>
      </c>
      <c r="I139" s="13">
        <v>42827.87939814815</v>
      </c>
      <c r="J139" s="7">
        <v>0</v>
      </c>
      <c r="K139" s="97" t="str">
        <f t="shared" si="57"/>
        <v>4009/4010</v>
      </c>
      <c r="L139" s="21" t="str">
        <f>VLOOKUP(A139,'Trips&amp;Operators'!$C$1:$G$99999,5,FALSE)</f>
        <v>STAMBAUGH JAMES</v>
      </c>
      <c r="M139" s="6">
        <f t="shared" si="58"/>
        <v>2.4907407409045845E-2</v>
      </c>
      <c r="N139" s="7">
        <f t="shared" si="59"/>
        <v>35.866666669026017</v>
      </c>
      <c r="O139" s="7"/>
      <c r="P139" s="7"/>
      <c r="Q139" s="22"/>
      <c r="R139" s="22"/>
      <c r="S139" s="31">
        <f t="shared" si="60"/>
        <v>1</v>
      </c>
      <c r="T139" s="46" t="str">
        <f t="shared" si="61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62"/>
        <v>https://d0f6bd738d7f1b3e5a7ca70fe4ff75f0.us-east-1.aws.found.io/app/kibana#/discover/Steve-Slow-Train-Analysis-(2080s-and-2083s)?_g=(refreshInterval:(display:Off,pause:!f,section:0,value:0),time:(from:'2017-04-02T19:06:00-0600',mode:absolute,to:'2017-04-02T22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9" s="183" t="str">
        <f t="shared" si="63"/>
        <v>N</v>
      </c>
      <c r="X139" s="183">
        <f t="shared" si="64"/>
        <v>1</v>
      </c>
      <c r="Y139" s="62">
        <f t="shared" si="65"/>
        <v>4.4699999999999997E-2</v>
      </c>
      <c r="Z139" s="62">
        <f t="shared" si="66"/>
        <v>23.338100000000001</v>
      </c>
      <c r="AA139" s="62">
        <f t="shared" si="67"/>
        <v>23.293400000000002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68"/>
        <v>0227-02</v>
      </c>
      <c r="AE139" s="85" t="str">
        <f t="shared" si="69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139" s="82" t="str">
        <f t="shared" si="70"/>
        <v>"C:\Program Files (x86)\AstroGrep\AstroGrep.exe" /e /r /s /spath="%USERPROFILE%\AppData\Local\Temp\OnboardLogs" /stypes="app*4010*20170403*" /stext=" 03:.+((SYSTEM_STATE.+slice.+state.+changed )|(ment ac)|(multiple cpu faults)|(system.+state.+changed )|(\[timeout)|(PRM\|1\|D)|(kpr)|(kdp)|(\|lc)|(penalty))"</v>
      </c>
      <c r="AG139" s="1" t="str">
        <f t="shared" si="71"/>
        <v>EC</v>
      </c>
      <c r="AH139" s="86" t="str">
        <f t="shared" si="53"/>
        <v>"%USERPROFILE%\Documents\GitHub\eaglep3\Utilities\RefineRTDCRunTimes.py" --tripid 227-02 --locoid 4010 --swversion DE.1.0.9.0 --startMP 204:447 --initTime 2017-04-02T20:06:00 --startdatetime 2017-04-02T20:30:28 --delay 1 --endMP 204:233381 --enddatetime 2017-04-02T21:06:20 --enforcementcount 0 &gt;&gt;C:\Users\stu\Documents\GitHub\eaglep3-reporting\EC\2017-04-02-refined-times.txt</v>
      </c>
      <c r="AI139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{"issue":{"subject":"","project_id":79,"tracker_id":40,"status_id":1,"priority_id":2,"assigned_to_id":23,"start_date":"2017-04-02","description":"","custom_fields":[{"id":1,"name":"Subdivision","value":"EC"},{"id":4,"name":"Milepost","value":"23.3381"},{"id":17,"name":"Train ID","value":"227-02"},{"id":16,"name":"Locomotive ID","value":"4010"},{"id":130,"name":"Impact","value":""},{"id":150,"name":"Time of Event (Mountain Time)","value":"21:06:20"},{"id":151,"name":"Denver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55"/>
        <v>start /low /b %USERPROFILE%\Documents\GitHub\eaglep3\Utilities\DownloadLogsFromS3.py --loco 4010 --day 2017-04-02</v>
      </c>
      <c r="AN139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03:06:20"},{"id":29,"name":"Sharepoint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632</v>
      </c>
      <c r="B140" s="7">
        <v>4009</v>
      </c>
      <c r="C140" s="21" t="s">
        <v>217</v>
      </c>
      <c r="D140" s="21" t="s">
        <v>918</v>
      </c>
      <c r="E140" s="13">
        <v>42827.885775462964</v>
      </c>
      <c r="F140" s="13">
        <v>42827.893773148149</v>
      </c>
      <c r="G140" s="7">
        <v>1</v>
      </c>
      <c r="H140" s="21" t="s">
        <v>927</v>
      </c>
      <c r="I140" s="13">
        <v>42827.920023148145</v>
      </c>
      <c r="J140" s="7">
        <v>0</v>
      </c>
      <c r="K140" s="97" t="str">
        <f t="shared" si="57"/>
        <v>4009/4010</v>
      </c>
      <c r="L140" s="21" t="str">
        <f>VLOOKUP(A140,'Trips&amp;Operators'!$C$1:$G$99999,5,FALSE)</f>
        <v>STAMBAUGH JAMES</v>
      </c>
      <c r="M140" s="6">
        <f t="shared" si="58"/>
        <v>2.6249999995343387E-2</v>
      </c>
      <c r="N140" s="7">
        <f t="shared" si="59"/>
        <v>37.799999993294477</v>
      </c>
      <c r="O140" s="7"/>
      <c r="P140" s="7"/>
      <c r="Q140" s="22"/>
      <c r="R140" s="22"/>
      <c r="S140" s="31">
        <f t="shared" si="60"/>
        <v>1</v>
      </c>
      <c r="T140" s="46" t="str">
        <f t="shared" si="61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62"/>
        <v>https://d0f6bd738d7f1b3e5a7ca70fe4ff75f0.us-east-1.aws.found.io/app/kibana#/discover/Steve-Slow-Train-Analysis-(2080s-and-2083s)?_g=(refreshInterval:(display:Off,pause:!f,section:0,value:0),time:(from:'2017-04-02T20:15:31-0600',mode:absolute,to:'2017-04-02T23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0" s="183" t="str">
        <f t="shared" si="63"/>
        <v>N</v>
      </c>
      <c r="X140" s="183">
        <f t="shared" si="64"/>
        <v>1</v>
      </c>
      <c r="Y140" s="62">
        <f t="shared" si="65"/>
        <v>23.306999999999999</v>
      </c>
      <c r="Z140" s="62">
        <f t="shared" si="66"/>
        <v>1.9800000000000002E-2</v>
      </c>
      <c r="AA140" s="62">
        <f t="shared" si="67"/>
        <v>23.287199999999999</v>
      </c>
      <c r="AB140" s="59" t="str">
        <f>VLOOKUP(A140,Enforcements!$C$7:$K$13,8,0)</f>
        <v>Bulletin (2)</v>
      </c>
      <c r="AC140" s="55" t="str">
        <f>VLOOKUP(A140,Enforcements!$C$7:$E$13,3,0)</f>
        <v>GRADE CROSSING</v>
      </c>
      <c r="AD140" s="56" t="str">
        <f t="shared" si="68"/>
        <v>0228-02</v>
      </c>
      <c r="AE140" s="85" t="str">
        <f t="shared" si="69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140" s="82" t="str">
        <f t="shared" si="70"/>
        <v>"C:\Program Files (x86)\AstroGrep\AstroGrep.exe" /e /r /s /spath="%USERPROFILE%\AppData\Local\Temp\OnboardLogs" /stypes="app*4009*20170403*" /stext=" 04:.+((SYSTEM_STATE.+slice.+state.+changed )|(ment ac)|(multiple cpu faults)|(system.+state.+changed )|(\[timeout)|(PRM\|1\|D)|(kpr)|(kdp)|(\|lc)|(penalty))"</v>
      </c>
      <c r="AG140" s="1" t="str">
        <f t="shared" si="71"/>
        <v>EC</v>
      </c>
      <c r="AH140" s="86" t="str">
        <f t="shared" si="53"/>
        <v>"%USERPROFILE%\Documents\GitHub\eaglep3\Utilities\RefineRTDCRunTimes.py" --tripid 228-02 --locoid 4009 --swversion DE.1.0.9.0 --startMP 204:233070 --initTime 2017-04-02T21:15:31 --startdatetime 2017-04-02T21:27:02 --delay 1 --endMP 204:198 --enddatetime 2017-04-02T22:04:50 --enforcementcount 0 &gt;&gt;C:\Users\stu\Documents\GitHub\eaglep3-reporting\EC\2017-04-02-refined-times.txt</v>
      </c>
      <c r="AI140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{"issue":{"subject":"","project_id":79,"tracker_id":40,"status_id":1,"priority_id":2,"assigned_to_id":23,"start_date":"2017-04-02","description":"","custom_fields":[{"id":1,"name":"Subdivision","value":"EC"},{"id":4,"name":"Milepost","value":"0.0198"},{"id":17,"name":"Train ID","value":"228-02"},{"id":16,"name":"Locomotive ID","value":"4009"},{"id":130,"name":"Impact","value":""},{"id":150,"name":"Time of Event (Mountain Time)","value":"22:04:50"},{"id":151,"name":"Denver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55"/>
        <v>start /low /b %USERPROFILE%\Documents\GitHub\eaglep3\Utilities\DownloadLogsFromS3.py --loco 4009 --day 2017-04-02</v>
      </c>
      <c r="AN140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04:04:50"},{"id":29,"name":"Sharepoint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806</v>
      </c>
      <c r="B141" s="7">
        <v>4016</v>
      </c>
      <c r="C141" s="21" t="s">
        <v>217</v>
      </c>
      <c r="D141" s="21" t="s">
        <v>458</v>
      </c>
      <c r="E141" s="13">
        <v>42827.872407407405</v>
      </c>
      <c r="F141" s="13">
        <v>42827.875185185185</v>
      </c>
      <c r="G141" s="7">
        <v>1</v>
      </c>
      <c r="H141" s="21" t="s">
        <v>513</v>
      </c>
      <c r="I141" s="13">
        <v>42827.900983796295</v>
      </c>
      <c r="J141" s="7">
        <v>0</v>
      </c>
      <c r="K141" s="97" t="str">
        <f t="shared" ref="K141:K172" si="72">IF(ISEVEN(B141),(B141-1)&amp;"/"&amp;B141,B141&amp;"/"&amp;(B141+1))</f>
        <v>4015/4016</v>
      </c>
      <c r="L141" s="21" t="str">
        <f>VLOOKUP(A141,'Trips&amp;Operators'!$C$1:$G$99999,5,FALSE)</f>
        <v>YANG JAN</v>
      </c>
      <c r="M141" s="6">
        <f t="shared" ref="M141:M172" si="73">I141-F141</f>
        <v>2.5798611110076308E-2</v>
      </c>
      <c r="N141" s="7">
        <f t="shared" ref="N141:N172" si="74">24*60*SUM($M141:$M141)</f>
        <v>37.149999998509884</v>
      </c>
      <c r="O141" s="7"/>
      <c r="P141" s="7"/>
      <c r="Q141" s="22"/>
      <c r="R141" s="22"/>
      <c r="S141" s="31">
        <f t="shared" ref="S141:S172" si="75">SUM(U141:U141)/IF(AG141="EC",12,1)</f>
        <v>1</v>
      </c>
      <c r="T141" s="46" t="str">
        <f t="shared" ref="T141:T172" si="76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172" si="7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-02T19:56:16-0600',mode:absolute,to:'2017-04-02T22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83" t="str">
        <f t="shared" ref="W141:W172" si="78">IF(AA141&lt;IF(AG141="EC",23,5.65),"Y","N")</f>
        <v>N</v>
      </c>
      <c r="X141" s="183">
        <f t="shared" ref="X141:X155" si="79">VALUE(LEFT(AD141,4))-VALUE(LEFT(AD140,4))</f>
        <v>1</v>
      </c>
      <c r="Y141" s="62">
        <f t="shared" ref="Y141:Y172" si="80">RIGHT(D141,LEN(D141)-4)/10000</f>
        <v>4.4699999999999997E-2</v>
      </c>
      <c r="Z141" s="62">
        <f t="shared" ref="Z141:Z172" si="81">RIGHT(H141,LEN(H141)-4)/10000</f>
        <v>23.330200000000001</v>
      </c>
      <c r="AA141" s="62">
        <f t="shared" ref="AA141:AA172" si="82">ABS(Z141-Y141)</f>
        <v>23.285500000000003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172" si="83">IF(LEN(A141)=6,"0"&amp;A141,A141)</f>
        <v>0229-02</v>
      </c>
      <c r="AE141" s="85" t="str">
        <f t="shared" ref="AE141:AE172" si="8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141" s="82" t="str">
        <f t="shared" ref="AF141:AF172" si="8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/stypes="app*4016*20170403*" /stext=" 03:.+((SYSTEM_STATE.+slice.+state.+changed )|(ment ac)|(multiple cpu faults)|(system.+state.+changed )|(\[timeout)|(PRM\|1\|D)|(kpr)|(kdp)|(\|lc)|(penalty))"</v>
      </c>
      <c r="AG141" s="1" t="str">
        <f t="shared" ref="AG141:AG172" si="86">IFERROR(IF(VALUE(LEFT(AD141,2))&lt;=2,"EC",IF(OR(VALUE(LEFT(AD141,2))=8,VALUE(LEFT(AD141,2))=18),"NW","Other")),"Other")</f>
        <v>EC</v>
      </c>
      <c r="AH141" s="86" t="str">
        <f t="shared" si="53"/>
        <v>"%USERPROFILE%\Documents\GitHub\eaglep3\Utilities\RefineRTDCRunTimes.py" --tripid 229-02 --locoid 4016 --swversion DE.1.0.9.0 --startMP 204:447 --initTime 2017-04-02T20:56:16 --startdatetime 2017-04-02T21:00:16 --delay 1 --endMP 204:233302 --enddatetime 2017-04-02T21:37:25 --enforcementcount 0 &gt;&gt;C:\Users\stu\Documents\GitHub\eaglep3-reporting\EC\2017-04-02-refined-times.txt</v>
      </c>
      <c r="AI141" s="104" t="str">
        <f t="shared" si="54"/>
        <v>echo {"issue":{"subject":"","project_id":79,"tracker_id":40,"status_id":1,"priority_id":2,"assigned_to_id":23,"start_date":"2017-04-02","description":"","custom_fields":[{"id":1,"name":"Subdivision","value":"EC"},{"id":4,"name":"Milepost","value":"23.3302"},{"id":17,"name":"Train ID","value":"229-02"},{"id":16,"name":"Locomotive ID","value":"4016"},{"id":130,"name":"Impact","value":""},{"id":150,"name":"Time of Event (Mountain Time)","value":"21:37:25"},{"id":151,"name":"Denver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55"/>
        <v>start /low /b %USERPROFILE%\Documents\GitHub\eaglep3\Utilities\DownloadLogsFromS3.py --loco 4016 --day 2017-04-02</v>
      </c>
      <c r="AN141" s="159" t="str">
        <f t="shared" si="56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03:37:25"},{"id":29,"name":"Sharepoint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633</v>
      </c>
      <c r="B142" s="7">
        <v>4015</v>
      </c>
      <c r="C142" s="21" t="s">
        <v>217</v>
      </c>
      <c r="D142" s="21" t="s">
        <v>576</v>
      </c>
      <c r="E142" s="13">
        <v>42827.909907407404</v>
      </c>
      <c r="F142" s="13">
        <v>42827.914050925923</v>
      </c>
      <c r="G142" s="7">
        <v>1</v>
      </c>
      <c r="H142" s="21" t="s">
        <v>587</v>
      </c>
      <c r="I142" s="13">
        <v>42827.942210648151</v>
      </c>
      <c r="J142" s="7">
        <v>0</v>
      </c>
      <c r="K142" s="97" t="str">
        <f t="shared" si="72"/>
        <v>4015/4016</v>
      </c>
      <c r="L142" s="21" t="str">
        <f>VLOOKUP(A142,'Trips&amp;Operators'!$C$1:$G$99999,5,FALSE)</f>
        <v>YANG JAN</v>
      </c>
      <c r="M142" s="6">
        <f t="shared" si="73"/>
        <v>2.8159722227428574E-2</v>
      </c>
      <c r="N142" s="7">
        <f t="shared" si="74"/>
        <v>40.550000007497147</v>
      </c>
      <c r="O142" s="7"/>
      <c r="P142" s="7"/>
      <c r="Q142" s="22"/>
      <c r="R142" s="22"/>
      <c r="S142" s="31">
        <f t="shared" si="75"/>
        <v>1</v>
      </c>
      <c r="T142" s="46" t="str">
        <f t="shared" si="76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77"/>
        <v>https://d0f6bd738d7f1b3e5a7ca70fe4ff75f0.us-east-1.aws.found.io/app/kibana#/discover/Steve-Slow-Train-Analysis-(2080s-and-2083s)?_g=(refreshInterval:(display:Off,pause:!f,section:0,value:0),time:(from:'2017-04-02T20:50:16-0600',mode:absolute,to:'2017-04-02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83" t="str">
        <f t="shared" si="78"/>
        <v>N</v>
      </c>
      <c r="X142" s="183">
        <f t="shared" si="79"/>
        <v>1</v>
      </c>
      <c r="Y142" s="62">
        <f t="shared" si="80"/>
        <v>23.3002</v>
      </c>
      <c r="Z142" s="62">
        <f t="shared" si="81"/>
        <v>1.6E-2</v>
      </c>
      <c r="AA142" s="62">
        <f t="shared" si="82"/>
        <v>23.284200000000002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83"/>
        <v>0230-02</v>
      </c>
      <c r="AE142" s="85" t="str">
        <f t="shared" si="84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142" s="82" t="str">
        <f t="shared" si="85"/>
        <v>"C:\Program Files (x86)\AstroGrep\AstroGrep.exe" /e /r /s /spath="%USERPROFILE%\AppData\Local\Temp\OnboardLogs" /stypes="app*4015*20170403*" /stext=" 04:.+((SYSTEM_STATE.+slice.+state.+changed )|(ment ac)|(multiple cpu faults)|(system.+state.+changed )|(\[timeout)|(PRM\|1\|D)|(kpr)|(kdp)|(\|lc)|(penalty))"</v>
      </c>
      <c r="AG142" s="1" t="str">
        <f t="shared" si="86"/>
        <v>EC</v>
      </c>
      <c r="AH142" s="86" t="str">
        <f t="shared" ref="AH142:AH204" si="8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230-02 --locoid 4015 --swversion DE.1.0.9.0 --startMP 204:233002 --initTime 2017-04-02T21:50:16 --startdatetime 2017-04-02T21:56:14 --delay 1 --endMP 204:160 --enddatetime 2017-04-02T22:36:47 --enforcementcount 0 &gt;&gt;C:\Users\stu\Documents\GitHub\eaglep3-reporting\EC\2017-04-02-refined-times.txt</v>
      </c>
      <c r="AI142" s="104" t="str">
        <f t="shared" ref="AI142:AI204" si="8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{"issue":{"subject":"","project_id":79,"tracker_id":40,"status_id":1,"priority_id":2,"assigned_to_id":23,"start_date":"2017-04-02","description":"","custom_fields":[{"id":1,"name":"Subdivision","value":"EC"},{"id":4,"name":"Milepost","value":"0.016"},{"id":17,"name":"Train ID","value":"230-02"},{"id":16,"name":"Locomotive ID","value":"4015"},{"id":130,"name":"Impact","value":""},{"id":150,"name":"Time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4" si="89">"start /low /b "&amp;dls3logs&amp;" --loco "&amp;B142&amp;" --day "&amp;TEXT(F142,"YYYY-MM-DD")</f>
        <v>start /low /b %USERPROFILE%\Documents\GitHub\eaglep3\Utilities\DownloadLogsFromS3.py --loco 4015 --day 2017-04-02</v>
      </c>
      <c r="AN142" s="159" t="str">
        <f t="shared" ref="AN142:AN204" si="9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809</v>
      </c>
      <c r="B143" s="7">
        <v>4002</v>
      </c>
      <c r="C143" s="21" t="s">
        <v>217</v>
      </c>
      <c r="D143" s="21" t="s">
        <v>436</v>
      </c>
      <c r="E143" s="13">
        <v>42827.882071759261</v>
      </c>
      <c r="F143" s="13">
        <v>42827.89607638889</v>
      </c>
      <c r="G143" s="7">
        <v>1</v>
      </c>
      <c r="H143" s="21" t="s">
        <v>513</v>
      </c>
      <c r="I143" s="13">
        <v>42827.921215277776</v>
      </c>
      <c r="J143" s="7">
        <v>0</v>
      </c>
      <c r="K143" s="97" t="str">
        <f t="shared" si="72"/>
        <v>4001/4002</v>
      </c>
      <c r="L143" s="21" t="str">
        <f>VLOOKUP(A143,'Trips&amp;Operators'!$C$1:$G$99999,5,FALSE)</f>
        <v>SAFIEF AEIMEN</v>
      </c>
      <c r="M143" s="6">
        <f t="shared" si="73"/>
        <v>2.5138888886431232E-2</v>
      </c>
      <c r="N143" s="7">
        <f t="shared" si="74"/>
        <v>36.199999996460974</v>
      </c>
      <c r="O143" s="7"/>
      <c r="P143" s="7"/>
      <c r="Q143" s="22"/>
      <c r="R143" s="22"/>
      <c r="S143" s="31">
        <f t="shared" si="75"/>
        <v>1</v>
      </c>
      <c r="T143" s="46" t="str">
        <f t="shared" si="76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77"/>
        <v>https://d0f6bd738d7f1b3e5a7ca70fe4ff75f0.us-east-1.aws.found.io/app/kibana#/discover/Steve-Slow-Train-Analysis-(2080s-and-2083s)?_g=(refreshInterval:(display:Off,pause:!f,section:0,value:0),time:(from:'2017-04-02T20:10:11-0600',mode:absolute,to:'2017-04-02T23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3" s="183" t="str">
        <f t="shared" si="78"/>
        <v>N</v>
      </c>
      <c r="X143" s="183">
        <f t="shared" si="79"/>
        <v>1</v>
      </c>
      <c r="Y143" s="62">
        <f t="shared" si="80"/>
        <v>4.6399999999999997E-2</v>
      </c>
      <c r="Z143" s="62">
        <f t="shared" si="81"/>
        <v>23.330200000000001</v>
      </c>
      <c r="AA143" s="62">
        <f t="shared" si="82"/>
        <v>23.283800000000003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83"/>
        <v>0231-02</v>
      </c>
      <c r="AE143" s="85" t="str">
        <f t="shared" si="84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143" s="82" t="str">
        <f t="shared" si="85"/>
        <v>"C:\Program Files (x86)\AstroGrep\AstroGrep.exe" /e /r /s /spath="%USERPROFILE%\AppData\Local\Temp\OnboardLogs" /stypes="app*4002*20170403*" /stext=" 04:.+((SYSTEM_STATE.+slice.+state.+changed )|(ment ac)|(multiple cpu faults)|(system.+state.+changed )|(\[timeout)|(PRM\|1\|D)|(kpr)|(kdp)|(\|lc)|(penalty))"</v>
      </c>
      <c r="AG143" s="1" t="str">
        <f t="shared" si="86"/>
        <v>EC</v>
      </c>
      <c r="AH143" s="86" t="str">
        <f t="shared" si="87"/>
        <v>"%USERPROFILE%\Documents\GitHub\eaglep3\Utilities\RefineRTDCRunTimes.py" --tripid 231-02 --locoid 4002 --swversion DE.1.0.9.0 --startMP 204:464 --initTime 2017-04-02T21:10:11 --startdatetime 2017-04-02T21:30:21 --delay 1 --endMP 204:233302 --enddatetime 2017-04-02T22:06:33 --enforcementcount 0 &gt;&gt;C:\Users\stu\Documents\GitHub\eaglep3-reporting\EC\2017-04-02-refined-times.txt</v>
      </c>
      <c r="AI143" s="104" t="str">
        <f t="shared" si="88"/>
        <v>echo {"issue":{"subject":"","project_id":79,"tracker_id":40,"status_id":1,"priority_id":2,"assigned_to_id":23,"start_date":"2017-04-02","description":"","custom_fields":[{"id":1,"name":"Subdivision","value":"EC"},{"id":4,"name":"Milepost","value":"23.3302"},{"id":17,"name":"Train ID","value":"231-02"},{"id":16,"name":"Locomotive ID","value":"4002"},{"id":130,"name":"Impact","value":""},{"id":150,"name":"Time of Event (Mountain Time)","value":"22:06:33"},{"id":151,"name":"Denver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89"/>
        <v>start /low /b %USERPROFILE%\Documents\GitHub\eaglep3\Utilities\DownloadLogsFromS3.py --loco 4002 --day 2017-04-02</v>
      </c>
      <c r="AN143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04:06:33"},{"id":29,"name":"Sharepoint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814</v>
      </c>
      <c r="B144" s="7">
        <v>4001</v>
      </c>
      <c r="C144" s="21" t="s">
        <v>217</v>
      </c>
      <c r="D144" s="21" t="s">
        <v>928</v>
      </c>
      <c r="E144" s="13">
        <v>42827.926238425927</v>
      </c>
      <c r="F144" s="13">
        <v>42827.934999999998</v>
      </c>
      <c r="G144" s="7">
        <v>1</v>
      </c>
      <c r="H144" s="21" t="s">
        <v>861</v>
      </c>
      <c r="I144" s="13">
        <v>42827.962812500002</v>
      </c>
      <c r="J144" s="7">
        <v>0</v>
      </c>
      <c r="K144" s="97" t="str">
        <f t="shared" si="72"/>
        <v>4001/4002</v>
      </c>
      <c r="L144" s="21" t="str">
        <f>VLOOKUP(A144,'Trips&amp;Operators'!$C$1:$G$99999,5,FALSE)</f>
        <v>SAFIEF AEIMEN</v>
      </c>
      <c r="M144" s="6">
        <f t="shared" si="73"/>
        <v>2.7812500004074536E-2</v>
      </c>
      <c r="N144" s="7">
        <f t="shared" si="74"/>
        <v>40.050000005867332</v>
      </c>
      <c r="O144" s="7"/>
      <c r="P144" s="7"/>
      <c r="Q144" s="22"/>
      <c r="R144" s="22"/>
      <c r="S144" s="31">
        <f t="shared" si="75"/>
        <v>1</v>
      </c>
      <c r="T144" s="46" t="str">
        <f t="shared" si="76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77"/>
        <v>https://d0f6bd738d7f1b3e5a7ca70fe4ff75f0.us-east-1.aws.found.io/app/kibana#/discover/Steve-Slow-Train-Analysis-(2080s-and-2083s)?_g=(refreshInterval:(display:Off,pause:!f,section:0,value:0),time:(from:'2017-04-02T21:13:47-0600',mode:absolute,to:'2017-04-03T00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4" s="183" t="str">
        <f t="shared" si="78"/>
        <v>N</v>
      </c>
      <c r="X144" s="183">
        <f t="shared" si="79"/>
        <v>1</v>
      </c>
      <c r="Y144" s="62">
        <f t="shared" si="80"/>
        <v>23.298300000000001</v>
      </c>
      <c r="Z144" s="62">
        <f t="shared" si="81"/>
        <v>1.21E-2</v>
      </c>
      <c r="AA144" s="62">
        <f t="shared" si="82"/>
        <v>23.286200000000001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83"/>
        <v>0232-02</v>
      </c>
      <c r="AE144" s="85" t="str">
        <f t="shared" si="84"/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AF144" s="82" t="str">
        <f t="shared" si="85"/>
        <v>"C:\Program Files (x86)\AstroGrep\AstroGrep.exe" /e /r /s /spath="%USERPROFILE%\AppData\Local\Temp\OnboardLogs" /stypes="app*4001*20170403*" /stext=" 05:.+((SYSTEM_STATE.+slice.+state.+changed )|(ment ac)|(multiple cpu faults)|(system.+state.+changed )|(\[timeout)|(PRM\|1\|D)|(kpr)|(kdp)|(\|lc)|(penalty))"</v>
      </c>
      <c r="AG144" s="1" t="str">
        <f t="shared" si="86"/>
        <v>EC</v>
      </c>
      <c r="AH144" s="86" t="str">
        <f t="shared" si="87"/>
        <v>"%USERPROFILE%\Documents\GitHub\eaglep3\Utilities\RefineRTDCRunTimes.py" --tripid 232-02 --locoid 4001 --swversion DE.1.0.9.0 --startMP 204:232983 --initTime 2017-04-02T22:13:47 --startdatetime 2017-04-02T22:26:24 --delay 1 --endMP 204:121 --enddatetime 2017-04-02T23:06:27 --enforcementcount 0 &gt;&gt;C:\Users\stu\Documents\GitHub\eaglep3-reporting\EC\2017-04-02-refined-times.txt</v>
      </c>
      <c r="AI144" s="104" t="str">
        <f t="shared" si="88"/>
        <v>echo {"issue":{"subject":"","project_id":79,"tracker_id":40,"status_id":1,"priority_id":2,"assigned_to_id":23,"start_date":"2017-04-02","description":"","custom_fields":[{"id":1,"name":"Subdivision","value":"EC"},{"id":4,"name":"Milepost","value":"0.0121"},{"id":17,"name":"Train ID","value":"232-02"},{"id":16,"name":"Locomotive ID","value":"4001"},{"id":130,"name":"Impact","value":""},{"id":150,"name":"Time of Event (Mountain Time)","value":"23:06:27"},{"id":151,"name":"Denver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89"/>
        <v>start /low /b %USERPROFILE%\Documents\GitHub\eaglep3\Utilities\DownloadLogsFromS3.py --loco 4001 --day 2017-04-02</v>
      </c>
      <c r="AN144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05:06:27"},{"id":29,"name":"Sharepoint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812</v>
      </c>
      <c r="B145" s="7">
        <v>4054</v>
      </c>
      <c r="C145" s="21" t="s">
        <v>217</v>
      </c>
      <c r="D145" s="21" t="s">
        <v>458</v>
      </c>
      <c r="E145" s="13">
        <v>42827.904270833336</v>
      </c>
      <c r="F145" s="13">
        <v>42827.916932870372</v>
      </c>
      <c r="G145" s="7">
        <v>1</v>
      </c>
      <c r="H145" s="21" t="s">
        <v>929</v>
      </c>
      <c r="I145" s="13">
        <v>42827.942199074074</v>
      </c>
      <c r="J145" s="7">
        <v>0</v>
      </c>
      <c r="K145" s="97" t="str">
        <f t="shared" si="72"/>
        <v>4053/4054</v>
      </c>
      <c r="L145" s="21" t="str">
        <f>VLOOKUP(A145,'Trips&amp;Operators'!$C$1:$G$99999,5,FALSE)</f>
        <v>SMITH MICHAEL</v>
      </c>
      <c r="M145" s="6">
        <f t="shared" si="73"/>
        <v>2.5266203701903578E-2</v>
      </c>
      <c r="N145" s="7">
        <f t="shared" si="74"/>
        <v>36.383333330741152</v>
      </c>
      <c r="O145" s="7"/>
      <c r="P145" s="7"/>
      <c r="Q145" s="22"/>
      <c r="R145" s="22"/>
      <c r="S145" s="31">
        <f t="shared" si="75"/>
        <v>1</v>
      </c>
      <c r="T145" s="46" t="str">
        <f t="shared" si="76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77"/>
        <v>https://d0f6bd738d7f1b3e5a7ca70fe4ff75f0.us-east-1.aws.found.io/app/kibana#/discover/Steve-Slow-Train-Analysis-(2080s-and-2083s)?_g=(refreshInterval:(display:Off,pause:!f,section:0,value:0),time:(from:'2017-04-02T20:42:09-0600',mode:absolute,to:'2017-04-02T23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5" s="183" t="str">
        <f t="shared" si="78"/>
        <v>N</v>
      </c>
      <c r="X145" s="183">
        <f t="shared" si="79"/>
        <v>1</v>
      </c>
      <c r="Y145" s="62">
        <f t="shared" si="80"/>
        <v>4.4699999999999997E-2</v>
      </c>
      <c r="Z145" s="62">
        <f t="shared" si="81"/>
        <v>23.341699999999999</v>
      </c>
      <c r="AA145" s="62">
        <f t="shared" si="82"/>
        <v>23.297000000000001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83"/>
        <v>0233-02</v>
      </c>
      <c r="AE145" s="85" t="str">
        <f t="shared" si="84"/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AF145" s="82" t="str">
        <f t="shared" si="85"/>
        <v>"C:\Program Files (x86)\AstroGrep\AstroGrep.exe" /e /r /s /spath="%USERPROFILE%\AppData\Local\Temp\OnboardLogs" /stypes="app*4054*20170403*" /stext=" 04:.+((SYSTEM_STATE.+slice.+state.+changed )|(ment ac)|(multiple cpu faults)|(system.+state.+changed )|(\[timeout)|(PRM\|1\|D)|(kpr)|(kdp)|(\|lc)|(penalty))"</v>
      </c>
      <c r="AG145" s="1" t="str">
        <f t="shared" si="86"/>
        <v>EC</v>
      </c>
      <c r="AH145" s="86" t="str">
        <f t="shared" si="87"/>
        <v>"%USERPROFILE%\Documents\GitHub\eaglep3\Utilities\RefineRTDCRunTimes.py" --tripid 233-02 --locoid 4054 --swversion DE.1.0.9.0 --startMP 204:447 --initTime 2017-04-02T21:42:09 --startdatetime 2017-04-02T22:00:23 --delay 1 --endMP 204:233417 --enddatetime 2017-04-02T22:36:46 --enforcementcount 0 &gt;&gt;C:\Users\stu\Documents\GitHub\eaglep3-reporting\EC\2017-04-02-refined-times.txt</v>
      </c>
      <c r="AI145" s="104" t="str">
        <f t="shared" si="88"/>
        <v>echo {"issue":{"subject":"","project_id":79,"tracker_id":40,"status_id":1,"priority_id":2,"assigned_to_id":23,"start_date":"2017-04-02","description":"","custom_fields":[{"id":1,"name":"Subdivision","value":"EC"},{"id":4,"name":"Milepost","value":"23.3417"},{"id":17,"name":"Train ID","value":"233-02"},{"id":16,"name":"Locomotive ID","value":"4054"},{"id":130,"name":"Impact","value":""},{"id":150,"name":"Time of Event (Mountain Time)","value":"22:36:46"},{"id":151,"name":"Denver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89"/>
        <v>start /low /b %USERPROFILE%\Documents\GitHub\eaglep3\Utilities\DownloadLogsFromS3.py --loco 4054 --day 2017-04-02</v>
      </c>
      <c r="AN145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04:36:46"},{"id":29,"name":"Sharepoint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3" t="s">
        <v>816</v>
      </c>
      <c r="B146" s="7">
        <v>4053</v>
      </c>
      <c r="C146" s="21" t="s">
        <v>217</v>
      </c>
      <c r="D146" s="21" t="s">
        <v>930</v>
      </c>
      <c r="E146" s="13">
        <v>42827.945092592592</v>
      </c>
      <c r="F146" s="13">
        <v>42827.955729166664</v>
      </c>
      <c r="G146" s="7">
        <v>1</v>
      </c>
      <c r="H146" s="21" t="s">
        <v>459</v>
      </c>
      <c r="I146" s="13">
        <v>42827.983101851853</v>
      </c>
      <c r="J146" s="7">
        <v>0</v>
      </c>
      <c r="K146" s="97" t="str">
        <f t="shared" si="72"/>
        <v>4053/4054</v>
      </c>
      <c r="L146" s="21" t="str">
        <f>VLOOKUP(A146,'Trips&amp;Operators'!$C$1:$G$99999,5,FALSE)</f>
        <v>SMITH MICHAEL</v>
      </c>
      <c r="M146" s="6">
        <f t="shared" si="73"/>
        <v>2.7372685188311152E-2</v>
      </c>
      <c r="N146" s="7">
        <f t="shared" si="74"/>
        <v>39.416666671168059</v>
      </c>
      <c r="O146" s="7"/>
      <c r="P146" s="7"/>
      <c r="Q146" s="22"/>
      <c r="R146" s="22"/>
      <c r="S146" s="31">
        <f t="shared" si="75"/>
        <v>1</v>
      </c>
      <c r="T146" s="46" t="str">
        <f t="shared" si="76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77"/>
        <v>https://d0f6bd738d7f1b3e5a7ca70fe4ff75f0.us-east-1.aws.found.io/app/kibana#/discover/Steve-Slow-Train-Analysis-(2080s-and-2083s)?_g=(refreshInterval:(display:Off,pause:!f,section:0,value:0),time:(from:'2017-04-02T21:40:56-0600',mode:absolute,to:'2017-04-03T00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6" s="183" t="str">
        <f t="shared" si="78"/>
        <v>N</v>
      </c>
      <c r="X146" s="183">
        <f t="shared" si="79"/>
        <v>1</v>
      </c>
      <c r="Y146" s="62">
        <f t="shared" si="80"/>
        <v>23.314399999999999</v>
      </c>
      <c r="Z146" s="62">
        <f t="shared" si="81"/>
        <v>1.41E-2</v>
      </c>
      <c r="AA146" s="62">
        <f t="shared" si="82"/>
        <v>23.3003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83"/>
        <v>0234-02</v>
      </c>
      <c r="AE146" s="85" t="str">
        <f t="shared" si="84"/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AF146" s="82" t="str">
        <f t="shared" si="85"/>
        <v>"C:\Program Files (x86)\AstroGrep\AstroGrep.exe" /e /r /s /spath="%USERPROFILE%\AppData\Local\Temp\OnboardLogs" /stypes="app*4053*20170403*" /stext=" 05:.+((SYSTEM_STATE.+slice.+state.+changed )|(ment ac)|(multiple cpu faults)|(system.+state.+changed )|(\[timeout)|(PRM\|1\|D)|(kpr)|(kdp)|(\|lc)|(penalty))"</v>
      </c>
      <c r="AG146" s="1" t="str">
        <f t="shared" si="86"/>
        <v>EC</v>
      </c>
      <c r="AH146" s="86" t="str">
        <f t="shared" si="87"/>
        <v>"%USERPROFILE%\Documents\GitHub\eaglep3\Utilities\RefineRTDCRunTimes.py" --tripid 234-02 --locoid 4053 --swversion DE.1.0.9.0 --startMP 204:233144 --initTime 2017-04-02T22:40:56 --startdatetime 2017-04-02T22:56:15 --delay 1 --endMP 204:141 --enddatetime 2017-04-02T23:35:40 --enforcementcount 0 &gt;&gt;C:\Users\stu\Documents\GitHub\eaglep3-reporting\EC\2017-04-02-refined-times.txt</v>
      </c>
      <c r="AI146" s="104" t="str">
        <f t="shared" si="88"/>
        <v>echo {"issue":{"subject":"","project_id":79,"tracker_id":40,"status_id":1,"priority_id":2,"assigned_to_id":23,"start_date":"2017-04-02","description":"","custom_fields":[{"id":1,"name":"Subdivision","value":"EC"},{"id":4,"name":"Milepost","value":"0.0141"},{"id":17,"name":"Train ID","value":"234-02"},{"id":16,"name":"Locomotive ID","value":"4053"},{"id":130,"name":"Impact","value":""},{"id":150,"name":"Time of Event (Mountain Time)","value":"23:35:40"},{"id":151,"name":"Denver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8"/>
      <c r="AL146" s="48"/>
      <c r="AM146" s="150" t="str">
        <f t="shared" si="89"/>
        <v>start /low /b %USERPROFILE%\Documents\GitHub\eaglep3\Utilities\DownloadLogsFromS3.py --loco 4053 --day 2017-04-02</v>
      </c>
      <c r="AN146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05:35:40"},{"id":29,"name":"Sharepoint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s="20" customFormat="1" x14ac:dyDescent="0.25">
      <c r="A147" s="33" t="s">
        <v>813</v>
      </c>
      <c r="B147" s="7">
        <v>4010</v>
      </c>
      <c r="C147" s="21" t="s">
        <v>217</v>
      </c>
      <c r="D147" s="21" t="s">
        <v>931</v>
      </c>
      <c r="E147" s="13">
        <v>42827.921307870369</v>
      </c>
      <c r="F147" s="13">
        <v>42827.937962962962</v>
      </c>
      <c r="G147" s="7">
        <v>17</v>
      </c>
      <c r="H147" s="21" t="s">
        <v>932</v>
      </c>
      <c r="I147" s="13">
        <v>42827.962337962963</v>
      </c>
      <c r="J147" s="7">
        <v>0</v>
      </c>
      <c r="K147" s="97" t="str">
        <f t="shared" si="72"/>
        <v>4009/4010</v>
      </c>
      <c r="L147" s="21" t="str">
        <f>VLOOKUP(A147,'Trips&amp;Operators'!$C$1:$G$99999,5,FALSE)</f>
        <v>STAMBAUGH JAMES</v>
      </c>
      <c r="M147" s="6">
        <f t="shared" si="73"/>
        <v>2.4375000000873115E-2</v>
      </c>
      <c r="N147" s="7">
        <f t="shared" si="74"/>
        <v>35.100000001257285</v>
      </c>
      <c r="O147" s="7"/>
      <c r="P147" s="7"/>
      <c r="Q147" s="22"/>
      <c r="R147" s="22" t="s">
        <v>969</v>
      </c>
      <c r="S147" s="31">
        <f t="shared" si="75"/>
        <v>1</v>
      </c>
      <c r="T147" s="46" t="str">
        <f t="shared" si="76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77"/>
        <v>https://d0f6bd738d7f1b3e5a7ca70fe4ff75f0.us-east-1.aws.found.io/app/kibana#/discover/Steve-Slow-Train-Analysis-(2080s-and-2083s)?_g=(refreshInterval:(display:Off,pause:!f,section:0,value:0),time:(from:'2017-04-02T21:06:41-0600',mode:absolute,to:'2017-04-03T00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7" s="183" t="str">
        <f t="shared" si="78"/>
        <v>N</v>
      </c>
      <c r="X147" s="183">
        <f t="shared" si="79"/>
        <v>1</v>
      </c>
      <c r="Y147" s="62">
        <f t="shared" si="80"/>
        <v>4.8800000000000003E-2</v>
      </c>
      <c r="Z147" s="62">
        <f t="shared" si="81"/>
        <v>23.336300000000001</v>
      </c>
      <c r="AA147" s="62">
        <f t="shared" si="82"/>
        <v>23.287500000000001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83"/>
        <v>0235-02</v>
      </c>
      <c r="AE147" s="85" t="str">
        <f t="shared" si="84"/>
        <v>aws s3 cp s3://rtdc.mdm.uploadarchive.raw/RTDC4010/ "%USERPROFILE%\AppData\Local\Temp\OnboardLogs"\RTDC4010\2017-04-02 --exclude "*" --recursive --include "*20170402*" &amp; "%USERPROFILE%\Documents\GitHub\mrs-test-scripts\Headless Mode &amp; Sideloading\WalkAndUnGZ.bat" "%USERPROFILE%\AppData\Local\Temp\OnboardLogs"\RTDC4010\2017-04-02 &amp; 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</v>
      </c>
      <c r="AF147" s="82" t="str">
        <f t="shared" si="85"/>
        <v>"C:\Program Files (x86)\AstroGrep\AstroGrep.exe" /e /r /s /spath="%USERPROFILE%\AppData\Local\Temp\OnboardLogs" /stypes="app*4010*20170403*" /stext=" 05:.+((SYSTEM_STATE.+slice.+state.+changed )|(ment ac)|(multiple cpu faults)|(system.+state.+changed )|(\[timeout)|(PRM\|1\|D)|(kpr)|(kdp)|(\|lc)|(penalty))"</v>
      </c>
      <c r="AG147" s="1" t="str">
        <f t="shared" si="86"/>
        <v>EC</v>
      </c>
      <c r="AH147" s="86" t="str">
        <f t="shared" si="87"/>
        <v>"%USERPROFILE%\Documents\GitHub\eaglep3\Utilities\RefineRTDCRunTimes.py" --tripid 235-02 --locoid 4010 --swversion DE.1.0.9.0 --startMP 204:488 --initTime 2017-04-02T22:06:41 --startdatetime 2017-04-02T22:30:40 --delay 17 --endMP 204:233363 --enddatetime 2017-04-02T23:05:46 --enforcementcount 0 &gt;&gt;C:\Users\stu\Documents\GitHub\eaglep3-reporting\EC\2017-04-02-refined-times.txt</v>
      </c>
      <c r="AI147" s="104" t="str">
        <f t="shared" si="88"/>
        <v>echo {"issue":{"subject":"Wi-MAX data drop, no enforcement (operator slowed train to avoid)","project_id":79,"tracker_id":40,"status_id":1,"priority_id":2,"assigned_to_id":23,"start_date":"2017-04-02","description":"http://stevetu21.github.io/eaglep3/load_kml.html?kml=http://rtdc.gmaps-snips.s3.amazonaws.com/dcfaddd6-c19d-4655-bd94-58e95e918d1a.kml","custom_fields":[{"id":1,"name":"Subdivision","value":"EC"},{"id":4,"name":"Milepost","value":"23.3363"},{"id":17,"name":"Train ID","value":"235-02"},{"id":16,"name":"Locomotive ID","value":"4010"},{"id":130,"name":"Impact","value":"Others"},{"id":150,"name":"Time of Event (Mountain Time)","value":"23:05:46"},{"id":151,"name":"Denver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7" t="s">
        <v>970</v>
      </c>
      <c r="AK147" s="48" t="s">
        <v>136</v>
      </c>
      <c r="AL147" s="48" t="s">
        <v>137</v>
      </c>
      <c r="AM147" s="150" t="str">
        <f t="shared" si="89"/>
        <v>start /low /b %USERPROFILE%\Documents\GitHub\eaglep3\Utilities\DownloadLogsFromS3.py --loco 4010 --day 2017-04-02</v>
      </c>
      <c r="AN147" s="159" t="str">
        <f t="shared" si="90"/>
        <v>echo {"issue":{"subject":"Wi-MAX data drop, no enforcement (operator slowed train to avoid)","project_id":30,"tracker_id":4,"status_id":1,"priority_id":1,"assigned_to_id":10,"start_date":"2017-04-03","description":"http://stevetu21.github.io/eaglep3/load_kml.html?kml=http://rtdc.gmaps-snips.s3.amazonaws.com/dcfaddd6-c19d-4655-bd94-58e95e918d1a.kml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05:05:46"},{"id":29,"name":"Sharepoint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819</v>
      </c>
      <c r="B148" s="7">
        <v>4009</v>
      </c>
      <c r="C148" s="21" t="s">
        <v>217</v>
      </c>
      <c r="D148" s="21" t="s">
        <v>492</v>
      </c>
      <c r="E148" s="13">
        <v>42827.974652777775</v>
      </c>
      <c r="F148" s="13">
        <v>42827.977106481485</v>
      </c>
      <c r="G148" s="7">
        <v>0</v>
      </c>
      <c r="H148" s="21" t="s">
        <v>199</v>
      </c>
      <c r="I148" s="13">
        <v>42828.002581018518</v>
      </c>
      <c r="J148" s="7">
        <v>0</v>
      </c>
      <c r="K148" s="97" t="str">
        <f t="shared" si="72"/>
        <v>4009/4010</v>
      </c>
      <c r="L148" s="21" t="str">
        <f>VLOOKUP(A148,'Trips&amp;Operators'!$C$1:$G$99999,5,FALSE)</f>
        <v>STAMBAUGH JAMES</v>
      </c>
      <c r="M148" s="6">
        <f t="shared" si="73"/>
        <v>2.5474537033005618E-2</v>
      </c>
      <c r="N148" s="7">
        <f t="shared" si="74"/>
        <v>36.683333327528089</v>
      </c>
      <c r="O148" s="7"/>
      <c r="P148" s="7"/>
      <c r="Q148" s="22"/>
      <c r="R148" s="22"/>
      <c r="S148" s="31">
        <f t="shared" si="75"/>
        <v>1</v>
      </c>
      <c r="T148" s="46" t="str">
        <f t="shared" si="76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77"/>
        <v>https://d0f6bd738d7f1b3e5a7ca70fe4ff75f0.us-east-1.aws.found.io/app/kibana#/discover/Steve-Slow-Train-Analysis-(2080s-and-2083s)?_g=(refreshInterval:(display:Off,pause:!f,section:0,value:0),time:(from:'2017-04-02T22:23:30-0600',mode:absolute,to:'2017-04-03T01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8" s="183" t="str">
        <f t="shared" si="78"/>
        <v>N</v>
      </c>
      <c r="X148" s="183">
        <f t="shared" si="79"/>
        <v>1</v>
      </c>
      <c r="Y148" s="62">
        <f t="shared" si="80"/>
        <v>23.303599999999999</v>
      </c>
      <c r="Z148" s="62">
        <f t="shared" si="81"/>
        <v>1.52E-2</v>
      </c>
      <c r="AA148" s="62">
        <f t="shared" si="82"/>
        <v>23.288399999999999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83"/>
        <v>0236-02</v>
      </c>
      <c r="AE148" s="85" t="str">
        <f t="shared" si="84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148" s="82" t="str">
        <f t="shared" si="85"/>
        <v>"C:\Program Files (x86)\AstroGrep\AstroGrep.exe" /e /r /s /spath="%USERPROFILE%\AppData\Local\Temp\OnboardLogs" /stypes="app*4009*20170403*" /stext=" 06:.+((SYSTEM_STATE.+slice.+state.+changed )|(ment ac)|(multiple cpu faults)|(system.+state.+changed )|(\[timeout)|(PRM\|1\|D)|(kpr)|(kdp)|(\|lc)|(penalty))"</v>
      </c>
      <c r="AG148" s="1" t="str">
        <f t="shared" si="86"/>
        <v>EC</v>
      </c>
      <c r="AH148" s="86" t="str">
        <f t="shared" si="87"/>
        <v>"%USERPROFILE%\Documents\GitHub\eaglep3\Utilities\RefineRTDCRunTimes.py" --tripid 236-02 --locoid 4009 --swversion DE.1.0.9.0 --startMP 204:233036 --initTime 2017-04-02T23:23:30 --startdatetime 2017-04-02T23:27:02 --delay 0 --endMP 204:152 --enddatetime 2017-04-03T00:03:43 --enforcementcount 0 &gt;&gt;C:\Users\stu\Documents\GitHub\eaglep3-reporting\EC\2017-04-02-refined-times.txt</v>
      </c>
      <c r="AI148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{"issue":{"subject":"","project_id":79,"tracker_id":40,"status_id":1,"priority_id":2,"assigned_to_id":23,"start_date":"2017-04-03","description":"","custom_fields":[{"id":1,"name":"Subdivision","value":"EC"},{"id":4,"name":"Milepost","value":"0.0152"},{"id":17,"name":"Train ID","value":"236-02"},{"id":16,"name":"Locomotive ID","value":"4009"},{"id":130,"name":"Impact","value":""},{"id":150,"name":"Time of Event (Mountain Time)","value":"00:03:43"},{"id":151,"name":"Denver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89"/>
        <v>start /low /b %USERPROFILE%\Documents\GitHub\eaglep3\Utilities\DownloadLogsFromS3.py --loco 4009 --day 2017-04-02</v>
      </c>
      <c r="AN148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06:03:43"},{"id":29,"name":"Sharepoint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817</v>
      </c>
      <c r="B149" s="7">
        <v>4016</v>
      </c>
      <c r="C149" s="21" t="s">
        <v>217</v>
      </c>
      <c r="D149" s="21" t="s">
        <v>207</v>
      </c>
      <c r="E149" s="13">
        <v>42827.954918981479</v>
      </c>
      <c r="F149" s="13">
        <v>42827.95853009259</v>
      </c>
      <c r="G149" s="7">
        <v>1</v>
      </c>
      <c r="H149" s="21" t="s">
        <v>444</v>
      </c>
      <c r="I149" s="13">
        <v>42827.983240740738</v>
      </c>
      <c r="J149" s="7">
        <v>0</v>
      </c>
      <c r="K149" s="97" t="str">
        <f t="shared" si="72"/>
        <v>4015/4016</v>
      </c>
      <c r="L149" s="21" t="str">
        <f>VLOOKUP(A149,'Trips&amp;Operators'!$C$1:$G$99999,5,FALSE)</f>
        <v>CHANDLER KELVIN</v>
      </c>
      <c r="M149" s="6">
        <f t="shared" si="73"/>
        <v>2.47106481474475E-2</v>
      </c>
      <c r="N149" s="7">
        <f t="shared" si="74"/>
        <v>35.583333332324401</v>
      </c>
      <c r="O149" s="7"/>
      <c r="P149" s="7"/>
      <c r="Q149" s="22"/>
      <c r="R149" s="22"/>
      <c r="S149" s="31">
        <f t="shared" si="75"/>
        <v>1</v>
      </c>
      <c r="T149" s="46" t="str">
        <f t="shared" si="76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77"/>
        <v>https://d0f6bd738d7f1b3e5a7ca70fe4ff75f0.us-east-1.aws.found.io/app/kibana#/discover/Steve-Slow-Train-Analysis-(2080s-and-2083s)?_g=(refreshInterval:(display:Off,pause:!f,section:0,value:0),time:(from:'2017-04-02T21:55:05-0600',mode:absolute,to:'2017-04-03T00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83" t="str">
        <f t="shared" si="78"/>
        <v>N</v>
      </c>
      <c r="X149" s="183">
        <f t="shared" si="79"/>
        <v>1</v>
      </c>
      <c r="Y149" s="62">
        <f t="shared" si="80"/>
        <v>4.5699999999999998E-2</v>
      </c>
      <c r="Z149" s="62">
        <f t="shared" si="81"/>
        <v>23.328900000000001</v>
      </c>
      <c r="AA149" s="62">
        <f t="shared" si="82"/>
        <v>23.283200000000001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83"/>
        <v>0237-02</v>
      </c>
      <c r="AE149" s="85" t="str">
        <f t="shared" si="84"/>
        <v>aws s3 cp s3://rtdc.mdm.uploadarchive.raw/RTDC4016/ "%USERPROFILE%\AppData\Local\Temp\OnboardLogs"\RTDC4016\2017-04-02 --exclude "*" --recursive --include "*20170402*" &amp; "%USERPROFILE%\Documents\GitHub\mrs-test-scripts\Headless Mode &amp; Sideloading\WalkAndUnGZ.bat" "%USERPROFILE%\AppData\Local\Temp\OnboardLogs"\RTDC4016\2017-04-02 &amp; 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</v>
      </c>
      <c r="AF149" s="82" t="str">
        <f t="shared" si="85"/>
        <v>"C:\Program Files (x86)\AstroGrep\AstroGrep.exe" /e /r /s /spath="%USERPROFILE%\AppData\Local\Temp\OnboardLogs" /stypes="app*4016*20170403*" /stext=" 05:.+((SYSTEM_STATE.+slice.+state.+changed )|(ment ac)|(multiple cpu faults)|(system.+state.+changed )|(\[timeout)|(PRM\|1\|D)|(kpr)|(kdp)|(\|lc)|(penalty))"</v>
      </c>
      <c r="AG149" s="1" t="str">
        <f t="shared" si="86"/>
        <v>EC</v>
      </c>
      <c r="AH149" s="86" t="str">
        <f t="shared" si="87"/>
        <v>"%USERPROFILE%\Documents\GitHub\eaglep3\Utilities\RefineRTDCRunTimes.py" --tripid 237-02 --locoid 4016 --swversion DE.1.0.9.0 --startMP 204:457 --initTime 2017-04-02T22:55:05 --startdatetime 2017-04-02T23:00:17 --delay 1 --endMP 204:233289 --enddatetime 2017-04-02T23:35:52 --enforcementcount 0 &gt;&gt;C:\Users\stu\Documents\GitHub\eaglep3-reporting\EC\2017-04-02-refined-times.txt</v>
      </c>
      <c r="AI149" s="104" t="str">
        <f t="shared" si="88"/>
        <v>echo {"issue":{"subject":"","project_id":79,"tracker_id":40,"status_id":1,"priority_id":2,"assigned_to_id":23,"start_date":"2017-04-02","description":"","custom_fields":[{"id":1,"name":"Subdivision","value":"EC"},{"id":4,"name":"Milepost","value":"23.3289"},{"id":17,"name":"Train ID","value":"237-02"},{"id":16,"name":"Locomotive ID","value":"4016"},{"id":130,"name":"Impact","value":""},{"id":150,"name":"Time of Event (Mountain Time)","value":"23:35:52"},{"id":151,"name":"Denver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89"/>
        <v>start /low /b %USERPROFILE%\Documents\GitHub\eaglep3\Utilities\DownloadLogsFromS3.py --loco 4016 --day 2017-04-02</v>
      </c>
      <c r="AN149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05:35:52"},{"id":29,"name":"Sharepoint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821</v>
      </c>
      <c r="B150" s="7">
        <v>4015</v>
      </c>
      <c r="C150" s="21" t="s">
        <v>217</v>
      </c>
      <c r="D150" s="21" t="s">
        <v>473</v>
      </c>
      <c r="E150" s="13">
        <v>42827.995208333334</v>
      </c>
      <c r="F150" s="13">
        <v>42827.997407407405</v>
      </c>
      <c r="G150" s="7">
        <v>1</v>
      </c>
      <c r="H150" s="21" t="s">
        <v>200</v>
      </c>
      <c r="I150" s="13">
        <v>42828.025821759256</v>
      </c>
      <c r="J150" s="7">
        <v>0</v>
      </c>
      <c r="K150" s="97" t="str">
        <f t="shared" si="72"/>
        <v>4015/4016</v>
      </c>
      <c r="L150" s="21" t="str">
        <f>VLOOKUP(A150,'Trips&amp;Operators'!$C$1:$G$99999,5,FALSE)</f>
        <v>CHANDLER KELVIN</v>
      </c>
      <c r="M150" s="6">
        <f t="shared" si="73"/>
        <v>2.8414351851097308E-2</v>
      </c>
      <c r="N150" s="7">
        <f t="shared" si="74"/>
        <v>40.916666665580124</v>
      </c>
      <c r="O150" s="7"/>
      <c r="P150" s="7"/>
      <c r="Q150" s="22"/>
      <c r="R150" s="22"/>
      <c r="S150" s="31">
        <f t="shared" si="75"/>
        <v>1</v>
      </c>
      <c r="T150" s="46" t="str">
        <f t="shared" si="76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77"/>
        <v>https://d0f6bd738d7f1b3e5a7ca70fe4ff75f0.us-east-1.aws.found.io/app/kibana#/discover/Steve-Slow-Train-Analysis-(2080s-and-2083s)?_g=(refreshInterval:(display:Off,pause:!f,section:0,value:0),time:(from:'2017-04-02T22:53:06-0600',mode:absolute,to:'2017-04-03T01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83" t="str">
        <f t="shared" si="78"/>
        <v>N</v>
      </c>
      <c r="X150" s="183">
        <f t="shared" si="79"/>
        <v>1</v>
      </c>
      <c r="Y150" s="62">
        <f t="shared" si="80"/>
        <v>23.297599999999999</v>
      </c>
      <c r="Z150" s="62">
        <f t="shared" si="81"/>
        <v>1.5800000000000002E-2</v>
      </c>
      <c r="AA150" s="62">
        <f t="shared" si="82"/>
        <v>23.2818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83"/>
        <v>0238-02</v>
      </c>
      <c r="AE150" s="85" t="str">
        <f t="shared" si="84"/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AF150" s="82" t="str">
        <f t="shared" si="85"/>
        <v>"C:\Program Files (x86)\AstroGrep\AstroGrep.exe" /e /r /s /spath="%USERPROFILE%\AppData\Local\Temp\OnboardLogs" /stypes="app*4015*20170403*" /stext=" 06:.+((SYSTEM_STATE.+slice.+state.+changed )|(ment ac)|(multiple cpu faults)|(system.+state.+changed )|(\[timeout)|(PRM\|1\|D)|(kpr)|(kdp)|(\|lc)|(penalty))"</v>
      </c>
      <c r="AG150" s="1" t="str">
        <f t="shared" si="86"/>
        <v>EC</v>
      </c>
      <c r="AH150" s="86" t="str">
        <f t="shared" si="87"/>
        <v>"%USERPROFILE%\Documents\GitHub\eaglep3\Utilities\RefineRTDCRunTimes.py" --tripid 238-02 --locoid 4015 --swversion DE.1.0.9.0 --startMP 204:232976 --initTime 2017-04-02T23:53:06 --startdatetime 2017-04-02T23:56:16 --delay 1 --endMP 204:158 --enddatetime 2017-04-03T00:37:11 --enforcementcount 0 &gt;&gt;C:\Users\stu\Documents\GitHub\eaglep3-reporting\EC\2017-04-02-refined-times.txt</v>
      </c>
      <c r="AI150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{"issue":{"subject":"","project_id":79,"tracker_id":40,"status_id":1,"priority_id":2,"assigned_to_id":23,"start_date":"2017-04-03","description":"","custom_fields":[{"id":1,"name":"Subdivision","value":"EC"},{"id":4,"name":"Milepost","value":"0.0158"},{"id":17,"name":"Train ID","value":"238-02"},{"id":16,"name":"Locomotive ID","value":"4015"},{"id":130,"name":"Impact","value":""},{"id":150,"name":"Time of Event (Mountain Time)","value":"00:37:11"},{"id":151,"name":"Denver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89"/>
        <v>start /low /b %USERPROFILE%\Documents\GitHub\eaglep3\Utilities\DownloadLogsFromS3.py --loco 4015 --day 2017-04-02</v>
      </c>
      <c r="AN150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06:37:11"},{"id":29,"name":"Sharepoint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818</v>
      </c>
      <c r="B151" s="7">
        <v>4002</v>
      </c>
      <c r="C151" s="21" t="s">
        <v>217</v>
      </c>
      <c r="D151" s="21" t="s">
        <v>457</v>
      </c>
      <c r="E151" s="13">
        <v>42827.974004629628</v>
      </c>
      <c r="F151" s="13">
        <v>42827.979641203703</v>
      </c>
      <c r="G151" s="7">
        <v>1</v>
      </c>
      <c r="H151" s="21" t="s">
        <v>883</v>
      </c>
      <c r="I151" s="13">
        <v>42828.004699074074</v>
      </c>
      <c r="J151" s="7">
        <v>0</v>
      </c>
      <c r="K151" s="97" t="str">
        <f t="shared" si="72"/>
        <v>4001/4002</v>
      </c>
      <c r="L151" s="21" t="str">
        <f>VLOOKUP(A151,'Trips&amp;Operators'!$C$1:$G$99999,5,FALSE)</f>
        <v>SAFIEF AEIMEN</v>
      </c>
      <c r="M151" s="6">
        <f t="shared" si="73"/>
        <v>2.5057870370801538E-2</v>
      </c>
      <c r="N151" s="7">
        <f t="shared" si="74"/>
        <v>36.083333333954215</v>
      </c>
      <c r="O151" s="7"/>
      <c r="P151" s="7"/>
      <c r="Q151" s="22"/>
      <c r="R151" s="22"/>
      <c r="S151" s="31">
        <f t="shared" si="75"/>
        <v>1</v>
      </c>
      <c r="T151" s="46" t="str">
        <f t="shared" si="76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77"/>
        <v>https://d0f6bd738d7f1b3e5a7ca70fe4ff75f0.us-east-1.aws.found.io/app/kibana#/discover/Steve-Slow-Train-Analysis-(2080s-and-2083s)?_g=(refreshInterval:(display:Off,pause:!f,section:0,value:0),time:(from:'2017-04-02T22:22:34-0600',mode:absolute,to:'2017-04-03T01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1" s="183" t="str">
        <f t="shared" si="78"/>
        <v>N</v>
      </c>
      <c r="X151" s="183">
        <f t="shared" si="79"/>
        <v>1</v>
      </c>
      <c r="Y151" s="62">
        <f t="shared" si="80"/>
        <v>4.4400000000000002E-2</v>
      </c>
      <c r="Z151" s="62">
        <f t="shared" si="81"/>
        <v>23.333600000000001</v>
      </c>
      <c r="AA151" s="62">
        <f t="shared" si="82"/>
        <v>23.289200000000001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83"/>
        <v>0239-02</v>
      </c>
      <c r="AE151" s="85" t="str">
        <f t="shared" si="84"/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AF151" s="82" t="str">
        <f t="shared" si="85"/>
        <v>"C:\Program Files (x86)\AstroGrep\AstroGrep.exe" /e /r /s /spath="%USERPROFILE%\AppData\Local\Temp\OnboardLogs" /stypes="app*4002*20170403*" /stext=" 06:.+((SYSTEM_STATE.+slice.+state.+changed )|(ment ac)|(multiple cpu faults)|(system.+state.+changed )|(\[timeout)|(PRM\|1\|D)|(kpr)|(kdp)|(\|lc)|(penalty))"</v>
      </c>
      <c r="AG151" s="1" t="str">
        <f t="shared" si="86"/>
        <v>EC</v>
      </c>
      <c r="AH151" s="86" t="str">
        <f t="shared" si="87"/>
        <v>"%USERPROFILE%\Documents\GitHub\eaglep3\Utilities\RefineRTDCRunTimes.py" --tripid 239-02 --locoid 4002 --swversion DE.1.0.9.0 --startMP 204:444 --initTime 2017-04-02T23:22:34 --startdatetime 2017-04-02T23:30:41 --delay 1 --endMP 204:233336 --enddatetime 2017-04-03T00:06:46 --enforcementcount 0 &gt;&gt;C:\Users\stu\Documents\GitHub\eaglep3-reporting\EC\2017-04-02-refined-times.txt</v>
      </c>
      <c r="AI151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{"issue":{"subject":"","project_id":79,"tracker_id":40,"status_id":1,"priority_id":2,"assigned_to_id":23,"start_date":"2017-04-03","description":"","custom_fields":[{"id":1,"name":"Subdivision","value":"EC"},{"id":4,"name":"Milepost","value":"23.3336"},{"id":17,"name":"Train ID","value":"239-02"},{"id":16,"name":"Locomotive ID","value":"4002"},{"id":130,"name":"Impact","value":""},{"id":150,"name":"Time of Event (Mountain Time)","value":"00:06:46"},{"id":151,"name":"Denver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89"/>
        <v>start /low /b %USERPROFILE%\Documents\GitHub\eaglep3\Utilities\DownloadLogsFromS3.py --loco 4002 --day 2017-04-02</v>
      </c>
      <c r="AN151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06:06:46"},{"id":29,"name":"Sharepoint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823</v>
      </c>
      <c r="B152" s="7">
        <v>4001</v>
      </c>
      <c r="C152" s="21" t="s">
        <v>217</v>
      </c>
      <c r="D152" s="21" t="s">
        <v>853</v>
      </c>
      <c r="E152" s="13">
        <v>42828.010243055556</v>
      </c>
      <c r="F152" s="13">
        <v>42828.018321759257</v>
      </c>
      <c r="G152" s="7">
        <v>1</v>
      </c>
      <c r="H152" s="21" t="s">
        <v>451</v>
      </c>
      <c r="I152" s="13">
        <v>42828.045995370368</v>
      </c>
      <c r="J152" s="7">
        <v>0</v>
      </c>
      <c r="K152" s="97" t="str">
        <f t="shared" si="72"/>
        <v>4001/4002</v>
      </c>
      <c r="L152" s="21" t="str">
        <f>VLOOKUP(A152,'Trips&amp;Operators'!$C$1:$G$99999,5,FALSE)</f>
        <v>SAFIEF AEIMEN</v>
      </c>
      <c r="M152" s="6">
        <f t="shared" si="73"/>
        <v>2.7673611111822538E-2</v>
      </c>
      <c r="N152" s="7">
        <f t="shared" si="74"/>
        <v>39.850000001024455</v>
      </c>
      <c r="O152" s="7"/>
      <c r="P152" s="7"/>
      <c r="Q152" s="22"/>
      <c r="R152" s="22"/>
      <c r="S152" s="31">
        <f t="shared" si="75"/>
        <v>1</v>
      </c>
      <c r="T152" s="46" t="str">
        <f t="shared" si="76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77"/>
        <v>https://d0f6bd738d7f1b3e5a7ca70fe4ff75f0.us-east-1.aws.found.io/app/kibana#/discover/Steve-Slow-Train-Analysis-(2080s-and-2083s)?_g=(refreshInterval:(display:Off,pause:!f,section:0,value:0),time:(from:'2017-04-02T23:14:45-0600',mode:absolute,to:'2017-04-03T02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2" s="183" t="str">
        <f t="shared" si="78"/>
        <v>N</v>
      </c>
      <c r="X152" s="183">
        <f t="shared" si="79"/>
        <v>1</v>
      </c>
      <c r="Y152" s="62">
        <f t="shared" si="80"/>
        <v>23.300799999999999</v>
      </c>
      <c r="Z152" s="62">
        <f t="shared" si="81"/>
        <v>1.38E-2</v>
      </c>
      <c r="AA152" s="62">
        <f t="shared" si="82"/>
        <v>23.286999999999999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83"/>
        <v>0240-02</v>
      </c>
      <c r="AE152" s="85" t="str">
        <f t="shared" si="84"/>
        <v>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 &amp; aws s3 cp s3://rtdc.mdm.uploadarchive.raw/RTDC4001/ "%USERPROFILE%\AppData\Local\Temp\OnboardLogs"\RTDC4001\2017-04-04 --exclude "*" --recursive --include "*20170404*" &amp; "%USERPROFILE%\Documents\GitHub\mrs-test-scripts\Headless Mode &amp; Sideloading\WalkAndUnGZ.bat" "%USERPROFILE%\AppData\Local\Temp\OnboardLogs"\RTDC4001\2017-04-04</v>
      </c>
      <c r="AF152" s="82" t="str">
        <f t="shared" si="85"/>
        <v>"C:\Program Files (x86)\AstroGrep\AstroGrep.exe" /e /r /s /spath="%USERPROFILE%\AppData\Local\Temp\OnboardLogs" /stypes="app*4001*20170403*" /stext=" 07:.+((SYSTEM_STATE.+slice.+state.+changed )|(ment ac)|(multiple cpu faults)|(system.+state.+changed )|(\[timeout)|(PRM\|1\|D)|(kpr)|(kdp)|(\|lc)|(penalty))"</v>
      </c>
      <c r="AG152" s="1" t="str">
        <f t="shared" si="86"/>
        <v>EC</v>
      </c>
      <c r="AH152" s="86" t="str">
        <f t="shared" si="87"/>
        <v>"%USERPROFILE%\Documents\GitHub\eaglep3\Utilities\RefineRTDCRunTimes.py" --tripid 240-02 --locoid 4001 --swversion DE.1.0.9.0 --startMP 204:233008 --initTime 2017-04-03T00:14:45 --startdatetime 2017-04-03T00:26:23 --delay 1 --endMP 204:138 --enddatetime 2017-04-03T01:06:14 --enforcementcount 0 &gt;&gt;C:\Users\stu\Documents\GitHub\eaglep3-reporting\EC\2017-04-02-refined-times.txt</v>
      </c>
      <c r="AI152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ID","value":"240-02"},{"id":16,"name":"Locomotive ID","value":"4001"},{"id":130,"name":"Impact","value":""},{"id":150,"name":"Time of Event (Mountain Time)","value":"01:06:14"},{"id":151,"name":"Denver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89"/>
        <v>start /low /b %USERPROFILE%\Documents\GitHub\eaglep3\Utilities\DownloadLogsFromS3.py --loco 4001 --day 2017-04-03</v>
      </c>
      <c r="AN152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07:06:14"},{"id":29,"name":"Sharepoint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3" t="s">
        <v>820</v>
      </c>
      <c r="B153" s="7">
        <v>4054</v>
      </c>
      <c r="C153" s="21" t="s">
        <v>217</v>
      </c>
      <c r="D153" s="21" t="s">
        <v>851</v>
      </c>
      <c r="E153" s="13">
        <v>42827.986111111109</v>
      </c>
      <c r="F153" s="13">
        <v>42828.000196759262</v>
      </c>
      <c r="G153" s="7">
        <v>1</v>
      </c>
      <c r="H153" s="21" t="s">
        <v>933</v>
      </c>
      <c r="I153" s="13">
        <v>42828.025069444448</v>
      </c>
      <c r="J153" s="7">
        <v>0</v>
      </c>
      <c r="K153" s="97" t="str">
        <f t="shared" si="72"/>
        <v>4053/4054</v>
      </c>
      <c r="L153" s="21" t="str">
        <f>VLOOKUP(A153,'Trips&amp;Operators'!$C$1:$G$99999,5,FALSE)</f>
        <v>SMITH MICHAEL</v>
      </c>
      <c r="M153" s="6">
        <f t="shared" si="73"/>
        <v>2.4872685185982846E-2</v>
      </c>
      <c r="N153" s="7">
        <f t="shared" si="74"/>
        <v>35.816666667815298</v>
      </c>
      <c r="O153" s="7"/>
      <c r="P153" s="7"/>
      <c r="Q153" s="22"/>
      <c r="R153" s="22"/>
      <c r="S153" s="31">
        <f t="shared" si="75"/>
        <v>1</v>
      </c>
      <c r="T153" s="46" t="str">
        <f t="shared" si="76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77"/>
        <v>https://d0f6bd738d7f1b3e5a7ca70fe4ff75f0.us-east-1.aws.found.io/app/kibana#/discover/Steve-Slow-Train-Analysis-(2080s-and-2083s)?_g=(refreshInterval:(display:Off,pause:!f,section:0,value:0),time:(from:'2017-04-02T22:40:00-0600',mode:absolute,to:'2017-04-03T01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3" s="183" t="str">
        <f t="shared" si="78"/>
        <v>N</v>
      </c>
      <c r="X153" s="183">
        <f t="shared" si="79"/>
        <v>1</v>
      </c>
      <c r="Y153" s="62">
        <f t="shared" si="80"/>
        <v>4.58E-2</v>
      </c>
      <c r="Z153" s="62">
        <f t="shared" si="81"/>
        <v>23.328700000000001</v>
      </c>
      <c r="AA153" s="62">
        <f t="shared" si="82"/>
        <v>23.282900000000001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83"/>
        <v>0241-02</v>
      </c>
      <c r="AE153" s="85" t="str">
        <f t="shared" si="84"/>
        <v>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 &amp; 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</v>
      </c>
      <c r="AF153" s="82" t="str">
        <f t="shared" si="85"/>
        <v>"C:\Program Files (x86)\AstroGrep\AstroGrep.exe" /e /r /s /spath="%USERPROFILE%\AppData\Local\Temp\OnboardLogs" /stypes="app*4054*20170403*" /stext=" 06:.+((SYSTEM_STATE.+slice.+state.+changed )|(ment ac)|(multiple cpu faults)|(system.+state.+changed )|(\[timeout)|(PRM\|1\|D)|(kpr)|(kdp)|(\|lc)|(penalty))"</v>
      </c>
      <c r="AG153" s="1" t="str">
        <f t="shared" si="86"/>
        <v>EC</v>
      </c>
      <c r="AH153" s="86" t="str">
        <f t="shared" si="87"/>
        <v>"%USERPROFILE%\Documents\GitHub\eaglep3\Utilities\RefineRTDCRunTimes.py" --tripid 241-02 --locoid 4054 --swversion DE.1.0.9.0 --startMP 204:458 --initTime 2017-04-02T23:40:00 --startdatetime 2017-04-03T00:00:17 --delay 1 --endMP 204:233287 --enddatetime 2017-04-03T00:36:06 --enforcementcount 0 &gt;&gt;C:\Users\stu\Documents\GitHub\eaglep3-reporting\EC\2017-04-02-refined-times.txt</v>
      </c>
      <c r="AI153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{"issue":{"subject":"","project_id":79,"tracker_id":40,"status_id":1,"priority_id":2,"assigned_to_id":23,"start_date":"2017-04-03","description":"","custom_fields":[{"id":1,"name":"Subdivision","value":"EC"},{"id":4,"name":"Milepost","value":"23.3287"},{"id":17,"name":"Train ID","value":"241-02"},{"id":16,"name":"Locomotive ID","value":"4054"},{"id":130,"name":"Impact","value":""},{"id":150,"name":"Time of Event (Mountain Time)","value":"00:36:06"},{"id":151,"name":"Denver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89"/>
        <v>start /low /b %USERPROFILE%\Documents\GitHub\eaglep3\Utilities\DownloadLogsFromS3.py --loco 4054 --day 2017-04-03</v>
      </c>
      <c r="AN153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06:36:06"},{"id":29,"name":"Sharepoint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825</v>
      </c>
      <c r="B154" s="7">
        <v>4053</v>
      </c>
      <c r="C154" s="21" t="s">
        <v>217</v>
      </c>
      <c r="D154" s="21" t="s">
        <v>440</v>
      </c>
      <c r="E154" s="13">
        <v>42828.030509259261</v>
      </c>
      <c r="F154" s="13">
        <v>42828.039097222223</v>
      </c>
      <c r="G154" s="7">
        <v>1</v>
      </c>
      <c r="H154" s="21" t="s">
        <v>587</v>
      </c>
      <c r="I154" s="13">
        <v>42828.066469907404</v>
      </c>
      <c r="J154" s="7">
        <v>0</v>
      </c>
      <c r="K154" s="97" t="str">
        <f t="shared" si="72"/>
        <v>4053/4054</v>
      </c>
      <c r="L154" s="21" t="str">
        <f>VLOOKUP(A154,'Trips&amp;Operators'!$C$1:$G$99999,5,FALSE)</f>
        <v>SMITH MICHAEL</v>
      </c>
      <c r="M154" s="6">
        <f t="shared" si="73"/>
        <v>2.7372685181035195E-2</v>
      </c>
      <c r="N154" s="7">
        <f t="shared" si="74"/>
        <v>39.41666666069068</v>
      </c>
      <c r="O154" s="7"/>
      <c r="P154" s="7"/>
      <c r="Q154" s="22"/>
      <c r="R154" s="22"/>
      <c r="S154" s="31">
        <f t="shared" si="75"/>
        <v>1</v>
      </c>
      <c r="T154" s="46" t="str">
        <f t="shared" si="76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77"/>
        <v>https://d0f6bd738d7f1b3e5a7ca70fe4ff75f0.us-east-1.aws.found.io/app/kibana#/discover/Steve-Slow-Train-Analysis-(2080s-and-2083s)?_g=(refreshInterval:(display:Off,pause:!f,section:0,value:0),time:(from:'2017-04-02T23:43:56-0600',mode:absolute,to:'2017-04-03T02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4" s="183" t="str">
        <f t="shared" si="78"/>
        <v>N</v>
      </c>
      <c r="X154" s="183">
        <f t="shared" si="79"/>
        <v>1</v>
      </c>
      <c r="Y154" s="62">
        <f t="shared" si="80"/>
        <v>23.297699999999999</v>
      </c>
      <c r="Z154" s="62">
        <f t="shared" si="81"/>
        <v>1.6E-2</v>
      </c>
      <c r="AA154" s="62">
        <f t="shared" si="82"/>
        <v>23.281700000000001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83"/>
        <v>0242-02</v>
      </c>
      <c r="AE154" s="85" t="str">
        <f t="shared" si="84"/>
        <v>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 &amp; aws s3 cp s3://rtdc.mdm.uploadarchive.raw/RTDC4053/ "%USERPROFILE%\AppData\Local\Temp\OnboardLogs"\RTDC4053\2017-04-04 --exclude "*" --recursive --include "*20170404*" &amp; "%USERPROFILE%\Documents\GitHub\mrs-test-scripts\Headless Mode &amp; Sideloading\WalkAndUnGZ.bat" "%USERPROFILE%\AppData\Local\Temp\OnboardLogs"\RTDC4053\2017-04-04</v>
      </c>
      <c r="AF154" s="82" t="str">
        <f t="shared" si="85"/>
        <v>"C:\Program Files (x86)\AstroGrep\AstroGrep.exe" /e /r /s /spath="%USERPROFILE%\AppData\Local\Temp\OnboardLogs" /stypes="app*4053*20170403*" /stext=" 07:.+((SYSTEM_STATE.+slice.+state.+changed )|(ment ac)|(multiple cpu faults)|(system.+state.+changed )|(\[timeout)|(PRM\|1\|D)|(kpr)|(kdp)|(\|lc)|(penalty))"</v>
      </c>
      <c r="AG154" s="1" t="str">
        <f t="shared" si="86"/>
        <v>EC</v>
      </c>
      <c r="AH154" s="86" t="str">
        <f t="shared" si="87"/>
        <v>"%USERPROFILE%\Documents\GitHub\eaglep3\Utilities\RefineRTDCRunTimes.py" --tripid 242-02 --locoid 4053 --swversion DE.1.0.9.0 --startMP 204:232977 --initTime 2017-04-03T00:43:56 --startdatetime 2017-04-03T00:56:18 --delay 1 --endMP 204:160 --enddatetime 2017-04-03T01:35:43 --enforcementcount 0 &gt;&gt;C:\Users\stu\Documents\GitHub\eaglep3-reporting\EC\2017-04-02-refined-times.txt</v>
      </c>
      <c r="AI154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{"issue":{"subject":"","project_id":79,"tracker_id":40,"status_id":1,"priority_id":2,"assigned_to_id":23,"start_date":"2017-04-03","description":"","custom_fields":[{"id":1,"name":"Subdivision","value":"EC"},{"id":4,"name":"Milepost","value":"0.016"},{"id":17,"name":"Train ID","value":"242-02"},{"id":16,"name":"Locomotive ID","value":"4053"},{"id":130,"name":"Impact","value":""},{"id":150,"name":"Time of Event (Mountain Time)","value":"01:35:43"},{"id":151,"name":"Denver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8"/>
      <c r="AL154" s="48"/>
      <c r="AM154" s="150" t="str">
        <f t="shared" si="89"/>
        <v>start /low /b %USERPROFILE%\Documents\GitHub\eaglep3\Utilities\DownloadLogsFromS3.py --loco 4053 --day 2017-04-03</v>
      </c>
      <c r="AN154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07:35:43"},{"id":29,"name":"Sharepoint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822</v>
      </c>
      <c r="B155" s="7">
        <v>4010</v>
      </c>
      <c r="C155" s="21" t="s">
        <v>217</v>
      </c>
      <c r="D155" s="21" t="s">
        <v>584</v>
      </c>
      <c r="E155" s="13">
        <v>42828.009953703702</v>
      </c>
      <c r="F155" s="13">
        <v>42828.021238425928</v>
      </c>
      <c r="G155" s="7">
        <v>1</v>
      </c>
      <c r="H155" s="21" t="s">
        <v>934</v>
      </c>
      <c r="I155" s="13">
        <v>42828.045706018522</v>
      </c>
      <c r="J155" s="7">
        <v>0</v>
      </c>
      <c r="K155" s="97" t="str">
        <f t="shared" si="72"/>
        <v>4009/4010</v>
      </c>
      <c r="L155" s="21" t="str">
        <f>VLOOKUP(A155,'Trips&amp;Operators'!$C$1:$G$99999,5,FALSE)</f>
        <v>STAMBAUGH JAMES</v>
      </c>
      <c r="M155" s="6">
        <f t="shared" si="73"/>
        <v>2.4467592593282461E-2</v>
      </c>
      <c r="N155" s="7">
        <f t="shared" si="74"/>
        <v>35.233333334326744</v>
      </c>
      <c r="O155" s="7"/>
      <c r="P155" s="7"/>
      <c r="Q155" s="22"/>
      <c r="R155" s="22"/>
      <c r="S155" s="31">
        <f t="shared" si="75"/>
        <v>1</v>
      </c>
      <c r="T155" s="46" t="str">
        <f t="shared" si="76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77"/>
        <v>https://d0f6bd738d7f1b3e5a7ca70fe4ff75f0.us-east-1.aws.found.io/app/kibana#/discover/Steve-Slow-Train-Analysis-(2080s-and-2083s)?_g=(refreshInterval:(display:Off,pause:!f,section:0,value:0),time:(from:'2017-04-02T23:14:20-0600',mode:absolute,to:'2017-04-03T02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5" s="183" t="str">
        <f t="shared" si="78"/>
        <v>N</v>
      </c>
      <c r="X155" s="183">
        <f t="shared" si="79"/>
        <v>1</v>
      </c>
      <c r="Y155" s="62">
        <f t="shared" si="80"/>
        <v>4.6600000000000003E-2</v>
      </c>
      <c r="Z155" s="62">
        <f t="shared" si="81"/>
        <v>23.337199999999999</v>
      </c>
      <c r="AA155" s="62">
        <f t="shared" si="82"/>
        <v>23.290599999999998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83"/>
        <v>0243-02</v>
      </c>
      <c r="AE155" s="85" t="str">
        <f t="shared" si="84"/>
        <v>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 &amp; 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</v>
      </c>
      <c r="AF155" s="82" t="str">
        <f t="shared" si="85"/>
        <v>"C:\Program Files (x86)\AstroGrep\AstroGrep.exe" /e /r /s /spath="%USERPROFILE%\AppData\Local\Temp\OnboardLogs" /stypes="app*4010*20170403*" /stext=" 07:.+((SYSTEM_STATE.+slice.+state.+changed )|(ment ac)|(multiple cpu faults)|(system.+state.+changed )|(\[timeout)|(PRM\|1\|D)|(kpr)|(kdp)|(\|lc)|(penalty))"</v>
      </c>
      <c r="AG155" s="1" t="str">
        <f t="shared" si="86"/>
        <v>EC</v>
      </c>
      <c r="AH155" s="86" t="str">
        <f t="shared" si="87"/>
        <v>"%USERPROFILE%\Documents\GitHub\eaglep3\Utilities\RefineRTDCRunTimes.py" --tripid 243-02 --locoid 4010 --swversion DE.1.0.9.0 --startMP 204:466 --initTime 2017-04-03T00:14:20 --startdatetime 2017-04-03T00:30:35 --delay 1 --endMP 204:233372 --enddatetime 2017-04-03T01:05:49 --enforcementcount 0 &gt;&gt;C:\Users\stu\Documents\GitHub\eaglep3-reporting\EC\2017-04-02-refined-times.txt</v>
      </c>
      <c r="AI155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{"issue":{"subject":"","project_id":79,"tracker_id":40,"status_id":1,"priority_id":2,"assigned_to_id":23,"start_date":"2017-04-03","description":"","custom_fields":[{"id":1,"name":"Subdivision","value":"EC"},{"id":4,"name":"Milepost","value":"23.3372"},{"id":17,"name":"Train ID","value":"243-02"},{"id":16,"name":"Locomotive ID","value":"4010"},{"id":130,"name":"Impact","value":""},{"id":150,"name":"Time of Event (Mountain Time)","value":"01:05:49"},{"id":151,"name":"Denver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89"/>
        <v>start /low /b %USERPROFILE%\Documents\GitHub\eaglep3\Utilities\DownloadLogsFromS3.py --loco 4010 --day 2017-04-03</v>
      </c>
      <c r="AN155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07:05:49"},{"id":29,"name":"Sharepoint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827</v>
      </c>
      <c r="B156" s="7">
        <v>4009</v>
      </c>
      <c r="C156" s="21" t="s">
        <v>217</v>
      </c>
      <c r="D156" s="21" t="s">
        <v>869</v>
      </c>
      <c r="E156" s="13">
        <v>42828.057719907411</v>
      </c>
      <c r="F156" s="13">
        <v>42828.060914351852</v>
      </c>
      <c r="G156" s="7">
        <v>1</v>
      </c>
      <c r="H156" s="21" t="s">
        <v>451</v>
      </c>
      <c r="I156" s="13">
        <v>42828.085601851853</v>
      </c>
      <c r="J156" s="7">
        <v>0</v>
      </c>
      <c r="K156" s="97" t="str">
        <f t="shared" si="72"/>
        <v>4009/4010</v>
      </c>
      <c r="L156" s="21" t="str">
        <f>VLOOKUP(A156,'Trips&amp;Operators'!$C$1:$G$99999,5,FALSE)</f>
        <v>STAMBAUGH JAMES</v>
      </c>
      <c r="M156" s="6">
        <f t="shared" si="73"/>
        <v>2.4687500001164153E-2</v>
      </c>
      <c r="N156" s="7">
        <f t="shared" si="74"/>
        <v>35.550000001676381</v>
      </c>
      <c r="O156" s="7"/>
      <c r="P156" s="7"/>
      <c r="Q156" s="22"/>
      <c r="R156" s="22"/>
      <c r="S156" s="31">
        <f t="shared" si="75"/>
        <v>1</v>
      </c>
      <c r="T156" s="46" t="str">
        <f t="shared" si="76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77"/>
        <v>https://d0f6bd738d7f1b3e5a7ca70fe4ff75f0.us-east-1.aws.found.io/app/kibana#/discover/Steve-Slow-Train-Analysis-(2080s-and-2083s)?_g=(refreshInterval:(display:Off,pause:!f,section:0,value:0),time:(from:'2017-04-03T00:23:07-0600',mode:absolute,to:'2017-04-03T03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6" s="183" t="str">
        <f t="shared" si="78"/>
        <v>N</v>
      </c>
      <c r="X156" s="183">
        <f t="shared" ref="X156:X163" si="91">VALUE(LEFT(AD156,4))-VALUE(LEFT(AD155,4))</f>
        <v>1</v>
      </c>
      <c r="Y156" s="62">
        <f t="shared" si="80"/>
        <v>23.305700000000002</v>
      </c>
      <c r="Z156" s="62">
        <f t="shared" si="81"/>
        <v>1.38E-2</v>
      </c>
      <c r="AA156" s="62">
        <f t="shared" si="82"/>
        <v>23.291900000000002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83"/>
        <v>0244-02</v>
      </c>
      <c r="AE156" s="85" t="str">
        <f t="shared" si="84"/>
        <v>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 &amp; aws s3 cp s3://rtdc.mdm.uploadarchive.raw/RTDC4009/ "%USERPROFILE%\AppData\Local\Temp\OnboardLogs"\RTDC4009\2017-04-04 --exclude "*" --recursive --include "*20170404*" &amp; "%USERPROFILE%\Documents\GitHub\mrs-test-scripts\Headless Mode &amp; Sideloading\WalkAndUnGZ.bat" "%USERPROFILE%\AppData\Local\Temp\OnboardLogs"\RTDC4009\2017-04-04</v>
      </c>
      <c r="AF156" s="82" t="str">
        <f t="shared" si="85"/>
        <v>"C:\Program Files (x86)\AstroGrep\AstroGrep.exe" /e /r /s /spath="%USERPROFILE%\AppData\Local\Temp\OnboardLogs" /stypes="app*4009*20170403*" /stext=" 08:.+((SYSTEM_STATE.+slice.+state.+changed )|(ment ac)|(multiple cpu faults)|(system.+state.+changed )|(\[timeout)|(PRM\|1\|D)|(kpr)|(kdp)|(\|lc)|(penalty))"</v>
      </c>
      <c r="AG156" s="1" t="str">
        <f t="shared" si="86"/>
        <v>EC</v>
      </c>
      <c r="AH156" s="86" t="str">
        <f t="shared" si="87"/>
        <v>"%USERPROFILE%\Documents\GitHub\eaglep3\Utilities\RefineRTDCRunTimes.py" --tripid 244-02 --locoid 4009 --swversion DE.1.0.9.0 --startMP 204:233057 --initTime 2017-04-03T01:23:07 --startdatetime 2017-04-03T01:27:43 --delay 1 --endMP 204:138 --enddatetime 2017-04-03T02:03:16 --enforcementcount 0 &gt;&gt;C:\Users\stu\Documents\GitHub\eaglep3-reporting\EC\2017-04-02-refined-times.txt</v>
      </c>
      <c r="AI156" s="104" t="str">
        <f t="shared" si="88"/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ID","value":"244-02"},{"id":16,"name":"Locomotive ID","value":"4009"},{"id":130,"name":"Impact","value":""},{"id":150,"name":"Time of Event (Mountain Time)","value":"02:03:16"},{"id":151,"name":"Denver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89"/>
        <v>start /low /b %USERPROFILE%\Documents\GitHub\eaglep3\Utilities\DownloadLogsFromS3.py --loco 4009 --day 2017-04-03</v>
      </c>
      <c r="AN156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08:03:16"},{"id":29,"name":"Sharepoint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666</v>
      </c>
      <c r="B157" s="7">
        <v>4017</v>
      </c>
      <c r="C157" s="21" t="s">
        <v>217</v>
      </c>
      <c r="D157" s="21" t="s">
        <v>602</v>
      </c>
      <c r="E157" s="13">
        <v>42827.226539351854</v>
      </c>
      <c r="F157" s="13">
        <v>42827.236562500002</v>
      </c>
      <c r="G157" s="7">
        <v>0</v>
      </c>
      <c r="H157" s="21" t="s">
        <v>599</v>
      </c>
      <c r="I157" s="13">
        <v>42827.245983796296</v>
      </c>
      <c r="J157" s="7">
        <v>0</v>
      </c>
      <c r="K157" s="97" t="str">
        <f t="shared" si="72"/>
        <v>4017/4018</v>
      </c>
      <c r="L157" s="21" t="str">
        <f>VLOOKUP(A157,'Trips&amp;Operators'!$C$1:$G$99999,5,FALSE)</f>
        <v>YORK EDGAR</v>
      </c>
      <c r="M157" s="6">
        <f t="shared" si="73"/>
        <v>9.4212962940218858E-3</v>
      </c>
      <c r="N157" s="7">
        <f t="shared" si="74"/>
        <v>13.566666663391516</v>
      </c>
      <c r="O157" s="7"/>
      <c r="P157" s="7"/>
      <c r="Q157" s="22"/>
      <c r="R157" s="22"/>
      <c r="S157" s="31">
        <f t="shared" si="75"/>
        <v>1</v>
      </c>
      <c r="T157" s="46" t="str">
        <f t="shared" si="76"/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2" t="str">
        <f t="shared" si="77"/>
        <v>https://d0f6bd738d7f1b3e5a7ca70fe4ff75f0.us-east-1.aws.found.io/app/kibana#/discover/Steve-Slow-Train-Analysis-(2080s-and-2083s)?_g=(refreshInterval:(display:Off,pause:!f,section:0,value:0),time:(from:'2017-04-02T04:26:13-0600',mode:absolute,to:'2017-04-02T06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83" t="str">
        <f t="shared" si="78"/>
        <v>N</v>
      </c>
      <c r="X157" s="183">
        <f t="shared" si="91"/>
        <v>1556</v>
      </c>
      <c r="Y157" s="62">
        <f t="shared" si="80"/>
        <v>5.8620999999999999</v>
      </c>
      <c r="Z157" s="62">
        <f t="shared" si="81"/>
        <v>7.4499999999999997E-2</v>
      </c>
      <c r="AA157" s="62">
        <f t="shared" si="82"/>
        <v>5.7876000000000003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83"/>
        <v>1800-02</v>
      </c>
      <c r="AE157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57" s="82" t="str">
        <f t="shared" si="85"/>
        <v>"C:\Program Files (x86)\AstroGrep\AstroGrep.exe" /e /r /s /spath="%USERPROFILE%\AppData\Local\Temp\OnboardLogs" /stypes="app*4017*20170402*" /stext=" 11:.+((SYSTEM_STATE.+slice.+state.+changed )|(ment ac)|(multiple cpu faults)|(system.+state.+changed )|(\[timeout)|(PRM\|1\|D)|(kpr)|(kdp)|(\|lc)|(penalty))"</v>
      </c>
      <c r="AG157" s="1" t="str">
        <f t="shared" si="86"/>
        <v>NW</v>
      </c>
      <c r="AH157" s="86" t="str">
        <f t="shared" si="87"/>
        <v>"%USERPROFILE%\Documents\GitHub\eaglep3\Utilities\RefineRTDCRunTimes.py" --tripid 1800-02 --locoid 4017 --swversion DE.1.0.9.0 --startMP 300:58621 --initTime 2017-04-02T05:26:13 --startdatetime 2017-04-02T05:40:39 --delay 0 --endMP 204:745 --enddatetime 2017-04-02T05:54:13 --enforcementcount 0 &gt;&gt;C:\Users\stu\Documents\GitHub\eaglep3-reporting\EC\2017-04-02-refined-times.txt</v>
      </c>
      <c r="AI157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{"issue":{"subject":"","project_id":79,"tracker_id":40,"status_id":1,"priority_id":2,"assigned_to_id":23,"start_date":"2017-04-02","description":"","custom_fields":[{"id":1,"name":"Subdivision","value":"NW"},{"id":4,"name":"Milepost","value":"0.0745"},{"id":17,"name":"Train ID","value":"1800-02"},{"id":16,"name":"Locomotive ID","value":"4017"},{"id":130,"name":"Impact","value":""},{"id":150,"name":"Time of Event (Mountain Time)","value":"05:54:13"},{"id":151,"name":"Denver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89"/>
        <v>start /low /b %USERPROFILE%\Documents\GitHub\eaglep3\Utilities\DownloadLogsFromS3.py --loco 4017 --day 2017-04-02</v>
      </c>
      <c r="AN157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672</v>
      </c>
      <c r="B158" s="7">
        <v>4018</v>
      </c>
      <c r="C158" s="21" t="s">
        <v>217</v>
      </c>
      <c r="D158" s="21" t="s">
        <v>521</v>
      </c>
      <c r="E158" s="13">
        <v>42827.247141203705</v>
      </c>
      <c r="F158" s="13">
        <v>42827.264733796299</v>
      </c>
      <c r="G158" s="7">
        <v>0</v>
      </c>
      <c r="H158" s="21" t="s">
        <v>873</v>
      </c>
      <c r="I158" s="13">
        <v>42827.273020833331</v>
      </c>
      <c r="J158" s="7">
        <v>0</v>
      </c>
      <c r="K158" s="97" t="str">
        <f t="shared" si="72"/>
        <v>4017/4018</v>
      </c>
      <c r="L158" s="21" t="str">
        <f>VLOOKUP(A158,'Trips&amp;Operators'!$C$1:$G$99999,5,FALSE)</f>
        <v>YORK EDGAR</v>
      </c>
      <c r="M158" s="6">
        <f t="shared" si="73"/>
        <v>8.287037031550426E-3</v>
      </c>
      <c r="N158" s="7">
        <f t="shared" si="74"/>
        <v>11.933333325432613</v>
      </c>
      <c r="O158" s="7"/>
      <c r="P158" s="7"/>
      <c r="Q158" s="22"/>
      <c r="R158" s="22"/>
      <c r="S158" s="31">
        <f t="shared" si="75"/>
        <v>1</v>
      </c>
      <c r="T158" s="46" t="str">
        <f t="shared" si="76"/>
        <v>NorthBound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77"/>
        <v>https://d0f6bd738d7f1b3e5a7ca70fe4ff75f0.us-east-1.aws.found.io/app/kibana#/discover/Steve-Slow-Train-Analysis-(2080s-and-2083s)?_g=(refreshInterval:(display:Off,pause:!f,section:0,value:0),time:(from:'2017-04-02T04:55:53-0600',mode:absolute,to:'2017-04-02T07:33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8" s="183" t="str">
        <f t="shared" si="78"/>
        <v>N</v>
      </c>
      <c r="X158" s="183">
        <f t="shared" si="91"/>
        <v>1</v>
      </c>
      <c r="Y158" s="62">
        <f t="shared" si="80"/>
        <v>0.10249999999999999</v>
      </c>
      <c r="Z158" s="62">
        <f t="shared" si="81"/>
        <v>5.8935000000000004</v>
      </c>
      <c r="AA158" s="62">
        <f t="shared" si="82"/>
        <v>5.7910000000000004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83"/>
        <v>1801-02</v>
      </c>
      <c r="AE158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58" s="82" t="str">
        <f t="shared" si="85"/>
        <v>"C:\Program Files (x86)\AstroGrep\AstroGrep.exe" /e /r /s /spath="%USERPROFILE%\AppData\Local\Temp\OnboardLogs" /stypes="app*4018*20170402*" /stext=" 12:.+((SYSTEM_STATE.+slice.+state.+changed )|(ment ac)|(multiple cpu faults)|(system.+state.+changed )|(\[timeout)|(PRM\|1\|D)|(kpr)|(kdp)|(\|lc)|(penalty))"</v>
      </c>
      <c r="AG158" s="1" t="str">
        <f t="shared" si="86"/>
        <v>NW</v>
      </c>
      <c r="AH158" s="86" t="str">
        <f t="shared" si="87"/>
        <v>"%USERPROFILE%\Documents\GitHub\eaglep3\Utilities\RefineRTDCRunTimes.py" --tripid 1801-02 --locoid 4018 --swversion DE.1.0.9.0 --startMP 204:1025 --initTime 2017-04-02T05:55:53 --startdatetime 2017-04-02T06:21:13 --delay 0 --endMP 300:58935 --enddatetime 2017-04-02T06:33:09 --enforcementcount 0 &gt;&gt;C:\Users\stu\Documents\GitHub\eaglep3-reporting\EC\2017-04-02-refined-times.txt</v>
      </c>
      <c r="AI158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{"issue":{"subject":"","project_id":79,"tracker_id":40,"status_id":1,"priority_id":2,"assigned_to_id":23,"start_date":"2017-04-02","description":"","custom_fields":[{"id":1,"name":"Subdivision","value":"NW"},{"id":4,"name":"Milepost","value":"5.8935"},{"id":17,"name":"Train ID","value":"1801-02"},{"id":16,"name":"Locomotive ID","value":"4018"},{"id":130,"name":"Impact","value":""},{"id":150,"name":"Time of Event (Mountain Time)","value":"06:33:09"},{"id":151,"name":"Denver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89"/>
        <v>start /low /b %USERPROFILE%\Documents\GitHub\eaglep3\Utilities\DownloadLogsFromS3.py --loco 4018 --day 2017-04-02</v>
      </c>
      <c r="AN158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678</v>
      </c>
      <c r="B159" s="7">
        <v>4017</v>
      </c>
      <c r="C159" s="21" t="s">
        <v>217</v>
      </c>
      <c r="D159" s="21" t="s">
        <v>874</v>
      </c>
      <c r="E159" s="13">
        <v>42827.273958333331</v>
      </c>
      <c r="F159" s="13">
        <v>42827.278749999998</v>
      </c>
      <c r="G159" s="7">
        <v>1</v>
      </c>
      <c r="H159" s="21" t="s">
        <v>603</v>
      </c>
      <c r="I159" s="13">
        <v>42827.287743055553</v>
      </c>
      <c r="J159" s="7">
        <v>0</v>
      </c>
      <c r="K159" s="97" t="str">
        <f t="shared" si="72"/>
        <v>4017/4018</v>
      </c>
      <c r="L159" s="21" t="str">
        <f>VLOOKUP(A159,'Trips&amp;Operators'!$C$1:$G$99999,5,FALSE)</f>
        <v>YORK EDGAR</v>
      </c>
      <c r="M159" s="6">
        <f t="shared" si="73"/>
        <v>8.9930555550381541E-3</v>
      </c>
      <c r="N159" s="7">
        <f t="shared" si="74"/>
        <v>12.949999999254942</v>
      </c>
      <c r="O159" s="7"/>
      <c r="P159" s="7"/>
      <c r="Q159" s="22"/>
      <c r="R159" s="22"/>
      <c r="S159" s="31">
        <f t="shared" si="75"/>
        <v>1</v>
      </c>
      <c r="T159" s="46" t="str">
        <f t="shared" si="76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77"/>
        <v>https://d0f6bd738d7f1b3e5a7ca70fe4ff75f0.us-east-1.aws.found.io/app/kibana#/discover/Steve-Slow-Train-Analysis-(2080s-and-2083s)?_g=(refreshInterval:(display:Off,pause:!f,section:0,value:0),time:(from:'2017-04-02T05:34:30-0600',mode:absolute,to:'2017-04-02T07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183" t="str">
        <f t="shared" si="78"/>
        <v>N</v>
      </c>
      <c r="X159" s="183">
        <f t="shared" si="91"/>
        <v>1</v>
      </c>
      <c r="Y159" s="62">
        <f t="shared" si="80"/>
        <v>5.8616999999999999</v>
      </c>
      <c r="Z159" s="62">
        <f t="shared" si="81"/>
        <v>7.4099999999999999E-2</v>
      </c>
      <c r="AA159" s="62">
        <f t="shared" si="82"/>
        <v>5.7876000000000003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83"/>
        <v>1802-02</v>
      </c>
      <c r="AE159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59" s="82" t="str">
        <f t="shared" si="85"/>
        <v>"C:\Program Files (x86)\AstroGrep\AstroGrep.exe" /e /r /s /spath="%USERPROFILE%\AppData\Local\Temp\OnboardLogs" /stypes="app*4017*20170402*" /stext=" 12:.+((SYSTEM_STATE.+slice.+state.+changed )|(ment ac)|(multiple cpu faults)|(system.+state.+changed )|(\[timeout)|(PRM\|1\|D)|(kpr)|(kdp)|(\|lc)|(penalty))"</v>
      </c>
      <c r="AG159" s="1" t="str">
        <f t="shared" si="86"/>
        <v>NW</v>
      </c>
      <c r="AH159" s="86" t="str">
        <f t="shared" si="87"/>
        <v>"%USERPROFILE%\Documents\GitHub\eaglep3\Utilities\RefineRTDCRunTimes.py" --tripid 1802-02 --locoid 4017 --swversion DE.1.0.9.0 --startMP 300:58617 --initTime 2017-04-02T06:34:30 --startdatetime 2017-04-02T06:41:24 --delay 1 --endMP 204:741 --enddatetime 2017-04-02T06:54:21 --enforcementcount 0 &gt;&gt;C:\Users\stu\Documents\GitHub\eaglep3-reporting\EC\2017-04-02-refined-times.txt</v>
      </c>
      <c r="AI159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{"issue":{"subject":"","project_id":79,"tracker_id":40,"status_id":1,"priority_id":2,"assigned_to_id":23,"start_date":"2017-04-02","description":"","custom_fields":[{"id":1,"name":"Subdivision","value":"NW"},{"id":4,"name":"Milepost","value":"0.0741"},{"id":17,"name":"Train ID","value":"1802-02"},{"id":16,"name":"Locomotive ID","value":"4017"},{"id":130,"name":"Impact","value":""},{"id":150,"name":"Time of Event (Mountain Time)","value":"06:54:21"},{"id":151,"name":"Denver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89"/>
        <v>start /low /b %USERPROFILE%\Documents\GitHub\eaglep3\Utilities\DownloadLogsFromS3.py --loco 4017 --day 2017-04-02</v>
      </c>
      <c r="AN159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681</v>
      </c>
      <c r="B160" s="7">
        <v>4018</v>
      </c>
      <c r="C160" s="21" t="s">
        <v>217</v>
      </c>
      <c r="D160" s="21" t="s">
        <v>875</v>
      </c>
      <c r="E160" s="13">
        <v>42827.289027777777</v>
      </c>
      <c r="F160" s="13">
        <v>42827.306585648148</v>
      </c>
      <c r="G160" s="7">
        <v>0</v>
      </c>
      <c r="H160" s="21" t="s">
        <v>876</v>
      </c>
      <c r="I160" s="13">
        <v>42827.315150462964</v>
      </c>
      <c r="J160" s="7">
        <v>0</v>
      </c>
      <c r="K160" s="97" t="str">
        <f t="shared" si="72"/>
        <v>4017/4018</v>
      </c>
      <c r="L160" s="21" t="str">
        <f>VLOOKUP(A160,'Trips&amp;Operators'!$C$1:$G$99999,5,FALSE)</f>
        <v>YORK EDGAR</v>
      </c>
      <c r="M160" s="6">
        <f t="shared" si="73"/>
        <v>8.5648148160544224E-3</v>
      </c>
      <c r="N160" s="7">
        <f t="shared" si="74"/>
        <v>12.333333335118368</v>
      </c>
      <c r="O160" s="7"/>
      <c r="P160" s="7"/>
      <c r="Q160" s="22"/>
      <c r="R160" s="22"/>
      <c r="S160" s="31">
        <f t="shared" si="75"/>
        <v>1</v>
      </c>
      <c r="T160" s="46" t="str">
        <f t="shared" si="76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77"/>
        <v>https://d0f6bd738d7f1b3e5a7ca70fe4ff75f0.us-east-1.aws.found.io/app/kibana#/discover/Steve-Slow-Train-Analysis-(2080s-and-2083s)?_g=(refreshInterval:(display:Off,pause:!f,section:0,value:0),time:(from:'2017-04-02T05:56:12-0600',mode:absolute,to:'2017-04-02T08:33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0" s="183" t="str">
        <f t="shared" si="78"/>
        <v>N</v>
      </c>
      <c r="X160" s="183">
        <f t="shared" si="91"/>
        <v>1</v>
      </c>
      <c r="Y160" s="62">
        <f t="shared" si="80"/>
        <v>0.1021</v>
      </c>
      <c r="Z160" s="62">
        <f t="shared" si="81"/>
        <v>5.8943000000000003</v>
      </c>
      <c r="AA160" s="62">
        <f t="shared" si="82"/>
        <v>5.7922000000000002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83"/>
        <v>1803-02</v>
      </c>
      <c r="AE160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60" s="82" t="str">
        <f t="shared" si="85"/>
        <v>"C:\Program Files (x86)\AstroGrep\AstroGrep.exe" /e /r /s /spath="%USERPROFILE%\AppData\Local\Temp\OnboardLogs" /stypes="app*4018*20170402*" /stext=" 13:.+((SYSTEM_STATE.+slice.+state.+changed )|(ment ac)|(multiple cpu faults)|(system.+state.+changed )|(\[timeout)|(PRM\|1\|D)|(kpr)|(kdp)|(\|lc)|(penalty))"</v>
      </c>
      <c r="AG160" s="1" t="str">
        <f t="shared" si="86"/>
        <v>NW</v>
      </c>
      <c r="AH160" s="86" t="str">
        <f t="shared" si="87"/>
        <v>"%USERPROFILE%\Documents\GitHub\eaglep3\Utilities\RefineRTDCRunTimes.py" --tripid 1803-02 --locoid 4018 --swversion DE.1.0.9.0 --startMP 204:1021 --initTime 2017-04-02T06:56:12 --startdatetime 2017-04-02T07:21:29 --delay 0 --endMP 300:58943 --enddatetime 2017-04-02T07:33:49 --enforcementcount 0 &gt;&gt;C:\Users\stu\Documents\GitHub\eaglep3-reporting\EC\2017-04-02-refined-times.txt</v>
      </c>
      <c r="AI160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{"issue":{"subject":"","project_id":79,"tracker_id":40,"status_id":1,"priority_id":2,"assigned_to_id":23,"start_date":"2017-04-02","description":"","custom_fields":[{"id":1,"name":"Subdivision","value":"NW"},{"id":4,"name":"Milepost","value":"5.8943"},{"id":17,"name":"Train ID","value":"1803-02"},{"id":16,"name":"Locomotive ID","value":"4018"},{"id":130,"name":"Impact","value":""},{"id":150,"name":"Time of Event (Mountain Time)","value":"07:33:49"},{"id":151,"name":"Denver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89"/>
        <v>start /low /b %USERPROFILE%\Documents\GitHub\eaglep3\Utilities\DownloadLogsFromS3.py --loco 4018 --day 2017-04-02</v>
      </c>
      <c r="AN160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686</v>
      </c>
      <c r="B161" s="7">
        <v>4017</v>
      </c>
      <c r="C161" s="21" t="s">
        <v>217</v>
      </c>
      <c r="D161" s="21" t="s">
        <v>877</v>
      </c>
      <c r="E161" s="13">
        <v>42827.316030092596</v>
      </c>
      <c r="F161" s="13">
        <v>42827.320810185185</v>
      </c>
      <c r="G161" s="7">
        <v>1</v>
      </c>
      <c r="H161" s="21" t="s">
        <v>572</v>
      </c>
      <c r="I161" s="13">
        <v>42827.329201388886</v>
      </c>
      <c r="J161" s="7">
        <v>0</v>
      </c>
      <c r="K161" s="97" t="str">
        <f t="shared" si="72"/>
        <v>4017/4018</v>
      </c>
      <c r="L161" s="21" t="str">
        <f>VLOOKUP(A161,'Trips&amp;Operators'!$C$1:$G$99999,5,FALSE)</f>
        <v>YORK EDGAR</v>
      </c>
      <c r="M161" s="6">
        <f t="shared" si="73"/>
        <v>8.3912037007394247E-3</v>
      </c>
      <c r="N161" s="7">
        <f t="shared" si="74"/>
        <v>12.083333329064772</v>
      </c>
      <c r="O161" s="7"/>
      <c r="P161" s="7"/>
      <c r="Q161" s="22"/>
      <c r="R161" s="22"/>
      <c r="S161" s="31">
        <f t="shared" si="75"/>
        <v>1</v>
      </c>
      <c r="T161" s="46" t="str">
        <f t="shared" si="76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77"/>
        <v>https://d0f6bd738d7f1b3e5a7ca70fe4ff75f0.us-east-1.aws.found.io/app/kibana#/discover/Steve-Slow-Train-Analysis-(2080s-and-2083s)?_g=(refreshInterval:(display:Off,pause:!f,section:0,value:0),time:(from:'2017-04-02T06:35:05-0600',mode:absolute,to:'2017-04-02T08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1" s="183" t="str">
        <f t="shared" si="78"/>
        <v>N</v>
      </c>
      <c r="X161" s="183">
        <f t="shared" si="91"/>
        <v>1</v>
      </c>
      <c r="Y161" s="62">
        <f t="shared" si="80"/>
        <v>5.8619000000000003</v>
      </c>
      <c r="Z161" s="62">
        <f t="shared" si="81"/>
        <v>7.5200000000000003E-2</v>
      </c>
      <c r="AA161" s="62">
        <f t="shared" si="82"/>
        <v>5.7867000000000006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83"/>
        <v>1804-02</v>
      </c>
      <c r="AE161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61" s="82" t="str">
        <f t="shared" si="85"/>
        <v>"C:\Program Files (x86)\AstroGrep\AstroGrep.exe" /e /r /s /spath="%USERPROFILE%\AppData\Local\Temp\OnboardLogs" /stypes="app*4017*20170402*" /stext=" 13:.+((SYSTEM_STATE.+slice.+state.+changed )|(ment ac)|(multiple cpu faults)|(system.+state.+changed )|(\[timeout)|(PRM\|1\|D)|(kpr)|(kdp)|(\|lc)|(penalty))"</v>
      </c>
      <c r="AG161" s="1" t="str">
        <f t="shared" si="86"/>
        <v>NW</v>
      </c>
      <c r="AH161" s="86" t="str">
        <f t="shared" si="87"/>
        <v>"%USERPROFILE%\Documents\GitHub\eaglep3\Utilities\RefineRTDCRunTimes.py" --tripid 1804-02 --locoid 4017 --swversion DE.1.0.9.0 --startMP 300:58619 --initTime 2017-04-02T07:35:05 --startdatetime 2017-04-02T07:41:58 --delay 1 --endMP 204:752 --enddatetime 2017-04-02T07:54:03 --enforcementcount 0 &gt;&gt;C:\Users\stu\Documents\GitHub\eaglep3-reporting\EC\2017-04-02-refined-times.txt</v>
      </c>
      <c r="AI161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{"issue":{"subject":"","project_id":79,"tracker_id":40,"status_id":1,"priority_id":2,"assigned_to_id":23,"start_date":"2017-04-02","description":"","custom_fields":[{"id":1,"name":"Subdivision","value":"NW"},{"id":4,"name":"Milepost","value":"0.0752"},{"id":17,"name":"Train ID","value":"1804-02"},{"id":16,"name":"Locomotive ID","value":"4017"},{"id":130,"name":"Impact","value":""},{"id":150,"name":"Time of Event (Mountain Time)","value":"07:54:03"},{"id":151,"name":"Denver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89"/>
        <v>start /low /b %USERPROFILE%\Documents\GitHub\eaglep3\Utilities\DownloadLogsFromS3.py --loco 4017 --day 2017-04-02</v>
      </c>
      <c r="AN161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13:54:03"},{"id":29,"name":"Sharepoint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691</v>
      </c>
      <c r="B162" s="7">
        <v>4018</v>
      </c>
      <c r="C162" s="21" t="s">
        <v>217</v>
      </c>
      <c r="D162" s="21" t="s">
        <v>604</v>
      </c>
      <c r="E162" s="13">
        <v>42827.330300925925</v>
      </c>
      <c r="F162" s="13">
        <v>42827.34820601852</v>
      </c>
      <c r="G162" s="7">
        <v>1</v>
      </c>
      <c r="H162" s="21" t="s">
        <v>467</v>
      </c>
      <c r="I162" s="13">
        <v>42827.35670138889</v>
      </c>
      <c r="J162" s="7">
        <v>0</v>
      </c>
      <c r="K162" s="97" t="str">
        <f t="shared" si="72"/>
        <v>4017/4018</v>
      </c>
      <c r="L162" s="21" t="str">
        <f>VLOOKUP(A162,'Trips&amp;Operators'!$C$1:$G$99999,5,FALSE)</f>
        <v>YORK EDGAR</v>
      </c>
      <c r="M162" s="6">
        <f t="shared" si="73"/>
        <v>8.4953703699284233E-3</v>
      </c>
      <c r="N162" s="7">
        <f t="shared" si="74"/>
        <v>12.23333333269693</v>
      </c>
      <c r="O162" s="7"/>
      <c r="P162" s="7"/>
      <c r="Q162" s="22"/>
      <c r="R162" s="22"/>
      <c r="S162" s="31">
        <f t="shared" si="75"/>
        <v>1</v>
      </c>
      <c r="T162" s="46" t="str">
        <f t="shared" si="76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77"/>
        <v>https://d0f6bd738d7f1b3e5a7ca70fe4ff75f0.us-east-1.aws.found.io/app/kibana#/discover/Steve-Slow-Train-Analysis-(2080s-and-2083s)?_g=(refreshInterval:(display:Off,pause:!f,section:0,value:0),time:(from:'2017-04-02T06:55:38-0600',mode:absolute,to:'2017-04-02T09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2" s="183" t="str">
        <f t="shared" si="78"/>
        <v>N</v>
      </c>
      <c r="X162" s="183">
        <f t="shared" si="91"/>
        <v>1</v>
      </c>
      <c r="Y162" s="62">
        <f t="shared" si="80"/>
        <v>0.10440000000000001</v>
      </c>
      <c r="Z162" s="62">
        <f t="shared" si="81"/>
        <v>5.8940999999999999</v>
      </c>
      <c r="AA162" s="62">
        <f t="shared" si="82"/>
        <v>5.7896999999999998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83"/>
        <v>1805-02</v>
      </c>
      <c r="AE162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62" s="82" t="str">
        <f t="shared" si="85"/>
        <v>"C:\Program Files (x86)\AstroGrep\AstroGrep.exe" /e /r /s /spath="%USERPROFILE%\AppData\Local\Temp\OnboardLogs" /stypes="app*4018*20170402*" /stext=" 14:.+((SYSTEM_STATE.+slice.+state.+changed )|(ment ac)|(multiple cpu faults)|(system.+state.+changed )|(\[timeout)|(PRM\|1\|D)|(kpr)|(kdp)|(\|lc)|(penalty))"</v>
      </c>
      <c r="AG162" s="1" t="str">
        <f t="shared" si="86"/>
        <v>NW</v>
      </c>
      <c r="AH162" s="86" t="str">
        <f t="shared" si="87"/>
        <v>"%USERPROFILE%\Documents\GitHub\eaglep3\Utilities\RefineRTDCRunTimes.py" --tripid 1805-02 --locoid 4018 --swversion DE.1.0.9.0 --startMP 204:1044 --initTime 2017-04-02T07:55:38 --startdatetime 2017-04-02T08:21:25 --delay 1 --endMP 300:58941 --enddatetime 2017-04-02T08:33:39 --enforcementcount 0 &gt;&gt;C:\Users\stu\Documents\GitHub\eaglep3-reporting\EC\2017-04-02-refined-times.txt</v>
      </c>
      <c r="AI162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{"issue":{"subject":"","project_id":79,"tracker_id":40,"status_id":1,"priority_id":2,"assigned_to_id":23,"start_date":"2017-04-02","description":"","custom_fields":[{"id":1,"name":"Subdivision","value":"NW"},{"id":4,"name":"Milepost","value":"5.8941"},{"id":17,"name":"Train ID","value":"1805-02"},{"id":16,"name":"Locomotive ID","value":"4018"},{"id":130,"name":"Impact","value":""},{"id":150,"name":"Time of Event (Mountain Time)","value":"08:33:39"},{"id":151,"name":"Denver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89"/>
        <v>start /low /b %USERPROFILE%\Documents\GitHub\eaglep3\Utilities\DownloadLogsFromS3.py --loco 4018 --day 2017-04-02</v>
      </c>
      <c r="AN162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695</v>
      </c>
      <c r="B163" s="7">
        <v>4017</v>
      </c>
      <c r="C163" s="21" t="s">
        <v>217</v>
      </c>
      <c r="D163" s="21" t="s">
        <v>878</v>
      </c>
      <c r="E163" s="13">
        <v>42827.358229166668</v>
      </c>
      <c r="F163" s="13">
        <v>42827.362129629626</v>
      </c>
      <c r="G163" s="7">
        <v>1</v>
      </c>
      <c r="H163" s="21" t="s">
        <v>879</v>
      </c>
      <c r="I163" s="13">
        <v>42827.370821759258</v>
      </c>
      <c r="J163" s="7">
        <v>0</v>
      </c>
      <c r="K163" s="97" t="str">
        <f t="shared" si="72"/>
        <v>4017/4018</v>
      </c>
      <c r="L163" s="21" t="str">
        <f>VLOOKUP(A163,'Trips&amp;Operators'!$C$1:$G$99999,5,FALSE)</f>
        <v>YORK EDGAR</v>
      </c>
      <c r="M163" s="6">
        <f t="shared" si="73"/>
        <v>8.6921296315267682E-3</v>
      </c>
      <c r="N163" s="7">
        <f t="shared" si="74"/>
        <v>12.516666669398546</v>
      </c>
      <c r="O163" s="7"/>
      <c r="P163" s="7"/>
      <c r="Q163" s="22"/>
      <c r="R163" s="22"/>
      <c r="S163" s="31">
        <f t="shared" si="75"/>
        <v>1</v>
      </c>
      <c r="T163" s="46" t="str">
        <f t="shared" si="76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77"/>
        <v>https://d0f6bd738d7f1b3e5a7ca70fe4ff75f0.us-east-1.aws.found.io/app/kibana#/discover/Steve-Slow-Train-Analysis-(2080s-and-2083s)?_g=(refreshInterval:(display:Off,pause:!f,section:0,value:0),time:(from:'2017-04-02T07:35:51-0600',mode:absolute,to:'2017-04-02T09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3" s="183" t="str">
        <f t="shared" si="78"/>
        <v>N</v>
      </c>
      <c r="X163" s="183">
        <f t="shared" si="91"/>
        <v>1</v>
      </c>
      <c r="Y163" s="62">
        <f t="shared" si="80"/>
        <v>5.8624000000000001</v>
      </c>
      <c r="Z163" s="62">
        <f t="shared" si="81"/>
        <v>7.3800000000000004E-2</v>
      </c>
      <c r="AA163" s="62">
        <f t="shared" si="82"/>
        <v>5.7885999999999997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83"/>
        <v>1806-02</v>
      </c>
      <c r="AE163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63" s="82" t="str">
        <f t="shared" si="85"/>
        <v>"C:\Program Files (x86)\AstroGrep\AstroGrep.exe" /e /r /s /spath="%USERPROFILE%\AppData\Local\Temp\OnboardLogs" /stypes="app*4017*20170402*" /stext=" 14:.+((SYSTEM_STATE.+slice.+state.+changed )|(ment ac)|(multiple cpu faults)|(system.+state.+changed )|(\[timeout)|(PRM\|1\|D)|(kpr)|(kdp)|(\|lc)|(penalty))"</v>
      </c>
      <c r="AG163" s="1" t="str">
        <f t="shared" si="86"/>
        <v>NW</v>
      </c>
      <c r="AH163" s="86" t="str">
        <f t="shared" si="87"/>
        <v>"%USERPROFILE%\Documents\GitHub\eaglep3\Utilities\RefineRTDCRunTimes.py" --tripid 1806-02 --locoid 4017 --swversion DE.1.0.9.0 --startMP 300:58624 --initTime 2017-04-02T08:35:51 --startdatetime 2017-04-02T08:41:28 --delay 1 --endMP 204:738 --enddatetime 2017-04-02T08:53:59 --enforcementcount 0 &gt;&gt;C:\Users\stu\Documents\GitHub\eaglep3-reporting\EC\2017-04-02-refined-times.txt</v>
      </c>
      <c r="AI163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{"issue":{"subject":"","project_id":79,"tracker_id":40,"status_id":1,"priority_id":2,"assigned_to_id":23,"start_date":"2017-04-02","description":"","custom_fields":[{"id":1,"name":"Subdivision","value":"NW"},{"id":4,"name":"Milepost","value":"0.0738"},{"id":17,"name":"Train ID","value":"1806-02"},{"id":16,"name":"Locomotive ID","value":"4017"},{"id":130,"name":"Impact","value":""},{"id":150,"name":"Time of Event (Mountain Time)","value":"08:53:59"},{"id":151,"name":"Denver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89"/>
        <v>start /low /b %USERPROFILE%\Documents\GitHub\eaglep3\Utilities\DownloadLogsFromS3.py --loco 4017 --day 2017-04-02</v>
      </c>
      <c r="AN163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14:53:59"},{"id":29,"name":"Sharepoint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700</v>
      </c>
      <c r="B164" s="7">
        <v>4018</v>
      </c>
      <c r="C164" s="21" t="s">
        <v>217</v>
      </c>
      <c r="D164" s="21" t="s">
        <v>600</v>
      </c>
      <c r="E164" s="13">
        <v>42827.372349537036</v>
      </c>
      <c r="F164" s="13">
        <v>42827.389907407407</v>
      </c>
      <c r="G164" s="7">
        <v>1</v>
      </c>
      <c r="H164" s="21" t="s">
        <v>873</v>
      </c>
      <c r="I164" s="13">
        <v>42827.399074074077</v>
      </c>
      <c r="J164" s="7">
        <v>0</v>
      </c>
      <c r="K164" s="97" t="str">
        <f t="shared" si="72"/>
        <v>4017/4018</v>
      </c>
      <c r="L164" s="21" t="str">
        <f>VLOOKUP(A164,'Trips&amp;Operators'!$C$1:$G$99999,5,FALSE)</f>
        <v>YORK EDGAR</v>
      </c>
      <c r="M164" s="6">
        <f t="shared" si="73"/>
        <v>9.1666666703531519E-3</v>
      </c>
      <c r="N164" s="7">
        <f t="shared" si="74"/>
        <v>13.200000005308539</v>
      </c>
      <c r="O164" s="7"/>
      <c r="P164" s="7"/>
      <c r="Q164" s="22"/>
      <c r="R164" s="22"/>
      <c r="S164" s="31">
        <f t="shared" si="75"/>
        <v>1</v>
      </c>
      <c r="T164" s="46" t="str">
        <f t="shared" si="76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77"/>
        <v>https://d0f6bd738d7f1b3e5a7ca70fe4ff75f0.us-east-1.aws.found.io/app/kibana#/discover/Steve-Slow-Train-Analysis-(2080s-and-2083s)?_g=(refreshInterval:(display:Off,pause:!f,section:0,value:0),time:(from:'2017-04-02T07:56:11-0600',mode:absolute,to:'2017-04-02T10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4" s="183" t="str">
        <f t="shared" si="78"/>
        <v>N</v>
      </c>
      <c r="X164" s="183">
        <f t="shared" ref="X164:X207" si="92">VALUE(LEFT(AD164,4))-VALUE(LEFT(AD163,4))</f>
        <v>1</v>
      </c>
      <c r="Y164" s="62">
        <f t="shared" si="80"/>
        <v>0.1027</v>
      </c>
      <c r="Z164" s="62">
        <f t="shared" si="81"/>
        <v>5.8935000000000004</v>
      </c>
      <c r="AA164" s="62">
        <f t="shared" si="82"/>
        <v>5.7908000000000008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83"/>
        <v>1807-02</v>
      </c>
      <c r="AE164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64" s="82" t="str">
        <f t="shared" si="85"/>
        <v>"C:\Program Files (x86)\AstroGrep\AstroGrep.exe" /e /r /s /spath="%USERPROFILE%\AppData\Local\Temp\OnboardLogs" /stypes="app*4018*20170402*" /stext=" 15:.+((SYSTEM_STATE.+slice.+state.+changed )|(ment ac)|(multiple cpu faults)|(system.+state.+changed )|(\[timeout)|(PRM\|1\|D)|(kpr)|(kdp)|(\|lc)|(penalty))"</v>
      </c>
      <c r="AG164" s="1" t="str">
        <f t="shared" si="86"/>
        <v>NW</v>
      </c>
      <c r="AH164" s="86" t="str">
        <f t="shared" si="87"/>
        <v>"%USERPROFILE%\Documents\GitHub\eaglep3\Utilities\RefineRTDCRunTimes.py" --tripid 1807-02 --locoid 4018 --swversion DE.1.0.9.0 --startMP 204:1027 --initTime 2017-04-02T08:56:11 --startdatetime 2017-04-02T09:21:28 --delay 1 --endMP 300:58935 --enddatetime 2017-04-02T09:34:40 --enforcementcount 0 &gt;&gt;C:\Users\stu\Documents\GitHub\eaglep3-reporting\EC\2017-04-02-refined-times.txt</v>
      </c>
      <c r="AI164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{"issue":{"subject":"","project_id":79,"tracker_id":40,"status_id":1,"priority_id":2,"assigned_to_id":23,"start_date":"2017-04-02","description":"","custom_fields":[{"id":1,"name":"Subdivision","value":"NW"},{"id":4,"name":"Milepost","value":"5.8935"},{"id":17,"name":"Train ID","value":"1807-02"},{"id":16,"name":"Locomotive ID","value":"4018"},{"id":130,"name":"Impact","value":""},{"id":150,"name":"Time of Event (Mountain Time)","value":"09:34:40"},{"id":151,"name":"Denver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89"/>
        <v>start /low /b %USERPROFILE%\Documents\GitHub\eaglep3\Utilities\DownloadLogsFromS3.py --loco 4018 --day 2017-04-02</v>
      </c>
      <c r="AN164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704</v>
      </c>
      <c r="B165" s="7">
        <v>4017</v>
      </c>
      <c r="C165" s="21" t="s">
        <v>217</v>
      </c>
      <c r="D165" s="21" t="s">
        <v>880</v>
      </c>
      <c r="E165" s="13">
        <v>42827.399942129632</v>
      </c>
      <c r="F165" s="13">
        <v>42827.404097222221</v>
      </c>
      <c r="G165" s="7">
        <v>1</v>
      </c>
      <c r="H165" s="21" t="s">
        <v>881</v>
      </c>
      <c r="I165" s="13">
        <v>42827.412905092591</v>
      </c>
      <c r="J165" s="7">
        <v>0</v>
      </c>
      <c r="K165" s="97" t="str">
        <f t="shared" si="72"/>
        <v>4017/4018</v>
      </c>
      <c r="L165" s="21" t="str">
        <f>VLOOKUP(A165,'Trips&amp;Operators'!$C$1:$G$99999,5,FALSE)</f>
        <v>YORK EDGAR</v>
      </c>
      <c r="M165" s="6">
        <f t="shared" si="73"/>
        <v>8.8078703702194616E-3</v>
      </c>
      <c r="N165" s="7">
        <f t="shared" si="74"/>
        <v>12.683333333116025</v>
      </c>
      <c r="O165" s="7"/>
      <c r="P165" s="7"/>
      <c r="Q165" s="22"/>
      <c r="R165" s="22"/>
      <c r="S165" s="31">
        <f t="shared" si="75"/>
        <v>1</v>
      </c>
      <c r="T165" s="46" t="str">
        <f t="shared" si="76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77"/>
        <v>https://d0f6bd738d7f1b3e5a7ca70fe4ff75f0.us-east-1.aws.found.io/app/kibana#/discover/Steve-Slow-Train-Analysis-(2080s-and-2083s)?_g=(refreshInterval:(display:Off,pause:!f,section:0,value:0),time:(from:'2017-04-02T08:35:55-0600',mode:absolute,to:'2017-04-02T10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5" s="183" t="str">
        <f t="shared" si="78"/>
        <v>N</v>
      </c>
      <c r="X165" s="183">
        <f t="shared" si="92"/>
        <v>1</v>
      </c>
      <c r="Y165" s="62">
        <f t="shared" si="80"/>
        <v>5.8615000000000004</v>
      </c>
      <c r="Z165" s="62">
        <f t="shared" si="81"/>
        <v>7.3099999999999998E-2</v>
      </c>
      <c r="AA165" s="62">
        <f t="shared" si="82"/>
        <v>5.7884000000000002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83"/>
        <v>1808-02</v>
      </c>
      <c r="AE165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65" s="82" t="str">
        <f t="shared" si="85"/>
        <v>"C:\Program Files (x86)\AstroGrep\AstroGrep.exe" /e /r /s /spath="%USERPROFILE%\AppData\Local\Temp\OnboardLogs" /stypes="app*4017*20170402*" /stext=" 15:.+((SYSTEM_STATE.+slice.+state.+changed )|(ment ac)|(multiple cpu faults)|(system.+state.+changed )|(\[timeout)|(PRM\|1\|D)|(kpr)|(kdp)|(\|lc)|(penalty))"</v>
      </c>
      <c r="AG165" s="1" t="str">
        <f t="shared" si="86"/>
        <v>NW</v>
      </c>
      <c r="AH165" s="86" t="str">
        <f t="shared" si="87"/>
        <v>"%USERPROFILE%\Documents\GitHub\eaglep3\Utilities\RefineRTDCRunTimes.py" --tripid 1808-02 --locoid 4017 --swversion DE.1.0.9.0 --startMP 300:58615 --initTime 2017-04-02T09:35:55 --startdatetime 2017-04-02T09:41:54 --delay 1 --endMP 204:731 --enddatetime 2017-04-02T09:54:35 --enforcementcount 0 &gt;&gt;C:\Users\stu\Documents\GitHub\eaglep3-reporting\EC\2017-04-02-refined-times.txt</v>
      </c>
      <c r="AI165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{"issue":{"subject":"","project_id":79,"tracker_id":40,"status_id":1,"priority_id":2,"assigned_to_id":23,"start_date":"2017-04-02","description":"","custom_fields":[{"id":1,"name":"Subdivision","value":"NW"},{"id":4,"name":"Milepost","value":"0.0731"},{"id":17,"name":"Train ID","value":"1808-02"},{"id":16,"name":"Locomotive ID","value":"4017"},{"id":130,"name":"Impact","value":""},{"id":150,"name":"Time of Event (Mountain Time)","value":"09:54:35"},{"id":151,"name":"Denver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89"/>
        <v>start /low /b %USERPROFILE%\Documents\GitHub\eaglep3\Utilities\DownloadLogsFromS3.py --loco 4017 --day 2017-04-02</v>
      </c>
      <c r="AN165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15:54:35"},{"id":29,"name":"Sharepoint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708</v>
      </c>
      <c r="B166" s="7">
        <v>4018</v>
      </c>
      <c r="C166" s="21" t="s">
        <v>217</v>
      </c>
      <c r="D166" s="21" t="s">
        <v>521</v>
      </c>
      <c r="E166" s="13">
        <v>42827.415439814817</v>
      </c>
      <c r="F166" s="13">
        <v>42827.431481481479</v>
      </c>
      <c r="G166" s="7">
        <v>0</v>
      </c>
      <c r="H166" s="21" t="s">
        <v>882</v>
      </c>
      <c r="I166" s="13">
        <v>42827.44</v>
      </c>
      <c r="J166" s="7">
        <v>0</v>
      </c>
      <c r="K166" s="97" t="str">
        <f t="shared" si="72"/>
        <v>4017/4018</v>
      </c>
      <c r="L166" s="21" t="str">
        <f>VLOOKUP(A166,'Trips&amp;Operators'!$C$1:$G$99999,5,FALSE)</f>
        <v>YORK EDGAR</v>
      </c>
      <c r="M166" s="6">
        <f t="shared" si="73"/>
        <v>8.5185185234877281E-3</v>
      </c>
      <c r="N166" s="7">
        <f t="shared" si="74"/>
        <v>12.266666673822328</v>
      </c>
      <c r="O166" s="7"/>
      <c r="P166" s="7"/>
      <c r="Q166" s="22"/>
      <c r="R166" s="22"/>
      <c r="S166" s="31">
        <f t="shared" si="75"/>
        <v>1</v>
      </c>
      <c r="T166" s="46" t="str">
        <f t="shared" si="76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77"/>
        <v>https://d0f6bd738d7f1b3e5a7ca70fe4ff75f0.us-east-1.aws.found.io/app/kibana#/discover/Steve-Slow-Train-Analysis-(2080s-and-2083s)?_g=(refreshInterval:(display:Off,pause:!f,section:0,value:0),time:(from:'2017-04-02T08:58:14-0600',mode:absolute,to:'2017-04-02T11:33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6" s="183" t="str">
        <f t="shared" si="78"/>
        <v>N</v>
      </c>
      <c r="X166" s="183">
        <f t="shared" si="92"/>
        <v>1</v>
      </c>
      <c r="Y166" s="62">
        <f t="shared" si="80"/>
        <v>0.10249999999999999</v>
      </c>
      <c r="Z166" s="62">
        <f t="shared" si="81"/>
        <v>5.8928000000000003</v>
      </c>
      <c r="AA166" s="62">
        <f t="shared" si="82"/>
        <v>5.7903000000000002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83"/>
        <v>1809-02</v>
      </c>
      <c r="AE166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66" s="82" t="str">
        <f t="shared" si="85"/>
        <v>"C:\Program Files (x86)\AstroGrep\AstroGrep.exe" /e /r /s /spath="%USERPROFILE%\AppData\Local\Temp\OnboardLogs" /stypes="app*4018*20170402*" /stext=" 16:.+((SYSTEM_STATE.+slice.+state.+changed )|(ment ac)|(multiple cpu faults)|(system.+state.+changed )|(\[timeout)|(PRM\|1\|D)|(kpr)|(kdp)|(\|lc)|(penalty))"</v>
      </c>
      <c r="AG166" s="1" t="str">
        <f t="shared" si="86"/>
        <v>NW</v>
      </c>
      <c r="AH166" s="86" t="str">
        <f t="shared" si="87"/>
        <v>"%USERPROFILE%\Documents\GitHub\eaglep3\Utilities\RefineRTDCRunTimes.py" --tripid 1809-02 --locoid 4018 --swversion DE.1.0.9.0 --startMP 204:1025 --initTime 2017-04-02T09:58:14 --startdatetime 2017-04-02T10:21:20 --delay 0 --endMP 300:58928 --enddatetime 2017-04-02T10:33:36 --enforcementcount 0 &gt;&gt;C:\Users\stu\Documents\GitHub\eaglep3-reporting\EC\2017-04-02-refined-times.txt</v>
      </c>
      <c r="AI166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{"issue":{"subject":"","project_id":79,"tracker_id":40,"status_id":1,"priority_id":2,"assigned_to_id":23,"start_date":"2017-04-02","description":"","custom_fields":[{"id":1,"name":"Subdivision","value":"NW"},{"id":4,"name":"Milepost","value":"5.8928"},{"id":17,"name":"Train ID","value":"1809-02"},{"id":16,"name":"Locomotive ID","value":"4018"},{"id":130,"name":"Impact","value":""},{"id":150,"name":"Time of Event (Mountain Time)","value":"10:33:36"},{"id":151,"name":"Denver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89"/>
        <v>start /low /b %USERPROFILE%\Documents\GitHub\eaglep3\Utilities\DownloadLogsFromS3.py --loco 4018 --day 2017-04-02</v>
      </c>
      <c r="AN166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16:33:36"},{"id":29,"name":"Sharepoint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713</v>
      </c>
      <c r="B167" s="7">
        <v>4017</v>
      </c>
      <c r="C167" s="21" t="s">
        <v>217</v>
      </c>
      <c r="D167" s="21" t="s">
        <v>877</v>
      </c>
      <c r="E167" s="13">
        <v>42827.44326388889</v>
      </c>
      <c r="F167" s="13">
        <v>42827.445659722223</v>
      </c>
      <c r="G167" s="7">
        <v>1</v>
      </c>
      <c r="H167" s="21" t="s">
        <v>884</v>
      </c>
      <c r="I167" s="13">
        <v>42827.454050925924</v>
      </c>
      <c r="J167" s="7">
        <v>0</v>
      </c>
      <c r="K167" s="97" t="str">
        <f t="shared" si="72"/>
        <v>4017/4018</v>
      </c>
      <c r="L167" s="21" t="str">
        <f>VLOOKUP(A167,'Trips&amp;Operators'!$C$1:$G$99999,5,FALSE)</f>
        <v>YORK EDGAR</v>
      </c>
      <c r="M167" s="6">
        <f t="shared" si="73"/>
        <v>8.3912037007394247E-3</v>
      </c>
      <c r="N167" s="7">
        <f t="shared" si="74"/>
        <v>12.083333329064772</v>
      </c>
      <c r="O167" s="7"/>
      <c r="P167" s="7"/>
      <c r="Q167" s="22"/>
      <c r="R167" s="22"/>
      <c r="S167" s="31">
        <f t="shared" si="75"/>
        <v>1</v>
      </c>
      <c r="T167" s="46" t="str">
        <f t="shared" si="76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77"/>
        <v>https://d0f6bd738d7f1b3e5a7ca70fe4ff75f0.us-east-1.aws.found.io/app/kibana#/discover/Steve-Slow-Train-Analysis-(2080s-and-2083s)?_g=(refreshInterval:(display:Off,pause:!f,section:0,value:0),time:(from:'2017-04-02T09:38:18-0600',mode:absolute,to:'2017-04-02T11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7" s="183" t="str">
        <f t="shared" si="78"/>
        <v>N</v>
      </c>
      <c r="X167" s="183">
        <f t="shared" si="92"/>
        <v>1</v>
      </c>
      <c r="Y167" s="62">
        <f t="shared" si="80"/>
        <v>5.8619000000000003</v>
      </c>
      <c r="Z167" s="62">
        <f t="shared" si="81"/>
        <v>7.2900000000000006E-2</v>
      </c>
      <c r="AA167" s="62">
        <f t="shared" si="82"/>
        <v>5.7890000000000006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83"/>
        <v>1810-02</v>
      </c>
      <c r="AE167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67" s="82" t="str">
        <f t="shared" si="85"/>
        <v>"C:\Program Files (x86)\AstroGrep\AstroGrep.exe" /e /r /s /spath="%USERPROFILE%\AppData\Local\Temp\OnboardLogs" /stypes="app*4017*20170402*" /stext=" 16:.+((SYSTEM_STATE.+slice.+state.+changed )|(ment ac)|(multiple cpu faults)|(system.+state.+changed )|(\[timeout)|(PRM\|1\|D)|(kpr)|(kdp)|(\|lc)|(penalty))"</v>
      </c>
      <c r="AG167" s="1" t="str">
        <f t="shared" si="86"/>
        <v>NW</v>
      </c>
      <c r="AH167" s="86" t="str">
        <f t="shared" si="87"/>
        <v>"%USERPROFILE%\Documents\GitHub\eaglep3\Utilities\RefineRTDCRunTimes.py" --tripid 1810-02 --locoid 4017 --swversion DE.1.0.9.0 --startMP 300:58619 --initTime 2017-04-02T10:38:18 --startdatetime 2017-04-02T10:41:45 --delay 1 --endMP 204:729 --enddatetime 2017-04-02T10:53:50 --enforcementcount 0 &gt;&gt;C:\Users\stu\Documents\GitHub\eaglep3-reporting\EC\2017-04-02-refined-times.txt</v>
      </c>
      <c r="AI167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{"issue":{"subject":"","project_id":79,"tracker_id":40,"status_id":1,"priority_id":2,"assigned_to_id":23,"start_date":"2017-04-02","description":"","custom_fields":[{"id":1,"name":"Subdivision","value":"NW"},{"id":4,"name":"Milepost","value":"0.0729"},{"id":17,"name":"Train ID","value":"1810-02"},{"id":16,"name":"Locomotive ID","value":"4017"},{"id":130,"name":"Impact","value":""},{"id":150,"name":"Time of Event (Mountain Time)","value":"10:53:50"},{"id":151,"name":"Denver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89"/>
        <v>start /low /b %USERPROFILE%\Documents\GitHub\eaglep3\Utilities\DownloadLogsFromS3.py --loco 4017 --day 2017-04-02</v>
      </c>
      <c r="AN167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16:53:50"},{"id":29,"name":"Sharepoint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717</v>
      </c>
      <c r="B168" s="7">
        <v>4018</v>
      </c>
      <c r="C168" s="21" t="s">
        <v>217</v>
      </c>
      <c r="D168" s="21" t="s">
        <v>885</v>
      </c>
      <c r="E168" s="13">
        <v>42827.454907407409</v>
      </c>
      <c r="F168" s="13">
        <v>42827.473067129627</v>
      </c>
      <c r="G168" s="7">
        <v>1</v>
      </c>
      <c r="H168" s="21" t="s">
        <v>876</v>
      </c>
      <c r="I168" s="13">
        <v>42827.481724537036</v>
      </c>
      <c r="J168" s="7">
        <v>0</v>
      </c>
      <c r="K168" s="97" t="str">
        <f t="shared" si="72"/>
        <v>4017/4018</v>
      </c>
      <c r="L168" s="21" t="str">
        <f>VLOOKUP(A168,'Trips&amp;Operators'!$C$1:$G$99999,5,FALSE)</f>
        <v>YORK EDGAR</v>
      </c>
      <c r="M168" s="6">
        <f t="shared" si="73"/>
        <v>8.6574074084637687E-3</v>
      </c>
      <c r="N168" s="7">
        <f t="shared" si="74"/>
        <v>12.466666668187827</v>
      </c>
      <c r="O168" s="7"/>
      <c r="P168" s="7"/>
      <c r="Q168" s="22"/>
      <c r="R168" s="22"/>
      <c r="S168" s="31">
        <f t="shared" si="75"/>
        <v>1</v>
      </c>
      <c r="T168" s="46" t="str">
        <f t="shared" si="76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77"/>
        <v>https://d0f6bd738d7f1b3e5a7ca70fe4ff75f0.us-east-1.aws.found.io/app/kibana#/discover/Steve-Slow-Train-Analysis-(2080s-and-2083s)?_g=(refreshInterval:(display:Off,pause:!f,section:0,value:0),time:(from:'2017-04-02T09:55:04-0600',mode:absolute,to:'2017-04-02T12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8" s="183" t="str">
        <f t="shared" si="78"/>
        <v>N</v>
      </c>
      <c r="X168" s="183">
        <f t="shared" si="92"/>
        <v>1</v>
      </c>
      <c r="Y168" s="62">
        <f t="shared" si="80"/>
        <v>0.10299999999999999</v>
      </c>
      <c r="Z168" s="62">
        <f t="shared" si="81"/>
        <v>5.8943000000000003</v>
      </c>
      <c r="AA168" s="62">
        <f t="shared" si="82"/>
        <v>5.7913000000000006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83"/>
        <v>1811-02</v>
      </c>
      <c r="AE168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68" s="82" t="str">
        <f t="shared" si="85"/>
        <v>"C:\Program Files (x86)\AstroGrep\AstroGrep.exe" /e /r /s /spath="%USERPROFILE%\AppData\Local\Temp\OnboardLogs" /stypes="app*4018*20170402*" /stext=" 17:.+((SYSTEM_STATE.+slice.+state.+changed )|(ment ac)|(multiple cpu faults)|(system.+state.+changed )|(\[timeout)|(PRM\|1\|D)|(kpr)|(kdp)|(\|lc)|(penalty))"</v>
      </c>
      <c r="AG168" s="1" t="str">
        <f t="shared" si="86"/>
        <v>NW</v>
      </c>
      <c r="AH168" s="86" t="str">
        <f t="shared" si="87"/>
        <v>"%USERPROFILE%\Documents\GitHub\eaglep3\Utilities\RefineRTDCRunTimes.py" --tripid 1811-02 --locoid 4018 --swversion DE.1.0.9.0 --startMP 204:1030 --initTime 2017-04-02T10:55:04 --startdatetime 2017-04-02T11:21:13 --delay 1 --endMP 300:58943 --enddatetime 2017-04-02T11:33:41 --enforcementcount 0 &gt;&gt;C:\Users\stu\Documents\GitHub\eaglep3-reporting\EC\2017-04-02-refined-times.txt</v>
      </c>
      <c r="AI168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{"issue":{"subject":"","project_id":79,"tracker_id":40,"status_id":1,"priority_id":2,"assigned_to_id":23,"start_date":"2017-04-02","description":"","custom_fields":[{"id":1,"name":"Subdivision","value":"NW"},{"id":4,"name":"Milepost","value":"5.8943"},{"id":17,"name":"Train ID","value":"1811-02"},{"id":16,"name":"Locomotive ID","value":"4018"},{"id":130,"name":"Impact","value":""},{"id":150,"name":"Time of Event (Mountain Time)","value":"11:33:41"},{"id":151,"name":"Denver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89"/>
        <v>start /low /b %USERPROFILE%\Documents\GitHub\eaglep3\Utilities\DownloadLogsFromS3.py --loco 4018 --day 2017-04-02</v>
      </c>
      <c r="AN168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726</v>
      </c>
      <c r="B169" s="7">
        <v>4017</v>
      </c>
      <c r="C169" s="21" t="s">
        <v>217</v>
      </c>
      <c r="D169" s="21" t="s">
        <v>886</v>
      </c>
      <c r="E169" s="13">
        <v>42827.482685185183</v>
      </c>
      <c r="F169" s="13">
        <v>42827.48709490741</v>
      </c>
      <c r="G169" s="7">
        <v>1</v>
      </c>
      <c r="H169" s="21" t="s">
        <v>510</v>
      </c>
      <c r="I169" s="13">
        <v>42827.495844907404</v>
      </c>
      <c r="J169" s="7">
        <v>0</v>
      </c>
      <c r="K169" s="97" t="str">
        <f t="shared" si="72"/>
        <v>4017/4018</v>
      </c>
      <c r="L169" s="21" t="str">
        <f>VLOOKUP(A169,'Trips&amp;Operators'!$C$1:$G$99999,5,FALSE)</f>
        <v>YORK EDGAR</v>
      </c>
      <c r="M169" s="6">
        <f t="shared" si="73"/>
        <v>8.7499999935971573E-3</v>
      </c>
      <c r="N169" s="7">
        <f t="shared" si="74"/>
        <v>12.599999990779907</v>
      </c>
      <c r="O169" s="7"/>
      <c r="P169" s="7"/>
      <c r="Q169" s="22"/>
      <c r="R169" s="22"/>
      <c r="S169" s="31">
        <f t="shared" si="75"/>
        <v>1</v>
      </c>
      <c r="T169" s="46" t="str">
        <f t="shared" si="76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77"/>
        <v>https://d0f6bd738d7f1b3e5a7ca70fe4ff75f0.us-east-1.aws.found.io/app/kibana#/discover/Steve-Slow-Train-Analysis-(2080s-and-2083s)?_g=(refreshInterval:(display:Off,pause:!f,section:0,value:0),time:(from:'2017-04-02T10:35:04-0600',mode:absolute,to:'2017-04-02T12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9" s="183" t="str">
        <f t="shared" si="78"/>
        <v>N</v>
      </c>
      <c r="X169" s="183">
        <f t="shared" si="92"/>
        <v>1</v>
      </c>
      <c r="Y169" s="62">
        <f t="shared" si="80"/>
        <v>5.8630000000000004</v>
      </c>
      <c r="Z169" s="62">
        <f t="shared" si="81"/>
        <v>7.4800000000000005E-2</v>
      </c>
      <c r="AA169" s="62">
        <f t="shared" si="82"/>
        <v>5.7882000000000007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83"/>
        <v>1812-02</v>
      </c>
      <c r="AE169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69" s="82" t="str">
        <f t="shared" si="85"/>
        <v>"C:\Program Files (x86)\AstroGrep\AstroGrep.exe" /e /r /s /spath="%USERPROFILE%\AppData\Local\Temp\OnboardLogs" /stypes="app*4017*20170402*" /stext=" 17:.+((SYSTEM_STATE.+slice.+state.+changed )|(ment ac)|(multiple cpu faults)|(system.+state.+changed )|(\[timeout)|(PRM\|1\|D)|(kpr)|(kdp)|(\|lc)|(penalty))"</v>
      </c>
      <c r="AG169" s="1" t="str">
        <f t="shared" si="86"/>
        <v>NW</v>
      </c>
      <c r="AH169" s="86" t="str">
        <f t="shared" si="87"/>
        <v>"%USERPROFILE%\Documents\GitHub\eaglep3\Utilities\RefineRTDCRunTimes.py" --tripid 1812-02 --locoid 4017 --swversion DE.1.0.9.0 --startMP 300:58630 --initTime 2017-04-02T11:35:04 --startdatetime 2017-04-02T11:41:25 --delay 1 --endMP 204:748 --enddatetime 2017-04-02T11:54:01 --enforcementcount 0 &gt;&gt;C:\Users\stu\Documents\GitHub\eaglep3-reporting\EC\2017-04-02-refined-times.txt</v>
      </c>
      <c r="AI169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{"issue":{"subject":"","project_id":79,"tracker_id":40,"status_id":1,"priority_id":2,"assigned_to_id":23,"start_date":"2017-04-02","description":"","custom_fields":[{"id":1,"name":"Subdivision","value":"NW"},{"id":4,"name":"Milepost","value":"0.0748"},{"id":17,"name":"Train ID","value":"1812-02"},{"id":16,"name":"Locomotive ID","value":"4017"},{"id":130,"name":"Impact","value":""},{"id":150,"name":"Time of Event (Mountain Time)","value":"11:54:01"},{"id":151,"name":"Denver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89"/>
        <v>start /low /b %USERPROFILE%\Documents\GitHub\eaglep3\Utilities\DownloadLogsFromS3.py --loco 4017 --day 2017-04-02</v>
      </c>
      <c r="AN169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17:54:01"},{"id":29,"name":"Sharepoint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730</v>
      </c>
      <c r="B170" s="7">
        <v>4018</v>
      </c>
      <c r="C170" s="21" t="s">
        <v>217</v>
      </c>
      <c r="D170" s="21" t="s">
        <v>885</v>
      </c>
      <c r="E170" s="13">
        <v>42827.498333333337</v>
      </c>
      <c r="F170" s="13">
        <v>42827.514733796299</v>
      </c>
      <c r="G170" s="7">
        <v>2</v>
      </c>
      <c r="H170" s="21" t="s">
        <v>496</v>
      </c>
      <c r="I170" s="13">
        <v>42827.523634259262</v>
      </c>
      <c r="J170" s="7">
        <v>0</v>
      </c>
      <c r="K170" s="97" t="str">
        <f t="shared" si="72"/>
        <v>4017/4018</v>
      </c>
      <c r="L170" s="21" t="str">
        <f>VLOOKUP(A170,'Trips&amp;Operators'!$C$1:$G$99999,5,FALSE)</f>
        <v>YORK EDGAR</v>
      </c>
      <c r="M170" s="6">
        <f t="shared" si="73"/>
        <v>8.9004629626288079E-3</v>
      </c>
      <c r="N170" s="7">
        <f t="shared" si="74"/>
        <v>12.816666666185483</v>
      </c>
      <c r="O170" s="7"/>
      <c r="P170" s="7"/>
      <c r="Q170" s="22"/>
      <c r="R170" s="22"/>
      <c r="S170" s="31">
        <f t="shared" si="75"/>
        <v>1</v>
      </c>
      <c r="T170" s="46" t="str">
        <f t="shared" si="76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77"/>
        <v>https://d0f6bd738d7f1b3e5a7ca70fe4ff75f0.us-east-1.aws.found.io/app/kibana#/discover/Steve-Slow-Train-Analysis-(2080s-and-2083s)?_g=(refreshInterval:(display:Off,pause:!f,section:0,value:0),time:(from:'2017-04-02T10:57:36-0600',mode:absolute,to:'2017-04-02T13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0" s="183" t="str">
        <f t="shared" si="78"/>
        <v>N</v>
      </c>
      <c r="X170" s="183">
        <f t="shared" si="92"/>
        <v>1</v>
      </c>
      <c r="Y170" s="62">
        <f t="shared" si="80"/>
        <v>0.10299999999999999</v>
      </c>
      <c r="Z170" s="62">
        <f t="shared" si="81"/>
        <v>5.8939000000000004</v>
      </c>
      <c r="AA170" s="62">
        <f t="shared" si="82"/>
        <v>5.7909000000000006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83"/>
        <v>1813-02</v>
      </c>
      <c r="AE170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70" s="82" t="str">
        <f t="shared" si="85"/>
        <v>"C:\Program Files (x86)\AstroGrep\AstroGrep.exe" /e /r /s /spath="%USERPROFILE%\AppData\Local\Temp\OnboardLogs" /stypes="app*4018*20170402*" /stext=" 18:.+((SYSTEM_STATE.+slice.+state.+changed )|(ment ac)|(multiple cpu faults)|(system.+state.+changed )|(\[timeout)|(PRM\|1\|D)|(kpr)|(kdp)|(\|lc)|(penalty))"</v>
      </c>
      <c r="AG170" s="1" t="str">
        <f t="shared" si="86"/>
        <v>NW</v>
      </c>
      <c r="AH170" s="86" t="str">
        <f t="shared" si="87"/>
        <v>"%USERPROFILE%\Documents\GitHub\eaglep3\Utilities\RefineRTDCRunTimes.py" --tripid 1813-02 --locoid 4018 --swversion DE.1.0.9.0 --startMP 204:1030 --initTime 2017-04-02T11:57:36 --startdatetime 2017-04-02T12:21:13 --delay 2 --endMP 300:58939 --enddatetime 2017-04-02T12:34:02 --enforcementcount 0 &gt;&gt;C:\Users\stu\Documents\GitHub\eaglep3-reporting\EC\2017-04-02-refined-times.txt</v>
      </c>
      <c r="AI170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{"issue":{"subject":"","project_id":79,"tracker_id":40,"status_id":1,"priority_id":2,"assigned_to_id":23,"start_date":"2017-04-02","description":"","custom_fields":[{"id":1,"name":"Subdivision","value":"NW"},{"id":4,"name":"Milepost","value":"5.8939"},{"id":17,"name":"Train ID","value":"1813-02"},{"id":16,"name":"Locomotive ID","value":"4018"},{"id":130,"name":"Impact","value":""},{"id":150,"name":"Time of Event (Mountain Time)","value":"12:34:02"},{"id":151,"name":"Denver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89"/>
        <v>start /low /b %USERPROFILE%\Documents\GitHub\eaglep3\Utilities\DownloadLogsFromS3.py --loco 4018 --day 2017-04-02</v>
      </c>
      <c r="AN170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735</v>
      </c>
      <c r="B171" s="7">
        <v>4017</v>
      </c>
      <c r="C171" s="21" t="s">
        <v>217</v>
      </c>
      <c r="D171" s="21" t="s">
        <v>886</v>
      </c>
      <c r="E171" s="13">
        <v>42827.52447916667</v>
      </c>
      <c r="F171" s="13">
        <v>42827.528240740743</v>
      </c>
      <c r="G171" s="7">
        <v>0</v>
      </c>
      <c r="H171" s="21" t="s">
        <v>567</v>
      </c>
      <c r="I171" s="13">
        <v>42827.537430555552</v>
      </c>
      <c r="J171" s="7">
        <v>0</v>
      </c>
      <c r="K171" s="97" t="str">
        <f t="shared" si="72"/>
        <v>4017/4018</v>
      </c>
      <c r="L171" s="21" t="str">
        <f>VLOOKUP(A171,'Trips&amp;Operators'!$C$1:$G$99999,5,FALSE)</f>
        <v>YORK EDGAR</v>
      </c>
      <c r="M171" s="6">
        <f t="shared" si="73"/>
        <v>9.1898148093605414E-3</v>
      </c>
      <c r="N171" s="7">
        <f t="shared" si="74"/>
        <v>13.23333332547918</v>
      </c>
      <c r="O171" s="7"/>
      <c r="P171" s="7"/>
      <c r="Q171" s="22"/>
      <c r="R171" s="22"/>
      <c r="S171" s="31">
        <f t="shared" si="75"/>
        <v>1</v>
      </c>
      <c r="T171" s="46" t="str">
        <f t="shared" si="76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77"/>
        <v>https://d0f6bd738d7f1b3e5a7ca70fe4ff75f0.us-east-1.aws.found.io/app/kibana#/discover/Steve-Slow-Train-Analysis-(2080s-and-2083s)?_g=(refreshInterval:(display:Off,pause:!f,section:0,value:0),time:(from:'2017-04-02T11:35:15-0600',mode:absolute,to:'2017-04-02T13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1" s="183" t="str">
        <f t="shared" si="78"/>
        <v>N</v>
      </c>
      <c r="X171" s="183">
        <f t="shared" si="92"/>
        <v>1</v>
      </c>
      <c r="Y171" s="62">
        <f t="shared" si="80"/>
        <v>5.8630000000000004</v>
      </c>
      <c r="Z171" s="62">
        <f t="shared" si="81"/>
        <v>7.4300000000000005E-2</v>
      </c>
      <c r="AA171" s="62">
        <f t="shared" si="82"/>
        <v>5.7887000000000004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83"/>
        <v>1814-02</v>
      </c>
      <c r="AE171" s="85" t="str">
        <f t="shared" si="8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71" s="82" t="str">
        <f t="shared" si="85"/>
        <v>"C:\Program Files (x86)\AstroGrep\AstroGrep.exe" /e /r /s /spath="%USERPROFILE%\AppData\Local\Temp\OnboardLogs" /stypes="app*4017*20170402*" /stext=" 18:.+((SYSTEM_STATE.+slice.+state.+changed )|(ment ac)|(multiple cpu faults)|(system.+state.+changed )|(\[timeout)|(PRM\|1\|D)|(kpr)|(kdp)|(\|lc)|(penalty))"</v>
      </c>
      <c r="AG171" s="1" t="str">
        <f t="shared" si="86"/>
        <v>NW</v>
      </c>
      <c r="AH171" s="86" t="str">
        <f t="shared" si="87"/>
        <v>"%USERPROFILE%\Documents\GitHub\eaglep3\Utilities\RefineRTDCRunTimes.py" --tripid 1814-02 --locoid 4017 --swversion DE.1.0.9.0 --startMP 300:58630 --initTime 2017-04-02T12:35:15 --startdatetime 2017-04-02T12:40:40 --delay 0 --endMP 204:743 --enddatetime 2017-04-02T12:53:54 --enforcementcount 0 &gt;&gt;C:\Users\stu\Documents\GitHub\eaglep3-reporting\EC\2017-04-02-refined-times.txt</v>
      </c>
      <c r="AI171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{"issue":{"subject":"","project_id":79,"tracker_id":40,"status_id":1,"priority_id":2,"assigned_to_id":23,"start_date":"2017-04-02","description":"","custom_fields":[{"id":1,"name":"Subdivision","value":"NW"},{"id":4,"name":"Milepost","value":"0.0743"},{"id":17,"name":"Train ID","value":"1814-02"},{"id":16,"name":"Locomotive ID","value":"4017"},{"id":130,"name":"Impact","value":""},{"id":150,"name":"Time of Event (Mountain Time)","value":"12:53:54"},{"id":151,"name":"Denver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89"/>
        <v>start /low /b %USERPROFILE%\Documents\GitHub\eaglep3\Utilities\DownloadLogsFromS3.py --loco 4017 --day 2017-04-02</v>
      </c>
      <c r="AN171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18:53:54"},{"id":29,"name":"Sharepoint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739</v>
      </c>
      <c r="B172" s="7">
        <v>4018</v>
      </c>
      <c r="C172" s="21" t="s">
        <v>217</v>
      </c>
      <c r="D172" s="21" t="s">
        <v>887</v>
      </c>
      <c r="E172" s="13">
        <v>42827.538680555554</v>
      </c>
      <c r="F172" s="13">
        <v>42827.556400462963</v>
      </c>
      <c r="G172" s="7">
        <v>0</v>
      </c>
      <c r="H172" s="21" t="s">
        <v>888</v>
      </c>
      <c r="I172" s="13">
        <v>42827.565023148149</v>
      </c>
      <c r="J172" s="7">
        <v>0</v>
      </c>
      <c r="K172" s="97" t="str">
        <f t="shared" si="72"/>
        <v>4017/4018</v>
      </c>
      <c r="L172" s="21" t="str">
        <f>VLOOKUP(A172,'Trips&amp;Operators'!$C$1:$G$99999,5,FALSE)</f>
        <v>YORK EDGAR</v>
      </c>
      <c r="M172" s="6">
        <f t="shared" si="73"/>
        <v>8.6226851854007691E-3</v>
      </c>
      <c r="N172" s="7">
        <f t="shared" si="74"/>
        <v>12.416666666977108</v>
      </c>
      <c r="O172" s="7"/>
      <c r="P172" s="7"/>
      <c r="Q172" s="22"/>
      <c r="R172" s="22"/>
      <c r="S172" s="31">
        <f t="shared" si="75"/>
        <v>1</v>
      </c>
      <c r="T172" s="46" t="str">
        <f t="shared" si="76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77"/>
        <v>https://d0f6bd738d7f1b3e5a7ca70fe4ff75f0.us-east-1.aws.found.io/app/kibana#/discover/Steve-Slow-Train-Analysis-(2080s-and-2083s)?_g=(refreshInterval:(display:Off,pause:!f,section:0,value:0),time:(from:'2017-04-02T11:55:42-0600',mode:absolute,to:'2017-04-02T14:33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2" s="183" t="str">
        <f t="shared" si="78"/>
        <v>N</v>
      </c>
      <c r="X172" s="183">
        <f t="shared" si="92"/>
        <v>1</v>
      </c>
      <c r="Y172" s="62">
        <f t="shared" si="80"/>
        <v>0.1014</v>
      </c>
      <c r="Z172" s="62">
        <f t="shared" si="81"/>
        <v>5.8952</v>
      </c>
      <c r="AA172" s="62">
        <f t="shared" si="82"/>
        <v>5.7938000000000001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83"/>
        <v>1815-02</v>
      </c>
      <c r="AE172" s="85" t="str">
        <f t="shared" si="8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72" s="82" t="str">
        <f t="shared" si="85"/>
        <v>"C:\Program Files (x86)\AstroGrep\AstroGrep.exe" /e /r /s /spath="%USERPROFILE%\AppData\Local\Temp\OnboardLogs" /stypes="app*4018*20170402*" /stext=" 19:.+((SYSTEM_STATE.+slice.+state.+changed )|(ment ac)|(multiple cpu faults)|(system.+state.+changed )|(\[timeout)|(PRM\|1\|D)|(kpr)|(kdp)|(\|lc)|(penalty))"</v>
      </c>
      <c r="AG172" s="1" t="str">
        <f t="shared" si="86"/>
        <v>NW</v>
      </c>
      <c r="AH172" s="86" t="str">
        <f t="shared" si="87"/>
        <v>"%USERPROFILE%\Documents\GitHub\eaglep3\Utilities\RefineRTDCRunTimes.py" --tripid 1815-02 --locoid 4018 --swversion DE.1.0.9.0 --startMP 204:1014 --initTime 2017-04-02T12:55:42 --startdatetime 2017-04-02T13:21:13 --delay 0 --endMP 300:58952 --enddatetime 2017-04-02T13:33:38 --enforcementcount 0 &gt;&gt;C:\Users\stu\Documents\GitHub\eaglep3-reporting\EC\2017-04-02-refined-times.txt</v>
      </c>
      <c r="AI172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{"issue":{"subject":"","project_id":79,"tracker_id":40,"status_id":1,"priority_id":2,"assigned_to_id":23,"start_date":"2017-04-02","description":"","custom_fields":[{"id":1,"name":"Subdivision","value":"NW"},{"id":4,"name":"Milepost","value":"5.8952"},{"id":17,"name":"Train ID","value":"1815-02"},{"id":16,"name":"Locomotive ID","value":"4018"},{"id":130,"name":"Impact","value":""},{"id":150,"name":"Time of Event (Mountain Time)","value":"13:33:38"},{"id":151,"name":"Denver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89"/>
        <v>start /low /b %USERPROFILE%\Documents\GitHub\eaglep3\Utilities\DownloadLogsFromS3.py --loco 4018 --day 2017-04-02</v>
      </c>
      <c r="AN172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620</v>
      </c>
      <c r="B173" s="7">
        <v>4017</v>
      </c>
      <c r="C173" s="21" t="s">
        <v>217</v>
      </c>
      <c r="D173" s="21" t="s">
        <v>877</v>
      </c>
      <c r="E173" s="13">
        <v>42827.565879629627</v>
      </c>
      <c r="F173" s="13">
        <v>42827.570254629631</v>
      </c>
      <c r="G173" s="7">
        <v>0</v>
      </c>
      <c r="H173" s="21" t="s">
        <v>841</v>
      </c>
      <c r="I173" s="13">
        <v>42827.578946759262</v>
      </c>
      <c r="J173" s="7">
        <v>0</v>
      </c>
      <c r="K173" s="97" t="str">
        <f t="shared" ref="K173:K207" si="93">IF(ISEVEN(B173),(B173-1)&amp;"/"&amp;B173,B173&amp;"/"&amp;(B173+1))</f>
        <v>4017/4018</v>
      </c>
      <c r="L173" s="21" t="str">
        <f>VLOOKUP(A173,'Trips&amp;Operators'!$C$1:$G$99999,5,FALSE)</f>
        <v>YORK EDGAR</v>
      </c>
      <c r="M173" s="6">
        <f t="shared" ref="M173:M207" si="94">I173-F173</f>
        <v>8.6921296315267682E-3</v>
      </c>
      <c r="N173" s="7">
        <f t="shared" ref="N173:N207" si="95">24*60*SUM($M173:$M173)</f>
        <v>12.516666669398546</v>
      </c>
      <c r="O173" s="7"/>
      <c r="P173" s="7"/>
      <c r="Q173" s="22"/>
      <c r="R173" s="22"/>
      <c r="S173" s="31">
        <f t="shared" ref="S173:S207" si="96">SUM(U173:U173)/IF(AG173="EC",12,1)</f>
        <v>1</v>
      </c>
      <c r="T173" s="46" t="str">
        <f t="shared" ref="T173:T207" si="97">IF(ISEVEN(LEFT(AD173,4)),"Southbound","NorthBound")</f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ref="V173:V207" si="98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-02T12:34:52-0600',mode:absolute,to:'2017-04-02T14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3" s="183" t="str">
        <f t="shared" ref="W173:W207" si="99">IF(AA173&lt;IF(AG173="EC",23,5.65),"Y","N")</f>
        <v>N</v>
      </c>
      <c r="X173" s="183">
        <f t="shared" si="92"/>
        <v>1</v>
      </c>
      <c r="Y173" s="62">
        <f t="shared" ref="Y173:Y207" si="100">RIGHT(D173,LEN(D173)-4)/10000</f>
        <v>5.8619000000000003</v>
      </c>
      <c r="Z173" s="62">
        <f t="shared" ref="Z173:Z207" si="101">RIGHT(H173,LEN(H173)-4)/10000</f>
        <v>7.5899999999999995E-2</v>
      </c>
      <c r="AA173" s="62">
        <f t="shared" ref="AA173:AA204" si="102">ABS(Z173-Y173)</f>
        <v>5.7860000000000005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ref="AD173:AD207" si="103">IF(LEN(A173)=6,"0"&amp;A173,A173)</f>
        <v>1816-02</v>
      </c>
      <c r="AE173" s="85" t="str">
        <f t="shared" ref="AE173:AE207" si="104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73" s="82" t="str">
        <f t="shared" ref="AF173:AF207" si="105"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/stypes="app*4017*20170402*" /stext=" 19:.+((SYSTEM_STATE.+slice.+state.+changed )|(ment ac)|(multiple cpu faults)|(system.+state.+changed )|(\[timeout)|(PRM\|1\|D)|(kpr)|(kdp)|(\|lc)|(penalty))"</v>
      </c>
      <c r="AG173" s="1" t="str">
        <f t="shared" ref="AG173:AG207" si="106">IFERROR(IF(VALUE(LEFT(AD173,2))&lt;=2,"EC",IF(OR(VALUE(LEFT(AD173,2))=8,VALUE(LEFT(AD173,2))=18),"NW","Other")),"Other")</f>
        <v>NW</v>
      </c>
      <c r="AH173" s="86" t="str">
        <f t="shared" si="87"/>
        <v>"%USERPROFILE%\Documents\GitHub\eaglep3\Utilities\RefineRTDCRunTimes.py" --tripid 1816-02 --locoid 4017 --swversion DE.1.0.9.0 --startMP 300:58619 --initTime 2017-04-02T13:34:52 --startdatetime 2017-04-02T13:41:10 --delay 0 --endMP 204:759 --enddatetime 2017-04-02T13:53:41 --enforcementcount 0 &gt;&gt;C:\Users\stu\Documents\GitHub\eaglep3-reporting\EC\2017-04-02-refined-times.txt</v>
      </c>
      <c r="AI173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{"issue":{"subject":"","project_id":79,"tracker_id":40,"status_id":1,"priority_id":2,"assigned_to_id":23,"start_date":"2017-04-02","description":"","custom_fields":[{"id":1,"name":"Subdivision","value":"NW"},{"id":4,"name":"Milepost","value":"0.0759"},{"id":17,"name":"Train ID","value":"1816-02"},{"id":16,"name":"Locomotive ID","value":"4017"},{"id":130,"name":"Impact","value":""},{"id":150,"name":"Time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89"/>
        <v>start /low /b %USERPROFILE%\Documents\GitHub\eaglep3\Utilities\DownloadLogsFromS3.py --loco 4017 --day 2017-04-02</v>
      </c>
      <c r="AN173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19:53:41"},{"id":29,"name":"Sharepoint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748</v>
      </c>
      <c r="B174" s="7">
        <v>4018</v>
      </c>
      <c r="C174" s="21" t="s">
        <v>217</v>
      </c>
      <c r="D174" s="21" t="s">
        <v>604</v>
      </c>
      <c r="E174" s="13">
        <v>42827.593368055554</v>
      </c>
      <c r="F174" s="13">
        <v>42827.598252314812</v>
      </c>
      <c r="G174" s="7">
        <v>2</v>
      </c>
      <c r="H174" s="21" t="s">
        <v>467</v>
      </c>
      <c r="I174" s="13">
        <v>42827.607499999998</v>
      </c>
      <c r="J174" s="7">
        <v>0</v>
      </c>
      <c r="K174" s="97" t="str">
        <f t="shared" si="93"/>
        <v>4017/4018</v>
      </c>
      <c r="L174" s="21" t="str">
        <f>VLOOKUP(A174,'Trips&amp;Operators'!$C$1:$G$99999,5,FALSE)</f>
        <v>HELVIE ADAM</v>
      </c>
      <c r="M174" s="6">
        <f t="shared" si="94"/>
        <v>9.2476851859828457E-3</v>
      </c>
      <c r="N174" s="7">
        <f t="shared" si="95"/>
        <v>13.316666667815298</v>
      </c>
      <c r="O174" s="7"/>
      <c r="P174" s="7"/>
      <c r="Q174" s="22"/>
      <c r="R174" s="22"/>
      <c r="S174" s="31">
        <f t="shared" si="96"/>
        <v>1</v>
      </c>
      <c r="T174" s="46" t="str">
        <f t="shared" si="97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98"/>
        <v>https://d0f6bd738d7f1b3e5a7ca70fe4ff75f0.us-east-1.aws.found.io/app/kibana#/discover/Steve-Slow-Train-Analysis-(2080s-and-2083s)?_g=(refreshInterval:(display:Off,pause:!f,section:0,value:0),time:(from:'2017-04-02T13:14:27-0600',mode:absolute,to:'2017-04-02T15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4" s="183" t="str">
        <f t="shared" si="99"/>
        <v>N</v>
      </c>
      <c r="X174" s="183">
        <f t="shared" si="92"/>
        <v>1</v>
      </c>
      <c r="Y174" s="62">
        <f t="shared" si="100"/>
        <v>0.10440000000000001</v>
      </c>
      <c r="Z174" s="62">
        <f t="shared" si="101"/>
        <v>5.8940999999999999</v>
      </c>
      <c r="AA174" s="62">
        <f t="shared" si="102"/>
        <v>5.7896999999999998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103"/>
        <v>1817-02</v>
      </c>
      <c r="AE174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74" s="82" t="str">
        <f t="shared" si="105"/>
        <v>"C:\Program Files (x86)\AstroGrep\AstroGrep.exe" /e /r /s /spath="%USERPROFILE%\AppData\Local\Temp\OnboardLogs" /stypes="app*4018*20170402*" /stext=" 20:.+((SYSTEM_STATE.+slice.+state.+changed )|(ment ac)|(multiple cpu faults)|(system.+state.+changed )|(\[timeout)|(PRM\|1\|D)|(kpr)|(kdp)|(\|lc)|(penalty))"</v>
      </c>
      <c r="AG174" s="1" t="str">
        <f t="shared" si="106"/>
        <v>NW</v>
      </c>
      <c r="AH174" s="86" t="str">
        <f t="shared" si="87"/>
        <v>"%USERPROFILE%\Documents\GitHub\eaglep3\Utilities\RefineRTDCRunTimes.py" --tripid 1817-02 --locoid 4018 --swversion DE.1.0.9.0 --startMP 204:1044 --initTime 2017-04-02T14:14:27 --startdatetime 2017-04-02T14:21:29 --delay 2 --endMP 300:58941 --enddatetime 2017-04-02T14:34:48 --enforcementcount 0 &gt;&gt;C:\Users\stu\Documents\GitHub\eaglep3-reporting\EC\2017-04-02-refined-times.txt</v>
      </c>
      <c r="AI174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{"issue":{"subject":"","project_id":79,"tracker_id":40,"status_id":1,"priority_id":2,"assigned_to_id":23,"start_date":"2017-04-02","description":"","custom_fields":[{"id":1,"name":"Subdivision","value":"NW"},{"id":4,"name":"Milepost","value":"5.8941"},{"id":17,"name":"Train ID","value":"1817-02"},{"id":16,"name":"Locomotive ID","value":"4018"},{"id":130,"name":"Impact","value":""},{"id":150,"name":"Time of Event (Mountain Time)","value":"14:34:48"},{"id":151,"name":"Denver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89"/>
        <v>start /low /b %USERPROFILE%\Documents\GitHub\eaglep3\Utilities\DownloadLogsFromS3.py --loco 4018 --day 2017-04-02</v>
      </c>
      <c r="AN174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751</v>
      </c>
      <c r="B175" s="7">
        <v>4017</v>
      </c>
      <c r="C175" s="21" t="s">
        <v>217</v>
      </c>
      <c r="D175" s="21" t="s">
        <v>523</v>
      </c>
      <c r="E175" s="13">
        <v>42827.608935185184</v>
      </c>
      <c r="F175" s="13">
        <v>42827.610254629632</v>
      </c>
      <c r="G175" s="7">
        <v>1</v>
      </c>
      <c r="H175" s="21" t="s">
        <v>497</v>
      </c>
      <c r="I175" s="13">
        <v>42827.621180555558</v>
      </c>
      <c r="J175" s="7">
        <v>0</v>
      </c>
      <c r="K175" s="97" t="str">
        <f t="shared" si="93"/>
        <v>4017/4018</v>
      </c>
      <c r="L175" s="21" t="str">
        <f>VLOOKUP(A175,'Trips&amp;Operators'!$C$1:$G$99999,5,FALSE)</f>
        <v>HELVIE ADAM</v>
      </c>
      <c r="M175" s="6">
        <f t="shared" si="94"/>
        <v>1.0925925926130731E-2</v>
      </c>
      <c r="N175" s="7">
        <f t="shared" si="95"/>
        <v>15.733333333628252</v>
      </c>
      <c r="O175" s="7"/>
      <c r="P175" s="7"/>
      <c r="Q175" s="22"/>
      <c r="R175" s="22"/>
      <c r="S175" s="31">
        <f t="shared" si="96"/>
        <v>1</v>
      </c>
      <c r="T175" s="46" t="str">
        <f t="shared" si="97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98"/>
        <v>https://d0f6bd738d7f1b3e5a7ca70fe4ff75f0.us-east-1.aws.found.io/app/kibana#/discover/Steve-Slow-Train-Analysis-(2080s-and-2083s)?_g=(refreshInterval:(display:Off,pause:!f,section:0,value:0),time:(from:'2017-04-02T13:36:52-0600',mode:absolute,to:'2017-04-02T15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5" s="183" t="str">
        <f t="shared" si="99"/>
        <v>N</v>
      </c>
      <c r="X175" s="183">
        <f t="shared" si="92"/>
        <v>1</v>
      </c>
      <c r="Y175" s="62">
        <f t="shared" si="100"/>
        <v>5.8623000000000003</v>
      </c>
      <c r="Z175" s="62">
        <f t="shared" si="101"/>
        <v>7.6100000000000001E-2</v>
      </c>
      <c r="AA175" s="62">
        <f t="shared" si="102"/>
        <v>5.7862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103"/>
        <v>1818-02</v>
      </c>
      <c r="AE175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75" s="82" t="str">
        <f t="shared" si="105"/>
        <v>"C:\Program Files (x86)\AstroGrep\AstroGrep.exe" /e /r /s /spath="%USERPROFILE%\AppData\Local\Temp\OnboardLogs" /stypes="app*4017*20170402*" /stext=" 20:.+((SYSTEM_STATE.+slice.+state.+changed )|(ment ac)|(multiple cpu faults)|(system.+state.+changed )|(\[timeout)|(PRM\|1\|D)|(kpr)|(kdp)|(\|lc)|(penalty))"</v>
      </c>
      <c r="AG175" s="1" t="str">
        <f t="shared" si="106"/>
        <v>NW</v>
      </c>
      <c r="AH175" s="86" t="str">
        <f t="shared" si="87"/>
        <v>"%USERPROFILE%\Documents\GitHub\eaglep3\Utilities\RefineRTDCRunTimes.py" --tripid 1818-02 --locoid 4017 --swversion DE.1.0.9.0 --startMP 300:58623 --initTime 2017-04-02T14:36:52 --startdatetime 2017-04-02T14:38:46 --delay 1 --endMP 204:761 --enddatetime 2017-04-02T14:54:30 --enforcementcount 0 &gt;&gt;C:\Users\stu\Documents\GitHub\eaglep3-reporting\EC\2017-04-02-refined-times.txt</v>
      </c>
      <c r="AI175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{"issue":{"subject":"","project_id":79,"tracker_id":40,"status_id":1,"priority_id":2,"assigned_to_id":23,"start_date":"2017-04-02","description":"","custom_fields":[{"id":1,"name":"Subdivision","value":"NW"},{"id":4,"name":"Milepost","value":"0.0761"},{"id":17,"name":"Train ID","value":"1818-02"},{"id":16,"name":"Locomotive ID","value":"4017"},{"id":130,"name":"Impact","value":""},{"id":150,"name":"Time of Event (Mountain Time)","value":"14:54:30"},{"id":151,"name":"Denver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89"/>
        <v>start /low /b %USERPROFILE%\Documents\GitHub\eaglep3\Utilities\DownloadLogsFromS3.py --loco 4017 --day 2017-04-02</v>
      </c>
      <c r="AN175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20:54:30"},{"id":29,"name":"Sharepoint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757</v>
      </c>
      <c r="B176" s="7">
        <v>4018</v>
      </c>
      <c r="C176" s="21" t="s">
        <v>217</v>
      </c>
      <c r="D176" s="21" t="s">
        <v>889</v>
      </c>
      <c r="E176" s="13">
        <v>42827.634560185186</v>
      </c>
      <c r="F176" s="13">
        <v>42827.639745370368</v>
      </c>
      <c r="G176" s="7">
        <v>1</v>
      </c>
      <c r="H176" s="21" t="s">
        <v>496</v>
      </c>
      <c r="I176" s="13">
        <v>42827.649328703701</v>
      </c>
      <c r="J176" s="7">
        <v>0</v>
      </c>
      <c r="K176" s="97" t="str">
        <f t="shared" si="93"/>
        <v>4017/4018</v>
      </c>
      <c r="L176" s="21" t="str">
        <f>VLOOKUP(A176,'Trips&amp;Operators'!$C$1:$G$99999,5,FALSE)</f>
        <v>HELVIE ADAM</v>
      </c>
      <c r="M176" s="6">
        <f t="shared" si="94"/>
        <v>9.5833333325572312E-3</v>
      </c>
      <c r="N176" s="7">
        <f t="shared" si="95"/>
        <v>13.799999998882413</v>
      </c>
      <c r="O176" s="7"/>
      <c r="P176" s="7"/>
      <c r="Q176" s="22"/>
      <c r="R176" s="22"/>
      <c r="S176" s="31">
        <f t="shared" si="96"/>
        <v>1</v>
      </c>
      <c r="T176" s="46" t="str">
        <f t="shared" si="97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98"/>
        <v>https://d0f6bd738d7f1b3e5a7ca70fe4ff75f0.us-east-1.aws.found.io/app/kibana#/discover/Steve-Slow-Train-Analysis-(2080s-and-2083s)?_g=(refreshInterval:(display:Off,pause:!f,section:0,value:0),time:(from:'2017-04-02T14:13:46-0600',mode:absolute,to:'2017-04-02T16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183" t="str">
        <f t="shared" si="99"/>
        <v>N</v>
      </c>
      <c r="X176" s="183">
        <f t="shared" si="92"/>
        <v>1</v>
      </c>
      <c r="Y176" s="62">
        <f t="shared" si="100"/>
        <v>0.106</v>
      </c>
      <c r="Z176" s="62">
        <f t="shared" si="101"/>
        <v>5.8939000000000004</v>
      </c>
      <c r="AA176" s="62">
        <f t="shared" si="102"/>
        <v>5.7879000000000005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103"/>
        <v>1819-02</v>
      </c>
      <c r="AE176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76" s="82" t="str">
        <f t="shared" si="105"/>
        <v>"C:\Program Files (x86)\AstroGrep\AstroGrep.exe" /e /r /s /spath="%USERPROFILE%\AppData\Local\Temp\OnboardLogs" /stypes="app*4018*20170402*" /stext=" 21:.+((SYSTEM_STATE.+slice.+state.+changed )|(ment ac)|(multiple cpu faults)|(system.+state.+changed )|(\[timeout)|(PRM\|1\|D)|(kpr)|(kdp)|(\|lc)|(penalty))"</v>
      </c>
      <c r="AG176" s="1" t="str">
        <f t="shared" si="106"/>
        <v>NW</v>
      </c>
      <c r="AH176" s="86" t="str">
        <f t="shared" si="87"/>
        <v>"%USERPROFILE%\Documents\GitHub\eaglep3\Utilities\RefineRTDCRunTimes.py" --tripid 1819-02 --locoid 4018 --swversion DE.1.0.9.0 --startMP 204:1060 --initTime 2017-04-02T15:13:46 --startdatetime 2017-04-02T15:21:14 --delay 1 --endMP 300:58939 --enddatetime 2017-04-02T15:35:02 --enforcementcount 0 &gt;&gt;C:\Users\stu\Documents\GitHub\eaglep3-reporting\EC\2017-04-02-refined-times.txt</v>
      </c>
      <c r="AI176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{"issue":{"subject":"","project_id":79,"tracker_id":40,"status_id":1,"priority_id":2,"assigned_to_id":23,"start_date":"2017-04-02","description":"","custom_fields":[{"id":1,"name":"Subdivision","value":"NW"},{"id":4,"name":"Milepost","value":"5.8939"},{"id":17,"name":"Train ID","value":"1819-02"},{"id":16,"name":"Locomotive ID","value":"4018"},{"id":130,"name":"Impact","value":""},{"id":150,"name":"Time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89"/>
        <v>start /low /b %USERPROFILE%\Documents\GitHub\eaglep3\Utilities\DownloadLogsFromS3.py --loco 4018 --day 2017-04-02</v>
      </c>
      <c r="AN176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760</v>
      </c>
      <c r="B177" s="7">
        <v>4017</v>
      </c>
      <c r="C177" s="21" t="s">
        <v>217</v>
      </c>
      <c r="D177" s="21" t="s">
        <v>878</v>
      </c>
      <c r="E177" s="13">
        <v>42827.650289351855</v>
      </c>
      <c r="F177" s="13">
        <v>42827.651828703703</v>
      </c>
      <c r="G177" s="7">
        <v>1</v>
      </c>
      <c r="H177" s="21" t="s">
        <v>891</v>
      </c>
      <c r="I177" s="13">
        <v>42827.662974537037</v>
      </c>
      <c r="J177" s="7">
        <v>0</v>
      </c>
      <c r="K177" s="97" t="str">
        <f t="shared" si="93"/>
        <v>4017/4018</v>
      </c>
      <c r="L177" s="21" t="str">
        <f>VLOOKUP(A177,'Trips&amp;Operators'!$C$1:$G$99999,5,FALSE)</f>
        <v>HELVIE ADAM</v>
      </c>
      <c r="M177" s="6">
        <f t="shared" si="94"/>
        <v>1.1145833334012423E-2</v>
      </c>
      <c r="N177" s="7">
        <f t="shared" si="95"/>
        <v>16.050000000977889</v>
      </c>
      <c r="O177" s="7"/>
      <c r="P177" s="7"/>
      <c r="Q177" s="22"/>
      <c r="R177" s="22"/>
      <c r="S177" s="31">
        <f t="shared" si="96"/>
        <v>1</v>
      </c>
      <c r="T177" s="46" t="str">
        <f t="shared" si="97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98"/>
        <v>https://d0f6bd738d7f1b3e5a7ca70fe4ff75f0.us-east-1.aws.found.io/app/kibana#/discover/Steve-Slow-Train-Analysis-(2080s-and-2083s)?_g=(refreshInterval:(display:Off,pause:!f,section:0,value:0),time:(from:'2017-04-02T14:36:25-0600',mode:absolute,to:'2017-04-02T16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183" t="str">
        <f t="shared" si="99"/>
        <v>N</v>
      </c>
      <c r="X177" s="183">
        <f t="shared" si="92"/>
        <v>1</v>
      </c>
      <c r="Y177" s="62">
        <f t="shared" si="100"/>
        <v>5.8624000000000001</v>
      </c>
      <c r="Z177" s="62">
        <f t="shared" si="101"/>
        <v>7.5700000000000003E-2</v>
      </c>
      <c r="AA177" s="62">
        <f t="shared" si="102"/>
        <v>5.7866999999999997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103"/>
        <v>1820-02</v>
      </c>
      <c r="AE177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77" s="82" t="str">
        <f t="shared" si="105"/>
        <v>"C:\Program Files (x86)\AstroGrep\AstroGrep.exe" /e /r /s /spath="%USERPROFILE%\AppData\Local\Temp\OnboardLogs" /stypes="app*4017*20170402*" /stext=" 21:.+((SYSTEM_STATE.+slice.+state.+changed )|(ment ac)|(multiple cpu faults)|(system.+state.+changed )|(\[timeout)|(PRM\|1\|D)|(kpr)|(kdp)|(\|lc)|(penalty))"</v>
      </c>
      <c r="AG177" s="1" t="str">
        <f t="shared" si="106"/>
        <v>NW</v>
      </c>
      <c r="AH177" s="86" t="str">
        <f t="shared" si="87"/>
        <v>"%USERPROFILE%\Documents\GitHub\eaglep3\Utilities\RefineRTDCRunTimes.py" --tripid 1820-02 --locoid 4017 --swversion DE.1.0.9.0 --startMP 300:58624 --initTime 2017-04-02T15:36:25 --startdatetime 2017-04-02T15:38:38 --delay 1 --endMP 204:757 --enddatetime 2017-04-02T15:54:41 --enforcementcount 0 &gt;&gt;C:\Users\stu\Documents\GitHub\eaglep3-reporting\EC\2017-04-02-refined-times.txt</v>
      </c>
      <c r="AI177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{"issue":{"subject":"","project_id":79,"tracker_id":40,"status_id":1,"priority_id":2,"assigned_to_id":23,"start_date":"2017-04-02","description":"","custom_fields":[{"id":1,"name":"Subdivision","value":"NW"},{"id":4,"name":"Milepost","value":"0.0757"},{"id":17,"name":"Train ID","value":"1820-02"},{"id":16,"name":"Locomotive ID","value":"4017"},{"id":130,"name":"Impact","value":""},{"id":150,"name":"Time of Event (Mountain Time)","value":"15:54:41"},{"id":151,"name":"Denver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89"/>
        <v>start /low /b %USERPROFILE%\Documents\GitHub\eaglep3\Utilities\DownloadLogsFromS3.py --loco 4017 --day 2017-04-02</v>
      </c>
      <c r="AN177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21:54:41"},{"id":29,"name":"Sharepoint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627</v>
      </c>
      <c r="B178" s="7">
        <v>4018</v>
      </c>
      <c r="C178" s="21" t="s">
        <v>217</v>
      </c>
      <c r="D178" s="21" t="s">
        <v>892</v>
      </c>
      <c r="E178" s="13">
        <v>42827.679270833331</v>
      </c>
      <c r="F178" s="13">
        <v>42827.68141203704</v>
      </c>
      <c r="G178" s="7">
        <v>1</v>
      </c>
      <c r="H178" s="21" t="s">
        <v>522</v>
      </c>
      <c r="I178" s="13">
        <v>42827.691377314812</v>
      </c>
      <c r="J178" s="7">
        <v>0</v>
      </c>
      <c r="K178" s="97" t="str">
        <f t="shared" si="93"/>
        <v>4017/4018</v>
      </c>
      <c r="L178" s="21" t="str">
        <f>VLOOKUP(A178,'Trips&amp;Operators'!$C$1:$G$99999,5,FALSE)</f>
        <v>HELVIE ADAM</v>
      </c>
      <c r="M178" s="6">
        <f t="shared" si="94"/>
        <v>9.965277771698311E-3</v>
      </c>
      <c r="N178" s="7">
        <f t="shared" si="95"/>
        <v>14.349999991245568</v>
      </c>
      <c r="O178" s="7"/>
      <c r="P178" s="7"/>
      <c r="Q178" s="22"/>
      <c r="R178" s="22"/>
      <c r="S178" s="31">
        <f t="shared" si="96"/>
        <v>1</v>
      </c>
      <c r="T178" s="46" t="str">
        <f t="shared" si="97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98"/>
        <v>https://d0f6bd738d7f1b3e5a7ca70fe4ff75f0.us-east-1.aws.found.io/app/kibana#/discover/Steve-Slow-Train-Analysis-(2080s-and-2083s)?_g=(refreshInterval:(display:Off,pause:!f,section:0,value:0),time:(from:'2017-04-02T15:18:09-0600',mode:absolute,to:'2017-04-02T17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183" t="str">
        <f t="shared" si="99"/>
        <v>N</v>
      </c>
      <c r="X178" s="183">
        <f t="shared" si="92"/>
        <v>1</v>
      </c>
      <c r="Y178" s="62">
        <f t="shared" si="100"/>
        <v>0.10489999999999999</v>
      </c>
      <c r="Z178" s="62">
        <f t="shared" si="101"/>
        <v>5.8959999999999999</v>
      </c>
      <c r="AA178" s="62">
        <f t="shared" si="102"/>
        <v>5.7911000000000001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103"/>
        <v>1821-02</v>
      </c>
      <c r="AE178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78" s="82" t="str">
        <f t="shared" si="105"/>
        <v>"C:\Program Files (x86)\AstroGrep\AstroGrep.exe" /e /r /s /spath="%USERPROFILE%\AppData\Local\Temp\OnboardLogs" /stypes="app*4018*20170402*" /stext=" 22:.+((SYSTEM_STATE.+slice.+state.+changed )|(ment ac)|(multiple cpu faults)|(system.+state.+changed )|(\[timeout)|(PRM\|1\|D)|(kpr)|(kdp)|(\|lc)|(penalty))"</v>
      </c>
      <c r="AG178" s="1" t="str">
        <f t="shared" si="106"/>
        <v>NW</v>
      </c>
      <c r="AH178" s="86" t="str">
        <f t="shared" si="87"/>
        <v>"%USERPROFILE%\Documents\GitHub\eaglep3\Utilities\RefineRTDCRunTimes.py" --tripid 1821-02 --locoid 4018 --swversion DE.1.0.9.0 --startMP 204:1049 --initTime 2017-04-02T16:18:09 --startdatetime 2017-04-02T16:21:14 --delay 1 --endMP 300:58960 --enddatetime 2017-04-02T16:35:35 --enforcementcount 0 &gt;&gt;C:\Users\stu\Documents\GitHub\eaglep3-reporting\EC\2017-04-02-refined-times.txt</v>
      </c>
      <c r="AI178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{"issue":{"subject":"","project_id":79,"tracker_id":40,"status_id":1,"priority_id":2,"assigned_to_id":23,"start_date":"2017-04-02","description":"","custom_fields":[{"id":1,"name":"Subdivision","value":"NW"},{"id":4,"name":"Milepost","value":"5.896"},{"id":17,"name":"Train ID","value":"1821-02"},{"id":16,"name":"Locomotive ID","value":"4018"},{"id":130,"name":"Impact","value":""},{"id":150,"name":"Time of Event (Mountain Time)","value":"16:35:35"},{"id":151,"name":"Denver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89"/>
        <v>start /low /b %USERPROFILE%\Documents\GitHub\eaglep3\Utilities\DownloadLogsFromS3.py --loco 4018 --day 2017-04-02</v>
      </c>
      <c r="AN178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768</v>
      </c>
      <c r="B179" s="7">
        <v>4017</v>
      </c>
      <c r="C179" s="21" t="s">
        <v>217</v>
      </c>
      <c r="D179" s="21" t="s">
        <v>602</v>
      </c>
      <c r="E179" s="13">
        <v>42827.695219907408</v>
      </c>
      <c r="F179" s="13">
        <v>42827.696805555555</v>
      </c>
      <c r="G179" s="7">
        <v>1</v>
      </c>
      <c r="H179" s="21" t="s">
        <v>572</v>
      </c>
      <c r="I179" s="13">
        <v>42827.705381944441</v>
      </c>
      <c r="J179" s="7">
        <v>0</v>
      </c>
      <c r="K179" s="97" t="str">
        <f t="shared" si="93"/>
        <v>4017/4018</v>
      </c>
      <c r="L179" s="21" t="str">
        <f>VLOOKUP(A179,'Trips&amp;Operators'!$C$1:$G$99999,5,FALSE)</f>
        <v>HELVIE ADAM</v>
      </c>
      <c r="M179" s="6">
        <f t="shared" si="94"/>
        <v>8.5763888855581172E-3</v>
      </c>
      <c r="N179" s="7">
        <f t="shared" si="95"/>
        <v>12.349999995203689</v>
      </c>
      <c r="O179" s="7"/>
      <c r="P179" s="7"/>
      <c r="Q179" s="22"/>
      <c r="R179" s="22"/>
      <c r="S179" s="31">
        <f t="shared" si="96"/>
        <v>1</v>
      </c>
      <c r="T179" s="46" t="str">
        <f t="shared" si="97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98"/>
        <v>https://d0f6bd738d7f1b3e5a7ca70fe4ff75f0.us-east-1.aws.found.io/app/kibana#/discover/Steve-Slow-Train-Analysis-(2080s-and-2083s)?_g=(refreshInterval:(display:Off,pause:!f,section:0,value:0),time:(from:'2017-04-02T15:41:07-0600',mode:absolute,to:'2017-04-02T17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9" s="183" t="str">
        <f t="shared" si="99"/>
        <v>N</v>
      </c>
      <c r="X179" s="183">
        <f t="shared" si="92"/>
        <v>1</v>
      </c>
      <c r="Y179" s="62">
        <f t="shared" si="100"/>
        <v>5.8620999999999999</v>
      </c>
      <c r="Z179" s="62">
        <f t="shared" si="101"/>
        <v>7.5200000000000003E-2</v>
      </c>
      <c r="AA179" s="62">
        <f t="shared" si="102"/>
        <v>5.7869000000000002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103"/>
        <v>1822-02</v>
      </c>
      <c r="AE179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79" s="82" t="str">
        <f t="shared" si="105"/>
        <v>"C:\Program Files (x86)\AstroGrep\AstroGrep.exe" /e /r /s /spath="%USERPROFILE%\AppData\Local\Temp\OnboardLogs" /stypes="app*4017*20170402*" /stext=" 22:.+((SYSTEM_STATE.+slice.+state.+changed )|(ment ac)|(multiple cpu faults)|(system.+state.+changed )|(\[timeout)|(PRM\|1\|D)|(kpr)|(kdp)|(\|lc)|(penalty))"</v>
      </c>
      <c r="AG179" s="1" t="str">
        <f t="shared" si="106"/>
        <v>NW</v>
      </c>
      <c r="AH179" s="86" t="str">
        <f t="shared" si="87"/>
        <v>"%USERPROFILE%\Documents\GitHub\eaglep3\Utilities\RefineRTDCRunTimes.py" --tripid 1822-02 --locoid 4017 --swversion DE.1.0.9.0 --startMP 300:58621 --initTime 2017-04-02T16:41:07 --startdatetime 2017-04-02T16:43:24 --delay 1 --endMP 204:752 --enddatetime 2017-04-02T16:55:45 --enforcementcount 0 &gt;&gt;C:\Users\stu\Documents\GitHub\eaglep3-reporting\EC\2017-04-02-refined-times.txt</v>
      </c>
      <c r="AI179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{"issue":{"subject":"","project_id":79,"tracker_id":40,"status_id":1,"priority_id":2,"assigned_to_id":23,"start_date":"2017-04-02","description":"","custom_fields":[{"id":1,"name":"Subdivision","value":"NW"},{"id":4,"name":"Milepost","value":"0.0752"},{"id":17,"name":"Train ID","value":"1822-02"},{"id":16,"name":"Locomotive ID","value":"4017"},{"id":130,"name":"Impact","value":""},{"id":150,"name":"Time of Event (Mountain Time)","value":"16:55:45"},{"id":151,"name":"Denver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89"/>
        <v>start /low /b %USERPROFILE%\Documents\GitHub\eaglep3\Utilities\DownloadLogsFromS3.py --loco 4017 --day 2017-04-02</v>
      </c>
      <c r="AN179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774</v>
      </c>
      <c r="B180" s="7">
        <v>4018</v>
      </c>
      <c r="C180" s="21" t="s">
        <v>217</v>
      </c>
      <c r="D180" s="21" t="s">
        <v>893</v>
      </c>
      <c r="E180" s="13">
        <v>42827.721006944441</v>
      </c>
      <c r="F180" s="13">
        <v>42827.723090277781</v>
      </c>
      <c r="G180" s="7">
        <v>1</v>
      </c>
      <c r="H180" s="21" t="s">
        <v>873</v>
      </c>
      <c r="I180" s="13">
        <v>42827.73228009259</v>
      </c>
      <c r="J180" s="7">
        <v>0</v>
      </c>
      <c r="K180" s="97" t="str">
        <f t="shared" si="93"/>
        <v>4017/4018</v>
      </c>
      <c r="L180" s="21" t="str">
        <f>VLOOKUP(A180,'Trips&amp;Operators'!$C$1:$G$99999,5,FALSE)</f>
        <v>HELVIE ADAM</v>
      </c>
      <c r="M180" s="6">
        <f t="shared" si="94"/>
        <v>9.1898148093605414E-3</v>
      </c>
      <c r="N180" s="7">
        <f t="shared" si="95"/>
        <v>13.23333332547918</v>
      </c>
      <c r="O180" s="7"/>
      <c r="P180" s="7"/>
      <c r="Q180" s="22"/>
      <c r="R180" s="22"/>
      <c r="S180" s="31">
        <f t="shared" si="96"/>
        <v>1</v>
      </c>
      <c r="T180" s="46" t="str">
        <f t="shared" si="97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98"/>
        <v>https://d0f6bd738d7f1b3e5a7ca70fe4ff75f0.us-east-1.aws.found.io/app/kibana#/discover/Steve-Slow-Train-Analysis-(2080s-and-2083s)?_g=(refreshInterval:(display:Off,pause:!f,section:0,value:0),time:(from:'2017-04-02T16:18:15-0600',mode:absolute,to:'2017-04-02T18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183" t="str">
        <f t="shared" si="99"/>
        <v>N</v>
      </c>
      <c r="X180" s="183">
        <f t="shared" si="92"/>
        <v>1</v>
      </c>
      <c r="Y180" s="62">
        <f t="shared" si="100"/>
        <v>0.1062</v>
      </c>
      <c r="Z180" s="62">
        <f t="shared" si="101"/>
        <v>5.8935000000000004</v>
      </c>
      <c r="AA180" s="62">
        <f t="shared" si="102"/>
        <v>5.7873000000000001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103"/>
        <v>1823-02</v>
      </c>
      <c r="AE180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80" s="82" t="str">
        <f t="shared" si="105"/>
        <v>"C:\Program Files (x86)\AstroGrep\AstroGrep.exe" /e /r /s /spath="%USERPROFILE%\AppData\Local\Temp\OnboardLogs" /stypes="app*4018*20170402*" /stext=" 23:.+((SYSTEM_STATE.+slice.+state.+changed )|(ment ac)|(multiple cpu faults)|(system.+state.+changed )|(\[timeout)|(PRM\|1\|D)|(kpr)|(kdp)|(\|lc)|(penalty))"</v>
      </c>
      <c r="AG180" s="1" t="str">
        <f t="shared" si="106"/>
        <v>NW</v>
      </c>
      <c r="AH180" s="86" t="str">
        <f t="shared" si="87"/>
        <v>"%USERPROFILE%\Documents\GitHub\eaglep3\Utilities\RefineRTDCRunTimes.py" --tripid 1823-02 --locoid 4018 --swversion DE.1.0.9.0 --startMP 204:1062 --initTime 2017-04-02T17:18:15 --startdatetime 2017-04-02T17:21:15 --delay 1 --endMP 300:58935 --enddatetime 2017-04-02T17:34:29 --enforcementcount 0 &gt;&gt;C:\Users\stu\Documents\GitHub\eaglep3-reporting\EC\2017-04-02-refined-times.txt</v>
      </c>
      <c r="AI180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{"issue":{"subject":"","project_id":79,"tracker_id":40,"status_id":1,"priority_id":2,"assigned_to_id":23,"start_date":"2017-04-02","description":"","custom_fields":[{"id":1,"name":"Subdivision","value":"NW"},{"id":4,"name":"Milepost","value":"5.8935"},{"id":17,"name":"Train ID","value":"1823-02"},{"id":16,"name":"Locomotive ID","value":"4018"},{"id":130,"name":"Impact","value":""},{"id":150,"name":"Time of Event (Mountain Time)","value":"17:34:29"},{"id":151,"name":"Denver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89"/>
        <v>start /low /b %USERPROFILE%\Documents\GitHub\eaglep3\Utilities\DownloadLogsFromS3.py --loco 4018 --day 2017-04-02</v>
      </c>
      <c r="AN180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777</v>
      </c>
      <c r="B181" s="7">
        <v>4017</v>
      </c>
      <c r="C181" s="21" t="s">
        <v>217</v>
      </c>
      <c r="D181" s="21" t="s">
        <v>602</v>
      </c>
      <c r="E181" s="13">
        <v>42827.733171296299</v>
      </c>
      <c r="F181" s="13">
        <v>42827.734884259262</v>
      </c>
      <c r="G181" s="7">
        <v>1</v>
      </c>
      <c r="H181" s="21" t="s">
        <v>497</v>
      </c>
      <c r="I181" s="13">
        <v>42827.746967592589</v>
      </c>
      <c r="J181" s="7">
        <v>0</v>
      </c>
      <c r="K181" s="97" t="str">
        <f t="shared" si="93"/>
        <v>4017/4018</v>
      </c>
      <c r="L181" s="21" t="str">
        <f>VLOOKUP(A181,'Trips&amp;Operators'!$C$1:$G$99999,5,FALSE)</f>
        <v>HELVIE ADAM</v>
      </c>
      <c r="M181" s="6">
        <f t="shared" si="94"/>
        <v>1.208333332760958E-2</v>
      </c>
      <c r="N181" s="7">
        <f t="shared" si="95"/>
        <v>17.399999991757795</v>
      </c>
      <c r="O181" s="7"/>
      <c r="P181" s="7"/>
      <c r="Q181" s="22"/>
      <c r="R181" s="22"/>
      <c r="S181" s="31">
        <f t="shared" si="96"/>
        <v>1</v>
      </c>
      <c r="T181" s="46" t="str">
        <f t="shared" si="97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98"/>
        <v>https://d0f6bd738d7f1b3e5a7ca70fe4ff75f0.us-east-1.aws.found.io/app/kibana#/discover/Steve-Slow-Train-Analysis-(2080s-and-2083s)?_g=(refreshInterval:(display:Off,pause:!f,section:0,value:0),time:(from:'2017-04-02T16:35:46-0600',mode:absolute,to:'2017-04-02T18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1" s="183" t="str">
        <f t="shared" si="99"/>
        <v>N</v>
      </c>
      <c r="X181" s="183">
        <f t="shared" si="92"/>
        <v>1</v>
      </c>
      <c r="Y181" s="62">
        <f t="shared" si="100"/>
        <v>5.8620999999999999</v>
      </c>
      <c r="Z181" s="62">
        <f t="shared" si="101"/>
        <v>7.6100000000000001E-2</v>
      </c>
      <c r="AA181" s="62">
        <f t="shared" si="102"/>
        <v>5.7859999999999996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103"/>
        <v>1824-02</v>
      </c>
      <c r="AE181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81" s="82" t="str">
        <f t="shared" si="105"/>
        <v>"C:\Program Files (x86)\AstroGrep\AstroGrep.exe" /e /r /s /spath="%USERPROFILE%\AppData\Local\Temp\OnboardLogs" /stypes="app*4017*20170402*" /stext=" 23:.+((SYSTEM_STATE.+slice.+state.+changed )|(ment ac)|(multiple cpu faults)|(system.+state.+changed )|(\[timeout)|(PRM\|1\|D)|(kpr)|(kdp)|(\|lc)|(penalty))"</v>
      </c>
      <c r="AG181" s="1" t="str">
        <f t="shared" si="106"/>
        <v>NW</v>
      </c>
      <c r="AH181" s="86" t="str">
        <f t="shared" si="87"/>
        <v>"%USERPROFILE%\Documents\GitHub\eaglep3\Utilities\RefineRTDCRunTimes.py" --tripid 1824-02 --locoid 4017 --swversion DE.1.0.9.0 --startMP 300:58621 --initTime 2017-04-02T17:35:46 --startdatetime 2017-04-02T17:38:14 --delay 1 --endMP 204:761 --enddatetime 2017-04-02T17:55:38 --enforcementcount 0 &gt;&gt;C:\Users\stu\Documents\GitHub\eaglep3-reporting\EC\2017-04-02-refined-times.txt</v>
      </c>
      <c r="AI181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{"issue":{"subject":"","project_id":79,"tracker_id":40,"status_id":1,"priority_id":2,"assigned_to_id":23,"start_date":"2017-04-02","description":"","custom_fields":[{"id":1,"name":"Subdivision","value":"NW"},{"id":4,"name":"Milepost","value":"0.0761"},{"id":17,"name":"Train ID","value":"1824-02"},{"id":16,"name":"Locomotive ID","value":"4017"},{"id":130,"name":"Impact","value":""},{"id":150,"name":"Time of Event (Mountain Time)","value":"17:55:38"},{"id":151,"name":"Denver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89"/>
        <v>start /low /b %USERPROFILE%\Documents\GitHub\eaglep3\Utilities\DownloadLogsFromS3.py --loco 4017 --day 2017-04-02</v>
      </c>
      <c r="AN181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23:55:38"},{"id":29,"name":"Sharepoint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787</v>
      </c>
      <c r="B182" s="7">
        <v>4018</v>
      </c>
      <c r="C182" s="21" t="s">
        <v>217</v>
      </c>
      <c r="D182" s="21" t="s">
        <v>894</v>
      </c>
      <c r="E182" s="13">
        <v>42827.763356481482</v>
      </c>
      <c r="F182" s="13">
        <v>42827.764803240738</v>
      </c>
      <c r="G182" s="7">
        <v>1</v>
      </c>
      <c r="H182" s="21" t="s">
        <v>873</v>
      </c>
      <c r="I182" s="13">
        <v>42827.774062500001</v>
      </c>
      <c r="J182" s="7">
        <v>0</v>
      </c>
      <c r="K182" s="97" t="str">
        <f t="shared" si="93"/>
        <v>4017/4018</v>
      </c>
      <c r="L182" s="21" t="str">
        <f>VLOOKUP(A182,'Trips&amp;Operators'!$C$1:$G$99999,5,FALSE)</f>
        <v>HELVIE ADAM</v>
      </c>
      <c r="M182" s="6">
        <f t="shared" si="94"/>
        <v>9.2592592627624981E-3</v>
      </c>
      <c r="N182" s="7">
        <f t="shared" si="95"/>
        <v>13.333333338377997</v>
      </c>
      <c r="O182" s="7"/>
      <c r="P182" s="7"/>
      <c r="Q182" s="22"/>
      <c r="R182" s="22"/>
      <c r="S182" s="31">
        <f t="shared" si="96"/>
        <v>1</v>
      </c>
      <c r="T182" s="46" t="str">
        <f t="shared" si="97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98"/>
        <v>https://d0f6bd738d7f1b3e5a7ca70fe4ff75f0.us-east-1.aws.found.io/app/kibana#/discover/Steve-Slow-Train-Analysis-(2080s-and-2083s)?_g=(refreshInterval:(display:Off,pause:!f,section:0,value:0),time:(from:'2017-04-02T17:19:14-0600',mode:absolute,to:'2017-04-02T19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2" s="183" t="str">
        <f t="shared" si="99"/>
        <v>N</v>
      </c>
      <c r="X182" s="183">
        <f t="shared" si="92"/>
        <v>1</v>
      </c>
      <c r="Y182" s="62">
        <f t="shared" si="100"/>
        <v>0.1055</v>
      </c>
      <c r="Z182" s="62">
        <f t="shared" si="101"/>
        <v>5.8935000000000004</v>
      </c>
      <c r="AA182" s="62">
        <f t="shared" si="102"/>
        <v>5.7880000000000003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103"/>
        <v>1825-02</v>
      </c>
      <c r="AE182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82" s="82" t="str">
        <f t="shared" si="105"/>
        <v>"C:\Program Files (x86)\AstroGrep\AstroGrep.exe" /e /r /s /spath="%USERPROFILE%\AppData\Local\Temp\OnboardLogs" /stypes="app*4018*20170403*" /stext=" 00:.+((SYSTEM_STATE.+slice.+state.+changed )|(ment ac)|(multiple cpu faults)|(system.+state.+changed )|(\[timeout)|(PRM\|1\|D)|(kpr)|(kdp)|(\|lc)|(penalty))"</v>
      </c>
      <c r="AG182" s="1" t="str">
        <f t="shared" si="106"/>
        <v>NW</v>
      </c>
      <c r="AH182" s="86" t="str">
        <f t="shared" si="87"/>
        <v>"%USERPROFILE%\Documents\GitHub\eaglep3\Utilities\RefineRTDCRunTimes.py" --tripid 1825-02 --locoid 4018 --swversion DE.1.0.9.0 --startMP 204:1055 --initTime 2017-04-02T18:19:14 --startdatetime 2017-04-02T18:21:19 --delay 1 --endMP 300:58935 --enddatetime 2017-04-02T18:34:39 --enforcementcount 0 &gt;&gt;C:\Users\stu\Documents\GitHub\eaglep3-reporting\EC\2017-04-02-refined-times.txt</v>
      </c>
      <c r="AI182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{"issue":{"subject":"","project_id":79,"tracker_id":40,"status_id":1,"priority_id":2,"assigned_to_id":23,"start_date":"2017-04-02","description":"","custom_fields":[{"id":1,"name":"Subdivision","value":"NW"},{"id":4,"name":"Milepost","value":"5.8935"},{"id":17,"name":"Train ID","value":"1825-02"},{"id":16,"name":"Locomotive ID","value":"4018"},{"id":130,"name":"Impact","value":""},{"id":150,"name":"Time of Event (Mountain Time)","value":"18:34:39"},{"id":151,"name":"Denver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89"/>
        <v>start /low /b %USERPROFILE%\Documents\GitHub\eaglep3\Utilities\DownloadLogsFromS3.py --loco 4018 --day 2017-04-02</v>
      </c>
      <c r="AN182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790</v>
      </c>
      <c r="B183" s="7">
        <v>4017</v>
      </c>
      <c r="C183" s="21" t="s">
        <v>217</v>
      </c>
      <c r="D183" s="21" t="s">
        <v>877</v>
      </c>
      <c r="E183" s="13">
        <v>42827.775069444448</v>
      </c>
      <c r="F183" s="13">
        <v>42827.776539351849</v>
      </c>
      <c r="G183" s="7">
        <v>1</v>
      </c>
      <c r="H183" s="21" t="s">
        <v>895</v>
      </c>
      <c r="I183" s="13">
        <v>42827.788587962961</v>
      </c>
      <c r="J183" s="7">
        <v>0</v>
      </c>
      <c r="K183" s="97" t="str">
        <f t="shared" si="93"/>
        <v>4017/4018</v>
      </c>
      <c r="L183" s="21" t="str">
        <f>VLOOKUP(A183,'Trips&amp;Operators'!$C$1:$G$99999,5,FALSE)</f>
        <v>HELVIE ADAM</v>
      </c>
      <c r="M183" s="6">
        <f t="shared" si="94"/>
        <v>1.2048611111822538E-2</v>
      </c>
      <c r="N183" s="7">
        <f t="shared" si="95"/>
        <v>17.350000001024455</v>
      </c>
      <c r="O183" s="7"/>
      <c r="P183" s="7"/>
      <c r="Q183" s="22"/>
      <c r="R183" s="22"/>
      <c r="S183" s="31">
        <f t="shared" si="96"/>
        <v>1</v>
      </c>
      <c r="T183" s="46" t="str">
        <f t="shared" si="97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98"/>
        <v>https://d0f6bd738d7f1b3e5a7ca70fe4ff75f0.us-east-1.aws.found.io/app/kibana#/discover/Steve-Slow-Train-Analysis-(2080s-and-2083s)?_g=(refreshInterval:(display:Off,pause:!f,section:0,value:0),time:(from:'2017-04-02T17:36:06-0600',mode:absolute,to:'2017-04-02T19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3" s="183" t="str">
        <f t="shared" si="99"/>
        <v>N</v>
      </c>
      <c r="X183" s="183">
        <f t="shared" si="92"/>
        <v>1</v>
      </c>
      <c r="Y183" s="62">
        <f t="shared" si="100"/>
        <v>5.8619000000000003</v>
      </c>
      <c r="Z183" s="62">
        <f t="shared" si="101"/>
        <v>7.9399999999999998E-2</v>
      </c>
      <c r="AA183" s="62">
        <f t="shared" si="102"/>
        <v>5.7825000000000006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103"/>
        <v>1826-02</v>
      </c>
      <c r="AE183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83" s="82" t="str">
        <f t="shared" si="105"/>
        <v>"C:\Program Files (x86)\AstroGrep\AstroGrep.exe" /e /r /s /spath="%USERPROFILE%\AppData\Local\Temp\OnboardLogs" /stypes="app*4017*20170403*" /stext=" 00:.+((SYSTEM_STATE.+slice.+state.+changed )|(ment ac)|(multiple cpu faults)|(system.+state.+changed )|(\[timeout)|(PRM\|1\|D)|(kpr)|(kdp)|(\|lc)|(penalty))"</v>
      </c>
      <c r="AG183" s="1" t="str">
        <f t="shared" si="106"/>
        <v>NW</v>
      </c>
      <c r="AH183" s="86" t="str">
        <f t="shared" si="87"/>
        <v>"%USERPROFILE%\Documents\GitHub\eaglep3\Utilities\RefineRTDCRunTimes.py" --tripid 1826-02 --locoid 4017 --swversion DE.1.0.9.0 --startMP 300:58619 --initTime 2017-04-02T18:36:06 --startdatetime 2017-04-02T18:38:13 --delay 1 --endMP 204:794 --enddatetime 2017-04-02T18:55:34 --enforcementcount 0 &gt;&gt;C:\Users\stu\Documents\GitHub\eaglep3-reporting\EC\2017-04-02-refined-times.txt</v>
      </c>
      <c r="AI183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{"issue":{"subject":"","project_id":79,"tracker_id":40,"status_id":1,"priority_id":2,"assigned_to_id":23,"start_date":"2017-04-02","description":"","custom_fields":[{"id":1,"name":"Subdivision","value":"NW"},{"id":4,"name":"Milepost","value":"0.0794"},{"id":17,"name":"Train ID","value":"1826-02"},{"id":16,"name":"Locomotive ID","value":"4017"},{"id":130,"name":"Impact","value":""},{"id":150,"name":"Time of Event (Mountain Time)","value":"18:55:34"},{"id":151,"name":"Denver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89"/>
        <v>start /low /b %USERPROFILE%\Documents\GitHub\eaglep3\Utilities\DownloadLogsFromS3.py --loco 4017 --day 2017-04-02</v>
      </c>
      <c r="AN183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795</v>
      </c>
      <c r="B184" s="7">
        <v>4018</v>
      </c>
      <c r="C184" s="21" t="s">
        <v>217</v>
      </c>
      <c r="D184" s="21" t="s">
        <v>896</v>
      </c>
      <c r="E184" s="13">
        <v>42827.803865740738</v>
      </c>
      <c r="F184" s="13">
        <v>42827.806435185186</v>
      </c>
      <c r="G184" s="7">
        <v>1</v>
      </c>
      <c r="H184" s="21" t="s">
        <v>897</v>
      </c>
      <c r="I184" s="13">
        <v>42827.815983796296</v>
      </c>
      <c r="J184" s="7">
        <v>0</v>
      </c>
      <c r="K184" s="97" t="str">
        <f t="shared" si="93"/>
        <v>4017/4018</v>
      </c>
      <c r="L184" s="21" t="str">
        <f>VLOOKUP(A184,'Trips&amp;Operators'!$C$1:$G$99999,5,FALSE)</f>
        <v>HELVIE ADAM</v>
      </c>
      <c r="M184" s="6">
        <f t="shared" si="94"/>
        <v>9.5486111094942316E-3</v>
      </c>
      <c r="N184" s="7">
        <f t="shared" si="95"/>
        <v>13.749999997671694</v>
      </c>
      <c r="O184" s="7"/>
      <c r="P184" s="7"/>
      <c r="Q184" s="22"/>
      <c r="R184" s="22"/>
      <c r="S184" s="31">
        <f t="shared" si="96"/>
        <v>1</v>
      </c>
      <c r="T184" s="46" t="str">
        <f t="shared" si="97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98"/>
        <v>https://d0f6bd738d7f1b3e5a7ca70fe4ff75f0.us-east-1.aws.found.io/app/kibana#/discover/Steve-Slow-Train-Analysis-(2080s-and-2083s)?_g=(refreshInterval:(display:Off,pause:!f,section:0,value:0),time:(from:'2017-04-02T18:17:34-0600',mode:absolute,to:'2017-04-02T20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183" t="str">
        <f t="shared" si="99"/>
        <v>N</v>
      </c>
      <c r="X184" s="183">
        <f t="shared" si="92"/>
        <v>1</v>
      </c>
      <c r="Y184" s="62">
        <f t="shared" si="100"/>
        <v>0.1065</v>
      </c>
      <c r="Z184" s="62">
        <f t="shared" si="101"/>
        <v>5.8945999999999996</v>
      </c>
      <c r="AA184" s="62">
        <f t="shared" si="102"/>
        <v>5.7881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103"/>
        <v>1827-02</v>
      </c>
      <c r="AE184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84" s="82" t="str">
        <f t="shared" si="105"/>
        <v>"C:\Program Files (x86)\AstroGrep\AstroGrep.exe" /e /r /s /spath="%USERPROFILE%\AppData\Local\Temp\OnboardLogs" /stypes="app*4018*20170403*" /stext=" 01:.+((SYSTEM_STATE.+slice.+state.+changed )|(ment ac)|(multiple cpu faults)|(system.+state.+changed )|(\[timeout)|(PRM\|1\|D)|(kpr)|(kdp)|(\|lc)|(penalty))"</v>
      </c>
      <c r="AG184" s="1" t="str">
        <f t="shared" si="106"/>
        <v>NW</v>
      </c>
      <c r="AH184" s="86" t="str">
        <f t="shared" si="87"/>
        <v>"%USERPROFILE%\Documents\GitHub\eaglep3\Utilities\RefineRTDCRunTimes.py" --tripid 1827-02 --locoid 4018 --swversion DE.1.0.9.0 --startMP 204:1065 --initTime 2017-04-02T19:17:34 --startdatetime 2017-04-02T19:21:16 --delay 1 --endMP 300:58946 --enddatetime 2017-04-02T19:35:01 --enforcementcount 0 &gt;&gt;C:\Users\stu\Documents\GitHub\eaglep3-reporting\EC\2017-04-02-refined-times.txt</v>
      </c>
      <c r="AI184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{"issue":{"subject":"","project_id":79,"tracker_id":40,"status_id":1,"priority_id":2,"assigned_to_id":23,"start_date":"2017-04-02","description":"","custom_fields":[{"id":1,"name":"Subdivision","value":"NW"},{"id":4,"name":"Milepost","value":"5.8946"},{"id":17,"name":"Train ID","value":"1827-02"},{"id":16,"name":"Locomotive ID","value":"4018"},{"id":130,"name":"Impact","value":""},{"id":150,"name":"Time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89"/>
        <v>start /low /b %USERPROFILE%\Documents\GitHub\eaglep3\Utilities\DownloadLogsFromS3.py --loco 4018 --day 2017-04-02</v>
      </c>
      <c r="AN184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797</v>
      </c>
      <c r="B185" s="7">
        <v>4017</v>
      </c>
      <c r="C185" s="21" t="s">
        <v>217</v>
      </c>
      <c r="D185" s="21" t="s">
        <v>523</v>
      </c>
      <c r="E185" s="13">
        <v>42827.81726851852</v>
      </c>
      <c r="F185" s="13">
        <v>42827.819039351853</v>
      </c>
      <c r="G185" s="7">
        <v>1</v>
      </c>
      <c r="H185" s="21" t="s">
        <v>898</v>
      </c>
      <c r="I185" s="13">
        <v>42827.830949074072</v>
      </c>
      <c r="J185" s="7">
        <v>0</v>
      </c>
      <c r="K185" s="97" t="str">
        <f t="shared" si="93"/>
        <v>4017/4018</v>
      </c>
      <c r="L185" s="21" t="str">
        <f>VLOOKUP(A185,'Trips&amp;Operators'!$C$1:$G$99999,5,FALSE)</f>
        <v>HELVIE ADAM</v>
      </c>
      <c r="M185" s="6">
        <f t="shared" si="94"/>
        <v>1.190972221957054E-2</v>
      </c>
      <c r="N185" s="7">
        <f t="shared" si="95"/>
        <v>17.149999996181577</v>
      </c>
      <c r="O185" s="7"/>
      <c r="P185" s="7"/>
      <c r="Q185" s="22"/>
      <c r="R185" s="22"/>
      <c r="S185" s="31">
        <f t="shared" si="96"/>
        <v>1</v>
      </c>
      <c r="T185" s="46" t="str">
        <f t="shared" si="97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98"/>
        <v>https://d0f6bd738d7f1b3e5a7ca70fe4ff75f0.us-east-1.aws.found.io/app/kibana#/discover/Steve-Slow-Train-Analysis-(2080s-and-2083s)?_g=(refreshInterval:(display:Off,pause:!f,section:0,value:0),time:(from:'2017-04-02T18:36:52-0600',mode:absolute,to:'2017-04-02T20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183" t="str">
        <f t="shared" si="99"/>
        <v>N</v>
      </c>
      <c r="X185" s="183">
        <f t="shared" si="92"/>
        <v>1</v>
      </c>
      <c r="Y185" s="62">
        <f t="shared" si="100"/>
        <v>5.8623000000000003</v>
      </c>
      <c r="Z185" s="62">
        <f t="shared" si="101"/>
        <v>7.7600000000000002E-2</v>
      </c>
      <c r="AA185" s="62">
        <f t="shared" si="102"/>
        <v>5.7847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103"/>
        <v>1828-02</v>
      </c>
      <c r="AE185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85" s="82" t="str">
        <f t="shared" si="105"/>
        <v>"C:\Program Files (x86)\AstroGrep\AstroGrep.exe" /e /r /s /spath="%USERPROFILE%\AppData\Local\Temp\OnboardLogs" /stypes="app*4017*20170403*" /stext=" 01:.+((SYSTEM_STATE.+slice.+state.+changed )|(ment ac)|(multiple cpu faults)|(system.+state.+changed )|(\[timeout)|(PRM\|1\|D)|(kpr)|(kdp)|(\|lc)|(penalty))"</v>
      </c>
      <c r="AG185" s="1" t="str">
        <f t="shared" si="106"/>
        <v>NW</v>
      </c>
      <c r="AH185" s="86" t="str">
        <f t="shared" si="87"/>
        <v>"%USERPROFILE%\Documents\GitHub\eaglep3\Utilities\RefineRTDCRunTimes.py" --tripid 1828-02 --locoid 4017 --swversion DE.1.0.9.0 --startMP 300:58623 --initTime 2017-04-02T19:36:52 --startdatetime 2017-04-02T19:39:25 --delay 1 --endMP 204:776 --enddatetime 2017-04-02T19:56:34 --enforcementcount 0 &gt;&gt;C:\Users\stu\Documents\GitHub\eaglep3-reporting\EC\2017-04-02-refined-times.txt</v>
      </c>
      <c r="AI185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{"issue":{"subject":"","project_id":79,"tracker_id":40,"status_id":1,"priority_id":2,"assigned_to_id":23,"start_date":"2017-04-02","description":"","custom_fields":[{"id":1,"name":"Subdivision","value":"NW"},{"id":4,"name":"Milepost","value":"0.0776"},{"id":17,"name":"Train ID","value":"1828-02"},{"id":16,"name":"Locomotive ID","value":"4017"},{"id":130,"name":"Impact","value":""},{"id":150,"name":"Time of Event (Mountain Time)","value":"19:56:34"},{"id":151,"name":"Denver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89"/>
        <v>start /low /b %USERPROFILE%\Documents\GitHub\eaglep3\Utilities\DownloadLogsFromS3.py --loco 4017 --day 2017-04-02</v>
      </c>
      <c r="AN185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803</v>
      </c>
      <c r="B186" s="7">
        <v>4018</v>
      </c>
      <c r="C186" s="21" t="s">
        <v>217</v>
      </c>
      <c r="D186" s="21" t="s">
        <v>894</v>
      </c>
      <c r="E186" s="13">
        <v>42827.846747685187</v>
      </c>
      <c r="F186" s="13">
        <v>42827.848182870373</v>
      </c>
      <c r="G186" s="7">
        <v>1</v>
      </c>
      <c r="H186" s="21" t="s">
        <v>899</v>
      </c>
      <c r="I186" s="13">
        <v>42827.857453703706</v>
      </c>
      <c r="J186" s="7">
        <v>0</v>
      </c>
      <c r="K186" s="97" t="str">
        <f t="shared" si="93"/>
        <v>4017/4018</v>
      </c>
      <c r="L186" s="21" t="str">
        <f>VLOOKUP(A186,'Trips&amp;Operators'!$C$1:$G$99999,5,FALSE)</f>
        <v>HELVIE ADAM</v>
      </c>
      <c r="M186" s="6">
        <f t="shared" si="94"/>
        <v>9.2708333322661929E-3</v>
      </c>
      <c r="N186" s="7">
        <f t="shared" si="95"/>
        <v>13.349999998463318</v>
      </c>
      <c r="O186" s="7"/>
      <c r="P186" s="7"/>
      <c r="Q186" s="22"/>
      <c r="R186" s="22"/>
      <c r="S186" s="31">
        <f t="shared" si="96"/>
        <v>1</v>
      </c>
      <c r="T186" s="46" t="str">
        <f t="shared" si="97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98"/>
        <v>https://d0f6bd738d7f1b3e5a7ca70fe4ff75f0.us-east-1.aws.found.io/app/kibana#/discover/Steve-Slow-Train-Analysis-(2080s-and-2083s)?_g=(refreshInterval:(display:Off,pause:!f,section:0,value:0),time:(from:'2017-04-02T19:19:19-0600',mode:absolute,to:'2017-04-02T21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6" s="183" t="str">
        <f t="shared" si="99"/>
        <v>N</v>
      </c>
      <c r="X186" s="183">
        <f t="shared" si="92"/>
        <v>1</v>
      </c>
      <c r="Y186" s="62">
        <f t="shared" si="100"/>
        <v>0.1055</v>
      </c>
      <c r="Z186" s="62">
        <f t="shared" si="101"/>
        <v>5.8925999999999998</v>
      </c>
      <c r="AA186" s="62">
        <f t="shared" si="102"/>
        <v>5.7870999999999997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103"/>
        <v>1829-02</v>
      </c>
      <c r="AE186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86" s="82" t="str">
        <f t="shared" si="105"/>
        <v>"C:\Program Files (x86)\AstroGrep\AstroGrep.exe" /e /r /s /spath="%USERPROFILE%\AppData\Local\Temp\OnboardLogs" /stypes="app*4018*20170403*" /stext=" 02:.+((SYSTEM_STATE.+slice.+state.+changed )|(ment ac)|(multiple cpu faults)|(system.+state.+changed )|(\[timeout)|(PRM\|1\|D)|(kpr)|(kdp)|(\|lc)|(penalty))"</v>
      </c>
      <c r="AG186" s="1" t="str">
        <f t="shared" si="106"/>
        <v>NW</v>
      </c>
      <c r="AH186" s="86" t="str">
        <f t="shared" si="87"/>
        <v>"%USERPROFILE%\Documents\GitHub\eaglep3\Utilities\RefineRTDCRunTimes.py" --tripid 1829-02 --locoid 4018 --swversion DE.1.0.9.0 --startMP 204:1055 --initTime 2017-04-02T20:19:19 --startdatetime 2017-04-02T20:21:23 --delay 1 --endMP 300:58926 --enddatetime 2017-04-02T20:34:44 --enforcementcount 0 &gt;&gt;C:\Users\stu\Documents\GitHub\eaglep3-reporting\EC\2017-04-02-refined-times.txt</v>
      </c>
      <c r="AI186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{"issue":{"subject":"","project_id":79,"tracker_id":40,"status_id":1,"priority_id":2,"assigned_to_id":23,"start_date":"2017-04-02","description":"","custom_fields":[{"id":1,"name":"Subdivision","value":"NW"},{"id":4,"name":"Milepost","value":"5.8926"},{"id":17,"name":"Train ID","value":"1829-02"},{"id":16,"name":"Locomotive ID","value":"4018"},{"id":130,"name":"Impact","value":""},{"id":150,"name":"Time of Event (Mountain Time)","value":"20:34:44"},{"id":151,"name":"Denver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89"/>
        <v>start /low /b %USERPROFILE%\Documents\GitHub\eaglep3\Utilities\DownloadLogsFromS3.py --loco 4018 --day 2017-04-02</v>
      </c>
      <c r="AN186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804</v>
      </c>
      <c r="B187" s="7">
        <v>4017</v>
      </c>
      <c r="C187" s="21" t="s">
        <v>217</v>
      </c>
      <c r="D187" s="21" t="s">
        <v>900</v>
      </c>
      <c r="E187" s="13">
        <v>42827.859722222223</v>
      </c>
      <c r="F187" s="13">
        <v>42827.860995370371</v>
      </c>
      <c r="G187" s="7">
        <v>1</v>
      </c>
      <c r="H187" s="21" t="s">
        <v>901</v>
      </c>
      <c r="I187" s="13">
        <v>42827.871365740742</v>
      </c>
      <c r="J187" s="7">
        <v>0</v>
      </c>
      <c r="K187" s="97" t="str">
        <f t="shared" si="93"/>
        <v>4017/4018</v>
      </c>
      <c r="L187" s="21" t="str">
        <f>VLOOKUP(A187,'Trips&amp;Operators'!$C$1:$G$99999,5,FALSE)</f>
        <v>HELVIE ADAM</v>
      </c>
      <c r="M187" s="6">
        <f t="shared" si="94"/>
        <v>1.0370370371674653E-2</v>
      </c>
      <c r="N187" s="7">
        <f t="shared" si="95"/>
        <v>14.933333335211501</v>
      </c>
      <c r="O187" s="7"/>
      <c r="P187" s="7"/>
      <c r="Q187" s="22"/>
      <c r="R187" s="22"/>
      <c r="S187" s="31">
        <f t="shared" si="96"/>
        <v>1</v>
      </c>
      <c r="T187" s="46" t="str">
        <f t="shared" si="97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98"/>
        <v>https://d0f6bd738d7f1b3e5a7ca70fe4ff75f0.us-east-1.aws.found.io/app/kibana#/discover/Steve-Slow-Train-Analysis-(2080s-and-2083s)?_g=(refreshInterval:(display:Off,pause:!f,section:0,value:0),time:(from:'2017-04-02T19:38:00-0600',mode:absolute,to:'2017-04-02T21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7" s="183" t="str">
        <f t="shared" si="99"/>
        <v>N</v>
      </c>
      <c r="X187" s="183">
        <f t="shared" si="92"/>
        <v>1</v>
      </c>
      <c r="Y187" s="62">
        <f t="shared" si="100"/>
        <v>5.8609</v>
      </c>
      <c r="Z187" s="62">
        <f t="shared" si="101"/>
        <v>7.7299999999999994E-2</v>
      </c>
      <c r="AA187" s="62">
        <f t="shared" si="102"/>
        <v>5.7835999999999999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103"/>
        <v>1830-02</v>
      </c>
      <c r="AE187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87" s="82" t="str">
        <f t="shared" si="105"/>
        <v>"C:\Program Files (x86)\AstroGrep\AstroGrep.exe" /e /r /s /spath="%USERPROFILE%\AppData\Local\Temp\OnboardLogs" /stypes="app*4017*20170403*" /stext=" 02:.+((SYSTEM_STATE.+slice.+state.+changed )|(ment ac)|(multiple cpu faults)|(system.+state.+changed )|(\[timeout)|(PRM\|1\|D)|(kpr)|(kdp)|(\|lc)|(penalty))"</v>
      </c>
      <c r="AG187" s="1" t="str">
        <f t="shared" si="106"/>
        <v>NW</v>
      </c>
      <c r="AH187" s="86" t="str">
        <f t="shared" si="87"/>
        <v>"%USERPROFILE%\Documents\GitHub\eaglep3\Utilities\RefineRTDCRunTimes.py" --tripid 1830-02 --locoid 4017 --swversion DE.1.0.9.0 --startMP 300:58609 --initTime 2017-04-02T20:38:00 --startdatetime 2017-04-02T20:39:50 --delay 1 --endMP 204:773 --enddatetime 2017-04-02T20:54:46 --enforcementcount 0 &gt;&gt;C:\Users\stu\Documents\GitHub\eaglep3-reporting\EC\2017-04-02-refined-times.txt</v>
      </c>
      <c r="AI187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{"issue":{"subject":"","project_id":79,"tracker_id":40,"status_id":1,"priority_id":2,"assigned_to_id":23,"start_date":"2017-04-02","description":"","custom_fields":[{"id":1,"name":"Subdivision","value":"NW"},{"id":4,"name":"Milepost","value":"0.0773"},{"id":17,"name":"Train ID","value":"1830-02"},{"id":16,"name":"Locomotive ID","value":"4017"},{"id":130,"name":"Impact","value":""},{"id":150,"name":"Time of Event (Mountain Time)","value":"20:54:46"},{"id":151,"name":"Denver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89"/>
        <v>start /low /b %USERPROFILE%\Documents\GitHub\eaglep3\Utilities\DownloadLogsFromS3.py --loco 4017 --day 2017-04-02</v>
      </c>
      <c r="AN187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02:54:46"},{"id":29,"name":"Sharepoint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810</v>
      </c>
      <c r="B188" s="7">
        <v>4018</v>
      </c>
      <c r="C188" s="21" t="s">
        <v>217</v>
      </c>
      <c r="D188" s="21" t="s">
        <v>902</v>
      </c>
      <c r="E188" s="13">
        <v>42827.887557870374</v>
      </c>
      <c r="F188" s="13">
        <v>42827.889780092592</v>
      </c>
      <c r="G188" s="7">
        <v>1</v>
      </c>
      <c r="H188" s="21" t="s">
        <v>903</v>
      </c>
      <c r="I188" s="13">
        <v>42827.898912037039</v>
      </c>
      <c r="J188" s="7">
        <v>0</v>
      </c>
      <c r="K188" s="97" t="str">
        <f t="shared" si="93"/>
        <v>4017/4018</v>
      </c>
      <c r="L188" s="21" t="str">
        <f>VLOOKUP(A188,'Trips&amp;Operators'!$C$1:$G$99999,5,FALSE)</f>
        <v>HELVIE ADAM</v>
      </c>
      <c r="M188" s="6">
        <f t="shared" si="94"/>
        <v>9.1319444472901523E-3</v>
      </c>
      <c r="N188" s="7">
        <f t="shared" si="95"/>
        <v>13.150000004097819</v>
      </c>
      <c r="O188" s="7"/>
      <c r="P188" s="7"/>
      <c r="Q188" s="22"/>
      <c r="R188" s="22"/>
      <c r="S188" s="31">
        <f t="shared" si="96"/>
        <v>1</v>
      </c>
      <c r="T188" s="46" t="str">
        <f t="shared" si="97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98"/>
        <v>https://d0f6bd738d7f1b3e5a7ca70fe4ff75f0.us-east-1.aws.found.io/app/kibana#/discover/Steve-Slow-Train-Analysis-(2080s-and-2083s)?_g=(refreshInterval:(display:Off,pause:!f,section:0,value:0),time:(from:'2017-04-02T20:18:05-0600',mode:absolute,to:'2017-04-02T22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183" t="str">
        <f t="shared" si="99"/>
        <v>N</v>
      </c>
      <c r="X188" s="183">
        <f t="shared" si="92"/>
        <v>1</v>
      </c>
      <c r="Y188" s="62">
        <f t="shared" si="100"/>
        <v>0.1074</v>
      </c>
      <c r="Z188" s="62">
        <f t="shared" si="101"/>
        <v>5.8933</v>
      </c>
      <c r="AA188" s="62">
        <f t="shared" si="102"/>
        <v>5.7858999999999998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103"/>
        <v>1831-02</v>
      </c>
      <c r="AE188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88" s="82" t="str">
        <f t="shared" si="105"/>
        <v>"C:\Program Files (x86)\AstroGrep\AstroGrep.exe" /e /r /s /spath="%USERPROFILE%\AppData\Local\Temp\OnboardLogs" /stypes="app*4018*20170403*" /stext=" 03:.+((SYSTEM_STATE.+slice.+state.+changed )|(ment ac)|(multiple cpu faults)|(system.+state.+changed )|(\[timeout)|(PRM\|1\|D)|(kpr)|(kdp)|(\|lc)|(penalty))"</v>
      </c>
      <c r="AG188" s="1" t="str">
        <f t="shared" si="106"/>
        <v>NW</v>
      </c>
      <c r="AH188" s="86" t="str">
        <f t="shared" si="87"/>
        <v>"%USERPROFILE%\Documents\GitHub\eaglep3\Utilities\RefineRTDCRunTimes.py" --tripid 1831-02 --locoid 4018 --swversion DE.1.0.9.0 --startMP 204:1074 --initTime 2017-04-02T21:18:05 --startdatetime 2017-04-02T21:21:17 --delay 1 --endMP 300:58933 --enddatetime 2017-04-02T21:34:26 --enforcementcount 0 &gt;&gt;C:\Users\stu\Documents\GitHub\eaglep3-reporting\EC\2017-04-02-refined-times.txt</v>
      </c>
      <c r="AI188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{"issue":{"subject":"","project_id":79,"tracker_id":40,"status_id":1,"priority_id":2,"assigned_to_id":23,"start_date":"2017-04-02","description":"","custom_fields":[{"id":1,"name":"Subdivision","value":"NW"},{"id":4,"name":"Milepost","value":"5.8933"},{"id":17,"name":"Train ID","value":"1831-02"},{"id":16,"name":"Locomotive ID","value":"4018"},{"id":130,"name":"Impact","value":""},{"id":150,"name":"Time of Event (Mountain Time)","value":"21:34:26"},{"id":151,"name":"Denver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89"/>
        <v>start /low /b %USERPROFILE%\Documents\GitHub\eaglep3\Utilities\DownloadLogsFromS3.py --loco 4018 --day 2017-04-02</v>
      </c>
      <c r="AN188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03:34:26"},{"id":29,"name":"Sharepoint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811</v>
      </c>
      <c r="B189" s="7">
        <v>4017</v>
      </c>
      <c r="C189" s="21" t="s">
        <v>217</v>
      </c>
      <c r="D189" s="21" t="s">
        <v>900</v>
      </c>
      <c r="E189" s="13">
        <v>42827.900196759256</v>
      </c>
      <c r="F189" s="13">
        <v>42827.902280092596</v>
      </c>
      <c r="G189" s="7">
        <v>1</v>
      </c>
      <c r="H189" s="21" t="s">
        <v>904</v>
      </c>
      <c r="I189" s="13">
        <v>42827.912928240738</v>
      </c>
      <c r="J189" s="7">
        <v>0</v>
      </c>
      <c r="K189" s="97" t="str">
        <f t="shared" si="93"/>
        <v>4017/4018</v>
      </c>
      <c r="L189" s="21" t="str">
        <f>VLOOKUP(A189,'Trips&amp;Operators'!$C$1:$G$99999,5,FALSE)</f>
        <v>HELVIE ADAM</v>
      </c>
      <c r="M189" s="6">
        <f t="shared" si="94"/>
        <v>1.0648148141626734E-2</v>
      </c>
      <c r="N189" s="7">
        <f t="shared" si="95"/>
        <v>15.333333323942497</v>
      </c>
      <c r="O189" s="7"/>
      <c r="P189" s="7"/>
      <c r="Q189" s="22"/>
      <c r="R189" s="22"/>
      <c r="S189" s="31">
        <f t="shared" si="96"/>
        <v>1</v>
      </c>
      <c r="T189" s="46" t="str">
        <f t="shared" si="97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98"/>
        <v>https://d0f6bd738d7f1b3e5a7ca70fe4ff75f0.us-east-1.aws.found.io/app/kibana#/discover/Steve-Slow-Train-Analysis-(2080s-and-2083s)?_g=(refreshInterval:(display:Off,pause:!f,section:0,value:0),time:(from:'2017-04-02T20:36:17-0600',mode:absolute,to:'2017-04-02T22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83" t="str">
        <f t="shared" si="99"/>
        <v>N</v>
      </c>
      <c r="X189" s="183">
        <f t="shared" si="92"/>
        <v>1</v>
      </c>
      <c r="Y189" s="62">
        <f t="shared" si="100"/>
        <v>5.8609</v>
      </c>
      <c r="Z189" s="62">
        <f t="shared" si="101"/>
        <v>7.3599999999999999E-2</v>
      </c>
      <c r="AA189" s="62">
        <f t="shared" si="102"/>
        <v>5.7873000000000001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103"/>
        <v>1832-02</v>
      </c>
      <c r="AE189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189" s="82" t="str">
        <f t="shared" si="105"/>
        <v>"C:\Program Files (x86)\AstroGrep\AstroGrep.exe" /e /r /s /spath="%USERPROFILE%\AppData\Local\Temp\OnboardLogs" /stypes="app*4017*20170403*" /stext=" 03:.+((SYSTEM_STATE.+slice.+state.+changed )|(ment ac)|(multiple cpu faults)|(system.+state.+changed )|(\[timeout)|(PRM\|1\|D)|(kpr)|(kdp)|(\|lc)|(penalty))"</v>
      </c>
      <c r="AG189" s="1" t="str">
        <f t="shared" si="106"/>
        <v>NW</v>
      </c>
      <c r="AH189" s="86" t="str">
        <f t="shared" si="87"/>
        <v>"%USERPROFILE%\Documents\GitHub\eaglep3\Utilities\RefineRTDCRunTimes.py" --tripid 1832-02 --locoid 4017 --swversion DE.1.0.9.0 --startMP 300:58609 --initTime 2017-04-02T21:36:17 --startdatetime 2017-04-02T21:39:17 --delay 1 --endMP 204:736 --enddatetime 2017-04-02T21:54:37 --enforcementcount 0 &gt;&gt;C:\Users\stu\Documents\GitHub\eaglep3-reporting\EC\2017-04-02-refined-times.txt</v>
      </c>
      <c r="AI189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{"issue":{"subject":"","project_id":79,"tracker_id":40,"status_id":1,"priority_id":2,"assigned_to_id":23,"start_date":"2017-04-02","description":"","custom_fields":[{"id":1,"name":"Subdivision","value":"NW"},{"id":4,"name":"Milepost","value":"0.0736"},{"id":17,"name":"Train ID","value":"1832-02"},{"id":16,"name":"Locomotive ID","value":"4017"},{"id":130,"name":"Impact","value":""},{"id":150,"name":"Time of Event (Mountain Time)","value":"21:54:37"},{"id":151,"name":"Denver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89"/>
        <v>start /low /b %USERPROFILE%\Documents\GitHub\eaglep3\Utilities\DownloadLogsFromS3.py --loco 4017 --day 2017-04-02</v>
      </c>
      <c r="AN189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03:54:37"},{"id":29,"name":"Sharepoint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634</v>
      </c>
      <c r="B190" s="7">
        <v>4018</v>
      </c>
      <c r="C190" s="21" t="s">
        <v>217</v>
      </c>
      <c r="D190" s="21" t="s">
        <v>905</v>
      </c>
      <c r="E190" s="13">
        <v>42827.929027777776</v>
      </c>
      <c r="F190" s="13">
        <v>42827.931493055556</v>
      </c>
      <c r="G190" s="7">
        <v>1</v>
      </c>
      <c r="H190" s="21" t="s">
        <v>467</v>
      </c>
      <c r="I190" s="13">
        <v>42827.940335648149</v>
      </c>
      <c r="J190" s="7">
        <v>0</v>
      </c>
      <c r="K190" s="97" t="str">
        <f t="shared" si="93"/>
        <v>4017/4018</v>
      </c>
      <c r="L190" s="21" t="str">
        <f>VLOOKUP(A190,'Trips&amp;Operators'!$C$1:$G$99999,5,FALSE)</f>
        <v>HELVIE ADAM</v>
      </c>
      <c r="M190" s="6">
        <f t="shared" si="94"/>
        <v>8.8425925932824612E-3</v>
      </c>
      <c r="N190" s="7">
        <f t="shared" si="95"/>
        <v>12.733333334326744</v>
      </c>
      <c r="O190" s="7"/>
      <c r="P190" s="7"/>
      <c r="Q190" s="22"/>
      <c r="R190" s="22"/>
      <c r="S190" s="31">
        <f t="shared" si="96"/>
        <v>1</v>
      </c>
      <c r="T190" s="46" t="str">
        <f t="shared" si="97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98"/>
        <v>https://d0f6bd738d7f1b3e5a7ca70fe4ff75f0.us-east-1.aws.found.io/app/kibana#/discover/Steve-Slow-Train-Analysis-(2080s-and-2083s)?_g=(refreshInterval:(display:Off,pause:!f,section:0,value:0),time:(from:'2017-04-02T21:17:48-0600',mode:absolute,to:'2017-04-02T23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83" t="str">
        <f t="shared" si="99"/>
        <v>N</v>
      </c>
      <c r="X190" s="183">
        <f t="shared" si="92"/>
        <v>1</v>
      </c>
      <c r="Y190" s="62">
        <f t="shared" si="100"/>
        <v>0.1023</v>
      </c>
      <c r="Z190" s="62">
        <f t="shared" si="101"/>
        <v>5.8940999999999999</v>
      </c>
      <c r="AA190" s="62">
        <f t="shared" si="102"/>
        <v>5.7918000000000003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103"/>
        <v>1833-02</v>
      </c>
      <c r="AE190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190" s="82" t="str">
        <f t="shared" si="105"/>
        <v>"C:\Program Files (x86)\AstroGrep\AstroGrep.exe" /e /r /s /spath="%USERPROFILE%\AppData\Local\Temp\OnboardLogs" /stypes="app*4018*20170403*" /stext=" 04:.+((SYSTEM_STATE.+slice.+state.+changed )|(ment ac)|(multiple cpu faults)|(system.+state.+changed )|(\[timeout)|(PRM\|1\|D)|(kpr)|(kdp)|(\|lc)|(penalty))"</v>
      </c>
      <c r="AG190" s="1" t="str">
        <f t="shared" si="106"/>
        <v>NW</v>
      </c>
      <c r="AH190" s="86" t="str">
        <f t="shared" si="87"/>
        <v>"%USERPROFILE%\Documents\GitHub\eaglep3\Utilities\RefineRTDCRunTimes.py" --tripid 1833-02 --locoid 4018 --swversion DE.1.0.9.0 --startMP 204:1023 --initTime 2017-04-02T22:17:48 --startdatetime 2017-04-02T22:21:21 --delay 1 --endMP 300:58941 --enddatetime 2017-04-02T22:34:05 --enforcementcount 0 &gt;&gt;C:\Users\stu\Documents\GitHub\eaglep3-reporting\EC\2017-04-02-refined-times.txt</v>
      </c>
      <c r="AI190" s="104" t="str">
        <f t="shared" si="88"/>
        <v>echo {"issue":{"subject":"","project_id":79,"tracker_id":40,"status_id":1,"priority_id":2,"assigned_to_id":23,"start_date":"2017-04-02","description":"","custom_fields":[{"id":1,"name":"Subdivision","value":"NW"},{"id":4,"name":"Milepost","value":"5.8941"},{"id":17,"name":"Train ID","value":"1833-02"},{"id":16,"name":"Locomotive ID","value":"4018"},{"id":130,"name":"Impact","value":""},{"id":150,"name":"Time of Event (Mountain Time)","value":"22:34:05"},{"id":151,"name":"Denver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89"/>
        <v>start /low /b %USERPROFILE%\Documents\GitHub\eaglep3\Utilities\DownloadLogsFromS3.py --loco 4018 --day 2017-04-02</v>
      </c>
      <c r="AN190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04:34:05"},{"id":29,"name":"Sharepoint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605</v>
      </c>
      <c r="B191" s="7">
        <v>4019</v>
      </c>
      <c r="C191" s="21" t="s">
        <v>217</v>
      </c>
      <c r="D191" s="21" t="s">
        <v>935</v>
      </c>
      <c r="E191" s="13">
        <v>42827.118657407409</v>
      </c>
      <c r="F191" s="13">
        <v>42827.124849537038</v>
      </c>
      <c r="G191" s="7">
        <v>8</v>
      </c>
      <c r="H191" s="21" t="s">
        <v>451</v>
      </c>
      <c r="I191" s="13">
        <v>42827.129131944443</v>
      </c>
      <c r="J191" s="7">
        <v>0</v>
      </c>
      <c r="K191" s="97" t="str">
        <f t="shared" si="93"/>
        <v>4019/4020</v>
      </c>
      <c r="L191" s="21" t="str">
        <f>VLOOKUP(A191,'Trips&amp;Operators'!$C$1:$G$99999,5,FALSE)</f>
        <v>SANTIZO D. EDY</v>
      </c>
      <c r="M191" s="6">
        <f t="shared" si="94"/>
        <v>4.2824074043892324E-3</v>
      </c>
      <c r="N191" s="7">
        <f t="shared" si="95"/>
        <v>6.1666666623204947</v>
      </c>
      <c r="O191" s="7"/>
      <c r="P191" s="7"/>
      <c r="Q191" s="22"/>
      <c r="R191" s="22"/>
      <c r="S191" s="31">
        <f t="shared" si="96"/>
        <v>1</v>
      </c>
      <c r="T191" s="46" t="str">
        <f t="shared" si="97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98"/>
        <v>https://d0f6bd738d7f1b3e5a7ca70fe4ff75f0.us-east-1.aws.found.io/app/kibana#/discover/Steve-Slow-Train-Analysis-(2080s-and-2083s)?_g=(refreshInterval:(display:Off,pause:!f,section:0,value:0),time:(from:'2017-04-02T01:50:52-0600',mode:absolute,to:'2017-04-02T04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183" t="str">
        <f t="shared" si="99"/>
        <v>Y</v>
      </c>
      <c r="X191" s="183">
        <f t="shared" si="92"/>
        <v>-1531</v>
      </c>
      <c r="Y191" s="62">
        <f t="shared" si="100"/>
        <v>1.9474</v>
      </c>
      <c r="Z191" s="62">
        <f t="shared" si="101"/>
        <v>1.38E-2</v>
      </c>
      <c r="AA191" s="62">
        <f t="shared" si="102"/>
        <v>1.9336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103"/>
        <v>0302-02</v>
      </c>
      <c r="AE191" s="85" t="str">
        <f t="shared" si="104"/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AF191" s="82" t="str">
        <f t="shared" si="105"/>
        <v>"C:\Program Files (x86)\AstroGrep\AstroGrep.exe" /e /r /s /spath="%USERPROFILE%\AppData\Local\Temp\OnboardLogs" /stypes="app*4019*20170402*" /stext=" 09:.+((SYSTEM_STATE.+slice.+state.+changed )|(ment ac)|(multiple cpu faults)|(system.+state.+changed )|(\[timeout)|(PRM\|1\|D)|(kpr)|(kdp)|(\|lc)|(penalty))"</v>
      </c>
      <c r="AG191" s="1" t="str">
        <f t="shared" si="106"/>
        <v>Other</v>
      </c>
      <c r="AH191" s="86" t="str">
        <f t="shared" si="87"/>
        <v>"%USERPROFILE%\Documents\GitHub\eaglep3\Utilities\RefineRTDCRunTimes.py" --tripid 302-02 --locoid 4019 --swversion DE.1.0.9.0 --startMP 300:19474 --initTime 2017-04-02T02:50:52 --startdatetime 2017-04-02T02:59:47 --delay 8 --endMP 204:138 --enddatetime 2017-04-02T03:05:57 --enforcementcount 0 &gt;&gt;C:\Users\stu\Documents\GitHub\eaglep3-reporting\EC\2017-04-02-refined-times.txt</v>
      </c>
      <c r="AI191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{"issue":{"subject":"","project_id":79,"tracker_id":40,"status_id":1,"priority_id":2,"assigned_to_id":23,"start_date":"2017-04-02","description":"","custom_fields":[{"id":1,"name":"Subdivision","value":"Other"},{"id":4,"name":"Milepost","value":"0.0138"},{"id":17,"name":"Train ID","value":"302-02"},{"id":16,"name":"Locomotive ID","value":"4019"},{"id":130,"name":"Impact","value":""},{"id":150,"name":"Time of Event (Mountain Time)","value":"03:05:57"},{"id":151,"name":"Denver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89"/>
        <v>start /low /b %USERPROFILE%\Documents\GitHub\eaglep3\Utilities\DownloadLogsFromS3.py --loco 4019 --day 2017-04-02</v>
      </c>
      <c r="AN191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09:05:57"},{"id":29,"name":"Sharepoint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647</v>
      </c>
      <c r="B192" s="7">
        <v>4026</v>
      </c>
      <c r="C192" s="21" t="s">
        <v>217</v>
      </c>
      <c r="D192" s="21" t="s">
        <v>936</v>
      </c>
      <c r="E192" s="13">
        <v>42827.136782407404</v>
      </c>
      <c r="F192" s="13">
        <v>42827.140104166669</v>
      </c>
      <c r="G192" s="7">
        <v>4</v>
      </c>
      <c r="H192" s="21" t="s">
        <v>184</v>
      </c>
      <c r="I192" s="13">
        <v>42827.146319444444</v>
      </c>
      <c r="J192" s="7">
        <v>0</v>
      </c>
      <c r="K192" s="97" t="str">
        <f t="shared" si="93"/>
        <v>4025/4026</v>
      </c>
      <c r="L192" s="21" t="str">
        <f>VLOOKUP(A192,'Trips&amp;Operators'!$C$1:$G$99999,5,FALSE)</f>
        <v>MAELZER KURT</v>
      </c>
      <c r="M192" s="6">
        <f t="shared" si="94"/>
        <v>6.2152777754818089E-3</v>
      </c>
      <c r="N192" s="7">
        <f t="shared" si="95"/>
        <v>8.9499999966938049</v>
      </c>
      <c r="O192" s="7"/>
      <c r="P192" s="7"/>
      <c r="Q192" s="22"/>
      <c r="R192" s="22"/>
      <c r="S192" s="31">
        <f t="shared" si="96"/>
        <v>1</v>
      </c>
      <c r="T192" s="46" t="str">
        <f t="shared" si="97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98"/>
        <v>https://d0f6bd738d7f1b3e5a7ca70fe4ff75f0.us-east-1.aws.found.io/app/kibana#/discover/Steve-Slow-Train-Analysis-(2080s-and-2083s)?_g=(refreshInterval:(display:Off,pause:!f,section:0,value:0),time:(from:'2017-04-02T02:16:58-0600',mode:absolute,to:'2017-04-02T04:30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2" s="183" t="str">
        <f t="shared" si="99"/>
        <v>Y</v>
      </c>
      <c r="X192" s="183">
        <f t="shared" si="92"/>
        <v>2</v>
      </c>
      <c r="Y192" s="62">
        <f t="shared" si="100"/>
        <v>2.3332000000000002</v>
      </c>
      <c r="Z192" s="62">
        <f t="shared" si="101"/>
        <v>1.49E-2</v>
      </c>
      <c r="AA192" s="62">
        <f t="shared" si="102"/>
        <v>2.3183000000000002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103"/>
        <v>0304-02</v>
      </c>
      <c r="AE192" s="85" t="str">
        <f t="shared" si="104"/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AF192" s="82" t="str">
        <f t="shared" si="105"/>
        <v>"C:\Program Files (x86)\AstroGrep\AstroGrep.exe" /e /r /s /spath="%USERPROFILE%\AppData\Local\Temp\OnboardLogs" /stypes="app*4026*20170402*" /stext=" 09:.+((SYSTEM_STATE.+slice.+state.+changed )|(ment ac)|(multiple cpu faults)|(system.+state.+changed )|(\[timeout)|(PRM\|1\|D)|(kpr)|(kdp)|(\|lc)|(penalty))"</v>
      </c>
      <c r="AG192" s="1" t="str">
        <f t="shared" si="106"/>
        <v>Other</v>
      </c>
      <c r="AH192" s="86" t="str">
        <f t="shared" si="87"/>
        <v>"%USERPROFILE%\Documents\GitHub\eaglep3\Utilities\RefineRTDCRunTimes.py" --tripid 304-02 --locoid 4026 --swversion DE.1.0.9.0 --startMP 300:23332 --initTime 2017-04-02T03:16:58 --startdatetime 2017-04-02T03:21:45 --delay 4 --endMP 204:149 --enddatetime 2017-04-02T03:30:42 --enforcementcount 0 &gt;&gt;C:\Users\stu\Documents\GitHub\eaglep3-reporting\EC\2017-04-02-refined-times.txt</v>
      </c>
      <c r="AI192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{"issue":{"subject":"","project_id":79,"tracker_id":40,"status_id":1,"priority_id":2,"assigned_to_id":23,"start_date":"2017-04-02","description":"","custom_fields":[{"id":1,"name":"Subdivision","value":"Other"},{"id":4,"name":"Milepost","value":"0.0149"},{"id":17,"name":"Train ID","value":"304-02"},{"id":16,"name":"Locomotive ID","value":"4026"},{"id":130,"name":"Impact","value":""},{"id":150,"name":"Time of Event (Mountain Time)","value":"03:30:42"},{"id":151,"name":"Denver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89"/>
        <v>start /low /b %USERPROFILE%\Documents\GitHub\eaglep3\Utilities\DownloadLogsFromS3.py --loco 4026 --day 2017-04-02</v>
      </c>
      <c r="AN192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09:30:42"},{"id":29,"name":"Sharepoint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s="20" customFormat="1" x14ac:dyDescent="0.25">
      <c r="A193" s="33" t="s">
        <v>794</v>
      </c>
      <c r="B193" s="7">
        <v>4020</v>
      </c>
      <c r="C193" s="21" t="s">
        <v>217</v>
      </c>
      <c r="D193" s="21" t="s">
        <v>577</v>
      </c>
      <c r="E193" s="13">
        <v>42827.797407407408</v>
      </c>
      <c r="F193" s="13">
        <v>42827.798425925925</v>
      </c>
      <c r="G193" s="7">
        <v>1</v>
      </c>
      <c r="H193" s="21" t="s">
        <v>937</v>
      </c>
      <c r="I193" s="13">
        <v>25568.708333333332</v>
      </c>
      <c r="J193" s="7">
        <v>0</v>
      </c>
      <c r="K193" s="97" t="str">
        <f t="shared" si="93"/>
        <v>4019/4020</v>
      </c>
      <c r="L193" s="21" t="str">
        <f>VLOOKUP(A193,'Trips&amp;Operators'!$C$1:$G$99999,5,FALSE)</f>
        <v>LOCKLEAR TRAVIS</v>
      </c>
      <c r="M193" s="6">
        <f t="shared" si="94"/>
        <v>-17259.090092592593</v>
      </c>
      <c r="N193" s="7">
        <f t="shared" si="95"/>
        <v>-24853089.733333334</v>
      </c>
      <c r="O193" s="7"/>
      <c r="P193" s="7"/>
      <c r="Q193" s="22"/>
      <c r="R193" s="22"/>
      <c r="S193" s="31">
        <f t="shared" si="96"/>
        <v>1</v>
      </c>
      <c r="T193" s="46" t="str">
        <f t="shared" si="97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98"/>
        <v>https://d0f6bd738d7f1b3e5a7ca70fe4ff75f0.us-east-1.aws.found.io/app/kibana#/discover/Steve-Slow-Train-Analysis-(2080s-and-2083s)?_g=(refreshInterval:(display:Off,pause:!f,section:0,value:0),time:(from:'2017-04-02T18:08:16-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3" s="183" t="str">
        <f t="shared" si="99"/>
        <v>Y</v>
      </c>
      <c r="X193" s="183">
        <f t="shared" si="92"/>
        <v>1</v>
      </c>
      <c r="Y193" s="62">
        <f t="shared" si="100"/>
        <v>4.7100000000000003E-2</v>
      </c>
      <c r="Z193" s="62">
        <f t="shared" si="101"/>
        <v>2.3306</v>
      </c>
      <c r="AA193" s="62">
        <f t="shared" si="102"/>
        <v>2.2835000000000001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103"/>
        <v>0305-02</v>
      </c>
      <c r="AE193" s="85" t="str">
        <f t="shared" si="104"/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AF193" s="82" t="str">
        <f t="shared" si="105"/>
        <v>"C:\Program Files (x86)\AstroGrep\AstroGrep.exe" /e /r /s /spath="%USERPROFILE%\AppData\Local\Temp\OnboardLogs" /stypes="app*4020*19691231*" /stext=" 23:.+((SYSTEM_STATE.+slice.+state.+changed )|(ment ac)|(multiple cpu faults)|(system.+state.+changed )|(\[timeout)|(PRM\|1\|D)|(kpr)|(kdp)|(\|lc)|(penalty))"</v>
      </c>
      <c r="AG193" s="1" t="str">
        <f t="shared" si="106"/>
        <v>Other</v>
      </c>
      <c r="AH193" s="86" t="str">
        <f t="shared" si="87"/>
        <v>"%USERPROFILE%\Documents\GitHub\eaglep3\Utilities\RefineRTDCRunTimes.py" --tripid 305-02 --locoid 4020 --swversion DE.1.0.9.0 --startMP 204:471 --initTime 2017-04-02T19:08:16 --startdatetime 2017-04-02T19:09:44 --delay 1 --endMP 300:23306 --enddatetime 1969-12-31T17:00:00 --enforcementcount 0 &gt;&gt;C:\Users\stu\Documents\GitHub\eaglep3-reporting\EC\2017-04-02-refined-times.txt</v>
      </c>
      <c r="AI193" s="104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ID","value":"305-02"},{"id":16,"name":"Locomotive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8"/>
      <c r="AL193" s="48"/>
      <c r="AM193" s="150" t="str">
        <f t="shared" si="89"/>
        <v>start /low /b %USERPROFILE%\Documents\GitHub\eaglep3\Utilities\DownloadLogsFromS3.py --loco 4020 --day 2017-04-02</v>
      </c>
      <c r="AN193" s="159" t="str">
        <f t="shared" si="9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651</v>
      </c>
      <c r="B194" s="7">
        <v>4013</v>
      </c>
      <c r="C194" s="21" t="s">
        <v>217</v>
      </c>
      <c r="D194" s="21" t="s">
        <v>938</v>
      </c>
      <c r="E194" s="13">
        <v>42827.156458333331</v>
      </c>
      <c r="F194" s="13">
        <v>42827.159733796296</v>
      </c>
      <c r="G194" s="7">
        <v>4</v>
      </c>
      <c r="H194" s="21" t="s">
        <v>939</v>
      </c>
      <c r="I194" s="13">
        <v>42827.164907407408</v>
      </c>
      <c r="J194" s="7">
        <v>0</v>
      </c>
      <c r="K194" s="97" t="str">
        <f t="shared" si="93"/>
        <v>4013/4014</v>
      </c>
      <c r="L194" s="21" t="str">
        <f>VLOOKUP(A194,'Trips&amp;Operators'!$C$1:$G$99999,5,FALSE)</f>
        <v>DELGADO DIANAH</v>
      </c>
      <c r="M194" s="6">
        <f t="shared" si="94"/>
        <v>5.173611112695653E-3</v>
      </c>
      <c r="N194" s="7">
        <f t="shared" si="95"/>
        <v>7.4500000022817403</v>
      </c>
      <c r="O194" s="7"/>
      <c r="P194" s="7"/>
      <c r="Q194" s="22"/>
      <c r="R194" s="22"/>
      <c r="S194" s="31">
        <f t="shared" si="96"/>
        <v>1</v>
      </c>
      <c r="T194" s="46" t="str">
        <f t="shared" si="97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98"/>
        <v>https://d0f6bd738d7f1b3e5a7ca70fe4ff75f0.us-east-1.aws.found.io/app/kibana#/discover/Steve-Slow-Train-Analysis-(2080s-and-2083s)?_g=(refreshInterval:(display:Off,pause:!f,section:0,value:0),time:(from:'2017-04-02T02:45:18-0600',mode:absolute,to:'2017-04-02T04:57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83" t="str">
        <f t="shared" si="99"/>
        <v>Y</v>
      </c>
      <c r="X194" s="183">
        <f t="shared" si="92"/>
        <v>1</v>
      </c>
      <c r="Y194" s="62">
        <f t="shared" si="100"/>
        <v>2.2292999999999998</v>
      </c>
      <c r="Z194" s="62">
        <f t="shared" si="101"/>
        <v>9.4000000000000004E-3</v>
      </c>
      <c r="AA194" s="62">
        <f t="shared" si="102"/>
        <v>2.2199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103"/>
        <v>0306-02</v>
      </c>
      <c r="AE194" s="85" t="str">
        <f t="shared" si="104"/>
        <v>aws s3 cp s3://rtdc.mdm.uploadarchive.raw/RTDC4013/ "%USERPROFILE%\AppData\Local\Temp\OnboardLogs"\RTDC4013\2017-04-02 --exclude "*" --recursive --include "*20170402*" &amp; "%USERPROFILE%\Documents\GitHub\mrs-test-scripts\Headless Mode &amp; Sideloading\WalkAndUnGZ.bat" "%USERPROFILE%\AppData\Local\Temp\OnboardLogs"\RTDC4013\2017-04-02 &amp; 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</v>
      </c>
      <c r="AF194" s="82" t="str">
        <f t="shared" si="105"/>
        <v>"C:\Program Files (x86)\AstroGrep\AstroGrep.exe" /e /r /s /spath="%USERPROFILE%\AppData\Local\Temp\OnboardLogs" /stypes="app*4013*20170402*" /stext=" 09:.+((SYSTEM_STATE.+slice.+state.+changed )|(ment ac)|(multiple cpu faults)|(system.+state.+changed )|(\[timeout)|(PRM\|1\|D)|(kpr)|(kdp)|(\|lc)|(penalty))"</v>
      </c>
      <c r="AG194" s="1" t="str">
        <f t="shared" si="106"/>
        <v>Other</v>
      </c>
      <c r="AH194" s="86" t="str">
        <f t="shared" si="87"/>
        <v>"%USERPROFILE%\Documents\GitHub\eaglep3\Utilities\RefineRTDCRunTimes.py" --tripid 306-02 --locoid 4013 --swversion DE.1.0.9.0 --startMP 300:22293 --initTime 2017-04-02T03:45:18 --startdatetime 2017-04-02T03:50:01 --delay 4 --endMP 204:94 --enddatetime 2017-04-02T03:57:28 --enforcementcount 0 &gt;&gt;C:\Users\stu\Documents\GitHub\eaglep3-reporting\EC\2017-04-02-refined-times.txt</v>
      </c>
      <c r="AI194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{"issue":{"subject":"","project_id":79,"tracker_id":40,"status_id":1,"priority_id":2,"assigned_to_id":23,"start_date":"2017-04-02","description":"","custom_fields":[{"id":1,"name":"Subdivision","value":"Other"},{"id":4,"name":"Milepost","value":"0.0094"},{"id":17,"name":"Train ID","value":"306-02"},{"id":16,"name":"Locomotive ID","value":"4013"},{"id":130,"name":"Impact","value":""},{"id":150,"name":"Time of Event (Mountain Time)","value":"03:57:28"},{"id":151,"name":"Denver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89"/>
        <v>start /low /b %USERPROFILE%\Documents\GitHub\eaglep3\Utilities\DownloadLogsFromS3.py --loco 4013 --day 2017-04-02</v>
      </c>
      <c r="AN194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09:57:28"},{"id":29,"name":"Sharepoint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798</v>
      </c>
      <c r="B195" s="7">
        <v>4025</v>
      </c>
      <c r="C195" s="21" t="s">
        <v>217</v>
      </c>
      <c r="D195" s="21" t="s">
        <v>211</v>
      </c>
      <c r="E195" s="13">
        <v>42827.818437499998</v>
      </c>
      <c r="F195" s="13">
        <v>42827.819837962961</v>
      </c>
      <c r="G195" s="7">
        <v>1</v>
      </c>
      <c r="H195" s="21" t="s">
        <v>940</v>
      </c>
      <c r="I195" s="13">
        <v>42827.825682870367</v>
      </c>
      <c r="J195" s="7">
        <v>0</v>
      </c>
      <c r="K195" s="97" t="str">
        <f t="shared" si="93"/>
        <v>4025/4026</v>
      </c>
      <c r="L195" s="21" t="str">
        <f>VLOOKUP(A195,'Trips&amp;Operators'!$C$1:$G$99999,5,FALSE)</f>
        <v>BRANDNER MELINDA</v>
      </c>
      <c r="M195" s="6">
        <f t="shared" si="94"/>
        <v>5.8449074058444239E-3</v>
      </c>
      <c r="N195" s="7">
        <f t="shared" si="95"/>
        <v>8.4166666644159704</v>
      </c>
      <c r="O195" s="7"/>
      <c r="P195" s="7"/>
      <c r="Q195" s="22"/>
      <c r="R195" s="22"/>
      <c r="S195" s="31">
        <f t="shared" si="96"/>
        <v>1</v>
      </c>
      <c r="T195" s="46" t="str">
        <f t="shared" si="97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98"/>
        <v>https://d0f6bd738d7f1b3e5a7ca70fe4ff75f0.us-east-1.aws.found.io/app/kibana#/discover/Steve-Slow-Train-Analysis-(2080s-and-2083s)?_g=(refreshInterval:(display:Off,pause:!f,section:0,value:0),time:(from:'2017-04-02T18:38:33-0600',mode:absolute,to:'2017-04-02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83" t="str">
        <f t="shared" si="99"/>
        <v>Y</v>
      </c>
      <c r="X195" s="183">
        <f t="shared" si="92"/>
        <v>1</v>
      </c>
      <c r="Y195" s="62">
        <f t="shared" si="100"/>
        <v>4.53E-2</v>
      </c>
      <c r="Z195" s="62">
        <f t="shared" si="101"/>
        <v>2.3026</v>
      </c>
      <c r="AA195" s="62">
        <f t="shared" si="102"/>
        <v>2.2572999999999999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103"/>
        <v>0307-02</v>
      </c>
      <c r="AE195" s="85" t="str">
        <f t="shared" si="104"/>
        <v>aws s3 cp s3://rtdc.mdm.uploadarchive.raw/RTDC4025/ "%USERPROFILE%\AppData\Local\Temp\OnboardLogs"\RTDC4025\2017-04-02 --exclude "*" --recursive --include "*20170402*" &amp; "%USERPROFILE%\Documents\GitHub\mrs-test-scripts\Headless Mode &amp; Sideloading\WalkAndUnGZ.bat" "%USERPROFILE%\AppData\Local\Temp\OnboardLogs"\RTDC4025\2017-04-02 &amp; aws s3 cp s3://rtdc.mdm.uploadarchive.raw/RTDC4025/ "%USERPROFILE%\AppData\Local\Temp\OnboardLogs"\RTDC4025\2017-04-03 --exclude "*" --recursive --include "*20170403*" &amp; "%USERPROFILE%\Documents\GitHub\mrs-test-scripts\Headless Mode &amp; Sideloading\WalkAndUnGZ.bat" "%USERPROFILE%\AppData\Local\Temp\OnboardLogs"\RTDC4025\2017-04-03</v>
      </c>
      <c r="AF195" s="82" t="str">
        <f t="shared" si="105"/>
        <v>"C:\Program Files (x86)\AstroGrep\AstroGrep.exe" /e /r /s /spath="%USERPROFILE%\AppData\Local\Temp\OnboardLogs" /stypes="app*4025*20170403*" /stext=" 01:.+((SYSTEM_STATE.+slice.+state.+changed )|(ment ac)|(multiple cpu faults)|(system.+state.+changed )|(\[timeout)|(PRM\|1\|D)|(kpr)|(kdp)|(\|lc)|(penalty))"</v>
      </c>
      <c r="AG195" s="1" t="str">
        <f t="shared" si="106"/>
        <v>Other</v>
      </c>
      <c r="AH195" s="86" t="str">
        <f t="shared" si="87"/>
        <v>"%USERPROFILE%\Documents\GitHub\eaglep3\Utilities\RefineRTDCRunTimes.py" --tripid 307-02 --locoid 4025 --swversion DE.1.0.9.0 --startMP 204:453 --initTime 2017-04-02T19:38:33 --startdatetime 2017-04-02T19:40:34 --delay 1 --endMP 300:23026 --enddatetime 2017-04-02T19:48:59 --enforcementcount 0 &gt;&gt;C:\Users\stu\Documents\GitHub\eaglep3-reporting\EC\2017-04-02-refined-times.txt</v>
      </c>
      <c r="AI195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{"issue":{"subject":"","project_id":79,"tracker_id":40,"status_id":1,"priority_id":2,"assigned_to_id":23,"start_date":"2017-04-02","description":"","custom_fields":[{"id":1,"name":"Subdivision","value":"Other"},{"id":4,"name":"Milepost","value":"2.3026"},{"id":17,"name":"Train ID","value":"307-02"},{"id":16,"name":"Locomotive ID","value":"4025"},{"id":130,"name":"Impact","value":""},{"id":150,"name":"Time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89"/>
        <v>start /low /b %USERPROFILE%\Documents\GitHub\eaglep3\Utilities\DownloadLogsFromS3.py --loco 4025 --day 2017-04-02</v>
      </c>
      <c r="AN195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01:48:59"},{"id":29,"name":"Sharepoint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655</v>
      </c>
      <c r="B196" s="7">
        <v>4009</v>
      </c>
      <c r="C196" s="21" t="s">
        <v>217</v>
      </c>
      <c r="D196" s="21" t="s">
        <v>941</v>
      </c>
      <c r="E196" s="13">
        <v>42827.176527777781</v>
      </c>
      <c r="F196" s="13">
        <v>42827.179016203707</v>
      </c>
      <c r="G196" s="7">
        <v>3</v>
      </c>
      <c r="H196" s="21" t="s">
        <v>199</v>
      </c>
      <c r="I196" s="13">
        <v>42827.186851851853</v>
      </c>
      <c r="J196" s="7">
        <v>0</v>
      </c>
      <c r="K196" s="97" t="str">
        <f t="shared" si="93"/>
        <v>4009/4010</v>
      </c>
      <c r="L196" s="21" t="str">
        <f>VLOOKUP(A196,'Trips&amp;Operators'!$C$1:$G$99999,5,FALSE)</f>
        <v>DAVIS WENDY</v>
      </c>
      <c r="M196" s="6">
        <f t="shared" si="94"/>
        <v>7.8356481462833472E-3</v>
      </c>
      <c r="N196" s="7">
        <f t="shared" si="95"/>
        <v>11.28333333064802</v>
      </c>
      <c r="O196" s="7"/>
      <c r="P196" s="7"/>
      <c r="Q196" s="22"/>
      <c r="R196" s="22"/>
      <c r="S196" s="31">
        <f t="shared" si="96"/>
        <v>1</v>
      </c>
      <c r="T196" s="46" t="str">
        <f t="shared" si="97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98"/>
        <v>https://d0f6bd738d7f1b3e5a7ca70fe4ff75f0.us-east-1.aws.found.io/app/kibana#/discover/Steve-Slow-Train-Analysis-(2080s-and-2083s)?_g=(refreshInterval:(display:Off,pause:!f,section:0,value:0),time:(from:'2017-04-02T03:14:12-0600',mode:absolute,to:'2017-04-02T05:29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6" s="183" t="str">
        <f t="shared" si="99"/>
        <v>Y</v>
      </c>
      <c r="X196" s="183">
        <f t="shared" si="92"/>
        <v>1</v>
      </c>
      <c r="Y196" s="62">
        <f t="shared" si="100"/>
        <v>2.3610000000000002</v>
      </c>
      <c r="Z196" s="62">
        <f t="shared" si="101"/>
        <v>1.52E-2</v>
      </c>
      <c r="AA196" s="62">
        <f t="shared" si="102"/>
        <v>2.3458000000000001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103"/>
        <v>0308-02</v>
      </c>
      <c r="AE196" s="85" t="str">
        <f t="shared" si="104"/>
        <v>aws s3 cp s3://rtdc.mdm.uploadarchive.raw/RTDC4009/ "%USERPROFILE%\AppData\Local\Temp\OnboardLogs"\RTDC4009\2017-04-02 --exclude "*" --recursive --include "*20170402*" &amp; "%USERPROFILE%\Documents\GitHub\mrs-test-scripts\Headless Mode &amp; Sideloading\WalkAndUnGZ.bat" "%USERPROFILE%\AppData\Local\Temp\OnboardLogs"\RTDC4009\2017-04-02 &amp; aws s3 cp s3://rtdc.mdm.uploadarchive.raw/RTDC4009/ "%USERPROFILE%\AppData\Local\Temp\OnboardLogs"\RTDC4009\2017-04-03 --exclude "*" --recursive --include "*20170403*" &amp; "%USERPROFILE%\Documents\GitHub\mrs-test-scripts\Headless Mode &amp; Sideloading\WalkAndUnGZ.bat" "%USERPROFILE%\AppData\Local\Temp\OnboardLogs"\RTDC4009\2017-04-03</v>
      </c>
      <c r="AF196" s="82" t="str">
        <f t="shared" si="105"/>
        <v>"C:\Program Files (x86)\AstroGrep\AstroGrep.exe" /e /r /s /spath="%USERPROFILE%\AppData\Local\Temp\OnboardLogs" /stypes="app*4009*20170402*" /stext=" 10:.+((SYSTEM_STATE.+slice.+state.+changed )|(ment ac)|(multiple cpu faults)|(system.+state.+changed )|(\[timeout)|(PRM\|1\|D)|(kpr)|(kdp)|(\|lc)|(penalty))"</v>
      </c>
      <c r="AG196" s="1" t="str">
        <f t="shared" si="106"/>
        <v>Other</v>
      </c>
      <c r="AH196" s="86" t="str">
        <f t="shared" si="87"/>
        <v>"%USERPROFILE%\Documents\GitHub\eaglep3\Utilities\RefineRTDCRunTimes.py" --tripid 308-02 --locoid 4009 --swversion DE.1.0.9.0 --startMP 300:23610 --initTime 2017-04-02T04:14:12 --startdatetime 2017-04-02T04:17:47 --delay 3 --endMP 204:152 --enddatetime 2017-04-02T04:29:04 --enforcementcount 0 &gt;&gt;C:\Users\stu\Documents\GitHub\eaglep3-reporting\EC\2017-04-02-refined-times.txt</v>
      </c>
      <c r="AI196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{"issue":{"subject":"","project_id":79,"tracker_id":40,"status_id":1,"priority_id":2,"assigned_to_id":23,"start_date":"2017-04-02","description":"","custom_fields":[{"id":1,"name":"Subdivision","value":"Other"},{"id":4,"name":"Milepost","value":"0.0152"},{"id":17,"name":"Train ID","value":"308-02"},{"id":16,"name":"Locomotive ID","value":"4009"},{"id":130,"name":"Impact","value":""},{"id":150,"name":"Time of Event (Mountain Time)","value":"04:29:04"},{"id":151,"name":"Denver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89"/>
        <v>start /low /b %USERPROFILE%\Documents\GitHub\eaglep3\Utilities\DownloadLogsFromS3.py --loco 4009 --day 2017-04-02</v>
      </c>
      <c r="AN196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10:29:04"},{"id":29,"name":"Sharepoint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826</v>
      </c>
      <c r="B197" s="7">
        <v>4002</v>
      </c>
      <c r="C197" s="21" t="s">
        <v>217</v>
      </c>
      <c r="D197" s="21" t="s">
        <v>457</v>
      </c>
      <c r="E197" s="13">
        <v>42828.047627314816</v>
      </c>
      <c r="F197" s="13">
        <v>42828.053032407406</v>
      </c>
      <c r="G197" s="7">
        <v>1</v>
      </c>
      <c r="H197" s="21" t="s">
        <v>598</v>
      </c>
      <c r="I197" s="13">
        <v>42828.05878472222</v>
      </c>
      <c r="J197" s="7">
        <v>0</v>
      </c>
      <c r="K197" s="97" t="str">
        <f t="shared" si="93"/>
        <v>4001/4002</v>
      </c>
      <c r="L197" s="21" t="str">
        <f>VLOOKUP(A197,'Trips&amp;Operators'!$C$1:$G$99999,5,FALSE)</f>
        <v>SAFIEF AEIMEN</v>
      </c>
      <c r="M197" s="6">
        <f t="shared" si="94"/>
        <v>5.7523148134350777E-3</v>
      </c>
      <c r="N197" s="7">
        <f t="shared" si="95"/>
        <v>8.2833333313465118</v>
      </c>
      <c r="O197" s="7"/>
      <c r="P197" s="7"/>
      <c r="Q197" s="22"/>
      <c r="R197" s="22"/>
      <c r="S197" s="31">
        <f t="shared" si="96"/>
        <v>1</v>
      </c>
      <c r="T197" s="46" t="str">
        <f t="shared" si="97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98"/>
        <v>https://d0f6bd738d7f1b3e5a7ca70fe4ff75f0.us-east-1.aws.found.io/app/kibana#/discover/Steve-Slow-Train-Analysis-(2080s-and-2083s)?_g=(refreshInterval:(display:Off,pause:!f,section:0,value:0),time:(from:'2017-04-03T00:08:35-0600',mode:absolute,to:'2017-04-03T02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183" t="str">
        <f t="shared" si="99"/>
        <v>Y</v>
      </c>
      <c r="X197" s="183">
        <f t="shared" si="92"/>
        <v>1</v>
      </c>
      <c r="Y197" s="62">
        <f t="shared" si="100"/>
        <v>4.4400000000000002E-2</v>
      </c>
      <c r="Z197" s="62">
        <f t="shared" si="101"/>
        <v>2.3300999999999998</v>
      </c>
      <c r="AA197" s="62">
        <f t="shared" si="102"/>
        <v>2.2856999999999998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103"/>
        <v>0309-02</v>
      </c>
      <c r="AE197" s="85" t="str">
        <f t="shared" si="104"/>
        <v>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 &amp; aws s3 cp s3://rtdc.mdm.uploadarchive.raw/RTDC4002/ "%USERPROFILE%\AppData\Local\Temp\OnboardLogs"\RTDC4002\2017-04-04 --exclude "*" --recursive --include "*20170404*" &amp; "%USERPROFILE%\Documents\GitHub\mrs-test-scripts\Headless Mode &amp; Sideloading\WalkAndUnGZ.bat" "%USERPROFILE%\AppData\Local\Temp\OnboardLogs"\RTDC4002\2017-04-04</v>
      </c>
      <c r="AF197" s="82" t="str">
        <f t="shared" si="105"/>
        <v>"C:\Program Files (x86)\AstroGrep\AstroGrep.exe" /e /r /s /spath="%USERPROFILE%\AppData\Local\Temp\OnboardLogs" /stypes="app*4002*20170403*" /stext=" 07:.+((SYSTEM_STATE.+slice.+state.+changed )|(ment ac)|(multiple cpu faults)|(system.+state.+changed )|(\[timeout)|(PRM\|1\|D)|(kpr)|(kdp)|(\|lc)|(penalty))"</v>
      </c>
      <c r="AG197" s="1" t="str">
        <f t="shared" si="106"/>
        <v>Other</v>
      </c>
      <c r="AH197" s="86" t="str">
        <f t="shared" si="87"/>
        <v>"%USERPROFILE%\Documents\GitHub\eaglep3\Utilities\RefineRTDCRunTimes.py" --tripid 309-02 --locoid 4002 --swversion DE.1.0.9.0 --startMP 204:444 --initTime 2017-04-03T01:08:35 --startdatetime 2017-04-03T01:16:22 --delay 1 --endMP 300:23301 --enddatetime 2017-04-03T01:24:39 --enforcementcount 0 &gt;&gt;C:\Users\stu\Documents\GitHub\eaglep3-reporting\EC\2017-04-02-refined-times.txt</v>
      </c>
      <c r="AI197" s="104" t="str">
        <f t="shared" si="88"/>
        <v>echo {"issue":{"subject":"","project_id":79,"tracker_id":40,"status_id":1,"priority_id":2,"assigned_to_id":23,"start_date":"2017-04-03","description":"","custom_fields":[{"id":1,"name":"Subdivision","value":"Other"},{"id":4,"name":"Milepost","value":"2.3301"},{"id":17,"name":"Train ID","value":"309-02"},{"id":16,"name":"Locomotive ID","value":"4002"},{"id":130,"name":"Impact","value":""},{"id":150,"name":"Time of Event (Mountain Time)","value":"01:24:39"},{"id":151,"name":"Denver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89"/>
        <v>start /low /b %USERPROFILE%\Documents\GitHub\eaglep3\Utilities\DownloadLogsFromS3.py --loco 4002 --day 2017-04-03</v>
      </c>
      <c r="AN197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07:24:39"},{"id":29,"name":"Sharepoint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658</v>
      </c>
      <c r="B198" s="7">
        <v>4012</v>
      </c>
      <c r="C198" s="21" t="s">
        <v>217</v>
      </c>
      <c r="D198" s="21" t="s">
        <v>942</v>
      </c>
      <c r="E198" s="13">
        <v>42827.181134259263</v>
      </c>
      <c r="F198" s="13">
        <v>42827.184247685182</v>
      </c>
      <c r="G198" s="7">
        <v>4</v>
      </c>
      <c r="H198" s="21" t="s">
        <v>943</v>
      </c>
      <c r="I198" s="13">
        <v>42827.191516203704</v>
      </c>
      <c r="J198" s="7">
        <v>0</v>
      </c>
      <c r="K198" s="97" t="str">
        <f t="shared" si="93"/>
        <v>4011/4012</v>
      </c>
      <c r="L198" s="21" t="str">
        <f>VLOOKUP(A198,'Trips&amp;Operators'!$C$1:$G$99999,5,FALSE)</f>
        <v>ROBINSON KADDIBA</v>
      </c>
      <c r="M198" s="6">
        <f t="shared" si="94"/>
        <v>7.2685185223235749E-3</v>
      </c>
      <c r="N198" s="7">
        <f t="shared" si="95"/>
        <v>10.466666672145948</v>
      </c>
      <c r="O198" s="7"/>
      <c r="P198" s="7"/>
      <c r="Q198" s="22"/>
      <c r="R198" s="22"/>
      <c r="S198" s="31">
        <f t="shared" si="96"/>
        <v>1</v>
      </c>
      <c r="T198" s="46" t="str">
        <f t="shared" si="97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98"/>
        <v>https://d0f6bd738d7f1b3e5a7ca70fe4ff75f0.us-east-1.aws.found.io/app/kibana#/discover/Steve-Slow-Train-Analysis-(2080s-and-2083s)?_g=(refreshInterval:(display:Off,pause:!f,section:0,value:0),time:(from:'2017-04-02T03:20:50-0600',mode:absolute,to:'2017-04-02T05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8" s="183" t="str">
        <f t="shared" si="99"/>
        <v>Y</v>
      </c>
      <c r="X198" s="183">
        <f t="shared" si="92"/>
        <v>1</v>
      </c>
      <c r="Y198" s="62">
        <f t="shared" si="100"/>
        <v>2.347</v>
      </c>
      <c r="Z198" s="62">
        <f t="shared" si="101"/>
        <v>1.2500000000000001E-2</v>
      </c>
      <c r="AA198" s="62">
        <f t="shared" si="102"/>
        <v>2.3344999999999998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103"/>
        <v>0310-02</v>
      </c>
      <c r="AE198" s="85" t="str">
        <f t="shared" si="104"/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AF198" s="82" t="str">
        <f t="shared" si="105"/>
        <v>"C:\Program Files (x86)\AstroGrep\AstroGrep.exe" /e /r /s /spath="%USERPROFILE%\AppData\Local\Temp\OnboardLogs" /stypes="app*4012*20170402*" /stext=" 10:.+((SYSTEM_STATE.+slice.+state.+changed )|(ment ac)|(multiple cpu faults)|(system.+state.+changed )|(\[timeout)|(PRM\|1\|D)|(kpr)|(kdp)|(\|lc)|(penalty))"</v>
      </c>
      <c r="AG198" s="1" t="str">
        <f t="shared" si="106"/>
        <v>Other</v>
      </c>
      <c r="AH198" s="86" t="str">
        <f t="shared" si="87"/>
        <v>"%USERPROFILE%\Documents\GitHub\eaglep3\Utilities\RefineRTDCRunTimes.py" --tripid 310-02 --locoid 4012 --swversion DE.1.0.9.0 --startMP 300:23470 --initTime 2017-04-02T04:20:50 --startdatetime 2017-04-02T04:25:19 --delay 4 --endMP 204:125 --enddatetime 2017-04-02T04:35:47 --enforcementcount 0 &gt;&gt;C:\Users\stu\Documents\GitHub\eaglep3-reporting\EC\2017-04-02-refined-times.txt</v>
      </c>
      <c r="AI198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{"issue":{"subject":"","project_id":79,"tracker_id":40,"status_id":1,"priority_id":2,"assigned_to_id":23,"start_date":"2017-04-02","description":"","custom_fields":[{"id":1,"name":"Subdivision","value":"Other"},{"id":4,"name":"Milepost","value":"0.0125"},{"id":17,"name":"Train ID","value":"310-02"},{"id":16,"name":"Locomotive ID","value":"4012"},{"id":130,"name":"Impact","value":""},{"id":150,"name":"Time of Event (Mountain Time)","value":"04:35:47"},{"id":151,"name":"Denver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89"/>
        <v>start /low /b %USERPROFILE%\Documents\GitHub\eaglep3\Utilities\DownloadLogsFromS3.py --loco 4012 --day 2017-04-02</v>
      </c>
      <c r="AN198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10:35:47"},{"id":29,"name":"Sharepoint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828</v>
      </c>
      <c r="B199" s="7">
        <v>4054</v>
      </c>
      <c r="C199" s="21" t="s">
        <v>217</v>
      </c>
      <c r="D199" s="21" t="s">
        <v>475</v>
      </c>
      <c r="E199" s="13">
        <v>42828.068726851852</v>
      </c>
      <c r="F199" s="13">
        <v>42828.071423611109</v>
      </c>
      <c r="G199" s="7">
        <v>1</v>
      </c>
      <c r="H199" s="21" t="s">
        <v>944</v>
      </c>
      <c r="I199" s="13">
        <v>42828.077222222222</v>
      </c>
      <c r="J199" s="7">
        <v>0</v>
      </c>
      <c r="K199" s="97" t="str">
        <f t="shared" si="93"/>
        <v>4053/4054</v>
      </c>
      <c r="L199" s="21" t="str">
        <f>VLOOKUP(A199,'Trips&amp;Operators'!$C$1:$G$99999,5,FALSE)</f>
        <v>SMITH MICHAEL</v>
      </c>
      <c r="M199" s="6">
        <f t="shared" si="94"/>
        <v>5.7986111132777296E-3</v>
      </c>
      <c r="N199" s="7">
        <f t="shared" si="95"/>
        <v>8.3500000031199306</v>
      </c>
      <c r="O199" s="7"/>
      <c r="P199" s="7"/>
      <c r="Q199" s="22"/>
      <c r="R199" s="22"/>
      <c r="S199" s="31">
        <f t="shared" si="96"/>
        <v>1</v>
      </c>
      <c r="T199" s="46" t="str">
        <f t="shared" si="97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98"/>
        <v>https://d0f6bd738d7f1b3e5a7ca70fe4ff75f0.us-east-1.aws.found.io/app/kibana#/discover/Steve-Slow-Train-Analysis-(2080s-and-2083s)?_g=(refreshInterval:(display:Off,pause:!f,section:0,value:0),time:(from:'2017-04-03T00:38:58-0600',mode:absolute,to:'2017-04-03T02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9" s="183" t="str">
        <f t="shared" si="99"/>
        <v>Y</v>
      </c>
      <c r="X199" s="183">
        <f t="shared" si="92"/>
        <v>1</v>
      </c>
      <c r="Y199" s="62">
        <f t="shared" si="100"/>
        <v>4.6199999999999998E-2</v>
      </c>
      <c r="Z199" s="62">
        <f t="shared" si="101"/>
        <v>2.3294999999999999</v>
      </c>
      <c r="AA199" s="62">
        <f t="shared" si="102"/>
        <v>2.2833000000000001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103"/>
        <v>0311-02</v>
      </c>
      <c r="AE199" s="85" t="str">
        <f t="shared" si="104"/>
        <v>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 &amp; aws s3 cp s3://rtdc.mdm.uploadarchive.raw/RTDC4054/ "%USERPROFILE%\AppData\Local\Temp\OnboardLogs"\RTDC4054\2017-04-04 --exclude "*" --recursive --include "*20170404*" &amp; "%USERPROFILE%\Documents\GitHub\mrs-test-scripts\Headless Mode &amp; Sideloading\WalkAndUnGZ.bat" "%USERPROFILE%\AppData\Local\Temp\OnboardLogs"\RTDC4054\2017-04-04</v>
      </c>
      <c r="AF199" s="82" t="str">
        <f t="shared" si="105"/>
        <v>"C:\Program Files (x86)\AstroGrep\AstroGrep.exe" /e /r /s /spath="%USERPROFILE%\AppData\Local\Temp\OnboardLogs" /stypes="app*4054*20170403*" /stext=" 07:.+((SYSTEM_STATE.+slice.+state.+changed )|(ment ac)|(multiple cpu faults)|(system.+state.+changed )|(\[timeout)|(PRM\|1\|D)|(kpr)|(kdp)|(\|lc)|(penalty))"</v>
      </c>
      <c r="AG199" s="1" t="str">
        <f t="shared" si="106"/>
        <v>Other</v>
      </c>
      <c r="AH199" s="86" t="str">
        <f t="shared" si="87"/>
        <v>"%USERPROFILE%\Documents\GitHub\eaglep3\Utilities\RefineRTDCRunTimes.py" --tripid 311-02 --locoid 4054 --swversion DE.1.0.9.0 --startMP 204:462 --initTime 2017-04-03T01:38:58 --startdatetime 2017-04-03T01:42:51 --delay 1 --endMP 300:23295 --enddatetime 2017-04-03T01:51:12 --enforcementcount 0 &gt;&gt;C:\Users\stu\Documents\GitHub\eaglep3-reporting\EC\2017-04-02-refined-times.txt</v>
      </c>
      <c r="AI199" s="104" t="str">
        <f t="shared" si="88"/>
        <v>echo {"issue":{"subject":"","project_id":79,"tracker_id":40,"status_id":1,"priority_id":2,"assigned_to_id":23,"start_date":"2017-04-03","description":"","custom_fields":[{"id":1,"name":"Subdivision","value":"Other"},{"id":4,"name":"Milepost","value":"2.3295"},{"id":17,"name":"Train ID","value":"311-02"},{"id":16,"name":"Locomotive ID","value":"4054"},{"id":130,"name":"Impact","value":""},{"id":150,"name":"Time of Event (Mountain Time)","value":"01:51:12"},{"id":151,"name":"Denver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89"/>
        <v>start /low /b %USERPROFILE%\Documents\GitHub\eaglep3\Utilities\DownloadLogsFromS3.py --loco 4054 --day 2017-04-03</v>
      </c>
      <c r="AN199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07:51:12"},{"id":29,"name":"Sharepoint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641</v>
      </c>
      <c r="B200" s="7">
        <v>4052</v>
      </c>
      <c r="C200" s="21" t="s">
        <v>217</v>
      </c>
      <c r="D200" s="21" t="s">
        <v>206</v>
      </c>
      <c r="E200" s="13">
        <v>42827.090902777774</v>
      </c>
      <c r="F200" s="13">
        <v>42827.092488425929</v>
      </c>
      <c r="G200" s="7">
        <v>1</v>
      </c>
      <c r="H200" s="21" t="s">
        <v>494</v>
      </c>
      <c r="I200" s="13">
        <v>42827.100763888891</v>
      </c>
      <c r="J200" s="7">
        <v>0</v>
      </c>
      <c r="K200" s="97" t="str">
        <f t="shared" si="93"/>
        <v>4051/4052</v>
      </c>
      <c r="L200" s="21" t="str">
        <f>VLOOKUP(A200,'Trips&amp;Operators'!$C$1:$G$99999,5,FALSE)</f>
        <v>SWANSON BRYCE</v>
      </c>
      <c r="M200" s="6">
        <f t="shared" si="94"/>
        <v>8.2754629620467313E-3</v>
      </c>
      <c r="N200" s="7">
        <f t="shared" si="95"/>
        <v>11.916666665347293</v>
      </c>
      <c r="O200" s="7"/>
      <c r="P200" s="7"/>
      <c r="Q200" s="22"/>
      <c r="R200" s="22"/>
      <c r="S200" s="31">
        <f t="shared" si="96"/>
        <v>1</v>
      </c>
      <c r="T200" s="46" t="str">
        <f t="shared" si="97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98"/>
        <v>https://d0f6bd738d7f1b3e5a7ca70fe4ff75f0.us-east-1.aws.found.io/app/kibana#/discover/Steve-Slow-Train-Analysis-(2080s-and-2083s)?_g=(refreshInterval:(display:Off,pause:!f,section:0,value:0),time:(from:'2017-04-02T01:10:54-0600',mode:absolute,to:'2017-04-02T03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0" s="183" t="str">
        <f t="shared" si="99"/>
        <v>Y</v>
      </c>
      <c r="X200" s="183">
        <f t="shared" si="92"/>
        <v>2</v>
      </c>
      <c r="Y200" s="62">
        <f t="shared" si="100"/>
        <v>4.5100000000000001E-2</v>
      </c>
      <c r="Z200" s="62">
        <f t="shared" si="101"/>
        <v>2.3346</v>
      </c>
      <c r="AA200" s="62">
        <f t="shared" si="102"/>
        <v>2.2894999999999999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103"/>
        <v>0313-01</v>
      </c>
      <c r="AE200" s="85" t="str">
        <f t="shared" si="104"/>
        <v>aws s3 cp s3://rtdc.mdm.uploadarchive.raw/RTDC4052/ "%USERPROFILE%\AppData\Local\Temp\OnboardLogs"\RTDC4052\2017-04-02 --exclude "*" --recursive --include "*20170402*" &amp; "%USERPROFILE%\Documents\GitHub\mrs-test-scripts\Headless Mode &amp; Sideloading\WalkAndUnGZ.bat" "%USERPROFILE%\AppData\Local\Temp\OnboardLogs"\RTDC4052\2017-04-02 &amp; 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</v>
      </c>
      <c r="AF200" s="82" t="str">
        <f t="shared" si="105"/>
        <v>"C:\Program Files (x86)\AstroGrep\AstroGrep.exe" /e /r /s /spath="%USERPROFILE%\AppData\Local\Temp\OnboardLogs" /stypes="app*4052*20170402*" /stext=" 08:.+((SYSTEM_STATE.+slice.+state.+changed )|(ment ac)|(multiple cpu faults)|(system.+state.+changed )|(\[timeout)|(PRM\|1\|D)|(kpr)|(kdp)|(\|lc)|(penalty))"</v>
      </c>
      <c r="AG200" s="1" t="str">
        <f t="shared" si="106"/>
        <v>Other</v>
      </c>
      <c r="AH200" s="86" t="str">
        <f t="shared" si="87"/>
        <v>"%USERPROFILE%\Documents\GitHub\eaglep3\Utilities\RefineRTDCRunTimes.py" --tripid 313-01 --locoid 4052 --swversion DE.1.0.9.0 --startMP 204:451 --initTime 2017-04-02T02:10:54 --startdatetime 2017-04-02T02:13:11 --delay 1 --endMP 300:23346 --enddatetime 2017-04-02T02:25:06 --enforcementcount 0 &gt;&gt;C:\Users\stu\Documents\GitHub\eaglep3-reporting\EC\2017-04-02-refined-times.txt</v>
      </c>
      <c r="AI200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{"issue":{"subject":"","project_id":79,"tracker_id":40,"status_id":1,"priority_id":2,"assigned_to_id":23,"start_date":"2017-04-02","description":"","custom_fields":[{"id":1,"name":"Subdivision","value":"Other"},{"id":4,"name":"Milepost","value":"2.3346"},{"id":17,"name":"Train ID","value":"313-01"},{"id":16,"name":"Locomotive ID","value":"4052"},{"id":130,"name":"Impact","value":""},{"id":150,"name":"Time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89"/>
        <v>start /low /b %USERPROFILE%\Documents\GitHub\eaglep3\Utilities\DownloadLogsFromS3.py --loco 4052 --day 2017-04-02</v>
      </c>
      <c r="AN200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08:25:06"},{"id":29,"name":"Sharepoint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829</v>
      </c>
      <c r="B201" s="7">
        <v>4010</v>
      </c>
      <c r="C201" s="21" t="s">
        <v>217</v>
      </c>
      <c r="D201" s="21" t="s">
        <v>851</v>
      </c>
      <c r="E201" s="13">
        <v>42828.086921296293</v>
      </c>
      <c r="F201" s="13">
        <v>42828.088541666664</v>
      </c>
      <c r="G201" s="7">
        <v>1</v>
      </c>
      <c r="H201" s="21" t="s">
        <v>494</v>
      </c>
      <c r="I201" s="13">
        <v>42828.094907407409</v>
      </c>
      <c r="J201" s="7">
        <v>0</v>
      </c>
      <c r="K201" s="97" t="str">
        <f t="shared" si="93"/>
        <v>4009/4010</v>
      </c>
      <c r="L201" s="21" t="str">
        <f>VLOOKUP(A201,'Trips&amp;Operators'!$C$1:$G$99999,5,FALSE)</f>
        <v>STAMBAUGH JAMES</v>
      </c>
      <c r="M201" s="6">
        <f t="shared" si="94"/>
        <v>6.3657407445134595E-3</v>
      </c>
      <c r="N201" s="7">
        <f t="shared" si="95"/>
        <v>9.1666666720993817</v>
      </c>
      <c r="O201" s="7"/>
      <c r="P201" s="7"/>
      <c r="Q201" s="22"/>
      <c r="R201" s="22"/>
      <c r="S201" s="31">
        <f t="shared" si="96"/>
        <v>1</v>
      </c>
      <c r="T201" s="46" t="str">
        <f t="shared" si="97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98"/>
        <v>https://d0f6bd738d7f1b3e5a7ca70fe4ff75f0.us-east-1.aws.found.io/app/kibana#/discover/Steve-Slow-Train-Analysis-(2080s-and-2083s)?_g=(refreshInterval:(display:Off,pause:!f,section:0,value:0),time:(from:'2017-04-03T01:05:10-0600',mode:absolute,to:'2017-04-03T03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1" s="183" t="str">
        <f t="shared" si="99"/>
        <v>Y</v>
      </c>
      <c r="X201" s="183">
        <f t="shared" si="92"/>
        <v>0</v>
      </c>
      <c r="Y201" s="62">
        <f t="shared" si="100"/>
        <v>4.58E-2</v>
      </c>
      <c r="Z201" s="62">
        <f t="shared" si="101"/>
        <v>2.3346</v>
      </c>
      <c r="AA201" s="62">
        <f t="shared" si="102"/>
        <v>2.2888000000000002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103"/>
        <v>0313-02</v>
      </c>
      <c r="AE201" s="85" t="str">
        <f t="shared" si="104"/>
        <v>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 &amp; 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</v>
      </c>
      <c r="AF201" s="82" t="str">
        <f t="shared" si="105"/>
        <v>"C:\Program Files (x86)\AstroGrep\AstroGrep.exe" /e /r /s /spath="%USERPROFILE%\AppData\Local\Temp\OnboardLogs" /stypes="app*4010*20170403*" /stext=" 08:.+((SYSTEM_STATE.+slice.+state.+changed )|(ment ac)|(multiple cpu faults)|(system.+state.+changed )|(\[timeout)|(PRM\|1\|D)|(kpr)|(kdp)|(\|lc)|(penalty))"</v>
      </c>
      <c r="AG201" s="1" t="str">
        <f t="shared" si="106"/>
        <v>Other</v>
      </c>
      <c r="AH201" s="86" t="str">
        <f t="shared" si="87"/>
        <v>"%USERPROFILE%\Documents\GitHub\eaglep3\Utilities\RefineRTDCRunTimes.py" --tripid 313-02 --locoid 4010 --swversion DE.1.0.9.0 --startMP 204:458 --initTime 2017-04-03T02:05:10 --startdatetime 2017-04-03T02:07:30 --delay 1 --endMP 300:23346 --enddatetime 2017-04-03T02:16:40 --enforcementcount 0 &gt;&gt;C:\Users\stu\Documents\GitHub\eaglep3-reporting\EC\2017-04-02-refined-times.txt</v>
      </c>
      <c r="AI201" s="104" t="str">
        <f t="shared" si="88"/>
        <v>echo {"issue":{"subject":"","project_id":79,"tracker_id":40,"status_id":1,"priority_id":2,"assigned_to_id":23,"start_date":"2017-04-03","description":"","custom_fields":[{"id":1,"name":"Subdivision","value":"Other"},{"id":4,"name":"Milepost","value":"2.3346"},{"id":17,"name":"Train ID","value":"313-02"},{"id":16,"name":"Locomotive ID","value":"4010"},{"id":130,"name":"Impact","value":""},{"id":150,"name":"Time of Event (Mountain Time)","value":"02:16:40"},{"id":151,"name":"Denver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89"/>
        <v>start /low /b %USERPROFILE%\Documents\GitHub\eaglep3\Utilities\DownloadLogsFromS3.py --loco 4010 --day 2017-04-03</v>
      </c>
      <c r="AN201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08:16:40"},{"id":29,"name":"Sharepoint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642</v>
      </c>
      <c r="B202" s="7">
        <v>4040</v>
      </c>
      <c r="C202" s="21" t="s">
        <v>217</v>
      </c>
      <c r="D202" s="21" t="s">
        <v>211</v>
      </c>
      <c r="E202" s="13">
        <v>42827.116238425922</v>
      </c>
      <c r="F202" s="13">
        <v>42827.117175925923</v>
      </c>
      <c r="G202" s="7">
        <v>0</v>
      </c>
      <c r="H202" s="21" t="s">
        <v>945</v>
      </c>
      <c r="I202" s="13">
        <v>25568.708333333332</v>
      </c>
      <c r="J202" s="7">
        <v>0</v>
      </c>
      <c r="K202" s="97" t="str">
        <f t="shared" si="93"/>
        <v>4039/4040</v>
      </c>
      <c r="L202" s="21" t="str">
        <f>VLOOKUP(A202,'Trips&amp;Operators'!$C$1:$G$99999,5,FALSE)</f>
        <v>BROWN JACOB</v>
      </c>
      <c r="M202" s="6">
        <f t="shared" si="94"/>
        <v>-17258.408842592591</v>
      </c>
      <c r="N202" s="7">
        <f t="shared" si="95"/>
        <v>-24852108.733333331</v>
      </c>
      <c r="O202" s="7"/>
      <c r="P202" s="7"/>
      <c r="Q202" s="22"/>
      <c r="R202" s="22"/>
      <c r="S202" s="31">
        <f t="shared" si="96"/>
        <v>1</v>
      </c>
      <c r="T202" s="46" t="str">
        <f t="shared" si="97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98"/>
        <v>https://d0f6bd738d7f1b3e5a7ca70fe4ff75f0.us-east-1.aws.found.io/app/kibana#/discover/Steve-Slow-Train-Analysis-(2080s-and-2083s)?_g=(refreshInterval:(display:Off,pause:!f,section:0,value:0),time:(from:'2017-04-02T01:47:23-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183" t="str">
        <f t="shared" si="99"/>
        <v>Y</v>
      </c>
      <c r="X202" s="183">
        <f t="shared" si="92"/>
        <v>2</v>
      </c>
      <c r="Y202" s="62">
        <f t="shared" si="100"/>
        <v>4.53E-2</v>
      </c>
      <c r="Z202" s="62">
        <f t="shared" si="101"/>
        <v>2.331</v>
      </c>
      <c r="AA202" s="62">
        <f t="shared" si="102"/>
        <v>2.2856999999999998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103"/>
        <v>0315-01</v>
      </c>
      <c r="AE202" s="85" t="str">
        <f t="shared" si="104"/>
        <v>aws s3 cp s3://rtdc.mdm.uploadarchive.raw/RTDC4040/ "%USERPROFILE%\AppData\Local\Temp\OnboardLogs"\RTDC4040\2017-04-02 --exclude "*" --recursive --include "*20170402*" &amp; "%USERPROFILE%\Documents\GitHub\mrs-test-scripts\Headless Mode &amp; Sideloading\WalkAndUnGZ.bat" "%USERPROFILE%\AppData\Local\Temp\OnboardLogs"\RTDC4040\2017-04-02 &amp; aws s3 cp s3://rtdc.mdm.uploadarchive.raw/RTDC4040/ "%USERPROFILE%\AppData\Local\Temp\OnboardLogs"\RTDC4040\2017-04-03 --exclude "*" --recursive --include "*20170403*" &amp; "%USERPROFILE%\Documents\GitHub\mrs-test-scripts\Headless Mode &amp; Sideloading\WalkAndUnGZ.bat" "%USERPROFILE%\AppData\Local\Temp\OnboardLogs"\RTDC4040\2017-04-03</v>
      </c>
      <c r="AF202" s="82" t="str">
        <f t="shared" si="105"/>
        <v>"C:\Program Files (x86)\AstroGrep\AstroGrep.exe" /e /r /s /spath="%USERPROFILE%\AppData\Local\Temp\OnboardLogs" /stypes="app*4040*19691231*" /stext=" 23:.+((SYSTEM_STATE.+slice.+state.+changed )|(ment ac)|(multiple cpu faults)|(system.+state.+changed )|(\[timeout)|(PRM\|1\|D)|(kpr)|(kdp)|(\|lc)|(penalty))"</v>
      </c>
      <c r="AG202" s="1" t="str">
        <f t="shared" si="106"/>
        <v>Other</v>
      </c>
      <c r="AH202" s="86" t="str">
        <f t="shared" si="87"/>
        <v>"%USERPROFILE%\Documents\GitHub\eaglep3\Utilities\RefineRTDCRunTimes.py" --tripid 315-01 --locoid 4040 --swversion DE.1.0.9.0 --startMP 204:453 --initTime 2017-04-02T02:47:23 --startdatetime 2017-04-02T02:48:44 --delay 0 --endMP 300:23310 --enddatetime 1969-12-31T17:00:00 --enforcementcount 0 &gt;&gt;C:\Users\stu\Documents\GitHub\eaglep3-reporting\EC\2017-04-02-refined-times.txt</v>
      </c>
      <c r="AI202" s="104" t="str">
        <f t="shared" si="88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ID","value":"315-01"},{"id":16,"name":"Locomotive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89"/>
        <v>start /low /b %USERPROFILE%\Documents\GitHub\eaglep3\Utilities\DownloadLogsFromS3.py --loco 4040 --day 2017-04-02</v>
      </c>
      <c r="AN202" s="159" t="str">
        <f t="shared" si="9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824</v>
      </c>
      <c r="B203" s="7">
        <v>4016</v>
      </c>
      <c r="C203" s="21" t="s">
        <v>217</v>
      </c>
      <c r="D203" s="21" t="s">
        <v>464</v>
      </c>
      <c r="E203" s="13">
        <v>42828.028831018521</v>
      </c>
      <c r="F203" s="13">
        <v>42828.031331018516</v>
      </c>
      <c r="G203" s="7">
        <v>1</v>
      </c>
      <c r="H203" s="21" t="s">
        <v>946</v>
      </c>
      <c r="I203" s="13">
        <v>42828.037326388891</v>
      </c>
      <c r="J203" s="7">
        <v>0</v>
      </c>
      <c r="K203" s="97" t="str">
        <f t="shared" si="93"/>
        <v>4015/4016</v>
      </c>
      <c r="L203" s="21" t="str">
        <f>VLOOKUP(A203,'Trips&amp;Operators'!$C$1:$G$99999,5,FALSE)</f>
        <v>CHANDLER KELVIN</v>
      </c>
      <c r="M203" s="6">
        <f t="shared" si="94"/>
        <v>5.9953703748760745E-3</v>
      </c>
      <c r="N203" s="7">
        <f t="shared" si="95"/>
        <v>8.6333333398215473</v>
      </c>
      <c r="O203" s="7"/>
      <c r="P203" s="7"/>
      <c r="Q203" s="22"/>
      <c r="R203" s="22"/>
      <c r="S203" s="31">
        <f t="shared" si="96"/>
        <v>1</v>
      </c>
      <c r="T203" s="46" t="str">
        <f t="shared" si="97"/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98"/>
        <v>https://d0f6bd738d7f1b3e5a7ca70fe4ff75f0.us-east-1.aws.found.io/app/kibana#/discover/Steve-Slow-Train-Analysis-(2080s-and-2083s)?_g=(refreshInterval:(display:Off,pause:!f,section:0,value:0),time:(from:'2017-04-02T23:41:31-0600',mode:absolute,to:'2017-04-03T01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83" t="str">
        <f t="shared" si="99"/>
        <v>Y</v>
      </c>
      <c r="X203" s="183">
        <f t="shared" si="92"/>
        <v>0</v>
      </c>
      <c r="Y203" s="62">
        <f t="shared" si="100"/>
        <v>4.6899999999999997E-2</v>
      </c>
      <c r="Z203" s="62">
        <f t="shared" si="101"/>
        <v>2.3302</v>
      </c>
      <c r="AA203" s="62">
        <f t="shared" si="102"/>
        <v>2.2833000000000001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103"/>
        <v>0315-02</v>
      </c>
      <c r="AE203" s="85" t="str">
        <f t="shared" si="104"/>
        <v>aws s3 cp s3://rtdc.mdm.uploadarchive.raw/RTDC4016/ "%USERPROFILE%\AppData\Local\Temp\OnboardLogs"\RTDC4016\2017-04-03 --exclude "*" --recursive --include "*20170403*" &amp; "%USERPROFILE%\Documents\GitHub\mrs-test-scripts\Headless Mode &amp; Sideloading\WalkAndUnGZ.bat" "%USERPROFILE%\AppData\Local\Temp\OnboardLogs"\RTDC4016\2017-04-03 &amp; aws s3 cp s3://rtdc.mdm.uploadarchive.raw/RTDC4016/ "%USERPROFILE%\AppData\Local\Temp\OnboardLogs"\RTDC4016\2017-04-04 --exclude "*" --recursive --include "*20170404*" &amp; "%USERPROFILE%\Documents\GitHub\mrs-test-scripts\Headless Mode &amp; Sideloading\WalkAndUnGZ.bat" "%USERPROFILE%\AppData\Local\Temp\OnboardLogs"\RTDC4016\2017-04-04</v>
      </c>
      <c r="AF203" s="82" t="str">
        <f t="shared" si="105"/>
        <v>"C:\Program Files (x86)\AstroGrep\AstroGrep.exe" /e /r /s /spath="%USERPROFILE%\AppData\Local\Temp\OnboardLogs" /stypes="app*4016*20170403*" /stext=" 06:.+((SYSTEM_STATE.+slice.+state.+changed )|(ment ac)|(multiple cpu faults)|(system.+state.+changed )|(\[timeout)|(PRM\|1\|D)|(kpr)|(kdp)|(\|lc)|(penalty))"</v>
      </c>
      <c r="AG203" s="1" t="str">
        <f t="shared" si="106"/>
        <v>Other</v>
      </c>
      <c r="AH203" s="86" t="str">
        <f t="shared" si="87"/>
        <v>"%USERPROFILE%\Documents\GitHub\eaglep3\Utilities\RefineRTDCRunTimes.py" --tripid 315-02 --locoid 4016 --swversion DE.1.0.9.0 --startMP 204:469 --initTime 2017-04-03T00:41:31 --startdatetime 2017-04-03T00:45:07 --delay 1 --endMP 300:23302 --enddatetime 2017-04-03T00:53:45 --enforcementcount 0 &gt;&gt;C:\Users\stu\Documents\GitHub\eaglep3-reporting\EC\2017-04-02-refined-times.txt</v>
      </c>
      <c r="AI203" s="104" t="str">
        <f t="shared" si="88"/>
        <v>echo {"issue":{"subject":"","project_id":79,"tracker_id":40,"status_id":1,"priority_id":2,"assigned_to_id":23,"start_date":"2017-04-03","description":"","custom_fields":[{"id":1,"name":"Subdivision","value":"Other"},{"id":4,"name":"Milepost","value":"2.3302"},{"id":17,"name":"Train ID","value":"315-02"},{"id":16,"name":"Locomotive ID","value":"4016"},{"id":130,"name":"Impact","value":""},{"id":150,"name":"Time of Event (Mountain Time)","value":"00:53:45"},{"id":151,"name":"Denver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89"/>
        <v>start /low /b %USERPROFILE%\Documents\GitHub\eaglep3\Utilities\DownloadLogsFromS3.py --loco 4016 --day 2017-04-03</v>
      </c>
      <c r="AN203" s="159" t="str">
        <f t="shared" si="90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06:53:45"},{"id":29,"name":"Sharepoint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664</v>
      </c>
      <c r="B204" s="7">
        <v>4018</v>
      </c>
      <c r="C204" s="21" t="s">
        <v>217</v>
      </c>
      <c r="D204" s="21" t="s">
        <v>907</v>
      </c>
      <c r="E204" s="13">
        <v>42827.217430555553</v>
      </c>
      <c r="F204" s="13">
        <v>42827.220439814817</v>
      </c>
      <c r="G204" s="7">
        <v>4</v>
      </c>
      <c r="H204" s="21" t="s">
        <v>601</v>
      </c>
      <c r="I204" s="13">
        <v>42827.225393518522</v>
      </c>
      <c r="J204" s="7">
        <v>0</v>
      </c>
      <c r="K204" s="97" t="str">
        <f t="shared" si="93"/>
        <v>4017/4018</v>
      </c>
      <c r="L204" s="21" t="str">
        <f>VLOOKUP(A204,'Trips&amp;Operators'!$C$1:$G$99999,5,FALSE)</f>
        <v>YORK EDGAR</v>
      </c>
      <c r="M204" s="6">
        <f t="shared" si="94"/>
        <v>4.9537037048139609E-3</v>
      </c>
      <c r="N204" s="7">
        <f t="shared" si="95"/>
        <v>7.1333333349321038</v>
      </c>
      <c r="O204" s="7"/>
      <c r="P204" s="7"/>
      <c r="Q204" s="22"/>
      <c r="R204" s="22"/>
      <c r="S204" s="31">
        <f t="shared" si="96"/>
        <v>0</v>
      </c>
      <c r="T204" s="46" t="str">
        <f t="shared" si="97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82" t="str">
        <f t="shared" si="98"/>
        <v>https://d0f6bd738d7f1b3e5a7ca70fe4ff75f0.us-east-1.aws.found.io/app/kibana#/discover/Steve-Slow-Train-Analysis-(2080s-and-2083s)?_g=(refreshInterval:(display:Off,pause:!f,section:0,value:0),time:(from:'2017-04-02T04:13:06-0600',mode:absolute,to:'2017-04-02T06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183" t="str">
        <f t="shared" si="99"/>
        <v>Y</v>
      </c>
      <c r="X204" s="183">
        <f t="shared" si="92"/>
        <v>1586</v>
      </c>
      <c r="Y204" s="62">
        <f t="shared" si="100"/>
        <v>3.0036</v>
      </c>
      <c r="Z204" s="62">
        <f t="shared" si="101"/>
        <v>5.8949999999999996</v>
      </c>
      <c r="AA204" s="62">
        <f t="shared" si="102"/>
        <v>2.8913999999999995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103"/>
        <v>1901-02</v>
      </c>
      <c r="AE204" s="85" t="str">
        <f t="shared" si="104"/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AF204" s="82" t="str">
        <f t="shared" si="105"/>
        <v>"C:\Program Files (x86)\AstroGrep\AstroGrep.exe" /e /r /s /spath="%USERPROFILE%\AppData\Local\Temp\OnboardLogs" /stypes="app*4018*20170402*" /stext=" 11:.+((SYSTEM_STATE.+slice.+state.+changed )|(ment ac)|(multiple cpu faults)|(system.+state.+changed )|(\[timeout)|(PRM\|1\|D)|(kpr)|(kdp)|(\|lc)|(penalty))"</v>
      </c>
      <c r="AG204" s="1" t="str">
        <f t="shared" si="106"/>
        <v>Other</v>
      </c>
      <c r="AH204" s="86" t="str">
        <f t="shared" si="87"/>
        <v>"%USERPROFILE%\Documents\GitHub\eaglep3\Utilities\RefineRTDCRunTimes.py" --tripid 1901-02 --locoid 4018 --swversion DE.1.0.9.0 --startMP 300:30036 --initTime 2017-04-02T05:13:06 --startdatetime 2017-04-02T05:17:26 --delay 4 --endMP 300:58950 --enddatetime 2017-04-02T05:24:34 --enforcementcount 0 &gt;&gt;C:\Users\stu\Documents\GitHub\eaglep3-reporting\EC\2017-04-02-refined-times.txt</v>
      </c>
      <c r="AI204" s="104" t="str">
        <f t="shared" si="88"/>
        <v>echo {"issue":{"subject":"","project_id":79,"tracker_id":40,"status_id":1,"priority_id":2,"assigned_to_id":23,"start_date":"2017-04-02","description":"","custom_fields":[{"id":1,"name":"Subdivision","value":"Other"},{"id":4,"name":"Milepost","value":"5.895"},{"id":17,"name":"Train ID","value":"1901-02"},{"id":16,"name":"Locomotive ID","value":"4018"},{"id":130,"name":"Impact","value":""},{"id":150,"name":"Time of Event (Mountain Time)","value":"05:24:34"},{"id":151,"name":"Denver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89"/>
        <v>start /low /b %USERPROFILE%\Documents\GitHub\eaglep3\Utilities\DownloadLogsFromS3.py --loco 4018 --day 2017-04-02</v>
      </c>
      <c r="AN204" s="159" t="str">
        <f t="shared" si="90"/>
        <v>echo {"issue":{"subject":"","project_id":30,"tracker_id":4,"status_id":1,"priority_id":1,"assigned_to_id":10,"start_date":"2017-04-02","description":"","custom_fields":[{"id":30,"name":"Category","value":"Issue"},{"id":3,"name":"Functional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UTC","value":"2017-04-02 11:24:34"},{"id":29,"name":"Sharepoint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815</v>
      </c>
      <c r="B205" s="7">
        <v>4017</v>
      </c>
      <c r="C205" s="21" t="s">
        <v>217</v>
      </c>
      <c r="D205" s="21" t="s">
        <v>495</v>
      </c>
      <c r="E205" s="13">
        <v>42827.941087962965</v>
      </c>
      <c r="F205" s="13">
        <v>42827.94222222222</v>
      </c>
      <c r="G205" s="7">
        <v>0</v>
      </c>
      <c r="H205" s="21" t="s">
        <v>908</v>
      </c>
      <c r="I205" s="13">
        <v>42827.946493055555</v>
      </c>
      <c r="J205" s="7">
        <v>0</v>
      </c>
      <c r="K205" s="97" t="str">
        <f t="shared" si="93"/>
        <v>4017/4018</v>
      </c>
      <c r="L205" s="21" t="str">
        <f>VLOOKUP(A205,'Trips&amp;Operators'!$C$1:$G$99999,5,FALSE)</f>
        <v>HELVIE ADAM</v>
      </c>
      <c r="M205" s="6">
        <f t="shared" si="94"/>
        <v>4.2708333348855376E-3</v>
      </c>
      <c r="N205" s="7">
        <f t="shared" si="95"/>
        <v>6.1500000022351742</v>
      </c>
      <c r="O205" s="7"/>
      <c r="P205" s="7"/>
      <c r="Q205" s="22"/>
      <c r="R205" s="22"/>
      <c r="S205" s="31">
        <f t="shared" si="96"/>
        <v>0</v>
      </c>
      <c r="T205" s="46" t="str">
        <f t="shared" si="97"/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2" t="str">
        <f t="shared" si="98"/>
        <v>https://d0f6bd738d7f1b3e5a7ca70fe4ff75f0.us-east-1.aws.found.io/app/kibana#/discover/Steve-Slow-Train-Analysis-(2080s-and-2083s)?_g=(refreshInterval:(display:Off,pause:!f,section:0,value:0),time:(from:'2017-04-02T21:35:10-0600',mode:absolute,to:'2017-04-02T23:42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5" s="183" t="str">
        <f t="shared" si="99"/>
        <v>Y</v>
      </c>
      <c r="X205" s="183">
        <f t="shared" si="92"/>
        <v>1</v>
      </c>
      <c r="Y205" s="62">
        <f t="shared" si="100"/>
        <v>5.8625999999999996</v>
      </c>
      <c r="Z205" s="62">
        <f t="shared" si="101"/>
        <v>2.1741999999999999</v>
      </c>
      <c r="AA205" s="62">
        <f t="shared" ref="AA205:AA207" si="107">ABS(Z205-Y205)</f>
        <v>3.6883999999999997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103"/>
        <v>1902-02</v>
      </c>
      <c r="AE205" s="85" t="str">
        <f t="shared" si="104"/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AF205" s="82" t="str">
        <f t="shared" si="105"/>
        <v>"C:\Program Files (x86)\AstroGrep\AstroGrep.exe" /e /r /s /spath="%USERPROFILE%\AppData\Local\Temp\OnboardLogs" /stypes="app*4017*20170403*" /stext=" 04:.+((SYSTEM_STATE.+slice.+state.+changed )|(ment ac)|(multiple cpu faults)|(system.+state.+changed )|(\[timeout)|(PRM\|1\|D)|(kpr)|(kdp)|(\|lc)|(penalty))"</v>
      </c>
      <c r="AG205" s="1" t="str">
        <f t="shared" si="106"/>
        <v>Other</v>
      </c>
      <c r="AH205" s="86" t="str">
        <f t="shared" ref="AH205:AH207" si="10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1902-02 --locoid 4017 --swversion DE.1.0.9.0 --startMP 300:58626 --initTime 2017-04-02T22:35:10 --startdatetime 2017-04-02T22:36:48 --delay 0 --endMP 300:21742 --enddatetime 2017-04-02T22:42:57 --enforcementcount 0 &gt;&gt;C:\Users\stu\Documents\GitHub\eaglep3-reporting\EC\2017-04-02-refined-times.txt</v>
      </c>
      <c r="AI205" s="104" t="str">
        <f t="shared" ref="AI205:AI207" si="10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{"issue":{"subject":"","project_id":79,"tracker_id":40,"status_id":1,"priority_id":2,"assigned_to_id":23,"start_date":"2017-04-02","description":"","custom_fields":[{"id":1,"name":"Subdivision","value":"Other"},{"id":4,"name":"Milepost","value":"2.1742"},{"id":17,"name":"Train ID","value":"1902-02"},{"id":16,"name":"Locomotive ID","value":"4017"},{"id":130,"name":"Impact","value":""},{"id":150,"name":"Time of Event (Mountain Time)","value":"22:42:57"},{"id":151,"name":"Denver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ref="AM205:AM207" si="110">"start /low /b "&amp;dls3logs&amp;" --loco "&amp;B205&amp;" --day "&amp;TEXT(F205,"YYYY-MM-DD")</f>
        <v>start /low /b %USERPROFILE%\Documents\GitHub\eaglep3\Utilities\DownloadLogsFromS3.py --loco 4017 --day 2017-04-02</v>
      </c>
      <c r="AN205" s="159" t="str">
        <f t="shared" ref="AN205:AN207" si="111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04:42:57"},{"id":29,"name":"Sharepoint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830</v>
      </c>
      <c r="B206" s="7">
        <v>4046</v>
      </c>
      <c r="C206" s="21" t="s">
        <v>217</v>
      </c>
      <c r="D206" s="21" t="s">
        <v>947</v>
      </c>
      <c r="E206" s="13">
        <v>42828.104664351849</v>
      </c>
      <c r="F206" s="13">
        <v>42828.113865740743</v>
      </c>
      <c r="G206" s="7">
        <v>1</v>
      </c>
      <c r="H206" s="21" t="s">
        <v>948</v>
      </c>
      <c r="I206" s="13">
        <v>42828.143067129633</v>
      </c>
      <c r="J206" s="7">
        <v>0</v>
      </c>
      <c r="K206" s="97" t="str">
        <f t="shared" si="93"/>
        <v>4045/4046</v>
      </c>
      <c r="L206" s="21" t="str">
        <f>VLOOKUP(A206,'Trips&amp;Operators'!$C$1:$G$99999,5,FALSE)</f>
        <v>YANG JAN</v>
      </c>
      <c r="M206" s="6">
        <f t="shared" si="94"/>
        <v>2.920138889021473E-2</v>
      </c>
      <c r="N206" s="7">
        <f t="shared" si="95"/>
        <v>42.050000001909211</v>
      </c>
      <c r="O206" s="7"/>
      <c r="P206" s="7"/>
      <c r="Q206" s="22"/>
      <c r="R206" s="22"/>
      <c r="S206" s="31">
        <f t="shared" si="96"/>
        <v>0</v>
      </c>
      <c r="T206" s="46" t="e">
        <f t="shared" si="97"/>
        <v>#VALUE!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82" t="str">
        <f t="shared" si="98"/>
        <v>https://d0f6bd738d7f1b3e5a7ca70fe4ff75f0.us-east-1.aws.found.io/app/kibana#/discover/Steve-Slow-Train-Analysis-(2080s-and-2083s)?_g=(refreshInterval:(display:Off,pause:!f,section:0,value:0),time:(from:'2017-04-03T01:30:43-0600',mode:absolute,to:'2017-04-03T04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6" s="183" t="str">
        <f t="shared" si="99"/>
        <v>N</v>
      </c>
      <c r="X206" s="183" t="e">
        <f t="shared" si="92"/>
        <v>#VALUE!</v>
      </c>
      <c r="Y206" s="62">
        <f t="shared" si="100"/>
        <v>0.1158</v>
      </c>
      <c r="Z206" s="62">
        <f t="shared" si="101"/>
        <v>10.7249</v>
      </c>
      <c r="AA206" s="62">
        <f t="shared" si="107"/>
        <v>10.6091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103"/>
        <v>51-03</v>
      </c>
      <c r="AE206" s="85" t="str">
        <f t="shared" si="104"/>
        <v>aws s3 cp s3://rtdc.mdm.uploadarchive.raw/RTDC4046/ "%USERPROFILE%\AppData\Local\Temp\OnboardLogs"\RTDC4046\2017-04-03 --exclude "*" --recursive --include "*20170403*" &amp; "%USERPROFILE%\Documents\GitHub\mrs-test-scripts\Headless Mode &amp; Sideloading\WalkAndUnGZ.bat" "%USERPROFILE%\AppData\Local\Temp\OnboardLogs"\RTDC4046\2017-04-03 &amp; 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</v>
      </c>
      <c r="AF206" s="82" t="str">
        <f t="shared" si="105"/>
        <v>"C:\Program Files (x86)\AstroGrep\AstroGrep.exe" /e /r /s /spath="%USERPROFILE%\AppData\Local\Temp\OnboardLogs" /stypes="app*4046*20170403*" /stext=" 09:.+((SYSTEM_STATE.+slice.+state.+changed )|(ment ac)|(multiple cpu faults)|(system.+state.+changed )|(\[timeout)|(PRM\|1\|D)|(kpr)|(kdp)|(\|lc)|(penalty))"</v>
      </c>
      <c r="AG206" s="1" t="str">
        <f t="shared" si="106"/>
        <v>Other</v>
      </c>
      <c r="AH206" s="86" t="str">
        <f t="shared" si="108"/>
        <v>"%USERPROFILE%\Documents\GitHub\eaglep3\Utilities\RefineRTDCRunTimes.py" --tripid 51-03 --locoid 4046 --swversion DE.1.0.9.0 --startMP 204:1158 --initTime 2017-04-03T02:30:43 --startdatetime 2017-04-03T02:43:58 --delay 1 --endMP 204:107249 --enddatetime 2017-04-03T03:26:01 --enforcementcount 0 &gt;&gt;C:\Users\stu\Documents\GitHub\eaglep3-reporting\EC\2017-04-02-refined-times.txt</v>
      </c>
      <c r="AI206" s="104" t="str">
        <f t="shared" si="109"/>
        <v>echo {"issue":{"subject":"","project_id":79,"tracker_id":40,"status_id":1,"priority_id":2,"assigned_to_id":23,"start_date":"2017-04-03","description":"","custom_fields":[{"id":1,"name":"Subdivision","value":"Other"},{"id":4,"name":"Milepost","value":"10.7249"},{"id":17,"name":"Train ID","value":"51-03"},{"id":16,"name":"Locomotive ID","value":"4046"},{"id":130,"name":"Impact","value":""},{"id":150,"name":"Time of Event (Mountain Time)","value":"03:26:01"},{"id":151,"name":"Denver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110"/>
        <v>start /low /b %USERPROFILE%\Documents\GitHub\eaglep3\Utilities\DownloadLogsFromS3.py --loco 4046 --day 2017-04-03</v>
      </c>
      <c r="AN206" s="159" t="str">
        <f t="shared" si="11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782</v>
      </c>
      <c r="B207" s="7">
        <v>4045</v>
      </c>
      <c r="C207" s="21" t="s">
        <v>217</v>
      </c>
      <c r="D207" s="21" t="s">
        <v>949</v>
      </c>
      <c r="E207" s="13">
        <v>42827.746249999997</v>
      </c>
      <c r="F207" s="13">
        <v>42827.749050925922</v>
      </c>
      <c r="G207" s="7">
        <v>3</v>
      </c>
      <c r="H207" s="21" t="s">
        <v>950</v>
      </c>
      <c r="I207" s="13">
        <v>42827.754918981482</v>
      </c>
      <c r="J207" s="7">
        <v>0</v>
      </c>
      <c r="K207" s="97" t="str">
        <f t="shared" si="93"/>
        <v>4045/4046</v>
      </c>
      <c r="L207" s="21" t="str">
        <f>VLOOKUP(A207,'Trips&amp;Operators'!$C$1:$G$99999,5,FALSE)</f>
        <v>DUNCAN SHEILA</v>
      </c>
      <c r="M207" s="6">
        <f t="shared" si="94"/>
        <v>5.8680555594037287E-3</v>
      </c>
      <c r="N207" s="7">
        <f t="shared" si="95"/>
        <v>8.4500000055413693</v>
      </c>
      <c r="O207" s="7"/>
      <c r="P207" s="7"/>
      <c r="Q207" s="22"/>
      <c r="R207" s="22"/>
      <c r="S207" s="31">
        <f t="shared" si="96"/>
        <v>0</v>
      </c>
      <c r="T207" s="46" t="e">
        <f t="shared" si="97"/>
        <v>#VALUE!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98"/>
        <v>https://d0f6bd738d7f1b3e5a7ca70fe4ff75f0.us-east-1.aws.found.io/app/kibana#/discover/Steve-Slow-Train-Analysis-(2080s-and-2083s)?_g=(refreshInterval:(display:Off,pause:!f,section:0,value:0),time:(from:'2017-04-02T16:54:36-0600',mode:absolute,to:'2017-04-02T19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7" s="183" t="str">
        <f t="shared" si="99"/>
        <v>Y</v>
      </c>
      <c r="X207" s="183" t="e">
        <f t="shared" si="92"/>
        <v>#VALUE!</v>
      </c>
      <c r="Y207" s="62">
        <f t="shared" si="100"/>
        <v>2.2109000000000001</v>
      </c>
      <c r="Z207" s="62">
        <f t="shared" si="101"/>
        <v>0.2087</v>
      </c>
      <c r="AA207" s="62">
        <f t="shared" si="107"/>
        <v>2.0022000000000002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103"/>
        <v>52-02</v>
      </c>
      <c r="AE207" s="85" t="str">
        <f t="shared" si="104"/>
        <v>aws s3 cp s3://rtdc.mdm.uploadarchive.raw/RTDC4045/ "%USERPROFILE%\AppData\Local\Temp\OnboardLogs"\RTDC4045\2017-04-02 --exclude "*" --recursive --include "*20170402*" &amp; "%USERPROFILE%\Documents\GitHub\mrs-test-scripts\Headless Mode &amp; Sideloading\WalkAndUnGZ.bat" "%USERPROFILE%\AppData\Local\Temp\OnboardLogs"\RTDC4045\2017-04-02 &amp; aws s3 cp s3://rtdc.mdm.uploadarchive.raw/RTDC4045/ "%USERPROFILE%\AppData\Local\Temp\OnboardLogs"\RTDC4045\2017-04-03 --exclude "*" --recursive --include "*20170403*" &amp; "%USERPROFILE%\Documents\GitHub\mrs-test-scripts\Headless Mode &amp; Sideloading\WalkAndUnGZ.bat" "%USERPROFILE%\AppData\Local\Temp\OnboardLogs"\RTDC4045\2017-04-03</v>
      </c>
      <c r="AF207" s="82" t="str">
        <f t="shared" si="105"/>
        <v>"C:\Program Files (x86)\AstroGrep\AstroGrep.exe" /e /r /s /spath="%USERPROFILE%\AppData\Local\Temp\OnboardLogs" /stypes="app*4045*20170403*" /stext=" 00:.+((SYSTEM_STATE.+slice.+state.+changed )|(ment ac)|(multiple cpu faults)|(system.+state.+changed )|(\[timeout)|(PRM\|1\|D)|(kpr)|(kdp)|(\|lc)|(penalty))"</v>
      </c>
      <c r="AG207" s="1" t="str">
        <f t="shared" si="106"/>
        <v>Other</v>
      </c>
      <c r="AH207" s="86" t="str">
        <f t="shared" si="108"/>
        <v>"%USERPROFILE%\Documents\GitHub\eaglep3\Utilities\RefineRTDCRunTimes.py" --tripid 52-02 --locoid 4045 --swversion DE.1.0.9.0 --startMP 300:22109 --initTime 2017-04-02T17:54:36 --startdatetime 2017-04-02T17:58:38 --delay 3 --endMP 204:2087 --enddatetime 2017-04-02T18:07:05 --enforcementcount 0 &gt;&gt;C:\Users\stu\Documents\GitHub\eaglep3-reporting\EC\2017-04-02-refined-times.txt</v>
      </c>
      <c r="AI207" s="104" t="str">
        <f t="shared" si="109"/>
        <v>echo {"issue":{"subject":"","project_id":79,"tracker_id":40,"status_id":1,"priority_id":2,"assigned_to_id":23,"start_date":"2017-04-02","description":"","custom_fields":[{"id":1,"name":"Subdivision","value":"Other"},{"id":4,"name":"Milepost","value":"0.2087"},{"id":17,"name":"Train ID","value":"52-02"},{"id":16,"name":"Locomotive ID","value":"4045"},{"id":130,"name":"Impact","value":""},{"id":150,"name":"Time of Event (Mountain Time)","value":"18:07:05"},{"id":151,"name":"Denver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110"/>
        <v>start /low /b %USERPROFILE%\Documents\GitHub\eaglep3\Utilities\DownloadLogsFromS3.py --loco 4045 --day 2017-04-02</v>
      </c>
      <c r="AN207" s="159" t="str">
        <f t="shared" si="111"/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00:07:05"},{"id":29,"name":"Sharepoint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S208"/>
      <c r="U208"/>
      <c r="V208"/>
      <c r="W208"/>
      <c r="X208"/>
      <c r="Y208"/>
      <c r="Z208"/>
      <c r="AA208"/>
      <c r="AB208"/>
      <c r="AC208"/>
      <c r="AD208"/>
      <c r="AE208"/>
      <c r="AF208"/>
      <c r="AH208"/>
      <c r="AI208"/>
      <c r="AM208"/>
    </row>
    <row r="209" spans="1:40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S209"/>
      <c r="U209"/>
      <c r="V209"/>
      <c r="W209"/>
      <c r="X209"/>
      <c r="Y209"/>
      <c r="Z209"/>
      <c r="AA209"/>
      <c r="AB209"/>
      <c r="AC209"/>
      <c r="AD209"/>
      <c r="AE209"/>
      <c r="AF209"/>
      <c r="AH209"/>
      <c r="AI209"/>
      <c r="AM209"/>
    </row>
    <row r="210" spans="1:40" s="20" customForma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</row>
    <row r="211" spans="1:40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S211"/>
      <c r="U211"/>
      <c r="V211"/>
      <c r="W211"/>
      <c r="X211"/>
      <c r="Y211"/>
      <c r="Z211"/>
      <c r="AA211"/>
      <c r="AB211"/>
      <c r="AC211"/>
      <c r="AD211"/>
      <c r="AE211"/>
      <c r="AF211"/>
      <c r="AH211"/>
      <c r="AI211"/>
      <c r="AM211"/>
    </row>
    <row r="212" spans="1:40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S212"/>
      <c r="U212"/>
      <c r="V212"/>
      <c r="W212"/>
      <c r="X212"/>
      <c r="Y212"/>
      <c r="Z212"/>
      <c r="AA212"/>
      <c r="AB212"/>
      <c r="AC212"/>
      <c r="AD212"/>
      <c r="AE212"/>
      <c r="AF212"/>
      <c r="AH212"/>
      <c r="AI212"/>
      <c r="AM212"/>
    </row>
    <row r="213" spans="1:40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S213"/>
      <c r="U213"/>
      <c r="V213"/>
      <c r="W213"/>
      <c r="X213"/>
      <c r="Y213"/>
      <c r="Z213"/>
      <c r="AA213"/>
      <c r="AB213"/>
      <c r="AC213"/>
      <c r="AD213"/>
      <c r="AE213"/>
      <c r="AF213"/>
      <c r="AH213"/>
      <c r="AI213"/>
      <c r="AM213"/>
    </row>
    <row r="214" spans="1:40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  <c r="AM214"/>
    </row>
    <row r="215" spans="1:40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  <c r="AM215"/>
    </row>
    <row r="216" spans="1:40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  <c r="AM216"/>
    </row>
    <row r="217" spans="1:40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  <c r="AM217"/>
    </row>
    <row r="218" spans="1:40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  <c r="AM218"/>
    </row>
    <row r="219" spans="1:40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  <c r="AM219"/>
    </row>
    <row r="220" spans="1:40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  <c r="AM220"/>
    </row>
    <row r="221" spans="1:40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  <c r="AM221"/>
    </row>
    <row r="222" spans="1:40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  <c r="AM222"/>
    </row>
    <row r="223" spans="1:40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  <c r="AM223"/>
    </row>
    <row r="224" spans="1:40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  <c r="AM224"/>
    </row>
    <row r="225" spans="1:39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  <c r="AM225"/>
    </row>
    <row r="226" spans="1:39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  <c r="AM226"/>
    </row>
    <row r="227" spans="1:39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  <c r="AM227"/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  <c r="AM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39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39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39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39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39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65">
    <sortState ref="A13:AG266">
      <sortCondition ref="AG13:AG208"/>
      <sortCondition ref="AD13:AD208"/>
    </sortState>
  </autoFilter>
  <sortState ref="A13:AH200">
    <sortCondition ref="AG13:AG200"/>
    <sortCondition ref="AD13:AD200"/>
  </sortState>
  <mergeCells count="1">
    <mergeCell ref="A11:P11"/>
  </mergeCells>
  <conditionalFormatting sqref="W11:W12 W272:X1048576 W13:X207">
    <cfRule type="cellIs" dxfId="10" priority="370" operator="equal">
      <formula>"Y"</formula>
    </cfRule>
  </conditionalFormatting>
  <conditionalFormatting sqref="X272:X1048576 X13:X207">
    <cfRule type="cellIs" dxfId="9" priority="353" operator="greaterThan">
      <formula>1</formula>
    </cfRule>
  </conditionalFormatting>
  <conditionalFormatting sqref="X272:X1048576 X12:X207">
    <cfRule type="cellIs" dxfId="8" priority="350" operator="equal">
      <formula>0</formula>
    </cfRule>
  </conditionalFormatting>
  <conditionalFormatting sqref="A13:S207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A13:S207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A13:S207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AK13:AK207</xm:sqref>
        </x14:dataValidation>
        <x14:dataValidation type="list" allowBlank="1" showInputMessage="1" showErrorMessage="1">
          <x14:formula1>
            <xm:f>'Redmine List Values'!$C$2:$C$15</xm:f>
          </x14:formula1>
          <xm:sqref>AL13:AL207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20" sqref="P2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0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29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- 2017-04-02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42827.340902777774</v>
      </c>
      <c r="B7" s="30" t="s">
        <v>611</v>
      </c>
      <c r="C7" s="30" t="s">
        <v>612</v>
      </c>
      <c r="D7" s="30" t="s">
        <v>49</v>
      </c>
      <c r="E7" s="30" t="s">
        <v>193</v>
      </c>
      <c r="F7" s="43">
        <v>0</v>
      </c>
      <c r="G7" s="43">
        <v>180</v>
      </c>
      <c r="H7" s="43">
        <v>31054</v>
      </c>
      <c r="I7" s="43">
        <v>30880</v>
      </c>
      <c r="J7" s="30" t="s">
        <v>194</v>
      </c>
      <c r="K7" s="43">
        <v>30970</v>
      </c>
      <c r="L7" s="139" t="s">
        <v>51</v>
      </c>
      <c r="M7" s="140">
        <f t="shared" ref="M7:M35" si="0">CONVERT((I7-K7)/10000,"mi","ft")*IF(L7="Increasing Mileposts (1)",-1,1)</f>
        <v>-47.52</v>
      </c>
      <c r="N7" s="141" t="str">
        <f>VLOOKUP(C7,'Trips&amp;Operators'!$C$1:$G$99999,5,FALSE)</f>
        <v>GEBRETEKLE DAGNEW</v>
      </c>
      <c r="O7" s="190" t="s">
        <v>185</v>
      </c>
      <c r="P7" s="142" t="s">
        <v>437</v>
      </c>
      <c r="Q7" s="30"/>
      <c r="R7" s="89" t="str">
        <f>IF(VLOOKUP(C7,'Train Runs'!$A$13:$AE$9941,1,1)=C7,VLOOKUP(C7,'Train Runs'!$A$13:$AE$9941,31,1),NA())</f>
        <v>aws s3 cp s3://rtdc.mdm.uploadarchive.raw/RTDC4015/ "%USERPROFILE%\AppData\Local\Temp\OnboardLogs"\RTDC4015\2017-04-02 --exclude "*" --recursive --include "*20170402*" &amp; "%USERPROFILE%\Documents\GitHub\mrs-test-scripts\Headless Mode &amp; Sideloading\WalkAndUnGZ.bat" "%USERPROFILE%\AppData\Local\Temp\OnboardLogs"\RTDC4015\2017-04-02 &amp; aws s3 cp s3://rtdc.mdm.uploadarchive.raw/RTDC4015/ "%USERPROFILE%\AppData\Local\Temp\OnboardLogs"\RTDC4015\2017-04-03 --exclude "*" --recursive --include "*20170403*" &amp; "%USERPROFILE%\Documents\GitHub\mrs-test-scripts\Headless Mode &amp; Sideloading\WalkAndUnGZ.bat" "%USERPROFILE%\AppData\Local\Temp\OnboardLogs"\RTDC4015\2017-04-03</v>
      </c>
      <c r="S7" s="92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-04-02T06:22:31-0600',mode:absolute,to:'2017-04-02T09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7" s="94" t="str">
        <f t="shared" ref="T7:T3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/stypes="*4015*201704021*" /stext=" 14:.+((SYSTEM_STATE.+slice.+state.+changed )|(ment ac)|(multiple cpu faults)|(system.+state.+changed )|(\[timeout)|(PRM\|1\|D)|(kpr)|(kdp)|(\|lc)|(penalty))"</v>
      </c>
      <c r="U7" s="9" t="str">
        <f t="shared" ref="U7:U35" si="2">MID(B7,13,4)</f>
        <v>4015</v>
      </c>
      <c r="V7" s="32">
        <f t="shared" ref="V7:V35" si="3">A7-utc_offset/24</f>
        <v>42827.590902777774</v>
      </c>
      <c r="W7" s="46" t="str">
        <f t="shared" ref="W7:W35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5" si="5">IF(AND(E7="TRACK WARRANT AUTHORITY",G7&lt;10),"OMIT","KEEP")</f>
        <v>KEEP</v>
      </c>
      <c r="Y7" s="104" t="str">
        <f t="shared" ref="Y7:Y3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arrival","project_id":79,"tracker_id":40,"status_id":1,"priority_id":2,"assigned_to_id":23,"start_date":"2017-04-02","description":"","custom_fields":[{"id":1,"name":"Subdivision","value":"EC"},{"id":4,"name":"Milepost","value":"3.097"},{"id":17,"name":"Train ID","value":"126-02"},{"id":16,"name":"Locomotive ID","value":"4015"},{"id":130,"name":"Impact","value":""},{"id":150,"name":"Time of Event (Mountain Time)","value":"08:10:54"},{"id":151,"name":"Denver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5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"%USERPROFILE%\AppData\Local\Temp\OnboardLogs"\RTDC4015\*4015*201704021*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"%USERPROFILE%\AppData\Local\Temp\OnboardLogs"\RTDC4015\*4015*201704021* &gt;&gt; 2017-04-02-SliceDisagreementCheck.txt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4015 --day 2017-04-02</v>
      </c>
    </row>
    <row r="8" spans="1:32" s="1" customFormat="1" x14ac:dyDescent="0.25">
      <c r="A8" s="32">
        <v>42827.599629629629</v>
      </c>
      <c r="B8" s="30" t="s">
        <v>530</v>
      </c>
      <c r="C8" s="30" t="s">
        <v>622</v>
      </c>
      <c r="D8" s="30" t="s">
        <v>49</v>
      </c>
      <c r="E8" s="30" t="s">
        <v>193</v>
      </c>
      <c r="F8" s="43">
        <v>0</v>
      </c>
      <c r="G8" s="43">
        <v>264</v>
      </c>
      <c r="H8" s="43">
        <v>32985</v>
      </c>
      <c r="I8" s="43">
        <v>33238</v>
      </c>
      <c r="J8" s="30" t="s">
        <v>194</v>
      </c>
      <c r="K8" s="43">
        <v>33137</v>
      </c>
      <c r="L8" s="139" t="s">
        <v>50</v>
      </c>
      <c r="M8" s="140">
        <f t="shared" si="0"/>
        <v>-53.328000000000003</v>
      </c>
      <c r="N8" s="141" t="str">
        <f>VLOOKUP(C8,'Trips&amp;Operators'!$C$1:$G$99999,5,FALSE)</f>
        <v>BRANDNER MELINDA</v>
      </c>
      <c r="O8" s="190" t="s">
        <v>185</v>
      </c>
      <c r="P8" s="142" t="s">
        <v>437</v>
      </c>
      <c r="Q8" s="30"/>
      <c r="R8" s="89" t="e">
        <f>IF(VLOOKUP(C8,'Train Runs'!$A$13:$AE$9941,1,1)=C8,VLOOKUP(C8,'Train Runs'!$A$13:$AE$9941,31,1),NA())</f>
        <v>#N/A</v>
      </c>
      <c r="S8" s="92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-04-02T13:10:58-0600',mode:absolute,to:'2017-04-02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94" t="str">
        <f t="shared" si="1"/>
        <v>"C:\Program Files (x86)\AstroGrep\AstroGrep.exe" /e /r /s /spath="%USERPROFILE%\AppData\Local\Temp\OnboardLogs" /stypes="*4002*201704022*" /stext=" 20:.+((SYSTEM_STATE.+slice.+state.+changed )|(ment ac)|(multiple cpu faults)|(system.+state.+changed )|(\[timeout)|(PRM\|1\|D)|(kpr)|(kdp)|(\|lc)|(penalty))"</v>
      </c>
      <c r="U8" s="9" t="str">
        <f t="shared" si="2"/>
        <v>4002</v>
      </c>
      <c r="V8" s="32">
        <f t="shared" si="3"/>
        <v>42827.849629629629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arrival","project_id":79,"tracker_id":40,"status_id":1,"priority_id":2,"assigned_to_id":23,"start_date":"2017-04-02","description":"","custom_fields":[{"id":1,"name":"Subdivision","value":"EC"},{"id":4,"name":"Milepost","value":"3.3137"},{"id":17,"name":"Train ID","value":"185-02"},{"id":16,"name":"Locomotive ID","value":"4002"},{"id":130,"name":"Impact","value":""},{"id":150,"name":"Time of Event (Mountain Time)","value":"14:23:28"},{"id":151,"name":"Denver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"%USERPROFILE%\AppData\Local\Temp\OnboardLogs"\RTDC4002\*4002*201704022*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"%USERPROFILE%\AppData\Local\Temp\OnboardLogs"\RTDC4002\*4002*201704022* &gt;&gt; 2017-04-02-SliceDisagreementCheck.txt</v>
      </c>
      <c r="AE8" s="153" t="str">
        <f t="shared" ref="AE8:AE35" si="9">"start /low /b "&amp;dls3logs&amp;" --loco "&amp;U8&amp;" --day "&amp;TEXT(V8,"YYYY-MM-DD")</f>
        <v>start /low /b %USERPROFILE%\Documents\GitHub\eaglep3\Utilities\DownloadLogsFromS3.py --loco 4002 --day 2017-04-02</v>
      </c>
    </row>
    <row r="9" spans="1:32" s="1" customFormat="1" x14ac:dyDescent="0.25">
      <c r="A9" s="32">
        <v>42827.591782407406</v>
      </c>
      <c r="B9" s="30" t="s">
        <v>480</v>
      </c>
      <c r="C9" s="30" t="s">
        <v>621</v>
      </c>
      <c r="D9" s="30" t="s">
        <v>49</v>
      </c>
      <c r="E9" s="30" t="s">
        <v>193</v>
      </c>
      <c r="F9" s="43">
        <v>0</v>
      </c>
      <c r="G9" s="43">
        <v>324</v>
      </c>
      <c r="H9" s="43">
        <v>42593</v>
      </c>
      <c r="I9" s="43">
        <v>43354</v>
      </c>
      <c r="J9" s="30" t="s">
        <v>194</v>
      </c>
      <c r="K9" s="43">
        <v>42779</v>
      </c>
      <c r="L9" s="139" t="s">
        <v>50</v>
      </c>
      <c r="M9" s="140">
        <f t="shared" si="0"/>
        <v>-303.60000000000002</v>
      </c>
      <c r="N9" s="141" t="str">
        <f>VLOOKUP(C9,'Trips&amp;Operators'!$C$1:$G$99999,5,FALSE)</f>
        <v>WHITED DUSTIN</v>
      </c>
      <c r="O9" s="190" t="s">
        <v>185</v>
      </c>
      <c r="P9" s="142" t="s">
        <v>437</v>
      </c>
      <c r="Q9" s="30"/>
      <c r="R9" s="89" t="e">
        <f>IF(VLOOKUP(C9,'Train Runs'!$A$13:$AE$9941,1,1)=C9,VLOOKUP(C9,'Train Runs'!$A$13:$AE$9941,31,1),NA())</f>
        <v>#N/A</v>
      </c>
      <c r="S9" s="92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-04-02T12:53:38-0600',mode:absolute,to:'2017-04-02T15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9" s="94" t="str">
        <f t="shared" si="1"/>
        <v>"C:\Program Files (x86)\AstroGrep\AstroGrep.exe" /e /r /s /spath="%USERPROFILE%\AppData\Local\Temp\OnboardLogs" /stypes="*4020*201704022*" /stext=" 20:.+((SYSTEM_STATE.+slice.+state.+changed )|(ment ac)|(multiple cpu faults)|(system.+state.+changed )|(\[timeout)|(PRM\|1\|D)|(kpr)|(kdp)|(\|lc)|(penalty))"</v>
      </c>
      <c r="U9" s="9" t="str">
        <f t="shared" si="2"/>
        <v>4020</v>
      </c>
      <c r="V9" s="32">
        <f t="shared" si="3"/>
        <v>42827.841782407406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arrival","project_id":79,"tracker_id":40,"status_id":1,"priority_id":2,"assigned_to_id":23,"start_date":"2017-04-02","description":"","custom_fields":[{"id":1,"name":"Subdivision","value":"EC"},{"id":4,"name":"Milepost","value":"4.2779"},{"id":17,"name":"Train ID","value":"183-02"},{"id":16,"name":"Locomotive ID","value":"4020"},{"id":130,"name":"Impact","value":""},{"id":150,"name":"Time of Event (Mountain Time)","value":"14:12:10"},{"id":151,"name":"Denver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"%USERPROFILE%\AppData\Local\Temp\OnboardLogs"\RTDC4020\*4020*201704022*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"%USERPROFILE%\AppData\Local\Temp\OnboardLogs"\RTDC4020\*4020*201704022* &gt;&gt; 2017-04-02-SliceDisagreementCheck.txt</v>
      </c>
      <c r="AE9" s="153" t="str">
        <f t="shared" si="9"/>
        <v>start /low /b %USERPROFILE%\Documents\GitHub\eaglep3\Utilities\DownloadLogsFromS3.py --loco 4020 --day 2017-04-02</v>
      </c>
    </row>
    <row r="10" spans="1:32" s="1" customFormat="1" x14ac:dyDescent="0.25">
      <c r="A10" s="32">
        <v>42827.911724537036</v>
      </c>
      <c r="B10" s="30" t="s">
        <v>524</v>
      </c>
      <c r="C10" s="30" t="s">
        <v>632</v>
      </c>
      <c r="D10" s="30" t="s">
        <v>98</v>
      </c>
      <c r="E10" s="30" t="s">
        <v>193</v>
      </c>
      <c r="F10" s="43">
        <v>0</v>
      </c>
      <c r="G10" s="43">
        <v>244</v>
      </c>
      <c r="H10" s="43">
        <v>58291</v>
      </c>
      <c r="I10" s="43">
        <v>56784</v>
      </c>
      <c r="J10" s="30" t="s">
        <v>194</v>
      </c>
      <c r="K10" s="43">
        <v>58301</v>
      </c>
      <c r="L10" s="139" t="s">
        <v>51</v>
      </c>
      <c r="M10" s="140">
        <f t="shared" si="0"/>
        <v>-800.976</v>
      </c>
      <c r="N10" s="141" t="str">
        <f>VLOOKUP(C10,'Trips&amp;Operators'!$C$1:$G$99999,5,FALSE)</f>
        <v>STAMBAUGH JAMES</v>
      </c>
      <c r="O10" s="190" t="s">
        <v>185</v>
      </c>
      <c r="P10" s="142" t="s">
        <v>437</v>
      </c>
      <c r="Q10" s="30"/>
      <c r="R10" s="89" t="e">
        <f>IF(VLOOKUP(C10,'Train Runs'!$A$13:$AE$9941,1,1)=C10,VLOOKUP(C10,'Train Runs'!$A$13:$AE$9941,31,1),NA())</f>
        <v>#N/A</v>
      </c>
      <c r="S10" s="92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-04-02T20:15:31-0600',mode:absolute,to:'2017-04-02T23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94" t="str">
        <f t="shared" si="1"/>
        <v>"C:\Program Files (x86)\AstroGrep\AstroGrep.exe" /e /r /s /spath="%USERPROFILE%\AppData\Local\Temp\OnboardLogs" /stypes="*4009*201704030*" /stext=" 03:.+((SYSTEM_STATE.+slice.+state.+changed )|(ment ac)|(multiple cpu faults)|(system.+state.+changed )|(\[timeout)|(PRM\|1\|D)|(kpr)|(kdp)|(\|lc)|(penalty))"</v>
      </c>
      <c r="U10" s="9" t="str">
        <f t="shared" si="2"/>
        <v>4009</v>
      </c>
      <c r="V10" s="32">
        <f t="shared" si="3"/>
        <v>42828.161724537036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arrival","project_id":79,"tracker_id":40,"status_id":1,"priority_id":2,"assigned_to_id":23,"start_date":"2017-04-02","description":"","custom_fields":[{"id":1,"name":"Subdivision","value":"EC"},{"id":4,"name":"Milepost","value":"5.8301"},{"id":17,"name":"Train ID","value":"228-02"},{"id":16,"name":"Locomotive ID","value":"4009"},{"id":130,"name":"Impact","value":""},{"id":150,"name":"Time of Event (Mountain Time)","value":"21:52:53"},{"id":151,"name":"Denver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"%USERPROFILE%\AppData\Local\Temp\OnboardLogs"\RTDC4009\*4009*201704030*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"%USERPROFILE%\AppData\Local\Temp\OnboardLogs"\RTDC4009\*4009*201704030* &gt;&gt; 2017-04-02-SliceDisagreementCheck.txt</v>
      </c>
      <c r="AE10" s="153" t="str">
        <f t="shared" si="9"/>
        <v>start /low /b %USERPROFILE%\Documents\GitHub\eaglep3\Utilities\DownloadLogsFromS3.py --loco 4009 --day 2017-04-03</v>
      </c>
    </row>
    <row r="11" spans="1:32" s="1" customFormat="1" x14ac:dyDescent="0.25">
      <c r="A11" s="32">
        <v>42827.400069444448</v>
      </c>
      <c r="B11" s="30" t="s">
        <v>394</v>
      </c>
      <c r="C11" s="30" t="s">
        <v>613</v>
      </c>
      <c r="D11" s="30" t="s">
        <v>49</v>
      </c>
      <c r="E11" s="30" t="s">
        <v>193</v>
      </c>
      <c r="F11" s="43">
        <v>220</v>
      </c>
      <c r="G11" s="43">
        <v>339</v>
      </c>
      <c r="H11" s="43">
        <v>59196</v>
      </c>
      <c r="I11" s="43">
        <v>58715</v>
      </c>
      <c r="J11" s="30" t="s">
        <v>194</v>
      </c>
      <c r="K11" s="43">
        <v>58301</v>
      </c>
      <c r="L11" s="139" t="s">
        <v>51</v>
      </c>
      <c r="M11" s="140">
        <f t="shared" si="0"/>
        <v>218.59200000000001</v>
      </c>
      <c r="N11" s="141" t="str">
        <f>VLOOKUP(C11,'Trips&amp;Operators'!$C$1:$G$99999,5,FALSE)</f>
        <v>ROBINSON KADDIBA</v>
      </c>
      <c r="O11" s="190" t="s">
        <v>185</v>
      </c>
      <c r="P11" s="142" t="s">
        <v>437</v>
      </c>
      <c r="Q11" s="30"/>
      <c r="R11" s="89" t="str">
        <f>IF(VLOOKUP(C11,'Train Runs'!$A$13:$AE$9941,1,1)=C11,VLOOKUP(C11,'Train Runs'!$A$13:$AE$9941,31,1),NA())</f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S11" s="92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-04-02T08:03:31-0600',mode:absolute,to:'2017-04-02T10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1" s="94" t="str">
        <f t="shared" si="1"/>
        <v>"C:\Program Files (x86)\AstroGrep\AstroGrep.exe" /e /r /s /spath="%USERPROFILE%\AppData\Local\Temp\OnboardLogs" /stypes="*4012*201704021*" /stext=" 15:.+((SYSTEM_STATE.+slice.+state.+changed )|(ment ac)|(multiple cpu faults)|(system.+state.+changed )|(\[timeout)|(PRM\|1\|D)|(kpr)|(kdp)|(\|lc)|(penalty))"</v>
      </c>
      <c r="U11" s="9" t="str">
        <f t="shared" si="2"/>
        <v>4012</v>
      </c>
      <c r="V11" s="32">
        <f t="shared" si="3"/>
        <v>42827.650069444448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arrival","project_id":79,"tracker_id":40,"status_id":1,"priority_id":2,"assigned_to_id":23,"start_date":"2017-04-02","description":"","custom_fields":[{"id":1,"name":"Subdivision","value":"EC"},{"id":4,"name":"Milepost","value":"5.8301"},{"id":17,"name":"Train ID","value":"138-02"},{"id":16,"name":"Locomotive ID","value":"4012"},{"id":130,"name":"Impact","value":""},{"id":150,"name":"Time of Event (Mountain Time)","value":"09:36:06"},{"id":151,"name":"Denver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"%USERPROFILE%\AppData\Local\Temp\OnboardLogs"\RTDC4012\*4012*201704021*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"%USERPROFILE%\AppData\Local\Temp\OnboardLogs"\RTDC4012\*4012*201704021* &gt;&gt; 2017-04-02-SliceDisagreementCheck.txt</v>
      </c>
      <c r="AE11" s="153" t="str">
        <f t="shared" si="9"/>
        <v>start /low /b %USERPROFILE%\Documents\GitHub\eaglep3\Utilities\DownloadLogsFromS3.py --loco 4012 --day 2017-04-02</v>
      </c>
    </row>
    <row r="12" spans="1:32" s="1" customFormat="1" x14ac:dyDescent="0.25">
      <c r="A12" s="32">
        <v>42827.625243055554</v>
      </c>
      <c r="B12" s="30" t="s">
        <v>606</v>
      </c>
      <c r="C12" s="30" t="s">
        <v>623</v>
      </c>
      <c r="D12" s="30" t="s">
        <v>49</v>
      </c>
      <c r="E12" s="30" t="s">
        <v>193</v>
      </c>
      <c r="F12" s="43">
        <v>0</v>
      </c>
      <c r="G12" s="43">
        <v>20</v>
      </c>
      <c r="H12" s="43">
        <v>63039</v>
      </c>
      <c r="I12" s="43">
        <v>63111</v>
      </c>
      <c r="J12" s="30" t="s">
        <v>194</v>
      </c>
      <c r="K12" s="43">
        <v>63069</v>
      </c>
      <c r="L12" s="139" t="s">
        <v>50</v>
      </c>
      <c r="M12" s="140">
        <f t="shared" si="0"/>
        <v>-22.175999999999998</v>
      </c>
      <c r="N12" s="141" t="str">
        <f>VLOOKUP(C12,'Trips&amp;Operators'!$C$1:$G$99999,5,FALSE)</f>
        <v>DAVIS MICHAEL</v>
      </c>
      <c r="O12" s="190" t="s">
        <v>185</v>
      </c>
      <c r="P12" s="142" t="s">
        <v>437</v>
      </c>
      <c r="Q12" s="30"/>
      <c r="R12" s="89" t="e">
        <f>IF(VLOOKUP(C12,'Train Runs'!$A$13:$AE$9941,1,1)=C12,VLOOKUP(C12,'Train Runs'!$A$13:$AE$9941,31,1),NA())</f>
        <v>#N/A</v>
      </c>
      <c r="S12" s="92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-04-02T13:43:25-0600',mode:absolute,to:'2017-04-02T16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2" s="94" t="str">
        <f t="shared" si="1"/>
        <v>"C:\Program Files (x86)\AstroGrep\AstroGrep.exe" /e /r /s /spath="%USERPROFILE%\AppData\Local\Temp\OnboardLogs" /stypes="*4054*201704022*" /stext=" 21:.+((SYSTEM_STATE.+slice.+state.+changed )|(ment ac)|(multiple cpu faults)|(system.+state.+changed )|(\[timeout)|(PRM\|1\|D)|(kpr)|(kdp)|(\|lc)|(penalty))"</v>
      </c>
      <c r="U12" s="9" t="str">
        <f t="shared" si="2"/>
        <v>4054</v>
      </c>
      <c r="V12" s="32">
        <f t="shared" si="3"/>
        <v>42827.875243055554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arrival","project_id":79,"tracker_id":40,"status_id":1,"priority_id":2,"assigned_to_id":23,"start_date":"2017-04-02","description":"","custom_fields":[{"id":1,"name":"Subdivision","value":"EC"},{"id":4,"name":"Milepost","value":"6.3069"},{"id":17,"name":"Train ID","value":"189-02"},{"id":16,"name":"Locomotive ID","value":"4054"},{"id":130,"name":"Impact","value":""},{"id":150,"name":"Time of Event (Mountain Time)","value":"15:00:21"},{"id":151,"name":"Denver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"%USERPROFILE%\AppData\Local\Temp\OnboardLogs"\RTDC4054\*4054*201704022*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"%USERPROFILE%\AppData\Local\Temp\OnboardLogs"\RTDC4054\*4054*201704022* &gt;&gt; 2017-04-02-SliceDisagreementCheck.txt</v>
      </c>
      <c r="AE12" s="153" t="str">
        <f t="shared" si="9"/>
        <v>start /low /b %USERPROFILE%\Documents\GitHub\eaglep3\Utilities\DownloadLogsFromS3.py --loco 4054 --day 2017-04-02</v>
      </c>
    </row>
    <row r="13" spans="1:32" s="1" customFormat="1" x14ac:dyDescent="0.25">
      <c r="A13" s="32">
        <v>42827.624699074076</v>
      </c>
      <c r="B13" s="30" t="s">
        <v>606</v>
      </c>
      <c r="C13" s="30" t="s">
        <v>623</v>
      </c>
      <c r="D13" s="30" t="s">
        <v>49</v>
      </c>
      <c r="E13" s="30" t="s">
        <v>193</v>
      </c>
      <c r="F13" s="43">
        <v>360</v>
      </c>
      <c r="G13" s="43">
        <v>447</v>
      </c>
      <c r="H13" s="43">
        <v>61774</v>
      </c>
      <c r="I13" s="43">
        <v>63029</v>
      </c>
      <c r="J13" s="30" t="s">
        <v>194</v>
      </c>
      <c r="K13" s="43">
        <v>63069</v>
      </c>
      <c r="L13" s="139" t="s">
        <v>50</v>
      </c>
      <c r="M13" s="140">
        <f t="shared" si="0"/>
        <v>21.12</v>
      </c>
      <c r="N13" s="141" t="str">
        <f>VLOOKUP(C13,'Trips&amp;Operators'!$C$1:$G$99999,5,FALSE)</f>
        <v>DAVIS MICHAEL</v>
      </c>
      <c r="O13" s="190" t="s">
        <v>185</v>
      </c>
      <c r="P13" s="142" t="s">
        <v>437</v>
      </c>
      <c r="Q13" s="30"/>
      <c r="R13" s="89" t="e">
        <f>IF(VLOOKUP(C13,'Train Runs'!$A$13:$AE$9941,1,1)=C13,VLOOKUP(C13,'Train Runs'!$A$13:$AE$9941,31,1),NA())</f>
        <v>#N/A</v>
      </c>
      <c r="S13" s="92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-04-02T13:43:25-0600',mode:absolute,to:'2017-04-02T16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3" s="94" t="str">
        <f t="shared" si="1"/>
        <v>"C:\Program Files (x86)\AstroGrep\AstroGrep.exe" /e /r /s /spath="%USERPROFILE%\AppData\Local\Temp\OnboardLogs" /stypes="*4054*201704022*" /stext=" 20:.+((SYSTEM_STATE.+slice.+state.+changed )|(ment ac)|(multiple cpu faults)|(system.+state.+changed )|(\[timeout)|(PRM\|1\|D)|(kpr)|(kdp)|(\|lc)|(penalty))"</v>
      </c>
      <c r="U13" s="9" t="str">
        <f t="shared" si="2"/>
        <v>4054</v>
      </c>
      <c r="V13" s="32">
        <f t="shared" si="3"/>
        <v>42827.874699074076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arrival","project_id":79,"tracker_id":40,"status_id":1,"priority_id":2,"assigned_to_id":23,"start_date":"2017-04-02","description":"","custom_fields":[{"id":1,"name":"Subdivision","value":"EC"},{"id":4,"name":"Milepost","value":"6.3069"},{"id":17,"name":"Train ID","value":"189-02"},{"id":16,"name":"Locomotive ID","value":"4054"},{"id":130,"name":"Impact","value":""},{"id":150,"name":"Time of Event (Mountain Time)","value":"14:59:34"},{"id":151,"name":"Denver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"%USERPROFILE%\AppData\Local\Temp\OnboardLogs"\RTDC4054\*4054*201704022*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"%USERPROFILE%\AppData\Local\Temp\OnboardLogs"\RTDC4054\*4054*201704022* &gt;&gt; 2017-04-02-SliceDisagreementCheck.txt</v>
      </c>
      <c r="AE13" s="153" t="str">
        <f t="shared" si="9"/>
        <v>start /low /b %USERPROFILE%\Documents\GitHub\eaglep3\Utilities\DownloadLogsFromS3.py --loco 4054 --day 2017-04-02</v>
      </c>
    </row>
    <row r="14" spans="1:32" x14ac:dyDescent="0.25">
      <c r="A14" s="32">
        <v>42827.304814814815</v>
      </c>
      <c r="B14" s="30" t="s">
        <v>609</v>
      </c>
      <c r="C14" s="30" t="s">
        <v>610</v>
      </c>
      <c r="D14" s="30" t="s">
        <v>49</v>
      </c>
      <c r="E14" s="30" t="s">
        <v>193</v>
      </c>
      <c r="F14" s="43">
        <v>0</v>
      </c>
      <c r="G14" s="43">
        <v>631</v>
      </c>
      <c r="H14" s="43">
        <v>66618</v>
      </c>
      <c r="I14" s="43">
        <v>64383</v>
      </c>
      <c r="J14" s="30" t="s">
        <v>194</v>
      </c>
      <c r="K14" s="43">
        <v>63309</v>
      </c>
      <c r="L14" s="139" t="s">
        <v>51</v>
      </c>
      <c r="M14" s="140">
        <f t="shared" si="0"/>
        <v>567.072</v>
      </c>
      <c r="N14" s="141" t="str">
        <f>VLOOKUP(C14,'Trips&amp;Operators'!$C$1:$G$99999,5,FALSE)</f>
        <v>LOPES KIMBERLY</v>
      </c>
      <c r="O14" s="190" t="s">
        <v>185</v>
      </c>
      <c r="P14" s="142" t="s">
        <v>437</v>
      </c>
      <c r="Q14" s="30"/>
      <c r="R14" s="89" t="str">
        <f>IF(VLOOKUP(C14,'Train Runs'!$A$13:$AE$9941,1,1)=C14,VLOOKUP(C14,'Train Runs'!$A$13:$AE$9941,31,1),NA())</f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S14" s="92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-04-02T05:44:19-0600',mode:absolute,to:'2017-04-02T08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4" s="94" t="str">
        <f t="shared" si="1"/>
        <v>"C:\Program Files (x86)\AstroGrep\AstroGrep.exe" /e /r /s /spath="%USERPROFILE%\AppData\Local\Temp\OnboardLogs" /stypes="*4053*201704021*" /stext=" 13:.+((SYSTEM_STATE.+slice.+state.+changed )|(ment ac)|(multiple cpu faults)|(system.+state.+changed )|(\[timeout)|(PRM\|1\|D)|(kpr)|(kdp)|(\|lc)|(penalty))"</v>
      </c>
      <c r="U14" s="9" t="str">
        <f t="shared" si="2"/>
        <v>4053</v>
      </c>
      <c r="V14" s="32">
        <f t="shared" si="3"/>
        <v>42827.554814814815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arrival","project_id":79,"tracker_id":40,"status_id":1,"priority_id":2,"assigned_to_id":23,"start_date":"2017-04-02","description":"","custom_fields":[{"id":1,"name":"Subdivision","value":"EC"},{"id":4,"name":"Milepost","value":"6.3309"},{"id":17,"name":"Train ID","value":"120-02"},{"id":16,"name":"Locomotive ID","value":"4053"},{"id":130,"name":"Impact","value":""},{"id":150,"name":"Time of Event (Mountain Time)","value":"07:18:56"},{"id":151,"name":"Denver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"%USERPROFILE%\AppData\Local\Temp\OnboardLogs"\RTDC4053\*4053*201704021*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"%USERPROFILE%\AppData\Local\Temp\OnboardLogs"\RTDC4053\*4053*201704021* &gt;&gt; 2017-04-02-SliceDisagreementCheck.txt</v>
      </c>
      <c r="AE14" s="153" t="str">
        <f t="shared" si="9"/>
        <v>start /low /b %USERPROFILE%\Documents\GitHub\eaglep3\Utilities\DownloadLogsFromS3.py --loco 4053 --day 2017-04-02</v>
      </c>
      <c r="AF14" s="1"/>
    </row>
    <row r="15" spans="1:32" x14ac:dyDescent="0.25">
      <c r="A15" s="32">
        <v>42827.305497685185</v>
      </c>
      <c r="B15" s="30" t="s">
        <v>609</v>
      </c>
      <c r="C15" s="30" t="s">
        <v>610</v>
      </c>
      <c r="D15" s="30" t="s">
        <v>49</v>
      </c>
      <c r="E15" s="30" t="s">
        <v>193</v>
      </c>
      <c r="F15" s="43">
        <v>0</v>
      </c>
      <c r="G15" s="43">
        <v>631</v>
      </c>
      <c r="H15" s="43">
        <v>66618</v>
      </c>
      <c r="I15" s="43">
        <v>64178</v>
      </c>
      <c r="J15" s="30" t="s">
        <v>194</v>
      </c>
      <c r="K15" s="43">
        <v>63309</v>
      </c>
      <c r="L15" s="139" t="s">
        <v>51</v>
      </c>
      <c r="M15" s="140">
        <f t="shared" si="0"/>
        <v>458.83199999999999</v>
      </c>
      <c r="N15" s="141" t="str">
        <f>VLOOKUP(C15,'Trips&amp;Operators'!$C$1:$G$99999,5,FALSE)</f>
        <v>LOPES KIMBERLY</v>
      </c>
      <c r="O15" s="190" t="s">
        <v>185</v>
      </c>
      <c r="P15" s="142" t="s">
        <v>437</v>
      </c>
      <c r="Q15" s="30"/>
      <c r="R15" s="89" t="str">
        <f>IF(VLOOKUP(C15,'Train Runs'!$A$13:$AE$9941,1,1)=C15,VLOOKUP(C15,'Train Runs'!$A$13:$AE$9941,31,1),NA())</f>
        <v>aws s3 cp s3://rtdc.mdm.uploadarchive.raw/RTDC4053/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 &amp; aws s3 cp s3://rtdc.mdm.uploadarchive.raw/RTDC4053/ "%USERPROFILE%\AppData\Local\Temp\OnboardLogs"\RTDC4053\2017-04-03 --exclude "*" --recursive --include "*20170403*" &amp; "%USERPROFILE%\Documents\GitHub\mrs-test-scripts\Headless Mode &amp; Sideloading\WalkAndUnGZ.bat" "%USERPROFILE%\AppData\Local\Temp\OnboardLogs"\RTDC4053\2017-04-03</v>
      </c>
      <c r="S15" s="92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-04-02T05:44:19-0600',mode:absolute,to:'2017-04-02T08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5" s="94" t="str">
        <f t="shared" si="1"/>
        <v>"C:\Program Files (x86)\AstroGrep\AstroGrep.exe" /e /r /s /spath="%USERPROFILE%\AppData\Local\Temp\OnboardLogs" /stypes="*4053*201704021*" /stext=" 13:.+((SYSTEM_STATE.+slice.+state.+changed )|(ment ac)|(multiple cpu faults)|(system.+state.+changed )|(\[timeout)|(PRM\|1\|D)|(kpr)|(kdp)|(\|lc)|(penalty))"</v>
      </c>
      <c r="U15" s="9" t="str">
        <f t="shared" si="2"/>
        <v>4053</v>
      </c>
      <c r="V15" s="32">
        <f t="shared" si="3"/>
        <v>42827.555497685185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arrival","project_id":79,"tracker_id":40,"status_id":1,"priority_id":2,"assigned_to_id":23,"start_date":"2017-04-02","description":"","custom_fields":[{"id":1,"name":"Subdivision","value":"EC"},{"id":4,"name":"Milepost","value":"6.3309"},{"id":17,"name":"Train ID","value":"120-02"},{"id":16,"name":"Locomotive ID","value":"4053"},{"id":130,"name":"Impact","value":""},{"id":150,"name":"Time of Event (Mountain Time)","value":"07:19:55"},{"id":151,"name":"Denver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"%USERPROFILE%\AppData\Local\Temp\OnboardLogs"\RTDC4053\*4053*201704021*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"%USERPROFILE%\AppData\Local\Temp\OnboardLogs"\RTDC4053\*4053*201704021* &gt;&gt; 2017-04-02-SliceDisagreementCheck.txt</v>
      </c>
      <c r="AE15" s="153" t="str">
        <f t="shared" si="9"/>
        <v>start /low /b %USERPROFILE%\Documents\GitHub\eaglep3\Utilities\DownloadLogsFromS3.py --loco 4053 --day 2017-04-02</v>
      </c>
      <c r="AF15" s="1"/>
    </row>
    <row r="16" spans="1:32" x14ac:dyDescent="0.25">
      <c r="A16" s="32">
        <v>42827.931030092594</v>
      </c>
      <c r="B16" s="30" t="s">
        <v>611</v>
      </c>
      <c r="C16" s="30" t="s">
        <v>633</v>
      </c>
      <c r="D16" s="30" t="s">
        <v>98</v>
      </c>
      <c r="E16" s="30" t="s">
        <v>193</v>
      </c>
      <c r="F16" s="43">
        <v>120</v>
      </c>
      <c r="G16" s="43">
        <v>170</v>
      </c>
      <c r="H16" s="43">
        <v>63104</v>
      </c>
      <c r="I16" s="43">
        <v>62804</v>
      </c>
      <c r="J16" s="30" t="s">
        <v>194</v>
      </c>
      <c r="K16" s="43">
        <v>63309</v>
      </c>
      <c r="L16" s="139" t="s">
        <v>51</v>
      </c>
      <c r="M16" s="140">
        <f t="shared" si="0"/>
        <v>-266.64</v>
      </c>
      <c r="N16" s="141" t="str">
        <f>VLOOKUP(C16,'Trips&amp;Operators'!$C$1:$G$99999,5,FALSE)</f>
        <v>YANG JAN</v>
      </c>
      <c r="O16" s="190" t="s">
        <v>185</v>
      </c>
      <c r="P16" s="142" t="s">
        <v>437</v>
      </c>
      <c r="Q16" s="30"/>
      <c r="R16" s="89" t="e">
        <f>IF(VLOOKUP(C16,'Train Runs'!$A$13:$AE$9941,1,1)=C16,VLOOKUP(C16,'Train Runs'!$A$13:$AE$9941,31,1),NA())</f>
        <v>#N/A</v>
      </c>
      <c r="S16" s="92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-04-02T20:50:16-0600',mode:absolute,to:'2017-04-02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6" s="94" t="str">
        <f t="shared" si="1"/>
        <v>"C:\Program Files (x86)\AstroGrep\AstroGrep.exe" /e /r /s /spath="%USERPROFILE%\AppData\Local\Temp\OnboardLogs" /stypes="*4015*201704030*" /stext=" 04:.+((SYSTEM_STATE.+slice.+state.+changed )|(ment ac)|(multiple cpu faults)|(system.+state.+changed )|(\[timeout)|(PRM\|1\|D)|(kpr)|(kdp)|(\|lc)|(penalty))"</v>
      </c>
      <c r="U16" s="9" t="str">
        <f t="shared" si="2"/>
        <v>4015</v>
      </c>
      <c r="V16" s="32">
        <f t="shared" si="3"/>
        <v>42828.181030092594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arrival","project_id":79,"tracker_id":40,"status_id":1,"priority_id":2,"assigned_to_id":23,"start_date":"2017-04-02","description":"","custom_fields":[{"id":1,"name":"Subdivision","value":"EC"},{"id":4,"name":"Milepost","value":"6.3309"},{"id":17,"name":"Train ID","value":"230-02"},{"id":16,"name":"Locomotive ID","value":"4015"},{"id":130,"name":"Impact","value":""},{"id":150,"name":"Time of Event (Mountain Time)","value":"22:20:41"},{"id":151,"name":"Denver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"%USERPROFILE%\AppData\Local\Temp\OnboardLogs"\RTDC4015\*4015*201704030*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"%USERPROFILE%\AppData\Local\Temp\OnboardLogs"\RTDC4015\*4015*201704030* &gt;&gt; 2017-04-02-SliceDisagreementCheck.txt</v>
      </c>
      <c r="AE16" s="153" t="str">
        <f t="shared" si="9"/>
        <v>start /low /b %USERPROFILE%\Documents\GitHub\eaglep3\Utilities\DownloadLogsFromS3.py --loco 4015 --day 2017-04-03</v>
      </c>
      <c r="AF16" s="1"/>
    </row>
    <row r="17" spans="1:32" x14ac:dyDescent="0.25">
      <c r="A17" s="32">
        <v>42827.426516203705</v>
      </c>
      <c r="B17" s="30" t="s">
        <v>525</v>
      </c>
      <c r="C17" s="30" t="s">
        <v>614</v>
      </c>
      <c r="D17" s="30" t="s">
        <v>49</v>
      </c>
      <c r="E17" s="30" t="s">
        <v>193</v>
      </c>
      <c r="F17" s="43">
        <v>360</v>
      </c>
      <c r="G17" s="43">
        <v>442</v>
      </c>
      <c r="H17" s="43">
        <v>110429</v>
      </c>
      <c r="I17" s="43">
        <v>109001</v>
      </c>
      <c r="J17" s="30" t="s">
        <v>194</v>
      </c>
      <c r="K17" s="43">
        <v>109135</v>
      </c>
      <c r="L17" s="139" t="s">
        <v>51</v>
      </c>
      <c r="M17" s="140">
        <f t="shared" si="0"/>
        <v>-70.751999999999995</v>
      </c>
      <c r="N17" s="141" t="str">
        <f>VLOOKUP(C17,'Trips&amp;Operators'!$C$1:$G$99999,5,FALSE)</f>
        <v>SHOOK JOHN</v>
      </c>
      <c r="O17" s="190" t="s">
        <v>185</v>
      </c>
      <c r="P17" s="142" t="s">
        <v>437</v>
      </c>
      <c r="Q17" s="30"/>
      <c r="R17" s="89" t="str">
        <f>IF(VLOOKUP(C17,'Train Runs'!$A$13:$AE$9941,1,1)=C17,VLOOKUP(C17,'Train Runs'!$A$13:$AE$9941,31,1),NA())</f>
        <v>aws s3 cp s3://rtdc.mdm.uploadarchive.raw/RTDC4001/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 &amp; 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</v>
      </c>
      <c r="S17" s="92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-04-02T08:39:30-0600',mode:absolute,to:'2017-04-02T11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94" t="str">
        <f t="shared" si="1"/>
        <v>"C:\Program Files (x86)\AstroGrep\AstroGrep.exe" /e /r /s /spath="%USERPROFILE%\AppData\Local\Temp\OnboardLogs" /stypes="*4001*201704021*" /stext=" 16:.+((SYSTEM_STATE.+slice.+state.+changed )|(ment ac)|(multiple cpu faults)|(system.+state.+changed )|(\[timeout)|(PRM\|1\|D)|(kpr)|(kdp)|(\|lc)|(penalty))"</v>
      </c>
      <c r="U17" s="9" t="str">
        <f t="shared" si="2"/>
        <v>4001</v>
      </c>
      <c r="V17" s="32">
        <f t="shared" si="3"/>
        <v>42827.676516203705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arrival","project_id":79,"tracker_id":40,"status_id":1,"priority_id":2,"assigned_to_id":23,"start_date":"2017-04-02","description":"","custom_fields":[{"id":1,"name":"Subdivision","value":"EC"},{"id":4,"name":"Milepost","value":"10.9135"},{"id":17,"name":"Train ID","value":"144-02"},{"id":16,"name":"Locomotive ID","value":"4001"},{"id":130,"name":"Impact","value":""},{"id":150,"name":"Time of Event (Mountain Time)","value":"10:14:11"},{"id":151,"name":"Denver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"%USERPROFILE%\AppData\Local\Temp\OnboardLogs"\RTDC4001\*4001*201704021*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"%USERPROFILE%\AppData\Local\Temp\OnboardLogs"\RTDC4001\*4001*201704021* &gt;&gt; 2017-04-02-SliceDisagreementCheck.txt</v>
      </c>
      <c r="AE17" s="153" t="str">
        <f t="shared" si="9"/>
        <v>start /low /b %USERPROFILE%\Documents\GitHub\eaglep3\Utilities\DownloadLogsFromS3.py --loco 4001 --day 2017-04-02</v>
      </c>
      <c r="AF17" s="1"/>
    </row>
    <row r="18" spans="1:32" ht="15" customHeight="1" x14ac:dyDescent="0.25">
      <c r="A18" s="32">
        <v>42827.66915509259</v>
      </c>
      <c r="B18" s="30" t="s">
        <v>530</v>
      </c>
      <c r="C18" s="30" t="s">
        <v>624</v>
      </c>
      <c r="D18" s="30" t="s">
        <v>49</v>
      </c>
      <c r="E18" s="30" t="s">
        <v>215</v>
      </c>
      <c r="F18" s="43">
        <v>450</v>
      </c>
      <c r="G18" s="43">
        <v>501</v>
      </c>
      <c r="H18" s="43">
        <v>10667</v>
      </c>
      <c r="I18" s="43">
        <v>12270</v>
      </c>
      <c r="J18" s="30" t="s">
        <v>216</v>
      </c>
      <c r="K18" s="43">
        <v>11201</v>
      </c>
      <c r="L18" s="139" t="s">
        <v>50</v>
      </c>
      <c r="M18" s="140">
        <f t="shared" si="0"/>
        <v>-564.43200000000002</v>
      </c>
      <c r="N18" s="141" t="str">
        <f>VLOOKUP(C18,'Trips&amp;Operators'!$C$1:$G$99999,5,FALSE)</f>
        <v>BRANDNER MELINDA</v>
      </c>
      <c r="O18" s="190" t="s">
        <v>185</v>
      </c>
      <c r="P18" s="142"/>
      <c r="Q18" s="30"/>
      <c r="R18" s="89" t="e">
        <f>IF(VLOOKUP(C18,'Train Runs'!$A$13:$AE$9941,1,1)=C18,VLOOKUP(C18,'Train Runs'!$A$13:$AE$9941,31,1),NA())</f>
        <v>#N/A</v>
      </c>
      <c r="S18" s="92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-04-02T14:57:42-0600',mode:absolute,to:'2017-04-02T17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8" s="94" t="str">
        <f t="shared" si="1"/>
        <v>"C:\Program Files (x86)\AstroGrep\AstroGrep.exe" /e /r /s /spath="%USERPROFILE%\AppData\Local\Temp\OnboardLogs" /stypes="*4002*201704022*" /stext=" 22:.+((SYSTEM_STATE.+slice.+state.+changed )|(ment ac)|(multiple cpu faults)|(system.+state.+changed )|(\[timeout)|(PRM\|1\|D)|(kpr)|(kdp)|(\|lc)|(penalty))"</v>
      </c>
      <c r="U18" s="9" t="str">
        <f t="shared" si="2"/>
        <v>4002</v>
      </c>
      <c r="V18" s="32">
        <f t="shared" si="3"/>
        <v>42827.91915509259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{"issue":{"subject":"","project_id":79,"tracker_id":40,"status_id":1,"priority_id":2,"assigned_to_id":23,"start_date":"2017-04-02","description":"","custom_fields":[{"id":1,"name":"Subdivision","value":"EC"},{"id":4,"name":"Milepost","value":"1.1201"},{"id":17,"name":"Train ID","value":"199-02"},{"id":16,"name":"Locomotive ID","value":"4002"},{"id":130,"name":"Impact","value":""},{"id":150,"name":"Time of Event (Mountain Time)","value":"16:03:35"},{"id":151,"name":"Denver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"%USERPROFILE%\AppData\Local\Temp\OnboardLogs"\RTDC4002\*4002*201704022*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"%USERPROFILE%\AppData\Local\Temp\OnboardLogs"\RTDC4002\*4002*201704022* &gt;&gt; 2017-04-02-SliceDisagreementCheck.txt</v>
      </c>
      <c r="AE18" s="153" t="str">
        <f t="shared" si="9"/>
        <v>start /low /b %USERPROFILE%\Documents\GitHub\eaglep3\Utilities\DownloadLogsFromS3.py --loco 4002 --day 2017-04-02</v>
      </c>
      <c r="AF18" s="1"/>
    </row>
    <row r="19" spans="1:32" x14ac:dyDescent="0.25">
      <c r="A19" s="32">
        <v>42827.814247685186</v>
      </c>
      <c r="B19" s="30" t="s">
        <v>524</v>
      </c>
      <c r="C19" s="30" t="s">
        <v>630</v>
      </c>
      <c r="D19" s="30" t="s">
        <v>49</v>
      </c>
      <c r="E19" s="30" t="s">
        <v>215</v>
      </c>
      <c r="F19" s="43">
        <v>600</v>
      </c>
      <c r="G19" s="43">
        <v>650</v>
      </c>
      <c r="H19" s="43">
        <v>192360</v>
      </c>
      <c r="I19" s="43">
        <v>190087</v>
      </c>
      <c r="J19" s="30" t="s">
        <v>216</v>
      </c>
      <c r="K19" s="43">
        <v>191104</v>
      </c>
      <c r="L19" s="139" t="s">
        <v>51</v>
      </c>
      <c r="M19" s="140">
        <f t="shared" si="0"/>
        <v>-536.976</v>
      </c>
      <c r="N19" s="141" t="str">
        <f>VLOOKUP(C19,'Trips&amp;Operators'!$C$1:$G$99999,5,FALSE)</f>
        <v>STAMBAUGH JAMES</v>
      </c>
      <c r="O19" s="190" t="s">
        <v>185</v>
      </c>
      <c r="P19" s="142"/>
      <c r="Q19" s="30"/>
      <c r="R19" s="89" t="e">
        <f>IF(VLOOKUP(C19,'Train Runs'!$A$13:$AE$9941,1,1)=C19,VLOOKUP(C19,'Train Runs'!$A$13:$AE$9941,31,1),NA())</f>
        <v>#N/A</v>
      </c>
      <c r="S19" s="92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-04-02T18:23:23-0600',mode:absolute,to:'2017-04-02T21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9" s="94" t="str">
        <f t="shared" si="1"/>
        <v>"C:\Program Files (x86)\AstroGrep\AstroGrep.exe" /e /r /s /spath="%USERPROFILE%\AppData\Local\Temp\OnboardLogs" /stypes="*4009*201704030*" /stext=" 01:.+((SYSTEM_STATE.+slice.+state.+changed )|(ment ac)|(multiple cpu faults)|(system.+state.+changed )|(\[timeout)|(PRM\|1\|D)|(kpr)|(kdp)|(\|lc)|(penalty))"</v>
      </c>
      <c r="U19" s="9" t="str">
        <f t="shared" si="2"/>
        <v>4009</v>
      </c>
      <c r="V19" s="32">
        <f t="shared" si="3"/>
        <v>42828.064247685186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{"issue":{"subject":"","project_id":79,"tracker_id":40,"status_id":1,"priority_id":2,"assigned_to_id":23,"start_date":"2017-04-02","description":"","custom_fields":[{"id":1,"name":"Subdivision","value":"EC"},{"id":4,"name":"Milepost","value":"19.1104"},{"id":17,"name":"Train ID","value":"220-02"},{"id":16,"name":"Locomotive ID","value":"4009"},{"id":130,"name":"Impact","value":""},{"id":150,"name":"Time of Event (Mountain Time)","value":"19:32:31"},{"id":151,"name":"Denver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"%USERPROFILE%\AppData\Local\Temp\OnboardLogs"\RTDC4009\*4009*201704030*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"%USERPROFILE%\AppData\Local\Temp\OnboardLogs"\RTDC4009\*4009*201704030* &gt;&gt; 2017-04-02-SliceDisagreementCheck.txt</v>
      </c>
      <c r="AE19" s="153" t="str">
        <f t="shared" si="9"/>
        <v>start /low /b %USERPROFILE%\Documents\GitHub\eaglep3\Utilities\DownloadLogsFromS3.py --loco 4009 --day 2017-04-03</v>
      </c>
      <c r="AF19" s="1"/>
    </row>
    <row r="20" spans="1:32" x14ac:dyDescent="0.25">
      <c r="A20" s="32">
        <v>42827.200659722221</v>
      </c>
      <c r="B20" s="30" t="s">
        <v>606</v>
      </c>
      <c r="C20" s="30" t="s">
        <v>607</v>
      </c>
      <c r="D20" s="30" t="s">
        <v>49</v>
      </c>
      <c r="E20" s="30" t="s">
        <v>215</v>
      </c>
      <c r="F20" s="43">
        <v>550</v>
      </c>
      <c r="G20" s="43">
        <v>759</v>
      </c>
      <c r="H20" s="43">
        <v>218174</v>
      </c>
      <c r="I20" s="43">
        <v>222180</v>
      </c>
      <c r="J20" s="30" t="s">
        <v>216</v>
      </c>
      <c r="K20" s="43">
        <v>222091</v>
      </c>
      <c r="L20" s="139" t="s">
        <v>50</v>
      </c>
      <c r="M20" s="140">
        <f t="shared" si="0"/>
        <v>-46.991999999999997</v>
      </c>
      <c r="N20" s="141" t="str">
        <f>VLOOKUP(C20,'Trips&amp;Operators'!$C$1:$G$99999,5,FALSE)</f>
        <v>DELGADO DIANAH</v>
      </c>
      <c r="O20" s="190" t="s">
        <v>185</v>
      </c>
      <c r="P20" s="142"/>
      <c r="Q20" s="30"/>
      <c r="R20" s="89" t="str">
        <f>IF(VLOOKUP(C20,'Train Runs'!$A$13:$AE$9941,1,1)=C20,VLOOKUP(C20,'Train Runs'!$A$13:$AE$9941,31,1),NA())</f>
        <v>aws s3 cp s3://rtdc.mdm.uploadarchive.raw/RTDC4054/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 &amp; aws s3 cp s3://rtdc.mdm.uploadarchive.raw/RTDC4054/ "%USERPROFILE%\AppData\Local\Temp\OnboardLogs"\RTDC4054\2017-04-03 --exclude "*" --recursive --include "*20170403*" &amp; "%USERPROFILE%\Documents\GitHub\mrs-test-scripts\Headless Mode &amp; Sideloading\WalkAndUnGZ.bat" "%USERPROFILE%\AppData\Local\Temp\OnboardLogs"\RTDC4054\2017-04-03</v>
      </c>
      <c r="S20" s="92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-04-02T03:04:55-0600',mode:absolute,to:'2017-04-02T05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0" s="94" t="str">
        <f t="shared" si="1"/>
        <v>"C:\Program Files (x86)\AstroGrep\AstroGrep.exe" /e /r /s /spath="%USERPROFILE%\AppData\Local\Temp\OnboardLogs" /stypes="*4054*201704021*" /stext=" 10:.+((SYSTEM_STATE.+slice.+state.+changed )|(ment ac)|(multiple cpu faults)|(system.+state.+changed )|(\[timeout)|(PRM\|1\|D)|(kpr)|(kdp)|(\|lc)|(penalty))"</v>
      </c>
      <c r="U20" s="9" t="str">
        <f t="shared" si="2"/>
        <v>4054</v>
      </c>
      <c r="V20" s="32">
        <f t="shared" si="3"/>
        <v>42827.450659722221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{"issue":{"subject":"","project_id":79,"tracker_id":40,"status_id":1,"priority_id":2,"assigned_to_id":23,"start_date":"2017-04-02","description":"","custom_fields":[{"id":1,"name":"Subdivision","value":"EC"},{"id":4,"name":"Milepost","value":"22.2091"},{"id":17,"name":"Train ID","value":"105-02"},{"id":16,"name":"Locomotive ID","value":"4054"},{"id":130,"name":"Impact","value":""},{"id":150,"name":"Time of Event (Mountain Time)","value":"04:48:57"},{"id":151,"name":"Denver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"%USERPROFILE%\AppData\Local\Temp\OnboardLogs"\RTDC4054\*4054*201704021*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"%USERPROFILE%\AppData\Local\Temp\OnboardLogs"\RTDC4054\*4054*201704021* &gt;&gt; 2017-04-02-SliceDisagreementCheck.txt</v>
      </c>
      <c r="AE20" s="153" t="str">
        <f t="shared" si="9"/>
        <v>start /low /b %USERPROFILE%\Documents\GitHub\eaglep3\Utilities\DownloadLogsFromS3.py --loco 4054 --day 2017-04-02</v>
      </c>
      <c r="AF20" s="1"/>
    </row>
    <row r="21" spans="1:32" x14ac:dyDescent="0.25">
      <c r="A21" s="32">
        <v>42827.45684027778</v>
      </c>
      <c r="B21" s="30" t="s">
        <v>394</v>
      </c>
      <c r="C21" s="30" t="s">
        <v>616</v>
      </c>
      <c r="D21" s="30" t="s">
        <v>49</v>
      </c>
      <c r="E21" s="30" t="s">
        <v>215</v>
      </c>
      <c r="F21" s="43">
        <v>150</v>
      </c>
      <c r="G21" s="43">
        <v>206</v>
      </c>
      <c r="H21" s="43">
        <v>229093</v>
      </c>
      <c r="I21" s="43">
        <v>228815</v>
      </c>
      <c r="J21" s="30" t="s">
        <v>216</v>
      </c>
      <c r="K21" s="43">
        <v>229055</v>
      </c>
      <c r="L21" s="139" t="s">
        <v>51</v>
      </c>
      <c r="M21" s="140">
        <f t="shared" si="0"/>
        <v>-126.72</v>
      </c>
      <c r="N21" s="141" t="str">
        <f>VLOOKUP(C21,'Trips&amp;Operators'!$C$1:$G$99999,5,FALSE)</f>
        <v>ROBINSON KADDIBA</v>
      </c>
      <c r="O21" s="190" t="s">
        <v>185</v>
      </c>
      <c r="P21" s="142"/>
      <c r="Q21" s="30"/>
      <c r="R21" s="89" t="str">
        <f>IF(VLOOKUP(C21,'Train Runs'!$A$13:$AE$9941,1,1)=C21,VLOOKUP(C21,'Train Runs'!$A$13:$AE$9941,31,1),NA())</f>
        <v>aws s3 cp s3://rtdc.mdm.uploadarchive.raw/RTDC4012/ "%USERPROFILE%\AppData\Local\Temp\OnboardLogs"\RTDC4012\2017-04-02 --exclude "*" --recursive --include "*20170402*" &amp; "%USERPROFILE%\Documents\GitHub\mrs-test-scripts\Headless Mode &amp; Sideloading\WalkAndUnGZ.bat" "%USERPROFILE%\AppData\Local\Temp\OnboardLogs"\RTDC4012\2017-04-02 &amp; aws s3 cp s3://rtdc.mdm.uploadarchive.raw/RTDC4012/ "%USERPROFILE%\AppData\Local\Temp\OnboardLogs"\RTDC4012\2017-04-03 --exclude "*" --recursive --include "*20170403*" &amp; "%USERPROFILE%\Documents\GitHub\mrs-test-scripts\Headless Mode &amp; Sideloading\WalkAndUnGZ.bat" "%USERPROFILE%\AppData\Local\Temp\OnboardLogs"\RTDC4012\2017-04-03</v>
      </c>
      <c r="S21" s="92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-04-02T09:52:15-0600',mode:absolute,to:'2017-04-02T12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94" t="str">
        <f t="shared" si="1"/>
        <v>"C:\Program Files (x86)\AstroGrep\AstroGrep.exe" /e /r /s /spath="%USERPROFILE%\AppData\Local\Temp\OnboardLogs" /stypes="*4012*201704021*" /stext=" 16:.+((SYSTEM_STATE.+slice.+state.+changed )|(ment ac)|(multiple cpu faults)|(system.+state.+changed )|(\[timeout)|(PRM\|1\|D)|(kpr)|(kdp)|(\|lc)|(penalty))"</v>
      </c>
      <c r="U21" s="9" t="str">
        <f t="shared" si="2"/>
        <v>4012</v>
      </c>
      <c r="V21" s="32">
        <f t="shared" si="3"/>
        <v>42827.70684027778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{"issue":{"subject":"","project_id":79,"tracker_id":40,"status_id":1,"priority_id":2,"assigned_to_id":23,"start_date":"2017-04-02","description":"","custom_fields":[{"id":1,"name":"Subdivision","value":"EC"},{"id":4,"name":"Milepost","value":"22.9055"},{"id":17,"name":"Train ID","value":"152-02"},{"id":16,"name":"Locomotive ID","value":"4012"},{"id":130,"name":"Impact","value":""},{"id":150,"name":"Time of Event (Mountain Time)","value":"10:57:51"},{"id":151,"name":"Denver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"%USERPROFILE%\AppData\Local\Temp\OnboardLogs"\RTDC4012\*4012*201704021*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"%USERPROFILE%\AppData\Local\Temp\OnboardLogs"\RTDC4012\*4012*201704021* &gt;&gt; 2017-04-02-SliceDisagreementCheck.txt</v>
      </c>
      <c r="AE21" s="153" t="str">
        <f t="shared" si="9"/>
        <v>start /low /b %USERPROFILE%\Documents\GitHub\eaglep3\Utilities\DownloadLogsFromS3.py --loco 4012 --day 2017-04-02</v>
      </c>
      <c r="AF21" s="1"/>
    </row>
    <row r="22" spans="1:32" x14ac:dyDescent="0.25">
      <c r="A22" s="32">
        <v>42827.224861111114</v>
      </c>
      <c r="B22" s="30" t="s">
        <v>427</v>
      </c>
      <c r="C22" s="30" t="s">
        <v>608</v>
      </c>
      <c r="D22" s="30" t="s">
        <v>49</v>
      </c>
      <c r="E22" s="30" t="s">
        <v>186</v>
      </c>
      <c r="F22" s="43">
        <v>0</v>
      </c>
      <c r="G22" s="43">
        <v>166</v>
      </c>
      <c r="H22" s="43">
        <v>1209</v>
      </c>
      <c r="I22" s="43">
        <v>967</v>
      </c>
      <c r="J22" s="30" t="s">
        <v>187</v>
      </c>
      <c r="K22" s="43">
        <v>1</v>
      </c>
      <c r="L22" s="139" t="s">
        <v>51</v>
      </c>
      <c r="M22" s="140">
        <f t="shared" si="0"/>
        <v>510.048</v>
      </c>
      <c r="N22" s="141" t="str">
        <f>VLOOKUP(C22,'Trips&amp;Operators'!$C$1:$G$99999,5,FALSE)</f>
        <v>MAELZER KURT</v>
      </c>
      <c r="O22" s="190" t="s">
        <v>185</v>
      </c>
      <c r="P22" s="142"/>
      <c r="Q22" s="30"/>
      <c r="R22" s="89" t="str">
        <f>IF(VLOOKUP(C22,'Train Runs'!$A$13:$AE$9941,1,1)=C22,VLOOKUP(C22,'Train Runs'!$A$13:$AE$9941,31,1),NA())</f>
        <v>aws s3 cp s3://rtdc.mdm.uploadarchive.raw/RTDC4026/ "%USERPROFILE%\AppData\Local\Temp\OnboardLogs"\RTDC4026\2017-04-02 --exclude "*" --recursive --include "*20170402*" &amp; "%USERPROFILE%\Documents\GitHub\mrs-test-scripts\Headless Mode &amp; Sideloading\WalkAndUnGZ.bat" "%USERPROFILE%\AppData\Local\Temp\OnboardLogs"\RTDC4026\2017-04-02 &amp; aws s3 cp s3://rtdc.mdm.uploadarchive.raw/RTDC4026/ "%USERPROFILE%\AppData\Local\Temp\OnboardLogs"\RTDC4026\2017-04-03 --exclude "*" --recursive --include "*20170403*" &amp; "%USERPROFILE%\Documents\GitHub\mrs-test-scripts\Headless Mode &amp; Sideloading\WalkAndUnGZ.bat" "%USERPROFILE%\AppData\Local\Temp\OnboardLogs"\RTDC4026\2017-04-03</v>
      </c>
      <c r="S22" s="92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-04-02T03:29:15-0600',mode:absolute,to:'2017-04-02T06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2" s="94" t="str">
        <f t="shared" si="1"/>
        <v>"C:\Program Files (x86)\AstroGrep\AstroGrep.exe" /e /r /s /spath="%USERPROFILE%\AppData\Local\Temp\OnboardLogs" /stypes="*4026*201704021*" /stext=" 11:.+((SYSTEM_STATE.+slice.+state.+changed )|(ment ac)|(multiple cpu faults)|(system.+state.+changed )|(\[timeout)|(PRM\|1\|D)|(kpr)|(kdp)|(\|lc)|(penalty))"</v>
      </c>
      <c r="U22" s="9" t="str">
        <f t="shared" si="2"/>
        <v>4026</v>
      </c>
      <c r="V22" s="32">
        <f t="shared" si="3"/>
        <v>42827.474861111114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{"issue":{"subject":"","project_id":79,"tracker_id":40,"status_id":1,"priority_id":2,"assigned_to_id":23,"start_date":"2017-04-02","description":"","custom_fields":[{"id":1,"name":"Subdivision","value":"EC"},{"id":4,"name":"Milepost","value":"0.0001"},{"id":17,"name":"Train ID","value":"104-02"},{"id":16,"name":"Locomotive ID","value":"4026"},{"id":130,"name":"Impact","value":""},{"id":150,"name":"Time of Event (Mountain Time)","value":"05:23:48"},{"id":151,"name":"Denver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"%USERPROFILE%\AppData\Local\Temp\OnboardLogs"\RTDC4026\*4026*201704021*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"%USERPROFILE%\AppData\Local\Temp\OnboardLogs"\RTDC4026\*4026*201704021* &gt;&gt; 2017-04-02-SliceDisagreementCheck.txt</v>
      </c>
      <c r="AE22" s="153" t="str">
        <f t="shared" si="9"/>
        <v>start /low /b %USERPROFILE%\Documents\GitHub\eaglep3\Utilities\DownloadLogsFromS3.py --loco 4026 --day 2017-04-02</v>
      </c>
      <c r="AF22" s="1"/>
    </row>
    <row r="23" spans="1:32" x14ac:dyDescent="0.25">
      <c r="A23" s="32">
        <v>42827.429363425923</v>
      </c>
      <c r="B23" s="30" t="s">
        <v>479</v>
      </c>
      <c r="C23" s="30" t="s">
        <v>615</v>
      </c>
      <c r="D23" s="30" t="s">
        <v>49</v>
      </c>
      <c r="E23" s="30" t="s">
        <v>186</v>
      </c>
      <c r="F23" s="43">
        <v>0</v>
      </c>
      <c r="G23" s="43">
        <v>68</v>
      </c>
      <c r="H23" s="43">
        <v>209</v>
      </c>
      <c r="I23" s="43">
        <v>160</v>
      </c>
      <c r="J23" s="30" t="s">
        <v>187</v>
      </c>
      <c r="K23" s="43">
        <v>1</v>
      </c>
      <c r="L23" s="139" t="s">
        <v>51</v>
      </c>
      <c r="M23" s="140">
        <f t="shared" si="0"/>
        <v>83.951999999999998</v>
      </c>
      <c r="N23" s="141" t="str">
        <f>VLOOKUP(C23,'Trips&amp;Operators'!$C$1:$G$99999,5,FALSE)</f>
        <v>SANTIZO D. EDY</v>
      </c>
      <c r="O23" s="190" t="s">
        <v>185</v>
      </c>
      <c r="P23" s="142"/>
      <c r="Q23" s="30"/>
      <c r="R23" s="89" t="str">
        <f>IF(VLOOKUP(C23,'Train Runs'!$A$13:$AE$9941,1,1)=C23,VLOOKUP(C23,'Train Runs'!$A$13:$AE$9941,31,1),NA())</f>
        <v>aws s3 cp s3://rtdc.mdm.uploadarchive.raw/RTDC4019/ "%USERPROFILE%\AppData\Local\Temp\OnboardLogs"\RTDC4019\2017-04-02 --exclude "*" --recursive --include "*20170402*" &amp; "%USERPROFILE%\Documents\GitHub\mrs-test-scripts\Headless Mode &amp; Sideloading\WalkAndUnGZ.bat" "%USERPROFILE%\AppData\Local\Temp\OnboardLogs"\RTDC4019\2017-04-02 &amp; aws s3 cp s3://rtdc.mdm.uploadarchive.raw/RTDC4019/ "%USERPROFILE%\AppData\Local\Temp\OnboardLogs"\RTDC4019\2017-04-03 --exclude "*" --recursive --include "*20170403*" &amp; "%USERPROFILE%\Documents\GitHub\mrs-test-scripts\Headless Mode &amp; Sideloading\WalkAndUnGZ.bat" "%USERPROFILE%\AppData\Local\Temp\OnboardLogs"\RTDC4019\2017-04-03</v>
      </c>
      <c r="S23" s="92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-04-02T08:22:54-0600',mode:absolute,to:'2017-04-02T11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94" t="str">
        <f t="shared" si="1"/>
        <v>"C:\Program Files (x86)\AstroGrep\AstroGrep.exe" /e /r /s /spath="%USERPROFILE%\AppData\Local\Temp\OnboardLogs" /stypes="*4019*201704021*" /stext=" 16:.+((SYSTEM_STATE.+slice.+state.+changed )|(ment ac)|(multiple cpu faults)|(system.+state.+changed )|(\[timeout)|(PRM\|1\|D)|(kpr)|(kdp)|(\|lc)|(penalty))"</v>
      </c>
      <c r="U23" s="9" t="str">
        <f t="shared" si="2"/>
        <v>4019</v>
      </c>
      <c r="V23" s="32">
        <f t="shared" si="3"/>
        <v>42827.679363425923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{"issue":{"subject":"","project_id":79,"tracker_id":40,"status_id":1,"priority_id":2,"assigned_to_id":23,"start_date":"2017-04-02","description":"","custom_fields":[{"id":1,"name":"Subdivision","value":"EC"},{"id":4,"name":"Milepost","value":"0.0001"},{"id":17,"name":"Train ID","value":"142-02"},{"id":16,"name":"Locomotive ID","value":"4019"},{"id":130,"name":"Impact","value":""},{"id":150,"name":"Time of Event (Mountain Time)","value":"10:18:17"},{"id":151,"name":"Denver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"%USERPROFILE%\AppData\Local\Temp\OnboardLogs"\RTDC4019\*4019*201704021*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"%USERPROFILE%\AppData\Local\Temp\OnboardLogs"\RTDC4019\*4019*201704021* &gt;&gt; 2017-04-02-SliceDisagreementCheck.txt</v>
      </c>
      <c r="AE23" s="153" t="str">
        <f t="shared" si="9"/>
        <v>start /low /b %USERPROFILE%\Documents\GitHub\eaglep3\Utilities\DownloadLogsFromS3.py --loco 4019 --day 2017-04-02</v>
      </c>
      <c r="AF23" s="1"/>
    </row>
    <row r="24" spans="1:32" x14ac:dyDescent="0.25">
      <c r="A24" s="32">
        <v>42827.721388888887</v>
      </c>
      <c r="B24" s="30" t="s">
        <v>479</v>
      </c>
      <c r="C24" s="30" t="s">
        <v>628</v>
      </c>
      <c r="D24" s="30" t="s">
        <v>49</v>
      </c>
      <c r="E24" s="30" t="s">
        <v>186</v>
      </c>
      <c r="F24" s="43">
        <v>0</v>
      </c>
      <c r="G24" s="43">
        <v>155</v>
      </c>
      <c r="H24" s="43">
        <v>633</v>
      </c>
      <c r="I24" s="43">
        <v>447</v>
      </c>
      <c r="J24" s="30" t="s">
        <v>187</v>
      </c>
      <c r="K24" s="43">
        <v>1</v>
      </c>
      <c r="L24" s="139" t="s">
        <v>51</v>
      </c>
      <c r="M24" s="140">
        <f t="shared" si="0"/>
        <v>235.488</v>
      </c>
      <c r="N24" s="141" t="str">
        <f>VLOOKUP(C24,'Trips&amp;Operators'!$C$1:$G$99999,5,FALSE)</f>
        <v>ROMERO CHAD</v>
      </c>
      <c r="O24" s="190" t="s">
        <v>185</v>
      </c>
      <c r="P24" s="142"/>
      <c r="Q24" s="30"/>
      <c r="R24" s="89" t="e">
        <f>IF(VLOOKUP(C24,'Train Runs'!$A$13:$AE$9941,1,1)=C24,VLOOKUP(C24,'Train Runs'!$A$13:$AE$9941,31,1),NA())</f>
        <v>#N/A</v>
      </c>
      <c r="S24" s="92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-04-02T15:35:15-0600',mode:absolute,to:'2017-04-02T18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94" t="str">
        <f t="shared" si="1"/>
        <v>"C:\Program Files (x86)\AstroGrep\AstroGrep.exe" /e /r /s /spath="%USERPROFILE%\AppData\Local\Temp\OnboardLogs" /stypes="*4019*201704022*" /stext=" 23:.+((SYSTEM_STATE.+slice.+state.+changed )|(ment ac)|(multiple cpu faults)|(system.+state.+changed )|(\[timeout)|(PRM\|1\|D)|(kpr)|(kdp)|(\|lc)|(penalty))"</v>
      </c>
      <c r="U24" s="9" t="str">
        <f t="shared" si="2"/>
        <v>4019</v>
      </c>
      <c r="V24" s="32">
        <f t="shared" si="3"/>
        <v>42827.971388888887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{"issue":{"subject":"","project_id":79,"tracker_id":40,"status_id":1,"priority_id":2,"assigned_to_id":23,"start_date":"2017-04-02","description":"","custom_fields":[{"id":1,"name":"Subdivision","value":"EC"},{"id":4,"name":"Milepost","value":"0.0001"},{"id":17,"name":"Train ID","value":"198-02"},{"id":16,"name":"Locomotive ID","value":"4019"},{"id":130,"name":"Impact","value":""},{"id":150,"name":"Time of Event (Mountain Time)","value":"17:18:48"},{"id":151,"name":"Denver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"%USERPROFILE%\AppData\Local\Temp\OnboardLogs"\RTDC4019\*4019*201704022*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"%USERPROFILE%\AppData\Local\Temp\OnboardLogs"\RTDC4019\*4019*201704022* &gt;&gt; 2017-04-02-SliceDisagreementCheck.txt</v>
      </c>
      <c r="AE24" s="153" t="str">
        <f t="shared" si="9"/>
        <v>start /low /b %USERPROFILE%\Documents\GitHub\eaglep3\Utilities\DownloadLogsFromS3.py --loco 4019 --day 2017-04-02</v>
      </c>
      <c r="AF24" s="1"/>
    </row>
    <row r="25" spans="1:32" x14ac:dyDescent="0.25">
      <c r="A25" s="32">
        <v>42827.721828703703</v>
      </c>
      <c r="B25" s="30" t="s">
        <v>479</v>
      </c>
      <c r="C25" s="30" t="s">
        <v>628</v>
      </c>
      <c r="D25" s="30" t="s">
        <v>49</v>
      </c>
      <c r="E25" s="30" t="s">
        <v>186</v>
      </c>
      <c r="F25" s="43">
        <v>0</v>
      </c>
      <c r="G25" s="43">
        <v>72</v>
      </c>
      <c r="H25" s="43">
        <v>220</v>
      </c>
      <c r="I25" s="43">
        <v>161</v>
      </c>
      <c r="J25" s="30" t="s">
        <v>187</v>
      </c>
      <c r="K25" s="43">
        <v>1</v>
      </c>
      <c r="L25" s="139" t="s">
        <v>51</v>
      </c>
      <c r="M25" s="140">
        <f t="shared" si="0"/>
        <v>84.48</v>
      </c>
      <c r="N25" s="141" t="str">
        <f>VLOOKUP(C25,'Trips&amp;Operators'!$C$1:$G$99999,5,FALSE)</f>
        <v>ROMERO CHAD</v>
      </c>
      <c r="O25" s="190" t="s">
        <v>185</v>
      </c>
      <c r="P25" s="142"/>
      <c r="Q25" s="30"/>
      <c r="R25" s="89" t="e">
        <f>IF(VLOOKUP(C25,'Train Runs'!$A$13:$AE$9941,1,1)=C25,VLOOKUP(C25,'Train Runs'!$A$13:$AE$9941,31,1),NA())</f>
        <v>#N/A</v>
      </c>
      <c r="S25" s="92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-04-02T15:35:15-0600',mode:absolute,to:'2017-04-02T18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94" t="str">
        <f t="shared" si="1"/>
        <v>"C:\Program Files (x86)\AstroGrep\AstroGrep.exe" /e /r /s /spath="%USERPROFILE%\AppData\Local\Temp\OnboardLogs" /stypes="*4019*201704022*" /stext=" 23:.+((SYSTEM_STATE.+slice.+state.+changed )|(ment ac)|(multiple cpu faults)|(system.+state.+changed )|(\[timeout)|(PRM\|1\|D)|(kpr)|(kdp)|(\|lc)|(penalty))"</v>
      </c>
      <c r="U25" s="9" t="str">
        <f t="shared" si="2"/>
        <v>4019</v>
      </c>
      <c r="V25" s="32">
        <f t="shared" si="3"/>
        <v>42827.971828703703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{"issue":{"subject":"","project_id":79,"tracker_id":40,"status_id":1,"priority_id":2,"assigned_to_id":23,"start_date":"2017-04-02","description":"","custom_fields":[{"id":1,"name":"Subdivision","value":"EC"},{"id":4,"name":"Milepost","value":"0.0001"},{"id":17,"name":"Train ID","value":"198-02"},{"id":16,"name":"Locomotive ID","value":"4019"},{"id":130,"name":"Impact","value":""},{"id":150,"name":"Time of Event (Mountain Time)","value":"17:19:26"},{"id":151,"name":"Denver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"%USERPROFILE%\AppData\Local\Temp\OnboardLogs"\RTDC4019\*4019*201704022*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"%USERPROFILE%\AppData\Local\Temp\OnboardLogs"\RTDC4019\*4019*201704022* &gt;&gt; 2017-04-02-SliceDisagreementCheck.txt</v>
      </c>
      <c r="AE25" s="153" t="str">
        <f t="shared" si="9"/>
        <v>start /low /b %USERPROFILE%\Documents\GitHub\eaglep3\Utilities\DownloadLogsFromS3.py --loco 4019 --day 2017-04-02</v>
      </c>
      <c r="AF25" s="1"/>
    </row>
    <row r="26" spans="1:32" x14ac:dyDescent="0.25">
      <c r="A26" s="32">
        <v>42827.816678240742</v>
      </c>
      <c r="B26" s="30" t="s">
        <v>427</v>
      </c>
      <c r="C26" s="30" t="s">
        <v>631</v>
      </c>
      <c r="D26" s="30" t="s">
        <v>49</v>
      </c>
      <c r="E26" s="30" t="s">
        <v>186</v>
      </c>
      <c r="F26" s="43">
        <v>0</v>
      </c>
      <c r="G26" s="43">
        <v>51</v>
      </c>
      <c r="H26" s="43">
        <v>172</v>
      </c>
      <c r="I26" s="43">
        <v>123</v>
      </c>
      <c r="J26" s="30" t="s">
        <v>187</v>
      </c>
      <c r="K26" s="43">
        <v>1</v>
      </c>
      <c r="L26" s="139" t="s">
        <v>51</v>
      </c>
      <c r="M26" s="140">
        <f t="shared" si="0"/>
        <v>64.415999999999997</v>
      </c>
      <c r="N26" s="141" t="str">
        <f>VLOOKUP(C26,'Trips&amp;Operators'!$C$1:$G$99999,5,FALSE)</f>
        <v>BRANDNER MELINDA</v>
      </c>
      <c r="O26" s="190" t="s">
        <v>185</v>
      </c>
      <c r="P26" s="142"/>
      <c r="Q26" s="30"/>
      <c r="R26" s="89" t="e">
        <f>IF(VLOOKUP(C26,'Train Runs'!$A$13:$AE$9941,1,1)=C26,VLOOKUP(C26,'Train Runs'!$A$13:$AE$9941,31,1),NA())</f>
        <v>#N/A</v>
      </c>
      <c r="S26" s="92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-04-02T17:50:05-0600',mode:absolute,to:'2017-04-02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94" t="str">
        <f t="shared" si="1"/>
        <v>"C:\Program Files (x86)\AstroGrep\AstroGrep.exe" /e /r /s /spath="%USERPROFILE%\AppData\Local\Temp\OnboardLogs" /stypes="*4026*201704030*" /stext=" 01:.+((SYSTEM_STATE.+slice.+state.+changed )|(ment ac)|(multiple cpu faults)|(system.+state.+changed )|(\[timeout)|(PRM\|1\|D)|(kpr)|(kdp)|(\|lc)|(penalty))"</v>
      </c>
      <c r="U26" s="9" t="str">
        <f t="shared" si="2"/>
        <v>4026</v>
      </c>
      <c r="V26" s="32">
        <f t="shared" si="3"/>
        <v>42828.066678240742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{"issue":{"subject":"","project_id":79,"tracker_id":40,"status_id":1,"priority_id":2,"assigned_to_id":23,"start_date":"2017-04-02","description":"","custom_fields":[{"id":1,"name":"Subdivision","value":"EC"},{"id":4,"name":"Milepost","value":"0.0001"},{"id":17,"name":"Train ID","value":"216-02"},{"id":16,"name":"Locomotive ID","value":"4026"},{"id":130,"name":"Impact","value":""},{"id":150,"name":"Time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"%USERPROFILE%\AppData\Local\Temp\OnboardLogs"\RTDC4026\*4026*201704030*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"%USERPROFILE%\AppData\Local\Temp\OnboardLogs"\RTDC4026\*4026*201704030* &gt;&gt; 2017-04-02-SliceDisagreementCheck.txt</v>
      </c>
      <c r="AE26" s="153" t="str">
        <f t="shared" si="9"/>
        <v>start /low /b %USERPROFILE%\Documents\GitHub\eaglep3\Utilities\DownloadLogsFromS3.py --loco 4026 --day 2017-04-03</v>
      </c>
      <c r="AF26" s="1"/>
    </row>
    <row r="27" spans="1:32" x14ac:dyDescent="0.25">
      <c r="A27" s="32">
        <v>42827.920023148145</v>
      </c>
      <c r="B27" s="30" t="s">
        <v>524</v>
      </c>
      <c r="C27" s="30" t="s">
        <v>632</v>
      </c>
      <c r="D27" s="30" t="s">
        <v>49</v>
      </c>
      <c r="E27" s="30" t="s">
        <v>186</v>
      </c>
      <c r="F27" s="43">
        <v>0</v>
      </c>
      <c r="G27" s="43">
        <v>63</v>
      </c>
      <c r="H27" s="43">
        <v>221</v>
      </c>
      <c r="I27" s="43">
        <v>167</v>
      </c>
      <c r="J27" s="30" t="s">
        <v>187</v>
      </c>
      <c r="K27" s="43">
        <v>1</v>
      </c>
      <c r="L27" s="139" t="s">
        <v>51</v>
      </c>
      <c r="M27" s="140">
        <f t="shared" si="0"/>
        <v>87.647999999999996</v>
      </c>
      <c r="N27" s="141" t="str">
        <f>VLOOKUP(C27,'Trips&amp;Operators'!$C$1:$G$99999,5,FALSE)</f>
        <v>STAMBAUGH JAMES</v>
      </c>
      <c r="O27" s="190" t="s">
        <v>185</v>
      </c>
      <c r="P27" s="142"/>
      <c r="Q27" s="30"/>
      <c r="R27" s="89" t="e">
        <f>IF(VLOOKUP(C27,'Train Runs'!$A$13:$AE$9941,1,1)=C27,VLOOKUP(C27,'Train Runs'!$A$13:$AE$9941,31,1),NA())</f>
        <v>#N/A</v>
      </c>
      <c r="S27" s="92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-04-02T20:15:31-0600',mode:absolute,to:'2017-04-02T23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7" s="94" t="str">
        <f t="shared" si="1"/>
        <v>"C:\Program Files (x86)\AstroGrep\AstroGrep.exe" /e /r /s /spath="%USERPROFILE%\AppData\Local\Temp\OnboardLogs" /stypes="*4009*201704030*" /stext=" 04:.+((SYSTEM_STATE.+slice.+state.+changed )|(ment ac)|(multiple cpu faults)|(system.+state.+changed )|(\[timeout)|(PRM\|1\|D)|(kpr)|(kdp)|(\|lc)|(penalty))"</v>
      </c>
      <c r="U27" s="9" t="str">
        <f t="shared" si="2"/>
        <v>4009</v>
      </c>
      <c r="V27" s="32">
        <f t="shared" si="3"/>
        <v>42828.170023148145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{"issue":{"subject":"","project_id":79,"tracker_id":40,"status_id":1,"priority_id":2,"assigned_to_id":23,"start_date":"2017-04-02","description":"","custom_fields":[{"id":1,"name":"Subdivision","value":"EC"},{"id":4,"name":"Milepost","value":"0.0001"},{"id":17,"name":"Train ID","value":"228-02"},{"id":16,"name":"Locomotive ID","value":"4009"},{"id":130,"name":"Impact","value":""},{"id":150,"name":"Time of Event (Mountain Time)","value":"22:04:50"},{"id":151,"name":"Denver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"%USERPROFILE%\AppData\Local\Temp\OnboardLogs"\RTDC4009\*4009*201704030*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"%USERPROFILE%\AppData\Local\Temp\OnboardLogs"\RTDC4009\*4009*201704030* &gt;&gt; 2017-04-02-SliceDisagreementCheck.txt</v>
      </c>
      <c r="AE27" s="153" t="str">
        <f t="shared" si="9"/>
        <v>start /low /b %USERPROFILE%\Documents\GitHub\eaglep3\Utilities\DownloadLogsFromS3.py --loco 4009 --day 2017-04-03</v>
      </c>
      <c r="AF27" s="1"/>
    </row>
    <row r="28" spans="1:32" x14ac:dyDescent="0.25">
      <c r="A28" s="32">
        <v>42827.461793981478</v>
      </c>
      <c r="B28" s="30" t="s">
        <v>480</v>
      </c>
      <c r="C28" s="30" t="s">
        <v>617</v>
      </c>
      <c r="D28" s="30" t="s">
        <v>49</v>
      </c>
      <c r="E28" s="30" t="s">
        <v>186</v>
      </c>
      <c r="F28" s="43">
        <v>0</v>
      </c>
      <c r="G28" s="43">
        <v>19</v>
      </c>
      <c r="H28" s="43">
        <v>233426</v>
      </c>
      <c r="I28" s="43">
        <v>233439</v>
      </c>
      <c r="J28" s="30" t="s">
        <v>187</v>
      </c>
      <c r="K28" s="43">
        <v>233491</v>
      </c>
      <c r="L28" s="139" t="s">
        <v>50</v>
      </c>
      <c r="M28" s="140">
        <f t="shared" si="0"/>
        <v>27.456</v>
      </c>
      <c r="N28" s="141" t="str">
        <f>VLOOKUP(C28,'Trips&amp;Operators'!$C$1:$G$99999,5,FALSE)</f>
        <v>ROMERO CHAD</v>
      </c>
      <c r="O28" s="190" t="s">
        <v>185</v>
      </c>
      <c r="P28" s="142"/>
      <c r="Q28" s="30"/>
      <c r="R28" s="89" t="str">
        <f>IF(VLOOKUP(C28,'Train Runs'!$A$13:$AE$9941,1,1)=C28,VLOOKUP(C28,'Train Runs'!$A$13:$AE$9941,31,1),NA())</f>
        <v>aws s3 cp s3://rtdc.mdm.uploadarchive.raw/RTDC4020/ "%USERPROFILE%\AppData\Local\Temp\OnboardLogs"\RTDC4020\2017-04-02 --exclude "*" --recursive --include "*20170402*" &amp; "%USERPROFILE%\Documents\GitHub\mrs-test-scripts\Headless Mode &amp; Sideloading\WalkAndUnGZ.bat" "%USERPROFILE%\AppData\Local\Temp\OnboardLogs"\RTDC4020\2017-04-02 &amp; aws s3 cp s3://rtdc.mdm.uploadarchive.raw/RTDC4020/ "%USERPROFILE%\AppData\Local\Temp\OnboardLogs"\RTDC4020\2017-04-03 --exclude "*" --recursive --include "*20170403*" &amp; "%USERPROFILE%\Documents\GitHub\mrs-test-scripts\Headless Mode &amp; Sideloading\WalkAndUnGZ.bat" "%USERPROFILE%\AppData\Local\Temp\OnboardLogs"\RTDC4020\2017-04-03</v>
      </c>
      <c r="S28" s="92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-04-02T09:22:43-0600',mode:absolute,to:'2017-04-02T12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8" s="94" t="str">
        <f t="shared" si="1"/>
        <v>"C:\Program Files (x86)\AstroGrep\AstroGrep.exe" /e /r /s /spath="%USERPROFILE%\AppData\Local\Temp\OnboardLogs" /stypes="*4020*201704021*" /stext=" 17:.+((SYSTEM_STATE.+slice.+state.+changed )|(ment ac)|(multiple cpu faults)|(system.+state.+changed )|(\[timeout)|(PRM\|1\|D)|(kpr)|(kdp)|(\|lc)|(penalty))"</v>
      </c>
      <c r="U28" s="9" t="str">
        <f t="shared" si="2"/>
        <v>4020</v>
      </c>
      <c r="V28" s="32">
        <f t="shared" si="3"/>
        <v>42827.711793981478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{"issue":{"subject":"","project_id":79,"tracker_id":40,"status_id":1,"priority_id":2,"assigned_to_id":23,"start_date":"2017-04-02","description":"","custom_fields":[{"id":1,"name":"Subdivision","value":"EC"},{"id":4,"name":"Milepost","value":"23.3491"},{"id":17,"name":"Train ID","value":"155-02"},{"id":16,"name":"Locomotive ID","value":"4020"},{"id":130,"name":"Impact","value":""},{"id":150,"name":"Time of Event (Mountain Time)","value":"11:04:59"},{"id":151,"name":"Denver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"%USERPROFILE%\AppData\Local\Temp\OnboardLogs"\RTDC4020\*4020*201704021*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"%USERPROFILE%\AppData\Local\Temp\OnboardLogs"\RTDC4020\*4020*201704021* &gt;&gt; 2017-04-02-SliceDisagreementCheck.txt</v>
      </c>
      <c r="AE28" s="153" t="str">
        <f t="shared" si="9"/>
        <v>start /low /b %USERPROFILE%\Documents\GitHub\eaglep3\Utilities\DownloadLogsFromS3.py --loco 4020 --day 2017-04-02</v>
      </c>
      <c r="AF28" s="1"/>
    </row>
    <row r="29" spans="1:32" x14ac:dyDescent="0.25">
      <c r="A29" s="32">
        <v>42827.547037037039</v>
      </c>
      <c r="B29" s="30" t="s">
        <v>530</v>
      </c>
      <c r="C29" s="30" t="s">
        <v>618</v>
      </c>
      <c r="D29" s="30" t="s">
        <v>49</v>
      </c>
      <c r="E29" s="30" t="s">
        <v>186</v>
      </c>
      <c r="F29" s="43">
        <v>0</v>
      </c>
      <c r="G29" s="43">
        <v>62</v>
      </c>
      <c r="H29" s="43">
        <v>233245</v>
      </c>
      <c r="I29" s="43">
        <v>233311</v>
      </c>
      <c r="J29" s="30" t="s">
        <v>187</v>
      </c>
      <c r="K29" s="43">
        <v>233491</v>
      </c>
      <c r="L29" s="139" t="s">
        <v>50</v>
      </c>
      <c r="M29" s="140">
        <f t="shared" si="0"/>
        <v>95.04</v>
      </c>
      <c r="N29" s="141" t="str">
        <f>VLOOKUP(C29,'Trips&amp;Operators'!$C$1:$G$99999,5,FALSE)</f>
        <v>BRANDNER MELINDA</v>
      </c>
      <c r="O29" s="190" t="s">
        <v>185</v>
      </c>
      <c r="P29" s="142"/>
      <c r="Q29" s="30"/>
      <c r="R29" s="89" t="str">
        <f>IF(VLOOKUP(C29,'Train Runs'!$A$13:$AE$9941,1,1)=C29,VLOOKUP(C29,'Train Runs'!$A$13:$AE$9941,31,1),NA())</f>
        <v>aws s3 cp s3://rtdc.mdm.uploadarchive.raw/RTDC4002/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 &amp; aws s3 cp s3://rtdc.mdm.uploadarchive.raw/RTDC4002/ "%USERPROFILE%\AppData\Local\Temp\OnboardLogs"\RTDC4002\2017-04-03 --exclude "*" --recursive --include "*20170403*" &amp; "%USERPROFILE%\Documents\GitHub\mrs-test-scripts\Headless Mode &amp; Sideloading\WalkAndUnGZ.bat" "%USERPROFILE%\AppData\Local\Temp\OnboardLogs"\RTDC4002\2017-04-03</v>
      </c>
      <c r="S29" s="92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-04-02T11:24:49-0600',mode:absolute,to:'2017-04-02T14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9" s="94" t="str">
        <f t="shared" si="1"/>
        <v>"C:\Program Files (x86)\AstroGrep\AstroGrep.exe" /e /r /s /spath="%USERPROFILE%\AppData\Local\Temp\OnboardLogs" /stypes="*4002*201704021*" /stext=" 19:.+((SYSTEM_STATE.+slice.+state.+changed )|(ment ac)|(multiple cpu faults)|(system.+state.+changed )|(\[timeout)|(PRM\|1\|D)|(kpr)|(kdp)|(\|lc)|(penalty))"</v>
      </c>
      <c r="U29" s="9" t="str">
        <f t="shared" si="2"/>
        <v>4002</v>
      </c>
      <c r="V29" s="32">
        <f t="shared" si="3"/>
        <v>42827.797037037039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{"issue":{"subject":"","project_id":79,"tracker_id":40,"status_id":1,"priority_id":2,"assigned_to_id":23,"start_date":"2017-04-02","description":"","custom_fields":[{"id":1,"name":"Subdivision","value":"EC"},{"id":4,"name":"Milepost","value":"23.3491"},{"id":17,"name":"Train ID","value":"171-02"},{"id":16,"name":"Locomotive ID","value":"4002"},{"id":130,"name":"Impact","value":""},{"id":150,"name":"Time of Event (Mountain Time)","value":"13:07:44"},{"id":151,"name":"Denver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"%USERPROFILE%\AppData\Local\Temp\OnboardLogs"\RTDC4002\*4002*201704021*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"%USERPROFILE%\AppData\Local\Temp\OnboardLogs"\RTDC4002\*4002*201704021* &gt;&gt; 2017-04-02-SliceDisagreementCheck.txt</v>
      </c>
      <c r="AE29" s="153" t="str">
        <f t="shared" si="9"/>
        <v>start /low /b %USERPROFILE%\Documents\GitHub\eaglep3\Utilities\DownloadLogsFromS3.py --loco 4002 --day 2017-04-02</v>
      </c>
      <c r="AF29" s="1"/>
    </row>
    <row r="30" spans="1:32" x14ac:dyDescent="0.25">
      <c r="A30" s="32">
        <v>42827.680706018517</v>
      </c>
      <c r="B30" s="30" t="s">
        <v>480</v>
      </c>
      <c r="C30" s="30" t="s">
        <v>625</v>
      </c>
      <c r="D30" s="30" t="s">
        <v>49</v>
      </c>
      <c r="E30" s="30" t="s">
        <v>186</v>
      </c>
      <c r="F30" s="43">
        <v>0</v>
      </c>
      <c r="G30" s="43">
        <v>26</v>
      </c>
      <c r="H30" s="43">
        <v>233417</v>
      </c>
      <c r="I30" s="43">
        <v>233427</v>
      </c>
      <c r="J30" s="30" t="s">
        <v>187</v>
      </c>
      <c r="K30" s="43">
        <v>233491</v>
      </c>
      <c r="L30" s="139" t="s">
        <v>50</v>
      </c>
      <c r="M30" s="140">
        <f t="shared" si="0"/>
        <v>33.792000000000002</v>
      </c>
      <c r="N30" s="141" t="str">
        <f>VLOOKUP(C30,'Trips&amp;Operators'!$C$1:$G$99999,5,FALSE)</f>
        <v>ROMERO CHAD</v>
      </c>
      <c r="O30" s="190" t="s">
        <v>185</v>
      </c>
      <c r="P30" s="142"/>
      <c r="Q30" s="30"/>
      <c r="R30" s="89" t="e">
        <f>IF(VLOOKUP(C30,'Train Runs'!$A$13:$AE$9941,1,1)=C30,VLOOKUP(C30,'Train Runs'!$A$13:$AE$9941,31,1),NA())</f>
        <v>#N/A</v>
      </c>
      <c r="S30" s="92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-04-02T14:40:44-0600',mode:absolute,to:'2017-04-02T17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0" s="94" t="str">
        <f t="shared" si="1"/>
        <v>"C:\Program Files (x86)\AstroGrep\AstroGrep.exe" /e /r /s /spath="%USERPROFILE%\AppData\Local\Temp\OnboardLogs" /stypes="*4020*201704022*" /stext=" 22:.+((SYSTEM_STATE.+slice.+state.+changed )|(ment ac)|(multiple cpu faults)|(system.+state.+changed )|(\[timeout)|(PRM\|1\|D)|(kpr)|(kdp)|(\|lc)|(penalty))"</v>
      </c>
      <c r="U30" s="9" t="str">
        <f t="shared" si="2"/>
        <v>4020</v>
      </c>
      <c r="V30" s="32">
        <f t="shared" si="3"/>
        <v>42827.930706018517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{"issue":{"subject":"","project_id":79,"tracker_id":40,"status_id":1,"priority_id":2,"assigned_to_id":23,"start_date":"2017-04-02","description":"","custom_fields":[{"id":1,"name":"Subdivision","value":"EC"},{"id":4,"name":"Milepost","value":"23.3491"},{"id":17,"name":"Train ID","value":"197-02"},{"id":16,"name":"Locomotive ID","value":"4020"},{"id":130,"name":"Impact","value":""},{"id":150,"name":"Time of Event (Mountain Time)","value":"16:20:13"},{"id":151,"name":"Denver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"%USERPROFILE%\AppData\Local\Temp\OnboardLogs"\RTDC4020\*4020*201704022*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"%USERPROFILE%\AppData\Local\Temp\OnboardLogs"\RTDC4020\*4020*201704022* &gt;&gt; 2017-04-02-SliceDisagreementCheck.txt</v>
      </c>
      <c r="AE30" s="153" t="str">
        <f t="shared" si="9"/>
        <v>start /low /b %USERPROFILE%\Documents\GitHub\eaglep3\Utilities\DownloadLogsFromS3.py --loco 4020 --day 2017-04-02</v>
      </c>
      <c r="AF30" s="1"/>
    </row>
    <row r="31" spans="1:32" x14ac:dyDescent="0.25">
      <c r="A31" s="32">
        <v>42827.796249999999</v>
      </c>
      <c r="B31" s="30" t="s">
        <v>471</v>
      </c>
      <c r="C31" s="30" t="s">
        <v>629</v>
      </c>
      <c r="D31" s="30" t="s">
        <v>49</v>
      </c>
      <c r="E31" s="30" t="s">
        <v>186</v>
      </c>
      <c r="F31" s="43">
        <v>0</v>
      </c>
      <c r="G31" s="43">
        <v>33</v>
      </c>
      <c r="H31" s="43">
        <v>233395</v>
      </c>
      <c r="I31" s="43">
        <v>233418</v>
      </c>
      <c r="J31" s="30" t="s">
        <v>187</v>
      </c>
      <c r="K31" s="43">
        <v>233491</v>
      </c>
      <c r="L31" s="139" t="s">
        <v>50</v>
      </c>
      <c r="M31" s="140">
        <f t="shared" si="0"/>
        <v>38.543999999999997</v>
      </c>
      <c r="N31" s="141" t="str">
        <f>VLOOKUP(C31,'Trips&amp;Operators'!$C$1:$G$99999,5,FALSE)</f>
        <v>STAMBAUGH JAMES</v>
      </c>
      <c r="O31" s="190" t="s">
        <v>185</v>
      </c>
      <c r="P31" s="142"/>
      <c r="Q31" s="30"/>
      <c r="R31" s="89" t="e">
        <f>IF(VLOOKUP(C31,'Train Runs'!$A$13:$AE$9941,1,1)=C31,VLOOKUP(C31,'Train Runs'!$A$13:$AE$9941,31,1),NA())</f>
        <v>#N/A</v>
      </c>
      <c r="S31" s="92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-04-02T17:22:00-0600',mode:absolute,to:'2017-04-02T20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1" s="94" t="str">
        <f t="shared" si="1"/>
        <v>"C:\Program Files (x86)\AstroGrep\AstroGrep.exe" /e /r /s /spath="%USERPROFILE%\AppData\Local\Temp\OnboardLogs" /stypes="*4010*201704030*" /stext=" 01:.+((SYSTEM_STATE.+slice.+state.+changed )|(ment ac)|(multiple cpu faults)|(system.+state.+changed )|(\[timeout)|(PRM\|1\|D)|(kpr)|(kdp)|(\|lc)|(penalty))"</v>
      </c>
      <c r="U31" s="9" t="str">
        <f t="shared" si="2"/>
        <v>4010</v>
      </c>
      <c r="V31" s="32">
        <f t="shared" si="3"/>
        <v>42828.046249999999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{"issue":{"subject":"","project_id":79,"tracker_id":40,"status_id":1,"priority_id":2,"assigned_to_id":23,"start_date":"2017-04-02","description":"","custom_fields":[{"id":1,"name":"Subdivision","value":"EC"},{"id":4,"name":"Milepost","value":"23.3491"},{"id":17,"name":"Train ID","value":"219-02"},{"id":16,"name":"Locomotive ID","value":"4010"},{"id":130,"name":"Impact","value":""},{"id":150,"name":"Time of Event (Mountain Time)","value":"19:06:36"},{"id":151,"name":"Denver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"%USERPROFILE%\AppData\Local\Temp\OnboardLogs"\RTDC4010\*4010*201704030*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"%USERPROFILE%\AppData\Local\Temp\OnboardLogs"\RTDC4010\*4010*201704030* &gt;&gt; 2017-04-02-SliceDisagreementCheck.txt</v>
      </c>
      <c r="AE31" s="153" t="str">
        <f t="shared" si="9"/>
        <v>start /low /b %USERPROFILE%\Documents\GitHub\eaglep3\Utilities\DownloadLogsFromS3.py --loco 4010 --day 2017-04-03</v>
      </c>
      <c r="AF31" s="1"/>
    </row>
    <row r="32" spans="1:32" x14ac:dyDescent="0.25">
      <c r="A32" s="32">
        <v>42827.684513888889</v>
      </c>
      <c r="B32" s="30" t="s">
        <v>626</v>
      </c>
      <c r="C32" s="30" t="s">
        <v>627</v>
      </c>
      <c r="D32" s="30" t="s">
        <v>49</v>
      </c>
      <c r="E32" s="30" t="s">
        <v>215</v>
      </c>
      <c r="F32" s="43">
        <v>300</v>
      </c>
      <c r="G32" s="43">
        <v>363</v>
      </c>
      <c r="H32" s="43">
        <v>20434</v>
      </c>
      <c r="I32" s="43">
        <v>21672</v>
      </c>
      <c r="J32" s="30" t="s">
        <v>216</v>
      </c>
      <c r="K32" s="43">
        <v>21299</v>
      </c>
      <c r="L32" s="139" t="s">
        <v>50</v>
      </c>
      <c r="M32" s="140">
        <f t="shared" si="0"/>
        <v>-196.94399999999999</v>
      </c>
      <c r="N32" s="141" t="str">
        <f>VLOOKUP(C32,'Trips&amp;Operators'!$C$1:$G$99999,5,FALSE)</f>
        <v>HELVIE ADAM</v>
      </c>
      <c r="O32" s="190" t="s">
        <v>185</v>
      </c>
      <c r="P32" s="142"/>
      <c r="Q32" s="30"/>
      <c r="R32" s="89" t="str">
        <f>IF(VLOOKUP(C32,'Train Runs'!$A$13:$AE$9941,1,1)=C32,VLOOKUP(C32,'Train Runs'!$A$13:$AE$9941,31,1),NA())</f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S32" s="92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-04-02T15:18:09-0600',mode:absolute,to:'2017-04-02T17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2" s="94" t="str">
        <f t="shared" si="1"/>
        <v>"C:\Program Files (x86)\AstroGrep\AstroGrep.exe" /e /r /s /spath="%USERPROFILE%\AppData\Local\Temp\OnboardLogs" /stypes="*4018*201704022*" /stext=" 22:.+((SYSTEM_STATE.+slice.+state.+changed )|(ment ac)|(multiple cpu faults)|(system.+state.+changed )|(\[timeout)|(PRM\|1\|D)|(kpr)|(kdp)|(\|lc)|(penalty))"</v>
      </c>
      <c r="U32" s="9" t="str">
        <f t="shared" si="2"/>
        <v>4018</v>
      </c>
      <c r="V32" s="32">
        <f t="shared" si="3"/>
        <v>42827.934513888889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{"issue":{"subject":"","project_id":79,"tracker_id":40,"status_id":1,"priority_id":2,"assigned_to_id":23,"start_date":"2017-04-02","description":"","custom_fields":[{"id":1,"name":"Subdivision","value":"NW"},{"id":4,"name":"Milepost","value":"2.1299"},{"id":17,"name":"Train ID","value":"1821-02"},{"id":16,"name":"Locomotive ID","value":"4018"},{"id":130,"name":"Impact","value":""},{"id":150,"name":"Time of Event (Mountain Time)","value":"16:25:42"},{"id":151,"name":"Denver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"%USERPROFILE%\AppData\Local\Temp\OnboardLogs"\RTDC4018\*4018*201704022*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"%USERPROFILE%\AppData\Local\Temp\OnboardLogs"\RTDC4018\*4018*201704022* &gt;&gt; 2017-04-02-SliceDisagreementCheck.txt</v>
      </c>
      <c r="AE32" s="153" t="str">
        <f t="shared" si="9"/>
        <v>start /low /b %USERPROFILE%\Documents\GitHub\eaglep3\Utilities\DownloadLogsFromS3.py --loco 4018 --day 2017-04-02</v>
      </c>
      <c r="AF32" s="1"/>
    </row>
    <row r="33" spans="1:32" x14ac:dyDescent="0.25">
      <c r="A33" s="32">
        <v>42827.578946759262</v>
      </c>
      <c r="B33" s="30" t="s">
        <v>619</v>
      </c>
      <c r="C33" s="30" t="s">
        <v>620</v>
      </c>
      <c r="D33" s="30" t="s">
        <v>49</v>
      </c>
      <c r="E33" s="30" t="s">
        <v>186</v>
      </c>
      <c r="F33" s="43">
        <v>0</v>
      </c>
      <c r="G33" s="43">
        <v>156</v>
      </c>
      <c r="H33" s="43">
        <v>1377</v>
      </c>
      <c r="I33" s="43">
        <v>1147</v>
      </c>
      <c r="J33" s="30" t="s">
        <v>187</v>
      </c>
      <c r="K33" s="43">
        <v>575</v>
      </c>
      <c r="L33" s="139" t="s">
        <v>51</v>
      </c>
      <c r="M33" s="140">
        <f t="shared" si="0"/>
        <v>302.01600000000002</v>
      </c>
      <c r="N33" s="141" t="str">
        <f>VLOOKUP(C33,'Trips&amp;Operators'!$C$1:$G$99999,5,FALSE)</f>
        <v>YORK EDGAR</v>
      </c>
      <c r="O33" s="190" t="s">
        <v>185</v>
      </c>
      <c r="P33" s="142"/>
      <c r="Q33" s="30"/>
      <c r="R33" s="89" t="str">
        <f>IF(VLOOKUP(C33,'Train Runs'!$A$13:$AE$9941,1,1)=C33,VLOOKUP(C33,'Train Runs'!$A$13:$AE$9941,31,1),NA())</f>
        <v>aws s3 cp s3://rtdc.mdm.uploadarchive.raw/RTDC4017/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 &amp; 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</v>
      </c>
      <c r="S33" s="92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-04-02T12:34:52-0600',mode:absolute,to:'2017-04-02T14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3" s="94" t="str">
        <f t="shared" si="1"/>
        <v>"C:\Program Files (x86)\AstroGrep\AstroGrep.exe" /e /r /s /spath="%USERPROFILE%\AppData\Local\Temp\OnboardLogs" /stypes="*4017*201704021*" /stext=" 19:.+((SYSTEM_STATE.+slice.+state.+changed )|(ment ac)|(multiple cpu faults)|(system.+state.+changed )|(\[timeout)|(PRM\|1\|D)|(kpr)|(kdp)|(\|lc)|(penalty))"</v>
      </c>
      <c r="U33" s="9" t="str">
        <f t="shared" si="2"/>
        <v>4017</v>
      </c>
      <c r="V33" s="32">
        <f t="shared" si="3"/>
        <v>42827.828946759262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{"issue":{"subject":"","project_id":79,"tracker_id":40,"status_id":1,"priority_id":2,"assigned_to_id":23,"start_date":"2017-04-02","description":"","custom_fields":[{"id":1,"name":"Subdivision","value":"NW"},{"id":4,"name":"Milepost","value":"0.0575"},{"id":17,"name":"Train ID","value":"1816-02"},{"id":16,"name":"Locomotive ID","value":"4017"},{"id":130,"name":"Impact","value":""},{"id":150,"name":"Time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"%USERPROFILE%\AppData\Local\Temp\OnboardLogs"\RTDC4017\*4017*201704021*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"%USERPROFILE%\AppData\Local\Temp\OnboardLogs"\RTDC4017\*4017*201704021* &gt;&gt; 2017-04-02-SliceDisagreementCheck.txt</v>
      </c>
      <c r="AE33" s="153" t="str">
        <f t="shared" si="9"/>
        <v>start /low /b %USERPROFILE%\Documents\GitHub\eaglep3\Utilities\DownloadLogsFromS3.py --loco 4017 --day 2017-04-02</v>
      </c>
      <c r="AF33" s="1"/>
    </row>
    <row r="34" spans="1:32" x14ac:dyDescent="0.25">
      <c r="A34" s="32">
        <v>42827.940335648149</v>
      </c>
      <c r="B34" s="30" t="s">
        <v>626</v>
      </c>
      <c r="C34" s="30" t="s">
        <v>634</v>
      </c>
      <c r="D34" s="30" t="s">
        <v>49</v>
      </c>
      <c r="E34" s="30" t="s">
        <v>186</v>
      </c>
      <c r="F34" s="43">
        <v>0</v>
      </c>
      <c r="G34" s="43">
        <v>30</v>
      </c>
      <c r="H34" s="43">
        <v>58960</v>
      </c>
      <c r="I34" s="43">
        <v>58973</v>
      </c>
      <c r="J34" s="30" t="s">
        <v>187</v>
      </c>
      <c r="K34" s="43">
        <v>59048</v>
      </c>
      <c r="L34" s="139" t="s">
        <v>50</v>
      </c>
      <c r="M34" s="140">
        <f t="shared" si="0"/>
        <v>39.6</v>
      </c>
      <c r="N34" s="141" t="str">
        <f>VLOOKUP(C34,'Trips&amp;Operators'!$C$1:$G$99999,5,FALSE)</f>
        <v>HELVIE ADAM</v>
      </c>
      <c r="O34" s="190" t="s">
        <v>185</v>
      </c>
      <c r="P34" s="142"/>
      <c r="Q34" s="30"/>
      <c r="R34" s="89" t="str">
        <f>IF(VLOOKUP(C34,'Train Runs'!$A$13:$AE$9941,1,1)=C34,VLOOKUP(C34,'Train Runs'!$A$13:$AE$9941,31,1),NA())</f>
        <v>aws s3 cp s3://rtdc.mdm.uploadarchive.raw/RTDC4018/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 &amp; 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</v>
      </c>
      <c r="S34" s="92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-04-02T21:17:48-0600',mode:absolute,to:'2017-04-02T23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4" s="94" t="str">
        <f t="shared" si="1"/>
        <v>"C:\Program Files (x86)\AstroGrep\AstroGrep.exe" /e /r /s /spath="%USERPROFILE%\AppData\Local\Temp\OnboardLogs" /stypes="*4018*201704030*" /stext=" 04:.+((SYSTEM_STATE.+slice.+state.+changed )|(ment ac)|(multiple cpu faults)|(system.+state.+changed )|(\[timeout)|(PRM\|1\|D)|(kpr)|(kdp)|(\|lc)|(penalty))"</v>
      </c>
      <c r="U34" s="9" t="str">
        <f t="shared" si="2"/>
        <v>4018</v>
      </c>
      <c r="V34" s="32">
        <f t="shared" si="3"/>
        <v>42828.190335648149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{"issue":{"subject":"","project_id":79,"tracker_id":40,"status_id":1,"priority_id":2,"assigned_to_id":23,"start_date":"2017-04-02","description":"","custom_fields":[{"id":1,"name":"Subdivision","value":"NW"},{"id":4,"name":"Milepost","value":"5.9048"},{"id":17,"name":"Train ID","value":"1833-02"},{"id":16,"name":"Locomotive ID","value":"4018"},{"id":130,"name":"Impact","value":""},{"id":150,"name":"Time of Event (Mountain Time)","value":"22:34:05"},{"id":151,"name":"Denver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"%USERPROFILE%\AppData\Local\Temp\OnboardLogs"\RTDC4018\*4018*201704030*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"%USERPROFILE%\AppData\Local\Temp\OnboardLogs"\RTDC4018\*4018*201704030* &gt;&gt; 2017-04-02-SliceDisagreementCheck.txt</v>
      </c>
      <c r="AE34" s="153" t="str">
        <f t="shared" si="9"/>
        <v>start /low /b %USERPROFILE%\Documents\GitHub\eaglep3\Utilities\DownloadLogsFromS3.py --loco 4018 --day 2017-04-03</v>
      </c>
      <c r="AF34" s="1"/>
    </row>
    <row r="35" spans="1:32" x14ac:dyDescent="0.25">
      <c r="A35" s="32">
        <v>42827.129131944443</v>
      </c>
      <c r="B35" s="30" t="s">
        <v>479</v>
      </c>
      <c r="C35" s="30" t="s">
        <v>605</v>
      </c>
      <c r="D35" s="30" t="s">
        <v>49</v>
      </c>
      <c r="E35" s="30" t="s">
        <v>186</v>
      </c>
      <c r="F35" s="43">
        <v>0</v>
      </c>
      <c r="G35" s="43">
        <v>44</v>
      </c>
      <c r="H35" s="43">
        <v>143</v>
      </c>
      <c r="I35" s="43">
        <v>107</v>
      </c>
      <c r="J35" s="30" t="s">
        <v>187</v>
      </c>
      <c r="K35" s="43">
        <v>1</v>
      </c>
      <c r="L35" s="139" t="s">
        <v>51</v>
      </c>
      <c r="M35" s="140">
        <f t="shared" si="0"/>
        <v>55.968000000000004</v>
      </c>
      <c r="N35" s="141" t="str">
        <f>VLOOKUP(C35,'Trips&amp;Operators'!$C$1:$G$99999,5,FALSE)</f>
        <v>SANTIZO D. EDY</v>
      </c>
      <c r="O35" s="190" t="s">
        <v>185</v>
      </c>
      <c r="P35" s="142"/>
      <c r="Q35" s="30"/>
      <c r="R35" s="89" t="e">
        <f>IF(VLOOKUP(C35,'Train Runs'!$A$13:$AE$9941,1,1)=C35,VLOOKUP(C35,'Train Runs'!$A$13:$AE$9941,31,1),NA())</f>
        <v>#N/A</v>
      </c>
      <c r="S35" s="92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-04-02T01:50:52-0600',mode:absolute,to:'2017-04-02T04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5" s="94" t="str">
        <f t="shared" si="1"/>
        <v>"C:\Program Files (x86)\AstroGrep\AstroGrep.exe" /e /r /s /spath="%USERPROFILE%\AppData\Local\Temp\OnboardLogs" /stypes="*4019*201704020*" /stext=" 09:.+((SYSTEM_STATE.+slice.+state.+changed )|(ment ac)|(multiple cpu faults)|(system.+state.+changed )|(\[timeout)|(PRM\|1\|D)|(kpr)|(kdp)|(\|lc)|(penalty))"</v>
      </c>
      <c r="U35" s="9" t="str">
        <f t="shared" si="2"/>
        <v>4019</v>
      </c>
      <c r="V35" s="32">
        <f t="shared" si="3"/>
        <v>42827.379131944443</v>
      </c>
      <c r="W35" s="46" t="str">
        <f t="shared" si="4"/>
        <v>Other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{"issue":{"subject":"","project_id":79,"tracker_id":40,"status_id":1,"priority_id":2,"assigned_to_id":23,"start_date":"2017-04-02","description":"","custom_fields":[{"id":1,"name":"Subdivision","value":"Other"},{"id":4,"name":"Milepost","value":"0.0001"},{"id":17,"name":"Train ID","value":"302-02"},{"id":16,"name":"Locomotive ID","value":"4019"},{"id":130,"name":"Impact","value":""},{"id":150,"name":"Time of Event (Mountain Time)","value":"03:05:57"},{"id":151,"name":"Denver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"%USERPROFILE%\AppData\Local\Temp\OnboardLogs"\RTDC4019\*4019*201704020*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"%USERPROFILE%\AppData\Local\Temp\OnboardLogs"\RTDC4019\*4019*201704020* &gt;&gt; 2017-04-02-SliceDisagreementCheck.txt</v>
      </c>
      <c r="AE35" s="153" t="str">
        <f t="shared" si="9"/>
        <v>start /low /b %USERPROFILE%\Documents\GitHub\eaglep3\Utilities\DownloadLogsFromS3.py --loco 4019 --day 2017-04-02</v>
      </c>
      <c r="AF35" s="1"/>
    </row>
    <row r="36" spans="1:32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Z36"/>
      <c r="AC36"/>
      <c r="AE36"/>
    </row>
    <row r="37" spans="1:32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Z37"/>
      <c r="AC37"/>
      <c r="AE37"/>
    </row>
    <row r="38" spans="1:32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Z38"/>
      <c r="AC38"/>
      <c r="AE38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35"/>
      <sortCondition ref="E7:E35"/>
      <sortCondition ref="K7:K35"/>
      <sortCondition ref="F7:F35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3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AA7:AA35</xm:sqref>
        </x14:dataValidation>
        <x14:dataValidation type="list" allowBlank="1" showInputMessage="1" showErrorMessage="1">
          <x14:formula1>
            <xm:f>'Redmine List Values'!$C$2:$C$15</xm:f>
          </x14:formula1>
          <xm:sqref>AB7:AB35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2017-04-02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216-02</v>
      </c>
      <c r="C3" s="143"/>
      <c r="D3" s="161"/>
      <c r="E3" s="30" t="s">
        <v>478</v>
      </c>
      <c r="F3" s="21" t="str">
        <f>VLOOKUP(B3,'Trips&amp;Operators'!$C$2:$E$10000,3,FALSE)</f>
        <v>BRANDNER</v>
      </c>
      <c r="G3" s="21" t="str">
        <f>VLOOKUP(B3,'Trips&amp;Operators'!$C$1:$F$10000,4,FALSE)</f>
        <v>MELINDA</v>
      </c>
      <c r="H3" s="29" t="str">
        <f>VLOOKUP(B3,'Trips&amp;Operators'!$C$1:$H$10000,5,FALSE)</f>
        <v>BRANDNER MELINDA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-02%22)),sort:!(Time.ISO8601,asc))</v>
      </c>
      <c r="J3" s="30" t="str">
        <f>VLOOKUP(B3,'Train Runs'!$A$13:$A$99938,1,FALSE)</f>
        <v>216-02</v>
      </c>
    </row>
    <row r="4" spans="1:10" x14ac:dyDescent="0.25">
      <c r="A4" s="181">
        <v>218</v>
      </c>
      <c r="B4" s="43" t="str">
        <f>A4&amp;"-"&amp;IF(DAY(Variables!$A$2)&lt;10,0,"")&amp;DAY(Variables!$A$2)</f>
        <v>218-02</v>
      </c>
      <c r="C4" s="143"/>
      <c r="D4" s="161"/>
      <c r="E4" s="30" t="s">
        <v>478</v>
      </c>
      <c r="F4" s="21" t="str">
        <f>VLOOKUP(B4,'Trips&amp;Operators'!$C$2:$E$10000,3,FALSE)</f>
        <v>SMITH</v>
      </c>
      <c r="G4" s="21" t="str">
        <f>VLOOKUP(B4,'Trips&amp;Operators'!$C$1:$F$10000,4,FALSE)</f>
        <v>MICHAEL</v>
      </c>
      <c r="H4" s="29" t="str">
        <f>VLOOKUP(B4,'Trips&amp;Operators'!$C$1:$H$10000,5,FALSE)</f>
        <v>SMITH MICHAEL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-02%22)),sort:!(Time.ISO8601,asc))</v>
      </c>
      <c r="J4" s="30" t="str">
        <f>VLOOKUP(B4,'Train Runs'!$A$13:$A$99938,1,FALSE)</f>
        <v>218-02</v>
      </c>
    </row>
    <row r="5" spans="1:10" x14ac:dyDescent="0.25">
      <c r="A5" s="181"/>
      <c r="B5" s="43" t="str">
        <f>A5&amp;"-"&amp;IF(DAY(Variables!$A$2)&lt;10,0,"")&amp;DAY(Variables!$A$2)</f>
        <v>-02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Runs'!$A$13:$A$99938,1,FALSE)</f>
        <v>#N/A</v>
      </c>
    </row>
    <row r="6" spans="1:10" x14ac:dyDescent="0.25">
      <c r="A6" s="181"/>
      <c r="B6" s="43" t="str">
        <f>A6&amp;"-"&amp;IF(DAY(Variables!$A$2)&lt;10,0,"")&amp;DAY(Variables!$A$2)</f>
        <v>-02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Runs'!$A$13:$A$99938,1,FALSE)</f>
        <v>#N/A</v>
      </c>
    </row>
    <row r="7" spans="1:10" x14ac:dyDescent="0.25">
      <c r="A7" s="181"/>
      <c r="B7" s="43" t="str">
        <f>A7&amp;"-"&amp;IF(DAY(Variables!$A$2)&lt;10,0,"")&amp;DAY(Variables!$A$2)</f>
        <v>-02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Runs'!$A$13:$A$99938,1,FALSE)</f>
        <v>#N/A</v>
      </c>
    </row>
    <row r="8" spans="1:10" x14ac:dyDescent="0.25">
      <c r="A8" s="181"/>
      <c r="B8" s="43" t="str">
        <f>A8&amp;"-"&amp;IF(DAY(Variables!$A$2)&lt;10,0,"")&amp;DAY(Variables!$A$2)</f>
        <v>-02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Runs'!$A$13:$A$99938,1,FALSE)</f>
        <v>#N/A</v>
      </c>
    </row>
    <row r="9" spans="1:10" x14ac:dyDescent="0.25">
      <c r="A9" s="181"/>
      <c r="B9" s="43" t="str">
        <f>A9&amp;"-"&amp;IF(DAY(Variables!$A$2)&lt;10,0,"")&amp;DAY(Variables!$A$2)</f>
        <v>-02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Runs'!$A$13:$A$99938,1,FALSE)</f>
        <v>#N/A</v>
      </c>
    </row>
    <row r="10" spans="1:10" x14ac:dyDescent="0.25">
      <c r="A10" s="181"/>
      <c r="B10" s="43" t="str">
        <f>A10&amp;"-"&amp;IF(DAY(Variables!$A$2)&lt;10,0,"")&amp;DAY(Variables!$A$2)</f>
        <v>-02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Runs'!$A$13:$A$99938,1,FALSE)</f>
        <v>#N/A</v>
      </c>
    </row>
    <row r="11" spans="1:10" x14ac:dyDescent="0.25">
      <c r="A11" s="181"/>
      <c r="B11" s="43" t="str">
        <f>A11&amp;"-"&amp;IF(DAY(Variables!$A$2)&lt;10,0,"")&amp;DAY(Variables!$A$2)</f>
        <v>-02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Runs'!$A$13:$A$99938,1,FALSE)</f>
        <v>#N/A</v>
      </c>
    </row>
    <row r="12" spans="1:10" x14ac:dyDescent="0.25">
      <c r="A12" s="181"/>
      <c r="B12" s="43" t="str">
        <f>A12&amp;"-"&amp;IF(DAY(Variables!$A$2)&lt;10,0,"")&amp;DAY(Variables!$A$2)</f>
        <v>-02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Runs'!$A$13:$A$99938,1,FALSE)</f>
        <v>#N/A</v>
      </c>
    </row>
    <row r="13" spans="1:10" x14ac:dyDescent="0.25">
      <c r="A13" s="181"/>
      <c r="B13" s="43" t="str">
        <f>A13&amp;"-"&amp;IF(DAY(Variables!$A$2)&lt;10,0,"")&amp;DAY(Variables!$A$2)</f>
        <v>-02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Runs'!$A$13:$A$99938,1,FALSE)</f>
        <v>#N/A</v>
      </c>
    </row>
    <row r="14" spans="1:10" x14ac:dyDescent="0.25">
      <c r="A14" s="181"/>
      <c r="B14" s="43" t="str">
        <f>A14&amp;"-"&amp;IF(DAY(Variables!$A$2)&lt;10,0,"")&amp;DAY(Variables!$A$2)</f>
        <v>-02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Runs'!$A$13:$A$99938,1,FALSE)</f>
        <v>#N/A</v>
      </c>
    </row>
    <row r="15" spans="1:10" x14ac:dyDescent="0.25">
      <c r="A15" s="181"/>
      <c r="B15" s="43" t="str">
        <f>A15&amp;"-"&amp;IF(DAY(Variables!$A$2)&lt;10,0,"")&amp;DAY(Variables!$A$2)</f>
        <v>-02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Runs'!$A$13:$A$99938,1,FALSE)</f>
        <v>#N/A</v>
      </c>
    </row>
    <row r="16" spans="1:10" x14ac:dyDescent="0.25">
      <c r="A16" s="181"/>
      <c r="B16" s="43" t="str">
        <f>A16&amp;"-"&amp;IF(DAY(Variables!$A$2)&lt;10,0,"")&amp;DAY(Variables!$A$2)</f>
        <v>-02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Runs'!$A$13:$A$99938,1,FALSE)</f>
        <v>#N/A</v>
      </c>
    </row>
    <row r="17" spans="1:10" x14ac:dyDescent="0.25">
      <c r="A17" s="181"/>
      <c r="B17" s="43" t="str">
        <f>A17&amp;"-"&amp;IF(DAY(Variables!$A$2)&lt;10,0,"")&amp;DAY(Variables!$A$2)</f>
        <v>-02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Runs'!$A$13:$A$99938,1,FALSE)</f>
        <v>#N/A</v>
      </c>
    </row>
    <row r="18" spans="1:10" x14ac:dyDescent="0.25">
      <c r="A18" s="181"/>
      <c r="B18" s="43" t="str">
        <f>A18&amp;"-"&amp;IF(DAY(Variables!$A$2)&lt;10,0,"")&amp;DAY(Variables!$A$2)</f>
        <v>-02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Runs'!$A$13:$A$99938,1,FALSE)</f>
        <v>#N/A</v>
      </c>
    </row>
    <row r="19" spans="1:10" x14ac:dyDescent="0.25">
      <c r="A19" s="181"/>
      <c r="B19" s="43" t="str">
        <f>A19&amp;"-"&amp;IF(DAY(Variables!$A$2)&lt;10,0,"")&amp;DAY(Variables!$A$2)</f>
        <v>-02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Runs'!$A$13:$A$99938,1,FALSE)</f>
        <v>#N/A</v>
      </c>
    </row>
    <row r="20" spans="1:10" x14ac:dyDescent="0.25">
      <c r="A20" s="181"/>
      <c r="B20" s="43" t="str">
        <f>A20&amp;"-"&amp;IF(DAY(Variables!$A$2)&lt;10,0,"")&amp;DAY(Variables!$A$2)</f>
        <v>-02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Runs'!$A$13:$A$99938,1,FALSE)</f>
        <v>#N/A</v>
      </c>
    </row>
    <row r="21" spans="1:10" x14ac:dyDescent="0.25">
      <c r="A21" s="181"/>
      <c r="B21" s="43" t="str">
        <f>A21&amp;"-"&amp;IF(DAY(Variables!$A$2)&lt;10,0,"")&amp;DAY(Variables!$A$2)</f>
        <v>-02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Runs'!$A$13:$A$99938,1,FALSE)</f>
        <v>#N/A</v>
      </c>
    </row>
    <row r="22" spans="1:10" x14ac:dyDescent="0.25">
      <c r="A22" s="181"/>
      <c r="B22" s="43" t="str">
        <f>A22&amp;"-"&amp;IF(DAY(Variables!$A$2)&lt;10,0,"")&amp;DAY(Variables!$A$2)</f>
        <v>-02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Runs'!$A$13:$A$99938,1,FALSE)</f>
        <v>#N/A</v>
      </c>
    </row>
    <row r="23" spans="1:10" x14ac:dyDescent="0.25">
      <c r="A23" s="181"/>
      <c r="B23" s="43" t="str">
        <f>A23&amp;"-"&amp;IF(DAY(Variables!$A$2)&lt;10,0,"")&amp;DAY(Variables!$A$2)</f>
        <v>-02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Runs'!$A$13:$A$99938,1,FALSE)</f>
        <v>#N/A</v>
      </c>
    </row>
    <row r="24" spans="1:10" x14ac:dyDescent="0.25">
      <c r="A24" s="181"/>
      <c r="B24" s="43" t="str">
        <f>A24&amp;"-"&amp;IF(DAY(Variables!$A$2)&lt;10,0,"")&amp;DAY(Variables!$A$2)</f>
        <v>-02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Runs'!$A$13:$A$99938,1,FALSE)</f>
        <v>#N/A</v>
      </c>
    </row>
    <row r="25" spans="1:10" x14ac:dyDescent="0.25">
      <c r="A25" s="181"/>
      <c r="B25" s="43" t="str">
        <f>A25&amp;"-"&amp;IF(DAY(Variables!$A$2)&lt;10,0,"")&amp;DAY(Variables!$A$2)</f>
        <v>-02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Runs'!$A$13:$A$99938,1,FALSE)</f>
        <v>#N/A</v>
      </c>
    </row>
    <row r="26" spans="1:10" x14ac:dyDescent="0.25">
      <c r="A26" s="181"/>
      <c r="B26" s="43" t="str">
        <f>A26&amp;"-"&amp;IF(DAY(Variables!$A$2)&lt;10,0,"")&amp;DAY(Variables!$A$2)</f>
        <v>-02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Runs'!$A$13:$A$99938,1,FALSE)</f>
        <v>#N/A</v>
      </c>
    </row>
    <row r="27" spans="1:10" x14ac:dyDescent="0.25">
      <c r="A27" s="181"/>
      <c r="B27" s="43" t="str">
        <f>A27&amp;"-"&amp;IF(DAY(Variables!$A$2)&lt;10,0,"")&amp;DAY(Variables!$A$2)</f>
        <v>-02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Runs'!$A$13:$A$99938,1,FALSE)</f>
        <v>#N/A</v>
      </c>
    </row>
    <row r="28" spans="1:10" x14ac:dyDescent="0.25">
      <c r="A28" s="181"/>
      <c r="B28" s="43" t="str">
        <f>A28&amp;"-"&amp;IF(DAY(Variables!$A$2)&lt;10,0,"")&amp;DAY(Variables!$A$2)</f>
        <v>-02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Runs'!$A$13:$A$99938,1,FALSE)</f>
        <v>#N/A</v>
      </c>
    </row>
    <row r="29" spans="1:10" x14ac:dyDescent="0.25">
      <c r="A29" s="181"/>
      <c r="B29" s="43" t="str">
        <f>A29&amp;"-"&amp;IF(DAY(Variables!$A$2)&lt;10,0,"")&amp;DAY(Variables!$A$2)</f>
        <v>-02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9" s="30" t="e">
        <f>VLOOKUP(B29,'Train Runs'!$A$13:$A$99938,1,FALSE)</f>
        <v>#N/A</v>
      </c>
    </row>
    <row r="30" spans="1:10" x14ac:dyDescent="0.25">
      <c r="A30" s="181"/>
      <c r="B30" s="43" t="str">
        <f>A30&amp;"-"&amp;IF(DAY(Variables!$A$2)&lt;10,0,"")&amp;DAY(Variables!$A$2)</f>
        <v>-02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0" s="30" t="e">
        <f>VLOOKUP(B30,'Train Runs'!$A$13:$A$99938,1,FALSE)</f>
        <v>#N/A</v>
      </c>
    </row>
    <row r="31" spans="1:10" x14ac:dyDescent="0.25">
      <c r="A31" s="181"/>
      <c r="B31" s="43" t="str">
        <f>A31&amp;"-"&amp;IF(DAY(Variables!$A$2)&lt;10,0,"")&amp;DAY(Variables!$A$2)</f>
        <v>-02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1" s="30" t="e">
        <f>VLOOKUP(B31,'Train Runs'!$A$13:$A$99938,1,FALSE)</f>
        <v>#N/A</v>
      </c>
    </row>
    <row r="32" spans="1:10" x14ac:dyDescent="0.25">
      <c r="A32" s="181"/>
      <c r="B32" s="43" t="str">
        <f>A32&amp;"-"&amp;IF(DAY(Variables!$A$2)&lt;10,0,"")&amp;DAY(Variables!$A$2)</f>
        <v>-02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2" s="30" t="e">
        <f>VLOOKUP(B32,'Train Runs'!$A$13:$A$99938,1,FALSE)</f>
        <v>#N/A</v>
      </c>
    </row>
    <row r="33" spans="1:10" x14ac:dyDescent="0.25">
      <c r="A33" s="181"/>
      <c r="B33" s="43" t="str">
        <f>A33&amp;"-"&amp;IF(DAY(Variables!$A$2)&lt;10,0,"")&amp;DAY(Variables!$A$2)</f>
        <v>-02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3" s="30" t="e">
        <f>VLOOKUP(B33,'Train Runs'!$A$13:$A$99938,1,FALSE)</f>
        <v>#N/A</v>
      </c>
    </row>
    <row r="34" spans="1:10" x14ac:dyDescent="0.25">
      <c r="A34" s="181"/>
      <c r="B34" s="43" t="str">
        <f>A34&amp;"-"&amp;IF(DAY(Variables!$A$2)&lt;10,0,"")&amp;DAY(Variables!$A$2)</f>
        <v>-02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4" s="30" t="e">
        <f>VLOOKUP(B34,'Train Runs'!$A$13:$A$99938,1,FALSE)</f>
        <v>#N/A</v>
      </c>
    </row>
    <row r="35" spans="1:10" x14ac:dyDescent="0.25">
      <c r="A35" s="181"/>
      <c r="B35" s="43" t="str">
        <f>A35&amp;"-"&amp;IF(DAY(Variables!$A$2)&lt;10,0,"")&amp;DAY(Variables!$A$2)</f>
        <v>-02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5" s="30" t="e">
        <f>VLOOKUP(B35,'Train Runs'!$A$13:$A$99938,1,FALSE)</f>
        <v>#N/A</v>
      </c>
    </row>
    <row r="36" spans="1:10" x14ac:dyDescent="0.25">
      <c r="A36" s="181"/>
      <c r="B36" s="43" t="str">
        <f>A36&amp;"-"&amp;IF(DAY(Variables!$A$2)&lt;10,0,"")&amp;DAY(Variables!$A$2)</f>
        <v>-02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6" s="30" t="e">
        <f>VLOOKUP(B36,'Train Runs'!$A$13:$A$99938,1,FALSE)</f>
        <v>#N/A</v>
      </c>
    </row>
    <row r="37" spans="1:10" x14ac:dyDescent="0.25">
      <c r="A37" s="181"/>
      <c r="B37" s="43" t="str">
        <f>A37&amp;"-"&amp;IF(DAY(Variables!$A$2)&lt;10,0,"")&amp;DAY(Variables!$A$2)</f>
        <v>-02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7" s="30" t="e">
        <f>VLOOKUP(B37,'Train Runs'!$A$13:$A$99938,1,FALSE)</f>
        <v>#N/A</v>
      </c>
    </row>
    <row r="38" spans="1:10" x14ac:dyDescent="0.25">
      <c r="A38" s="181"/>
      <c r="B38" s="43" t="str">
        <f>A38&amp;"-"&amp;IF(DAY(Variables!$A$2)&lt;10,0,"")&amp;DAY(Variables!$A$2)</f>
        <v>-02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8" s="30" t="e">
        <f>VLOOKUP(B38,'Train Runs'!$A$13:$A$99938,1,FALSE)</f>
        <v>#N/A</v>
      </c>
    </row>
    <row r="39" spans="1:10" x14ac:dyDescent="0.25">
      <c r="A39" s="181"/>
      <c r="B39" s="43" t="str">
        <f>A39&amp;"-"&amp;IF(DAY(Variables!$A$2)&lt;10,0,"")&amp;DAY(Variables!$A$2)</f>
        <v>-02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9" s="30" t="e">
        <f>VLOOKUP(B39,'Train Runs'!$A$13:$A$99938,1,FALSE)</f>
        <v>#N/A</v>
      </c>
    </row>
    <row r="40" spans="1:10" x14ac:dyDescent="0.25">
      <c r="A40" s="181"/>
      <c r="B40" s="43" t="str">
        <f>A40&amp;"-"&amp;IF(DAY(Variables!$A$2)&lt;10,0,"")&amp;DAY(Variables!$A$2)</f>
        <v>-02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0" s="30" t="e">
        <f>VLOOKUP(B40,'Train Runs'!$A$13:$A$99938,1,FALSE)</f>
        <v>#N/A</v>
      </c>
    </row>
    <row r="41" spans="1:10" x14ac:dyDescent="0.25">
      <c r="A41" s="181"/>
      <c r="B41" s="43" t="str">
        <f>A41&amp;"-"&amp;IF(DAY(Variables!$A$2)&lt;10,0,"")&amp;DAY(Variables!$A$2)</f>
        <v>-02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1" s="30" t="e">
        <f>VLOOKUP(B41,'Train Runs'!$A$13:$A$99938,1,FALSE)</f>
        <v>#N/A</v>
      </c>
    </row>
    <row r="42" spans="1:10" x14ac:dyDescent="0.25">
      <c r="A42" s="181"/>
      <c r="B42" s="43" t="str">
        <f>A42&amp;"-"&amp;IF(DAY(Variables!$A$2)&lt;10,0,"")&amp;DAY(Variables!$A$2)</f>
        <v>-02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2" s="30" t="e">
        <f>VLOOKUP(B42,'Train Runs'!$A$13:$A$99938,1,FALSE)</f>
        <v>#N/A</v>
      </c>
    </row>
    <row r="43" spans="1:10" x14ac:dyDescent="0.25">
      <c r="A43" s="181"/>
      <c r="B43" s="43" t="str">
        <f>A43&amp;"-"&amp;IF(DAY(Variables!$A$2)&lt;10,0,"")&amp;DAY(Variables!$A$2)</f>
        <v>-02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3" s="30" t="e">
        <f>VLOOKUP(B43,'Train Runs'!$A$13:$A$99938,1,FALSE)</f>
        <v>#N/A</v>
      </c>
    </row>
    <row r="44" spans="1:10" x14ac:dyDescent="0.25">
      <c r="A44" s="181"/>
      <c r="B44" s="43" t="str">
        <f>A44&amp;"-"&amp;IF(DAY(Variables!$A$2)&lt;10,0,"")&amp;DAY(Variables!$A$2)</f>
        <v>-02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4" s="30" t="e">
        <f>VLOOKUP(B44,'Train Runs'!$A$13:$A$99938,1,FALSE)</f>
        <v>#N/A</v>
      </c>
    </row>
    <row r="45" spans="1:10" x14ac:dyDescent="0.25">
      <c r="A45" s="181"/>
      <c r="B45" s="43" t="str">
        <f>A45&amp;"-"&amp;IF(DAY(Variables!$A$2)&lt;10,0,"")&amp;DAY(Variables!$A$2)</f>
        <v>-02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5" s="30" t="e">
        <f>VLOOKUP(B45,'Train Runs'!$A$13:$A$99938,1,FALSE)</f>
        <v>#N/A</v>
      </c>
    </row>
    <row r="46" spans="1:10" x14ac:dyDescent="0.25">
      <c r="A46" s="181"/>
      <c r="B46" s="43" t="str">
        <f>A46&amp;"-"&amp;IF(DAY(Variables!$A$2)&lt;10,0,"")&amp;DAY(Variables!$A$2)</f>
        <v>-02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6" s="30" t="e">
        <f>VLOOKUP(B46,'Train Runs'!$A$13:$A$99938,1,FALSE)</f>
        <v>#N/A</v>
      </c>
    </row>
    <row r="47" spans="1:10" x14ac:dyDescent="0.25">
      <c r="A47" s="181"/>
      <c r="B47" s="43" t="str">
        <f>A47&amp;"-"&amp;IF(DAY(Variables!$A$2)&lt;10,0,"")&amp;DAY(Variables!$A$2)</f>
        <v>-02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7" s="30" t="e">
        <f>VLOOKUP(B47,'Train Runs'!$A$13:$A$99938,1,FALSE)</f>
        <v>#N/A</v>
      </c>
    </row>
    <row r="48" spans="1:10" x14ac:dyDescent="0.25">
      <c r="A48" s="181"/>
      <c r="B48" s="43" t="str">
        <f>A48&amp;"-"&amp;IF(DAY(Variables!$A$2)&lt;10,0,"")&amp;DAY(Variables!$A$2)</f>
        <v>-02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8" s="30" t="e">
        <f>VLOOKUP(B48,'Train Runs'!$A$13:$A$99938,1,FALSE)</f>
        <v>#N/A</v>
      </c>
    </row>
    <row r="49" spans="1:10" x14ac:dyDescent="0.25">
      <c r="A49" s="181"/>
      <c r="B49" s="43" t="str">
        <f>A49&amp;"-"&amp;IF(DAY(Variables!$A$2)&lt;10,0,"")&amp;DAY(Variables!$A$2)</f>
        <v>-02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9" s="30" t="e">
        <f>VLOOKUP(B49,'Train Runs'!$A$13:$A$99938,1,FALSE)</f>
        <v>#N/A</v>
      </c>
    </row>
    <row r="50" spans="1:10" x14ac:dyDescent="0.25">
      <c r="A50" s="181"/>
      <c r="B50" s="43" t="str">
        <f>A50&amp;"-"&amp;IF(DAY(Variables!$A$2)&lt;10,0,"")&amp;DAY(Variables!$A$2)</f>
        <v>-02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0" s="30" t="e">
        <f>VLOOKUP(B50,'Train Runs'!$A$13:$A$99938,1,FALSE)</f>
        <v>#N/A</v>
      </c>
    </row>
    <row r="51" spans="1:10" x14ac:dyDescent="0.25">
      <c r="A51" s="181"/>
      <c r="B51" s="43" t="str">
        <f>A51&amp;"-"&amp;IF(DAY(Variables!$A$2)&lt;10,0,"")&amp;DAY(Variables!$A$2)</f>
        <v>-02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1" s="30" t="e">
        <f>VLOOKUP(B51,'Train Runs'!$A$13:$A$99938,1,FALSE)</f>
        <v>#N/A</v>
      </c>
    </row>
    <row r="52" spans="1:10" x14ac:dyDescent="0.25">
      <c r="A52" s="181"/>
      <c r="B52" s="43" t="str">
        <f>A52&amp;"-"&amp;IF(DAY(Variables!$A$2)&lt;10,0,"")&amp;DAY(Variables!$A$2)</f>
        <v>-02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2" s="30" t="e">
        <f>VLOOKUP(B52,'Train Runs'!$A$13:$A$99938,1,FALSE)</f>
        <v>#N/A</v>
      </c>
    </row>
    <row r="53" spans="1:10" x14ac:dyDescent="0.25">
      <c r="A53" s="181"/>
      <c r="B53" s="43" t="str">
        <f>A53&amp;"-"&amp;IF(DAY(Variables!$A$2)&lt;10,0,"")&amp;DAY(Variables!$A$2)</f>
        <v>-02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3" s="30" t="e">
        <f>VLOOKUP(B53,'Train Runs'!$A$13:$A$99938,1,FALSE)</f>
        <v>#N/A</v>
      </c>
    </row>
    <row r="54" spans="1:10" x14ac:dyDescent="0.25">
      <c r="A54" s="181"/>
      <c r="B54" s="43" t="str">
        <f>A54&amp;"-"&amp;IF(DAY(Variables!$A$2)&lt;10,0,"")&amp;DAY(Variables!$A$2)</f>
        <v>-02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4" s="30" t="e">
        <f>VLOOKUP(B54,'Train Runs'!$A$13:$A$99938,1,FALSE)</f>
        <v>#N/A</v>
      </c>
    </row>
    <row r="55" spans="1:10" x14ac:dyDescent="0.25">
      <c r="A55" s="181"/>
      <c r="B55" s="43" t="str">
        <f>A55&amp;"-"&amp;IF(DAY(Variables!$A$2)&lt;10,0,"")&amp;DAY(Variables!$A$2)</f>
        <v>-02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5" s="30" t="e">
        <f>VLOOKUP(B55,'Train Runs'!$A$13:$A$99938,1,FALSE)</f>
        <v>#N/A</v>
      </c>
    </row>
    <row r="56" spans="1:10" x14ac:dyDescent="0.25">
      <c r="A56" s="181"/>
      <c r="B56" s="43" t="str">
        <f>A56&amp;"-"&amp;IF(DAY(Variables!$A$2)&lt;10,0,"")&amp;DAY(Variables!$A$2)</f>
        <v>-02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6" s="30" t="e">
        <f>VLOOKUP(B56,'Train Runs'!$A$13:$A$99938,1,FALSE)</f>
        <v>#N/A</v>
      </c>
    </row>
    <row r="57" spans="1:10" x14ac:dyDescent="0.25">
      <c r="A57" s="181"/>
      <c r="B57" s="43" t="str">
        <f>A57&amp;"-"&amp;IF(DAY(Variables!$A$2)&lt;10,0,"")&amp;DAY(Variables!$A$2)</f>
        <v>-02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7" s="30" t="e">
        <f>VLOOKUP(B57,'Train Runs'!$A$13:$A$99938,1,FALSE)</f>
        <v>#N/A</v>
      </c>
    </row>
    <row r="58" spans="1:10" x14ac:dyDescent="0.25">
      <c r="A58" s="181"/>
      <c r="B58" s="43" t="str">
        <f>A58&amp;"-"&amp;IF(DAY(Variables!$A$2)&lt;10,0,"")&amp;DAY(Variables!$A$2)</f>
        <v>-02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8" s="30" t="e">
        <f>VLOOKUP(B58,'Train Runs'!$A$13:$A$99938,1,FALSE)</f>
        <v>#N/A</v>
      </c>
    </row>
    <row r="59" spans="1:10" x14ac:dyDescent="0.25">
      <c r="A59" s="181"/>
      <c r="B59" s="43" t="str">
        <f>A59&amp;"-"&amp;IF(DAY(Variables!$A$2)&lt;10,0,"")&amp;DAY(Variables!$A$2)</f>
        <v>-02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9" s="30" t="e">
        <f>VLOOKUP(B59,'Train Runs'!$A$13:$A$99938,1,FALSE)</f>
        <v>#N/A</v>
      </c>
    </row>
    <row r="60" spans="1:10" x14ac:dyDescent="0.25">
      <c r="A60" s="181"/>
      <c r="B60" s="43" t="str">
        <f>A60&amp;"-"&amp;IF(DAY(Variables!$A$2)&lt;10,0,"")&amp;DAY(Variables!$A$2)</f>
        <v>-02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0" s="30" t="e">
        <f>VLOOKUP(B60,'Train Runs'!$A$13:$A$99938,1,FALSE)</f>
        <v>#N/A</v>
      </c>
    </row>
    <row r="61" spans="1:10" x14ac:dyDescent="0.25">
      <c r="A61" s="181"/>
      <c r="B61" s="43" t="str">
        <f>A61&amp;"-"&amp;IF(DAY(Variables!$A$2)&lt;10,0,"")&amp;DAY(Variables!$A$2)</f>
        <v>-02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1" s="30" t="e">
        <f>VLOOKUP(B61,'Train Runs'!$A$13:$A$99938,1,FALSE)</f>
        <v>#N/A</v>
      </c>
    </row>
    <row r="62" spans="1:10" x14ac:dyDescent="0.25">
      <c r="A62" s="181"/>
      <c r="B62" s="43" t="str">
        <f>A62&amp;"-"&amp;IF(DAY(Variables!$A$2)&lt;10,0,"")&amp;DAY(Variables!$A$2)</f>
        <v>-02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2" s="30" t="e">
        <f>VLOOKUP(B62,'Train Runs'!$A$13:$A$99938,1,FALSE)</f>
        <v>#N/A</v>
      </c>
    </row>
    <row r="63" spans="1:10" x14ac:dyDescent="0.25">
      <c r="A63" s="181"/>
      <c r="B63" s="43" t="str">
        <f>A63&amp;"-"&amp;IF(DAY(Variables!$A$2)&lt;10,0,"")&amp;DAY(Variables!$A$2)</f>
        <v>-02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3" s="30" t="e">
        <f>VLOOKUP(B63,'Train Runs'!$A$13:$A$99938,1,FALSE)</f>
        <v>#N/A</v>
      </c>
    </row>
    <row r="64" spans="1:10" x14ac:dyDescent="0.25">
      <c r="A64" s="181"/>
      <c r="B64" s="43" t="str">
        <f>A64&amp;"-"&amp;IF(DAY(Variables!$A$2)&lt;10,0,"")&amp;DAY(Variables!$A$2)</f>
        <v>-02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4" s="30" t="e">
        <f>VLOOKUP(B64,'Train Runs'!$A$13:$A$99938,1,FALSE)</f>
        <v>#N/A</v>
      </c>
    </row>
    <row r="65" spans="1:10" x14ac:dyDescent="0.25">
      <c r="A65" s="181"/>
      <c r="B65" s="43" t="str">
        <f>A65&amp;"-"&amp;IF(DAY(Variables!$A$2)&lt;10,0,"")&amp;DAY(Variables!$A$2)</f>
        <v>-02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5" s="30" t="e">
        <f>VLOOKUP(B65,'Train Runs'!$A$13:$A$99938,1,FALSE)</f>
        <v>#N/A</v>
      </c>
    </row>
    <row r="66" spans="1:10" x14ac:dyDescent="0.25">
      <c r="A66" s="181"/>
      <c r="B66" s="43" t="str">
        <f>A66&amp;"-"&amp;IF(DAY(Variables!$A$2)&lt;10,0,"")&amp;DAY(Variables!$A$2)</f>
        <v>-02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6" s="30" t="e">
        <f>VLOOKUP(B66,'Train Runs'!$A$13:$A$99938,1,FALSE)</f>
        <v>#N/A</v>
      </c>
    </row>
    <row r="67" spans="1:10" x14ac:dyDescent="0.25">
      <c r="A67" s="181"/>
      <c r="B67" s="43" t="str">
        <f>A67&amp;"-"&amp;IF(DAY(Variables!$A$2)&lt;10,0,"")&amp;DAY(Variables!$A$2)</f>
        <v>-02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7" s="30" t="e">
        <f>VLOOKUP(B67,'Train Runs'!$A$13:$A$99938,1,FALSE)</f>
        <v>#N/A</v>
      </c>
    </row>
    <row r="68" spans="1:10" x14ac:dyDescent="0.25">
      <c r="A68" s="181"/>
      <c r="B68" s="43" t="str">
        <f>A68&amp;"-"&amp;IF(DAY(Variables!$A$2)&lt;10,0,"")&amp;DAY(Variables!$A$2)</f>
        <v>-02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8" s="30" t="e">
        <f>VLOOKUP(B68,'Train Runs'!$A$13:$A$99938,1,FALSE)</f>
        <v>#N/A</v>
      </c>
    </row>
    <row r="69" spans="1:10" x14ac:dyDescent="0.25">
      <c r="A69" s="181"/>
      <c r="B69" s="43" t="str">
        <f>A69&amp;"-"&amp;IF(DAY(Variables!$A$2)&lt;10,0,"")&amp;DAY(Variables!$A$2)</f>
        <v>-02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9" s="30" t="e">
        <f>VLOOKUP(B69,'Train Runs'!$A$13:$A$99938,1,FALSE)</f>
        <v>#N/A</v>
      </c>
    </row>
    <row r="70" spans="1:10" x14ac:dyDescent="0.25">
      <c r="A70" s="181"/>
      <c r="B70" s="43" t="str">
        <f>A70&amp;"-"&amp;IF(DAY(Variables!$A$2)&lt;10,0,"")&amp;DAY(Variables!$A$2)</f>
        <v>-02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0" s="30" t="e">
        <f>VLOOKUP(B70,'Train Runs'!$A$13:$A$99938,1,FALSE)</f>
        <v>#N/A</v>
      </c>
    </row>
    <row r="71" spans="1:10" x14ac:dyDescent="0.25">
      <c r="A71" s="181"/>
      <c r="B71" s="43" t="str">
        <f>A71&amp;"-"&amp;IF(DAY(Variables!$A$2)&lt;10,0,"")&amp;DAY(Variables!$A$2)</f>
        <v>-02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1" s="30" t="e">
        <f>VLOOKUP(B71,'Train Runs'!$A$13:$A$99938,1,FALSE)</f>
        <v>#N/A</v>
      </c>
    </row>
    <row r="72" spans="1:10" x14ac:dyDescent="0.25">
      <c r="A72" s="181"/>
      <c r="B72" s="43" t="str">
        <f>A72&amp;"-"&amp;IF(DAY(Variables!$A$2)&lt;10,0,"")&amp;DAY(Variables!$A$2)</f>
        <v>-02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2" s="30" t="e">
        <f>VLOOKUP(B72,'Train Runs'!$A$13:$A$99938,1,FALSE)</f>
        <v>#N/A</v>
      </c>
    </row>
    <row r="73" spans="1:10" x14ac:dyDescent="0.25">
      <c r="A73" s="181"/>
      <c r="B73" s="43" t="str">
        <f>A73&amp;"-"&amp;IF(DAY(Variables!$A$2)&lt;10,0,"")&amp;DAY(Variables!$A$2)</f>
        <v>-02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3" s="30" t="e">
        <f>VLOOKUP(B73,'Train Runs'!$A$13:$A$99938,1,FALSE)</f>
        <v>#N/A</v>
      </c>
    </row>
    <row r="74" spans="1:10" x14ac:dyDescent="0.25">
      <c r="A74" s="181"/>
      <c r="B74" s="43" t="str">
        <f>A74&amp;"-"&amp;IF(DAY(Variables!$A$2)&lt;10,0,"")&amp;DAY(Variables!$A$2)</f>
        <v>-02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4" s="30" t="e">
        <f>VLOOKUP(B74,'Train Runs'!$A$13:$A$99938,1,FALSE)</f>
        <v>#N/A</v>
      </c>
    </row>
    <row r="75" spans="1:10" x14ac:dyDescent="0.25">
      <c r="A75" s="181"/>
      <c r="B75" s="43" t="str">
        <f>A75&amp;"-"&amp;IF(DAY(Variables!$A$2)&lt;10,0,"")&amp;DAY(Variables!$A$2)</f>
        <v>-02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5" s="30" t="e">
        <f>VLOOKUP(B75,'Train Runs'!$A$13:$A$99938,1,FALSE)</f>
        <v>#N/A</v>
      </c>
    </row>
    <row r="76" spans="1:10" x14ac:dyDescent="0.25">
      <c r="A76" s="181"/>
      <c r="B76" s="43" t="str">
        <f>A76&amp;"-"&amp;IF(DAY(Variables!$A$2)&lt;10,0,"")&amp;DAY(Variables!$A$2)</f>
        <v>-02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6" s="30" t="e">
        <f>VLOOKUP(B76,'Train Runs'!$A$13:$A$99938,1,FALSE)</f>
        <v>#N/A</v>
      </c>
    </row>
    <row r="77" spans="1:10" x14ac:dyDescent="0.25">
      <c r="A77" s="181"/>
      <c r="B77" s="43" t="str">
        <f>A77&amp;"-"&amp;IF(DAY(Variables!$A$2)&lt;10,0,"")&amp;DAY(Variables!$A$2)</f>
        <v>-02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7" s="30" t="e">
        <f>VLOOKUP(B77,'Train Runs'!$A$13:$A$99938,1,FALSE)</f>
        <v>#N/A</v>
      </c>
    </row>
    <row r="78" spans="1:10" x14ac:dyDescent="0.25">
      <c r="A78" s="181"/>
      <c r="B78" s="43" t="str">
        <f>A78&amp;"-"&amp;IF(DAY(Variables!$A$2)&lt;10,0,"")&amp;DAY(Variables!$A$2)</f>
        <v>-02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8" s="30" t="e">
        <f>VLOOKUP(B78,'Train Runs'!$A$13:$A$99938,1,FALSE)</f>
        <v>#N/A</v>
      </c>
    </row>
    <row r="79" spans="1:10" x14ac:dyDescent="0.25">
      <c r="A79" s="181"/>
      <c r="B79" s="43" t="str">
        <f>A79&amp;"-"&amp;IF(DAY(Variables!$A$2)&lt;10,0,"")&amp;DAY(Variables!$A$2)</f>
        <v>-02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9" s="30" t="e">
        <f>VLOOKUP(B79,'Train Runs'!$A$13:$A$99938,1,FALSE)</f>
        <v>#N/A</v>
      </c>
    </row>
    <row r="80" spans="1:10" x14ac:dyDescent="0.25">
      <c r="A80" s="181"/>
      <c r="B80" s="43" t="str">
        <f>A80&amp;"-"&amp;IF(DAY(Variables!$A$2)&lt;10,0,"")&amp;DAY(Variables!$A$2)</f>
        <v>-02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0" s="30" t="e">
        <f>VLOOKUP(B80,'Train Runs'!$A$13:$A$99938,1,FALSE)</f>
        <v>#N/A</v>
      </c>
    </row>
    <row r="81" spans="1:10" x14ac:dyDescent="0.25">
      <c r="A81" s="181"/>
      <c r="B81" s="43" t="str">
        <f>A81&amp;"-"&amp;IF(DAY(Variables!$A$2)&lt;10,0,"")&amp;DAY(Variables!$A$2)</f>
        <v>-02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1" s="30" t="e">
        <f>VLOOKUP(B81,'Train Runs'!$A$13:$A$99938,1,FALSE)</f>
        <v>#N/A</v>
      </c>
    </row>
    <row r="82" spans="1:10" x14ac:dyDescent="0.25">
      <c r="A82" s="181"/>
      <c r="B82" s="43" t="str">
        <f>A82&amp;"-"&amp;IF(DAY(Variables!$A$2)&lt;10,0,"")&amp;DAY(Variables!$A$2)</f>
        <v>-02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2" s="30" t="e">
        <f>VLOOKUP(B82,'Train Runs'!$A$13:$A$99938,1,FALSE)</f>
        <v>#N/A</v>
      </c>
    </row>
    <row r="83" spans="1:10" x14ac:dyDescent="0.25">
      <c r="A83" s="181"/>
      <c r="B83" s="43" t="str">
        <f>A83&amp;"-"&amp;IF(DAY(Variables!$A$2)&lt;10,0,"")&amp;DAY(Variables!$A$2)</f>
        <v>-02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3" s="30" t="e">
        <f>VLOOKUP(B83,'Train Runs'!$A$13:$A$99938,1,FALSE)</f>
        <v>#N/A</v>
      </c>
    </row>
    <row r="84" spans="1:10" x14ac:dyDescent="0.25">
      <c r="A84" s="181"/>
      <c r="B84" s="43" t="str">
        <f>A84&amp;"-"&amp;IF(DAY(Variables!$A$2)&lt;10,0,"")&amp;DAY(Variables!$A$2)</f>
        <v>-02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4" s="30" t="e">
        <f>VLOOKUP(B84,'Train Runs'!$A$13:$A$99938,1,FALSE)</f>
        <v>#N/A</v>
      </c>
    </row>
    <row r="85" spans="1:10" x14ac:dyDescent="0.25">
      <c r="A85" s="181"/>
      <c r="B85" s="43" t="str">
        <f>A85&amp;"-"&amp;IF(DAY(Variables!$A$2)&lt;10,0,"")&amp;DAY(Variables!$A$2)</f>
        <v>-02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5" s="30" t="e">
        <f>VLOOKUP(B85,'Train Runs'!$A$13:$A$99938,1,FALSE)</f>
        <v>#N/A</v>
      </c>
    </row>
    <row r="86" spans="1:10" x14ac:dyDescent="0.25">
      <c r="A86" s="181"/>
      <c r="B86" s="43" t="str">
        <f>A86&amp;"-"&amp;IF(DAY(Variables!$A$2)&lt;10,0,"")&amp;DAY(Variables!$A$2)</f>
        <v>-02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6" s="30" t="e">
        <f>VLOOKUP(B86,'Train Runs'!$A$13:$A$99938,1,FALSE)</f>
        <v>#N/A</v>
      </c>
    </row>
    <row r="87" spans="1:10" x14ac:dyDescent="0.25">
      <c r="A87" s="181"/>
      <c r="B87" s="43" t="str">
        <f>A87&amp;"-"&amp;IF(DAY(Variables!$A$2)&lt;10,0,"")&amp;DAY(Variables!$A$2)</f>
        <v>-02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7" s="30" t="e">
        <f>VLOOKUP(B87,'Train Runs'!$A$13:$A$99938,1,FALSE)</f>
        <v>#N/A</v>
      </c>
    </row>
    <row r="88" spans="1:10" x14ac:dyDescent="0.25">
      <c r="A88" s="181"/>
      <c r="B88" s="43" t="str">
        <f>A88&amp;"-"&amp;IF(DAY(Variables!$A$2)&lt;10,0,"")&amp;DAY(Variables!$A$2)</f>
        <v>-02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8" s="30" t="e">
        <f>VLOOKUP(B88,'Train Runs'!$A$13:$A$99938,1,FALSE)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352</v>
      </c>
      <c r="B1" s="203" t="s">
        <v>353</v>
      </c>
      <c r="C1" s="195" t="s">
        <v>361</v>
      </c>
      <c r="D1" s="207" t="s">
        <v>58</v>
      </c>
      <c r="E1" s="192" t="s">
        <v>24</v>
      </c>
      <c r="F1" s="207" t="s">
        <v>367</v>
      </c>
      <c r="G1" s="211" t="s">
        <v>94</v>
      </c>
      <c r="H1" s="213" t="s">
        <v>371</v>
      </c>
      <c r="I1" s="209" t="s">
        <v>370</v>
      </c>
      <c r="J1" s="205" t="s">
        <v>84</v>
      </c>
      <c r="K1" s="205" t="s">
        <v>366</v>
      </c>
      <c r="L1" s="200" t="s">
        <v>363</v>
      </c>
      <c r="M1" s="200" t="s">
        <v>354</v>
      </c>
      <c r="N1" s="200" t="s">
        <v>356</v>
      </c>
      <c r="O1" s="200" t="s">
        <v>357</v>
      </c>
      <c r="P1" s="200" t="s">
        <v>358</v>
      </c>
      <c r="Q1" s="199" t="s">
        <v>355</v>
      </c>
    </row>
    <row r="2" spans="1:17" x14ac:dyDescent="0.25">
      <c r="A2" s="197">
        <v>42800.21875</v>
      </c>
      <c r="B2" s="204" t="s">
        <v>360</v>
      </c>
      <c r="C2" s="194" t="s">
        <v>362</v>
      </c>
      <c r="D2" s="208">
        <v>104</v>
      </c>
      <c r="E2" s="30" t="s">
        <v>365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/stypes="*4026*201703061*"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"%USERPROFILE%\AppData\Local\Temp\OnboardLogs"\RTDC4026\*4026*201703061*</v>
      </c>
      <c r="I2" s="210" t="str">
        <f>IF(VLOOKUP(K2,'Train Runs'!$A$13:$V$994,1,TRUE)=K2,VLOOKUP(K2,'Train Runs'!$A$13:$V$994,22,TRUE),NA())</f>
        <v>https://d0f6bd738d7f1b3e5a7ca70fe4ff75f0.us-east-1.aws.found.io/app/kibana#/discover/Steve-Slow-Train-Analysis-(2080s-and-2083s)?_g=(refreshInterval:(display:Off,pause:!f,section:0,value:0),time:(from:'2017-04-02T03:29:15-0600',mode:absolute,to:'2017-04-02T06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104-02</v>
      </c>
      <c r="L2" s="202">
        <f>IF(VLOOKUP(K2,'Train Runs'!$A$12:$B$994,1,TRUE)=K2,VLOOKUP(K2,'Train Runs'!$A$12:$B$994,2,TRUE),NA())</f>
        <v>4026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360</v>
      </c>
      <c r="C3" s="194" t="s">
        <v>362</v>
      </c>
      <c r="D3" s="208">
        <v>126</v>
      </c>
      <c r="E3" s="30" t="s">
        <v>364</v>
      </c>
      <c r="F3" s="208" t="b">
        <v>1</v>
      </c>
      <c r="G3" s="212" t="str">
        <f t="shared" si="0"/>
        <v>"C:\Program Files (x86)\AstroGrep\AstroGrep.exe" /e /r /s /spath="%USERPROFILE%\AppData\Local\Temp\OnboardLogs" /stypes="*4015*201703061*"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"%USERPROFILE%\AppData\Local\Temp\OnboardLogs"\RTDC4015\*4015*201703061*</v>
      </c>
      <c r="I3" s="210" t="str">
        <f>IF(VLOOKUP(K3,'Train Runs'!$A$13:$V$994,1,TRUE)=K3,VLOOKUP(K3,'Train Runs'!$A$13:$V$994,22,TRUE),NA())</f>
        <v>https://d0f6bd738d7f1b3e5a7ca70fe4ff75f0.us-east-1.aws.found.io/app/kibana#/discover/Steve-Slow-Train-Analysis-(2080s-and-2083s)?_g=(refreshInterval:(display:Off,pause:!f,section:0,value:0),time:(from:'2017-04-02T06:22:31-0600',mode:absolute,to:'2017-04-02T09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126-02</v>
      </c>
      <c r="L3" s="202">
        <f>IF(VLOOKUP(K3,'Train Runs'!$A$12:$B$994,1,TRUE)=K3,VLOOKUP(K3,'Train Runs'!$A$12:$B$994,2,TRUE),NA())</f>
        <v>4015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360</v>
      </c>
      <c r="C4" s="194" t="s">
        <v>362</v>
      </c>
      <c r="D4" s="208">
        <v>128</v>
      </c>
      <c r="E4" s="30" t="s">
        <v>364</v>
      </c>
      <c r="F4" s="208" t="b">
        <v>1</v>
      </c>
      <c r="G4" s="212" t="str">
        <f t="shared" si="0"/>
        <v>"C:\Program Files (x86)\AstroGrep\AstroGrep.exe" /e /r /s /spath="%USERPROFILE%\AppData\Local\Temp\OnboardLogs" /stypes="*4019*201703061*"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"%USERPROFILE%\AppData\Local\Temp\OnboardLogs"\RTDC4019\*4019*201703061*</v>
      </c>
      <c r="I4" s="210" t="str">
        <f>IF(VLOOKUP(K4,'Train Runs'!$A$13:$V$994,1,TRUE)=K4,VLOOKUP(K4,'Train Runs'!$A$13:$V$994,22,TRUE),NA())</f>
        <v>https://d0f6bd738d7f1b3e5a7ca70fe4ff75f0.us-east-1.aws.found.io/app/kibana#/discover/Steve-Slow-Train-Analysis-(2080s-and-2083s)?_g=(refreshInterval:(display:Off,pause:!f,section:0,value:0),time:(from:'2017-04-02T06:37:03-0600',mode:absolute,to:'2017-04-02T09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128-02</v>
      </c>
      <c r="L4" s="202">
        <f>IF(VLOOKUP(K4,'Train Runs'!$A$12:$B$994,1,TRUE)=K4,VLOOKUP(K4,'Train Runs'!$A$12:$B$994,2,TRUE),NA())</f>
        <v>4019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360</v>
      </c>
      <c r="C5" s="194" t="s">
        <v>362</v>
      </c>
      <c r="D5" s="208">
        <f>D4+2</f>
        <v>130</v>
      </c>
      <c r="E5" s="30" t="s">
        <v>364</v>
      </c>
      <c r="F5" s="208" t="b">
        <v>1</v>
      </c>
      <c r="G5" s="212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"%USERPROFILE%\AppData\Local\Temp\OnboardLogs"\RTDC4001\*4001*201703061*</v>
      </c>
      <c r="I5" s="210" t="str">
        <f>IF(VLOOKUP(K5,'Train Runs'!$A$13:$V$994,1,TRUE)=K5,VLOOKUP(K5,'Train Runs'!$A$13:$V$994,22,TRUE),NA())</f>
        <v>https://d0f6bd738d7f1b3e5a7ca70fe4ff75f0.us-east-1.aws.found.io/app/kibana#/discover/Steve-Slow-Train-Analysis-(2080s-and-2083s)?_g=(refreshInterval:(display:Off,pause:!f,section:0,value:0),time:(from:'2017-04-02T06:54:22-0600',mode:absolute,to:'2017-04-02T09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130-02</v>
      </c>
      <c r="L5" s="202">
        <f>IF(VLOOKUP(K5,'Train Runs'!$A$12:$B$994,1,TRUE)=K5,VLOOKUP(K5,'Train Runs'!$A$12:$B$994,2,TRUE),NA())</f>
        <v>4001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360</v>
      </c>
      <c r="C6" s="194" t="s">
        <v>362</v>
      </c>
      <c r="D6" s="208">
        <f>D5+2</f>
        <v>132</v>
      </c>
      <c r="E6" s="30" t="s">
        <v>364</v>
      </c>
      <c r="F6" s="208" t="b">
        <v>1</v>
      </c>
      <c r="G6" s="212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"%USERPROFILE%\AppData\Local\Temp\OnboardLogs"\RTDC4026\*4026*201703061*</v>
      </c>
      <c r="I6" s="210" t="str">
        <f>IF(VLOOKUP(K6,'Train Runs'!$A$13:$V$994,1,TRUE)=K6,VLOOKUP(K6,'Train Runs'!$A$13:$V$994,22,TRUE),NA())</f>
        <v>https://d0f6bd738d7f1b3e5a7ca70fe4ff75f0.us-east-1.aws.found.io/app/kibana#/discover/Steve-Slow-Train-Analysis-(2080s-and-2083s)?_g=(refreshInterval:(display:Off,pause:!f,section:0,value:0),time:(from:'2017-04-02T07:18:59-0600',mode:absolute,to:'2017-04-02T10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6" s="206">
        <f t="shared" si="2"/>
        <v>42800.625</v>
      </c>
      <c r="K6" s="206" t="str">
        <f>D6&amp;"-"&amp;IF(DAY(Variables!$A$2)&lt;10,0,"")&amp;DAY(Variables!$A$2)</f>
        <v>132-02</v>
      </c>
      <c r="L6" s="202">
        <f>IF(VLOOKUP(K6,'Train Runs'!$A$12:$B$994,1,TRUE)=K6,VLOOKUP(K6,'Train Runs'!$A$12:$B$994,2,TRUE),NA())</f>
        <v>4026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360</v>
      </c>
      <c r="C7" s="194" t="s">
        <v>362</v>
      </c>
      <c r="D7" s="208">
        <f t="shared" ref="D7:D11" si="4">D6+2</f>
        <v>134</v>
      </c>
      <c r="E7" s="30" t="s">
        <v>364</v>
      </c>
      <c r="F7" s="208" t="b">
        <v>1</v>
      </c>
      <c r="G7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"%USERPROFILE%\AppData\Local\Temp\OnboardLogs"\RTDC4053\*4053*201703061*</v>
      </c>
      <c r="I7" s="210" t="str">
        <f>IF(VLOOKUP(K7,'Train Runs'!$A$13:$V$994,1,TRUE)=K7,VLOOKUP(K7,'Train Runs'!$A$13:$V$994,22,TRUE),NA())</f>
        <v>https://d0f6bd738d7f1b3e5a7ca70fe4ff75f0.us-east-1.aws.found.io/app/kibana#/discover/Steve-Slow-Train-Analysis-(2080s-and-2083s)?_g=(refreshInterval:(display:Off,pause:!f,section:0,value:0),time:(from:'2017-04-02T07:36:18-0600',mode:absolute,to:'2017-04-02T10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134-02</v>
      </c>
      <c r="L7" s="202">
        <f>IF(VLOOKUP(K7,'Train Runs'!$A$12:$B$994,1,TRUE)=K7,VLOOKUP(K7,'Train Runs'!$A$12:$B$994,2,TRUE),NA())</f>
        <v>4053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360</v>
      </c>
      <c r="C8" s="194" t="s">
        <v>362</v>
      </c>
      <c r="D8" s="208">
        <f t="shared" si="4"/>
        <v>136</v>
      </c>
      <c r="E8" s="30" t="s">
        <v>364</v>
      </c>
      <c r="F8" s="208" t="b">
        <v>1</v>
      </c>
      <c r="G8" s="212" t="str">
        <f t="shared" si="0"/>
        <v>"C:\Program Files (x86)\AstroGrep\AstroGrep.exe" /e /r /s /spath="%USERPROFILE%\AppData\Local\Temp\OnboardLogs" /stypes="*4009*201703061*"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"%USERPROFILE%\AppData\Local\Temp\OnboardLogs"\RTDC4009\*4009*201703061*</v>
      </c>
      <c r="I8" s="210" t="str">
        <f>IF(VLOOKUP(K8,'Train Runs'!$A$13:$V$994,1,TRUE)=K8,VLOOKUP(K8,'Train Runs'!$A$13:$V$994,22,TRUE),NA())</f>
        <v>https://d0f6bd738d7f1b3e5a7ca70fe4ff75f0.us-east-1.aws.found.io/app/kibana#/discover/Steve-Slow-Train-Analysis-(2080s-and-2083s)?_g=(refreshInterval:(display:Off,pause:!f,section:0,value:0),time:(from:'2017-04-02T07:51:51-0600',mode:absolute,to:'2017-04-02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136-02</v>
      </c>
      <c r="L8" s="202">
        <f>IF(VLOOKUP(K8,'Train Runs'!$A$12:$B$994,1,TRUE)=K8,VLOOKUP(K8,'Train Runs'!$A$12:$B$994,2,TRUE),NA())</f>
        <v>4009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360</v>
      </c>
      <c r="C9" s="194" t="s">
        <v>362</v>
      </c>
      <c r="D9" s="208">
        <f t="shared" si="4"/>
        <v>138</v>
      </c>
      <c r="E9" s="30" t="s">
        <v>364</v>
      </c>
      <c r="F9" s="208" t="b">
        <v>1</v>
      </c>
      <c r="G9" s="212" t="str">
        <f t="shared" si="0"/>
        <v>"C:\Program Files (x86)\AstroGrep\AstroGrep.exe" /e /r /s /spath="%USERPROFILE%\AppData\Local\Temp\OnboardLogs" /stypes="*4012*201703061*"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"%USERPROFILE%\AppData\Local\Temp\OnboardLogs"\RTDC4012\*4012*201703061*</v>
      </c>
      <c r="I9" s="210" t="str">
        <f>IF(VLOOKUP(K9,'Train Runs'!$A$13:$V$994,1,TRUE)=K9,VLOOKUP(K9,'Train Runs'!$A$13:$V$994,22,TRUE),NA())</f>
        <v>https://d0f6bd738d7f1b3e5a7ca70fe4ff75f0.us-east-1.aws.found.io/app/kibana#/discover/Steve-Slow-Train-Analysis-(2080s-and-2083s)?_g=(refreshInterval:(display:Off,pause:!f,section:0,value:0),time:(from:'2017-04-02T08:03:31-0600',mode:absolute,to:'2017-04-02T10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138-02</v>
      </c>
      <c r="L9" s="202">
        <f>IF(VLOOKUP(K9,'Train Runs'!$A$12:$B$994,1,TRUE)=K9,VLOOKUP(K9,'Train Runs'!$A$12:$B$994,2,TRUE),NA())</f>
        <v>4012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360</v>
      </c>
      <c r="C10" s="194" t="s">
        <v>362</v>
      </c>
      <c r="D10" s="208">
        <f t="shared" si="4"/>
        <v>140</v>
      </c>
      <c r="E10" s="30" t="s">
        <v>364</v>
      </c>
      <c r="F10" s="208" t="b">
        <v>1</v>
      </c>
      <c r="G10" s="212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"%USERPROFILE%\AppData\Local\Temp\OnboardLogs"\RTDC4015\*4015*201703061*</v>
      </c>
      <c r="I10" s="210" t="str">
        <f>IF(VLOOKUP(K10,'Train Runs'!$A$13:$V$994,1,TRUE)=K10,VLOOKUP(K10,'Train Runs'!$A$13:$V$994,22,TRUE),NA())</f>
        <v>https://d0f6bd738d7f1b3e5a7ca70fe4ff75f0.us-east-1.aws.found.io/app/kibana#/discover/Steve-Slow-Train-Analysis-(2080s-and-2083s)?_g=(refreshInterval:(display:Off,pause:!f,section:0,value:0),time:(from:'2017-04-02T08:07:18-0600',mode:absolute,to:'2017-04-02T11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140-02</v>
      </c>
      <c r="L10" s="202">
        <f>IF(VLOOKUP(K10,'Train Runs'!$A$12:$B$994,1,TRUE)=K10,VLOOKUP(K10,'Train Runs'!$A$12:$B$994,2,TRUE),NA())</f>
        <v>4015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360</v>
      </c>
      <c r="C11" s="194" t="s">
        <v>362</v>
      </c>
      <c r="D11" s="208">
        <f t="shared" si="4"/>
        <v>142</v>
      </c>
      <c r="E11" s="30" t="s">
        <v>364</v>
      </c>
      <c r="F11" s="208" t="b">
        <v>1</v>
      </c>
      <c r="G11" s="212" t="str">
        <f t="shared" si="0"/>
        <v>"C:\Program Files (x86)\AstroGrep\AstroGrep.exe" /e /r /s /spath="%USERPROFILE%\AppData\Local\Temp\OnboardLogs" /stypes="*4019*201703061*"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"%USERPROFILE%\AppData\Local\Temp\OnboardLogs"\RTDC4019\*4019*201703061*</v>
      </c>
      <c r="I11" s="210" t="str">
        <f>IF(VLOOKUP(K11,'Train Runs'!$A$13:$V$994,1,TRUE)=K11,VLOOKUP(K11,'Train Runs'!$A$13:$V$994,22,TRUE),NA())</f>
        <v>https://d0f6bd738d7f1b3e5a7ca70fe4ff75f0.us-east-1.aws.found.io/app/kibana#/discover/Steve-Slow-Train-Analysis-(2080s-and-2083s)?_g=(refreshInterval:(display:Off,pause:!f,section:0,value:0),time:(from:'2017-04-02T08:22:54-0600',mode:absolute,to:'2017-04-02T11:18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142-02</v>
      </c>
      <c r="L11" s="202">
        <f>IF(VLOOKUP(K11,'Train Runs'!$A$12:$B$994,1,TRUE)=K11,VLOOKUP(K11,'Train Runs'!$A$12:$B$994,2,TRUE),NA())</f>
        <v>4019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360</v>
      </c>
      <c r="C12" s="194" t="s">
        <v>362</v>
      </c>
      <c r="D12" s="208">
        <v>144</v>
      </c>
      <c r="E12" s="30" t="s">
        <v>364</v>
      </c>
      <c r="F12" s="208" t="b">
        <v>1</v>
      </c>
      <c r="G12" s="212" t="str">
        <f t="shared" si="0"/>
        <v>"C:\Program Files (x86)\AstroGrep\AstroGrep.exe" /e /r /s /spath="%USERPROFILE%\AppData\Local\Temp\OnboardLogs" /stypes="*4001*201703061*"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"%USERPROFILE%\AppData\Local\Temp\OnboardLogs"\RTDC4001\*4001*201703061*</v>
      </c>
      <c r="I12" s="210" t="str">
        <f>IF(VLOOKUP(K12,'Train Runs'!$A$13:$V$994,1,TRUE)=K12,VLOOKUP(K12,'Train Runs'!$A$13:$V$994,22,TRUE),NA())</f>
        <v>https://d0f6bd738d7f1b3e5a7ca70fe4ff75f0.us-east-1.aws.found.io/app/kibana#/discover/Steve-Slow-Train-Analysis-(2080s-and-2083s)?_g=(refreshInterval:(display:Off,pause:!f,section:0,value:0),time:(from:'2017-04-02T08:39:30-0600',mode:absolute,to:'2017-04-02T11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144-02</v>
      </c>
      <c r="L12" s="202">
        <f>IF(VLOOKUP(K12,'Train Runs'!$A$12:$B$994,1,TRUE)=K12,VLOOKUP(K12,'Train Runs'!$A$12:$B$994,2,TRUE),NA())</f>
        <v>4001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360</v>
      </c>
      <c r="C13" s="194" t="s">
        <v>362</v>
      </c>
      <c r="D13" s="208">
        <v>146</v>
      </c>
      <c r="E13" s="30" t="s">
        <v>364</v>
      </c>
      <c r="F13" s="208" t="b">
        <v>1</v>
      </c>
      <c r="G13" s="212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"%USERPROFILE%\AppData\Local\Temp\OnboardLogs"\RTDC4026\*4026*201703061*</v>
      </c>
      <c r="I13" s="210" t="str">
        <f>IF(VLOOKUP(K13,'Train Runs'!$A$13:$V$994,1,TRUE)=K13,VLOOKUP(K13,'Train Runs'!$A$13:$V$994,22,TRUE),NA())</f>
        <v>https://d0f6bd738d7f1b3e5a7ca70fe4ff75f0.us-east-1.aws.found.io/app/kibana#/discover/Steve-Slow-Train-Analysis-(2080s-and-2083s)?_g=(refreshInterval:(display:Off,pause:!f,section:0,value:0),time:(from:'2017-04-02T08:57:54-0600',mode:absolute,to:'2017-04-02T11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146-02</v>
      </c>
      <c r="L13" s="202">
        <f>IF(VLOOKUP(K13,'Train Runs'!$A$12:$B$994,1,TRUE)=K13,VLOOKUP(K13,'Train Runs'!$A$12:$B$994,2,TRUE),NA())</f>
        <v>4026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360</v>
      </c>
      <c r="C14" s="194" t="s">
        <v>362</v>
      </c>
      <c r="D14" s="208">
        <v>148</v>
      </c>
      <c r="E14" s="30" t="s">
        <v>368</v>
      </c>
      <c r="F14" s="208" t="b">
        <v>1</v>
      </c>
      <c r="G14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"%USERPROFILE%\AppData\Local\Temp\OnboardLogs"\RTDC4053\*4053*201703061*</v>
      </c>
      <c r="I14" s="210" t="str">
        <f>IF(VLOOKUP(K14,'Train Runs'!$A$13:$V$994,1,TRUE)=K14,VLOOKUP(K14,'Train Runs'!$A$13:$V$994,22,TRUE),NA())</f>
        <v>https://d0f6bd738d7f1b3e5a7ca70fe4ff75f0.us-east-1.aws.found.io/app/kibana#/discover/Steve-Slow-Train-Analysis-(2080s-and-2083s)?_g=(refreshInterval:(display:Off,pause:!f,section:0,value:0),time:(from:'2017-04-02T09:18:50-0600',mode:absolute,to:'2017-04-02T12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148-02</v>
      </c>
      <c r="L14" s="202">
        <f>IF(VLOOKUP(K14,'Train Runs'!$A$12:$B$994,1,TRUE)=K14,VLOOKUP(K14,'Train Runs'!$A$12:$B$994,2,TRUE),NA())</f>
        <v>4053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360</v>
      </c>
      <c r="C15" s="194" t="s">
        <v>362</v>
      </c>
      <c r="D15" s="208">
        <v>178</v>
      </c>
      <c r="E15" s="30" t="s">
        <v>369</v>
      </c>
      <c r="F15" s="208" t="b">
        <v>1</v>
      </c>
      <c r="G15" s="212" t="str">
        <f t="shared" si="0"/>
        <v>"C:\Program Files (x86)\AstroGrep\AstroGrep.exe" /e /r /s /spath="%USERPROFILE%\AppData\Local\Temp\OnboardLogs" /stypes="*4009*201703062*"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"%USERPROFILE%\AppData\Local\Temp\OnboardLogs"\RTDC4009\*4009*201703062*</v>
      </c>
      <c r="I15" s="210" t="str">
        <f>IF(VLOOKUP(K15,'Train Runs'!$A$13:$V$994,1,TRUE)=K15,VLOOKUP(K15,'Train Runs'!$A$13:$V$994,22,TRUE),NA())</f>
        <v>https://d0f6bd738d7f1b3e5a7ca70fe4ff75f0.us-east-1.aws.found.io/app/kibana#/discover/Steve-Slow-Train-Analysis-(2080s-and-2083s)?_g=(refreshInterval:(display:Off,pause:!f,section:0,value:0),time:(from:'2017-04-02T13:06:43-0600',mode:absolute,to:'2017-04-02T15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178-02</v>
      </c>
      <c r="L15" s="202">
        <f>IF(VLOOKUP(K15,'Train Runs'!$A$12:$B$994,1,TRUE)=K15,VLOOKUP(K15,'Train Runs'!$A$12:$B$994,2,TRUE),NA())</f>
        <v>4009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360</v>
      </c>
      <c r="C16" s="194" t="s">
        <v>362</v>
      </c>
      <c r="D16" s="208">
        <v>194</v>
      </c>
      <c r="E16" s="30" t="s">
        <v>369</v>
      </c>
      <c r="F16" s="208" t="b">
        <v>1</v>
      </c>
      <c r="G16" s="212" t="str">
        <f t="shared" si="0"/>
        <v>"C:\Program Files (x86)\AstroGrep\AstroGrep.exe" /e /r /s /spath="%USERPROFILE%\AppData\Local\Temp\OnboardLogs" /stypes="*4012*201703062*"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"%USERPROFILE%\AppData\Local\Temp\OnboardLogs"\RTDC4012\*4012*201703062*</v>
      </c>
      <c r="I16" s="210" t="str">
        <f>IF(VLOOKUP(K16,'Train Runs'!$A$13:$V$994,1,TRUE)=K16,VLOOKUP(K16,'Train Runs'!$A$13:$V$994,22,TRUE),NA())</f>
        <v>https://d0f6bd738d7f1b3e5a7ca70fe4ff75f0.us-east-1.aws.found.io/app/kibana#/discover/Steve-Slow-Train-Analysis-(2080s-and-2083s)?_g=(refreshInterval:(display:Off,pause:!f,section:0,value:0),time:(from:'2017-04-02T15:05:16-0600',mode:absolute,to:'2017-04-02T17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194-02</v>
      </c>
      <c r="L16" s="202">
        <f>IF(VLOOKUP(K16,'Train Runs'!$A$12:$B$994,1,TRUE)=K16,VLOOKUP(K16,'Train Runs'!$A$12:$B$994,2,TRUE),NA())</f>
        <v>4012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360</v>
      </c>
      <c r="C17" s="194" t="s">
        <v>362</v>
      </c>
      <c r="D17" s="208">
        <v>206</v>
      </c>
      <c r="E17" s="30" t="s">
        <v>364</v>
      </c>
      <c r="F17" s="208" t="b">
        <v>1</v>
      </c>
      <c r="G17" s="212" t="str">
        <f t="shared" si="0"/>
        <v>"C:\Program Files (x86)\AstroGrep\AstroGrep.exe" /e /r /s /spath="%USERPROFILE%\AppData\Local\Temp\OnboardLogs" /stypes="*4009*201703070*"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"%USERPROFILE%\AppData\Local\Temp\OnboardLogs"\RTDC4009\*4009*201703070*</v>
      </c>
      <c r="I17" s="210" t="str">
        <f>IF(VLOOKUP(K17,'Train Runs'!$A$13:$V$994,1,TRUE)=K17,VLOOKUP(K17,'Train Runs'!$A$13:$V$994,22,TRUE),NA())</f>
        <v>https://d0f6bd738d7f1b3e5a7ca70fe4ff75f0.us-east-1.aws.found.io/app/kibana#/discover/Steve-Slow-Train-Analysis-(2080s-and-2083s)?_g=(refreshInterval:(display:Off,pause:!f,section:0,value:0),time:(from:'2017-04-02T16:36:26-0600',mode:absolute,to:'2017-04-02T19:18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206-02</v>
      </c>
      <c r="L17" s="202">
        <f>IF(VLOOKUP(K17,'Train Runs'!$A$12:$B$994,1,TRUE)=K17,VLOOKUP(K17,'Train Runs'!$A$12:$B$994,2,TRUE),NA())</f>
        <v>4009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360</v>
      </c>
      <c r="C18" s="194" t="s">
        <v>362</v>
      </c>
      <c r="D18" s="208">
        <v>210</v>
      </c>
      <c r="E18" s="30" t="s">
        <v>364</v>
      </c>
      <c r="F18" s="208" t="b">
        <v>1</v>
      </c>
      <c r="G18" s="212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"%USERPROFILE%\AppData\Local\Temp\OnboardLogs"\RTDC4015\*4015*201703070*</v>
      </c>
      <c r="I18" s="210" t="str">
        <f>IF(VLOOKUP(K18,'Train Runs'!$A$13:$V$994,1,TRUE)=K18,VLOOKUP(K18,'Train Runs'!$A$13:$V$994,22,TRUE),NA())</f>
        <v>https://d0f6bd738d7f1b3e5a7ca70fe4ff75f0.us-east-1.aws.found.io/app/kibana#/discover/Steve-Slow-Train-Analysis-(2080s-and-2083s)?_g=(refreshInterval:(display:Off,pause:!f,section:0,value:0),time:(from:'2017-04-02T17:09:09-0600',mode:absolute,to:'2017-04-02T19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210-02</v>
      </c>
      <c r="L18" s="202">
        <f>IF(VLOOKUP(K18,'Train Runs'!$A$12:$B$994,1,TRUE)=K18,VLOOKUP(K18,'Train Runs'!$A$12:$B$994,2,TRUE),NA())</f>
        <v>4015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360</v>
      </c>
      <c r="C19" s="194" t="s">
        <v>362</v>
      </c>
      <c r="D19" s="208">
        <f>D18+2</f>
        <v>212</v>
      </c>
      <c r="E19" s="30" t="s">
        <v>364</v>
      </c>
      <c r="F19" s="208" t="b">
        <v>1</v>
      </c>
      <c r="G19" s="212" t="str">
        <f t="shared" si="0"/>
        <v>"C:\Program Files (x86)\AstroGrep\AstroGrep.exe" /e /r /s /spath="%USERPROFILE%\AppData\Local\Temp\OnboardLogs" /stypes="*4019*201703070*"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"%USERPROFILE%\AppData\Local\Temp\OnboardLogs"\RTDC4019\*4019*201703070*</v>
      </c>
      <c r="I19" s="210" t="str">
        <f>IF(VLOOKUP(K19,'Train Runs'!$A$13:$V$994,1,TRUE)=K19,VLOOKUP(K19,'Train Runs'!$A$13:$V$994,22,TRUE),NA())</f>
        <v>https://d0f6bd738d7f1b3e5a7ca70fe4ff75f0.us-east-1.aws.found.io/app/kibana#/discover/Steve-Slow-Train-Analysis-(2080s-and-2083s)?_g=(refreshInterval:(display:Off,pause:!f,section:0,value:0),time:(from:'2017-04-02T17:22:20-0600',mode:absolute,to:'2017-04-02T20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212-02</v>
      </c>
      <c r="L19" s="202">
        <f>IF(VLOOKUP(K19,'Train Runs'!$A$12:$B$994,1,TRUE)=K19,VLOOKUP(K19,'Train Runs'!$A$12:$B$994,2,TRUE),NA())</f>
        <v>4019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360</v>
      </c>
      <c r="C20" s="194" t="s">
        <v>362</v>
      </c>
      <c r="D20" s="208">
        <v>214</v>
      </c>
      <c r="E20" s="30" t="s">
        <v>364</v>
      </c>
      <c r="F20" s="208" t="b">
        <v>1</v>
      </c>
      <c r="G20" s="212" t="str">
        <f t="shared" si="0"/>
        <v>"C:\Program Files (x86)\AstroGrep\AstroGrep.exe" /e /r /s /spath="%USERPROFILE%\AppData\Local\Temp\OnboardLogs" /stypes="*4001*201703070*"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"%USERPROFILE%\AppData\Local\Temp\OnboardLogs"\RTDC4001\*4001*201703070*</v>
      </c>
      <c r="I20" s="210" t="str">
        <f>IF(VLOOKUP(K20,'Train Runs'!$A$13:$V$994,1,TRUE)=K20,VLOOKUP(K20,'Train Runs'!$A$13:$V$994,22,TRUE),NA())</f>
        <v>https://d0f6bd738d7f1b3e5a7ca70fe4ff75f0.us-east-1.aws.found.io/app/kibana#/discover/Steve-Slow-Train-Analysis-(2080s-and-2083s)?_g=(refreshInterval:(display:Off,pause:!f,section:0,value:0),time:(from:'2017-04-02T17:25:34-0600',mode:absolute,to:'2017-04-02T20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214-02</v>
      </c>
      <c r="L20" s="202">
        <f>IF(VLOOKUP(K20,'Train Runs'!$A$12:$B$994,1,TRUE)=K20,VLOOKUP(K20,'Train Runs'!$A$12:$B$994,2,TRUE),NA())</f>
        <v>4001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360</v>
      </c>
      <c r="C21" s="194" t="s">
        <v>362</v>
      </c>
      <c r="D21" s="208">
        <v>216</v>
      </c>
      <c r="E21" s="30" t="s">
        <v>364</v>
      </c>
      <c r="F21" s="208" t="b">
        <v>1</v>
      </c>
      <c r="G21" s="212" t="str">
        <f t="shared" si="0"/>
        <v>"C:\Program Files (x86)\AstroGrep\AstroGrep.exe" /e /r /s /spath="%USERPROFILE%\AppData\Local\Temp\OnboardLogs" /stypes="*4026*201703070*"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"%USERPROFILE%\AppData\Local\Temp\OnboardLogs"\RTDC4026\*4026*201703070*</v>
      </c>
      <c r="I21" s="210" t="str">
        <f>IF(VLOOKUP(K21,'Train Runs'!$A$13:$V$994,1,TRUE)=K21,VLOOKUP(K21,'Train Runs'!$A$13:$V$994,22,TRUE),NA())</f>
        <v>https://d0f6bd738d7f1b3e5a7ca70fe4ff75f0.us-east-1.aws.found.io/app/kibana#/discover/Steve-Slow-Train-Analysis-(2080s-and-2083s)?_g=(refreshInterval:(display:Off,pause:!f,section:0,value:0),time:(from:'2017-04-02T17:50:05-0600',mode:absolute,to:'2017-04-02T20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216-02</v>
      </c>
      <c r="L21" s="202">
        <f>IF(VLOOKUP(K21,'Train Runs'!$A$12:$B$994,1,TRUE)=K21,VLOOKUP(K21,'Train Runs'!$A$12:$B$994,2,TRUE),NA())</f>
        <v>4026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360</v>
      </c>
      <c r="C22" s="194" t="s">
        <v>362</v>
      </c>
      <c r="D22" s="208">
        <f>D21+2</f>
        <v>218</v>
      </c>
      <c r="E22" s="30" t="s">
        <v>364</v>
      </c>
      <c r="F22" s="208" t="b">
        <v>1</v>
      </c>
      <c r="G22" s="212" t="str">
        <f t="shared" si="0"/>
        <v>"C:\Program Files (x86)\AstroGrep\AstroGrep.exe" /e /r /s /spath="%USERPROFILE%\AppData\Local\Temp\OnboardLogs" /stypes="*4053*201703070*"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"%USERPROFILE%\AppData\Local\Temp\OnboardLogs"\RTDC4053\*4053*201703070*</v>
      </c>
      <c r="I22" s="210" t="str">
        <f>IF(VLOOKUP(K22,'Train Runs'!$A$13:$V$994,1,TRUE)=K22,VLOOKUP(K22,'Train Runs'!$A$13:$V$994,22,TRUE),NA())</f>
        <v>https://d0f6bd738d7f1b3e5a7ca70fe4ff75f0.us-east-1.aws.found.io/app/kibana#/discover/Steve-Slow-Train-Analysis-(2080s-and-2083s)?_g=(refreshInterval:(display:Off,pause:!f,section:0,value:0),time:(from:'2017-04-02T17:58:41-0600',mode:absolute,to:'2017-04-02T20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218-02</v>
      </c>
      <c r="L22" s="202">
        <f>IF(VLOOKUP(K22,'Train Runs'!$A$12:$B$994,1,TRUE)=K22,VLOOKUP(K22,'Train Runs'!$A$12:$B$994,2,TRUE),NA())</f>
        <v>4053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360</v>
      </c>
      <c r="C23" s="194" t="s">
        <v>362</v>
      </c>
      <c r="D23" s="208">
        <f>D22+2</f>
        <v>220</v>
      </c>
      <c r="E23" s="30" t="s">
        <v>364</v>
      </c>
      <c r="F23" s="208" t="b">
        <v>1</v>
      </c>
      <c r="G23" s="212" t="str">
        <f t="shared" si="0"/>
        <v>"C:\Program Files (x86)\AstroGrep\AstroGrep.exe" /e /r /s /spath="%USERPROFILE%\AppData\Local\Temp\OnboardLogs" /stypes="*4009*201703070*"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"%USERPROFILE%\AppData\Local\Temp\OnboardLogs"\RTDC4009\*4009*201703070*</v>
      </c>
      <c r="I23" s="210" t="str">
        <f>IF(VLOOKUP(K23,'Train Runs'!$A$13:$V$994,1,TRUE)=K23,VLOOKUP(K23,'Train Runs'!$A$13:$V$994,22,TRUE),NA())</f>
        <v>https://d0f6bd738d7f1b3e5a7ca70fe4ff75f0.us-east-1.aws.found.io/app/kibana#/discover/Steve-Slow-Train-Analysis-(2080s-and-2083s)?_g=(refreshInterval:(display:Off,pause:!f,section:0,value:0),time:(from:'2017-04-02T18:23:23-0600',mode:absolute,to:'2017-04-02T21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220-02</v>
      </c>
      <c r="L23" s="202">
        <f>IF(VLOOKUP(K23,'Train Runs'!$A$12:$B$994,1,TRUE)=K23,VLOOKUP(K23,'Train Runs'!$A$12:$B$994,2,TRUE),NA())</f>
        <v>4009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360</v>
      </c>
      <c r="C24" s="194" t="s">
        <v>362</v>
      </c>
      <c r="D24" s="208">
        <f>D23+2</f>
        <v>222</v>
      </c>
      <c r="E24" s="30" t="s">
        <v>364</v>
      </c>
      <c r="F24" s="208" t="b">
        <v>1</v>
      </c>
      <c r="G24" s="212" t="str">
        <f t="shared" si="0"/>
        <v>"C:\Program Files (x86)\AstroGrep\AstroGrep.exe" /e /r /s /spath="%USERPROFILE%\AppData\Local\Temp\OnboardLogs" /stypes="*4015*201703070*"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"%USERPROFILE%\AppData\Local\Temp\OnboardLogs"\RTDC4015\*4015*201703070*</v>
      </c>
      <c r="I24" s="210" t="str">
        <f>IF(VLOOKUP(K24,'Train Runs'!$A$13:$V$994,1,TRUE)=K24,VLOOKUP(K24,'Train Runs'!$A$13:$V$994,22,TRUE),NA())</f>
        <v>https://d0f6bd738d7f1b3e5a7ca70fe4ff75f0.us-east-1.aws.found.io/app/kibana#/discover/Steve-Slow-Train-Analysis-(2080s-and-2083s)?_g=(refreshInterval:(display:Off,pause:!f,section:0,value:0),time:(from:'2017-04-02T18:53:26-0600',mode:absolute,to:'2017-04-02T21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222-02</v>
      </c>
      <c r="L24" s="202">
        <f>IF(VLOOKUP(K24,'Train Runs'!$A$12:$B$994,1,TRUE)=K24,VLOOKUP(K24,'Train Runs'!$A$12:$B$994,2,TRUE),NA())</f>
        <v>4015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360</v>
      </c>
      <c r="C25" s="194" t="s">
        <v>362</v>
      </c>
      <c r="D25" s="208">
        <f>D24+2</f>
        <v>224</v>
      </c>
      <c r="E25" s="30" t="s">
        <v>364</v>
      </c>
      <c r="F25" s="208" t="b">
        <v>1</v>
      </c>
      <c r="G25" s="212" t="e">
        <f t="shared" si="0"/>
        <v>#N/A</v>
      </c>
      <c r="H25" s="214" t="e">
        <f t="shared" si="1"/>
        <v>#N/A</v>
      </c>
      <c r="I25" s="210" t="e">
        <f>IF(VLOOKUP(K25,'Train Runs'!$A$13:$V$994,1,TRUE)=K25,VLOOKUP(K25,'Train Runs'!$A$13:$V$994,22,TRUE),NA())</f>
        <v>#N/A</v>
      </c>
      <c r="J25" s="206">
        <f t="shared" si="2"/>
        <v>42801.122916666667</v>
      </c>
      <c r="K25" s="206" t="str">
        <f>D25&amp;"-"&amp;IF(DAY(Variables!$A$2)&lt;10,0,"")&amp;DAY(Variables!$A$2)</f>
        <v>224-02</v>
      </c>
      <c r="L25" s="202" t="e">
        <f>IF(VLOOKUP(K25,'Train Runs'!$A$12:$B$994,1,TRUE)=K25,VLOOKUP(K25,'Train Runs'!$A$12:$B$994,2,TRUE),NA())</f>
        <v>#N/A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360</v>
      </c>
      <c r="C26" s="194" t="s">
        <v>362</v>
      </c>
      <c r="D26" s="208">
        <f>D25+2</f>
        <v>226</v>
      </c>
      <c r="E26" s="30" t="s">
        <v>364</v>
      </c>
      <c r="F26" s="208" t="b">
        <v>1</v>
      </c>
      <c r="G26" s="212" t="e">
        <f t="shared" si="0"/>
        <v>#N/A</v>
      </c>
      <c r="H26" s="214" t="e">
        <f t="shared" si="1"/>
        <v>#N/A</v>
      </c>
      <c r="I26" s="210" t="e">
        <f>IF(VLOOKUP(K26,'Train Runs'!$A$13:$V$994,1,TRUE)=K26,VLOOKUP(K26,'Train Runs'!$A$13:$V$994,22,TRUE),NA())</f>
        <v>#N/A</v>
      </c>
      <c r="J26" s="206">
        <f t="shared" si="2"/>
        <v>42801.145138888889</v>
      </c>
      <c r="K26" s="206" t="str">
        <f>D26&amp;"-"&amp;IF(DAY(Variables!$A$2)&lt;10,0,"")&amp;DAY(Variables!$A$2)</f>
        <v>226-02</v>
      </c>
      <c r="L26" s="202" t="e">
        <f>IF(VLOOKUP(K26,'Train Runs'!$A$12:$B$994,1,TRUE)=K26,VLOOKUP(K26,'Train Runs'!$A$12:$B$994,2,TRUE),NA())</f>
        <v>#N/A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360</v>
      </c>
      <c r="C27" s="194" t="s">
        <v>362</v>
      </c>
      <c r="D27" s="208">
        <f t="shared" ref="D27:D33" si="5">D26+2</f>
        <v>228</v>
      </c>
      <c r="E27" s="30" t="s">
        <v>364</v>
      </c>
      <c r="F27" s="208" t="b">
        <v>1</v>
      </c>
      <c r="G27" s="212" t="e">
        <f t="shared" si="0"/>
        <v>#N/A</v>
      </c>
      <c r="H27" s="214" t="e">
        <f t="shared" si="1"/>
        <v>#N/A</v>
      </c>
      <c r="I27" s="210" t="e">
        <f>IF(VLOOKUP(K27,'Train Runs'!$A$13:$V$994,1,TRUE)=K27,VLOOKUP(K27,'Train Runs'!$A$13:$V$994,22,TRUE),NA())</f>
        <v>#N/A</v>
      </c>
      <c r="J27" s="206">
        <f t="shared" si="2"/>
        <v>42801.166666666664</v>
      </c>
      <c r="K27" s="206" t="str">
        <f>D27&amp;"-"&amp;IF(DAY(Variables!$A$2)&lt;10,0,"")&amp;DAY(Variables!$A$2)</f>
        <v>228-02</v>
      </c>
      <c r="L27" s="202" t="e">
        <f>IF(VLOOKUP(K27,'Train Runs'!$A$12:$B$994,1,TRUE)=K27,VLOOKUP(K27,'Train Runs'!$A$12:$B$994,2,TRUE),NA())</f>
        <v>#N/A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360</v>
      </c>
      <c r="C28" s="194" t="s">
        <v>362</v>
      </c>
      <c r="D28" s="208">
        <f t="shared" si="5"/>
        <v>230</v>
      </c>
      <c r="E28" s="30" t="s">
        <v>364</v>
      </c>
      <c r="F28" s="208" t="b">
        <v>1</v>
      </c>
      <c r="G28" s="212" t="e">
        <f t="shared" si="0"/>
        <v>#N/A</v>
      </c>
      <c r="H28" s="214" t="e">
        <f t="shared" si="1"/>
        <v>#N/A</v>
      </c>
      <c r="I28" s="210" t="e">
        <f>IF(VLOOKUP(K28,'Train Runs'!$A$13:$V$994,1,TRUE)=K28,VLOOKUP(K28,'Train Runs'!$A$13:$V$994,22,TRUE),NA())</f>
        <v>#N/A</v>
      </c>
      <c r="J28" s="206">
        <f t="shared" si="2"/>
        <v>42801.189583333333</v>
      </c>
      <c r="K28" s="206" t="str">
        <f>D28&amp;"-"&amp;IF(DAY(Variables!$A$2)&lt;10,0,"")&amp;DAY(Variables!$A$2)</f>
        <v>230-02</v>
      </c>
      <c r="L28" s="202" t="e">
        <f>IF(VLOOKUP(K28,'Train Runs'!$A$12:$B$994,1,TRUE)=K28,VLOOKUP(K28,'Train Runs'!$A$12:$B$994,2,TRUE),NA())</f>
        <v>#N/A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360</v>
      </c>
      <c r="C29" s="194" t="s">
        <v>362</v>
      </c>
      <c r="D29" s="208">
        <f t="shared" si="5"/>
        <v>232</v>
      </c>
      <c r="E29" s="30" t="s">
        <v>364</v>
      </c>
      <c r="F29" s="208" t="b">
        <v>1</v>
      </c>
      <c r="G29" s="212" t="e">
        <f t="shared" si="0"/>
        <v>#N/A</v>
      </c>
      <c r="H29" s="214" t="e">
        <f t="shared" si="1"/>
        <v>#N/A</v>
      </c>
      <c r="I29" s="210" t="e">
        <f>IF(VLOOKUP(K29,'Train Runs'!$A$13:$V$994,1,TRUE)=K29,VLOOKUP(K29,'Train Runs'!$A$13:$V$994,22,TRUE),NA())</f>
        <v>#N/A</v>
      </c>
      <c r="J29" s="206">
        <f t="shared" si="2"/>
        <v>42801.207638888889</v>
      </c>
      <c r="K29" s="206" t="str">
        <f>D29&amp;"-"&amp;IF(DAY(Variables!$A$2)&lt;10,0,"")&amp;DAY(Variables!$A$2)</f>
        <v>232-02</v>
      </c>
      <c r="L29" s="202" t="e">
        <f>IF(VLOOKUP(K29,'Train Runs'!$A$12:$B$994,1,TRUE)=K29,VLOOKUP(K29,'Train Runs'!$A$12:$B$994,2,TRUE),NA())</f>
        <v>#N/A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360</v>
      </c>
      <c r="C30" s="194" t="s">
        <v>362</v>
      </c>
      <c r="D30" s="208">
        <f t="shared" si="5"/>
        <v>234</v>
      </c>
      <c r="E30" s="30" t="s">
        <v>364</v>
      </c>
      <c r="F30" s="208" t="b">
        <v>1</v>
      </c>
      <c r="G30" s="212" t="e">
        <f t="shared" si="0"/>
        <v>#N/A</v>
      </c>
      <c r="H30" s="214" t="e">
        <f t="shared" si="1"/>
        <v>#N/A</v>
      </c>
      <c r="I30" s="210" t="e">
        <f>IF(VLOOKUP(K30,'Train Runs'!$A$13:$V$994,1,TRUE)=K30,VLOOKUP(K30,'Train Runs'!$A$13:$V$994,22,TRUE),NA())</f>
        <v>#N/A</v>
      </c>
      <c r="J30" s="206">
        <f t="shared" si="2"/>
        <v>42801.21875</v>
      </c>
      <c r="K30" s="206" t="str">
        <f>D30&amp;"-"&amp;IF(DAY(Variables!$A$2)&lt;10,0,"")&amp;DAY(Variables!$A$2)</f>
        <v>234-02</v>
      </c>
      <c r="L30" s="202" t="e">
        <f>IF(VLOOKUP(K30,'Train Runs'!$A$12:$B$994,1,TRUE)=K30,VLOOKUP(K30,'Train Runs'!$A$12:$B$994,2,TRUE),NA())</f>
        <v>#N/A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360</v>
      </c>
      <c r="C31" s="194" t="s">
        <v>362</v>
      </c>
      <c r="D31" s="208">
        <f t="shared" si="5"/>
        <v>236</v>
      </c>
      <c r="E31" s="30" t="s">
        <v>364</v>
      </c>
      <c r="F31" s="208" t="b">
        <v>1</v>
      </c>
      <c r="G31" s="212" t="e">
        <f t="shared" si="0"/>
        <v>#N/A</v>
      </c>
      <c r="H31" s="214" t="e">
        <f t="shared" si="1"/>
        <v>#N/A</v>
      </c>
      <c r="I31" s="210" t="e">
        <f>IF(VLOOKUP(K31,'Train Runs'!$A$13:$V$994,1,TRUE)=K31,VLOOKUP(K31,'Train Runs'!$A$13:$V$994,22,TRUE),NA())</f>
        <v>#N/A</v>
      </c>
      <c r="J31" s="206">
        <f t="shared" si="2"/>
        <v>42801.229861111111</v>
      </c>
      <c r="K31" s="206" t="str">
        <f>D31&amp;"-"&amp;IF(DAY(Variables!$A$2)&lt;10,0,"")&amp;DAY(Variables!$A$2)</f>
        <v>236-02</v>
      </c>
      <c r="L31" s="202" t="e">
        <f>IF(VLOOKUP(K31,'Train Runs'!$A$12:$B$994,1,TRUE)=K31,VLOOKUP(K31,'Train Runs'!$A$12:$B$994,2,TRUE),NA())</f>
        <v>#N/A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360</v>
      </c>
      <c r="C32" s="194" t="s">
        <v>362</v>
      </c>
      <c r="D32" s="208">
        <f t="shared" si="5"/>
        <v>238</v>
      </c>
      <c r="E32" s="30" t="s">
        <v>364</v>
      </c>
      <c r="F32" s="208" t="b">
        <v>1</v>
      </c>
      <c r="G32" s="212" t="e">
        <f t="shared" si="0"/>
        <v>#N/A</v>
      </c>
      <c r="H32" s="214" t="e">
        <f t="shared" si="1"/>
        <v>#N/A</v>
      </c>
      <c r="I32" s="210" t="e">
        <f>IF(VLOOKUP(K32,'Train Runs'!$A$13:$V$994,1,TRUE)=K32,VLOOKUP(K32,'Train Runs'!$A$13:$V$994,22,TRUE),NA())</f>
        <v>#N/A</v>
      </c>
      <c r="J32" s="206">
        <f t="shared" si="2"/>
        <v>42801.249305555553</v>
      </c>
      <c r="K32" s="206" t="str">
        <f>D32&amp;"-"&amp;IF(DAY(Variables!$A$2)&lt;10,0,"")&amp;DAY(Variables!$A$2)</f>
        <v>238-02</v>
      </c>
      <c r="L32" s="202" t="e">
        <f>IF(VLOOKUP(K32,'Train Runs'!$A$12:$B$994,1,TRUE)=K32,VLOOKUP(K32,'Train Runs'!$A$12:$B$994,2,TRUE),NA())</f>
        <v>#N/A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360</v>
      </c>
      <c r="C33" s="194" t="s">
        <v>362</v>
      </c>
      <c r="D33" s="208">
        <f t="shared" si="5"/>
        <v>240</v>
      </c>
      <c r="E33" s="30" t="s">
        <v>364</v>
      </c>
      <c r="F33" s="208" t="b">
        <v>1</v>
      </c>
      <c r="G33" s="212" t="e">
        <f t="shared" si="0"/>
        <v>#N/A</v>
      </c>
      <c r="H33" s="214" t="e">
        <f t="shared" si="1"/>
        <v>#N/A</v>
      </c>
      <c r="I33" s="210" t="e">
        <f>IF(VLOOKUP(K33,'Train Runs'!$A$13:$V$994,1,TRUE)=K33,VLOOKUP(K33,'Train Runs'!$A$13:$V$994,22,TRUE),NA())</f>
        <v>#N/A</v>
      </c>
      <c r="J33" s="206">
        <f t="shared" si="2"/>
        <v>42801.272222222222</v>
      </c>
      <c r="K33" s="206" t="str">
        <f>D33&amp;"-"&amp;IF(DAY(Variables!$A$2)&lt;10,0,"")&amp;DAY(Variables!$A$2)</f>
        <v>240-02</v>
      </c>
      <c r="L33" s="202" t="e">
        <f>IF(VLOOKUP(K33,'Train Runs'!$A$12:$B$994,1,TRUE)=K33,VLOOKUP(K33,'Train Runs'!$A$12:$B$994,2,TRUE),NA())</f>
        <v>#N/A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360</v>
      </c>
      <c r="C34" s="194" t="s">
        <v>362</v>
      </c>
      <c r="D34" s="208">
        <v>240</v>
      </c>
      <c r="E34" s="30" t="s">
        <v>364</v>
      </c>
      <c r="F34" s="208" t="b">
        <v>1</v>
      </c>
      <c r="G34" s="212" t="e">
        <f t="shared" si="0"/>
        <v>#N/A</v>
      </c>
      <c r="H34" s="214" t="e">
        <f t="shared" si="1"/>
        <v>#N/A</v>
      </c>
      <c r="I34" s="210" t="e">
        <f>IF(VLOOKUP(K34,'Train Runs'!$A$13:$V$994,1,TRUE)=K34,VLOOKUP(K34,'Train Runs'!$A$13:$V$994,22,TRUE),NA())</f>
        <v>#N/A</v>
      </c>
      <c r="J34" s="206">
        <f t="shared" si="2"/>
        <v>42801.290277777778</v>
      </c>
      <c r="K34" s="206" t="str">
        <f>D34&amp;"-"&amp;IF(DAY(Variables!$A$2)&lt;10,0,"")&amp;DAY(Variables!$A$2)</f>
        <v>240-02</v>
      </c>
      <c r="L34" s="202" t="e">
        <f>IF(VLOOKUP(K34,'Train Runs'!$A$12:$B$994,1,TRUE)=K34,VLOOKUP(K34,'Train Runs'!$A$12:$B$994,2,TRUE),NA())</f>
        <v>#N/A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360</v>
      </c>
      <c r="C35" s="194" t="s">
        <v>362</v>
      </c>
      <c r="D35" s="208">
        <v>242</v>
      </c>
      <c r="E35" s="30" t="s">
        <v>364</v>
      </c>
      <c r="F35" s="208" t="b">
        <v>1</v>
      </c>
      <c r="G35" s="212" t="e">
        <f t="shared" si="0"/>
        <v>#N/A</v>
      </c>
      <c r="H35" s="214" t="e">
        <f t="shared" si="1"/>
        <v>#N/A</v>
      </c>
      <c r="I35" s="210" t="e">
        <f>IF(VLOOKUP(K35,'Train Runs'!$A$13:$V$994,1,TRUE)=K35,VLOOKUP(K35,'Train Runs'!$A$13:$V$994,22,TRUE),NA())</f>
        <v>#N/A</v>
      </c>
      <c r="J35" s="206">
        <f t="shared" si="2"/>
        <v>42801.311805555553</v>
      </c>
      <c r="K35" s="206" t="str">
        <f>D35&amp;"-"&amp;IF(DAY(Variables!$A$2)&lt;10,0,"")&amp;DAY(Variables!$A$2)</f>
        <v>242-02</v>
      </c>
      <c r="L35" s="202" t="e">
        <f>IF(VLOOKUP(K35,'Train Runs'!$A$12:$B$994,1,TRUE)=K35,VLOOKUP(K35,'Train Runs'!$A$12:$B$994,2,TRUE),NA())</f>
        <v>#N/A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42827.032141203701</v>
      </c>
      <c r="B2" s="20" t="s">
        <v>379</v>
      </c>
      <c r="C2" s="20" t="s">
        <v>635</v>
      </c>
      <c r="D2" s="146">
        <v>2000000</v>
      </c>
      <c r="E2" s="20" t="s">
        <v>380</v>
      </c>
      <c r="F2" s="20" t="s">
        <v>195</v>
      </c>
      <c r="G2" s="8" t="str">
        <f>E2&amp;" "&amp;F2</f>
        <v>STAMBAUGH JAMES</v>
      </c>
    </row>
    <row r="3" spans="1:7" x14ac:dyDescent="0.25">
      <c r="A3" s="8">
        <v>42827.03361111111</v>
      </c>
      <c r="B3" s="20" t="s">
        <v>447</v>
      </c>
      <c r="C3" s="20" t="s">
        <v>636</v>
      </c>
      <c r="D3" s="146">
        <v>2270000</v>
      </c>
      <c r="E3" s="20" t="s">
        <v>209</v>
      </c>
      <c r="F3" s="20" t="s">
        <v>210</v>
      </c>
      <c r="G3" s="8" t="str">
        <f t="shared" ref="G3:G66" si="0">E3&amp;" "&amp;F3</f>
        <v>BROWN JACOB</v>
      </c>
    </row>
    <row r="4" spans="1:7" x14ac:dyDescent="0.25">
      <c r="A4" s="8">
        <v>42827.045706018522</v>
      </c>
      <c r="B4" s="20" t="s">
        <v>447</v>
      </c>
      <c r="C4" s="20" t="s">
        <v>636</v>
      </c>
      <c r="D4" s="146">
        <v>2270000</v>
      </c>
      <c r="E4" s="20" t="s">
        <v>209</v>
      </c>
      <c r="F4" s="20" t="s">
        <v>210</v>
      </c>
      <c r="G4" s="8" t="str">
        <f t="shared" si="0"/>
        <v>BROWN JACOB</v>
      </c>
    </row>
    <row r="5" spans="1:7" x14ac:dyDescent="0.25">
      <c r="A5" s="8">
        <v>42827.050115740742</v>
      </c>
      <c r="B5" s="20" t="s">
        <v>201</v>
      </c>
      <c r="C5" s="20" t="s">
        <v>637</v>
      </c>
      <c r="D5" s="146">
        <v>2230000</v>
      </c>
      <c r="E5" s="20" t="s">
        <v>389</v>
      </c>
      <c r="F5" s="20" t="s">
        <v>198</v>
      </c>
      <c r="G5" s="8" t="str">
        <f t="shared" si="0"/>
        <v>SMITH MICHAEL</v>
      </c>
    </row>
    <row r="6" spans="1:7" x14ac:dyDescent="0.25">
      <c r="A6" s="8">
        <v>42827.05269675926</v>
      </c>
      <c r="B6" s="20" t="s">
        <v>462</v>
      </c>
      <c r="C6" s="20" t="s">
        <v>638</v>
      </c>
      <c r="D6" s="146">
        <v>2150000</v>
      </c>
      <c r="E6" s="20" t="s">
        <v>375</v>
      </c>
      <c r="F6" s="20" t="s">
        <v>376</v>
      </c>
      <c r="G6" s="8" t="str">
        <f t="shared" si="0"/>
        <v>SWANSON BRYCE</v>
      </c>
    </row>
    <row r="7" spans="1:7" x14ac:dyDescent="0.25">
      <c r="A7" s="8">
        <v>42827.067708333336</v>
      </c>
      <c r="B7" s="20" t="s">
        <v>378</v>
      </c>
      <c r="C7" s="20" t="s">
        <v>639</v>
      </c>
      <c r="D7" s="146">
        <v>2000000</v>
      </c>
      <c r="E7" s="20" t="s">
        <v>380</v>
      </c>
      <c r="F7" s="20" t="s">
        <v>195</v>
      </c>
      <c r="G7" s="8" t="str">
        <f t="shared" si="0"/>
        <v>STAMBAUGH JAMES</v>
      </c>
    </row>
    <row r="8" spans="1:7" x14ac:dyDescent="0.25">
      <c r="A8" s="8">
        <v>42827.075509259259</v>
      </c>
      <c r="B8" s="20" t="s">
        <v>448</v>
      </c>
      <c r="C8" s="20" t="s">
        <v>640</v>
      </c>
      <c r="D8" s="146">
        <v>2270000</v>
      </c>
      <c r="E8" s="20" t="s">
        <v>209</v>
      </c>
      <c r="F8" s="20" t="s">
        <v>210</v>
      </c>
      <c r="G8" s="8" t="str">
        <f t="shared" si="0"/>
        <v>BROWN JACOB</v>
      </c>
    </row>
    <row r="9" spans="1:7" ht="15.75" thickBot="1" x14ac:dyDescent="0.3">
      <c r="A9" s="24">
        <v>42827.091273148151</v>
      </c>
      <c r="B9" s="20" t="s">
        <v>498</v>
      </c>
      <c r="C9" s="20" t="s">
        <v>641</v>
      </c>
      <c r="D9" s="146">
        <v>2150000</v>
      </c>
      <c r="E9" s="20" t="s">
        <v>375</v>
      </c>
      <c r="F9" s="20" t="s">
        <v>376</v>
      </c>
      <c r="G9" s="8" t="str">
        <f t="shared" si="0"/>
        <v>SWANSON BRYCE</v>
      </c>
    </row>
    <row r="10" spans="1:7" x14ac:dyDescent="0.25">
      <c r="A10" s="8">
        <v>42827.116574074076</v>
      </c>
      <c r="B10" s="20" t="s">
        <v>447</v>
      </c>
      <c r="C10" s="20" t="s">
        <v>642</v>
      </c>
      <c r="D10" s="146">
        <v>2270000</v>
      </c>
      <c r="E10" s="20" t="s">
        <v>209</v>
      </c>
      <c r="F10" s="20" t="s">
        <v>210</v>
      </c>
      <c r="G10" s="8" t="str">
        <f t="shared" si="0"/>
        <v>BROWN JACOB</v>
      </c>
    </row>
    <row r="11" spans="1:7" x14ac:dyDescent="0.25">
      <c r="A11" s="8">
        <v>42827.119120370371</v>
      </c>
      <c r="B11" s="20" t="s">
        <v>479</v>
      </c>
      <c r="C11" s="20" t="s">
        <v>605</v>
      </c>
      <c r="D11" s="146">
        <v>1360000</v>
      </c>
      <c r="E11" s="20" t="s">
        <v>643</v>
      </c>
      <c r="F11" s="20" t="s">
        <v>644</v>
      </c>
      <c r="G11" s="8" t="str">
        <f t="shared" si="0"/>
        <v>SANTIZO D. EDY</v>
      </c>
    </row>
    <row r="12" spans="1:7" x14ac:dyDescent="0.25">
      <c r="A12" s="8">
        <v>42827.131643518522</v>
      </c>
      <c r="B12" s="20" t="s">
        <v>645</v>
      </c>
      <c r="C12" s="20" t="s">
        <v>646</v>
      </c>
      <c r="D12" s="146">
        <v>1360000</v>
      </c>
      <c r="E12" s="20" t="s">
        <v>643</v>
      </c>
      <c r="F12" s="20" t="s">
        <v>644</v>
      </c>
      <c r="G12" s="8" t="str">
        <f t="shared" si="0"/>
        <v>SANTIZO D. EDY</v>
      </c>
    </row>
    <row r="13" spans="1:7" x14ac:dyDescent="0.25">
      <c r="A13" s="8">
        <v>42827.137407407405</v>
      </c>
      <c r="B13" s="20" t="s">
        <v>427</v>
      </c>
      <c r="C13" s="20" t="s">
        <v>647</v>
      </c>
      <c r="D13" s="146">
        <v>2010000</v>
      </c>
      <c r="E13" s="20" t="s">
        <v>648</v>
      </c>
      <c r="F13" s="20" t="s">
        <v>649</v>
      </c>
      <c r="G13" s="8" t="str">
        <f t="shared" si="0"/>
        <v>MAELZER KURT</v>
      </c>
    </row>
    <row r="14" spans="1:7" x14ac:dyDescent="0.25">
      <c r="A14" s="8">
        <v>42827.150335648148</v>
      </c>
      <c r="B14" s="20" t="s">
        <v>530</v>
      </c>
      <c r="C14" s="20" t="s">
        <v>650</v>
      </c>
      <c r="D14" s="146">
        <v>2010000</v>
      </c>
      <c r="E14" s="20" t="s">
        <v>648</v>
      </c>
      <c r="F14" s="20" t="s">
        <v>649</v>
      </c>
      <c r="G14" s="8" t="str">
        <f t="shared" si="0"/>
        <v>MAELZER KURT</v>
      </c>
    </row>
    <row r="15" spans="1:7" x14ac:dyDescent="0.25">
      <c r="A15" s="8">
        <v>42827.157002314816</v>
      </c>
      <c r="B15" s="20" t="s">
        <v>443</v>
      </c>
      <c r="C15" s="20" t="s">
        <v>651</v>
      </c>
      <c r="D15" s="146">
        <v>2370000</v>
      </c>
      <c r="E15" s="20" t="s">
        <v>652</v>
      </c>
      <c r="F15" s="20" t="s">
        <v>653</v>
      </c>
      <c r="G15" s="8" t="str">
        <f t="shared" si="0"/>
        <v>DELGADO DIANAH</v>
      </c>
    </row>
    <row r="16" spans="1:7" x14ac:dyDescent="0.25">
      <c r="A16" s="8">
        <v>42827.166967592595</v>
      </c>
      <c r="B16" s="20" t="s">
        <v>479</v>
      </c>
      <c r="C16" s="20" t="s">
        <v>654</v>
      </c>
      <c r="D16" s="146">
        <v>1360000</v>
      </c>
      <c r="E16" s="20" t="s">
        <v>643</v>
      </c>
      <c r="F16" s="20" t="s">
        <v>644</v>
      </c>
      <c r="G16" s="8" t="str">
        <f t="shared" si="0"/>
        <v>SANTIZO D. EDY</v>
      </c>
    </row>
    <row r="17" spans="1:7" x14ac:dyDescent="0.25">
      <c r="A17" s="8">
        <v>42827.168483796297</v>
      </c>
      <c r="B17" s="20" t="s">
        <v>606</v>
      </c>
      <c r="C17" s="20" t="s">
        <v>607</v>
      </c>
      <c r="D17" s="146">
        <v>2370000</v>
      </c>
      <c r="E17" s="20" t="s">
        <v>652</v>
      </c>
      <c r="F17" s="20" t="s">
        <v>653</v>
      </c>
      <c r="G17" s="8" t="str">
        <f t="shared" si="0"/>
        <v>DELGADO DIANAH</v>
      </c>
    </row>
    <row r="18" spans="1:7" x14ac:dyDescent="0.25">
      <c r="A18" s="8">
        <v>42827.169236111113</v>
      </c>
      <c r="B18" s="20" t="s">
        <v>606</v>
      </c>
      <c r="C18" s="20" t="s">
        <v>607</v>
      </c>
      <c r="D18" s="146">
        <v>2370000</v>
      </c>
      <c r="E18" s="20" t="s">
        <v>652</v>
      </c>
      <c r="F18" s="20" t="s">
        <v>653</v>
      </c>
      <c r="G18" s="8" t="str">
        <f t="shared" si="0"/>
        <v>DELGADO DIANAH</v>
      </c>
    </row>
    <row r="19" spans="1:7" x14ac:dyDescent="0.25">
      <c r="A19" s="8">
        <v>42827.170590277776</v>
      </c>
      <c r="B19" s="20" t="s">
        <v>606</v>
      </c>
      <c r="C19" s="20" t="s">
        <v>607</v>
      </c>
      <c r="D19" s="146">
        <v>2370000</v>
      </c>
      <c r="E19" s="20" t="s">
        <v>652</v>
      </c>
      <c r="F19" s="20" t="s">
        <v>653</v>
      </c>
      <c r="G19" s="8" t="str">
        <f t="shared" si="0"/>
        <v>DELGADO DIANAH</v>
      </c>
    </row>
    <row r="20" spans="1:7" x14ac:dyDescent="0.25">
      <c r="A20" s="8">
        <v>42827.175949074073</v>
      </c>
      <c r="B20" s="20" t="s">
        <v>524</v>
      </c>
      <c r="C20" s="20" t="s">
        <v>655</v>
      </c>
      <c r="D20" s="146">
        <v>1990000</v>
      </c>
      <c r="E20" s="20" t="s">
        <v>656</v>
      </c>
      <c r="F20" s="20" t="s">
        <v>657</v>
      </c>
      <c r="G20" s="8" t="str">
        <f t="shared" si="0"/>
        <v>DAVIS WENDY</v>
      </c>
    </row>
    <row r="21" spans="1:7" x14ac:dyDescent="0.25">
      <c r="A21" s="8">
        <v>42827.176828703705</v>
      </c>
      <c r="B21" s="20" t="s">
        <v>524</v>
      </c>
      <c r="C21" s="20" t="s">
        <v>655</v>
      </c>
      <c r="D21" s="146">
        <v>1990000</v>
      </c>
      <c r="E21" s="20" t="s">
        <v>656</v>
      </c>
      <c r="F21" s="20" t="s">
        <v>657</v>
      </c>
      <c r="G21" s="8" t="str">
        <f t="shared" si="0"/>
        <v>DAVIS WENDY</v>
      </c>
    </row>
    <row r="22" spans="1:7" x14ac:dyDescent="0.25">
      <c r="A22" s="26">
        <v>42827.179942129631</v>
      </c>
      <c r="B22" s="20" t="s">
        <v>394</v>
      </c>
      <c r="C22" s="20" t="s">
        <v>658</v>
      </c>
      <c r="D22" s="146">
        <v>2140000</v>
      </c>
      <c r="E22" s="20" t="s">
        <v>528</v>
      </c>
      <c r="F22" s="20" t="s">
        <v>529</v>
      </c>
      <c r="G22" s="8" t="str">
        <f t="shared" si="0"/>
        <v>ROBINSON KADDIBA</v>
      </c>
    </row>
    <row r="23" spans="1:7" x14ac:dyDescent="0.25">
      <c r="A23" s="8">
        <v>42827.181504629632</v>
      </c>
      <c r="B23" s="20" t="s">
        <v>394</v>
      </c>
      <c r="C23" s="20" t="s">
        <v>658</v>
      </c>
      <c r="D23" s="146">
        <v>2140000</v>
      </c>
      <c r="E23" s="20" t="s">
        <v>528</v>
      </c>
      <c r="F23" s="20" t="s">
        <v>529</v>
      </c>
      <c r="G23" s="8" t="str">
        <f t="shared" si="0"/>
        <v>ROBINSON KADDIBA</v>
      </c>
    </row>
    <row r="24" spans="1:7" x14ac:dyDescent="0.25">
      <c r="A24" s="8">
        <v>42827.187905092593</v>
      </c>
      <c r="B24" s="20" t="s">
        <v>427</v>
      </c>
      <c r="C24" s="20" t="s">
        <v>608</v>
      </c>
      <c r="D24" s="146">
        <v>2010000</v>
      </c>
      <c r="E24" s="20" t="s">
        <v>648</v>
      </c>
      <c r="F24" s="20" t="s">
        <v>649</v>
      </c>
      <c r="G24" s="8" t="str">
        <f t="shared" si="0"/>
        <v>MAELZER KURT</v>
      </c>
    </row>
    <row r="25" spans="1:7" x14ac:dyDescent="0.25">
      <c r="A25" s="8">
        <v>42827.188287037039</v>
      </c>
      <c r="B25" s="20" t="s">
        <v>471</v>
      </c>
      <c r="C25" s="20" t="s">
        <v>659</v>
      </c>
      <c r="D25" s="146">
        <v>1990000</v>
      </c>
      <c r="E25" s="20" t="s">
        <v>656</v>
      </c>
      <c r="F25" s="20" t="s">
        <v>657</v>
      </c>
      <c r="G25" s="8" t="str">
        <f t="shared" si="0"/>
        <v>DAVIS WENDY</v>
      </c>
    </row>
    <row r="26" spans="1:7" x14ac:dyDescent="0.25">
      <c r="A26" s="8">
        <v>42827.193726851852</v>
      </c>
      <c r="B26" s="20" t="s">
        <v>391</v>
      </c>
      <c r="C26" s="20" t="s">
        <v>660</v>
      </c>
      <c r="D26" s="146">
        <v>2140000</v>
      </c>
      <c r="E26" s="20" t="s">
        <v>528</v>
      </c>
      <c r="F26" s="20" t="s">
        <v>529</v>
      </c>
      <c r="G26" s="8" t="str">
        <f t="shared" si="0"/>
        <v>ROBINSON KADDIBA</v>
      </c>
    </row>
    <row r="27" spans="1:7" x14ac:dyDescent="0.25">
      <c r="A27" s="8">
        <v>42827.194780092592</v>
      </c>
      <c r="B27" s="20" t="s">
        <v>391</v>
      </c>
      <c r="C27" s="20" t="s">
        <v>660</v>
      </c>
      <c r="D27" s="146">
        <v>2140000</v>
      </c>
      <c r="E27" s="20" t="s">
        <v>528</v>
      </c>
      <c r="F27" s="20" t="s">
        <v>529</v>
      </c>
      <c r="G27" s="8" t="str">
        <f t="shared" si="0"/>
        <v>ROBINSON KADDIBA</v>
      </c>
    </row>
    <row r="28" spans="1:7" x14ac:dyDescent="0.25">
      <c r="A28" s="8">
        <v>42827.204155092593</v>
      </c>
      <c r="B28" s="20" t="s">
        <v>645</v>
      </c>
      <c r="C28" s="20" t="s">
        <v>661</v>
      </c>
      <c r="D28" s="146">
        <v>1100000</v>
      </c>
      <c r="E28" s="20" t="s">
        <v>499</v>
      </c>
      <c r="F28" s="20" t="s">
        <v>500</v>
      </c>
      <c r="G28" s="8" t="str">
        <f t="shared" si="0"/>
        <v>GEBRETEKLE DAGNEW</v>
      </c>
    </row>
    <row r="29" spans="1:7" x14ac:dyDescent="0.25">
      <c r="A29" s="8">
        <v>42827.208506944444</v>
      </c>
      <c r="B29" s="20" t="s">
        <v>443</v>
      </c>
      <c r="C29" s="20" t="s">
        <v>662</v>
      </c>
      <c r="D29" s="146">
        <v>2370000</v>
      </c>
      <c r="E29" s="20" t="s">
        <v>652</v>
      </c>
      <c r="F29" s="20" t="s">
        <v>653</v>
      </c>
      <c r="G29" s="8" t="str">
        <f t="shared" si="0"/>
        <v>DELGADO DIANAH</v>
      </c>
    </row>
    <row r="30" spans="1:7" x14ac:dyDescent="0.25">
      <c r="A30" s="8">
        <v>42827.211006944446</v>
      </c>
      <c r="B30" s="20" t="s">
        <v>480</v>
      </c>
      <c r="C30" s="20" t="s">
        <v>663</v>
      </c>
      <c r="D30" s="146">
        <v>1360000</v>
      </c>
      <c r="E30" s="20" t="s">
        <v>643</v>
      </c>
      <c r="F30" s="20" t="s">
        <v>644</v>
      </c>
      <c r="G30" s="8" t="str">
        <f t="shared" si="0"/>
        <v>SANTIZO D. EDY</v>
      </c>
    </row>
    <row r="31" spans="1:7" x14ac:dyDescent="0.25">
      <c r="A31" s="8">
        <v>42827.217777777776</v>
      </c>
      <c r="B31" s="20" t="s">
        <v>626</v>
      </c>
      <c r="C31" s="20" t="s">
        <v>664</v>
      </c>
      <c r="D31" s="146">
        <v>1830000</v>
      </c>
      <c r="E31" s="20" t="s">
        <v>501</v>
      </c>
      <c r="F31" s="20" t="s">
        <v>502</v>
      </c>
      <c r="G31" s="8" t="str">
        <f t="shared" si="0"/>
        <v>YORK EDGAR</v>
      </c>
    </row>
    <row r="32" spans="1:7" x14ac:dyDescent="0.25">
      <c r="A32" s="8">
        <v>42827.224895833337</v>
      </c>
      <c r="B32" s="20" t="s">
        <v>524</v>
      </c>
      <c r="C32" s="20" t="s">
        <v>665</v>
      </c>
      <c r="D32" s="146">
        <v>1990000</v>
      </c>
      <c r="E32" s="20" t="s">
        <v>656</v>
      </c>
      <c r="F32" s="20" t="s">
        <v>657</v>
      </c>
      <c r="G32" s="8" t="str">
        <f t="shared" si="0"/>
        <v>DAVIS WENDY</v>
      </c>
    </row>
    <row r="33" spans="1:7" x14ac:dyDescent="0.25">
      <c r="A33" s="8">
        <v>42827.226898148147</v>
      </c>
      <c r="B33" s="20" t="s">
        <v>619</v>
      </c>
      <c r="C33" s="20" t="s">
        <v>666</v>
      </c>
      <c r="D33" s="146">
        <v>1830000</v>
      </c>
      <c r="E33" s="20" t="s">
        <v>501</v>
      </c>
      <c r="F33" s="20" t="s">
        <v>502</v>
      </c>
      <c r="G33" s="8" t="str">
        <f t="shared" si="0"/>
        <v>YORK EDGAR</v>
      </c>
    </row>
    <row r="34" spans="1:7" x14ac:dyDescent="0.25">
      <c r="A34" s="8">
        <v>42827.228715277779</v>
      </c>
      <c r="B34" s="20" t="s">
        <v>530</v>
      </c>
      <c r="C34" s="20" t="s">
        <v>667</v>
      </c>
      <c r="D34" s="146">
        <v>2020000</v>
      </c>
      <c r="E34" s="20" t="s">
        <v>531</v>
      </c>
      <c r="F34" s="20" t="s">
        <v>481</v>
      </c>
      <c r="G34" s="8" t="str">
        <f t="shared" si="0"/>
        <v>SHOOK JOHN</v>
      </c>
    </row>
    <row r="35" spans="1:7" x14ac:dyDescent="0.25">
      <c r="A35" s="8">
        <v>42827.231134259258</v>
      </c>
      <c r="B35" s="20" t="s">
        <v>428</v>
      </c>
      <c r="C35" s="20" t="s">
        <v>668</v>
      </c>
      <c r="D35" s="146">
        <v>2010000</v>
      </c>
      <c r="E35" s="20" t="s">
        <v>648</v>
      </c>
      <c r="F35" s="20" t="s">
        <v>649</v>
      </c>
      <c r="G35" s="8" t="str">
        <f t="shared" si="0"/>
        <v>MAELZER KURT</v>
      </c>
    </row>
    <row r="36" spans="1:7" x14ac:dyDescent="0.25">
      <c r="A36" s="8">
        <v>42827.233703703707</v>
      </c>
      <c r="B36" s="20" t="s">
        <v>394</v>
      </c>
      <c r="C36" s="20" t="s">
        <v>669</v>
      </c>
      <c r="D36" s="146">
        <v>2140000</v>
      </c>
      <c r="E36" s="20" t="s">
        <v>528</v>
      </c>
      <c r="F36" s="20" t="s">
        <v>529</v>
      </c>
      <c r="G36" s="8" t="str">
        <f t="shared" si="0"/>
        <v>ROBINSON KADDIBA</v>
      </c>
    </row>
    <row r="37" spans="1:7" x14ac:dyDescent="0.25">
      <c r="A37" s="8">
        <v>42827.234872685185</v>
      </c>
      <c r="B37" s="20" t="s">
        <v>611</v>
      </c>
      <c r="C37" s="20" t="s">
        <v>670</v>
      </c>
      <c r="D37" s="146">
        <v>1100000</v>
      </c>
      <c r="E37" s="20" t="s">
        <v>499</v>
      </c>
      <c r="F37" s="20" t="s">
        <v>500</v>
      </c>
      <c r="G37" s="8" t="str">
        <f t="shared" si="0"/>
        <v>GEBRETEKLE DAGNEW</v>
      </c>
    </row>
    <row r="38" spans="1:7" x14ac:dyDescent="0.25">
      <c r="A38" s="8">
        <v>42827.246631944443</v>
      </c>
      <c r="B38" s="20" t="s">
        <v>606</v>
      </c>
      <c r="C38" s="20" t="s">
        <v>671</v>
      </c>
      <c r="D38" s="146">
        <v>2440000</v>
      </c>
      <c r="E38" s="20" t="s">
        <v>507</v>
      </c>
      <c r="F38" s="20" t="s">
        <v>508</v>
      </c>
      <c r="G38" s="8" t="str">
        <f t="shared" si="0"/>
        <v>LOPES KIMBERLY</v>
      </c>
    </row>
    <row r="39" spans="1:7" x14ac:dyDescent="0.25">
      <c r="A39" s="8">
        <v>42827.247407407405</v>
      </c>
      <c r="B39" s="20" t="s">
        <v>626</v>
      </c>
      <c r="C39" s="20" t="s">
        <v>672</v>
      </c>
      <c r="D39" s="146">
        <v>1830000</v>
      </c>
      <c r="E39" s="20" t="s">
        <v>501</v>
      </c>
      <c r="F39" s="20" t="s">
        <v>502</v>
      </c>
      <c r="G39" s="8" t="str">
        <f t="shared" si="0"/>
        <v>YORK EDGAR</v>
      </c>
    </row>
    <row r="40" spans="1:7" x14ac:dyDescent="0.25">
      <c r="A40" s="8">
        <v>42827.248784722222</v>
      </c>
      <c r="B40" s="25" t="s">
        <v>479</v>
      </c>
      <c r="C40" s="20" t="s">
        <v>673</v>
      </c>
      <c r="D40" s="146">
        <v>1360000</v>
      </c>
      <c r="E40" s="20" t="s">
        <v>643</v>
      </c>
      <c r="F40" s="20" t="s">
        <v>644</v>
      </c>
      <c r="G40" s="8" t="str">
        <f t="shared" si="0"/>
        <v>SANTIZO D. EDY</v>
      </c>
    </row>
    <row r="41" spans="1:7" x14ac:dyDescent="0.25">
      <c r="A41" s="8">
        <v>42827.257824074077</v>
      </c>
      <c r="B41" s="20" t="s">
        <v>525</v>
      </c>
      <c r="C41" s="20" t="s">
        <v>674</v>
      </c>
      <c r="D41" s="146">
        <v>2020000</v>
      </c>
      <c r="E41" s="20" t="s">
        <v>531</v>
      </c>
      <c r="F41" s="20" t="s">
        <v>481</v>
      </c>
      <c r="G41" s="8" t="str">
        <f t="shared" si="0"/>
        <v>SHOOK JOHN</v>
      </c>
    </row>
    <row r="42" spans="1:7" x14ac:dyDescent="0.25">
      <c r="A42" s="8">
        <v>42827.258032407408</v>
      </c>
      <c r="B42" s="20" t="s">
        <v>471</v>
      </c>
      <c r="C42" s="20" t="s">
        <v>675</v>
      </c>
      <c r="D42" s="146">
        <v>1990000</v>
      </c>
      <c r="E42" s="20" t="s">
        <v>656</v>
      </c>
      <c r="F42" s="20" t="s">
        <v>657</v>
      </c>
      <c r="G42" s="8" t="str">
        <f t="shared" si="0"/>
        <v>DAVIS WENDY</v>
      </c>
    </row>
    <row r="43" spans="1:7" x14ac:dyDescent="0.25">
      <c r="A43" s="8">
        <v>42827.267175925925</v>
      </c>
      <c r="B43" s="20" t="s">
        <v>391</v>
      </c>
      <c r="C43" s="20" t="s">
        <v>676</v>
      </c>
      <c r="D43" s="146">
        <v>2140000</v>
      </c>
      <c r="E43" s="20" t="s">
        <v>528</v>
      </c>
      <c r="F43" s="20" t="s">
        <v>529</v>
      </c>
      <c r="G43" s="8" t="str">
        <f t="shared" si="0"/>
        <v>ROBINSON KADDIBA</v>
      </c>
    </row>
    <row r="44" spans="1:7" x14ac:dyDescent="0.25">
      <c r="A44" s="8">
        <v>42827.274062500001</v>
      </c>
      <c r="B44" s="20" t="s">
        <v>427</v>
      </c>
      <c r="C44" s="20" t="s">
        <v>677</v>
      </c>
      <c r="D44" s="146">
        <v>2010000</v>
      </c>
      <c r="E44" s="20" t="s">
        <v>648</v>
      </c>
      <c r="F44" s="20" t="s">
        <v>649</v>
      </c>
      <c r="G44" s="8" t="str">
        <f t="shared" si="0"/>
        <v>MAELZER KURT</v>
      </c>
    </row>
    <row r="45" spans="1:7" x14ac:dyDescent="0.25">
      <c r="A45" s="8">
        <v>42827.274293981478</v>
      </c>
      <c r="B45" s="20" t="s">
        <v>619</v>
      </c>
      <c r="C45" s="20" t="s">
        <v>678</v>
      </c>
      <c r="D45" s="146">
        <v>1830000</v>
      </c>
      <c r="E45" s="20" t="s">
        <v>501</v>
      </c>
      <c r="F45" s="20" t="s">
        <v>502</v>
      </c>
      <c r="G45" s="8" t="str">
        <f t="shared" si="0"/>
        <v>YORK EDGAR</v>
      </c>
    </row>
    <row r="46" spans="1:7" x14ac:dyDescent="0.25">
      <c r="A46" s="8">
        <v>42827.276712962965</v>
      </c>
      <c r="B46" s="20" t="s">
        <v>645</v>
      </c>
      <c r="C46" s="20" t="s">
        <v>679</v>
      </c>
      <c r="D46" s="146">
        <v>1100000</v>
      </c>
      <c r="E46" s="20" t="s">
        <v>499</v>
      </c>
      <c r="F46" s="20" t="s">
        <v>500</v>
      </c>
      <c r="G46" s="8" t="str">
        <f t="shared" si="0"/>
        <v>GEBRETEKLE DAGNEW</v>
      </c>
    </row>
    <row r="47" spans="1:7" x14ac:dyDescent="0.25">
      <c r="A47" s="8">
        <v>42827.281284722223</v>
      </c>
      <c r="B47" s="20" t="s">
        <v>609</v>
      </c>
      <c r="C47" s="20" t="s">
        <v>610</v>
      </c>
      <c r="D47" s="146">
        <v>2440000</v>
      </c>
      <c r="E47" s="20" t="s">
        <v>507</v>
      </c>
      <c r="F47" s="20" t="s">
        <v>508</v>
      </c>
      <c r="G47" s="8" t="str">
        <f t="shared" si="0"/>
        <v>LOPES KIMBERLY</v>
      </c>
    </row>
    <row r="48" spans="1:7" x14ac:dyDescent="0.25">
      <c r="A48" s="8">
        <v>42827.285624999997</v>
      </c>
      <c r="B48" s="20" t="s">
        <v>480</v>
      </c>
      <c r="C48" s="20" t="s">
        <v>680</v>
      </c>
      <c r="D48" s="146">
        <v>1360000</v>
      </c>
      <c r="E48" s="20" t="s">
        <v>643</v>
      </c>
      <c r="F48" s="20" t="s">
        <v>644</v>
      </c>
      <c r="G48" s="8" t="str">
        <f t="shared" si="0"/>
        <v>SANTIZO D. EDY</v>
      </c>
    </row>
    <row r="49" spans="1:7" x14ac:dyDescent="0.25">
      <c r="A49" s="8">
        <v>42827.289293981485</v>
      </c>
      <c r="B49" s="20" t="s">
        <v>626</v>
      </c>
      <c r="C49" s="20" t="s">
        <v>681</v>
      </c>
      <c r="D49" s="146">
        <v>1830000</v>
      </c>
      <c r="E49" s="20" t="s">
        <v>501</v>
      </c>
      <c r="F49" s="20" t="s">
        <v>502</v>
      </c>
      <c r="G49" s="8" t="str">
        <f t="shared" si="0"/>
        <v>YORK EDGAR</v>
      </c>
    </row>
    <row r="50" spans="1:7" x14ac:dyDescent="0.25">
      <c r="A50" s="8">
        <v>42827.295844907407</v>
      </c>
      <c r="B50" s="20" t="s">
        <v>524</v>
      </c>
      <c r="C50" s="20" t="s">
        <v>682</v>
      </c>
      <c r="D50" s="146">
        <v>1990000</v>
      </c>
      <c r="E50" s="20" t="s">
        <v>656</v>
      </c>
      <c r="F50" s="20" t="s">
        <v>657</v>
      </c>
      <c r="G50" s="8" t="str">
        <f t="shared" si="0"/>
        <v>DAVIS WENDY</v>
      </c>
    </row>
    <row r="51" spans="1:7" x14ac:dyDescent="0.25">
      <c r="A51" s="8">
        <v>42827.29859953704</v>
      </c>
      <c r="B51" s="20" t="s">
        <v>530</v>
      </c>
      <c r="C51" s="20" t="s">
        <v>683</v>
      </c>
      <c r="D51" s="146">
        <v>2020000</v>
      </c>
      <c r="E51" s="20" t="s">
        <v>531</v>
      </c>
      <c r="F51" s="20" t="s">
        <v>481</v>
      </c>
      <c r="G51" s="8" t="str">
        <f t="shared" si="0"/>
        <v>SHOOK JOHN</v>
      </c>
    </row>
    <row r="52" spans="1:7" x14ac:dyDescent="0.25">
      <c r="A52" s="8">
        <v>42827.305868055555</v>
      </c>
      <c r="B52" s="20" t="s">
        <v>394</v>
      </c>
      <c r="C52" s="20" t="s">
        <v>684</v>
      </c>
      <c r="D52" s="146">
        <v>2140000</v>
      </c>
      <c r="E52" s="20" t="s">
        <v>528</v>
      </c>
      <c r="F52" s="20" t="s">
        <v>529</v>
      </c>
      <c r="G52" s="8" t="str">
        <f t="shared" si="0"/>
        <v>ROBINSON KADDIBA</v>
      </c>
    </row>
    <row r="53" spans="1:7" x14ac:dyDescent="0.25">
      <c r="A53" s="8">
        <v>42827.307685185187</v>
      </c>
      <c r="B53" s="20" t="s">
        <v>611</v>
      </c>
      <c r="C53" s="20" t="s">
        <v>612</v>
      </c>
      <c r="D53" s="146">
        <v>1100000</v>
      </c>
      <c r="E53" s="20" t="s">
        <v>499</v>
      </c>
      <c r="F53" s="20" t="s">
        <v>500</v>
      </c>
      <c r="G53" s="8" t="str">
        <f t="shared" si="0"/>
        <v>GEBRETEKLE DAGNEW</v>
      </c>
    </row>
    <row r="54" spans="1:7" x14ac:dyDescent="0.25">
      <c r="A54" s="8">
        <v>42827.307997685188</v>
      </c>
      <c r="B54" s="20" t="s">
        <v>428</v>
      </c>
      <c r="C54" s="20" t="s">
        <v>685</v>
      </c>
      <c r="D54" s="146">
        <v>2010000</v>
      </c>
      <c r="E54" s="20" t="s">
        <v>648</v>
      </c>
      <c r="F54" s="20" t="s">
        <v>649</v>
      </c>
      <c r="G54" s="8" t="str">
        <f t="shared" si="0"/>
        <v>MAELZER KURT</v>
      </c>
    </row>
    <row r="55" spans="1:7" x14ac:dyDescent="0.25">
      <c r="A55" s="8">
        <v>42827.316377314812</v>
      </c>
      <c r="B55" s="20" t="s">
        <v>619</v>
      </c>
      <c r="C55" s="20" t="s">
        <v>686</v>
      </c>
      <c r="D55" s="146">
        <v>1830000</v>
      </c>
      <c r="E55" s="20" t="s">
        <v>501</v>
      </c>
      <c r="F55" s="20" t="s">
        <v>502</v>
      </c>
      <c r="G55" s="8" t="str">
        <f t="shared" si="0"/>
        <v>YORK EDGAR</v>
      </c>
    </row>
    <row r="56" spans="1:7" x14ac:dyDescent="0.25">
      <c r="A56" s="8">
        <v>42827.317835648151</v>
      </c>
      <c r="B56" s="20" t="s">
        <v>479</v>
      </c>
      <c r="C56" s="20" t="s">
        <v>687</v>
      </c>
      <c r="D56" s="146">
        <v>1360000</v>
      </c>
      <c r="E56" s="20" t="s">
        <v>643</v>
      </c>
      <c r="F56" s="20" t="s">
        <v>644</v>
      </c>
      <c r="G56" s="8" t="str">
        <f t="shared" si="0"/>
        <v>SANTIZO D. EDY</v>
      </c>
    </row>
    <row r="57" spans="1:7" x14ac:dyDescent="0.25">
      <c r="A57" s="8">
        <v>42827.318807870368</v>
      </c>
      <c r="B57" s="20" t="s">
        <v>606</v>
      </c>
      <c r="C57" s="20" t="s">
        <v>688</v>
      </c>
      <c r="D57" s="146">
        <v>2370000</v>
      </c>
      <c r="E57" s="20" t="s">
        <v>652</v>
      </c>
      <c r="F57" s="20" t="s">
        <v>653</v>
      </c>
      <c r="G57" s="8" t="str">
        <f t="shared" si="0"/>
        <v>DELGADO DIANAH</v>
      </c>
    </row>
    <row r="58" spans="1:7" x14ac:dyDescent="0.25">
      <c r="A58" s="8">
        <v>42827.329560185186</v>
      </c>
      <c r="B58" s="20" t="s">
        <v>471</v>
      </c>
      <c r="C58" s="20" t="s">
        <v>689</v>
      </c>
      <c r="D58" s="146">
        <v>1990000</v>
      </c>
      <c r="E58" s="20" t="s">
        <v>656</v>
      </c>
      <c r="F58" s="20" t="s">
        <v>657</v>
      </c>
      <c r="G58" s="8" t="str">
        <f t="shared" si="0"/>
        <v>DAVIS WENDY</v>
      </c>
    </row>
    <row r="59" spans="1:7" x14ac:dyDescent="0.25">
      <c r="A59" s="8">
        <v>42827.329780092594</v>
      </c>
      <c r="B59" s="20" t="s">
        <v>525</v>
      </c>
      <c r="C59" s="20" t="s">
        <v>690</v>
      </c>
      <c r="D59" s="146">
        <v>2020000</v>
      </c>
      <c r="E59" s="20" t="s">
        <v>531</v>
      </c>
      <c r="F59" s="20" t="s">
        <v>481</v>
      </c>
      <c r="G59" s="8" t="str">
        <f t="shared" si="0"/>
        <v>SHOOK JOHN</v>
      </c>
    </row>
    <row r="60" spans="1:7" x14ac:dyDescent="0.25">
      <c r="A60" s="8">
        <v>42827.330659722225</v>
      </c>
      <c r="B60" s="20" t="s">
        <v>626</v>
      </c>
      <c r="C60" s="20" t="s">
        <v>691</v>
      </c>
      <c r="D60" s="146">
        <v>1830000</v>
      </c>
      <c r="E60" s="20" t="s">
        <v>501</v>
      </c>
      <c r="F60" s="20" t="s">
        <v>502</v>
      </c>
      <c r="G60" s="8" t="str">
        <f t="shared" si="0"/>
        <v>YORK EDGAR</v>
      </c>
    </row>
    <row r="61" spans="1:7" x14ac:dyDescent="0.25">
      <c r="A61" s="8">
        <v>42827.339421296296</v>
      </c>
      <c r="B61" s="20" t="s">
        <v>391</v>
      </c>
      <c r="C61" s="20" t="s">
        <v>692</v>
      </c>
      <c r="D61" s="146">
        <v>2140000</v>
      </c>
      <c r="E61" s="20" t="s">
        <v>528</v>
      </c>
      <c r="F61" s="20" t="s">
        <v>529</v>
      </c>
      <c r="G61" s="8" t="str">
        <f t="shared" si="0"/>
        <v>ROBINSON KADDIBA</v>
      </c>
    </row>
    <row r="62" spans="1:7" x14ac:dyDescent="0.25">
      <c r="A62" s="8">
        <v>42827.346863425926</v>
      </c>
      <c r="B62" s="20" t="s">
        <v>427</v>
      </c>
      <c r="C62" s="20" t="s">
        <v>693</v>
      </c>
      <c r="D62" s="146">
        <v>2010000</v>
      </c>
      <c r="E62" s="20" t="s">
        <v>648</v>
      </c>
      <c r="F62" s="20" t="s">
        <v>649</v>
      </c>
      <c r="G62" s="8" t="str">
        <f t="shared" si="0"/>
        <v>MAELZER KURT</v>
      </c>
    </row>
    <row r="63" spans="1:7" x14ac:dyDescent="0.25">
      <c r="A63" s="8">
        <v>42827.349641203706</v>
      </c>
      <c r="B63" s="20" t="s">
        <v>645</v>
      </c>
      <c r="C63" s="20" t="s">
        <v>694</v>
      </c>
      <c r="D63" s="146">
        <v>1100000</v>
      </c>
      <c r="E63" s="20" t="s">
        <v>499</v>
      </c>
      <c r="F63" s="20" t="s">
        <v>500</v>
      </c>
      <c r="G63" s="8" t="str">
        <f t="shared" si="0"/>
        <v>GEBRETEKLE DAGNEW</v>
      </c>
    </row>
    <row r="64" spans="1:7" x14ac:dyDescent="0.25">
      <c r="A64" s="26">
        <v>42827.358576388891</v>
      </c>
      <c r="B64" s="20" t="s">
        <v>619</v>
      </c>
      <c r="C64" s="20" t="s">
        <v>695</v>
      </c>
      <c r="D64" s="146">
        <v>1830000</v>
      </c>
      <c r="E64" s="20" t="s">
        <v>501</v>
      </c>
      <c r="F64" s="20" t="s">
        <v>502</v>
      </c>
      <c r="G64" s="8" t="str">
        <f t="shared" si="0"/>
        <v>YORK EDGAR</v>
      </c>
    </row>
    <row r="65" spans="1:7" x14ac:dyDescent="0.25">
      <c r="A65" s="8">
        <v>42827.359016203707</v>
      </c>
      <c r="B65" s="20" t="s">
        <v>609</v>
      </c>
      <c r="C65" s="20" t="s">
        <v>696</v>
      </c>
      <c r="D65" s="146">
        <v>2370000</v>
      </c>
      <c r="E65" s="20" t="s">
        <v>652</v>
      </c>
      <c r="F65" s="20" t="s">
        <v>653</v>
      </c>
      <c r="G65" s="8" t="str">
        <f t="shared" si="0"/>
        <v>DELGADO DIANAH</v>
      </c>
    </row>
    <row r="66" spans="1:7" x14ac:dyDescent="0.25">
      <c r="A66" s="8">
        <v>42827.361319444448</v>
      </c>
      <c r="B66" s="20" t="s">
        <v>480</v>
      </c>
      <c r="C66" s="20" t="s">
        <v>697</v>
      </c>
      <c r="D66" s="146">
        <v>1360000</v>
      </c>
      <c r="E66" s="20" t="s">
        <v>643</v>
      </c>
      <c r="F66" s="20" t="s">
        <v>644</v>
      </c>
      <c r="G66" s="8" t="str">
        <f t="shared" si="0"/>
        <v>SANTIZO D. EDY</v>
      </c>
    </row>
    <row r="67" spans="1:7" x14ac:dyDescent="0.25">
      <c r="A67" s="8">
        <v>42827.362349537034</v>
      </c>
      <c r="B67" s="20" t="s">
        <v>480</v>
      </c>
      <c r="C67" s="20" t="s">
        <v>697</v>
      </c>
      <c r="D67" s="146">
        <v>1360000</v>
      </c>
      <c r="E67" s="20" t="s">
        <v>643</v>
      </c>
      <c r="F67" s="20" t="s">
        <v>644</v>
      </c>
      <c r="G67" s="8" t="str">
        <f t="shared" ref="G67:G130" si="1">E67&amp;" "&amp;F67</f>
        <v>SANTIZO D. EDY</v>
      </c>
    </row>
    <row r="68" spans="1:7" x14ac:dyDescent="0.25">
      <c r="A68" s="8">
        <v>42827.369629629633</v>
      </c>
      <c r="B68" s="20" t="s">
        <v>524</v>
      </c>
      <c r="C68" s="20" t="s">
        <v>698</v>
      </c>
      <c r="D68" s="146">
        <v>1990000</v>
      </c>
      <c r="E68" s="20" t="s">
        <v>656</v>
      </c>
      <c r="F68" s="20" t="s">
        <v>657</v>
      </c>
      <c r="G68" s="8" t="str">
        <f t="shared" si="1"/>
        <v>DAVIS WENDY</v>
      </c>
    </row>
    <row r="69" spans="1:7" x14ac:dyDescent="0.25">
      <c r="A69" s="8">
        <v>42827.372245370374</v>
      </c>
      <c r="B69" s="20" t="s">
        <v>530</v>
      </c>
      <c r="C69" s="20" t="s">
        <v>699</v>
      </c>
      <c r="D69" s="146">
        <v>2020000</v>
      </c>
      <c r="E69" s="20" t="s">
        <v>531</v>
      </c>
      <c r="F69" s="20" t="s">
        <v>481</v>
      </c>
      <c r="G69" s="8" t="str">
        <f t="shared" si="1"/>
        <v>SHOOK JOHN</v>
      </c>
    </row>
    <row r="70" spans="1:7" x14ac:dyDescent="0.25">
      <c r="A70" s="8">
        <v>42827.37263888889</v>
      </c>
      <c r="B70" s="20" t="s">
        <v>626</v>
      </c>
      <c r="C70" s="20" t="s">
        <v>700</v>
      </c>
      <c r="D70" s="146">
        <v>1830000</v>
      </c>
      <c r="E70" s="20" t="s">
        <v>501</v>
      </c>
      <c r="F70" s="20" t="s">
        <v>502</v>
      </c>
      <c r="G70" s="8" t="str">
        <f t="shared" si="1"/>
        <v>YORK EDGAR</v>
      </c>
    </row>
    <row r="71" spans="1:7" x14ac:dyDescent="0.25">
      <c r="A71" s="8">
        <v>42827.377997685187</v>
      </c>
      <c r="B71" s="20" t="s">
        <v>394</v>
      </c>
      <c r="C71" s="20" t="s">
        <v>613</v>
      </c>
      <c r="D71" s="146">
        <v>2140000</v>
      </c>
      <c r="E71" s="20" t="s">
        <v>528</v>
      </c>
      <c r="F71" s="20" t="s">
        <v>529</v>
      </c>
      <c r="G71" s="8" t="str">
        <f t="shared" si="1"/>
        <v>ROBINSON KADDIBA</v>
      </c>
    </row>
    <row r="72" spans="1:7" x14ac:dyDescent="0.25">
      <c r="A72" s="8">
        <v>42827.380393518521</v>
      </c>
      <c r="B72" s="20" t="s">
        <v>611</v>
      </c>
      <c r="C72" s="20" t="s">
        <v>701</v>
      </c>
      <c r="D72" s="146">
        <v>1100000</v>
      </c>
      <c r="E72" s="20" t="s">
        <v>499</v>
      </c>
      <c r="F72" s="20" t="s">
        <v>500</v>
      </c>
      <c r="G72" s="8" t="str">
        <f t="shared" si="1"/>
        <v>GEBRETEKLE DAGNEW</v>
      </c>
    </row>
    <row r="73" spans="1:7" x14ac:dyDescent="0.25">
      <c r="A73" s="8">
        <v>42827.383506944447</v>
      </c>
      <c r="B73" s="20" t="s">
        <v>428</v>
      </c>
      <c r="C73" s="20" t="s">
        <v>702</v>
      </c>
      <c r="D73" s="146">
        <v>2010000</v>
      </c>
      <c r="E73" s="20" t="s">
        <v>648</v>
      </c>
      <c r="F73" s="20" t="s">
        <v>649</v>
      </c>
      <c r="G73" s="8" t="str">
        <f t="shared" si="1"/>
        <v>MAELZER KURT</v>
      </c>
    </row>
    <row r="74" spans="1:7" x14ac:dyDescent="0.25">
      <c r="A74" s="8">
        <v>42827.391122685185</v>
      </c>
      <c r="B74" s="20" t="s">
        <v>606</v>
      </c>
      <c r="C74" s="20" t="s">
        <v>703</v>
      </c>
      <c r="D74" s="146">
        <v>2370000</v>
      </c>
      <c r="E74" s="20" t="s">
        <v>652</v>
      </c>
      <c r="F74" s="20" t="s">
        <v>653</v>
      </c>
      <c r="G74" s="8" t="str">
        <f t="shared" si="1"/>
        <v>DELGADO DIANAH</v>
      </c>
    </row>
    <row r="75" spans="1:7" x14ac:dyDescent="0.25">
      <c r="A75" s="8">
        <v>42827.391215277778</v>
      </c>
      <c r="B75" s="20" t="s">
        <v>479</v>
      </c>
      <c r="C75" s="20" t="s">
        <v>615</v>
      </c>
      <c r="D75" s="146">
        <v>1360000</v>
      </c>
      <c r="E75" s="20" t="s">
        <v>643</v>
      </c>
      <c r="F75" s="20" t="s">
        <v>644</v>
      </c>
      <c r="G75" s="8" t="str">
        <f t="shared" si="1"/>
        <v>SANTIZO D. EDY</v>
      </c>
    </row>
    <row r="76" spans="1:7" x14ac:dyDescent="0.25">
      <c r="A76" s="8">
        <v>42827.400439814817</v>
      </c>
      <c r="B76" s="20" t="s">
        <v>619</v>
      </c>
      <c r="C76" s="20" t="s">
        <v>704</v>
      </c>
      <c r="D76" s="146">
        <v>1830000</v>
      </c>
      <c r="E76" s="20" t="s">
        <v>501</v>
      </c>
      <c r="F76" s="20" t="s">
        <v>502</v>
      </c>
      <c r="G76" s="8" t="str">
        <f t="shared" si="1"/>
        <v>YORK EDGAR</v>
      </c>
    </row>
    <row r="77" spans="1:7" x14ac:dyDescent="0.25">
      <c r="A77" s="8">
        <v>42827.402499999997</v>
      </c>
      <c r="B77" s="20" t="s">
        <v>471</v>
      </c>
      <c r="C77" s="20" t="s">
        <v>705</v>
      </c>
      <c r="D77" s="146">
        <v>1990000</v>
      </c>
      <c r="E77" s="20" t="s">
        <v>656</v>
      </c>
      <c r="F77" s="20" t="s">
        <v>657</v>
      </c>
      <c r="G77" s="8" t="str">
        <f t="shared" si="1"/>
        <v>DAVIS WENDY</v>
      </c>
    </row>
    <row r="78" spans="1:7" x14ac:dyDescent="0.25">
      <c r="A78" s="8">
        <v>42827.402928240743</v>
      </c>
      <c r="B78" s="20" t="s">
        <v>525</v>
      </c>
      <c r="C78" s="20" t="s">
        <v>614</v>
      </c>
      <c r="D78" s="146">
        <v>2020000</v>
      </c>
      <c r="E78" s="20" t="s">
        <v>531</v>
      </c>
      <c r="F78" s="20" t="s">
        <v>481</v>
      </c>
      <c r="G78" s="8" t="str">
        <f t="shared" si="1"/>
        <v>SHOOK JOHN</v>
      </c>
    </row>
    <row r="79" spans="1:7" x14ac:dyDescent="0.25">
      <c r="A79" s="8">
        <v>42827.412951388891</v>
      </c>
      <c r="B79" s="20" t="s">
        <v>391</v>
      </c>
      <c r="C79" s="20" t="s">
        <v>706</v>
      </c>
      <c r="D79" s="146">
        <v>2140000</v>
      </c>
      <c r="E79" s="20" t="s">
        <v>528</v>
      </c>
      <c r="F79" s="20" t="s">
        <v>529</v>
      </c>
      <c r="G79" s="8" t="str">
        <f t="shared" si="1"/>
        <v>ROBINSON KADDIBA</v>
      </c>
    </row>
    <row r="80" spans="1:7" x14ac:dyDescent="0.25">
      <c r="A80" s="8">
        <v>42827.415578703702</v>
      </c>
      <c r="B80" s="20" t="s">
        <v>427</v>
      </c>
      <c r="C80" s="20" t="s">
        <v>707</v>
      </c>
      <c r="D80" s="146">
        <v>2010000</v>
      </c>
      <c r="E80" s="20" t="s">
        <v>648</v>
      </c>
      <c r="F80" s="20" t="s">
        <v>649</v>
      </c>
      <c r="G80" s="8" t="str">
        <f t="shared" si="1"/>
        <v>MAELZER KURT</v>
      </c>
    </row>
    <row r="81" spans="1:7" x14ac:dyDescent="0.25">
      <c r="A81" s="8">
        <v>42827.415694444448</v>
      </c>
      <c r="B81" s="20" t="s">
        <v>626</v>
      </c>
      <c r="C81" s="20" t="s">
        <v>708</v>
      </c>
      <c r="D81" s="146">
        <v>1830000</v>
      </c>
      <c r="E81" s="20" t="s">
        <v>501</v>
      </c>
      <c r="F81" s="20" t="s">
        <v>502</v>
      </c>
      <c r="G81" s="8" t="str">
        <f t="shared" si="1"/>
        <v>YORK EDGAR</v>
      </c>
    </row>
    <row r="82" spans="1:7" x14ac:dyDescent="0.25">
      <c r="A82" s="8">
        <v>42827.423784722225</v>
      </c>
      <c r="B82" s="20" t="s">
        <v>645</v>
      </c>
      <c r="C82" s="20" t="s">
        <v>709</v>
      </c>
      <c r="D82" s="146">
        <v>1100000</v>
      </c>
      <c r="E82" s="20" t="s">
        <v>499</v>
      </c>
      <c r="F82" s="20" t="s">
        <v>500</v>
      </c>
      <c r="G82" s="8" t="str">
        <f t="shared" si="1"/>
        <v>GEBRETEKLE DAGNEW</v>
      </c>
    </row>
    <row r="83" spans="1:7" x14ac:dyDescent="0.25">
      <c r="A83" s="8">
        <v>42827.43005787037</v>
      </c>
      <c r="B83" s="20" t="s">
        <v>609</v>
      </c>
      <c r="C83" s="20" t="s">
        <v>710</v>
      </c>
      <c r="D83" s="146">
        <v>2370000</v>
      </c>
      <c r="E83" s="20" t="s">
        <v>652</v>
      </c>
      <c r="F83" s="20" t="s">
        <v>653</v>
      </c>
      <c r="G83" s="8" t="str">
        <f t="shared" si="1"/>
        <v>DELGADO DIANAH</v>
      </c>
    </row>
    <row r="84" spans="1:7" x14ac:dyDescent="0.25">
      <c r="A84" s="8">
        <v>42827.433356481481</v>
      </c>
      <c r="B84" s="20" t="s">
        <v>480</v>
      </c>
      <c r="C84" s="20" t="s">
        <v>617</v>
      </c>
      <c r="D84" s="146">
        <v>2470000</v>
      </c>
      <c r="E84" s="20" t="s">
        <v>711</v>
      </c>
      <c r="F84" s="20" t="s">
        <v>712</v>
      </c>
      <c r="G84" s="8" t="str">
        <f t="shared" si="1"/>
        <v>ROMERO CHAD</v>
      </c>
    </row>
    <row r="85" spans="1:7" x14ac:dyDescent="0.25">
      <c r="A85" s="8">
        <v>42827.443541666667</v>
      </c>
      <c r="B85" s="20" t="s">
        <v>619</v>
      </c>
      <c r="C85" s="20" t="s">
        <v>713</v>
      </c>
      <c r="D85" s="146">
        <v>1830000</v>
      </c>
      <c r="E85" s="20" t="s">
        <v>501</v>
      </c>
      <c r="F85" s="20" t="s">
        <v>502</v>
      </c>
      <c r="G85" s="8" t="str">
        <f t="shared" si="1"/>
        <v>YORK EDGAR</v>
      </c>
    </row>
    <row r="86" spans="1:7" x14ac:dyDescent="0.25">
      <c r="A86" s="8">
        <v>42827.44394675926</v>
      </c>
      <c r="B86" s="20" t="s">
        <v>524</v>
      </c>
      <c r="C86" s="20" t="s">
        <v>714</v>
      </c>
      <c r="D86" s="146">
        <v>1990000</v>
      </c>
      <c r="E86" s="20" t="s">
        <v>656</v>
      </c>
      <c r="F86" s="20" t="s">
        <v>657</v>
      </c>
      <c r="G86" s="8" t="str">
        <f t="shared" si="1"/>
        <v>DAVIS WENDY</v>
      </c>
    </row>
    <row r="87" spans="1:7" x14ac:dyDescent="0.25">
      <c r="A87" s="8">
        <v>42827.444826388892</v>
      </c>
      <c r="B87" s="20" t="s">
        <v>530</v>
      </c>
      <c r="C87" s="20" t="s">
        <v>715</v>
      </c>
      <c r="D87" s="146">
        <v>2020000</v>
      </c>
      <c r="E87" s="20" t="s">
        <v>531</v>
      </c>
      <c r="F87" s="20" t="s">
        <v>481</v>
      </c>
      <c r="G87" s="8" t="str">
        <f t="shared" si="1"/>
        <v>SHOOK JOHN</v>
      </c>
    </row>
    <row r="88" spans="1:7" x14ac:dyDescent="0.25">
      <c r="A88" s="8">
        <v>42827.453252314815</v>
      </c>
      <c r="B88" s="20" t="s">
        <v>394</v>
      </c>
      <c r="C88" s="20" t="s">
        <v>616</v>
      </c>
      <c r="D88" s="146">
        <v>2140000</v>
      </c>
      <c r="E88" s="20" t="s">
        <v>528</v>
      </c>
      <c r="F88" s="20" t="s">
        <v>529</v>
      </c>
      <c r="G88" s="8" t="str">
        <f t="shared" si="1"/>
        <v>ROBINSON KADDIBA</v>
      </c>
    </row>
    <row r="89" spans="1:7" x14ac:dyDescent="0.25">
      <c r="A89" s="8">
        <v>42827.45484953704</v>
      </c>
      <c r="B89" s="20" t="s">
        <v>611</v>
      </c>
      <c r="C89" s="20" t="s">
        <v>716</v>
      </c>
      <c r="D89" s="146">
        <v>1100000</v>
      </c>
      <c r="E89" s="20" t="s">
        <v>499</v>
      </c>
      <c r="F89" s="20" t="s">
        <v>500</v>
      </c>
      <c r="G89" s="8" t="str">
        <f t="shared" si="1"/>
        <v>GEBRETEKLE DAGNEW</v>
      </c>
    </row>
    <row r="90" spans="1:7" x14ac:dyDescent="0.25">
      <c r="A90" s="8">
        <v>42827.455185185187</v>
      </c>
      <c r="B90" s="20" t="s">
        <v>626</v>
      </c>
      <c r="C90" s="20" t="s">
        <v>717</v>
      </c>
      <c r="D90" s="146">
        <v>1830000</v>
      </c>
      <c r="E90" s="20" t="s">
        <v>501</v>
      </c>
      <c r="F90" s="20" t="s">
        <v>502</v>
      </c>
      <c r="G90" s="8" t="str">
        <f t="shared" si="1"/>
        <v>YORK EDGAR</v>
      </c>
    </row>
    <row r="91" spans="1:7" x14ac:dyDescent="0.25">
      <c r="A91" s="8">
        <v>42827.458854166667</v>
      </c>
      <c r="B91" s="20" t="s">
        <v>428</v>
      </c>
      <c r="C91" s="20" t="s">
        <v>718</v>
      </c>
      <c r="D91" s="146">
        <v>880000</v>
      </c>
      <c r="E91" s="20" t="s">
        <v>719</v>
      </c>
      <c r="F91" s="20" t="s">
        <v>198</v>
      </c>
      <c r="G91" s="8" t="str">
        <f t="shared" si="1"/>
        <v>STEWART MICHAEL</v>
      </c>
    </row>
    <row r="92" spans="1:7" x14ac:dyDescent="0.25">
      <c r="A92" s="8">
        <v>42827.465497685182</v>
      </c>
      <c r="B92" s="20" t="s">
        <v>606</v>
      </c>
      <c r="C92" s="20" t="s">
        <v>720</v>
      </c>
      <c r="D92" s="146">
        <v>920000</v>
      </c>
      <c r="E92" s="20" t="s">
        <v>656</v>
      </c>
      <c r="F92" s="20" t="s">
        <v>198</v>
      </c>
      <c r="G92" s="8" t="str">
        <f t="shared" si="1"/>
        <v>DAVIS MICHAEL</v>
      </c>
    </row>
    <row r="93" spans="1:7" x14ac:dyDescent="0.25">
      <c r="A93" s="8">
        <v>42827.465543981481</v>
      </c>
      <c r="B93" s="20" t="s">
        <v>479</v>
      </c>
      <c r="C93" s="20" t="s">
        <v>721</v>
      </c>
      <c r="D93" s="146">
        <v>2470000</v>
      </c>
      <c r="E93" s="20" t="s">
        <v>711</v>
      </c>
      <c r="F93" s="20" t="s">
        <v>712</v>
      </c>
      <c r="G93" s="8" t="str">
        <f t="shared" si="1"/>
        <v>ROMERO CHAD</v>
      </c>
    </row>
    <row r="94" spans="1:7" x14ac:dyDescent="0.25">
      <c r="A94" s="8">
        <v>42827.475590277776</v>
      </c>
      <c r="B94" s="20" t="s">
        <v>525</v>
      </c>
      <c r="C94" s="20" t="s">
        <v>722</v>
      </c>
      <c r="D94" s="146">
        <v>2020000</v>
      </c>
      <c r="E94" s="20" t="s">
        <v>531</v>
      </c>
      <c r="F94" s="20" t="s">
        <v>481</v>
      </c>
      <c r="G94" s="8" t="str">
        <f t="shared" si="1"/>
        <v>SHOOK JOHN</v>
      </c>
    </row>
    <row r="95" spans="1:7" x14ac:dyDescent="0.25">
      <c r="A95" s="8">
        <v>42827.476585648146</v>
      </c>
      <c r="B95" s="20" t="s">
        <v>471</v>
      </c>
      <c r="C95" s="20" t="s">
        <v>723</v>
      </c>
      <c r="D95" s="146">
        <v>1300000</v>
      </c>
      <c r="E95" s="20" t="s">
        <v>724</v>
      </c>
      <c r="F95" s="20" t="s">
        <v>725</v>
      </c>
      <c r="G95" s="8" t="str">
        <f t="shared" si="1"/>
        <v>LEVIN SCOTT</v>
      </c>
    </row>
    <row r="96" spans="1:7" x14ac:dyDescent="0.25">
      <c r="A96" s="8">
        <v>42827.483148148145</v>
      </c>
      <c r="B96" s="20" t="s">
        <v>619</v>
      </c>
      <c r="C96" s="20" t="s">
        <v>726</v>
      </c>
      <c r="D96" s="146">
        <v>1830000</v>
      </c>
      <c r="E96" s="20" t="s">
        <v>501</v>
      </c>
      <c r="F96" s="20" t="s">
        <v>502</v>
      </c>
      <c r="G96" s="8" t="str">
        <f t="shared" si="1"/>
        <v>YORK EDGAR</v>
      </c>
    </row>
    <row r="97" spans="1:7" x14ac:dyDescent="0.25">
      <c r="A97" s="8">
        <v>42827.486701388887</v>
      </c>
      <c r="B97" s="20" t="s">
        <v>391</v>
      </c>
      <c r="C97" s="20" t="s">
        <v>727</v>
      </c>
      <c r="D97" s="146">
        <v>1770000</v>
      </c>
      <c r="E97" s="20" t="s">
        <v>534</v>
      </c>
      <c r="F97" s="20" t="s">
        <v>535</v>
      </c>
      <c r="G97" s="8" t="str">
        <f t="shared" si="1"/>
        <v>BRUDER RICHARD</v>
      </c>
    </row>
    <row r="98" spans="1:7" x14ac:dyDescent="0.25">
      <c r="A98" s="8">
        <v>42827.494976851849</v>
      </c>
      <c r="B98" s="20" t="s">
        <v>427</v>
      </c>
      <c r="C98" s="20" t="s">
        <v>728</v>
      </c>
      <c r="D98" s="146">
        <v>880000</v>
      </c>
      <c r="E98" s="20" t="s">
        <v>719</v>
      </c>
      <c r="F98" s="20" t="s">
        <v>198</v>
      </c>
      <c r="G98" s="8" t="str">
        <f t="shared" si="1"/>
        <v>STEWART MICHAEL</v>
      </c>
    </row>
    <row r="99" spans="1:7" x14ac:dyDescent="0.25">
      <c r="A99" s="8">
        <v>42827.495324074072</v>
      </c>
      <c r="B99" s="20" t="s">
        <v>645</v>
      </c>
      <c r="C99" s="20" t="s">
        <v>729</v>
      </c>
      <c r="D99" s="146">
        <v>1120000</v>
      </c>
      <c r="E99" s="20" t="s">
        <v>429</v>
      </c>
      <c r="F99" s="20" t="s">
        <v>430</v>
      </c>
      <c r="G99" s="8" t="str">
        <f t="shared" si="1"/>
        <v>LOCKLEAR TRAVIS</v>
      </c>
    </row>
    <row r="100" spans="1:7" x14ac:dyDescent="0.25">
      <c r="A100" s="8">
        <v>42827.499374999999</v>
      </c>
      <c r="B100" s="20" t="s">
        <v>626</v>
      </c>
      <c r="C100" s="20" t="s">
        <v>730</v>
      </c>
      <c r="D100" s="146">
        <v>1830000</v>
      </c>
      <c r="E100" s="20" t="s">
        <v>501</v>
      </c>
      <c r="F100" s="20" t="s">
        <v>502</v>
      </c>
      <c r="G100" s="8" t="str">
        <f t="shared" si="1"/>
        <v>YORK EDGAR</v>
      </c>
    </row>
    <row r="101" spans="1:7" x14ac:dyDescent="0.25">
      <c r="A101" s="8">
        <v>42827.505729166667</v>
      </c>
      <c r="B101" s="20" t="s">
        <v>480</v>
      </c>
      <c r="C101" s="20" t="s">
        <v>731</v>
      </c>
      <c r="D101" s="146">
        <v>2470000</v>
      </c>
      <c r="E101" s="20" t="s">
        <v>711</v>
      </c>
      <c r="F101" s="20" t="s">
        <v>712</v>
      </c>
      <c r="G101" s="8" t="str">
        <f t="shared" si="1"/>
        <v>ROMERO CHAD</v>
      </c>
    </row>
    <row r="102" spans="1:7" x14ac:dyDescent="0.25">
      <c r="A102" s="8">
        <v>42827.50708333333</v>
      </c>
      <c r="B102" s="20" t="s">
        <v>609</v>
      </c>
      <c r="C102" s="20" t="s">
        <v>732</v>
      </c>
      <c r="D102" s="146">
        <v>920000</v>
      </c>
      <c r="E102" s="20" t="s">
        <v>656</v>
      </c>
      <c r="F102" s="20" t="s">
        <v>198</v>
      </c>
      <c r="G102" s="8" t="str">
        <f t="shared" si="1"/>
        <v>DAVIS MICHAEL</v>
      </c>
    </row>
    <row r="103" spans="1:7" x14ac:dyDescent="0.25">
      <c r="A103" s="8">
        <v>42827.516168981485</v>
      </c>
      <c r="B103" s="20" t="s">
        <v>524</v>
      </c>
      <c r="C103" s="20" t="s">
        <v>733</v>
      </c>
      <c r="D103" s="146">
        <v>1300000</v>
      </c>
      <c r="E103" s="20" t="s">
        <v>724</v>
      </c>
      <c r="F103" s="20" t="s">
        <v>725</v>
      </c>
      <c r="G103" s="8" t="str">
        <f t="shared" si="1"/>
        <v>LEVIN SCOTT</v>
      </c>
    </row>
    <row r="104" spans="1:7" x14ac:dyDescent="0.25">
      <c r="A104" s="8">
        <v>42827.518206018518</v>
      </c>
      <c r="B104" s="20" t="s">
        <v>530</v>
      </c>
      <c r="C104" s="20" t="s">
        <v>618</v>
      </c>
      <c r="D104" s="146">
        <v>2360000</v>
      </c>
      <c r="E104" s="20" t="s">
        <v>532</v>
      </c>
      <c r="F104" s="20" t="s">
        <v>533</v>
      </c>
      <c r="G104" s="8" t="str">
        <f t="shared" si="1"/>
        <v>BRANDNER MELINDA</v>
      </c>
    </row>
    <row r="105" spans="1:7" x14ac:dyDescent="0.25">
      <c r="A105" s="8">
        <v>42827.524178240739</v>
      </c>
      <c r="B105" s="20" t="s">
        <v>394</v>
      </c>
      <c r="C105" s="20" t="s">
        <v>734</v>
      </c>
      <c r="D105" s="146">
        <v>1770000</v>
      </c>
      <c r="E105" s="20" t="s">
        <v>534</v>
      </c>
      <c r="F105" s="20" t="s">
        <v>535</v>
      </c>
      <c r="G105" s="8" t="str">
        <f t="shared" si="1"/>
        <v>BRUDER RICHARD</v>
      </c>
    </row>
    <row r="106" spans="1:7" x14ac:dyDescent="0.25">
      <c r="A106" s="8">
        <v>42827.524745370371</v>
      </c>
      <c r="B106" s="20" t="s">
        <v>619</v>
      </c>
      <c r="C106" s="20" t="s">
        <v>735</v>
      </c>
      <c r="D106" s="146">
        <v>1830000</v>
      </c>
      <c r="E106" s="20" t="s">
        <v>501</v>
      </c>
      <c r="F106" s="20" t="s">
        <v>502</v>
      </c>
      <c r="G106" s="8" t="str">
        <f t="shared" si="1"/>
        <v>YORK EDGAR</v>
      </c>
    </row>
    <row r="107" spans="1:7" x14ac:dyDescent="0.25">
      <c r="A107" s="8">
        <v>42827.528287037036</v>
      </c>
      <c r="B107" s="20" t="s">
        <v>428</v>
      </c>
      <c r="C107" s="20" t="s">
        <v>736</v>
      </c>
      <c r="D107" s="146">
        <v>880000</v>
      </c>
      <c r="E107" s="20" t="s">
        <v>719</v>
      </c>
      <c r="F107" s="20" t="s">
        <v>198</v>
      </c>
      <c r="G107" s="8" t="str">
        <f t="shared" si="1"/>
        <v>STEWART MICHAEL</v>
      </c>
    </row>
    <row r="108" spans="1:7" x14ac:dyDescent="0.25">
      <c r="A108" s="8">
        <v>42827.537164351852</v>
      </c>
      <c r="B108" s="20" t="s">
        <v>479</v>
      </c>
      <c r="C108" s="20" t="s">
        <v>737</v>
      </c>
      <c r="D108" s="146">
        <v>2470000</v>
      </c>
      <c r="E108" s="20" t="s">
        <v>711</v>
      </c>
      <c r="F108" s="20" t="s">
        <v>712</v>
      </c>
      <c r="G108" s="8" t="str">
        <f t="shared" si="1"/>
        <v>ROMERO CHAD</v>
      </c>
    </row>
    <row r="109" spans="1:7" x14ac:dyDescent="0.25">
      <c r="A109" s="8">
        <v>42827.537314814814</v>
      </c>
      <c r="B109" s="20" t="s">
        <v>611</v>
      </c>
      <c r="C109" s="20" t="s">
        <v>738</v>
      </c>
      <c r="D109" s="146">
        <v>1120000</v>
      </c>
      <c r="E109" s="20" t="s">
        <v>429</v>
      </c>
      <c r="F109" s="20" t="s">
        <v>430</v>
      </c>
      <c r="G109" s="8" t="str">
        <f t="shared" si="1"/>
        <v>LOCKLEAR TRAVIS</v>
      </c>
    </row>
    <row r="110" spans="1:7" x14ac:dyDescent="0.25">
      <c r="A110" s="8">
        <v>42827.538946759261</v>
      </c>
      <c r="B110" s="20" t="s">
        <v>626</v>
      </c>
      <c r="C110" s="20" t="s">
        <v>739</v>
      </c>
      <c r="D110" s="146">
        <v>1830000</v>
      </c>
      <c r="E110" s="20" t="s">
        <v>501</v>
      </c>
      <c r="F110" s="20" t="s">
        <v>502</v>
      </c>
      <c r="G110" s="8" t="str">
        <f t="shared" si="1"/>
        <v>YORK EDGAR</v>
      </c>
    </row>
    <row r="111" spans="1:7" x14ac:dyDescent="0.25">
      <c r="A111" s="8">
        <v>42827.541168981479</v>
      </c>
      <c r="B111" s="20" t="s">
        <v>606</v>
      </c>
      <c r="C111" s="20" t="s">
        <v>740</v>
      </c>
      <c r="D111" s="146">
        <v>920000</v>
      </c>
      <c r="E111" s="20" t="s">
        <v>656</v>
      </c>
      <c r="F111" s="20" t="s">
        <v>198</v>
      </c>
      <c r="G111" s="8" t="str">
        <f t="shared" si="1"/>
        <v>DAVIS MICHAEL</v>
      </c>
    </row>
    <row r="112" spans="1:7" x14ac:dyDescent="0.25">
      <c r="A112" s="8">
        <v>42827.548078703701</v>
      </c>
      <c r="B112" s="20" t="s">
        <v>471</v>
      </c>
      <c r="C112" s="20" t="s">
        <v>741</v>
      </c>
      <c r="D112" s="146">
        <v>1300000</v>
      </c>
      <c r="E112" s="20" t="s">
        <v>724</v>
      </c>
      <c r="F112" s="20" t="s">
        <v>725</v>
      </c>
      <c r="G112" s="8" t="str">
        <f t="shared" si="1"/>
        <v>LEVIN SCOTT</v>
      </c>
    </row>
    <row r="113" spans="1:7" x14ac:dyDescent="0.25">
      <c r="A113" s="8">
        <v>42827.556643518517</v>
      </c>
      <c r="B113" s="20" t="s">
        <v>525</v>
      </c>
      <c r="C113" s="20" t="s">
        <v>742</v>
      </c>
      <c r="D113" s="146">
        <v>2360000</v>
      </c>
      <c r="E113" s="20" t="s">
        <v>532</v>
      </c>
      <c r="F113" s="20" t="s">
        <v>533</v>
      </c>
      <c r="G113" s="8" t="str">
        <f t="shared" si="1"/>
        <v>BRANDNER MELINDA</v>
      </c>
    </row>
    <row r="114" spans="1:7" x14ac:dyDescent="0.25">
      <c r="A114" s="8">
        <v>42827.558159722219</v>
      </c>
      <c r="B114" s="20" t="s">
        <v>391</v>
      </c>
      <c r="C114" s="20" t="s">
        <v>743</v>
      </c>
      <c r="D114" s="146">
        <v>1770000</v>
      </c>
      <c r="E114" s="20" t="s">
        <v>534</v>
      </c>
      <c r="F114" s="20" t="s">
        <v>535</v>
      </c>
      <c r="G114" s="8" t="str">
        <f t="shared" si="1"/>
        <v>BRUDER RICHARD</v>
      </c>
    </row>
    <row r="115" spans="1:7" x14ac:dyDescent="0.25">
      <c r="A115" s="8">
        <v>42827.565740740742</v>
      </c>
      <c r="B115" s="20" t="s">
        <v>427</v>
      </c>
      <c r="C115" s="20" t="s">
        <v>744</v>
      </c>
      <c r="D115" s="146">
        <v>880000</v>
      </c>
      <c r="E115" s="20" t="s">
        <v>719</v>
      </c>
      <c r="F115" s="20" t="s">
        <v>198</v>
      </c>
      <c r="G115" s="8" t="str">
        <f t="shared" si="1"/>
        <v>STEWART MICHAEL</v>
      </c>
    </row>
    <row r="116" spans="1:7" x14ac:dyDescent="0.25">
      <c r="A116" s="8">
        <v>42827.566180555557</v>
      </c>
      <c r="B116" s="20" t="s">
        <v>619</v>
      </c>
      <c r="C116" s="20" t="s">
        <v>620</v>
      </c>
      <c r="D116" s="146">
        <v>1830000</v>
      </c>
      <c r="E116" s="20" t="s">
        <v>501</v>
      </c>
      <c r="F116" s="20" t="s">
        <v>502</v>
      </c>
      <c r="G116" s="8" t="str">
        <f t="shared" si="1"/>
        <v>YORK EDGAR</v>
      </c>
    </row>
    <row r="117" spans="1:7" x14ac:dyDescent="0.25">
      <c r="A117" s="8">
        <v>42827.568483796298</v>
      </c>
      <c r="B117" s="20" t="s">
        <v>645</v>
      </c>
      <c r="C117" s="20" t="s">
        <v>745</v>
      </c>
      <c r="D117" s="146">
        <v>1120000</v>
      </c>
      <c r="E117" s="20" t="s">
        <v>429</v>
      </c>
      <c r="F117" s="20" t="s">
        <v>430</v>
      </c>
      <c r="G117" s="8" t="str">
        <f t="shared" si="1"/>
        <v>LOCKLEAR TRAVIS</v>
      </c>
    </row>
    <row r="118" spans="1:7" x14ac:dyDescent="0.25">
      <c r="A118" s="8">
        <v>42827.579606481479</v>
      </c>
      <c r="B118" s="20" t="s">
        <v>480</v>
      </c>
      <c r="C118" s="20" t="s">
        <v>621</v>
      </c>
      <c r="D118" s="146">
        <v>2480000</v>
      </c>
      <c r="E118" s="20" t="s">
        <v>503</v>
      </c>
      <c r="F118" s="20" t="s">
        <v>504</v>
      </c>
      <c r="G118" s="8" t="str">
        <f t="shared" si="1"/>
        <v>WHITED DUSTIN</v>
      </c>
    </row>
    <row r="119" spans="1:7" x14ac:dyDescent="0.25">
      <c r="A119" s="8">
        <v>42827.582129629627</v>
      </c>
      <c r="B119" s="20" t="s">
        <v>609</v>
      </c>
      <c r="C119" s="20" t="s">
        <v>746</v>
      </c>
      <c r="D119" s="146">
        <v>920000</v>
      </c>
      <c r="E119" s="20" t="s">
        <v>656</v>
      </c>
      <c r="F119" s="20" t="s">
        <v>198</v>
      </c>
      <c r="G119" s="8" t="str">
        <f t="shared" si="1"/>
        <v>DAVIS MICHAEL</v>
      </c>
    </row>
    <row r="120" spans="1:7" x14ac:dyDescent="0.25">
      <c r="A120" s="8">
        <v>42827.588495370372</v>
      </c>
      <c r="B120" s="20" t="s">
        <v>524</v>
      </c>
      <c r="C120" s="20" t="s">
        <v>747</v>
      </c>
      <c r="D120" s="146">
        <v>1300000</v>
      </c>
      <c r="E120" s="20" t="s">
        <v>724</v>
      </c>
      <c r="F120" s="20" t="s">
        <v>725</v>
      </c>
      <c r="G120" s="8" t="str">
        <f t="shared" si="1"/>
        <v>LEVIN SCOTT</v>
      </c>
    </row>
    <row r="121" spans="1:7" x14ac:dyDescent="0.25">
      <c r="A121" s="8">
        <v>42827.591469907406</v>
      </c>
      <c r="B121" s="20" t="s">
        <v>530</v>
      </c>
      <c r="C121" s="20" t="s">
        <v>622</v>
      </c>
      <c r="D121" s="146">
        <v>2360000</v>
      </c>
      <c r="E121" s="20" t="s">
        <v>532</v>
      </c>
      <c r="F121" s="20" t="s">
        <v>533</v>
      </c>
      <c r="G121" s="8" t="str">
        <f t="shared" si="1"/>
        <v>BRANDNER MELINDA</v>
      </c>
    </row>
    <row r="122" spans="1:7" x14ac:dyDescent="0.25">
      <c r="A122" s="8">
        <v>42827.594722222224</v>
      </c>
      <c r="B122" s="25" t="s">
        <v>626</v>
      </c>
      <c r="C122" s="20" t="s">
        <v>748</v>
      </c>
      <c r="D122" s="146">
        <v>1540000</v>
      </c>
      <c r="E122" s="20" t="s">
        <v>384</v>
      </c>
      <c r="F122" s="20" t="s">
        <v>385</v>
      </c>
      <c r="G122" s="8" t="str">
        <f t="shared" si="1"/>
        <v>HELVIE ADAM</v>
      </c>
    </row>
    <row r="123" spans="1:7" x14ac:dyDescent="0.25">
      <c r="A123" s="8">
        <v>42827.597291666665</v>
      </c>
      <c r="B123" s="20" t="s">
        <v>394</v>
      </c>
      <c r="C123" s="20" t="s">
        <v>749</v>
      </c>
      <c r="D123" s="146">
        <v>1770000</v>
      </c>
      <c r="E123" s="20" t="s">
        <v>534</v>
      </c>
      <c r="F123" s="20" t="s">
        <v>535</v>
      </c>
      <c r="G123" s="8" t="str">
        <f t="shared" si="1"/>
        <v>BRUDER RICHARD</v>
      </c>
    </row>
    <row r="124" spans="1:7" x14ac:dyDescent="0.25">
      <c r="A124" s="8">
        <v>42827.60087962963</v>
      </c>
      <c r="B124" s="20" t="s">
        <v>428</v>
      </c>
      <c r="C124" s="20" t="s">
        <v>750</v>
      </c>
      <c r="D124" s="146">
        <v>880000</v>
      </c>
      <c r="E124" s="20" t="s">
        <v>719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42827.609479166669</v>
      </c>
      <c r="B125" s="20" t="s">
        <v>619</v>
      </c>
      <c r="C125" s="20" t="s">
        <v>751</v>
      </c>
      <c r="D125" s="146">
        <v>1540000</v>
      </c>
      <c r="E125" s="20" t="s">
        <v>384</v>
      </c>
      <c r="F125" s="20" t="s">
        <v>385</v>
      </c>
      <c r="G125" s="8" t="str">
        <f t="shared" si="1"/>
        <v>HELVIE ADAM</v>
      </c>
    </row>
    <row r="126" spans="1:7" x14ac:dyDescent="0.25">
      <c r="A126" s="8">
        <v>42827.610324074078</v>
      </c>
      <c r="B126" s="20" t="s">
        <v>611</v>
      </c>
      <c r="C126" s="20" t="s">
        <v>752</v>
      </c>
      <c r="D126" s="146">
        <v>1120000</v>
      </c>
      <c r="E126" s="20" t="s">
        <v>429</v>
      </c>
      <c r="F126" s="20" t="s">
        <v>430</v>
      </c>
      <c r="G126" s="8" t="str">
        <f t="shared" si="1"/>
        <v>LOCKLEAR TRAVIS</v>
      </c>
    </row>
    <row r="127" spans="1:7" x14ac:dyDescent="0.25">
      <c r="A127" s="8">
        <v>42827.613819444443</v>
      </c>
      <c r="B127" s="20" t="s">
        <v>606</v>
      </c>
      <c r="C127" s="20" t="s">
        <v>623</v>
      </c>
      <c r="D127" s="146">
        <v>920000</v>
      </c>
      <c r="E127" s="20" t="s">
        <v>656</v>
      </c>
      <c r="F127" s="20" t="s">
        <v>198</v>
      </c>
      <c r="G127" s="8" t="str">
        <f t="shared" si="1"/>
        <v>DAVIS MICHAEL</v>
      </c>
    </row>
    <row r="128" spans="1:7" x14ac:dyDescent="0.25">
      <c r="A128" s="8">
        <v>42827.614988425928</v>
      </c>
      <c r="B128" s="20" t="s">
        <v>479</v>
      </c>
      <c r="C128" s="20" t="s">
        <v>753</v>
      </c>
      <c r="D128" s="146">
        <v>2480000</v>
      </c>
      <c r="E128" s="20" t="s">
        <v>503</v>
      </c>
      <c r="F128" s="20" t="s">
        <v>504</v>
      </c>
      <c r="G128" s="8" t="str">
        <f t="shared" si="1"/>
        <v>WHITED DUSTIN</v>
      </c>
    </row>
    <row r="129" spans="1:7" x14ac:dyDescent="0.25">
      <c r="A129" s="8">
        <v>42827.620798611111</v>
      </c>
      <c r="B129" s="20" t="s">
        <v>471</v>
      </c>
      <c r="C129" s="20" t="s">
        <v>754</v>
      </c>
      <c r="D129" s="146">
        <v>1300000</v>
      </c>
      <c r="E129" s="20" t="s">
        <v>724</v>
      </c>
      <c r="F129" s="20" t="s">
        <v>725</v>
      </c>
      <c r="G129" s="8" t="str">
        <f t="shared" si="1"/>
        <v>LEVIN SCOTT</v>
      </c>
    </row>
    <row r="130" spans="1:7" x14ac:dyDescent="0.25">
      <c r="A130" s="8">
        <v>42827.629027777781</v>
      </c>
      <c r="B130" s="20" t="s">
        <v>525</v>
      </c>
      <c r="C130" s="20" t="s">
        <v>755</v>
      </c>
      <c r="D130" s="146">
        <v>2360000</v>
      </c>
      <c r="E130" s="20" t="s">
        <v>532</v>
      </c>
      <c r="F130" s="20" t="s">
        <v>533</v>
      </c>
      <c r="G130" s="8" t="str">
        <f t="shared" si="1"/>
        <v>BRANDNER MELINDA</v>
      </c>
    </row>
    <row r="131" spans="1:7" x14ac:dyDescent="0.25">
      <c r="A131" s="8">
        <v>42827.630925925929</v>
      </c>
      <c r="B131" s="20" t="s">
        <v>391</v>
      </c>
      <c r="C131" s="20" t="s">
        <v>756</v>
      </c>
      <c r="D131" s="146">
        <v>1770000</v>
      </c>
      <c r="E131" s="20" t="s">
        <v>534</v>
      </c>
      <c r="F131" s="20" t="s">
        <v>535</v>
      </c>
      <c r="G131" s="8" t="str">
        <f t="shared" ref="G131:G194" si="2">E131&amp;" "&amp;F131</f>
        <v>BRUDER RICHARD</v>
      </c>
    </row>
    <row r="132" spans="1:7" x14ac:dyDescent="0.25">
      <c r="A132" s="8">
        <v>42827.635034722225</v>
      </c>
      <c r="B132" s="20" t="s">
        <v>626</v>
      </c>
      <c r="C132" s="20" t="s">
        <v>757</v>
      </c>
      <c r="D132" s="146">
        <v>1540000</v>
      </c>
      <c r="E132" s="20" t="s">
        <v>384</v>
      </c>
      <c r="F132" s="20" t="s">
        <v>385</v>
      </c>
      <c r="G132" s="8" t="str">
        <f t="shared" si="2"/>
        <v>HELVIE ADAM</v>
      </c>
    </row>
    <row r="133" spans="1:7" x14ac:dyDescent="0.25">
      <c r="A133" s="8">
        <v>42827.642696759256</v>
      </c>
      <c r="B133" s="20" t="s">
        <v>427</v>
      </c>
      <c r="C133" s="20" t="s">
        <v>758</v>
      </c>
      <c r="D133" s="146">
        <v>880000</v>
      </c>
      <c r="E133" s="20" t="s">
        <v>719</v>
      </c>
      <c r="F133" s="20" t="s">
        <v>198</v>
      </c>
      <c r="G133" s="8" t="str">
        <f t="shared" si="2"/>
        <v>STEWART MICHAEL</v>
      </c>
    </row>
    <row r="134" spans="1:7" x14ac:dyDescent="0.25">
      <c r="A134" s="8">
        <v>42827.643460648149</v>
      </c>
      <c r="B134" s="20" t="s">
        <v>645</v>
      </c>
      <c r="C134" s="20" t="s">
        <v>759</v>
      </c>
      <c r="D134" s="146">
        <v>1120000</v>
      </c>
      <c r="E134" s="20" t="s">
        <v>429</v>
      </c>
      <c r="F134" s="20" t="s">
        <v>430</v>
      </c>
      <c r="G134" s="8" t="str">
        <f t="shared" si="2"/>
        <v>LOCKLEAR TRAVIS</v>
      </c>
    </row>
    <row r="135" spans="1:7" x14ac:dyDescent="0.25">
      <c r="A135" s="8">
        <v>42827.650787037041</v>
      </c>
      <c r="B135" s="20" t="s">
        <v>619</v>
      </c>
      <c r="C135" s="20" t="s">
        <v>760</v>
      </c>
      <c r="D135" s="146">
        <v>1540000</v>
      </c>
      <c r="E135" s="20" t="s">
        <v>384</v>
      </c>
      <c r="F135" s="20" t="s">
        <v>385</v>
      </c>
      <c r="G135" s="8" t="str">
        <f t="shared" si="2"/>
        <v>HELVIE ADAM</v>
      </c>
    </row>
    <row r="136" spans="1:7" x14ac:dyDescent="0.25">
      <c r="A136" s="8">
        <v>42827.651435185187</v>
      </c>
      <c r="B136" s="20" t="s">
        <v>609</v>
      </c>
      <c r="C136" s="20" t="s">
        <v>761</v>
      </c>
      <c r="D136" s="146">
        <v>920000</v>
      </c>
      <c r="E136" s="20" t="s">
        <v>656</v>
      </c>
      <c r="F136" s="20" t="s">
        <v>198</v>
      </c>
      <c r="G136" s="8" t="str">
        <f t="shared" si="2"/>
        <v>DAVIS MICHAEL</v>
      </c>
    </row>
    <row r="137" spans="1:7" x14ac:dyDescent="0.25">
      <c r="A137" s="8">
        <v>42827.654120370367</v>
      </c>
      <c r="B137" s="20" t="s">
        <v>480</v>
      </c>
      <c r="C137" s="20" t="s">
        <v>625</v>
      </c>
      <c r="D137" s="146">
        <v>2470000</v>
      </c>
      <c r="E137" s="20" t="s">
        <v>711</v>
      </c>
      <c r="F137" s="20" t="s">
        <v>712</v>
      </c>
      <c r="G137" s="8" t="str">
        <f t="shared" si="2"/>
        <v>ROMERO CHAD</v>
      </c>
    </row>
    <row r="138" spans="1:7" x14ac:dyDescent="0.25">
      <c r="A138" s="8">
        <v>42827.659710648149</v>
      </c>
      <c r="B138" s="20" t="s">
        <v>524</v>
      </c>
      <c r="C138" s="20" t="s">
        <v>762</v>
      </c>
      <c r="D138" s="146">
        <v>1300000</v>
      </c>
      <c r="E138" s="20" t="s">
        <v>724</v>
      </c>
      <c r="F138" s="20" t="s">
        <v>725</v>
      </c>
      <c r="G138" s="8" t="str">
        <f t="shared" si="2"/>
        <v>LEVIN SCOTT</v>
      </c>
    </row>
    <row r="139" spans="1:7" x14ac:dyDescent="0.25">
      <c r="A139" s="8">
        <v>42827.665775462963</v>
      </c>
      <c r="B139" s="20" t="s">
        <v>530</v>
      </c>
      <c r="C139" s="20" t="s">
        <v>624</v>
      </c>
      <c r="D139" s="146">
        <v>2360000</v>
      </c>
      <c r="E139" s="20" t="s">
        <v>532</v>
      </c>
      <c r="F139" s="20" t="s">
        <v>533</v>
      </c>
      <c r="G139" s="8" t="str">
        <f t="shared" si="2"/>
        <v>BRANDNER MELINDA</v>
      </c>
    </row>
    <row r="140" spans="1:7" x14ac:dyDescent="0.25">
      <c r="A140" s="8">
        <v>42827.670682870368</v>
      </c>
      <c r="B140" s="20" t="s">
        <v>394</v>
      </c>
      <c r="C140" s="20" t="s">
        <v>763</v>
      </c>
      <c r="D140" s="146">
        <v>1770000</v>
      </c>
      <c r="E140" s="20" t="s">
        <v>534</v>
      </c>
      <c r="F140" s="20" t="s">
        <v>535</v>
      </c>
      <c r="G140" s="8" t="str">
        <f t="shared" si="2"/>
        <v>BRUDER RICHARD</v>
      </c>
    </row>
    <row r="141" spans="1:7" x14ac:dyDescent="0.25">
      <c r="A141" s="8">
        <v>42827.674166666664</v>
      </c>
      <c r="B141" s="20" t="s">
        <v>428</v>
      </c>
      <c r="C141" s="20" t="s">
        <v>764</v>
      </c>
      <c r="D141" s="146">
        <v>880000</v>
      </c>
      <c r="E141" s="20" t="s">
        <v>719</v>
      </c>
      <c r="F141" s="20" t="s">
        <v>198</v>
      </c>
      <c r="G141" s="8" t="str">
        <f t="shared" si="2"/>
        <v>STEWART MICHAEL</v>
      </c>
    </row>
    <row r="142" spans="1:7" x14ac:dyDescent="0.25">
      <c r="A142" s="8">
        <v>42827.679675925923</v>
      </c>
      <c r="B142" s="20" t="s">
        <v>626</v>
      </c>
      <c r="C142" s="20" t="s">
        <v>627</v>
      </c>
      <c r="D142" s="146">
        <v>1540000</v>
      </c>
      <c r="E142" s="20" t="s">
        <v>384</v>
      </c>
      <c r="F142" s="20" t="s">
        <v>385</v>
      </c>
      <c r="G142" s="8" t="str">
        <f t="shared" si="2"/>
        <v>HELVIE ADAM</v>
      </c>
    </row>
    <row r="143" spans="1:7" x14ac:dyDescent="0.25">
      <c r="A143" s="8">
        <v>42827.682534722226</v>
      </c>
      <c r="B143" s="20" t="s">
        <v>611</v>
      </c>
      <c r="C143" s="20" t="s">
        <v>765</v>
      </c>
      <c r="D143" s="146">
        <v>1120000</v>
      </c>
      <c r="E143" s="20" t="s">
        <v>429</v>
      </c>
      <c r="F143" s="20" t="s">
        <v>430</v>
      </c>
      <c r="G143" s="8" t="str">
        <f t="shared" si="2"/>
        <v>LOCKLEAR TRAVIS</v>
      </c>
    </row>
    <row r="144" spans="1:7" x14ac:dyDescent="0.25">
      <c r="A144" s="8">
        <v>42827.684537037036</v>
      </c>
      <c r="B144" s="20" t="s">
        <v>606</v>
      </c>
      <c r="C144" s="20" t="s">
        <v>766</v>
      </c>
      <c r="D144" s="146">
        <v>920000</v>
      </c>
      <c r="E144" s="20" t="s">
        <v>656</v>
      </c>
      <c r="F144" s="20" t="s">
        <v>198</v>
      </c>
      <c r="G144" s="8" t="str">
        <f t="shared" si="2"/>
        <v>DAVIS MICHAEL</v>
      </c>
    </row>
    <row r="145" spans="1:7" x14ac:dyDescent="0.25">
      <c r="A145" s="8">
        <v>42827.69195601852</v>
      </c>
      <c r="B145" s="20" t="s">
        <v>479</v>
      </c>
      <c r="C145" s="20" t="s">
        <v>628</v>
      </c>
      <c r="D145" s="146">
        <v>2470000</v>
      </c>
      <c r="E145" s="20" t="s">
        <v>711</v>
      </c>
      <c r="F145" s="20" t="s">
        <v>712</v>
      </c>
      <c r="G145" s="8" t="str">
        <f t="shared" si="2"/>
        <v>ROMERO CHAD</v>
      </c>
    </row>
    <row r="146" spans="1:7" x14ac:dyDescent="0.25">
      <c r="A146" s="8">
        <v>42827.694097222222</v>
      </c>
      <c r="B146" s="20" t="s">
        <v>471</v>
      </c>
      <c r="C146" s="20" t="s">
        <v>767</v>
      </c>
      <c r="D146" s="146">
        <v>1300000</v>
      </c>
      <c r="E146" s="20" t="s">
        <v>724</v>
      </c>
      <c r="F146" s="20" t="s">
        <v>725</v>
      </c>
      <c r="G146" s="8" t="str">
        <f t="shared" si="2"/>
        <v>LEVIN SCOTT</v>
      </c>
    </row>
    <row r="147" spans="1:7" x14ac:dyDescent="0.25">
      <c r="A147" s="8">
        <v>42827.695983796293</v>
      </c>
      <c r="B147" s="20" t="s">
        <v>619</v>
      </c>
      <c r="C147" s="20" t="s">
        <v>768</v>
      </c>
      <c r="D147" s="146">
        <v>1540000</v>
      </c>
      <c r="E147" s="20" t="s">
        <v>384</v>
      </c>
      <c r="F147" s="20" t="s">
        <v>385</v>
      </c>
      <c r="G147" s="8" t="str">
        <f t="shared" si="2"/>
        <v>HELVIE ADAM</v>
      </c>
    </row>
    <row r="148" spans="1:7" x14ac:dyDescent="0.25">
      <c r="A148" s="8">
        <v>42827.703715277778</v>
      </c>
      <c r="B148" s="20" t="s">
        <v>391</v>
      </c>
      <c r="C148" s="20" t="s">
        <v>769</v>
      </c>
      <c r="D148" s="146">
        <v>1770000</v>
      </c>
      <c r="E148" s="20" t="s">
        <v>534</v>
      </c>
      <c r="F148" s="20" t="s">
        <v>535</v>
      </c>
      <c r="G148" s="8" t="str">
        <f t="shared" si="2"/>
        <v>BRUDER RICHARD</v>
      </c>
    </row>
    <row r="149" spans="1:7" x14ac:dyDescent="0.25">
      <c r="A149" s="8">
        <v>42827.703715277778</v>
      </c>
      <c r="B149" s="20" t="s">
        <v>525</v>
      </c>
      <c r="C149" s="20" t="s">
        <v>770</v>
      </c>
      <c r="D149" s="146">
        <v>2360000</v>
      </c>
      <c r="E149" s="20" t="s">
        <v>532</v>
      </c>
      <c r="F149" s="20" t="s">
        <v>533</v>
      </c>
      <c r="G149" s="8" t="str">
        <f t="shared" si="2"/>
        <v>BRANDNER MELINDA</v>
      </c>
    </row>
    <row r="150" spans="1:7" x14ac:dyDescent="0.25">
      <c r="A150" s="8">
        <v>42827.712511574071</v>
      </c>
      <c r="B150" s="20" t="s">
        <v>442</v>
      </c>
      <c r="C150" s="20" t="s">
        <v>771</v>
      </c>
      <c r="D150" s="146">
        <v>2530000</v>
      </c>
      <c r="E150" s="20" t="s">
        <v>505</v>
      </c>
      <c r="F150" s="20" t="s">
        <v>506</v>
      </c>
      <c r="G150" s="8" t="str">
        <f t="shared" si="2"/>
        <v>LALONDE GREGORY</v>
      </c>
    </row>
    <row r="151" spans="1:7" x14ac:dyDescent="0.25">
      <c r="A151" s="8">
        <v>42827.713067129633</v>
      </c>
      <c r="B151" s="20" t="s">
        <v>427</v>
      </c>
      <c r="C151" s="20" t="s">
        <v>772</v>
      </c>
      <c r="D151" s="146">
        <v>880000</v>
      </c>
      <c r="E151" s="20" t="s">
        <v>719</v>
      </c>
      <c r="F151" s="20" t="s">
        <v>198</v>
      </c>
      <c r="G151" s="8" t="str">
        <f t="shared" si="2"/>
        <v>STEWART MICHAEL</v>
      </c>
    </row>
    <row r="152" spans="1:7" x14ac:dyDescent="0.25">
      <c r="A152" s="8">
        <v>42827.716550925928</v>
      </c>
      <c r="B152" s="20" t="s">
        <v>645</v>
      </c>
      <c r="C152" s="20" t="s">
        <v>773</v>
      </c>
      <c r="D152" s="146">
        <v>1800000</v>
      </c>
      <c r="E152" s="20" t="s">
        <v>431</v>
      </c>
      <c r="F152" s="20" t="s">
        <v>432</v>
      </c>
      <c r="G152" s="8" t="str">
        <f t="shared" si="2"/>
        <v>CHANDLER KELVIN</v>
      </c>
    </row>
    <row r="153" spans="1:7" x14ac:dyDescent="0.25">
      <c r="A153" s="8">
        <v>42827.721412037034</v>
      </c>
      <c r="B153" s="20" t="s">
        <v>626</v>
      </c>
      <c r="C153" s="20" t="s">
        <v>774</v>
      </c>
      <c r="D153" s="146">
        <v>1540000</v>
      </c>
      <c r="E153" s="20" t="s">
        <v>384</v>
      </c>
      <c r="F153" s="20" t="s">
        <v>385</v>
      </c>
      <c r="G153" s="8" t="str">
        <f t="shared" si="2"/>
        <v>HELVIE ADAM</v>
      </c>
    </row>
    <row r="154" spans="1:7" x14ac:dyDescent="0.25">
      <c r="A154" s="8">
        <v>42827.724236111113</v>
      </c>
      <c r="B154" s="20" t="s">
        <v>609</v>
      </c>
      <c r="C154" s="20" t="s">
        <v>775</v>
      </c>
      <c r="D154" s="146">
        <v>920000</v>
      </c>
      <c r="E154" s="20" t="s">
        <v>656</v>
      </c>
      <c r="F154" s="20" t="s">
        <v>198</v>
      </c>
      <c r="G154" s="8" t="str">
        <f t="shared" si="2"/>
        <v>DAVIS MICHAEL</v>
      </c>
    </row>
    <row r="155" spans="1:7" x14ac:dyDescent="0.25">
      <c r="A155" s="8">
        <v>42827.725868055553</v>
      </c>
      <c r="B155" s="20" t="s">
        <v>480</v>
      </c>
      <c r="C155" s="20" t="s">
        <v>776</v>
      </c>
      <c r="D155" s="146">
        <v>1120000</v>
      </c>
      <c r="E155" s="20" t="s">
        <v>429</v>
      </c>
      <c r="F155" s="20" t="s">
        <v>430</v>
      </c>
      <c r="G155" s="8" t="str">
        <f t="shared" si="2"/>
        <v>LOCKLEAR TRAVIS</v>
      </c>
    </row>
    <row r="156" spans="1:7" x14ac:dyDescent="0.25">
      <c r="A156" s="8">
        <v>42827.733599537038</v>
      </c>
      <c r="B156" s="20" t="s">
        <v>619</v>
      </c>
      <c r="C156" s="20" t="s">
        <v>777</v>
      </c>
      <c r="D156" s="146">
        <v>1540000</v>
      </c>
      <c r="E156" s="20" t="s">
        <v>384</v>
      </c>
      <c r="F156" s="20" t="s">
        <v>385</v>
      </c>
      <c r="G156" s="8" t="str">
        <f t="shared" si="2"/>
        <v>HELVIE ADAM</v>
      </c>
    </row>
    <row r="157" spans="1:7" x14ac:dyDescent="0.25">
      <c r="A157" s="8">
        <v>42827.734097222223</v>
      </c>
      <c r="B157" s="20" t="s">
        <v>524</v>
      </c>
      <c r="C157" s="20" t="s">
        <v>778</v>
      </c>
      <c r="D157" s="146">
        <v>1300000</v>
      </c>
      <c r="E157" s="20" t="s">
        <v>724</v>
      </c>
      <c r="F157" s="20" t="s">
        <v>725</v>
      </c>
      <c r="G157" s="8" t="str">
        <f t="shared" si="2"/>
        <v>LEVIN SCOTT</v>
      </c>
    </row>
    <row r="158" spans="1:7" x14ac:dyDescent="0.25">
      <c r="A158" s="8">
        <v>42827.737592592595</v>
      </c>
      <c r="B158" s="20" t="s">
        <v>530</v>
      </c>
      <c r="C158" s="20" t="s">
        <v>779</v>
      </c>
      <c r="D158" s="146">
        <v>2630000</v>
      </c>
      <c r="E158" s="20" t="s">
        <v>395</v>
      </c>
      <c r="F158" s="20" t="s">
        <v>396</v>
      </c>
      <c r="G158" s="8" t="str">
        <f t="shared" si="2"/>
        <v>SAFIEF AEIMEN</v>
      </c>
    </row>
    <row r="159" spans="1:7" x14ac:dyDescent="0.25">
      <c r="A159" s="8">
        <v>42827.743622685186</v>
      </c>
      <c r="B159" s="20" t="s">
        <v>394</v>
      </c>
      <c r="C159" s="20" t="s">
        <v>780</v>
      </c>
      <c r="D159" s="146">
        <v>1770000</v>
      </c>
      <c r="E159" s="20" t="s">
        <v>534</v>
      </c>
      <c r="F159" s="20" t="s">
        <v>535</v>
      </c>
      <c r="G159" s="8" t="str">
        <f t="shared" si="2"/>
        <v>BRUDER RICHARD</v>
      </c>
    </row>
    <row r="160" spans="1:7" x14ac:dyDescent="0.25">
      <c r="A160" s="8">
        <v>42827.746331018519</v>
      </c>
      <c r="B160" s="20" t="s">
        <v>428</v>
      </c>
      <c r="C160" s="20" t="s">
        <v>781</v>
      </c>
      <c r="D160" s="146">
        <v>2360000</v>
      </c>
      <c r="E160" s="20" t="s">
        <v>532</v>
      </c>
      <c r="F160" s="20" t="s">
        <v>533</v>
      </c>
      <c r="G160" s="8" t="str">
        <f t="shared" si="2"/>
        <v>BRANDNER MELINDA</v>
      </c>
    </row>
    <row r="161" spans="1:7" x14ac:dyDescent="0.25">
      <c r="A161" s="8">
        <v>42827.746828703705</v>
      </c>
      <c r="B161" s="20" t="s">
        <v>527</v>
      </c>
      <c r="C161" s="20" t="s">
        <v>782</v>
      </c>
      <c r="D161" s="146">
        <v>2680000</v>
      </c>
      <c r="E161" s="20" t="s">
        <v>783</v>
      </c>
      <c r="F161" s="20" t="s">
        <v>784</v>
      </c>
      <c r="G161" s="8" t="str">
        <f t="shared" si="2"/>
        <v>DUNCAN SHEILA</v>
      </c>
    </row>
    <row r="162" spans="1:7" x14ac:dyDescent="0.25">
      <c r="A162" s="8">
        <v>42827.756874999999</v>
      </c>
      <c r="B162" s="20" t="s">
        <v>611</v>
      </c>
      <c r="C162" s="20" t="s">
        <v>785</v>
      </c>
      <c r="D162" s="146">
        <v>1800000</v>
      </c>
      <c r="E162" s="20" t="s">
        <v>431</v>
      </c>
      <c r="F162" s="20" t="s">
        <v>432</v>
      </c>
      <c r="G162" s="8" t="str">
        <f t="shared" si="2"/>
        <v>CHANDLER KELVIN</v>
      </c>
    </row>
    <row r="163" spans="1:7" x14ac:dyDescent="0.25">
      <c r="A163" s="8">
        <v>42827.758136574077</v>
      </c>
      <c r="B163" s="20" t="s">
        <v>606</v>
      </c>
      <c r="C163" s="20" t="s">
        <v>786</v>
      </c>
      <c r="D163" s="146">
        <v>2230000</v>
      </c>
      <c r="E163" s="20" t="s">
        <v>389</v>
      </c>
      <c r="F163" s="20" t="s">
        <v>198</v>
      </c>
      <c r="G163" s="8" t="str">
        <f t="shared" si="2"/>
        <v>SMITH MICHAEL</v>
      </c>
    </row>
    <row r="164" spans="1:7" x14ac:dyDescent="0.25">
      <c r="A164" s="8">
        <v>42827.763726851852</v>
      </c>
      <c r="B164" s="20" t="s">
        <v>626</v>
      </c>
      <c r="C164" s="20" t="s">
        <v>787</v>
      </c>
      <c r="D164" s="146">
        <v>1540000</v>
      </c>
      <c r="E164" s="20" t="s">
        <v>384</v>
      </c>
      <c r="F164" s="20" t="s">
        <v>385</v>
      </c>
      <c r="G164" s="8" t="str">
        <f t="shared" si="2"/>
        <v>HELVIE ADAM</v>
      </c>
    </row>
    <row r="165" spans="1:7" x14ac:dyDescent="0.25">
      <c r="A165" s="8">
        <v>42827.765856481485</v>
      </c>
      <c r="B165" s="20" t="s">
        <v>471</v>
      </c>
      <c r="C165" s="20" t="s">
        <v>629</v>
      </c>
      <c r="D165" s="146">
        <v>2000000</v>
      </c>
      <c r="E165" s="20" t="s">
        <v>380</v>
      </c>
      <c r="F165" s="20" t="s">
        <v>195</v>
      </c>
      <c r="G165" s="8" t="str">
        <f t="shared" si="2"/>
        <v>STAMBAUGH JAMES</v>
      </c>
    </row>
    <row r="166" spans="1:7" x14ac:dyDescent="0.25">
      <c r="A166" s="8">
        <v>42827.765949074077</v>
      </c>
      <c r="B166" s="20" t="s">
        <v>479</v>
      </c>
      <c r="C166" s="20" t="s">
        <v>788</v>
      </c>
      <c r="D166" s="146">
        <v>1120000</v>
      </c>
      <c r="E166" s="20" t="s">
        <v>429</v>
      </c>
      <c r="F166" s="20" t="s">
        <v>430</v>
      </c>
      <c r="G166" s="8" t="str">
        <f t="shared" si="2"/>
        <v>LOCKLEAR TRAVIS</v>
      </c>
    </row>
    <row r="167" spans="1:7" x14ac:dyDescent="0.25">
      <c r="A167" s="8">
        <v>42827.768506944441</v>
      </c>
      <c r="B167" s="20" t="s">
        <v>525</v>
      </c>
      <c r="C167" s="20" t="s">
        <v>789</v>
      </c>
      <c r="D167" s="146">
        <v>2630000</v>
      </c>
      <c r="E167" s="20" t="s">
        <v>395</v>
      </c>
      <c r="F167" s="20" t="s">
        <v>396</v>
      </c>
      <c r="G167" s="8" t="str">
        <f t="shared" si="2"/>
        <v>SAFIEF AEIMEN</v>
      </c>
    </row>
    <row r="168" spans="1:7" x14ac:dyDescent="0.25">
      <c r="A168" s="8">
        <v>42827.77547453704</v>
      </c>
      <c r="B168" s="20" t="s">
        <v>619</v>
      </c>
      <c r="C168" s="20" t="s">
        <v>790</v>
      </c>
      <c r="D168" s="146">
        <v>1540000</v>
      </c>
      <c r="E168" s="20" t="s">
        <v>384</v>
      </c>
      <c r="F168" s="20" t="s">
        <v>385</v>
      </c>
      <c r="G168" s="8" t="str">
        <f t="shared" si="2"/>
        <v>HELVIE ADAM</v>
      </c>
    </row>
    <row r="169" spans="1:7" x14ac:dyDescent="0.25">
      <c r="A169" s="8">
        <v>42827.776585648149</v>
      </c>
      <c r="B169" s="20" t="s">
        <v>391</v>
      </c>
      <c r="C169" s="20" t="s">
        <v>791</v>
      </c>
      <c r="D169" s="146">
        <v>1770000</v>
      </c>
      <c r="E169" s="20" t="s">
        <v>534</v>
      </c>
      <c r="F169" s="20" t="s">
        <v>535</v>
      </c>
      <c r="G169" s="8" t="str">
        <f t="shared" si="2"/>
        <v>BRUDER RICHARD</v>
      </c>
    </row>
    <row r="170" spans="1:7" x14ac:dyDescent="0.25">
      <c r="A170" s="8">
        <v>42827.785613425927</v>
      </c>
      <c r="B170" s="20" t="s">
        <v>427</v>
      </c>
      <c r="C170" s="20" t="s">
        <v>631</v>
      </c>
      <c r="D170" s="146">
        <v>2360000</v>
      </c>
      <c r="E170" s="20" t="s">
        <v>532</v>
      </c>
      <c r="F170" s="20" t="s">
        <v>533</v>
      </c>
      <c r="G170" s="8" t="str">
        <f t="shared" si="2"/>
        <v>BRANDNER MELINDA</v>
      </c>
    </row>
    <row r="171" spans="1:7" x14ac:dyDescent="0.25">
      <c r="A171" s="8">
        <v>42827.791481481479</v>
      </c>
      <c r="B171" s="20" t="s">
        <v>645</v>
      </c>
      <c r="C171" s="20" t="s">
        <v>792</v>
      </c>
      <c r="D171" s="146">
        <v>1800000</v>
      </c>
      <c r="E171" s="20" t="s">
        <v>431</v>
      </c>
      <c r="F171" s="20" t="s">
        <v>432</v>
      </c>
      <c r="G171" s="8" t="str">
        <f t="shared" si="2"/>
        <v>CHANDLER KELVIN</v>
      </c>
    </row>
    <row r="172" spans="1:7" x14ac:dyDescent="0.25">
      <c r="A172" s="8">
        <v>42827.791527777779</v>
      </c>
      <c r="B172" s="20" t="s">
        <v>609</v>
      </c>
      <c r="C172" s="20" t="s">
        <v>793</v>
      </c>
      <c r="D172" s="146">
        <v>2230000</v>
      </c>
      <c r="E172" s="20" t="s">
        <v>389</v>
      </c>
      <c r="F172" s="20" t="s">
        <v>198</v>
      </c>
      <c r="G172" s="8" t="str">
        <f t="shared" si="2"/>
        <v>SMITH MICHAEL</v>
      </c>
    </row>
    <row r="173" spans="1:7" x14ac:dyDescent="0.25">
      <c r="A173" s="8">
        <v>42827.797777777778</v>
      </c>
      <c r="B173" s="20" t="s">
        <v>480</v>
      </c>
      <c r="C173" s="20" t="s">
        <v>794</v>
      </c>
      <c r="D173" s="146">
        <v>1120000</v>
      </c>
      <c r="E173" s="20" t="s">
        <v>429</v>
      </c>
      <c r="F173" s="20" t="s">
        <v>430</v>
      </c>
      <c r="G173" s="8" t="str">
        <f t="shared" si="2"/>
        <v>LOCKLEAR TRAVIS</v>
      </c>
    </row>
    <row r="174" spans="1:7" x14ac:dyDescent="0.25">
      <c r="A174" s="8">
        <v>42827.804270833331</v>
      </c>
      <c r="B174" s="20" t="s">
        <v>626</v>
      </c>
      <c r="C174" s="20" t="s">
        <v>795</v>
      </c>
      <c r="D174" s="146">
        <v>1540000</v>
      </c>
      <c r="E174" s="20" t="s">
        <v>384</v>
      </c>
      <c r="F174" s="20" t="s">
        <v>385</v>
      </c>
      <c r="G174" s="8" t="str">
        <f t="shared" si="2"/>
        <v>HELVIE ADAM</v>
      </c>
    </row>
    <row r="175" spans="1:7" x14ac:dyDescent="0.25">
      <c r="A175" s="8">
        <v>42827.808032407411</v>
      </c>
      <c r="B175" s="20" t="s">
        <v>530</v>
      </c>
      <c r="C175" s="20" t="s">
        <v>796</v>
      </c>
      <c r="D175" s="146">
        <v>2630000</v>
      </c>
      <c r="E175" s="20" t="s">
        <v>395</v>
      </c>
      <c r="F175" s="20" t="s">
        <v>396</v>
      </c>
      <c r="G175" s="8" t="str">
        <f t="shared" si="2"/>
        <v>SAFIEF AEIMEN</v>
      </c>
    </row>
    <row r="176" spans="1:7" x14ac:dyDescent="0.25">
      <c r="A176" s="8">
        <v>42827.80878472222</v>
      </c>
      <c r="B176" s="20" t="s">
        <v>524</v>
      </c>
      <c r="C176" s="20" t="s">
        <v>630</v>
      </c>
      <c r="D176" s="146">
        <v>2000000</v>
      </c>
      <c r="E176" s="20" t="s">
        <v>380</v>
      </c>
      <c r="F176" s="20" t="s">
        <v>195</v>
      </c>
      <c r="G176" s="8" t="str">
        <f t="shared" si="2"/>
        <v>STAMBAUGH JAMES</v>
      </c>
    </row>
    <row r="177" spans="1:7" x14ac:dyDescent="0.25">
      <c r="A177" s="8">
        <v>42827.817835648151</v>
      </c>
      <c r="B177" s="20" t="s">
        <v>619</v>
      </c>
      <c r="C177" s="20" t="s">
        <v>797</v>
      </c>
      <c r="D177" s="146">
        <v>1540000</v>
      </c>
      <c r="E177" s="20" t="s">
        <v>384</v>
      </c>
      <c r="F177" s="20" t="s">
        <v>385</v>
      </c>
      <c r="G177" s="8" t="str">
        <f t="shared" si="2"/>
        <v>HELVIE ADAM</v>
      </c>
    </row>
    <row r="178" spans="1:7" x14ac:dyDescent="0.25">
      <c r="A178" s="8">
        <v>42827.818831018521</v>
      </c>
      <c r="B178" s="20" t="s">
        <v>428</v>
      </c>
      <c r="C178" s="20" t="s">
        <v>798</v>
      </c>
      <c r="D178" s="146">
        <v>2360000</v>
      </c>
      <c r="E178" s="20" t="s">
        <v>532</v>
      </c>
      <c r="F178" s="20" t="s">
        <v>533</v>
      </c>
      <c r="G178" s="8" t="str">
        <f t="shared" si="2"/>
        <v>BRANDNER MELINDA</v>
      </c>
    </row>
    <row r="179" spans="1:7" x14ac:dyDescent="0.25">
      <c r="A179" s="8">
        <v>42827.829062500001</v>
      </c>
      <c r="B179" s="20" t="s">
        <v>611</v>
      </c>
      <c r="C179" s="20" t="s">
        <v>799</v>
      </c>
      <c r="D179" s="146">
        <v>1800000</v>
      </c>
      <c r="E179" s="20" t="s">
        <v>431</v>
      </c>
      <c r="F179" s="20" t="s">
        <v>432</v>
      </c>
      <c r="G179" s="8" t="str">
        <f t="shared" si="2"/>
        <v>CHANDLER KELVIN</v>
      </c>
    </row>
    <row r="180" spans="1:7" x14ac:dyDescent="0.25">
      <c r="A180" s="8">
        <v>42827.829687500001</v>
      </c>
      <c r="B180" s="20" t="s">
        <v>606</v>
      </c>
      <c r="C180" s="20" t="s">
        <v>800</v>
      </c>
      <c r="D180" s="146">
        <v>2230000</v>
      </c>
      <c r="E180" s="20" t="s">
        <v>389</v>
      </c>
      <c r="F180" s="20" t="s">
        <v>198</v>
      </c>
      <c r="G180" s="8" t="str">
        <f t="shared" si="2"/>
        <v>SMITH MICHAEL</v>
      </c>
    </row>
    <row r="181" spans="1:7" x14ac:dyDescent="0.25">
      <c r="A181" s="8">
        <v>42827.837812500002</v>
      </c>
      <c r="B181" s="20" t="s">
        <v>471</v>
      </c>
      <c r="C181" s="20" t="s">
        <v>801</v>
      </c>
      <c r="D181" s="146">
        <v>2000000</v>
      </c>
      <c r="E181" s="20" t="s">
        <v>380</v>
      </c>
      <c r="F181" s="20" t="s">
        <v>195</v>
      </c>
      <c r="G181" s="8" t="str">
        <f t="shared" si="2"/>
        <v>STAMBAUGH JAMES</v>
      </c>
    </row>
    <row r="182" spans="1:7" x14ac:dyDescent="0.25">
      <c r="A182" s="8">
        <v>42827.840798611112</v>
      </c>
      <c r="B182" s="20" t="s">
        <v>525</v>
      </c>
      <c r="C182" s="20" t="s">
        <v>802</v>
      </c>
      <c r="D182" s="146">
        <v>2630000</v>
      </c>
      <c r="E182" s="20" t="s">
        <v>395</v>
      </c>
      <c r="F182" s="20" t="s">
        <v>396</v>
      </c>
      <c r="G182" s="8" t="str">
        <f t="shared" si="2"/>
        <v>SAFIEF AEIMEN</v>
      </c>
    </row>
    <row r="183" spans="1:7" x14ac:dyDescent="0.25">
      <c r="A183" s="8">
        <v>42827.847395833334</v>
      </c>
      <c r="B183" s="20" t="s">
        <v>626</v>
      </c>
      <c r="C183" s="20" t="s">
        <v>803</v>
      </c>
      <c r="D183" s="146">
        <v>1540000</v>
      </c>
      <c r="E183" s="20" t="s">
        <v>384</v>
      </c>
      <c r="F183" s="20" t="s">
        <v>385</v>
      </c>
      <c r="G183" s="8" t="str">
        <f t="shared" si="2"/>
        <v>HELVIE ADAM</v>
      </c>
    </row>
    <row r="184" spans="1:7" x14ac:dyDescent="0.25">
      <c r="A184" s="8">
        <v>42827.860173611109</v>
      </c>
      <c r="B184" s="20" t="s">
        <v>619</v>
      </c>
      <c r="C184" s="20" t="s">
        <v>804</v>
      </c>
      <c r="D184" s="146">
        <v>1540000</v>
      </c>
      <c r="E184" s="20" t="s">
        <v>384</v>
      </c>
      <c r="F184" s="20" t="s">
        <v>385</v>
      </c>
      <c r="G184" s="8" t="str">
        <f t="shared" si="2"/>
        <v>HELVIE ADAM</v>
      </c>
    </row>
    <row r="185" spans="1:7" x14ac:dyDescent="0.25">
      <c r="A185" s="8">
        <v>42827.865567129629</v>
      </c>
      <c r="B185" s="20" t="s">
        <v>609</v>
      </c>
      <c r="C185" s="20" t="s">
        <v>805</v>
      </c>
      <c r="D185" s="146">
        <v>2230000</v>
      </c>
      <c r="E185" s="20" t="s">
        <v>389</v>
      </c>
      <c r="F185" s="20" t="s">
        <v>198</v>
      </c>
      <c r="G185" s="8" t="str">
        <f t="shared" si="2"/>
        <v>SMITH MICHAEL</v>
      </c>
    </row>
    <row r="186" spans="1:7" x14ac:dyDescent="0.25">
      <c r="A186" s="8">
        <v>42827.87295138889</v>
      </c>
      <c r="B186" s="20" t="s">
        <v>645</v>
      </c>
      <c r="C186" s="20" t="s">
        <v>806</v>
      </c>
      <c r="D186" s="146">
        <v>2730000</v>
      </c>
      <c r="E186" s="20" t="s">
        <v>807</v>
      </c>
      <c r="F186" s="20" t="s">
        <v>808</v>
      </c>
      <c r="G186" s="8" t="str">
        <f t="shared" si="2"/>
        <v>YANG JAN</v>
      </c>
    </row>
    <row r="187" spans="1:7" x14ac:dyDescent="0.25">
      <c r="A187" s="8">
        <v>42827.882604166669</v>
      </c>
      <c r="B187" s="20" t="s">
        <v>530</v>
      </c>
      <c r="C187" s="20" t="s">
        <v>809</v>
      </c>
      <c r="D187" s="146">
        <v>2630000</v>
      </c>
      <c r="E187" s="20" t="s">
        <v>395</v>
      </c>
      <c r="F187" s="20" t="s">
        <v>396</v>
      </c>
      <c r="G187" s="8" t="str">
        <f t="shared" si="2"/>
        <v>SAFIEF AEIMEN</v>
      </c>
    </row>
    <row r="188" spans="1:7" x14ac:dyDescent="0.25">
      <c r="A188" s="8">
        <v>42827.886180555557</v>
      </c>
      <c r="B188" s="20" t="s">
        <v>524</v>
      </c>
      <c r="C188" s="20" t="s">
        <v>632</v>
      </c>
      <c r="D188" s="146">
        <v>2000000</v>
      </c>
      <c r="E188" s="20" t="s">
        <v>380</v>
      </c>
      <c r="F188" s="20" t="s">
        <v>195</v>
      </c>
      <c r="G188" s="8" t="str">
        <f t="shared" si="2"/>
        <v>STAMBAUGH JAMES</v>
      </c>
    </row>
    <row r="189" spans="1:7" x14ac:dyDescent="0.25">
      <c r="A189" s="8">
        <v>42827.888009259259</v>
      </c>
      <c r="B189" s="20" t="s">
        <v>626</v>
      </c>
      <c r="C189" s="20" t="s">
        <v>810</v>
      </c>
      <c r="D189" s="146">
        <v>1540000</v>
      </c>
      <c r="E189" s="20" t="s">
        <v>384</v>
      </c>
      <c r="F189" s="20" t="s">
        <v>385</v>
      </c>
      <c r="G189" s="8" t="str">
        <f t="shared" si="2"/>
        <v>HELVIE ADAM</v>
      </c>
    </row>
    <row r="190" spans="1:7" x14ac:dyDescent="0.25">
      <c r="A190" s="8">
        <v>42827.900555555556</v>
      </c>
      <c r="B190" s="20" t="s">
        <v>619</v>
      </c>
      <c r="C190" s="20" t="s">
        <v>811</v>
      </c>
      <c r="D190" s="146">
        <v>1540000</v>
      </c>
      <c r="E190" s="20" t="s">
        <v>384</v>
      </c>
      <c r="F190" s="20" t="s">
        <v>385</v>
      </c>
      <c r="G190" s="8" t="str">
        <f t="shared" si="2"/>
        <v>HELVIE ADAM</v>
      </c>
    </row>
    <row r="191" spans="1:7" x14ac:dyDescent="0.25">
      <c r="A191" s="8">
        <v>42827.904803240737</v>
      </c>
      <c r="B191" s="20" t="s">
        <v>606</v>
      </c>
      <c r="C191" s="20" t="s">
        <v>812</v>
      </c>
      <c r="D191" s="146">
        <v>2230000</v>
      </c>
      <c r="E191" s="20" t="s">
        <v>389</v>
      </c>
      <c r="F191" s="20" t="s">
        <v>198</v>
      </c>
      <c r="G191" s="8" t="str">
        <f t="shared" si="2"/>
        <v>SMITH MICHAEL</v>
      </c>
    </row>
    <row r="192" spans="1:7" x14ac:dyDescent="0.25">
      <c r="A192" s="8">
        <v>42827.910520833335</v>
      </c>
      <c r="B192" s="20" t="s">
        <v>611</v>
      </c>
      <c r="C192" s="20" t="s">
        <v>633</v>
      </c>
      <c r="D192" s="146">
        <v>2730000</v>
      </c>
      <c r="E192" s="20" t="s">
        <v>807</v>
      </c>
      <c r="F192" s="20" t="s">
        <v>808</v>
      </c>
      <c r="G192" s="8" t="str">
        <f t="shared" si="2"/>
        <v>YANG JAN</v>
      </c>
    </row>
    <row r="193" spans="1:7" x14ac:dyDescent="0.25">
      <c r="A193" s="8">
        <v>42827.921631944446</v>
      </c>
      <c r="B193" s="20" t="s">
        <v>471</v>
      </c>
      <c r="C193" s="20" t="s">
        <v>813</v>
      </c>
      <c r="D193" s="146">
        <v>2000000</v>
      </c>
      <c r="E193" s="20" t="s">
        <v>380</v>
      </c>
      <c r="F193" s="20" t="s">
        <v>195</v>
      </c>
      <c r="G193" s="8" t="str">
        <f t="shared" si="2"/>
        <v>STAMBAUGH JAMES</v>
      </c>
    </row>
    <row r="194" spans="1:7" x14ac:dyDescent="0.25">
      <c r="A194" s="8">
        <v>42827.922314814816</v>
      </c>
      <c r="B194" s="20" t="s">
        <v>471</v>
      </c>
      <c r="C194" s="20" t="s">
        <v>813</v>
      </c>
      <c r="D194" s="146">
        <v>2000000</v>
      </c>
      <c r="E194" s="20" t="s">
        <v>380</v>
      </c>
      <c r="F194" s="20" t="s">
        <v>195</v>
      </c>
      <c r="G194" s="8" t="str">
        <f t="shared" si="2"/>
        <v>STAMBAUGH JAMES</v>
      </c>
    </row>
    <row r="195" spans="1:7" x14ac:dyDescent="0.25">
      <c r="A195" s="8">
        <v>42827.926932870374</v>
      </c>
      <c r="B195" s="20" t="s">
        <v>525</v>
      </c>
      <c r="C195" s="20" t="s">
        <v>814</v>
      </c>
      <c r="D195" s="146">
        <v>2630000</v>
      </c>
      <c r="E195" s="20" t="s">
        <v>395</v>
      </c>
      <c r="F195" s="20" t="s">
        <v>396</v>
      </c>
      <c r="G195" s="8" t="str">
        <f t="shared" ref="G195:G258" si="3">E195&amp;" "&amp;F195</f>
        <v>SAFIEF AEIMEN</v>
      </c>
    </row>
    <row r="196" spans="1:7" x14ac:dyDescent="0.25">
      <c r="A196" s="8">
        <v>42827.929456018515</v>
      </c>
      <c r="B196" s="20" t="s">
        <v>626</v>
      </c>
      <c r="C196" s="20" t="s">
        <v>634</v>
      </c>
      <c r="D196" s="146">
        <v>1540000</v>
      </c>
      <c r="E196" s="20" t="s">
        <v>384</v>
      </c>
      <c r="F196" s="20" t="s">
        <v>385</v>
      </c>
      <c r="G196" s="8" t="str">
        <f t="shared" si="3"/>
        <v>HELVIE ADAM</v>
      </c>
    </row>
    <row r="197" spans="1:7" x14ac:dyDescent="0.25">
      <c r="A197" s="8">
        <v>42827.941435185188</v>
      </c>
      <c r="B197" s="20" t="s">
        <v>619</v>
      </c>
      <c r="C197" s="20" t="s">
        <v>815</v>
      </c>
      <c r="D197" s="146">
        <v>1540000</v>
      </c>
      <c r="E197" s="20" t="s">
        <v>384</v>
      </c>
      <c r="F197" s="20" t="s">
        <v>385</v>
      </c>
      <c r="G197" s="8" t="str">
        <f t="shared" si="3"/>
        <v>HELVIE ADAM</v>
      </c>
    </row>
    <row r="198" spans="1:7" x14ac:dyDescent="0.25">
      <c r="A198" s="8">
        <v>42827.945497685185</v>
      </c>
      <c r="B198" s="20" t="s">
        <v>609</v>
      </c>
      <c r="C198" s="20" t="s">
        <v>816</v>
      </c>
      <c r="D198" s="146">
        <v>2230000</v>
      </c>
      <c r="E198" s="20" t="s">
        <v>389</v>
      </c>
      <c r="F198" s="20" t="s">
        <v>198</v>
      </c>
      <c r="G198" s="8" t="str">
        <f t="shared" si="3"/>
        <v>SMITH MICHAEL</v>
      </c>
    </row>
    <row r="199" spans="1:7" x14ac:dyDescent="0.25">
      <c r="A199" s="8">
        <v>42827.955324074072</v>
      </c>
      <c r="B199" s="20" t="s">
        <v>645</v>
      </c>
      <c r="C199" s="20" t="s">
        <v>817</v>
      </c>
      <c r="D199" s="146">
        <v>1800000</v>
      </c>
      <c r="E199" s="20" t="s">
        <v>431</v>
      </c>
      <c r="F199" s="20" t="s">
        <v>432</v>
      </c>
      <c r="G199" s="8" t="str">
        <f t="shared" si="3"/>
        <v>CHANDLER KELVIN</v>
      </c>
    </row>
    <row r="200" spans="1:7" x14ac:dyDescent="0.25">
      <c r="A200" s="8">
        <v>42827.974548611113</v>
      </c>
      <c r="B200" s="20" t="s">
        <v>530</v>
      </c>
      <c r="C200" s="20" t="s">
        <v>818</v>
      </c>
      <c r="D200" s="146">
        <v>2630000</v>
      </c>
      <c r="E200" s="20" t="s">
        <v>395</v>
      </c>
      <c r="F200" s="20" t="s">
        <v>396</v>
      </c>
      <c r="G200" s="8" t="str">
        <f t="shared" si="3"/>
        <v>SAFIEF AEIMEN</v>
      </c>
    </row>
    <row r="201" spans="1:7" x14ac:dyDescent="0.25">
      <c r="A201" s="8">
        <v>42827.974965277775</v>
      </c>
      <c r="B201" s="20" t="s">
        <v>524</v>
      </c>
      <c r="C201" s="20" t="s">
        <v>819</v>
      </c>
      <c r="D201" s="146">
        <v>2000000</v>
      </c>
      <c r="E201" s="20" t="s">
        <v>380</v>
      </c>
      <c r="F201" s="20" t="s">
        <v>195</v>
      </c>
      <c r="G201" s="8" t="str">
        <f t="shared" si="3"/>
        <v>STAMBAUGH JAMES</v>
      </c>
    </row>
    <row r="202" spans="1:7" x14ac:dyDescent="0.25">
      <c r="A202" s="26">
        <v>42827.986562500002</v>
      </c>
      <c r="B202" s="20" t="s">
        <v>606</v>
      </c>
      <c r="C202" s="20" t="s">
        <v>820</v>
      </c>
      <c r="D202" s="146">
        <v>2230000</v>
      </c>
      <c r="E202" s="20" t="s">
        <v>389</v>
      </c>
      <c r="F202" s="20" t="s">
        <v>198</v>
      </c>
      <c r="G202" s="8" t="str">
        <f t="shared" si="3"/>
        <v>SMITH MICHAEL</v>
      </c>
    </row>
    <row r="203" spans="1:7" x14ac:dyDescent="0.25">
      <c r="A203" s="8">
        <v>42827.995925925927</v>
      </c>
      <c r="B203" s="20" t="s">
        <v>611</v>
      </c>
      <c r="C203" s="20" t="s">
        <v>821</v>
      </c>
      <c r="D203" s="146">
        <v>1800000</v>
      </c>
      <c r="E203" s="20" t="s">
        <v>431</v>
      </c>
      <c r="F203" s="20" t="s">
        <v>432</v>
      </c>
      <c r="G203" s="8" t="str">
        <f t="shared" si="3"/>
        <v>CHANDLER KELVIN</v>
      </c>
    </row>
    <row r="204" spans="1:7" x14ac:dyDescent="0.25">
      <c r="A204" s="8">
        <v>42828.010312500002</v>
      </c>
      <c r="B204" s="20" t="s">
        <v>471</v>
      </c>
      <c r="C204" s="20" t="s">
        <v>822</v>
      </c>
      <c r="D204" s="146">
        <v>2000000</v>
      </c>
      <c r="E204" s="20" t="s">
        <v>380</v>
      </c>
      <c r="F204" s="20" t="s">
        <v>195</v>
      </c>
      <c r="G204" s="8" t="str">
        <f t="shared" si="3"/>
        <v>STAMBAUGH JAMES</v>
      </c>
    </row>
    <row r="205" spans="1:7" x14ac:dyDescent="0.25">
      <c r="A205" s="8">
        <v>42828.010763888888</v>
      </c>
      <c r="B205" s="20" t="s">
        <v>525</v>
      </c>
      <c r="C205" s="20" t="s">
        <v>823</v>
      </c>
      <c r="D205" s="146">
        <v>2630000</v>
      </c>
      <c r="E205" s="20" t="s">
        <v>395</v>
      </c>
      <c r="F205" s="20" t="s">
        <v>396</v>
      </c>
      <c r="G205" s="8" t="str">
        <f t="shared" si="3"/>
        <v>SAFIEF AEIMEN</v>
      </c>
    </row>
    <row r="206" spans="1:7" x14ac:dyDescent="0.25">
      <c r="A206" s="8">
        <v>42828.02921296296</v>
      </c>
      <c r="B206" s="20" t="s">
        <v>645</v>
      </c>
      <c r="C206" s="20" t="s">
        <v>824</v>
      </c>
      <c r="D206" s="146">
        <v>1800000</v>
      </c>
      <c r="E206" s="20" t="s">
        <v>431</v>
      </c>
      <c r="F206" s="20" t="s">
        <v>432</v>
      </c>
      <c r="G206" s="8" t="str">
        <f t="shared" si="3"/>
        <v>CHANDLER KELVIN</v>
      </c>
    </row>
    <row r="207" spans="1:7" x14ac:dyDescent="0.25">
      <c r="A207" s="8">
        <v>42828.031053240738</v>
      </c>
      <c r="B207" s="20" t="s">
        <v>609</v>
      </c>
      <c r="C207" s="20" t="s">
        <v>825</v>
      </c>
      <c r="D207" s="146">
        <v>2230000</v>
      </c>
      <c r="E207" s="20" t="s">
        <v>389</v>
      </c>
      <c r="F207" s="20" t="s">
        <v>198</v>
      </c>
      <c r="G207" s="8" t="str">
        <f t="shared" si="3"/>
        <v>SMITH MICHAEL</v>
      </c>
    </row>
    <row r="208" spans="1:7" x14ac:dyDescent="0.25">
      <c r="A208" s="8">
        <v>42828.048252314817</v>
      </c>
      <c r="B208" s="20" t="s">
        <v>530</v>
      </c>
      <c r="C208" s="20" t="s">
        <v>826</v>
      </c>
      <c r="D208" s="146">
        <v>2630000</v>
      </c>
      <c r="E208" s="20" t="s">
        <v>395</v>
      </c>
      <c r="F208" s="20" t="s">
        <v>396</v>
      </c>
      <c r="G208" s="8" t="str">
        <f t="shared" si="3"/>
        <v>SAFIEF AEIMEN</v>
      </c>
    </row>
    <row r="209" spans="1:7" x14ac:dyDescent="0.25">
      <c r="A209" s="8">
        <v>42828.058020833334</v>
      </c>
      <c r="B209" s="20" t="s">
        <v>524</v>
      </c>
      <c r="C209" s="20" t="s">
        <v>827</v>
      </c>
      <c r="D209" s="146">
        <v>2000000</v>
      </c>
      <c r="E209" s="20" t="s">
        <v>380</v>
      </c>
      <c r="F209" s="20" t="s">
        <v>195</v>
      </c>
      <c r="G209" s="8" t="str">
        <f t="shared" si="3"/>
        <v>STAMBAUGH JAMES</v>
      </c>
    </row>
    <row r="210" spans="1:7" x14ac:dyDescent="0.25">
      <c r="A210" s="8">
        <v>42828.069178240738</v>
      </c>
      <c r="B210" s="20" t="s">
        <v>606</v>
      </c>
      <c r="C210" s="20" t="s">
        <v>828</v>
      </c>
      <c r="D210" s="146">
        <v>2230000</v>
      </c>
      <c r="E210" s="20" t="s">
        <v>389</v>
      </c>
      <c r="F210" s="20" t="s">
        <v>198</v>
      </c>
      <c r="G210" s="8" t="str">
        <f t="shared" si="3"/>
        <v>SMITH MICHAEL</v>
      </c>
    </row>
    <row r="211" spans="1:7" x14ac:dyDescent="0.25">
      <c r="A211" s="8">
        <v>42828.087476851855</v>
      </c>
      <c r="B211" s="20" t="s">
        <v>471</v>
      </c>
      <c r="C211" s="20" t="s">
        <v>829</v>
      </c>
      <c r="D211" s="146">
        <v>2000000</v>
      </c>
      <c r="E211" s="20" t="s">
        <v>380</v>
      </c>
      <c r="F211" s="20" t="s">
        <v>195</v>
      </c>
      <c r="G211" s="8" t="str">
        <f t="shared" si="3"/>
        <v>STAMBAUGH JAMES</v>
      </c>
    </row>
    <row r="212" spans="1:7" x14ac:dyDescent="0.25">
      <c r="A212" s="8">
        <v>42828.105104166665</v>
      </c>
      <c r="B212" s="20" t="s">
        <v>383</v>
      </c>
      <c r="C212" s="20" t="s">
        <v>830</v>
      </c>
      <c r="D212" s="146">
        <v>2730000</v>
      </c>
      <c r="E212" s="20" t="s">
        <v>807</v>
      </c>
      <c r="F212" s="20" t="s">
        <v>808</v>
      </c>
      <c r="G212" s="8" t="str">
        <f t="shared" si="3"/>
        <v>YANG JAN</v>
      </c>
    </row>
    <row r="213" spans="1:7" x14ac:dyDescent="0.25">
      <c r="A213" s="8">
        <v>42824.842893518522</v>
      </c>
      <c r="B213" s="20" t="s">
        <v>381</v>
      </c>
      <c r="C213" s="20" t="s">
        <v>537</v>
      </c>
      <c r="D213" s="146">
        <v>3010000</v>
      </c>
      <c r="E213" s="20" t="s">
        <v>482</v>
      </c>
      <c r="F213" s="20" t="s">
        <v>483</v>
      </c>
      <c r="G213" s="8" t="str">
        <f t="shared" si="3"/>
        <v>SULLIVAN BRANDON</v>
      </c>
    </row>
    <row r="214" spans="1:7" x14ac:dyDescent="0.25">
      <c r="A214" s="8">
        <v>42824.843032407407</v>
      </c>
      <c r="B214" s="20" t="s">
        <v>524</v>
      </c>
      <c r="C214" s="20" t="s">
        <v>538</v>
      </c>
      <c r="D214" s="146">
        <v>2440000</v>
      </c>
      <c r="E214" s="20" t="s">
        <v>507</v>
      </c>
      <c r="F214" s="20" t="s">
        <v>508</v>
      </c>
      <c r="G214" s="8" t="str">
        <f t="shared" si="3"/>
        <v>LOPES KIMBERLY</v>
      </c>
    </row>
    <row r="215" spans="1:7" x14ac:dyDescent="0.25">
      <c r="A215" s="8">
        <v>42824.844108796293</v>
      </c>
      <c r="B215" s="20" t="s">
        <v>391</v>
      </c>
      <c r="C215" s="20" t="s">
        <v>539</v>
      </c>
      <c r="D215" s="146">
        <v>2480000</v>
      </c>
      <c r="E215" s="20" t="s">
        <v>503</v>
      </c>
      <c r="F215" s="20" t="s">
        <v>504</v>
      </c>
      <c r="G215" s="8" t="str">
        <f t="shared" si="3"/>
        <v>WHITED DUSTIN</v>
      </c>
    </row>
    <row r="216" spans="1:7" x14ac:dyDescent="0.25">
      <c r="A216" s="8">
        <v>42824.847071759257</v>
      </c>
      <c r="B216" s="20" t="s">
        <v>378</v>
      </c>
      <c r="C216" s="20" t="s">
        <v>536</v>
      </c>
      <c r="D216" s="146">
        <v>2560000</v>
      </c>
      <c r="E216" s="20" t="s">
        <v>400</v>
      </c>
      <c r="F216" s="20" t="s">
        <v>401</v>
      </c>
      <c r="G216" s="8" t="str">
        <f t="shared" si="3"/>
        <v>MACDONALD THOMAS</v>
      </c>
    </row>
    <row r="217" spans="1:7" x14ac:dyDescent="0.25">
      <c r="A217" s="8">
        <v>42824.859618055554</v>
      </c>
      <c r="B217" s="20" t="s">
        <v>382</v>
      </c>
      <c r="C217" s="20" t="s">
        <v>540</v>
      </c>
      <c r="D217" s="146">
        <v>3010000</v>
      </c>
      <c r="E217" s="20" t="s">
        <v>482</v>
      </c>
      <c r="F217" s="20" t="s">
        <v>483</v>
      </c>
      <c r="G217" s="8" t="str">
        <f t="shared" si="3"/>
        <v>SULLIVAN BRANDON</v>
      </c>
    </row>
    <row r="218" spans="1:7" x14ac:dyDescent="0.25">
      <c r="A218" s="8">
        <v>42824.869189814817</v>
      </c>
      <c r="B218" s="20" t="s">
        <v>379</v>
      </c>
      <c r="C218" s="20" t="s">
        <v>536</v>
      </c>
      <c r="D218" s="146">
        <v>2560000</v>
      </c>
      <c r="E218" s="20" t="s">
        <v>400</v>
      </c>
      <c r="F218" s="20" t="s">
        <v>401</v>
      </c>
      <c r="G218" s="8" t="str">
        <f t="shared" si="3"/>
        <v>MACDONALD THOMAS</v>
      </c>
    </row>
    <row r="219" spans="1:7" x14ac:dyDescent="0.25">
      <c r="A219" s="8">
        <v>42824.869884259257</v>
      </c>
      <c r="B219" s="20" t="s">
        <v>462</v>
      </c>
      <c r="C219" s="20" t="s">
        <v>541</v>
      </c>
      <c r="D219" s="146">
        <v>2270000</v>
      </c>
      <c r="E219" s="20" t="s">
        <v>209</v>
      </c>
      <c r="F219" s="20" t="s">
        <v>210</v>
      </c>
      <c r="G219" s="8" t="str">
        <f t="shared" si="3"/>
        <v>BROWN JACOB</v>
      </c>
    </row>
    <row r="220" spans="1:7" x14ac:dyDescent="0.25">
      <c r="A220" s="8">
        <v>42824.871354166666</v>
      </c>
      <c r="B220" s="20" t="s">
        <v>480</v>
      </c>
      <c r="C220" s="20" t="s">
        <v>542</v>
      </c>
      <c r="D220" s="146">
        <v>1800000</v>
      </c>
      <c r="E220" s="20" t="s">
        <v>431</v>
      </c>
      <c r="F220" s="20" t="s">
        <v>432</v>
      </c>
      <c r="G220" s="8" t="str">
        <f t="shared" si="3"/>
        <v>CHANDLER KELVIN</v>
      </c>
    </row>
    <row r="221" spans="1:7" x14ac:dyDescent="0.25">
      <c r="A221" s="8">
        <v>42824.880520833336</v>
      </c>
      <c r="B221" s="20" t="s">
        <v>381</v>
      </c>
      <c r="C221" s="20" t="s">
        <v>543</v>
      </c>
      <c r="D221" s="146">
        <v>1740000</v>
      </c>
      <c r="E221" s="20" t="s">
        <v>438</v>
      </c>
      <c r="F221" s="20" t="s">
        <v>439</v>
      </c>
      <c r="G221" s="8" t="str">
        <f t="shared" si="3"/>
        <v>STORY SAMANTHA</v>
      </c>
    </row>
    <row r="222" spans="1:7" x14ac:dyDescent="0.25">
      <c r="A222" s="8">
        <v>42824.886076388888</v>
      </c>
      <c r="B222" s="20" t="s">
        <v>394</v>
      </c>
      <c r="C222" s="20" t="s">
        <v>544</v>
      </c>
      <c r="D222" s="146">
        <v>2480000</v>
      </c>
      <c r="E222" s="20" t="s">
        <v>503</v>
      </c>
      <c r="F222" s="20" t="s">
        <v>504</v>
      </c>
      <c r="G222" s="8" t="str">
        <f t="shared" si="3"/>
        <v>WHITED DUSTIN</v>
      </c>
    </row>
    <row r="223" spans="1:7" x14ac:dyDescent="0.25">
      <c r="A223" s="8">
        <v>42824.891168981485</v>
      </c>
      <c r="B223" s="20" t="s">
        <v>378</v>
      </c>
      <c r="C223" s="20" t="s">
        <v>536</v>
      </c>
      <c r="D223" s="146">
        <v>2560000</v>
      </c>
      <c r="E223" s="20" t="s">
        <v>400</v>
      </c>
      <c r="F223" s="20" t="s">
        <v>401</v>
      </c>
      <c r="G223" s="8" t="str">
        <f t="shared" si="3"/>
        <v>MACDONALD THOMAS</v>
      </c>
    </row>
    <row r="224" spans="1:7" x14ac:dyDescent="0.25">
      <c r="A224" s="8">
        <v>42824.893460648149</v>
      </c>
      <c r="B224" t="s">
        <v>471</v>
      </c>
      <c r="C224" t="s">
        <v>545</v>
      </c>
      <c r="D224" s="146">
        <v>1810000</v>
      </c>
      <c r="E224" t="s">
        <v>433</v>
      </c>
      <c r="F224" s="20" t="s">
        <v>195</v>
      </c>
      <c r="G224" s="8" t="str">
        <f t="shared" si="3"/>
        <v>NEWELL JAMES</v>
      </c>
    </row>
    <row r="225" spans="1:7" x14ac:dyDescent="0.25">
      <c r="A225" s="8">
        <v>42824.901736111111</v>
      </c>
      <c r="B225" t="s">
        <v>382</v>
      </c>
      <c r="C225" t="s">
        <v>546</v>
      </c>
      <c r="D225" s="146">
        <v>1740000</v>
      </c>
      <c r="E225" t="s">
        <v>438</v>
      </c>
      <c r="F225" s="20" t="s">
        <v>439</v>
      </c>
      <c r="G225" s="8" t="str">
        <f t="shared" si="3"/>
        <v>STORY SAMANTHA</v>
      </c>
    </row>
    <row r="226" spans="1:7" x14ac:dyDescent="0.25">
      <c r="A226" s="8">
        <v>42824.91028935185</v>
      </c>
      <c r="B226" t="s">
        <v>379</v>
      </c>
      <c r="C226" t="s">
        <v>536</v>
      </c>
      <c r="D226" s="146">
        <v>2560000</v>
      </c>
      <c r="E226" t="s">
        <v>400</v>
      </c>
      <c r="F226" s="20" t="s">
        <v>401</v>
      </c>
      <c r="G226" s="8" t="str">
        <f t="shared" si="3"/>
        <v>MACDONALD THOMAS</v>
      </c>
    </row>
    <row r="227" spans="1:7" x14ac:dyDescent="0.25">
      <c r="A227" s="8">
        <v>42824.910844907405</v>
      </c>
      <c r="B227" t="s">
        <v>379</v>
      </c>
      <c r="C227" t="s">
        <v>536</v>
      </c>
      <c r="D227" s="146">
        <v>2560000</v>
      </c>
      <c r="E227" t="s">
        <v>400</v>
      </c>
      <c r="F227" s="20" t="s">
        <v>401</v>
      </c>
      <c r="G227" s="8" t="str">
        <f t="shared" si="3"/>
        <v>MACDONALD THOMAS</v>
      </c>
    </row>
    <row r="228" spans="1:7" x14ac:dyDescent="0.25">
      <c r="A228" s="8">
        <v>42824.912326388891</v>
      </c>
      <c r="B228" t="s">
        <v>479</v>
      </c>
      <c r="C228" t="s">
        <v>547</v>
      </c>
      <c r="D228" s="146">
        <v>1800000</v>
      </c>
      <c r="E228" t="s">
        <v>431</v>
      </c>
      <c r="F228" s="20" t="s">
        <v>432</v>
      </c>
      <c r="G228" s="8" t="str">
        <f t="shared" si="3"/>
        <v>CHANDLER KELVIN</v>
      </c>
    </row>
    <row r="229" spans="1:7" x14ac:dyDescent="0.25">
      <c r="A229" s="8">
        <v>42824.913032407407</v>
      </c>
      <c r="B229" t="s">
        <v>498</v>
      </c>
      <c r="C229" t="s">
        <v>526</v>
      </c>
      <c r="D229" s="146">
        <v>2270000</v>
      </c>
      <c r="E229" t="s">
        <v>209</v>
      </c>
      <c r="F229" s="20" t="s">
        <v>210</v>
      </c>
      <c r="G229" s="8" t="str">
        <f t="shared" si="3"/>
        <v>BROWN JACOB</v>
      </c>
    </row>
    <row r="230" spans="1:7" x14ac:dyDescent="0.25">
      <c r="A230" s="8">
        <v>42824.925613425927</v>
      </c>
      <c r="B230" t="s">
        <v>391</v>
      </c>
      <c r="C230" t="s">
        <v>548</v>
      </c>
      <c r="D230" s="146">
        <v>2150000</v>
      </c>
      <c r="E230" t="s">
        <v>375</v>
      </c>
      <c r="F230" s="20" t="s">
        <v>376</v>
      </c>
      <c r="G230" s="8" t="str">
        <f t="shared" si="3"/>
        <v>SWANSON BRYCE</v>
      </c>
    </row>
    <row r="231" spans="1:7" x14ac:dyDescent="0.25">
      <c r="A231" s="8">
        <v>42824.927418981482</v>
      </c>
      <c r="B231" t="s">
        <v>381</v>
      </c>
      <c r="C231" t="s">
        <v>549</v>
      </c>
      <c r="D231" s="146">
        <v>1740000</v>
      </c>
      <c r="E231" t="s">
        <v>438</v>
      </c>
      <c r="F231" s="20" t="s">
        <v>439</v>
      </c>
      <c r="G231" s="8" t="str">
        <f t="shared" si="3"/>
        <v>STORY SAMANTHA</v>
      </c>
    </row>
    <row r="232" spans="1:7" x14ac:dyDescent="0.25">
      <c r="A232" s="8">
        <v>42824.928888888891</v>
      </c>
      <c r="B232" t="s">
        <v>381</v>
      </c>
      <c r="C232" t="s">
        <v>550</v>
      </c>
      <c r="D232" s="146">
        <v>1740000</v>
      </c>
      <c r="E232" t="s">
        <v>438</v>
      </c>
      <c r="F232" s="20" t="s">
        <v>439</v>
      </c>
      <c r="G232" s="8" t="str">
        <f t="shared" si="3"/>
        <v>STORY SAMANTHA</v>
      </c>
    </row>
    <row r="233" spans="1:7" x14ac:dyDescent="0.25">
      <c r="A233" s="8">
        <v>42824.930104166669</v>
      </c>
      <c r="B233" t="s">
        <v>498</v>
      </c>
      <c r="C233" t="s">
        <v>526</v>
      </c>
      <c r="D233" s="146">
        <v>2270000</v>
      </c>
      <c r="E233" t="s">
        <v>209</v>
      </c>
      <c r="F233" s="20" t="s">
        <v>210</v>
      </c>
      <c r="G233" s="8" t="str">
        <f t="shared" si="3"/>
        <v>BROWN JACOB</v>
      </c>
    </row>
    <row r="234" spans="1:7" x14ac:dyDescent="0.25">
      <c r="A234" s="8">
        <v>42824.932384259257</v>
      </c>
      <c r="B234" t="s">
        <v>524</v>
      </c>
      <c r="C234" t="s">
        <v>551</v>
      </c>
      <c r="D234" s="146">
        <v>1810000</v>
      </c>
      <c r="E234" t="s">
        <v>433</v>
      </c>
      <c r="F234" s="20" t="s">
        <v>195</v>
      </c>
      <c r="G234" s="8" t="str">
        <f t="shared" si="3"/>
        <v>NEWELL JAMES</v>
      </c>
    </row>
    <row r="235" spans="1:7" x14ac:dyDescent="0.25">
      <c r="A235" s="8">
        <v>42824.936689814815</v>
      </c>
      <c r="B235" t="s">
        <v>378</v>
      </c>
      <c r="C235" t="s">
        <v>536</v>
      </c>
      <c r="D235" s="146">
        <v>2560000</v>
      </c>
      <c r="E235" t="s">
        <v>400</v>
      </c>
      <c r="F235" s="20" t="s">
        <v>401</v>
      </c>
      <c r="G235" s="8" t="str">
        <f t="shared" si="3"/>
        <v>MACDONALD THOMAS</v>
      </c>
    </row>
    <row r="236" spans="1:7" x14ac:dyDescent="0.25">
      <c r="A236" s="8">
        <v>42824.937222222223</v>
      </c>
      <c r="B236" t="s">
        <v>378</v>
      </c>
      <c r="C236" t="s">
        <v>536</v>
      </c>
      <c r="D236" s="146">
        <v>2560000</v>
      </c>
      <c r="E236" t="s">
        <v>400</v>
      </c>
      <c r="F236" s="20" t="s">
        <v>401</v>
      </c>
      <c r="G236" s="8" t="str">
        <f t="shared" si="3"/>
        <v>MACDONALD THOMAS</v>
      </c>
    </row>
    <row r="237" spans="1:7" x14ac:dyDescent="0.25">
      <c r="A237" s="8">
        <v>42824.939085648148</v>
      </c>
      <c r="B237" t="s">
        <v>378</v>
      </c>
      <c r="C237" t="s">
        <v>536</v>
      </c>
      <c r="D237" s="146">
        <v>2560000</v>
      </c>
      <c r="E237" t="s">
        <v>400</v>
      </c>
      <c r="F237" s="20" t="s">
        <v>401</v>
      </c>
      <c r="G237" s="8" t="str">
        <f t="shared" si="3"/>
        <v>MACDONALD THOMAS</v>
      </c>
    </row>
    <row r="238" spans="1:7" x14ac:dyDescent="0.25">
      <c r="A238" s="8">
        <v>42824.943182870367</v>
      </c>
      <c r="B238" t="s">
        <v>382</v>
      </c>
      <c r="C238" t="s">
        <v>549</v>
      </c>
      <c r="D238" s="146">
        <v>1740000</v>
      </c>
      <c r="E238" t="s">
        <v>438</v>
      </c>
      <c r="F238" s="20" t="s">
        <v>439</v>
      </c>
      <c r="G238" s="8" t="str">
        <f t="shared" si="3"/>
        <v>STORY SAMANTHA</v>
      </c>
    </row>
    <row r="239" spans="1:7" x14ac:dyDescent="0.25">
      <c r="A239" s="8">
        <v>42824.949837962966</v>
      </c>
      <c r="B239" t="s">
        <v>381</v>
      </c>
      <c r="C239" t="s">
        <v>549</v>
      </c>
      <c r="D239" s="146">
        <v>1740000</v>
      </c>
      <c r="E239" t="s">
        <v>438</v>
      </c>
      <c r="F239" s="20" t="s">
        <v>439</v>
      </c>
      <c r="G239" s="8" t="str">
        <f t="shared" si="3"/>
        <v>STORY SAMANTHA</v>
      </c>
    </row>
    <row r="240" spans="1:7" x14ac:dyDescent="0.25">
      <c r="A240" s="8">
        <v>42824.952175925922</v>
      </c>
      <c r="B240" t="s">
        <v>480</v>
      </c>
      <c r="C240" t="s">
        <v>552</v>
      </c>
      <c r="D240" s="146">
        <v>1800000</v>
      </c>
      <c r="E240" t="s">
        <v>431</v>
      </c>
      <c r="F240" s="20" t="s">
        <v>432</v>
      </c>
      <c r="G240" s="8" t="str">
        <f t="shared" si="3"/>
        <v>CHANDLER KELVIN</v>
      </c>
    </row>
    <row r="241" spans="1:7" x14ac:dyDescent="0.25">
      <c r="A241" s="8">
        <v>42824.953738425924</v>
      </c>
      <c r="B241" t="s">
        <v>462</v>
      </c>
      <c r="C241" t="s">
        <v>553</v>
      </c>
      <c r="D241" s="146">
        <v>2270000</v>
      </c>
      <c r="E241" t="s">
        <v>209</v>
      </c>
      <c r="F241" s="20" t="s">
        <v>210</v>
      </c>
      <c r="G241" s="8" t="str">
        <f t="shared" si="3"/>
        <v>BROWN JACOB</v>
      </c>
    </row>
    <row r="242" spans="1:7" x14ac:dyDescent="0.25">
      <c r="A242" s="8">
        <v>42824.9608912037</v>
      </c>
      <c r="B242" t="s">
        <v>379</v>
      </c>
      <c r="C242" t="s">
        <v>536</v>
      </c>
      <c r="D242" s="146">
        <v>2560000</v>
      </c>
      <c r="E242" t="s">
        <v>400</v>
      </c>
      <c r="F242" s="20" t="s">
        <v>401</v>
      </c>
      <c r="G242" s="8" t="str">
        <f t="shared" si="3"/>
        <v>MACDONALD THOMAS</v>
      </c>
    </row>
    <row r="243" spans="1:7" x14ac:dyDescent="0.25">
      <c r="A243" s="8">
        <v>42824.961458333331</v>
      </c>
      <c r="B243" t="s">
        <v>379</v>
      </c>
      <c r="C243" t="s">
        <v>536</v>
      </c>
      <c r="D243" s="146">
        <v>2560000</v>
      </c>
      <c r="E243" t="s">
        <v>400</v>
      </c>
      <c r="F243" s="20" t="s">
        <v>401</v>
      </c>
      <c r="G243" s="8" t="str">
        <f t="shared" si="3"/>
        <v>MACDONALD THOMAS</v>
      </c>
    </row>
    <row r="244" spans="1:7" x14ac:dyDescent="0.25">
      <c r="A244" s="8">
        <v>42824.962395833332</v>
      </c>
      <c r="B244" t="s">
        <v>379</v>
      </c>
      <c r="C244" t="s">
        <v>536</v>
      </c>
      <c r="D244" s="146">
        <v>2560000</v>
      </c>
      <c r="E244" t="s">
        <v>400</v>
      </c>
      <c r="F244" s="20" t="s">
        <v>401</v>
      </c>
      <c r="G244" s="8" t="str">
        <f t="shared" si="3"/>
        <v>MACDONALD THOMAS</v>
      </c>
    </row>
    <row r="245" spans="1:7" x14ac:dyDescent="0.25">
      <c r="A245" s="8">
        <v>42824.966979166667</v>
      </c>
      <c r="B245" t="s">
        <v>394</v>
      </c>
      <c r="C245" t="s">
        <v>554</v>
      </c>
      <c r="D245" s="146">
        <v>2150000</v>
      </c>
      <c r="E245" t="s">
        <v>375</v>
      </c>
      <c r="F245" s="20" t="s">
        <v>376</v>
      </c>
      <c r="G245" s="8" t="str">
        <f t="shared" si="3"/>
        <v>SWANSON BRYCE</v>
      </c>
    </row>
    <row r="246" spans="1:7" x14ac:dyDescent="0.25">
      <c r="A246" s="8">
        <v>42824.975300925929</v>
      </c>
      <c r="B246" t="s">
        <v>471</v>
      </c>
      <c r="C246" t="s">
        <v>555</v>
      </c>
      <c r="D246" s="146">
        <v>1810000</v>
      </c>
      <c r="E246" t="s">
        <v>433</v>
      </c>
      <c r="F246" s="20" t="s">
        <v>195</v>
      </c>
      <c r="G246" s="8" t="str">
        <f t="shared" si="3"/>
        <v>NEWELL JAMES</v>
      </c>
    </row>
    <row r="247" spans="1:7" x14ac:dyDescent="0.25">
      <c r="A247" s="8">
        <v>42824.994791666664</v>
      </c>
      <c r="B247" t="s">
        <v>479</v>
      </c>
      <c r="C247" t="s">
        <v>556</v>
      </c>
      <c r="D247" s="146">
        <v>1800000</v>
      </c>
      <c r="E247" t="s">
        <v>431</v>
      </c>
      <c r="F247" s="20" t="s">
        <v>432</v>
      </c>
      <c r="G247" s="8" t="str">
        <f t="shared" si="3"/>
        <v>CHANDLER KELVIN</v>
      </c>
    </row>
    <row r="248" spans="1:7" x14ac:dyDescent="0.25">
      <c r="A248" s="8">
        <v>42824.995104166665</v>
      </c>
      <c r="B248" t="s">
        <v>498</v>
      </c>
      <c r="C248" t="s">
        <v>557</v>
      </c>
      <c r="D248" s="146">
        <v>2270000</v>
      </c>
      <c r="E248" t="s">
        <v>209</v>
      </c>
      <c r="F248" s="20" t="s">
        <v>210</v>
      </c>
      <c r="G248" s="8" t="str">
        <f t="shared" si="3"/>
        <v>BROWN JACOB</v>
      </c>
    </row>
    <row r="249" spans="1:7" x14ac:dyDescent="0.25">
      <c r="A249" s="8">
        <v>42824.995648148149</v>
      </c>
      <c r="B249" t="s">
        <v>378</v>
      </c>
      <c r="C249" t="s">
        <v>536</v>
      </c>
      <c r="D249" s="146">
        <v>2560000</v>
      </c>
      <c r="E249" t="s">
        <v>400</v>
      </c>
      <c r="F249" s="20" t="s">
        <v>401</v>
      </c>
      <c r="G249" s="8" t="str">
        <f t="shared" si="3"/>
        <v>MACDONALD THOMAS</v>
      </c>
    </row>
    <row r="250" spans="1:7" x14ac:dyDescent="0.25">
      <c r="A250" s="8">
        <v>42824.997534722221</v>
      </c>
      <c r="B250" t="s">
        <v>378</v>
      </c>
      <c r="C250" t="s">
        <v>536</v>
      </c>
      <c r="D250" s="146">
        <v>2560000</v>
      </c>
      <c r="E250" t="s">
        <v>400</v>
      </c>
      <c r="F250" s="20" t="s">
        <v>401</v>
      </c>
      <c r="G250" s="8" t="str">
        <f t="shared" si="3"/>
        <v>MACDONALD THOMAS</v>
      </c>
    </row>
    <row r="251" spans="1:7" x14ac:dyDescent="0.25">
      <c r="A251" s="8">
        <v>42825.001504629632</v>
      </c>
      <c r="B251" t="s">
        <v>378</v>
      </c>
      <c r="C251" t="s">
        <v>536</v>
      </c>
      <c r="D251" s="146">
        <v>2560000</v>
      </c>
      <c r="E251" t="s">
        <v>400</v>
      </c>
      <c r="F251" s="20" t="s">
        <v>401</v>
      </c>
      <c r="G251" s="8" t="str">
        <f t="shared" si="3"/>
        <v>MACDONALD THOMAS</v>
      </c>
    </row>
    <row r="252" spans="1:7" x14ac:dyDescent="0.25">
      <c r="A252" s="8">
        <v>42825.007511574076</v>
      </c>
      <c r="B252" t="s">
        <v>378</v>
      </c>
      <c r="C252" t="s">
        <v>536</v>
      </c>
      <c r="D252" s="146">
        <v>2560000</v>
      </c>
      <c r="E252" t="s">
        <v>400</v>
      </c>
      <c r="F252" s="20" t="s">
        <v>401</v>
      </c>
      <c r="G252" s="8" t="str">
        <f t="shared" si="3"/>
        <v>MACDONALD THOMAS</v>
      </c>
    </row>
    <row r="253" spans="1:7" x14ac:dyDescent="0.25">
      <c r="A253" s="8">
        <v>42825.015648148146</v>
      </c>
      <c r="B253" t="s">
        <v>524</v>
      </c>
      <c r="C253" t="s">
        <v>558</v>
      </c>
      <c r="D253" s="146">
        <v>1810000</v>
      </c>
      <c r="E253" t="s">
        <v>433</v>
      </c>
      <c r="F253" s="20" t="s">
        <v>195</v>
      </c>
      <c r="G253" s="8" t="str">
        <f t="shared" si="3"/>
        <v>NEWELL JAMES</v>
      </c>
    </row>
    <row r="254" spans="1:7" x14ac:dyDescent="0.25">
      <c r="A254" s="8">
        <v>42825.017187500001</v>
      </c>
      <c r="B254" t="s">
        <v>391</v>
      </c>
      <c r="C254" t="s">
        <v>559</v>
      </c>
      <c r="D254" s="146">
        <v>2150000</v>
      </c>
      <c r="E254" t="s">
        <v>375</v>
      </c>
      <c r="F254" s="20" t="s">
        <v>376</v>
      </c>
      <c r="G254" s="8" t="str">
        <f t="shared" si="3"/>
        <v>SWANSON BRYCE</v>
      </c>
    </row>
    <row r="255" spans="1:7" x14ac:dyDescent="0.25">
      <c r="A255" s="8">
        <v>42825.028298611112</v>
      </c>
      <c r="B255" t="s">
        <v>379</v>
      </c>
      <c r="C255" t="s">
        <v>536</v>
      </c>
      <c r="D255" s="146">
        <v>2560000</v>
      </c>
      <c r="E255" t="s">
        <v>400</v>
      </c>
      <c r="F255" s="20" t="s">
        <v>401</v>
      </c>
      <c r="G255" s="8" t="str">
        <f t="shared" si="3"/>
        <v>MACDONALD THOMAS</v>
      </c>
    </row>
    <row r="256" spans="1:7" x14ac:dyDescent="0.25">
      <c r="A256" s="8">
        <v>42825.032766203702</v>
      </c>
      <c r="B256" t="s">
        <v>480</v>
      </c>
      <c r="C256" t="s">
        <v>560</v>
      </c>
      <c r="D256" s="146">
        <v>1800000</v>
      </c>
      <c r="E256" t="s">
        <v>431</v>
      </c>
      <c r="F256" s="20" t="s">
        <v>432</v>
      </c>
      <c r="G256" s="8" t="str">
        <f t="shared" si="3"/>
        <v>CHANDLER KELVIN</v>
      </c>
    </row>
    <row r="257" spans="1:7" x14ac:dyDescent="0.25">
      <c r="A257" s="8">
        <v>42825.033368055556</v>
      </c>
      <c r="B257" t="s">
        <v>462</v>
      </c>
      <c r="C257" t="s">
        <v>561</v>
      </c>
      <c r="D257" s="146">
        <v>2270000</v>
      </c>
      <c r="E257" t="s">
        <v>209</v>
      </c>
      <c r="F257" s="20" t="s">
        <v>210</v>
      </c>
      <c r="G257" s="8" t="str">
        <f t="shared" si="3"/>
        <v>BROWN JACOB</v>
      </c>
    </row>
    <row r="258" spans="1:7" x14ac:dyDescent="0.25">
      <c r="A258" s="8">
        <v>42825.049120370371</v>
      </c>
      <c r="B258" t="s">
        <v>471</v>
      </c>
      <c r="C258" t="s">
        <v>562</v>
      </c>
      <c r="D258" s="146">
        <v>1810000</v>
      </c>
      <c r="E258" t="s">
        <v>433</v>
      </c>
      <c r="F258" s="20" t="s">
        <v>195</v>
      </c>
      <c r="G258" s="8" t="str">
        <f t="shared" si="3"/>
        <v>NEWELL JAMES</v>
      </c>
    </row>
    <row r="259" spans="1:7" x14ac:dyDescent="0.25">
      <c r="A259" s="8">
        <v>42825.054895833331</v>
      </c>
      <c r="B259" t="s">
        <v>378</v>
      </c>
      <c r="C259" t="s">
        <v>536</v>
      </c>
      <c r="D259" s="146">
        <v>2560000</v>
      </c>
      <c r="E259" t="s">
        <v>400</v>
      </c>
      <c r="F259" s="20" t="s">
        <v>401</v>
      </c>
      <c r="G259" s="8" t="str">
        <f t="shared" ref="G259:G322" si="4">E259&amp;" "&amp;F259</f>
        <v>MACDONALD THOMAS</v>
      </c>
    </row>
    <row r="260" spans="1:7" x14ac:dyDescent="0.25">
      <c r="A260" s="8">
        <v>42825.058240740742</v>
      </c>
      <c r="B260" t="s">
        <v>394</v>
      </c>
      <c r="C260" t="s">
        <v>563</v>
      </c>
      <c r="D260" s="146">
        <v>2150000</v>
      </c>
      <c r="E260" t="s">
        <v>375</v>
      </c>
      <c r="F260" s="20" t="s">
        <v>376</v>
      </c>
      <c r="G260" s="8" t="str">
        <f t="shared" si="4"/>
        <v>SWANSON BRYCE</v>
      </c>
    </row>
    <row r="261" spans="1:7" x14ac:dyDescent="0.25">
      <c r="A261" s="8">
        <v>42825.073310185187</v>
      </c>
      <c r="B261" t="s">
        <v>498</v>
      </c>
      <c r="C261" t="s">
        <v>564</v>
      </c>
      <c r="D261" s="146">
        <v>2270000</v>
      </c>
      <c r="E261" t="s">
        <v>209</v>
      </c>
      <c r="F261" s="20" t="s">
        <v>210</v>
      </c>
      <c r="G261" s="8" t="str">
        <f t="shared" si="4"/>
        <v>BROWN JACOB</v>
      </c>
    </row>
    <row r="262" spans="1:7" x14ac:dyDescent="0.25">
      <c r="A262" s="8">
        <v>42825.09306712963</v>
      </c>
      <c r="B262" t="s">
        <v>391</v>
      </c>
      <c r="C262" t="s">
        <v>565</v>
      </c>
      <c r="D262" s="146">
        <v>2150000</v>
      </c>
      <c r="E262" t="s">
        <v>375</v>
      </c>
      <c r="F262" s="20" t="s">
        <v>376</v>
      </c>
      <c r="G262" s="8" t="str">
        <f t="shared" si="4"/>
        <v>SWANSON BRYCE</v>
      </c>
    </row>
    <row r="263" spans="1:7" x14ac:dyDescent="0.25">
      <c r="A263" s="8">
        <v>42812.901053240741</v>
      </c>
      <c r="B263" t="s">
        <v>201</v>
      </c>
      <c r="C263" t="s">
        <v>403</v>
      </c>
      <c r="D263" s="146">
        <v>2230000</v>
      </c>
      <c r="E263" t="s">
        <v>389</v>
      </c>
      <c r="F263" s="20" t="s">
        <v>198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379</v>
      </c>
      <c r="C264" t="s">
        <v>404</v>
      </c>
      <c r="D264" s="146">
        <v>2270000</v>
      </c>
      <c r="E264" t="s">
        <v>209</v>
      </c>
      <c r="F264" s="20" t="s">
        <v>210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388</v>
      </c>
      <c r="C265" t="s">
        <v>405</v>
      </c>
      <c r="D265" s="146">
        <v>1540000</v>
      </c>
      <c r="E265" t="s">
        <v>384</v>
      </c>
      <c r="F265" s="20" t="s">
        <v>385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393</v>
      </c>
      <c r="C266" t="s">
        <v>402</v>
      </c>
      <c r="D266" s="146">
        <v>2560000</v>
      </c>
      <c r="E266" t="s">
        <v>400</v>
      </c>
      <c r="F266" s="20" t="s">
        <v>401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394</v>
      </c>
      <c r="C267" t="s">
        <v>406</v>
      </c>
      <c r="D267" s="146">
        <v>2150000</v>
      </c>
      <c r="E267" t="s">
        <v>375</v>
      </c>
      <c r="F267" s="20" t="s">
        <v>376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382</v>
      </c>
      <c r="C268" t="s">
        <v>407</v>
      </c>
      <c r="D268" s="146">
        <v>2000000</v>
      </c>
      <c r="E268" t="s">
        <v>380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387</v>
      </c>
      <c r="C269" t="s">
        <v>408</v>
      </c>
      <c r="D269" s="146">
        <v>1540000</v>
      </c>
      <c r="E269" t="s">
        <v>384</v>
      </c>
      <c r="F269" s="20" t="s">
        <v>385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388</v>
      </c>
      <c r="C270" t="s">
        <v>409</v>
      </c>
      <c r="D270" s="146">
        <v>2630000</v>
      </c>
      <c r="E270" t="s">
        <v>395</v>
      </c>
      <c r="F270" s="20" t="s">
        <v>396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382</v>
      </c>
      <c r="C271" t="s">
        <v>407</v>
      </c>
      <c r="D271" s="146">
        <v>2000000</v>
      </c>
      <c r="E271" t="s">
        <v>380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403</v>
      </c>
      <c r="D272" s="146">
        <v>2230000</v>
      </c>
      <c r="E272" t="s">
        <v>389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378</v>
      </c>
      <c r="C273" t="s">
        <v>398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387</v>
      </c>
      <c r="C274" t="s">
        <v>410</v>
      </c>
      <c r="D274" s="146">
        <v>2630000</v>
      </c>
      <c r="E274" t="s">
        <v>395</v>
      </c>
      <c r="F274" s="20" t="s">
        <v>396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378</v>
      </c>
      <c r="C275" t="s">
        <v>398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378</v>
      </c>
      <c r="C276" t="s">
        <v>398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397</v>
      </c>
      <c r="C277" t="s">
        <v>411</v>
      </c>
      <c r="D277" s="146">
        <v>2230000</v>
      </c>
      <c r="E277" t="s">
        <v>389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397</v>
      </c>
      <c r="C278" t="s">
        <v>412</v>
      </c>
      <c r="D278" s="146">
        <v>2230000</v>
      </c>
      <c r="E278" t="s">
        <v>389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391</v>
      </c>
      <c r="C279" t="s">
        <v>399</v>
      </c>
      <c r="D279" s="146">
        <v>2150000</v>
      </c>
      <c r="E279" t="s">
        <v>375</v>
      </c>
      <c r="F279" s="20" t="s">
        <v>376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391</v>
      </c>
      <c r="C280" t="s">
        <v>399</v>
      </c>
      <c r="D280" s="146">
        <v>2150000</v>
      </c>
      <c r="E280" t="s">
        <v>375</v>
      </c>
      <c r="F280" s="20" t="s">
        <v>376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397</v>
      </c>
      <c r="C281" t="s">
        <v>412</v>
      </c>
      <c r="D281" s="146">
        <v>2230000</v>
      </c>
      <c r="E281" t="s">
        <v>389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381</v>
      </c>
      <c r="C282" t="s">
        <v>413</v>
      </c>
      <c r="D282" s="146">
        <v>2000000</v>
      </c>
      <c r="E282" t="s">
        <v>380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397</v>
      </c>
      <c r="C283" t="s">
        <v>412</v>
      </c>
      <c r="D283" s="146">
        <v>2230000</v>
      </c>
      <c r="E283" t="s">
        <v>389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392</v>
      </c>
      <c r="C284" t="s">
        <v>414</v>
      </c>
      <c r="D284" s="146">
        <v>2560000</v>
      </c>
      <c r="E284" t="s">
        <v>400</v>
      </c>
      <c r="F284" s="20" t="s">
        <v>401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397</v>
      </c>
      <c r="C285" t="s">
        <v>412</v>
      </c>
      <c r="D285" s="146">
        <v>2230000</v>
      </c>
      <c r="E285" t="s">
        <v>389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379</v>
      </c>
      <c r="C286" t="s">
        <v>415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416</v>
      </c>
      <c r="D287" s="146">
        <v>2230000</v>
      </c>
      <c r="E287" t="s">
        <v>389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382</v>
      </c>
      <c r="C288" t="s">
        <v>417</v>
      </c>
      <c r="D288" s="146">
        <v>2000000</v>
      </c>
      <c r="E288" t="s">
        <v>380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394</v>
      </c>
      <c r="C289" t="s">
        <v>418</v>
      </c>
      <c r="D289" s="146">
        <v>2150000</v>
      </c>
      <c r="E289" t="s">
        <v>375</v>
      </c>
      <c r="F289" s="20" t="s">
        <v>376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394</v>
      </c>
      <c r="C290" t="s">
        <v>418</v>
      </c>
      <c r="D290" s="146">
        <v>2150000</v>
      </c>
      <c r="E290" t="s">
        <v>375</v>
      </c>
      <c r="F290" s="20" t="s">
        <v>376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394</v>
      </c>
      <c r="C291" t="s">
        <v>418</v>
      </c>
      <c r="D291" s="146">
        <v>2150000</v>
      </c>
      <c r="E291" t="s">
        <v>375</v>
      </c>
      <c r="F291" s="20" t="s">
        <v>376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397</v>
      </c>
      <c r="C292" t="s">
        <v>419</v>
      </c>
      <c r="D292" s="146">
        <v>2230000</v>
      </c>
      <c r="E292" t="s">
        <v>389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378</v>
      </c>
      <c r="C293" t="s">
        <v>420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378</v>
      </c>
      <c r="C294" t="s">
        <v>420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378</v>
      </c>
      <c r="C295" t="s">
        <v>420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388</v>
      </c>
      <c r="C296" t="s">
        <v>421</v>
      </c>
      <c r="D296" s="146">
        <v>2150000</v>
      </c>
      <c r="E296" t="s">
        <v>375</v>
      </c>
      <c r="F296" s="20" t="s">
        <v>376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379</v>
      </c>
      <c r="C297" t="s">
        <v>422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455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37.22</v>
      </c>
      <c r="B2" s="164">
        <v>0.82</v>
      </c>
      <c r="C2" s="164">
        <v>33.049999999999997</v>
      </c>
      <c r="D2" s="8">
        <v>42827</v>
      </c>
      <c r="E2" s="164">
        <v>0.85</v>
      </c>
      <c r="F2" s="164" t="s">
        <v>566</v>
      </c>
      <c r="G2" s="164">
        <v>366.37</v>
      </c>
      <c r="H2" s="164">
        <v>8.0000000000000004E-4</v>
      </c>
      <c r="I2" s="164">
        <v>0.01</v>
      </c>
      <c r="J2" s="164" t="s">
        <v>456</v>
      </c>
      <c r="K2" s="164">
        <v>1016.48</v>
      </c>
      <c r="L2" s="164" t="s">
        <v>434</v>
      </c>
      <c r="M2" s="164">
        <v>37.22</v>
      </c>
      <c r="N2" s="164">
        <v>1491112800</v>
      </c>
      <c r="O2" s="164">
        <v>8.7799999999999994</v>
      </c>
      <c r="P2" s="164">
        <v>231</v>
      </c>
      <c r="Q2" s="164">
        <v>1.4</v>
      </c>
      <c r="R2"/>
    </row>
    <row r="3" spans="1:18" x14ac:dyDescent="0.25">
      <c r="A3" s="164">
        <v>36.47</v>
      </c>
      <c r="B3" s="164">
        <v>0.72</v>
      </c>
      <c r="C3" s="164">
        <v>32.549999999999997</v>
      </c>
      <c r="D3" s="8">
        <v>42827.041666666664</v>
      </c>
      <c r="E3" s="164">
        <v>0.86</v>
      </c>
      <c r="F3" s="164" t="s">
        <v>566</v>
      </c>
      <c r="G3" s="164">
        <v>365.92</v>
      </c>
      <c r="H3" s="164">
        <v>0</v>
      </c>
      <c r="I3" s="164">
        <v>0</v>
      </c>
      <c r="J3" s="164"/>
      <c r="K3" s="164">
        <v>1015.87</v>
      </c>
      <c r="L3" s="164" t="s">
        <v>434</v>
      </c>
      <c r="M3" s="164">
        <v>36.47</v>
      </c>
      <c r="N3" s="164">
        <v>1491116400</v>
      </c>
      <c r="O3" s="164">
        <v>3.85</v>
      </c>
      <c r="P3" s="164">
        <v>184</v>
      </c>
      <c r="Q3" s="164">
        <v>1.1299999999999999</v>
      </c>
      <c r="R3"/>
    </row>
    <row r="4" spans="1:18" x14ac:dyDescent="0.25">
      <c r="A4" s="164">
        <v>35.06</v>
      </c>
      <c r="B4" s="164">
        <v>0.64</v>
      </c>
      <c r="C4" s="164">
        <v>31.67</v>
      </c>
      <c r="D4" s="8">
        <v>42827.083333333336</v>
      </c>
      <c r="E4" s="164">
        <v>0.87</v>
      </c>
      <c r="F4" s="164" t="s">
        <v>566</v>
      </c>
      <c r="G4" s="164">
        <v>365.47</v>
      </c>
      <c r="H4" s="164">
        <v>0</v>
      </c>
      <c r="I4" s="164">
        <v>0</v>
      </c>
      <c r="J4" s="164"/>
      <c r="K4" s="164">
        <v>1015.28</v>
      </c>
      <c r="L4" s="164" t="s">
        <v>434</v>
      </c>
      <c r="M4" s="164">
        <v>35.06</v>
      </c>
      <c r="N4" s="164">
        <v>1491120000</v>
      </c>
      <c r="O4" s="164">
        <v>3.82</v>
      </c>
      <c r="P4" s="164">
        <v>247</v>
      </c>
      <c r="Q4" s="164">
        <v>2.4900000000000002</v>
      </c>
      <c r="R4"/>
    </row>
    <row r="5" spans="1:18" x14ac:dyDescent="0.25">
      <c r="A5" s="164">
        <v>34.67</v>
      </c>
      <c r="B5" s="164">
        <v>0.56000000000000005</v>
      </c>
      <c r="C5" s="164">
        <v>31.32</v>
      </c>
      <c r="D5" s="8">
        <v>42827.125</v>
      </c>
      <c r="E5" s="164">
        <v>0.87</v>
      </c>
      <c r="F5" s="164" t="s">
        <v>566</v>
      </c>
      <c r="G5" s="164">
        <v>365.03</v>
      </c>
      <c r="H5" s="164">
        <v>0</v>
      </c>
      <c r="I5" s="164">
        <v>0</v>
      </c>
      <c r="J5" s="164"/>
      <c r="K5" s="164">
        <v>1014.73</v>
      </c>
      <c r="L5" s="164" t="s">
        <v>349</v>
      </c>
      <c r="M5" s="164">
        <v>34.67</v>
      </c>
      <c r="N5" s="164">
        <v>1491123600</v>
      </c>
      <c r="O5" s="164">
        <v>3.84</v>
      </c>
      <c r="P5" s="164">
        <v>250</v>
      </c>
      <c r="Q5" s="164">
        <v>2.4700000000000002</v>
      </c>
      <c r="R5"/>
    </row>
    <row r="6" spans="1:18" x14ac:dyDescent="0.25">
      <c r="A6" s="164">
        <v>33.92</v>
      </c>
      <c r="B6" s="164">
        <v>0.48</v>
      </c>
      <c r="C6" s="164">
        <v>30.69</v>
      </c>
      <c r="D6" s="8">
        <v>42827.166666666664</v>
      </c>
      <c r="E6" s="164">
        <v>0.88</v>
      </c>
      <c r="F6" s="164" t="s">
        <v>566</v>
      </c>
      <c r="G6" s="164">
        <v>361.46</v>
      </c>
      <c r="H6" s="164">
        <v>0</v>
      </c>
      <c r="I6" s="164">
        <v>0</v>
      </c>
      <c r="J6" s="164"/>
      <c r="K6" s="164">
        <v>1014.29</v>
      </c>
      <c r="L6" s="164" t="s">
        <v>349</v>
      </c>
      <c r="M6" s="164">
        <v>33.92</v>
      </c>
      <c r="N6" s="164">
        <v>1491127200</v>
      </c>
      <c r="O6" s="164">
        <v>3.84</v>
      </c>
      <c r="P6" s="164">
        <v>248</v>
      </c>
      <c r="Q6" s="164">
        <v>1.86</v>
      </c>
      <c r="R6"/>
    </row>
    <row r="7" spans="1:18" x14ac:dyDescent="0.25">
      <c r="A7" s="164">
        <v>29.84</v>
      </c>
      <c r="B7" s="164">
        <v>0.38</v>
      </c>
      <c r="C7" s="164">
        <v>29.65</v>
      </c>
      <c r="D7" s="8">
        <v>42827.208333333336</v>
      </c>
      <c r="E7" s="164">
        <v>0.89</v>
      </c>
      <c r="F7" s="164" t="s">
        <v>566</v>
      </c>
      <c r="G7" s="164">
        <v>356.59</v>
      </c>
      <c r="H7" s="164">
        <v>0</v>
      </c>
      <c r="I7" s="164">
        <v>0</v>
      </c>
      <c r="J7" s="164"/>
      <c r="K7" s="164">
        <v>1013.86</v>
      </c>
      <c r="L7" s="164" t="s">
        <v>349</v>
      </c>
      <c r="M7" s="164">
        <v>32.53</v>
      </c>
      <c r="N7" s="164">
        <v>1491130800</v>
      </c>
      <c r="O7" s="164">
        <v>8.65</v>
      </c>
      <c r="P7" s="164">
        <v>248</v>
      </c>
      <c r="Q7" s="164">
        <v>3.05</v>
      </c>
      <c r="R7"/>
    </row>
    <row r="8" spans="1:18" x14ac:dyDescent="0.25">
      <c r="A8" s="164">
        <v>32.520000000000003</v>
      </c>
      <c r="B8" s="164">
        <v>0.28000000000000003</v>
      </c>
      <c r="C8" s="164">
        <v>29.64</v>
      </c>
      <c r="D8" s="8">
        <v>42827.25</v>
      </c>
      <c r="E8" s="164">
        <v>0.89</v>
      </c>
      <c r="F8" s="164" t="s">
        <v>566</v>
      </c>
      <c r="G8" s="164">
        <v>352</v>
      </c>
      <c r="H8" s="164">
        <v>0</v>
      </c>
      <c r="I8" s="164">
        <v>0</v>
      </c>
      <c r="J8" s="164"/>
      <c r="K8" s="164">
        <v>1013.3</v>
      </c>
      <c r="L8" s="164" t="s">
        <v>349</v>
      </c>
      <c r="M8" s="164">
        <v>32.520000000000003</v>
      </c>
      <c r="N8" s="164">
        <v>1491134400</v>
      </c>
      <c r="O8" s="164">
        <v>4.96</v>
      </c>
      <c r="P8" s="164">
        <v>219</v>
      </c>
      <c r="Q8" s="164">
        <v>2.78</v>
      </c>
      <c r="R8"/>
    </row>
    <row r="9" spans="1:18" x14ac:dyDescent="0.25">
      <c r="A9" s="164">
        <v>33</v>
      </c>
      <c r="B9" s="164">
        <v>0.27</v>
      </c>
      <c r="C9" s="164">
        <v>29.65</v>
      </c>
      <c r="D9" s="8">
        <v>42827.291666666664</v>
      </c>
      <c r="E9" s="164">
        <v>0.87</v>
      </c>
      <c r="F9" s="164" t="s">
        <v>350</v>
      </c>
      <c r="G9" s="164">
        <v>348.45</v>
      </c>
      <c r="H9" s="164">
        <v>0</v>
      </c>
      <c r="I9" s="164">
        <v>0</v>
      </c>
      <c r="J9" s="164"/>
      <c r="K9" s="164">
        <v>1012.47</v>
      </c>
      <c r="L9" s="164" t="s">
        <v>349</v>
      </c>
      <c r="M9" s="164">
        <v>33</v>
      </c>
      <c r="N9" s="164">
        <v>1491138000</v>
      </c>
      <c r="O9" s="164">
        <v>5.26</v>
      </c>
      <c r="P9" s="164">
        <v>228</v>
      </c>
      <c r="Q9" s="164">
        <v>2</v>
      </c>
      <c r="R9"/>
    </row>
    <row r="10" spans="1:18" x14ac:dyDescent="0.25">
      <c r="A10" s="164">
        <v>35.53</v>
      </c>
      <c r="B10" s="164">
        <v>0.27</v>
      </c>
      <c r="C10" s="164">
        <v>31.36</v>
      </c>
      <c r="D10" s="8">
        <v>42827.333333333336</v>
      </c>
      <c r="E10" s="164">
        <v>0.85</v>
      </c>
      <c r="F10" s="164" t="s">
        <v>350</v>
      </c>
      <c r="G10" s="164">
        <v>345.16</v>
      </c>
      <c r="H10" s="164">
        <v>0</v>
      </c>
      <c r="I10" s="164">
        <v>0</v>
      </c>
      <c r="J10" s="164"/>
      <c r="K10" s="164">
        <v>1011.55</v>
      </c>
      <c r="L10" s="164" t="s">
        <v>349</v>
      </c>
      <c r="M10" s="164">
        <v>35.53</v>
      </c>
      <c r="N10" s="164">
        <v>1491141600</v>
      </c>
      <c r="O10" s="164">
        <v>4.68</v>
      </c>
      <c r="P10" s="164">
        <v>237</v>
      </c>
      <c r="Q10" s="164">
        <v>2.56</v>
      </c>
      <c r="R10"/>
    </row>
    <row r="11" spans="1:18" x14ac:dyDescent="0.25">
      <c r="A11" s="164">
        <v>41.59</v>
      </c>
      <c r="B11" s="164">
        <v>0.21</v>
      </c>
      <c r="C11" s="164">
        <v>34.4</v>
      </c>
      <c r="D11" s="8">
        <v>42827.375</v>
      </c>
      <c r="E11" s="164">
        <v>0.75</v>
      </c>
      <c r="F11" s="164" t="s">
        <v>831</v>
      </c>
      <c r="G11" s="164">
        <v>341.41</v>
      </c>
      <c r="H11" s="164">
        <v>0</v>
      </c>
      <c r="I11" s="164">
        <v>0</v>
      </c>
      <c r="J11" s="164"/>
      <c r="K11" s="164">
        <v>1010.69</v>
      </c>
      <c r="L11" s="164" t="s">
        <v>832</v>
      </c>
      <c r="M11" s="164">
        <v>41.59</v>
      </c>
      <c r="N11" s="164">
        <v>1491145200</v>
      </c>
      <c r="O11" s="164">
        <v>4.7699999999999996</v>
      </c>
      <c r="P11" s="164">
        <v>219</v>
      </c>
      <c r="Q11" s="164">
        <v>2.11</v>
      </c>
      <c r="R11"/>
    </row>
    <row r="12" spans="1:18" x14ac:dyDescent="0.25">
      <c r="A12" s="164">
        <v>46.65</v>
      </c>
      <c r="B12" s="164">
        <v>0.18</v>
      </c>
      <c r="C12" s="164">
        <v>36.28</v>
      </c>
      <c r="D12" s="8">
        <v>42827.416666666664</v>
      </c>
      <c r="E12" s="164">
        <v>0.67</v>
      </c>
      <c r="F12" s="164" t="s">
        <v>831</v>
      </c>
      <c r="G12" s="164">
        <v>336.56</v>
      </c>
      <c r="H12" s="164">
        <v>0</v>
      </c>
      <c r="I12" s="164">
        <v>0</v>
      </c>
      <c r="J12" s="164"/>
      <c r="K12" s="164">
        <v>1009.83</v>
      </c>
      <c r="L12" s="164" t="s">
        <v>832</v>
      </c>
      <c r="M12" s="164">
        <v>46.65</v>
      </c>
      <c r="N12" s="164">
        <v>1491148800</v>
      </c>
      <c r="O12" s="164">
        <v>5.27</v>
      </c>
      <c r="P12" s="164">
        <v>215</v>
      </c>
      <c r="Q12" s="164">
        <v>2.94</v>
      </c>
      <c r="R12"/>
    </row>
    <row r="13" spans="1:18" x14ac:dyDescent="0.25">
      <c r="A13" s="164">
        <v>50.82</v>
      </c>
      <c r="B13" s="164">
        <v>0.18</v>
      </c>
      <c r="C13" s="164">
        <v>33.39</v>
      </c>
      <c r="D13" s="8">
        <v>42827.458333333336</v>
      </c>
      <c r="E13" s="164">
        <v>0.51</v>
      </c>
      <c r="F13" s="164" t="s">
        <v>831</v>
      </c>
      <c r="G13" s="164">
        <v>331.24</v>
      </c>
      <c r="H13" s="164">
        <v>0</v>
      </c>
      <c r="I13" s="164">
        <v>0</v>
      </c>
      <c r="J13" s="164"/>
      <c r="K13" s="164">
        <v>1009.13</v>
      </c>
      <c r="L13" s="164" t="s">
        <v>832</v>
      </c>
      <c r="M13" s="164">
        <v>50.82</v>
      </c>
      <c r="N13" s="164">
        <v>1491152400</v>
      </c>
      <c r="O13" s="164">
        <v>5.26</v>
      </c>
      <c r="P13" s="164">
        <v>205</v>
      </c>
      <c r="Q13" s="164">
        <v>2.63</v>
      </c>
      <c r="R13"/>
    </row>
    <row r="14" spans="1:18" x14ac:dyDescent="0.25">
      <c r="A14" s="164">
        <v>57.98</v>
      </c>
      <c r="B14" s="164">
        <v>0.2</v>
      </c>
      <c r="C14" s="164">
        <v>34.29</v>
      </c>
      <c r="D14" s="8">
        <v>42827.5</v>
      </c>
      <c r="E14" s="164">
        <v>0.41</v>
      </c>
      <c r="F14" s="164" t="s">
        <v>831</v>
      </c>
      <c r="G14" s="164">
        <v>326.62</v>
      </c>
      <c r="H14" s="164">
        <v>0</v>
      </c>
      <c r="I14" s="164">
        <v>0</v>
      </c>
      <c r="J14" s="164"/>
      <c r="K14" s="164">
        <v>1008.43</v>
      </c>
      <c r="L14" s="164" t="s">
        <v>832</v>
      </c>
      <c r="M14" s="164">
        <v>57.98</v>
      </c>
      <c r="N14" s="164">
        <v>1491156000</v>
      </c>
      <c r="O14" s="164">
        <v>5.27</v>
      </c>
      <c r="P14" s="164">
        <v>235</v>
      </c>
      <c r="Q14" s="164">
        <v>1.59</v>
      </c>
      <c r="R14"/>
    </row>
    <row r="15" spans="1:18" x14ac:dyDescent="0.25">
      <c r="A15" s="164">
        <v>59.94</v>
      </c>
      <c r="B15" s="164">
        <v>0.32</v>
      </c>
      <c r="C15" s="164">
        <v>33.5</v>
      </c>
      <c r="D15" s="8">
        <v>42827.541666666664</v>
      </c>
      <c r="E15" s="164">
        <v>0.37</v>
      </c>
      <c r="F15" s="164" t="s">
        <v>350</v>
      </c>
      <c r="G15" s="164">
        <v>323.13</v>
      </c>
      <c r="H15" s="164">
        <v>0</v>
      </c>
      <c r="I15" s="164">
        <v>0</v>
      </c>
      <c r="J15" s="164"/>
      <c r="K15" s="164">
        <v>1007.63</v>
      </c>
      <c r="L15" s="164" t="s">
        <v>349</v>
      </c>
      <c r="M15" s="164">
        <v>59.94</v>
      </c>
      <c r="N15" s="164">
        <v>1491159600</v>
      </c>
      <c r="O15" s="164">
        <v>10</v>
      </c>
      <c r="P15" s="164">
        <v>72</v>
      </c>
      <c r="Q15" s="164">
        <v>1.74</v>
      </c>
      <c r="R15"/>
    </row>
    <row r="16" spans="1:18" x14ac:dyDescent="0.25">
      <c r="A16" s="164">
        <v>61.86</v>
      </c>
      <c r="B16" s="164">
        <v>0.36</v>
      </c>
      <c r="C16" s="164">
        <v>31.05</v>
      </c>
      <c r="D16" s="8">
        <v>42827.583333333336</v>
      </c>
      <c r="E16" s="164">
        <v>0.31</v>
      </c>
      <c r="F16" s="164" t="s">
        <v>350</v>
      </c>
      <c r="G16" s="164">
        <v>320.33999999999997</v>
      </c>
      <c r="H16" s="164">
        <v>0</v>
      </c>
      <c r="I16" s="164">
        <v>0</v>
      </c>
      <c r="J16" s="164"/>
      <c r="K16" s="164">
        <v>1006.8</v>
      </c>
      <c r="L16" s="164" t="s">
        <v>349</v>
      </c>
      <c r="M16" s="164">
        <v>61.86</v>
      </c>
      <c r="N16" s="164">
        <v>1491163200</v>
      </c>
      <c r="O16" s="164">
        <v>5.27</v>
      </c>
      <c r="P16" s="164">
        <v>16</v>
      </c>
      <c r="Q16" s="164">
        <v>1.94</v>
      </c>
      <c r="R16"/>
    </row>
    <row r="17" spans="1:18" x14ac:dyDescent="0.25">
      <c r="A17" s="164">
        <v>62.29</v>
      </c>
      <c r="B17" s="164">
        <v>0.39</v>
      </c>
      <c r="C17" s="164">
        <v>29.9</v>
      </c>
      <c r="D17" s="8">
        <v>42827.625</v>
      </c>
      <c r="E17" s="164">
        <v>0.28999999999999998</v>
      </c>
      <c r="F17" s="164" t="s">
        <v>350</v>
      </c>
      <c r="G17" s="164">
        <v>318.11</v>
      </c>
      <c r="H17" s="164">
        <v>0</v>
      </c>
      <c r="I17" s="164">
        <v>0</v>
      </c>
      <c r="J17" s="164"/>
      <c r="K17" s="164">
        <v>1006.02</v>
      </c>
      <c r="L17" s="164" t="s">
        <v>349</v>
      </c>
      <c r="M17" s="164">
        <v>62.29</v>
      </c>
      <c r="N17" s="164">
        <v>1491166800</v>
      </c>
      <c r="O17" s="164">
        <v>5.23</v>
      </c>
      <c r="P17" s="164">
        <v>19</v>
      </c>
      <c r="Q17" s="164">
        <v>2.1800000000000002</v>
      </c>
      <c r="R17"/>
    </row>
    <row r="18" spans="1:18" x14ac:dyDescent="0.25">
      <c r="A18" s="164">
        <v>61.03</v>
      </c>
      <c r="B18" s="164">
        <v>0.46</v>
      </c>
      <c r="C18" s="164">
        <v>28.65</v>
      </c>
      <c r="D18" s="8">
        <v>42827.666666666664</v>
      </c>
      <c r="E18" s="164">
        <v>0.28999999999999998</v>
      </c>
      <c r="F18" s="164" t="s">
        <v>350</v>
      </c>
      <c r="G18" s="164">
        <v>316</v>
      </c>
      <c r="H18" s="164">
        <v>0</v>
      </c>
      <c r="I18" s="164">
        <v>0</v>
      </c>
      <c r="J18" s="164"/>
      <c r="K18" s="164">
        <v>1005.23</v>
      </c>
      <c r="L18" s="164" t="s">
        <v>349</v>
      </c>
      <c r="M18" s="164">
        <v>61.03</v>
      </c>
      <c r="N18" s="164">
        <v>1491170400</v>
      </c>
      <c r="O18" s="164">
        <v>5.31</v>
      </c>
      <c r="P18" s="164">
        <v>11</v>
      </c>
      <c r="Q18" s="164">
        <v>3.46</v>
      </c>
      <c r="R18"/>
    </row>
    <row r="19" spans="1:18" x14ac:dyDescent="0.25">
      <c r="A19" s="164">
        <v>60.8</v>
      </c>
      <c r="B19" s="164">
        <v>0.55000000000000004</v>
      </c>
      <c r="C19" s="164">
        <v>28.36</v>
      </c>
      <c r="D19" s="8">
        <v>42827.708333333336</v>
      </c>
      <c r="E19" s="164">
        <v>0.28999999999999998</v>
      </c>
      <c r="F19" s="164" t="s">
        <v>350</v>
      </c>
      <c r="G19" s="164">
        <v>314.45</v>
      </c>
      <c r="H19" s="164">
        <v>0</v>
      </c>
      <c r="I19" s="164">
        <v>0</v>
      </c>
      <c r="J19" s="164"/>
      <c r="K19" s="164">
        <v>1004.52</v>
      </c>
      <c r="L19" s="164" t="s">
        <v>349</v>
      </c>
      <c r="M19" s="164">
        <v>60.8</v>
      </c>
      <c r="N19" s="164">
        <v>1491174000</v>
      </c>
      <c r="O19" s="164">
        <v>5.33</v>
      </c>
      <c r="P19" s="164">
        <v>25</v>
      </c>
      <c r="Q19" s="164">
        <v>3.22</v>
      </c>
      <c r="R19"/>
    </row>
    <row r="20" spans="1:18" x14ac:dyDescent="0.25">
      <c r="A20" s="164">
        <v>59.26</v>
      </c>
      <c r="B20" s="164">
        <v>0.61</v>
      </c>
      <c r="C20" s="164">
        <v>27.94</v>
      </c>
      <c r="D20" s="8">
        <v>42827.75</v>
      </c>
      <c r="E20" s="164">
        <v>0.3</v>
      </c>
      <c r="F20" s="164" t="s">
        <v>350</v>
      </c>
      <c r="G20" s="164">
        <v>314.67</v>
      </c>
      <c r="H20" s="164">
        <v>0</v>
      </c>
      <c r="I20" s="164">
        <v>0</v>
      </c>
      <c r="J20" s="164"/>
      <c r="K20" s="164">
        <v>1004.22</v>
      </c>
      <c r="L20" s="164" t="s">
        <v>434</v>
      </c>
      <c r="M20" s="164">
        <v>59.26</v>
      </c>
      <c r="N20" s="164">
        <v>1491177600</v>
      </c>
      <c r="O20" s="164">
        <v>5.59</v>
      </c>
      <c r="P20" s="164">
        <v>54</v>
      </c>
      <c r="Q20" s="164">
        <v>2.17</v>
      </c>
      <c r="R20"/>
    </row>
    <row r="21" spans="1:18" x14ac:dyDescent="0.25">
      <c r="A21" s="164">
        <v>57.89</v>
      </c>
      <c r="B21" s="164">
        <v>0.54</v>
      </c>
      <c r="C21" s="164">
        <v>30.22</v>
      </c>
      <c r="D21" s="8">
        <v>42827.791666666664</v>
      </c>
      <c r="E21" s="164">
        <v>0.35</v>
      </c>
      <c r="F21" s="164" t="s">
        <v>350</v>
      </c>
      <c r="G21" s="164">
        <v>317.89</v>
      </c>
      <c r="H21" s="164">
        <v>0</v>
      </c>
      <c r="I21" s="164">
        <v>0</v>
      </c>
      <c r="J21" s="164"/>
      <c r="K21" s="164">
        <v>1004.32</v>
      </c>
      <c r="L21" s="164" t="s">
        <v>349</v>
      </c>
      <c r="M21" s="164">
        <v>57.89</v>
      </c>
      <c r="N21" s="164">
        <v>1491181200</v>
      </c>
      <c r="O21" s="164">
        <v>6.19</v>
      </c>
      <c r="P21" s="164">
        <v>51</v>
      </c>
      <c r="Q21" s="164">
        <v>1.34</v>
      </c>
      <c r="R21"/>
    </row>
    <row r="22" spans="1:18" x14ac:dyDescent="0.25">
      <c r="A22" s="164">
        <v>54.77</v>
      </c>
      <c r="B22" s="164">
        <v>0.51</v>
      </c>
      <c r="C22" s="164">
        <v>31.76</v>
      </c>
      <c r="D22" s="8">
        <v>42827.833333333336</v>
      </c>
      <c r="E22" s="164">
        <v>0.41</v>
      </c>
      <c r="F22" s="164" t="s">
        <v>566</v>
      </c>
      <c r="G22" s="164">
        <v>322.88</v>
      </c>
      <c r="H22" s="164">
        <v>0</v>
      </c>
      <c r="I22" s="164">
        <v>0</v>
      </c>
      <c r="J22" s="164"/>
      <c r="K22" s="164">
        <v>1005.04</v>
      </c>
      <c r="L22" s="164" t="s">
        <v>349</v>
      </c>
      <c r="M22" s="164">
        <v>54.77</v>
      </c>
      <c r="N22" s="164">
        <v>1491184800</v>
      </c>
      <c r="O22" s="164">
        <v>6.98</v>
      </c>
      <c r="P22" s="164">
        <v>23</v>
      </c>
      <c r="Q22" s="164">
        <v>2.52</v>
      </c>
      <c r="R22"/>
    </row>
    <row r="23" spans="1:18" x14ac:dyDescent="0.25">
      <c r="A23" s="164">
        <v>52.11</v>
      </c>
      <c r="B23" s="164">
        <v>0.51</v>
      </c>
      <c r="C23" s="164">
        <v>33.76</v>
      </c>
      <c r="D23" s="8">
        <v>42827.875</v>
      </c>
      <c r="E23" s="164">
        <v>0.49</v>
      </c>
      <c r="F23" s="164" t="s">
        <v>566</v>
      </c>
      <c r="G23" s="164">
        <v>327.11</v>
      </c>
      <c r="H23" s="164">
        <v>0</v>
      </c>
      <c r="I23" s="164">
        <v>0</v>
      </c>
      <c r="J23" s="164"/>
      <c r="K23" s="164">
        <v>1005.7</v>
      </c>
      <c r="L23" s="164" t="s">
        <v>349</v>
      </c>
      <c r="M23" s="164">
        <v>52.11</v>
      </c>
      <c r="N23" s="164">
        <v>1491188400</v>
      </c>
      <c r="O23" s="164">
        <v>7.22</v>
      </c>
      <c r="P23" s="164">
        <v>25</v>
      </c>
      <c r="Q23" s="164">
        <v>2.57</v>
      </c>
      <c r="R23"/>
    </row>
    <row r="24" spans="1:18" x14ac:dyDescent="0.25">
      <c r="A24" s="164">
        <v>50.16</v>
      </c>
      <c r="B24" s="164">
        <v>0.61</v>
      </c>
      <c r="C24" s="164">
        <v>34.770000000000003</v>
      </c>
      <c r="D24" s="8">
        <v>42827.916666666664</v>
      </c>
      <c r="E24" s="164">
        <v>0.55000000000000004</v>
      </c>
      <c r="F24" s="164" t="s">
        <v>566</v>
      </c>
      <c r="G24" s="164">
        <v>329.57</v>
      </c>
      <c r="H24" s="164">
        <v>0</v>
      </c>
      <c r="I24" s="164">
        <v>0</v>
      </c>
      <c r="J24" s="164"/>
      <c r="K24" s="164">
        <v>1005.96</v>
      </c>
      <c r="L24" s="164" t="s">
        <v>434</v>
      </c>
      <c r="M24" s="164">
        <v>50.16</v>
      </c>
      <c r="N24" s="164">
        <v>1491192000</v>
      </c>
      <c r="O24" s="164">
        <v>5.96</v>
      </c>
      <c r="P24" s="164">
        <v>36</v>
      </c>
      <c r="Q24" s="164">
        <v>2.2799999999999998</v>
      </c>
      <c r="R24"/>
    </row>
    <row r="25" spans="1:18" x14ac:dyDescent="0.25">
      <c r="A25" s="164">
        <v>48.36</v>
      </c>
      <c r="B25" s="164">
        <v>0.62</v>
      </c>
      <c r="C25" s="164">
        <v>35.69</v>
      </c>
      <c r="D25" s="8">
        <v>42827.958333333336</v>
      </c>
      <c r="E25" s="164">
        <v>0.61</v>
      </c>
      <c r="F25" s="164" t="s">
        <v>566</v>
      </c>
      <c r="G25" s="164">
        <v>331.27</v>
      </c>
      <c r="H25" s="164">
        <v>0</v>
      </c>
      <c r="I25" s="164">
        <v>0</v>
      </c>
      <c r="J25" s="164"/>
      <c r="K25" s="164">
        <v>1006.05</v>
      </c>
      <c r="L25" s="164" t="s">
        <v>434</v>
      </c>
      <c r="M25" s="164">
        <v>48.36</v>
      </c>
      <c r="N25" s="164">
        <v>1491195600</v>
      </c>
      <c r="O25" s="164">
        <v>5.56</v>
      </c>
      <c r="P25" s="164">
        <v>16</v>
      </c>
      <c r="Q25" s="164">
        <v>1.1499999999999999</v>
      </c>
      <c r="R25"/>
    </row>
    <row r="26" spans="1:18" x14ac:dyDescent="0.25">
      <c r="A26" s="164">
        <v>46.37</v>
      </c>
      <c r="B26" s="164">
        <v>0.65</v>
      </c>
      <c r="C26" s="164">
        <v>35.049999999999997</v>
      </c>
      <c r="D26" s="8">
        <v>42828</v>
      </c>
      <c r="E26" s="164">
        <v>0.64</v>
      </c>
      <c r="F26" s="164" t="s">
        <v>566</v>
      </c>
      <c r="G26" s="164">
        <v>332.7</v>
      </c>
      <c r="H26" s="164">
        <v>4.5999999999999999E-3</v>
      </c>
      <c r="I26" s="164">
        <v>0.17</v>
      </c>
      <c r="J26" s="164" t="s">
        <v>456</v>
      </c>
      <c r="K26" s="164">
        <v>1006.15</v>
      </c>
      <c r="L26" s="164" t="s">
        <v>434</v>
      </c>
      <c r="M26" s="164">
        <v>46.37</v>
      </c>
      <c r="N26" s="164">
        <v>1491199200</v>
      </c>
      <c r="O26" s="164">
        <v>5.87</v>
      </c>
      <c r="P26" s="164">
        <v>358</v>
      </c>
      <c r="Q26" s="164">
        <v>1.99</v>
      </c>
      <c r="R26"/>
    </row>
    <row r="27" spans="1:18" x14ac:dyDescent="0.25">
      <c r="A27" s="164">
        <v>43.4</v>
      </c>
      <c r="B27" s="164">
        <v>0.79</v>
      </c>
      <c r="C27" s="164">
        <v>35.799999999999997</v>
      </c>
      <c r="D27" s="8">
        <v>42828.041666666664</v>
      </c>
      <c r="E27" s="164">
        <v>0.7</v>
      </c>
      <c r="F27" s="164" t="s">
        <v>456</v>
      </c>
      <c r="G27" s="164">
        <v>333.76</v>
      </c>
      <c r="H27" s="164">
        <v>1.11E-2</v>
      </c>
      <c r="I27" s="164">
        <v>0.52</v>
      </c>
      <c r="J27" s="164" t="s">
        <v>456</v>
      </c>
      <c r="K27" s="164">
        <v>1006.5</v>
      </c>
      <c r="L27" s="164" t="s">
        <v>472</v>
      </c>
      <c r="M27" s="164">
        <v>45.09</v>
      </c>
      <c r="N27" s="164">
        <v>1491202800</v>
      </c>
      <c r="O27" s="164">
        <v>4.1100000000000003</v>
      </c>
      <c r="P27" s="164">
        <v>340</v>
      </c>
      <c r="Q27" s="164">
        <v>3.76</v>
      </c>
      <c r="R27"/>
    </row>
    <row r="28" spans="1:18" x14ac:dyDescent="0.25">
      <c r="A28" s="164">
        <v>44</v>
      </c>
      <c r="B28" s="164">
        <v>0.84</v>
      </c>
      <c r="C28" s="164">
        <v>36.42</v>
      </c>
      <c r="D28" s="8">
        <v>42828.083333333336</v>
      </c>
      <c r="E28" s="164">
        <v>0.74</v>
      </c>
      <c r="F28" s="164" t="s">
        <v>456</v>
      </c>
      <c r="G28" s="164">
        <v>334.82</v>
      </c>
      <c r="H28" s="164">
        <v>1.7100000000000001E-2</v>
      </c>
      <c r="I28" s="164">
        <v>0.57999999999999996</v>
      </c>
      <c r="J28" s="164" t="s">
        <v>456</v>
      </c>
      <c r="K28" s="164">
        <v>1006.84</v>
      </c>
      <c r="L28" s="164" t="s">
        <v>472</v>
      </c>
      <c r="M28" s="164">
        <v>44</v>
      </c>
      <c r="N28" s="164">
        <v>1491206400</v>
      </c>
      <c r="O28" s="164">
        <v>3.78</v>
      </c>
      <c r="P28" s="164">
        <v>345</v>
      </c>
      <c r="Q28" s="164">
        <v>2.54</v>
      </c>
      <c r="R28"/>
    </row>
    <row r="29" spans="1:18" x14ac:dyDescent="0.25">
      <c r="A29" s="164">
        <v>40.5</v>
      </c>
      <c r="B29" s="164">
        <v>0.92</v>
      </c>
      <c r="C29" s="164">
        <v>37.33</v>
      </c>
      <c r="D29" s="8">
        <v>42828.125</v>
      </c>
      <c r="E29" s="164">
        <v>0.81</v>
      </c>
      <c r="F29" s="164" t="s">
        <v>566</v>
      </c>
      <c r="G29" s="164">
        <v>335.88</v>
      </c>
      <c r="H29" s="164">
        <v>4.4000000000000003E-3</v>
      </c>
      <c r="I29" s="164">
        <v>0.17</v>
      </c>
      <c r="J29" s="164" t="s">
        <v>456</v>
      </c>
      <c r="K29" s="164">
        <v>1007.19</v>
      </c>
      <c r="L29" s="164" t="s">
        <v>434</v>
      </c>
      <c r="M29" s="164">
        <v>42.87</v>
      </c>
      <c r="N29" s="164">
        <v>1491210000</v>
      </c>
      <c r="O29" s="164">
        <v>3.92</v>
      </c>
      <c r="P29" s="164">
        <v>338</v>
      </c>
      <c r="Q29" s="164">
        <v>4.16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topLeftCell="A2" workbookViewId="0">
      <selection activeCell="D26" sqref="D2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359</v>
      </c>
      <c r="U1" s="215"/>
      <c r="V1" s="215"/>
      <c r="W1" s="215"/>
      <c r="X1" s="215"/>
    </row>
    <row r="2" spans="1:24" ht="15.75" thickBot="1" x14ac:dyDescent="0.3">
      <c r="A2" s="12">
        <v>42827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360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372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373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374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951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952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953</v>
      </c>
      <c r="J20" s="148" t="s">
        <v>87</v>
      </c>
      <c r="M20" s="164" t="s">
        <v>351</v>
      </c>
      <c r="N20" s="164" t="s">
        <v>351</v>
      </c>
      <c r="T20" s="193"/>
      <c r="U20" s="193"/>
      <c r="V20" s="193"/>
      <c r="W20" s="193"/>
      <c r="X20" s="193"/>
    </row>
    <row r="21" spans="3:24" x14ac:dyDescent="0.25">
      <c r="C21" t="s">
        <v>954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955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956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957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958</v>
      </c>
      <c r="J25" s="148" t="s">
        <v>150</v>
      </c>
      <c r="M25" s="164" t="b">
        <v>1</v>
      </c>
    </row>
    <row r="26" spans="3:24" x14ac:dyDescent="0.25">
      <c r="C26" t="s">
        <v>959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C:\Users\stu\Documents\GitHub\eaglep3-reporting\EC\2017-04-02-refined-times.txt</v>
      </c>
    </row>
    <row r="27" spans="3:24" x14ac:dyDescent="0.25">
      <c r="C27" t="s">
        <v>960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C:\Users\stu\Documents\GitHub\eaglep3-reporting\EC\2017-04-02-Enforcements.txt</v>
      </c>
    </row>
    <row r="28" spans="3:24" x14ac:dyDescent="0.25">
      <c r="C28" t="s">
        <v>961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C:\Users\stu\Documents\GitHub\eaglep3-reporting\EC\2017-04-02-Runs-refined.txt</v>
      </c>
    </row>
    <row r="29" spans="3:24" x14ac:dyDescent="0.25">
      <c r="C29" t="s">
        <v>962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C:\Users\stu\Documents\GitHub\eaglep3-reporting\EC\2017-04-02-Trips.txt</v>
      </c>
    </row>
    <row r="30" spans="3:24" x14ac:dyDescent="0.25">
      <c r="C30" t="s">
        <v>963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C:\Users\stu\Documents\GitHub\eaglep3-reporting\EC\2017-04-02-Weather.txt</v>
      </c>
    </row>
    <row r="31" spans="3:24" x14ac:dyDescent="0.25">
      <c r="C31" t="s">
        <v>964</v>
      </c>
      <c r="J31" s="148" t="s">
        <v>203</v>
      </c>
      <c r="M31" s="164" t="s">
        <v>204</v>
      </c>
    </row>
    <row r="32" spans="3:24" x14ac:dyDescent="0.25">
      <c r="C32" t="s">
        <v>965</v>
      </c>
    </row>
    <row r="33" spans="3:3" x14ac:dyDescent="0.25">
      <c r="C33" t="s">
        <v>966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469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470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2017-04-04T15:32:09Z</dcterms:modified>
</cp:coreProperties>
</file>