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Enforcements!$A$6:$AC$67</definedName>
    <definedName name="_xlnm._FilterDatabase" localSheetId="2" hidden="1">'Missing Trips'!$A$2:$J$114</definedName>
    <definedName name="_xlnm._FilterDatabase" localSheetId="0" hidden="1">'Train Runs'!$A$12:$AG$250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Runs'!$A$12:$J$50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3" i="9" l="1"/>
  <c r="C93" i="9" s="1"/>
  <c r="B94" i="9"/>
  <c r="C94" i="9"/>
  <c r="B95" i="9"/>
  <c r="C95" i="9" s="1"/>
  <c r="B96" i="9"/>
  <c r="C96" i="9"/>
  <c r="B97" i="9"/>
  <c r="C97" i="9" s="1"/>
  <c r="B98" i="9"/>
  <c r="C98" i="9"/>
  <c r="B99" i="9"/>
  <c r="C99" i="9" s="1"/>
  <c r="B100" i="9"/>
  <c r="C100" i="9"/>
  <c r="B101" i="9"/>
  <c r="C101" i="9" s="1"/>
  <c r="B102" i="9"/>
  <c r="C102" i="9"/>
  <c r="B103" i="9"/>
  <c r="C103" i="9" s="1"/>
  <c r="B104" i="9"/>
  <c r="C104" i="9"/>
  <c r="B105" i="9"/>
  <c r="C105" i="9" s="1"/>
  <c r="B106" i="9"/>
  <c r="C106" i="9"/>
  <c r="B107" i="9"/>
  <c r="C107" i="9" s="1"/>
  <c r="B108" i="9"/>
  <c r="C108" i="9"/>
  <c r="B109" i="9"/>
  <c r="C109" i="9" s="1"/>
  <c r="B110" i="9"/>
  <c r="C110" i="9"/>
  <c r="B111" i="9"/>
  <c r="C111" i="9" s="1"/>
  <c r="B112" i="9"/>
  <c r="C112" i="9"/>
  <c r="B113" i="9"/>
  <c r="C113" i="9" s="1"/>
  <c r="B114" i="9"/>
  <c r="C114" i="9"/>
  <c r="B115" i="9"/>
  <c r="C115" i="9" s="1"/>
  <c r="B116" i="9"/>
  <c r="C116" i="9"/>
  <c r="B117" i="9"/>
  <c r="C117" i="9" s="1"/>
  <c r="B118" i="9"/>
  <c r="C118" i="9"/>
  <c r="B119" i="9"/>
  <c r="C119" i="9" s="1"/>
  <c r="B120" i="9"/>
  <c r="C120" i="9"/>
  <c r="B121" i="9"/>
  <c r="C121" i="9" s="1"/>
  <c r="B122" i="9"/>
  <c r="C122" i="9"/>
  <c r="B123" i="9"/>
  <c r="C123" i="9" s="1"/>
  <c r="B124" i="9"/>
  <c r="C124" i="9"/>
  <c r="B125" i="9"/>
  <c r="C125" i="9" s="1"/>
  <c r="B126" i="9"/>
  <c r="C126" i="9"/>
  <c r="B127" i="9"/>
  <c r="C127" i="9" s="1"/>
  <c r="B128" i="9"/>
  <c r="C128" i="9"/>
  <c r="B129" i="9"/>
  <c r="C129" i="9" s="1"/>
  <c r="B130" i="9"/>
  <c r="C130" i="9"/>
  <c r="P97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AA25" i="1" s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P29" i="1" s="1"/>
  <c r="T29" i="1"/>
  <c r="V29" i="1"/>
  <c r="X29" i="1"/>
  <c r="Y29" i="1"/>
  <c r="Z29" i="1"/>
  <c r="AB29" i="1"/>
  <c r="AC29" i="1"/>
  <c r="AD29" i="1"/>
  <c r="AE29" i="1"/>
  <c r="AF29" i="1"/>
  <c r="AG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/>
  <c r="V36" i="1"/>
  <c r="Y36" i="1"/>
  <c r="AA36" i="1" s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I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T53" i="1"/>
  <c r="V53" i="1"/>
  <c r="Y53" i="1"/>
  <c r="AA53" i="1" s="1"/>
  <c r="Z53" i="1"/>
  <c r="AB53" i="1"/>
  <c r="AC53" i="1"/>
  <c r="AD53" i="1"/>
  <c r="AG53" i="1" s="1"/>
  <c r="AI53" i="1" s="1"/>
  <c r="AE53" i="1"/>
  <c r="AF53" i="1"/>
  <c r="AH53" i="1"/>
  <c r="AM53" i="1"/>
  <c r="AN53" i="1"/>
  <c r="K54" i="1"/>
  <c r="L54" i="1"/>
  <c r="M54" i="1"/>
  <c r="N54" i="1" s="1"/>
  <c r="T54" i="1"/>
  <c r="V54" i="1"/>
  <c r="X54" i="1"/>
  <c r="Y54" i="1"/>
  <c r="Z54" i="1"/>
  <c r="AA54" i="1" s="1"/>
  <c r="AB54" i="1"/>
  <c r="AC54" i="1"/>
  <c r="AD54" i="1"/>
  <c r="AE54" i="1"/>
  <c r="AF54" i="1"/>
  <c r="AG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/>
  <c r="V64" i="1"/>
  <c r="S25" i="3" s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P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X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S13" i="3" s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X81" i="1"/>
  <c r="Y81" i="1"/>
  <c r="Z81" i="1"/>
  <c r="AB81" i="1"/>
  <c r="AC81" i="1"/>
  <c r="AD81" i="1"/>
  <c r="T81" i="1" s="1"/>
  <c r="AE81" i="1"/>
  <c r="AF81" i="1"/>
  <c r="AG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S35" i="3" s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R26" i="3" s="1"/>
  <c r="AF96" i="1"/>
  <c r="AH96" i="1"/>
  <c r="AM96" i="1"/>
  <c r="AN96" i="1"/>
  <c r="K97" i="1"/>
  <c r="L97" i="1"/>
  <c r="M97" i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R38" i="3" s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R18" i="3" s="1"/>
  <c r="AF103" i="1"/>
  <c r="AH103" i="1"/>
  <c r="AM103" i="1"/>
  <c r="AN103" i="1"/>
  <c r="K104" i="1"/>
  <c r="L104" i="1"/>
  <c r="M104" i="1"/>
  <c r="N104" i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S39" i="3" s="1"/>
  <c r="Y106" i="1"/>
  <c r="Z106" i="1"/>
  <c r="AA106" i="1" s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S9" i="3" s="1"/>
  <c r="Y109" i="1"/>
  <c r="Z109" i="1"/>
  <c r="AB109" i="1"/>
  <c r="AC109" i="1"/>
  <c r="AD109" i="1"/>
  <c r="AE109" i="1"/>
  <c r="R9" i="3" s="1"/>
  <c r="AF109" i="1"/>
  <c r="AH109" i="1"/>
  <c r="AM109" i="1"/>
  <c r="AN109" i="1"/>
  <c r="K110" i="1"/>
  <c r="L110" i="1"/>
  <c r="M110" i="1"/>
  <c r="N110" i="1" s="1"/>
  <c r="V110" i="1"/>
  <c r="Y110" i="1"/>
  <c r="Z110" i="1"/>
  <c r="AA110" i="1" s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T127" i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T128" i="1"/>
  <c r="V128" i="1"/>
  <c r="Y128" i="1"/>
  <c r="Z128" i="1"/>
  <c r="AB128" i="1"/>
  <c r="AC128" i="1"/>
  <c r="AD128" i="1"/>
  <c r="X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R32" i="3" s="1"/>
  <c r="AF130" i="1"/>
  <c r="AH130" i="1"/>
  <c r="AM130" i="1"/>
  <c r="AN130" i="1"/>
  <c r="K131" i="1"/>
  <c r="L131" i="1"/>
  <c r="M131" i="1"/>
  <c r="N131" i="1" s="1"/>
  <c r="V131" i="1"/>
  <c r="Y131" i="1"/>
  <c r="Z131" i="1"/>
  <c r="AA131" i="1" s="1"/>
  <c r="AB131" i="1"/>
  <c r="AC131" i="1"/>
  <c r="AD131" i="1"/>
  <c r="AG131" i="1" s="1"/>
  <c r="AE131" i="1"/>
  <c r="R10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/>
  <c r="V134" i="1"/>
  <c r="Y134" i="1"/>
  <c r="AA134" i="1" s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S24" i="3" s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R27" i="3" s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S28" i="3" s="1"/>
  <c r="Y138" i="1"/>
  <c r="AA138" i="1"/>
  <c r="AB138" i="1"/>
  <c r="AC138" i="1"/>
  <c r="AD138" i="1"/>
  <c r="T138" i="1" s="1"/>
  <c r="AE138" i="1"/>
  <c r="R28" i="3" s="1"/>
  <c r="AF138" i="1"/>
  <c r="AH138" i="1"/>
  <c r="AM138" i="1"/>
  <c r="AN138" i="1"/>
  <c r="K139" i="1"/>
  <c r="L139" i="1"/>
  <c r="M139" i="1"/>
  <c r="N139" i="1" s="1"/>
  <c r="V139" i="1"/>
  <c r="S20" i="3" s="1"/>
  <c r="Y139" i="1"/>
  <c r="Z139" i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/>
  <c r="V143" i="1"/>
  <c r="Y143" i="1"/>
  <c r="Z143" i="1"/>
  <c r="AI143" i="1" s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P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I147" i="1" s="1"/>
  <c r="AB147" i="1"/>
  <c r="AC147" i="1"/>
  <c r="AD147" i="1"/>
  <c r="AG147" i="1" s="1"/>
  <c r="AE147" i="1"/>
  <c r="R14" i="3" s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A149" i="1" s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/>
  <c r="V150" i="1"/>
  <c r="Y150" i="1"/>
  <c r="Z150" i="1"/>
  <c r="AB150" i="1"/>
  <c r="AC150" i="1"/>
  <c r="AD150" i="1"/>
  <c r="AE150" i="1"/>
  <c r="R11" i="3" s="1"/>
  <c r="AF150" i="1"/>
  <c r="AH150" i="1"/>
  <c r="AM150" i="1"/>
  <c r="AN150" i="1"/>
  <c r="K151" i="1"/>
  <c r="L151" i="1"/>
  <c r="M151" i="1"/>
  <c r="N151" i="1"/>
  <c r="V151" i="1"/>
  <c r="Y151" i="1"/>
  <c r="Z151" i="1"/>
  <c r="AI151" i="1" s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X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S34" i="3" s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A155" i="1" s="1"/>
  <c r="W155" i="1" s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P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206" i="1"/>
  <c r="L206" i="1"/>
  <c r="M206" i="1"/>
  <c r="N206" i="1" s="1"/>
  <c r="V206" i="1"/>
  <c r="Y206" i="1"/>
  <c r="Z206" i="1"/>
  <c r="AA206" i="1" s="1"/>
  <c r="AB206" i="1"/>
  <c r="AC206" i="1"/>
  <c r="AD206" i="1"/>
  <c r="AE206" i="1"/>
  <c r="AF206" i="1"/>
  <c r="AH158" i="1"/>
  <c r="AM158" i="1"/>
  <c r="AN158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59" i="1"/>
  <c r="AM159" i="1"/>
  <c r="AN15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0" i="1"/>
  <c r="AM160" i="1"/>
  <c r="AN160" i="1"/>
  <c r="K209" i="1"/>
  <c r="L209" i="1"/>
  <c r="M209" i="1"/>
  <c r="N209" i="1"/>
  <c r="V209" i="1"/>
  <c r="Y209" i="1"/>
  <c r="Z209" i="1"/>
  <c r="AB209" i="1"/>
  <c r="AC209" i="1"/>
  <c r="AD209" i="1"/>
  <c r="AG209" i="1" s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2" i="1"/>
  <c r="AM162" i="1"/>
  <c r="AN162" i="1"/>
  <c r="K211" i="1"/>
  <c r="L211" i="1"/>
  <c r="M211" i="1"/>
  <c r="N211" i="1" s="1"/>
  <c r="T211" i="1"/>
  <c r="V211" i="1"/>
  <c r="Y211" i="1"/>
  <c r="Z211" i="1"/>
  <c r="AA211" i="1"/>
  <c r="W211" i="1" s="1"/>
  <c r="AB211" i="1"/>
  <c r="AC211" i="1"/>
  <c r="AD211" i="1"/>
  <c r="AG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6" i="1"/>
  <c r="AM166" i="1"/>
  <c r="AN166" i="1"/>
  <c r="K215" i="1"/>
  <c r="L215" i="1"/>
  <c r="M215" i="1"/>
  <c r="N215" i="1"/>
  <c r="V215" i="1"/>
  <c r="Y215" i="1"/>
  <c r="AA215" i="1" s="1"/>
  <c r="W215" i="1" s="1"/>
  <c r="Z215" i="1"/>
  <c r="AB215" i="1"/>
  <c r="AC215" i="1"/>
  <c r="AD215" i="1"/>
  <c r="AG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69" i="1"/>
  <c r="AM169" i="1"/>
  <c r="AN169" i="1"/>
  <c r="K224" i="1"/>
  <c r="L224" i="1"/>
  <c r="M224" i="1"/>
  <c r="N224" i="1"/>
  <c r="V224" i="1"/>
  <c r="Y224" i="1"/>
  <c r="Z224" i="1"/>
  <c r="AB224" i="1"/>
  <c r="AC224" i="1"/>
  <c r="AD224" i="1"/>
  <c r="AE224" i="1"/>
  <c r="AF224" i="1"/>
  <c r="AH170" i="1"/>
  <c r="AM170" i="1"/>
  <c r="AN170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A230" i="1" s="1"/>
  <c r="AB230" i="1"/>
  <c r="AC230" i="1"/>
  <c r="AD230" i="1"/>
  <c r="AE230" i="1"/>
  <c r="AF230" i="1"/>
  <c r="AH176" i="1"/>
  <c r="AM176" i="1"/>
  <c r="AN176" i="1"/>
  <c r="K231" i="1"/>
  <c r="L231" i="1"/>
  <c r="M231" i="1"/>
  <c r="N231" i="1" s="1"/>
  <c r="V231" i="1"/>
  <c r="S58" i="3" s="1"/>
  <c r="Y231" i="1"/>
  <c r="Z231" i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I234" i="1" s="1"/>
  <c r="AB234" i="1"/>
  <c r="AC234" i="1"/>
  <c r="AD234" i="1"/>
  <c r="AG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83" i="1"/>
  <c r="AM183" i="1"/>
  <c r="AN183" i="1"/>
  <c r="K159" i="1"/>
  <c r="L159" i="1"/>
  <c r="M159" i="1"/>
  <c r="N159" i="1" s="1"/>
  <c r="V159" i="1"/>
  <c r="Y159" i="1"/>
  <c r="Z159" i="1"/>
  <c r="AA159" i="1" s="1"/>
  <c r="AB159" i="1"/>
  <c r="AC159" i="1"/>
  <c r="AD159" i="1"/>
  <c r="AG159" i="1" s="1"/>
  <c r="AE159" i="1"/>
  <c r="AF159" i="1"/>
  <c r="AH184" i="1"/>
  <c r="AM184" i="1"/>
  <c r="AN184" i="1"/>
  <c r="K160" i="1"/>
  <c r="L160" i="1"/>
  <c r="M160" i="1"/>
  <c r="N160" i="1" s="1"/>
  <c r="V160" i="1"/>
  <c r="S45" i="3" s="1"/>
  <c r="Y160" i="1"/>
  <c r="Z160" i="1"/>
  <c r="AB160" i="1"/>
  <c r="AC160" i="1"/>
  <c r="AD160" i="1"/>
  <c r="AG160" i="1" s="1"/>
  <c r="AE160" i="1"/>
  <c r="R45" i="3" s="1"/>
  <c r="AF160" i="1"/>
  <c r="AH185" i="1"/>
  <c r="AM185" i="1"/>
  <c r="AN18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6" i="1"/>
  <c r="AM186" i="1"/>
  <c r="AN186" i="1"/>
  <c r="K162" i="1"/>
  <c r="L162" i="1"/>
  <c r="M162" i="1"/>
  <c r="N162" i="1" s="1"/>
  <c r="V162" i="1"/>
  <c r="Y162" i="1"/>
  <c r="Z162" i="1"/>
  <c r="AA162" i="1" s="1"/>
  <c r="AB162" i="1"/>
  <c r="AC162" i="1"/>
  <c r="AD162" i="1"/>
  <c r="T162" i="1" s="1"/>
  <c r="AE162" i="1"/>
  <c r="AF162" i="1"/>
  <c r="AH187" i="1"/>
  <c r="AM187" i="1"/>
  <c r="AN187" i="1"/>
  <c r="K163" i="1"/>
  <c r="L163" i="1"/>
  <c r="M163" i="1"/>
  <c r="N163" i="1" s="1"/>
  <c r="V163" i="1"/>
  <c r="Y163" i="1"/>
  <c r="Z163" i="1"/>
  <c r="AA163" i="1" s="1"/>
  <c r="W163" i="1" s="1"/>
  <c r="AB163" i="1"/>
  <c r="AC163" i="1"/>
  <c r="AD163" i="1"/>
  <c r="AG163" i="1" s="1"/>
  <c r="AE163" i="1"/>
  <c r="AF163" i="1"/>
  <c r="AH188" i="1"/>
  <c r="AM188" i="1"/>
  <c r="AN188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9" i="1"/>
  <c r="AM189" i="1"/>
  <c r="AN189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0" i="1"/>
  <c r="AM190" i="1"/>
  <c r="AN190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1" i="1"/>
  <c r="AM191" i="1"/>
  <c r="AN191" i="1"/>
  <c r="K167" i="1"/>
  <c r="L167" i="1"/>
  <c r="M167" i="1"/>
  <c r="N167" i="1" s="1"/>
  <c r="V167" i="1"/>
  <c r="S52" i="3" s="1"/>
  <c r="Y167" i="1"/>
  <c r="Z167" i="1"/>
  <c r="AB167" i="1"/>
  <c r="AC167" i="1"/>
  <c r="AD167" i="1"/>
  <c r="AG167" i="1" s="1"/>
  <c r="AE167" i="1"/>
  <c r="R52" i="3" s="1"/>
  <c r="AF167" i="1"/>
  <c r="AH192" i="1"/>
  <c r="AM192" i="1"/>
  <c r="AN192" i="1"/>
  <c r="K237" i="1"/>
  <c r="L237" i="1"/>
  <c r="M237" i="1"/>
  <c r="N237" i="1" s="1"/>
  <c r="V237" i="1"/>
  <c r="Y237" i="1"/>
  <c r="Z237" i="1"/>
  <c r="AA237" i="1" s="1"/>
  <c r="W237" i="1" s="1"/>
  <c r="AB237" i="1"/>
  <c r="AC237" i="1"/>
  <c r="AD237" i="1"/>
  <c r="AG237" i="1" s="1"/>
  <c r="AE237" i="1"/>
  <c r="AF237" i="1"/>
  <c r="AH193" i="1"/>
  <c r="AM193" i="1"/>
  <c r="AN19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94" i="1"/>
  <c r="AM194" i="1"/>
  <c r="AN194" i="1"/>
  <c r="K168" i="1"/>
  <c r="L168" i="1"/>
  <c r="M168" i="1"/>
  <c r="N168" i="1"/>
  <c r="V168" i="1"/>
  <c r="Y168" i="1"/>
  <c r="Z168" i="1"/>
  <c r="AB168" i="1"/>
  <c r="AC168" i="1"/>
  <c r="AD168" i="1"/>
  <c r="T168" i="1" s="1"/>
  <c r="AE168" i="1"/>
  <c r="AF168" i="1"/>
  <c r="AH195" i="1"/>
  <c r="AM195" i="1"/>
  <c r="AN19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6" i="1"/>
  <c r="AM196" i="1"/>
  <c r="AN19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7" i="1"/>
  <c r="AM197" i="1"/>
  <c r="AN197" i="1"/>
  <c r="K171" i="1"/>
  <c r="L171" i="1"/>
  <c r="M171" i="1"/>
  <c r="N171" i="1" s="1"/>
  <c r="V171" i="1"/>
  <c r="S54" i="3" s="1"/>
  <c r="Y171" i="1"/>
  <c r="Z171" i="1"/>
  <c r="AB171" i="1"/>
  <c r="AC171" i="1"/>
  <c r="AD171" i="1"/>
  <c r="AE171" i="1"/>
  <c r="R54" i="3" s="1"/>
  <c r="AF171" i="1"/>
  <c r="AH198" i="1"/>
  <c r="AM198" i="1"/>
  <c r="AN19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9" i="1"/>
  <c r="AM199" i="1"/>
  <c r="AN199" i="1"/>
  <c r="K173" i="1"/>
  <c r="L173" i="1"/>
  <c r="M173" i="1"/>
  <c r="N173" i="1" s="1"/>
  <c r="V173" i="1"/>
  <c r="S44" i="3" s="1"/>
  <c r="Y173" i="1"/>
  <c r="Z173" i="1"/>
  <c r="AB173" i="1"/>
  <c r="AC173" i="1"/>
  <c r="AD173" i="1"/>
  <c r="T173" i="1" s="1"/>
  <c r="AE173" i="1"/>
  <c r="AF173" i="1"/>
  <c r="AH200" i="1"/>
  <c r="AM200" i="1"/>
  <c r="AN20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R48" i="3" s="1"/>
  <c r="AF174" i="1"/>
  <c r="AH201" i="1"/>
  <c r="AM201" i="1"/>
  <c r="AN201" i="1"/>
  <c r="K175" i="1"/>
  <c r="L175" i="1"/>
  <c r="M175" i="1"/>
  <c r="N175" i="1" s="1"/>
  <c r="V175" i="1"/>
  <c r="S55" i="3" s="1"/>
  <c r="Y175" i="1"/>
  <c r="Z175" i="1"/>
  <c r="AB175" i="1"/>
  <c r="AC175" i="1"/>
  <c r="AD175" i="1"/>
  <c r="AE175" i="1"/>
  <c r="AF175" i="1"/>
  <c r="AH202" i="1"/>
  <c r="AM202" i="1"/>
  <c r="AN202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3" i="1"/>
  <c r="AM203" i="1"/>
  <c r="AN20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4" i="1"/>
  <c r="AM204" i="1"/>
  <c r="AN20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5" i="1"/>
  <c r="AM205" i="1"/>
  <c r="AN205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6" i="1"/>
  <c r="AM206" i="1"/>
  <c r="AN20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7" i="1"/>
  <c r="AM207" i="1"/>
  <c r="AN207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8" i="1"/>
  <c r="AM208" i="1"/>
  <c r="AN20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9" i="1"/>
  <c r="AM209" i="1"/>
  <c r="AN20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0" i="1"/>
  <c r="AM210" i="1"/>
  <c r="AN21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1" i="1"/>
  <c r="AM211" i="1"/>
  <c r="AN21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2" i="1"/>
  <c r="AM212" i="1"/>
  <c r="AN21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R49" i="3" s="1"/>
  <c r="AF186" i="1"/>
  <c r="AH213" i="1"/>
  <c r="AM213" i="1"/>
  <c r="AN213" i="1"/>
  <c r="K187" i="1"/>
  <c r="L187" i="1"/>
  <c r="M187" i="1"/>
  <c r="N187" i="1" s="1"/>
  <c r="V187" i="1"/>
  <c r="Y187" i="1"/>
  <c r="Z187" i="1"/>
  <c r="AA187" i="1" s="1"/>
  <c r="AB187" i="1"/>
  <c r="AC187" i="1"/>
  <c r="AD187" i="1"/>
  <c r="AE187" i="1"/>
  <c r="R56" i="3" s="1"/>
  <c r="AF187" i="1"/>
  <c r="AH214" i="1"/>
  <c r="AM214" i="1"/>
  <c r="AN214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15" i="1"/>
  <c r="AM215" i="1"/>
  <c r="AN21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6" i="1"/>
  <c r="AM216" i="1"/>
  <c r="AN216" i="1"/>
  <c r="K190" i="1"/>
  <c r="L190" i="1"/>
  <c r="M190" i="1"/>
  <c r="N190" i="1" s="1"/>
  <c r="V190" i="1"/>
  <c r="S50" i="3" s="1"/>
  <c r="Y190" i="1"/>
  <c r="Z190" i="1"/>
  <c r="AB190" i="1"/>
  <c r="AC190" i="1"/>
  <c r="AD190" i="1"/>
  <c r="T190" i="1" s="1"/>
  <c r="AE190" i="1"/>
  <c r="AF190" i="1"/>
  <c r="AH217" i="1"/>
  <c r="AM217" i="1"/>
  <c r="AN217" i="1"/>
  <c r="K191" i="1"/>
  <c r="L191" i="1"/>
  <c r="M191" i="1"/>
  <c r="N191" i="1" s="1"/>
  <c r="V191" i="1"/>
  <c r="Y191" i="1"/>
  <c r="Z191" i="1"/>
  <c r="AA191" i="1" s="1"/>
  <c r="W191" i="1" s="1"/>
  <c r="AB191" i="1"/>
  <c r="AC191" i="1"/>
  <c r="AD191" i="1"/>
  <c r="AG191" i="1" s="1"/>
  <c r="AE191" i="1"/>
  <c r="AF191" i="1"/>
  <c r="AH218" i="1"/>
  <c r="AM218" i="1"/>
  <c r="AN21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9" i="1"/>
  <c r="AM219" i="1"/>
  <c r="AN219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20" i="1"/>
  <c r="AM220" i="1"/>
  <c r="AN220" i="1"/>
  <c r="K194" i="1"/>
  <c r="L194" i="1"/>
  <c r="M194" i="1"/>
  <c r="V194" i="1"/>
  <c r="Y194" i="1"/>
  <c r="Z194" i="1"/>
  <c r="AB194" i="1"/>
  <c r="AC194" i="1"/>
  <c r="AD194" i="1"/>
  <c r="T194" i="1" s="1"/>
  <c r="AE194" i="1"/>
  <c r="AF194" i="1"/>
  <c r="AH221" i="1"/>
  <c r="AM221" i="1"/>
  <c r="AN221" i="1"/>
  <c r="K195" i="1"/>
  <c r="L195" i="1"/>
  <c r="M195" i="1"/>
  <c r="V195" i="1"/>
  <c r="Y195" i="1"/>
  <c r="Z195" i="1"/>
  <c r="AB195" i="1"/>
  <c r="AC195" i="1"/>
  <c r="AD195" i="1"/>
  <c r="AG195" i="1" s="1"/>
  <c r="AE195" i="1"/>
  <c r="AF195" i="1"/>
  <c r="AH222" i="1"/>
  <c r="AM222" i="1"/>
  <c r="AN222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3" i="1"/>
  <c r="AM223" i="1"/>
  <c r="AN223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4" i="1"/>
  <c r="AM224" i="1"/>
  <c r="AN224" i="1"/>
  <c r="K198" i="1"/>
  <c r="L198" i="1"/>
  <c r="M198" i="1"/>
  <c r="N198" i="1" s="1"/>
  <c r="V198" i="1"/>
  <c r="Y198" i="1"/>
  <c r="Z198" i="1"/>
  <c r="AA198" i="1" s="1"/>
  <c r="AB198" i="1"/>
  <c r="AC198" i="1"/>
  <c r="AD198" i="1"/>
  <c r="AE198" i="1"/>
  <c r="AF198" i="1"/>
  <c r="AH225" i="1"/>
  <c r="AM225" i="1"/>
  <c r="AN225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6" i="1"/>
  <c r="AM226" i="1"/>
  <c r="AN226" i="1"/>
  <c r="K200" i="1"/>
  <c r="L200" i="1"/>
  <c r="M200" i="1"/>
  <c r="N200" i="1" s="1"/>
  <c r="T200" i="1"/>
  <c r="V200" i="1"/>
  <c r="Y200" i="1"/>
  <c r="Z200" i="1"/>
  <c r="AA200" i="1" s="1"/>
  <c r="AB200" i="1"/>
  <c r="AC200" i="1"/>
  <c r="AD200" i="1"/>
  <c r="X200" i="1" s="1"/>
  <c r="AE200" i="1"/>
  <c r="AF200" i="1"/>
  <c r="AH227" i="1"/>
  <c r="AM227" i="1"/>
  <c r="AN227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8" i="1"/>
  <c r="AM228" i="1"/>
  <c r="AN228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9" i="1"/>
  <c r="AM229" i="1"/>
  <c r="AN229" i="1"/>
  <c r="K203" i="1"/>
  <c r="L203" i="1"/>
  <c r="M203" i="1"/>
  <c r="N203" i="1" s="1"/>
  <c r="V203" i="1"/>
  <c r="Y203" i="1"/>
  <c r="Z203" i="1"/>
  <c r="AA203" i="1" s="1"/>
  <c r="W203" i="1" s="1"/>
  <c r="AB203" i="1"/>
  <c r="AC203" i="1"/>
  <c r="AD203" i="1"/>
  <c r="AG203" i="1" s="1"/>
  <c r="AE203" i="1"/>
  <c r="AF203" i="1"/>
  <c r="AH230" i="1"/>
  <c r="AM230" i="1"/>
  <c r="AN230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1" i="1"/>
  <c r="AM231" i="1"/>
  <c r="AN231" i="1"/>
  <c r="K205" i="1"/>
  <c r="L205" i="1"/>
  <c r="M205" i="1"/>
  <c r="N205" i="1" s="1"/>
  <c r="V205" i="1"/>
  <c r="S46" i="3" s="1"/>
  <c r="Y205" i="1"/>
  <c r="Z205" i="1"/>
  <c r="AB205" i="1"/>
  <c r="AC205" i="1"/>
  <c r="AD205" i="1"/>
  <c r="T205" i="1" s="1"/>
  <c r="AE205" i="1"/>
  <c r="R46" i="3" s="1"/>
  <c r="AF205" i="1"/>
  <c r="AH232" i="1"/>
  <c r="AM232" i="1"/>
  <c r="AN232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233" i="1"/>
  <c r="AM233" i="1"/>
  <c r="AN233" i="1"/>
  <c r="K218" i="1"/>
  <c r="L218" i="1"/>
  <c r="M218" i="1"/>
  <c r="N218" i="1" s="1"/>
  <c r="V218" i="1"/>
  <c r="Y218" i="1"/>
  <c r="Z218" i="1"/>
  <c r="AA218" i="1" s="1"/>
  <c r="AB218" i="1"/>
  <c r="AC218" i="1"/>
  <c r="AD218" i="1"/>
  <c r="AE218" i="1"/>
  <c r="AF218" i="1"/>
  <c r="AH234" i="1"/>
  <c r="AM234" i="1"/>
  <c r="AN234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5" i="1"/>
  <c r="AM235" i="1"/>
  <c r="AN235" i="1"/>
  <c r="K220" i="1"/>
  <c r="L220" i="1"/>
  <c r="M220" i="1"/>
  <c r="N220" i="1" s="1"/>
  <c r="V220" i="1"/>
  <c r="S59" i="3" s="1"/>
  <c r="Y220" i="1"/>
  <c r="Z220" i="1"/>
  <c r="AB220" i="1"/>
  <c r="AC220" i="1"/>
  <c r="AD220" i="1"/>
  <c r="T220" i="1" s="1"/>
  <c r="AE220" i="1"/>
  <c r="R59" i="3" s="1"/>
  <c r="AF220" i="1"/>
  <c r="AH236" i="1"/>
  <c r="AM236" i="1"/>
  <c r="AN236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7" i="1"/>
  <c r="AM237" i="1"/>
  <c r="AN237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38" i="1"/>
  <c r="AM238" i="1"/>
  <c r="AN238" i="1"/>
  <c r="M30" i="3"/>
  <c r="R30" i="3"/>
  <c r="S30" i="3"/>
  <c r="U30" i="3"/>
  <c r="T30" i="3" s="1"/>
  <c r="V30" i="3"/>
  <c r="W30" i="3"/>
  <c r="X30" i="3"/>
  <c r="M29" i="3"/>
  <c r="R29" i="3"/>
  <c r="S29" i="3"/>
  <c r="U29" i="3"/>
  <c r="V29" i="3"/>
  <c r="W29" i="3"/>
  <c r="X29" i="3"/>
  <c r="M37" i="3"/>
  <c r="R37" i="3"/>
  <c r="S37" i="3"/>
  <c r="U37" i="3"/>
  <c r="AC37" i="3" s="1"/>
  <c r="V37" i="3"/>
  <c r="W37" i="3"/>
  <c r="X37" i="3"/>
  <c r="M41" i="3"/>
  <c r="R41" i="3"/>
  <c r="S41" i="3"/>
  <c r="U41" i="3"/>
  <c r="V41" i="3"/>
  <c r="W41" i="3"/>
  <c r="X41" i="3"/>
  <c r="AC41" i="3"/>
  <c r="M45" i="3"/>
  <c r="U45" i="3"/>
  <c r="T45" i="3" s="1"/>
  <c r="V45" i="3"/>
  <c r="W45" i="3"/>
  <c r="X45" i="3"/>
  <c r="M7" i="3"/>
  <c r="R7" i="3"/>
  <c r="S7" i="3"/>
  <c r="U7" i="3"/>
  <c r="AC7" i="3" s="1"/>
  <c r="V7" i="3"/>
  <c r="W7" i="3"/>
  <c r="X7" i="3"/>
  <c r="M15" i="3"/>
  <c r="R15" i="3"/>
  <c r="S15" i="3"/>
  <c r="U15" i="3"/>
  <c r="AC15" i="3" s="1"/>
  <c r="V15" i="3"/>
  <c r="W15" i="3"/>
  <c r="X15" i="3"/>
  <c r="M23" i="3"/>
  <c r="R23" i="3"/>
  <c r="S23" i="3"/>
  <c r="U23" i="3"/>
  <c r="T23" i="3" s="1"/>
  <c r="V23" i="3"/>
  <c r="W23" i="3"/>
  <c r="X23" i="3"/>
  <c r="M19" i="3"/>
  <c r="R19" i="3"/>
  <c r="S19" i="3"/>
  <c r="U19" i="3"/>
  <c r="T19" i="3" s="1"/>
  <c r="V19" i="3"/>
  <c r="W19" i="3"/>
  <c r="X19" i="3"/>
  <c r="M36" i="3"/>
  <c r="R36" i="3"/>
  <c r="S36" i="3"/>
  <c r="U36" i="3"/>
  <c r="V36" i="3"/>
  <c r="W36" i="3"/>
  <c r="X36" i="3"/>
  <c r="M52" i="3"/>
  <c r="U52" i="3"/>
  <c r="AC52" i="3" s="1"/>
  <c r="V52" i="3"/>
  <c r="W52" i="3"/>
  <c r="X52" i="3"/>
  <c r="M53" i="3"/>
  <c r="R53" i="3"/>
  <c r="U53" i="3"/>
  <c r="V53" i="3"/>
  <c r="W53" i="3"/>
  <c r="X53" i="3"/>
  <c r="AC53" i="3"/>
  <c r="M12" i="3"/>
  <c r="R12" i="3"/>
  <c r="S12" i="3"/>
  <c r="U12" i="3"/>
  <c r="T12" i="3" s="1"/>
  <c r="V12" i="3"/>
  <c r="W12" i="3"/>
  <c r="X12" i="3"/>
  <c r="M31" i="3"/>
  <c r="R31" i="3"/>
  <c r="S31" i="3"/>
  <c r="U31" i="3"/>
  <c r="V31" i="3"/>
  <c r="W31" i="3"/>
  <c r="X31" i="3"/>
  <c r="M21" i="3"/>
  <c r="R21" i="3"/>
  <c r="S21" i="3"/>
  <c r="U21" i="3"/>
  <c r="AC21" i="3" s="1"/>
  <c r="V21" i="3"/>
  <c r="W21" i="3"/>
  <c r="X21" i="3"/>
  <c r="M54" i="3"/>
  <c r="U54" i="3"/>
  <c r="T54" i="3" s="1"/>
  <c r="V54" i="3"/>
  <c r="W54" i="3"/>
  <c r="X54" i="3"/>
  <c r="M44" i="3"/>
  <c r="R44" i="3"/>
  <c r="U44" i="3"/>
  <c r="T44" i="3" s="1"/>
  <c r="V44" i="3"/>
  <c r="W44" i="3"/>
  <c r="X44" i="3"/>
  <c r="M8" i="3"/>
  <c r="R8" i="3"/>
  <c r="S8" i="3"/>
  <c r="U8" i="3"/>
  <c r="AC8" i="3" s="1"/>
  <c r="V8" i="3"/>
  <c r="W8" i="3"/>
  <c r="X8" i="3"/>
  <c r="M17" i="3"/>
  <c r="R17" i="3"/>
  <c r="S17" i="3"/>
  <c r="U17" i="3"/>
  <c r="AC17" i="3" s="1"/>
  <c r="V17" i="3"/>
  <c r="W17" i="3"/>
  <c r="X17" i="3"/>
  <c r="M16" i="3"/>
  <c r="R16" i="3"/>
  <c r="S16" i="3"/>
  <c r="U16" i="3"/>
  <c r="AC16" i="3" s="1"/>
  <c r="V16" i="3"/>
  <c r="W16" i="3"/>
  <c r="X16" i="3"/>
  <c r="M48" i="3"/>
  <c r="S48" i="3"/>
  <c r="U48" i="3"/>
  <c r="T48" i="3" s="1"/>
  <c r="V48" i="3"/>
  <c r="W48" i="3"/>
  <c r="X48" i="3"/>
  <c r="M25" i="3"/>
  <c r="R25" i="3"/>
  <c r="U25" i="3"/>
  <c r="AD25" i="3" s="1"/>
  <c r="V25" i="3"/>
  <c r="W25" i="3"/>
  <c r="X25" i="3"/>
  <c r="M55" i="3"/>
  <c r="R55" i="3"/>
  <c r="U55" i="3"/>
  <c r="AC55" i="3" s="1"/>
  <c r="V55" i="3"/>
  <c r="W55" i="3"/>
  <c r="X55" i="3"/>
  <c r="M22" i="3"/>
  <c r="R22" i="3"/>
  <c r="S22" i="3"/>
  <c r="U22" i="3"/>
  <c r="T22" i="3" s="1"/>
  <c r="V22" i="3"/>
  <c r="W22" i="3"/>
  <c r="X22" i="3"/>
  <c r="M13" i="3"/>
  <c r="R13" i="3"/>
  <c r="U13" i="3"/>
  <c r="T13" i="3" s="1"/>
  <c r="V13" i="3"/>
  <c r="W13" i="3"/>
  <c r="X13" i="3"/>
  <c r="M35" i="3"/>
  <c r="R35" i="3"/>
  <c r="U35" i="3"/>
  <c r="V35" i="3"/>
  <c r="W35" i="3"/>
  <c r="X35" i="3"/>
  <c r="M18" i="3"/>
  <c r="S18" i="3"/>
  <c r="U18" i="3"/>
  <c r="AC18" i="3" s="1"/>
  <c r="V18" i="3"/>
  <c r="W18" i="3"/>
  <c r="X18" i="3"/>
  <c r="M26" i="3"/>
  <c r="S26" i="3"/>
  <c r="U26" i="3"/>
  <c r="AD26" i="3" s="1"/>
  <c r="V26" i="3"/>
  <c r="W26" i="3"/>
  <c r="X26" i="3"/>
  <c r="M59" i="3"/>
  <c r="U59" i="3"/>
  <c r="T59" i="3" s="1"/>
  <c r="V59" i="3"/>
  <c r="W59" i="3"/>
  <c r="X59" i="3"/>
  <c r="M38" i="3"/>
  <c r="S38" i="3"/>
  <c r="U38" i="3"/>
  <c r="V38" i="3"/>
  <c r="W38" i="3"/>
  <c r="X38" i="3"/>
  <c r="M9" i="3"/>
  <c r="U9" i="3"/>
  <c r="AC9" i="3" s="1"/>
  <c r="V9" i="3"/>
  <c r="W9" i="3"/>
  <c r="X9" i="3"/>
  <c r="M49" i="3"/>
  <c r="S49" i="3"/>
  <c r="U49" i="3"/>
  <c r="T49" i="3" s="1"/>
  <c r="V49" i="3"/>
  <c r="W49" i="3"/>
  <c r="X49" i="3"/>
  <c r="AC49" i="3"/>
  <c r="M56" i="3"/>
  <c r="S56" i="3"/>
  <c r="U56" i="3"/>
  <c r="T56" i="3" s="1"/>
  <c r="V56" i="3"/>
  <c r="W56" i="3"/>
  <c r="X56" i="3"/>
  <c r="M39" i="3"/>
  <c r="R39" i="3"/>
  <c r="U39" i="3"/>
  <c r="V39" i="3"/>
  <c r="W39" i="3"/>
  <c r="X39" i="3"/>
  <c r="M58" i="3"/>
  <c r="R58" i="3"/>
  <c r="U58" i="3"/>
  <c r="AC58" i="3" s="1"/>
  <c r="V58" i="3"/>
  <c r="W58" i="3"/>
  <c r="X58" i="3"/>
  <c r="M50" i="3"/>
  <c r="R50" i="3"/>
  <c r="U50" i="3"/>
  <c r="V50" i="3"/>
  <c r="W50" i="3"/>
  <c r="X50" i="3"/>
  <c r="AC50" i="3"/>
  <c r="M40" i="3"/>
  <c r="R40" i="3"/>
  <c r="S40" i="3"/>
  <c r="U40" i="3"/>
  <c r="T40" i="3" s="1"/>
  <c r="V40" i="3"/>
  <c r="W40" i="3"/>
  <c r="X40" i="3"/>
  <c r="M47" i="3"/>
  <c r="U47" i="3"/>
  <c r="V47" i="3"/>
  <c r="W47" i="3"/>
  <c r="X47" i="3"/>
  <c r="M51" i="3"/>
  <c r="U51" i="3"/>
  <c r="T51" i="3" s="1"/>
  <c r="V51" i="3"/>
  <c r="W51" i="3"/>
  <c r="X51" i="3"/>
  <c r="M10" i="3"/>
  <c r="S10" i="3"/>
  <c r="U10" i="3"/>
  <c r="AC10" i="3" s="1"/>
  <c r="V10" i="3"/>
  <c r="W10" i="3"/>
  <c r="X10" i="3"/>
  <c r="M32" i="3"/>
  <c r="S32" i="3"/>
  <c r="U32" i="3"/>
  <c r="AC32" i="3" s="1"/>
  <c r="V32" i="3"/>
  <c r="W32" i="3"/>
  <c r="X32" i="3"/>
  <c r="M24" i="3"/>
  <c r="R24" i="3"/>
  <c r="U24" i="3"/>
  <c r="AC24" i="3" s="1"/>
  <c r="V24" i="3"/>
  <c r="W24" i="3"/>
  <c r="X24" i="3"/>
  <c r="M20" i="3"/>
  <c r="R20" i="3"/>
  <c r="U20" i="3"/>
  <c r="T20" i="3" s="1"/>
  <c r="V20" i="3"/>
  <c r="W20" i="3"/>
  <c r="X20" i="3"/>
  <c r="M27" i="3"/>
  <c r="S27" i="3"/>
  <c r="U27" i="3"/>
  <c r="V27" i="3"/>
  <c r="W27" i="3"/>
  <c r="X27" i="3"/>
  <c r="M28" i="3"/>
  <c r="U28" i="3"/>
  <c r="AC28" i="3" s="1"/>
  <c r="V28" i="3"/>
  <c r="W28" i="3"/>
  <c r="X28" i="3"/>
  <c r="M46" i="3"/>
  <c r="U46" i="3"/>
  <c r="AD51" i="3" s="1"/>
  <c r="V46" i="3"/>
  <c r="W46" i="3"/>
  <c r="X46" i="3"/>
  <c r="AC46" i="3"/>
  <c r="M11" i="3"/>
  <c r="S11" i="3"/>
  <c r="U11" i="3"/>
  <c r="T11" i="3" s="1"/>
  <c r="V11" i="3"/>
  <c r="W11" i="3"/>
  <c r="X11" i="3"/>
  <c r="M14" i="3"/>
  <c r="S14" i="3"/>
  <c r="U14" i="3"/>
  <c r="AC14" i="3" s="1"/>
  <c r="V14" i="3"/>
  <c r="W14" i="3"/>
  <c r="X14" i="3"/>
  <c r="M33" i="3"/>
  <c r="R33" i="3"/>
  <c r="U33" i="3"/>
  <c r="AC33" i="3" s="1"/>
  <c r="V33" i="3"/>
  <c r="W33" i="3"/>
  <c r="X33" i="3"/>
  <c r="M34" i="3"/>
  <c r="R34" i="3"/>
  <c r="U34" i="3"/>
  <c r="T34" i="3" s="1"/>
  <c r="V34" i="3"/>
  <c r="W34" i="3"/>
  <c r="X34" i="3"/>
  <c r="AC34" i="3"/>
  <c r="M42" i="3"/>
  <c r="R42" i="3"/>
  <c r="U42" i="3"/>
  <c r="T42" i="3" s="1"/>
  <c r="V42" i="3"/>
  <c r="W42" i="3"/>
  <c r="X42" i="3"/>
  <c r="M43" i="3"/>
  <c r="R43" i="3"/>
  <c r="U43" i="3"/>
  <c r="V43" i="3"/>
  <c r="W43" i="3"/>
  <c r="X43" i="3"/>
  <c r="AD17" i="3" l="1"/>
  <c r="AD9" i="3"/>
  <c r="AD28" i="3"/>
  <c r="AC27" i="3"/>
  <c r="AC22" i="3"/>
  <c r="Y12" i="3"/>
  <c r="AC12" i="3"/>
  <c r="Y35" i="3"/>
  <c r="Y23" i="3"/>
  <c r="AC25" i="3"/>
  <c r="AC23" i="3"/>
  <c r="AC19" i="3"/>
  <c r="AC11" i="3"/>
  <c r="AD53" i="3"/>
  <c r="Y19" i="3"/>
  <c r="AC26" i="3"/>
  <c r="AD43" i="3"/>
  <c r="Y59" i="3"/>
  <c r="AC20" i="3"/>
  <c r="AC13" i="3"/>
  <c r="AG128" i="1"/>
  <c r="AI128" i="1" s="1"/>
  <c r="AA125" i="1"/>
  <c r="AA114" i="1"/>
  <c r="AA102" i="1"/>
  <c r="W102" i="1" s="1"/>
  <c r="T102" i="1"/>
  <c r="U102" i="1" s="1"/>
  <c r="S102" i="1" s="1"/>
  <c r="AA101" i="1"/>
  <c r="AA97" i="1"/>
  <c r="X86" i="1"/>
  <c r="X62" i="1"/>
  <c r="AG61" i="1"/>
  <c r="U61" i="1" s="1"/>
  <c r="S61" i="1" s="1"/>
  <c r="AA40" i="1"/>
  <c r="W40" i="1" s="1"/>
  <c r="X33" i="1"/>
  <c r="AG30" i="1"/>
  <c r="U30" i="1" s="1"/>
  <c r="S30" i="1" s="1"/>
  <c r="AD35" i="3"/>
  <c r="AA222" i="1"/>
  <c r="T33" i="3"/>
  <c r="Y10" i="3"/>
  <c r="Y38" i="3"/>
  <c r="P194" i="1"/>
  <c r="X175" i="1"/>
  <c r="AA150" i="1"/>
  <c r="AA126" i="1"/>
  <c r="X102" i="1"/>
  <c r="AA90" i="1"/>
  <c r="W90" i="1" s="1"/>
  <c r="AA86" i="1"/>
  <c r="W86" i="1" s="1"/>
  <c r="T86" i="1"/>
  <c r="AA85" i="1"/>
  <c r="AA78" i="1"/>
  <c r="AA76" i="1"/>
  <c r="X46" i="1"/>
  <c r="AA30" i="1"/>
  <c r="AA28" i="1"/>
  <c r="W28" i="1" s="1"/>
  <c r="AA16" i="1"/>
  <c r="X69" i="1"/>
  <c r="AA228" i="1"/>
  <c r="AG227" i="1"/>
  <c r="X227" i="1"/>
  <c r="X70" i="1"/>
  <c r="S43" i="3"/>
  <c r="Y20" i="3"/>
  <c r="AE55" i="3"/>
  <c r="Y44" i="3"/>
  <c r="T52" i="3"/>
  <c r="Y30" i="3"/>
  <c r="AG200" i="1"/>
  <c r="AA183" i="1"/>
  <c r="AG168" i="1"/>
  <c r="X168" i="1"/>
  <c r="Y43" i="3"/>
  <c r="S33" i="3"/>
  <c r="Y14" i="3"/>
  <c r="Y11" i="3"/>
  <c r="Y27" i="3"/>
  <c r="Y39" i="3"/>
  <c r="AE9" i="3"/>
  <c r="AD55" i="3"/>
  <c r="Y8" i="3"/>
  <c r="Y52" i="3"/>
  <c r="Y7" i="3"/>
  <c r="Y29" i="3"/>
  <c r="T203" i="1"/>
  <c r="AA202" i="1"/>
  <c r="AA186" i="1"/>
  <c r="AA182" i="1"/>
  <c r="AA174" i="1"/>
  <c r="AA227" i="1"/>
  <c r="AA226" i="1"/>
  <c r="X151" i="1"/>
  <c r="AA120" i="1"/>
  <c r="X108" i="1"/>
  <c r="X66" i="1"/>
  <c r="X41" i="1"/>
  <c r="AI29" i="1"/>
  <c r="X28" i="1"/>
  <c r="T18" i="3"/>
  <c r="S53" i="3"/>
  <c r="X75" i="1"/>
  <c r="AA75" i="1"/>
  <c r="AG69" i="1"/>
  <c r="U69" i="1" s="1"/>
  <c r="S69" i="1" s="1"/>
  <c r="T38" i="1"/>
  <c r="U38" i="1" s="1"/>
  <c r="S38" i="1" s="1"/>
  <c r="X38" i="1"/>
  <c r="AG38" i="1"/>
  <c r="AG192" i="1"/>
  <c r="AI192" i="1" s="1"/>
  <c r="X192" i="1"/>
  <c r="X229" i="1"/>
  <c r="X207" i="1"/>
  <c r="AE33" i="3"/>
  <c r="Y50" i="3"/>
  <c r="AD39" i="3"/>
  <c r="Y18" i="3"/>
  <c r="T55" i="3"/>
  <c r="AA178" i="1"/>
  <c r="AA143" i="1"/>
  <c r="W143" i="1" s="1"/>
  <c r="AA136" i="1"/>
  <c r="X131" i="1"/>
  <c r="AA116" i="1"/>
  <c r="AG106" i="1"/>
  <c r="T106" i="1"/>
  <c r="AG80" i="1"/>
  <c r="T80" i="1"/>
  <c r="U80" i="1" s="1"/>
  <c r="S80" i="1" s="1"/>
  <c r="X222" i="1"/>
  <c r="AG199" i="1"/>
  <c r="U199" i="1" s="1"/>
  <c r="S199" i="1" s="1"/>
  <c r="AA160" i="1"/>
  <c r="AG232" i="1"/>
  <c r="U232" i="1" s="1"/>
  <c r="S232" i="1" s="1"/>
  <c r="X232" i="1"/>
  <c r="AI155" i="1"/>
  <c r="X148" i="1"/>
  <c r="W106" i="1"/>
  <c r="AD24" i="3"/>
  <c r="AD32" i="3"/>
  <c r="Y40" i="3"/>
  <c r="Y9" i="3"/>
  <c r="Y48" i="3"/>
  <c r="Y16" i="3"/>
  <c r="AC54" i="3"/>
  <c r="Y31" i="3"/>
  <c r="Y37" i="3"/>
  <c r="W200" i="1"/>
  <c r="X230" i="1"/>
  <c r="S42" i="3"/>
  <c r="AD33" i="3"/>
  <c r="AD14" i="3"/>
  <c r="AD46" i="3"/>
  <c r="AE46" i="3"/>
  <c r="T32" i="3"/>
  <c r="AD47" i="3"/>
  <c r="Y56" i="3"/>
  <c r="AD38" i="3"/>
  <c r="AE21" i="3"/>
  <c r="AE32" i="3"/>
  <c r="Y21" i="3"/>
  <c r="T15" i="3"/>
  <c r="Y45" i="3"/>
  <c r="X218" i="1"/>
  <c r="AA185" i="1"/>
  <c r="X165" i="1"/>
  <c r="AA165" i="1"/>
  <c r="X161" i="1"/>
  <c r="AI159" i="1"/>
  <c r="AA236" i="1"/>
  <c r="AA231" i="1"/>
  <c r="AA154" i="1"/>
  <c r="AA144" i="1"/>
  <c r="AG140" i="1"/>
  <c r="AI140" i="1" s="1"/>
  <c r="AA112" i="1"/>
  <c r="X80" i="1"/>
  <c r="T76" i="1"/>
  <c r="X76" i="1"/>
  <c r="W53" i="1"/>
  <c r="T14" i="1"/>
  <c r="AG14" i="1"/>
  <c r="AA59" i="1"/>
  <c r="W59" i="1" s="1"/>
  <c r="AA57" i="1"/>
  <c r="AA47" i="1"/>
  <c r="W47" i="1" s="1"/>
  <c r="AA44" i="1"/>
  <c r="W44" i="1" s="1"/>
  <c r="T33" i="1"/>
  <c r="AA32" i="1"/>
  <c r="AA24" i="1"/>
  <c r="AA20" i="1"/>
  <c r="W20" i="1" s="1"/>
  <c r="AA18" i="1"/>
  <c r="U54" i="1"/>
  <c r="S54" i="1" s="1"/>
  <c r="AA127" i="1"/>
  <c r="W127" i="1" s="1"/>
  <c r="AA122" i="1"/>
  <c r="AA99" i="1"/>
  <c r="AA95" i="1"/>
  <c r="AA83" i="1"/>
  <c r="AA80" i="1"/>
  <c r="W80" i="1" s="1"/>
  <c r="AA79" i="1"/>
  <c r="W79" i="1" s="1"/>
  <c r="AA74" i="1"/>
  <c r="W74" i="1" s="1"/>
  <c r="AA69" i="1"/>
  <c r="AA68" i="1"/>
  <c r="AG59" i="1"/>
  <c r="AA38" i="1"/>
  <c r="X34" i="1"/>
  <c r="AG33" i="1"/>
  <c r="AI33" i="1" s="1"/>
  <c r="AG26" i="1"/>
  <c r="AA19" i="1"/>
  <c r="AA14" i="1"/>
  <c r="W14" i="1" s="1"/>
  <c r="AG179" i="1"/>
  <c r="X179" i="1"/>
  <c r="AG171" i="1"/>
  <c r="X171" i="1"/>
  <c r="AA201" i="1"/>
  <c r="W201" i="1" s="1"/>
  <c r="AA193" i="1"/>
  <c r="X191" i="1"/>
  <c r="AG184" i="1"/>
  <c r="AI184" i="1" s="1"/>
  <c r="X184" i="1"/>
  <c r="AG183" i="1"/>
  <c r="W183" i="1" s="1"/>
  <c r="T195" i="1"/>
  <c r="U195" i="1" s="1"/>
  <c r="X176" i="1"/>
  <c r="S47" i="3"/>
  <c r="AA221" i="1"/>
  <c r="AG219" i="1"/>
  <c r="U219" i="1" s="1"/>
  <c r="S219" i="1" s="1"/>
  <c r="AA199" i="1"/>
  <c r="W199" i="1" s="1"/>
  <c r="AA195" i="1"/>
  <c r="W195" i="1" s="1"/>
  <c r="AA194" i="1"/>
  <c r="AA179" i="1"/>
  <c r="W228" i="1"/>
  <c r="AA173" i="1"/>
  <c r="AA171" i="1"/>
  <c r="AA170" i="1"/>
  <c r="AA164" i="1"/>
  <c r="W164" i="1" s="1"/>
  <c r="AI163" i="1"/>
  <c r="T161" i="1"/>
  <c r="AA235" i="1"/>
  <c r="W235" i="1" s="1"/>
  <c r="AA233" i="1"/>
  <c r="AG230" i="1"/>
  <c r="AI230" i="1" s="1"/>
  <c r="AG226" i="1"/>
  <c r="AI226" i="1" s="1"/>
  <c r="AA214" i="1"/>
  <c r="X211" i="1"/>
  <c r="AA207" i="1"/>
  <c r="W207" i="1" s="1"/>
  <c r="T155" i="1"/>
  <c r="AA153" i="1"/>
  <c r="W153" i="1" s="1"/>
  <c r="AA151" i="1"/>
  <c r="W151" i="1" s="1"/>
  <c r="AA140" i="1"/>
  <c r="X139" i="1"/>
  <c r="T132" i="1"/>
  <c r="AA130" i="1"/>
  <c r="AA124" i="1"/>
  <c r="AA121" i="1"/>
  <c r="W121" i="1" s="1"/>
  <c r="AA119" i="1"/>
  <c r="AG117" i="1"/>
  <c r="U117" i="1" s="1"/>
  <c r="S117" i="1" s="1"/>
  <c r="AA113" i="1"/>
  <c r="AA111" i="1"/>
  <c r="AA107" i="1"/>
  <c r="AA105" i="1"/>
  <c r="W105" i="1" s="1"/>
  <c r="AA94" i="1"/>
  <c r="W94" i="1" s="1"/>
  <c r="T94" i="1"/>
  <c r="AA93" i="1"/>
  <c r="AA87" i="1"/>
  <c r="AA82" i="1"/>
  <c r="AG73" i="1"/>
  <c r="X73" i="1"/>
  <c r="AA72" i="1"/>
  <c r="W72" i="1" s="1"/>
  <c r="AA67" i="1"/>
  <c r="W67" i="1" s="1"/>
  <c r="AA65" i="1"/>
  <c r="AA62" i="1"/>
  <c r="T62" i="1"/>
  <c r="AA60" i="1"/>
  <c r="AA51" i="1"/>
  <c r="AG49" i="1"/>
  <c r="AI49" i="1" s="1"/>
  <c r="T46" i="1"/>
  <c r="U46" i="1" s="1"/>
  <c r="S46" i="1" s="1"/>
  <c r="T44" i="1"/>
  <c r="U44" i="1" s="1"/>
  <c r="S44" i="1" s="1"/>
  <c r="AG37" i="1"/>
  <c r="AI37" i="1" s="1"/>
  <c r="X37" i="1"/>
  <c r="AA34" i="1"/>
  <c r="T34" i="1"/>
  <c r="AA31" i="1"/>
  <c r="AG25" i="1"/>
  <c r="AI25" i="1" s="1"/>
  <c r="X25" i="1"/>
  <c r="X21" i="1"/>
  <c r="AA21" i="1"/>
  <c r="X17" i="1"/>
  <c r="W160" i="1"/>
  <c r="T148" i="1"/>
  <c r="U148" i="1" s="1"/>
  <c r="S148" i="1" s="1"/>
  <c r="X147" i="1"/>
  <c r="X140" i="1"/>
  <c r="X136" i="1"/>
  <c r="T98" i="1"/>
  <c r="U98" i="1" s="1"/>
  <c r="S98" i="1" s="1"/>
  <c r="W38" i="1"/>
  <c r="AA15" i="1"/>
  <c r="AA192" i="1"/>
  <c r="W192" i="1" s="1"/>
  <c r="AA190" i="1"/>
  <c r="X187" i="1"/>
  <c r="AA184" i="1"/>
  <c r="W184" i="1" s="1"/>
  <c r="AA177" i="1"/>
  <c r="AA175" i="1"/>
  <c r="AA169" i="1"/>
  <c r="AA238" i="1"/>
  <c r="AI167" i="1"/>
  <c r="AA167" i="1"/>
  <c r="X164" i="1"/>
  <c r="AG161" i="1"/>
  <c r="X160" i="1"/>
  <c r="AA234" i="1"/>
  <c r="W234" i="1" s="1"/>
  <c r="AA229" i="1"/>
  <c r="W229" i="1" s="1"/>
  <c r="AA216" i="1"/>
  <c r="AA212" i="1"/>
  <c r="X208" i="1"/>
  <c r="AA208" i="1"/>
  <c r="AA156" i="1"/>
  <c r="T152" i="1"/>
  <c r="AA147" i="1"/>
  <c r="W147" i="1" s="1"/>
  <c r="AA139" i="1"/>
  <c r="W139" i="1" s="1"/>
  <c r="AA135" i="1"/>
  <c r="AG132" i="1"/>
  <c r="AI132" i="1" s="1"/>
  <c r="AA123" i="1"/>
  <c r="AG121" i="1"/>
  <c r="U121" i="1" s="1"/>
  <c r="S121" i="1" s="1"/>
  <c r="AA117" i="1"/>
  <c r="W117" i="1" s="1"/>
  <c r="AA115" i="1"/>
  <c r="AG113" i="1"/>
  <c r="AA109" i="1"/>
  <c r="AA103" i="1"/>
  <c r="W103" i="1" s="1"/>
  <c r="AA98" i="1"/>
  <c r="W98" i="1" s="1"/>
  <c r="X94" i="1"/>
  <c r="AA91" i="1"/>
  <c r="T90" i="1"/>
  <c r="U90" i="1" s="1"/>
  <c r="S90" i="1" s="1"/>
  <c r="AA89" i="1"/>
  <c r="AG67" i="1"/>
  <c r="AG62" i="1"/>
  <c r="AA61" i="1"/>
  <c r="W61" i="1" s="1"/>
  <c r="AG51" i="1"/>
  <c r="AI51" i="1" s="1"/>
  <c r="AA48" i="1"/>
  <c r="AG46" i="1"/>
  <c r="AI46" i="1" s="1"/>
  <c r="X45" i="1"/>
  <c r="AA45" i="1"/>
  <c r="W45" i="1" s="1"/>
  <c r="AA41" i="1"/>
  <c r="AA39" i="1"/>
  <c r="AG34" i="1"/>
  <c r="AI34" i="1" s="1"/>
  <c r="AI222" i="1"/>
  <c r="AA220" i="1"/>
  <c r="AA219" i="1"/>
  <c r="W219" i="1" s="1"/>
  <c r="AG218" i="1"/>
  <c r="W171" i="1"/>
  <c r="W222" i="1"/>
  <c r="T222" i="1"/>
  <c r="U222" i="1" s="1"/>
  <c r="S222" i="1" s="1"/>
  <c r="U203" i="1"/>
  <c r="S203" i="1" s="1"/>
  <c r="U200" i="1"/>
  <c r="S200" i="1" s="1"/>
  <c r="T198" i="1"/>
  <c r="X199" i="1"/>
  <c r="X195" i="1"/>
  <c r="AI171" i="1"/>
  <c r="X219" i="1"/>
  <c r="T218" i="1"/>
  <c r="X204" i="1"/>
  <c r="AG204" i="1"/>
  <c r="U204" i="1" s="1"/>
  <c r="S204" i="1" s="1"/>
  <c r="T204" i="1"/>
  <c r="X203" i="1"/>
  <c r="T196" i="1"/>
  <c r="U196" i="1" s="1"/>
  <c r="S196" i="1" s="1"/>
  <c r="X196" i="1"/>
  <c r="AG196" i="1"/>
  <c r="T187" i="1"/>
  <c r="U183" i="1"/>
  <c r="S183" i="1" s="1"/>
  <c r="T175" i="1"/>
  <c r="T237" i="1"/>
  <c r="T235" i="1"/>
  <c r="U235" i="1" s="1"/>
  <c r="S235" i="1" s="1"/>
  <c r="AA137" i="1"/>
  <c r="T136" i="1"/>
  <c r="U136" i="1" s="1"/>
  <c r="S136" i="1" s="1"/>
  <c r="AG123" i="1"/>
  <c r="T123" i="1"/>
  <c r="X120" i="1"/>
  <c r="AG120" i="1"/>
  <c r="W120" i="1" s="1"/>
  <c r="T120" i="1"/>
  <c r="AG115" i="1"/>
  <c r="T115" i="1"/>
  <c r="X112" i="1"/>
  <c r="AG112" i="1"/>
  <c r="W112" i="1" s="1"/>
  <c r="T112" i="1"/>
  <c r="U112" i="1" s="1"/>
  <c r="S112" i="1" s="1"/>
  <c r="AA108" i="1"/>
  <c r="AI108" i="1"/>
  <c r="T103" i="1"/>
  <c r="AG103" i="1"/>
  <c r="AI103" i="1" s="1"/>
  <c r="T87" i="1"/>
  <c r="AG87" i="1"/>
  <c r="W57" i="1"/>
  <c r="AA205" i="1"/>
  <c r="AA204" i="1"/>
  <c r="W204" i="1" s="1"/>
  <c r="T191" i="1"/>
  <c r="U191" i="1" s="1"/>
  <c r="S191" i="1" s="1"/>
  <c r="AA189" i="1"/>
  <c r="AA188" i="1"/>
  <c r="T188" i="1"/>
  <c r="AG187" i="1"/>
  <c r="U187" i="1" s="1"/>
  <c r="S187" i="1" s="1"/>
  <c r="X183" i="1"/>
  <c r="AG180" i="1"/>
  <c r="AI180" i="1" s="1"/>
  <c r="X180" i="1"/>
  <c r="AA176" i="1"/>
  <c r="T176" i="1"/>
  <c r="AG175" i="1"/>
  <c r="AG172" i="1"/>
  <c r="AI172" i="1" s="1"/>
  <c r="X172" i="1"/>
  <c r="AG238" i="1"/>
  <c r="AI238" i="1" s="1"/>
  <c r="X238" i="1"/>
  <c r="AA166" i="1"/>
  <c r="T165" i="1"/>
  <c r="U165" i="1" s="1"/>
  <c r="S165" i="1" s="1"/>
  <c r="AG236" i="1"/>
  <c r="X236" i="1"/>
  <c r="AA232" i="1"/>
  <c r="T230" i="1"/>
  <c r="AA225" i="1"/>
  <c r="W225" i="1" s="1"/>
  <c r="AA224" i="1"/>
  <c r="X223" i="1"/>
  <c r="AG216" i="1"/>
  <c r="U216" i="1" s="1"/>
  <c r="S216" i="1" s="1"/>
  <c r="X216" i="1"/>
  <c r="T215" i="1"/>
  <c r="U215" i="1" s="1"/>
  <c r="S215" i="1" s="1"/>
  <c r="AG212" i="1"/>
  <c r="U212" i="1" s="1"/>
  <c r="S212" i="1" s="1"/>
  <c r="X212" i="1"/>
  <c r="U211" i="1"/>
  <c r="S211" i="1" s="1"/>
  <c r="AA210" i="1"/>
  <c r="AA209" i="1"/>
  <c r="W209" i="1" s="1"/>
  <c r="T208" i="1"/>
  <c r="AG156" i="1"/>
  <c r="U156" i="1" s="1"/>
  <c r="S156" i="1" s="1"/>
  <c r="X156" i="1"/>
  <c r="W149" i="1"/>
  <c r="AG144" i="1"/>
  <c r="X144" i="1"/>
  <c r="T143" i="1"/>
  <c r="U143" i="1" s="1"/>
  <c r="S143" i="1" s="1"/>
  <c r="AG135" i="1"/>
  <c r="AI135" i="1" s="1"/>
  <c r="X135" i="1"/>
  <c r="X124" i="1"/>
  <c r="AG124" i="1"/>
  <c r="X98" i="1"/>
  <c r="AG97" i="1"/>
  <c r="W97" i="1" s="1"/>
  <c r="T97" i="1"/>
  <c r="X72" i="1"/>
  <c r="AI57" i="1"/>
  <c r="T179" i="1"/>
  <c r="T171" i="1"/>
  <c r="X237" i="1"/>
  <c r="T164" i="1"/>
  <c r="X235" i="1"/>
  <c r="W227" i="1"/>
  <c r="U226" i="1"/>
  <c r="S226" i="1" s="1"/>
  <c r="AA152" i="1"/>
  <c r="AA148" i="1"/>
  <c r="T147" i="1"/>
  <c r="AA141" i="1"/>
  <c r="AG136" i="1"/>
  <c r="W136" i="1" s="1"/>
  <c r="AA129" i="1"/>
  <c r="AA128" i="1"/>
  <c r="AG127" i="1"/>
  <c r="U127" i="1" s="1"/>
  <c r="S127" i="1" s="1"/>
  <c r="X127" i="1"/>
  <c r="AG119" i="1"/>
  <c r="T119" i="1"/>
  <c r="U119" i="1" s="1"/>
  <c r="S119" i="1" s="1"/>
  <c r="X116" i="1"/>
  <c r="AG116" i="1"/>
  <c r="T116" i="1"/>
  <c r="AG111" i="1"/>
  <c r="W111" i="1" s="1"/>
  <c r="T111" i="1"/>
  <c r="T95" i="1"/>
  <c r="AG95" i="1"/>
  <c r="AI72" i="1"/>
  <c r="T70" i="1"/>
  <c r="AG70" i="1"/>
  <c r="AA197" i="1"/>
  <c r="AA196" i="1"/>
  <c r="W196" i="1" s="1"/>
  <c r="AG188" i="1"/>
  <c r="AA181" i="1"/>
  <c r="W181" i="1" s="1"/>
  <c r="AA180" i="1"/>
  <c r="AG176" i="1"/>
  <c r="AI176" i="1" s="1"/>
  <c r="AA172" i="1"/>
  <c r="AG165" i="1"/>
  <c r="AA161" i="1"/>
  <c r="W161" i="1" s="1"/>
  <c r="T160" i="1"/>
  <c r="U160" i="1" s="1"/>
  <c r="S160" i="1" s="1"/>
  <c r="AA158" i="1"/>
  <c r="T229" i="1"/>
  <c r="U227" i="1"/>
  <c r="S227" i="1" s="1"/>
  <c r="X225" i="1"/>
  <c r="X215" i="1"/>
  <c r="AA213" i="1"/>
  <c r="W213" i="1" s="1"/>
  <c r="AG208" i="1"/>
  <c r="AI208" i="1" s="1"/>
  <c r="T207" i="1"/>
  <c r="U207" i="1" s="1"/>
  <c r="S207" i="1" s="1"/>
  <c r="AG152" i="1"/>
  <c r="T151" i="1"/>
  <c r="U151" i="1" s="1"/>
  <c r="S151" i="1" s="1"/>
  <c r="AG148" i="1"/>
  <c r="AI148" i="1" s="1"/>
  <c r="U147" i="1"/>
  <c r="S147" i="1" s="1"/>
  <c r="AA146" i="1"/>
  <c r="AA145" i="1"/>
  <c r="W145" i="1" s="1"/>
  <c r="X143" i="1"/>
  <c r="W140" i="1"/>
  <c r="T139" i="1"/>
  <c r="W123" i="1"/>
  <c r="X109" i="1"/>
  <c r="AG109" i="1"/>
  <c r="U109" i="1" s="1"/>
  <c r="S109" i="1" s="1"/>
  <c r="T109" i="1"/>
  <c r="X106" i="1"/>
  <c r="AG105" i="1"/>
  <c r="T105" i="1"/>
  <c r="X90" i="1"/>
  <c r="AG89" i="1"/>
  <c r="T89" i="1"/>
  <c r="AG107" i="1"/>
  <c r="U107" i="1" s="1"/>
  <c r="S107" i="1" s="1"/>
  <c r="AA104" i="1"/>
  <c r="AG101" i="1"/>
  <c r="W101" i="1" s="1"/>
  <c r="AG99" i="1"/>
  <c r="U99" i="1" s="1"/>
  <c r="S99" i="1" s="1"/>
  <c r="AA96" i="1"/>
  <c r="AG93" i="1"/>
  <c r="AG91" i="1"/>
  <c r="U91" i="1" s="1"/>
  <c r="S91" i="1" s="1"/>
  <c r="AA88" i="1"/>
  <c r="AG85" i="1"/>
  <c r="AG83" i="1"/>
  <c r="U83" i="1" s="1"/>
  <c r="S83" i="1" s="1"/>
  <c r="AI79" i="1"/>
  <c r="AG76" i="1"/>
  <c r="T72" i="1"/>
  <c r="U72" i="1" s="1"/>
  <c r="S72" i="1" s="1"/>
  <c r="AA71" i="1"/>
  <c r="AA70" i="1"/>
  <c r="W70" i="1" s="1"/>
  <c r="AA66" i="1"/>
  <c r="T66" i="1"/>
  <c r="AG65" i="1"/>
  <c r="AG63" i="1"/>
  <c r="U63" i="1" s="1"/>
  <c r="S63" i="1" s="1"/>
  <c r="X61" i="1"/>
  <c r="AG58" i="1"/>
  <c r="U58" i="1" s="1"/>
  <c r="S58" i="1" s="1"/>
  <c r="X58" i="1"/>
  <c r="T57" i="1"/>
  <c r="U57" i="1" s="1"/>
  <c r="S57" i="1" s="1"/>
  <c r="AA56" i="1"/>
  <c r="AA55" i="1"/>
  <c r="AA50" i="1"/>
  <c r="T45" i="1"/>
  <c r="U45" i="1" s="1"/>
  <c r="S45" i="1" s="1"/>
  <c r="AG42" i="1"/>
  <c r="U42" i="1" s="1"/>
  <c r="S42" i="1" s="1"/>
  <c r="X42" i="1"/>
  <c r="T41" i="1"/>
  <c r="T40" i="1"/>
  <c r="AA37" i="1"/>
  <c r="T36" i="1"/>
  <c r="AA33" i="1"/>
  <c r="T32" i="1"/>
  <c r="T24" i="1"/>
  <c r="AA23" i="1"/>
  <c r="AA22" i="1"/>
  <c r="T21" i="1"/>
  <c r="X16" i="1"/>
  <c r="X57" i="1"/>
  <c r="T20" i="1"/>
  <c r="AA132" i="1"/>
  <c r="T131" i="1"/>
  <c r="U131" i="1" s="1"/>
  <c r="S131" i="1" s="1"/>
  <c r="AA100" i="1"/>
  <c r="AA92" i="1"/>
  <c r="AA84" i="1"/>
  <c r="AA81" i="1"/>
  <c r="W81" i="1" s="1"/>
  <c r="AA77" i="1"/>
  <c r="AG66" i="1"/>
  <c r="AA64" i="1"/>
  <c r="AA63" i="1"/>
  <c r="AA58" i="1"/>
  <c r="AG55" i="1"/>
  <c r="X53" i="1"/>
  <c r="AG50" i="1"/>
  <c r="U50" i="1" s="1"/>
  <c r="S50" i="1" s="1"/>
  <c r="X50" i="1"/>
  <c r="AA43" i="1"/>
  <c r="AG41" i="1"/>
  <c r="AI41" i="1" s="1"/>
  <c r="X36" i="1"/>
  <c r="X32" i="1"/>
  <c r="AA29" i="1"/>
  <c r="W29" i="1" s="1"/>
  <c r="T28" i="1"/>
  <c r="X24" i="1"/>
  <c r="AG22" i="1"/>
  <c r="AG21" i="1"/>
  <c r="AI21" i="1" s="1"/>
  <c r="AA17" i="1"/>
  <c r="T16" i="1"/>
  <c r="U16" i="1" s="1"/>
  <c r="S16" i="1" s="1"/>
  <c r="U81" i="1"/>
  <c r="S81" i="1" s="1"/>
  <c r="W69" i="1"/>
  <c r="U67" i="1"/>
  <c r="S67" i="1" s="1"/>
  <c r="AI61" i="1"/>
  <c r="W54" i="1"/>
  <c r="U53" i="1"/>
  <c r="S53" i="1" s="1"/>
  <c r="AI45" i="1"/>
  <c r="AA27" i="1"/>
  <c r="AA26" i="1"/>
  <c r="X20" i="1"/>
  <c r="AG18" i="1"/>
  <c r="AG17" i="1"/>
  <c r="AI17" i="1" s="1"/>
  <c r="AI228" i="1"/>
  <c r="W193" i="1"/>
  <c r="U192" i="1"/>
  <c r="S192" i="1" s="1"/>
  <c r="U184" i="1"/>
  <c r="S184" i="1" s="1"/>
  <c r="T169" i="1"/>
  <c r="X169" i="1"/>
  <c r="AG205" i="1"/>
  <c r="AG189" i="1"/>
  <c r="W189" i="1" s="1"/>
  <c r="AG185" i="1"/>
  <c r="W185" i="1" s="1"/>
  <c r="AG177" i="1"/>
  <c r="AG173" i="1"/>
  <c r="AG169" i="1"/>
  <c r="AI195" i="1"/>
  <c r="AI193" i="1"/>
  <c r="U237" i="1"/>
  <c r="S237" i="1" s="1"/>
  <c r="T166" i="1"/>
  <c r="X166" i="1"/>
  <c r="AG166" i="1"/>
  <c r="U164" i="1"/>
  <c r="S164" i="1" s="1"/>
  <c r="AG220" i="1"/>
  <c r="AG197" i="1"/>
  <c r="S51" i="3"/>
  <c r="R47" i="3"/>
  <c r="AG221" i="1"/>
  <c r="X220" i="1"/>
  <c r="AI235" i="1"/>
  <c r="AG217" i="1"/>
  <c r="X205" i="1"/>
  <c r="AG202" i="1"/>
  <c r="AI202" i="1" s="1"/>
  <c r="X201" i="1"/>
  <c r="T201" i="1"/>
  <c r="U201" i="1" s="1"/>
  <c r="S201" i="1" s="1"/>
  <c r="AI227" i="1"/>
  <c r="AG198" i="1"/>
  <c r="AI198" i="1" s="1"/>
  <c r="X197" i="1"/>
  <c r="AG194" i="1"/>
  <c r="AI194" i="1" s="1"/>
  <c r="X193" i="1"/>
  <c r="T193" i="1"/>
  <c r="U193" i="1" s="1"/>
  <c r="S193" i="1" s="1"/>
  <c r="AI219" i="1"/>
  <c r="AG190" i="1"/>
  <c r="AI190" i="1" s="1"/>
  <c r="X189" i="1"/>
  <c r="AI215" i="1"/>
  <c r="AG186" i="1"/>
  <c r="X185" i="1"/>
  <c r="AI211" i="1"/>
  <c r="AG182" i="1"/>
  <c r="X181" i="1"/>
  <c r="T181" i="1"/>
  <c r="U181" i="1" s="1"/>
  <c r="S181" i="1" s="1"/>
  <c r="AI207" i="1"/>
  <c r="AG178" i="1"/>
  <c r="X177" i="1"/>
  <c r="AI203" i="1"/>
  <c r="AG174" i="1"/>
  <c r="AI174" i="1" s="1"/>
  <c r="X173" i="1"/>
  <c r="AI199" i="1"/>
  <c r="AG170" i="1"/>
  <c r="W167" i="1"/>
  <c r="R51" i="3"/>
  <c r="X221" i="1"/>
  <c r="X217" i="1"/>
  <c r="X202" i="1"/>
  <c r="X198" i="1"/>
  <c r="X194" i="1"/>
  <c r="X190" i="1"/>
  <c r="X186" i="1"/>
  <c r="X182" i="1"/>
  <c r="X178" i="1"/>
  <c r="X174" i="1"/>
  <c r="X170" i="1"/>
  <c r="AA168" i="1"/>
  <c r="U168" i="1"/>
  <c r="S168" i="1" s="1"/>
  <c r="W159" i="1"/>
  <c r="AI181" i="1"/>
  <c r="X167" i="1"/>
  <c r="T167" i="1"/>
  <c r="U167" i="1" s="1"/>
  <c r="S167" i="1" s="1"/>
  <c r="X163" i="1"/>
  <c r="T163" i="1"/>
  <c r="U163" i="1" s="1"/>
  <c r="S163" i="1" s="1"/>
  <c r="X159" i="1"/>
  <c r="T159" i="1"/>
  <c r="U159" i="1" s="1"/>
  <c r="S159" i="1" s="1"/>
  <c r="X234" i="1"/>
  <c r="T234" i="1"/>
  <c r="U234" i="1" s="1"/>
  <c r="S234" i="1" s="1"/>
  <c r="AG231" i="1"/>
  <c r="AI231" i="1" s="1"/>
  <c r="X231" i="1"/>
  <c r="U229" i="1"/>
  <c r="S229" i="1" s="1"/>
  <c r="X226" i="1"/>
  <c r="T225" i="1"/>
  <c r="AA223" i="1"/>
  <c r="AI168" i="1"/>
  <c r="T214" i="1"/>
  <c r="X214" i="1"/>
  <c r="AG214" i="1"/>
  <c r="AI165" i="1"/>
  <c r="AI160" i="1"/>
  <c r="AA157" i="1"/>
  <c r="U155" i="1"/>
  <c r="S155" i="1" s="1"/>
  <c r="T153" i="1"/>
  <c r="U153" i="1" s="1"/>
  <c r="S153" i="1" s="1"/>
  <c r="X153" i="1"/>
  <c r="T150" i="1"/>
  <c r="X150" i="1"/>
  <c r="AG150" i="1"/>
  <c r="W150" i="1" s="1"/>
  <c r="AI149" i="1"/>
  <c r="AI144" i="1"/>
  <c r="U135" i="1"/>
  <c r="S135" i="1" s="1"/>
  <c r="U161" i="1"/>
  <c r="S161" i="1" s="1"/>
  <c r="U236" i="1"/>
  <c r="S236" i="1" s="1"/>
  <c r="T224" i="1"/>
  <c r="X224" i="1"/>
  <c r="T223" i="1"/>
  <c r="AI164" i="1"/>
  <c r="T157" i="1"/>
  <c r="X157" i="1"/>
  <c r="T154" i="1"/>
  <c r="X154" i="1"/>
  <c r="AG154" i="1"/>
  <c r="AI153" i="1"/>
  <c r="W131" i="1"/>
  <c r="U123" i="1"/>
  <c r="S123" i="1" s="1"/>
  <c r="AI123" i="1"/>
  <c r="AI119" i="1"/>
  <c r="AI115" i="1"/>
  <c r="AI111" i="1"/>
  <c r="AG162" i="1"/>
  <c r="AG158" i="1"/>
  <c r="AG233" i="1"/>
  <c r="W233" i="1" s="1"/>
  <c r="W231" i="1"/>
  <c r="T228" i="1"/>
  <c r="U228" i="1" s="1"/>
  <c r="S228" i="1" s="1"/>
  <c r="X228" i="1"/>
  <c r="AG224" i="1"/>
  <c r="AG223" i="1"/>
  <c r="AI223" i="1" s="1"/>
  <c r="T209" i="1"/>
  <c r="U209" i="1" s="1"/>
  <c r="S209" i="1" s="1"/>
  <c r="X209" i="1"/>
  <c r="T206" i="1"/>
  <c r="X206" i="1"/>
  <c r="AG206" i="1"/>
  <c r="AI206" i="1" s="1"/>
  <c r="AG157" i="1"/>
  <c r="W156" i="1"/>
  <c r="X155" i="1"/>
  <c r="AI152" i="1"/>
  <c r="T145" i="1"/>
  <c r="U145" i="1" s="1"/>
  <c r="S145" i="1" s="1"/>
  <c r="X145" i="1"/>
  <c r="U144" i="1"/>
  <c r="S144" i="1" s="1"/>
  <c r="T141" i="1"/>
  <c r="X141" i="1"/>
  <c r="AG141" i="1"/>
  <c r="U139" i="1"/>
  <c r="S139" i="1" s="1"/>
  <c r="AI139" i="1"/>
  <c r="AI131" i="1"/>
  <c r="X162" i="1"/>
  <c r="X158" i="1"/>
  <c r="AI182" i="1"/>
  <c r="X233" i="1"/>
  <c r="AI178" i="1"/>
  <c r="AI173" i="1"/>
  <c r="U225" i="1"/>
  <c r="S225" i="1" s="1"/>
  <c r="T213" i="1"/>
  <c r="U213" i="1" s="1"/>
  <c r="S213" i="1" s="1"/>
  <c r="X213" i="1"/>
  <c r="T210" i="1"/>
  <c r="X210" i="1"/>
  <c r="AG210" i="1"/>
  <c r="AI210" i="1" s="1"/>
  <c r="AI161" i="1"/>
  <c r="AI156" i="1"/>
  <c r="T149" i="1"/>
  <c r="U149" i="1" s="1"/>
  <c r="S149" i="1" s="1"/>
  <c r="X149" i="1"/>
  <c r="T146" i="1"/>
  <c r="X146" i="1"/>
  <c r="AG146" i="1"/>
  <c r="AI145" i="1"/>
  <c r="W135" i="1"/>
  <c r="U128" i="1"/>
  <c r="S128" i="1" s="1"/>
  <c r="X123" i="1"/>
  <c r="X119" i="1"/>
  <c r="X115" i="1"/>
  <c r="X111" i="1"/>
  <c r="AI99" i="1"/>
  <c r="AI95" i="1"/>
  <c r="AI87" i="1"/>
  <c r="AG137" i="1"/>
  <c r="AG133" i="1"/>
  <c r="W133" i="1" s="1"/>
  <c r="AG129" i="1"/>
  <c r="W129" i="1" s="1"/>
  <c r="AG125" i="1"/>
  <c r="U113" i="1"/>
  <c r="S113" i="1" s="1"/>
  <c r="AG142" i="1"/>
  <c r="W142" i="1" s="1"/>
  <c r="AG138" i="1"/>
  <c r="W138" i="1" s="1"/>
  <c r="X137" i="1"/>
  <c r="AG134" i="1"/>
  <c r="X133" i="1"/>
  <c r="AG130" i="1"/>
  <c r="W130" i="1" s="1"/>
  <c r="X129" i="1"/>
  <c r="AG126" i="1"/>
  <c r="X125" i="1"/>
  <c r="AG122" i="1"/>
  <c r="X121" i="1"/>
  <c r="AG118" i="1"/>
  <c r="X117" i="1"/>
  <c r="AI116" i="1"/>
  <c r="AG114" i="1"/>
  <c r="W114" i="1" s="1"/>
  <c r="X113" i="1"/>
  <c r="AI112" i="1"/>
  <c r="AG110" i="1"/>
  <c r="AI106" i="1"/>
  <c r="U106" i="1"/>
  <c r="S106" i="1" s="1"/>
  <c r="AI102" i="1"/>
  <c r="AI98" i="1"/>
  <c r="AI94" i="1"/>
  <c r="U94" i="1"/>
  <c r="S94" i="1" s="1"/>
  <c r="AI90" i="1"/>
  <c r="AI86" i="1"/>
  <c r="U86" i="1"/>
  <c r="S86" i="1" s="1"/>
  <c r="AI80" i="1"/>
  <c r="X142" i="1"/>
  <c r="X138" i="1"/>
  <c r="X134" i="1"/>
  <c r="X130" i="1"/>
  <c r="X126" i="1"/>
  <c r="X122" i="1"/>
  <c r="X118" i="1"/>
  <c r="AI117" i="1"/>
  <c r="X114" i="1"/>
  <c r="AI113" i="1"/>
  <c r="X110" i="1"/>
  <c r="W108" i="1"/>
  <c r="T108" i="1"/>
  <c r="U108" i="1" s="1"/>
  <c r="S108" i="1" s="1"/>
  <c r="T104" i="1"/>
  <c r="X104" i="1"/>
  <c r="AG104" i="1"/>
  <c r="X105" i="1"/>
  <c r="T100" i="1"/>
  <c r="X100" i="1"/>
  <c r="AG100" i="1"/>
  <c r="X101" i="1"/>
  <c r="W99" i="1"/>
  <c r="T96" i="1"/>
  <c r="X96" i="1"/>
  <c r="AG96" i="1"/>
  <c r="X97" i="1"/>
  <c r="T92" i="1"/>
  <c r="X92" i="1"/>
  <c r="AG92" i="1"/>
  <c r="X93" i="1"/>
  <c r="T88" i="1"/>
  <c r="X88" i="1"/>
  <c r="AG88" i="1"/>
  <c r="X89" i="1"/>
  <c r="W87" i="1"/>
  <c r="T84" i="1"/>
  <c r="X84" i="1"/>
  <c r="AG84" i="1"/>
  <c r="X85" i="1"/>
  <c r="AG82" i="1"/>
  <c r="T79" i="1"/>
  <c r="U79" i="1" s="1"/>
  <c r="S79" i="1" s="1"/>
  <c r="AI73" i="1"/>
  <c r="X82" i="1"/>
  <c r="AI81" i="1"/>
  <c r="X79" i="1"/>
  <c r="T78" i="1"/>
  <c r="X78" i="1"/>
  <c r="T77" i="1"/>
  <c r="X107" i="1"/>
  <c r="X103" i="1"/>
  <c r="X99" i="1"/>
  <c r="X95" i="1"/>
  <c r="X91" i="1"/>
  <c r="X87" i="1"/>
  <c r="X83" i="1"/>
  <c r="AG78" i="1"/>
  <c r="AG77" i="1"/>
  <c r="T75" i="1"/>
  <c r="AG75" i="1"/>
  <c r="T74" i="1"/>
  <c r="U74" i="1" s="1"/>
  <c r="S74" i="1" s="1"/>
  <c r="X74" i="1"/>
  <c r="AA73" i="1"/>
  <c r="W73" i="1" s="1"/>
  <c r="U73" i="1"/>
  <c r="S73" i="1" s="1"/>
  <c r="T71" i="1"/>
  <c r="AG71" i="1"/>
  <c r="T68" i="1"/>
  <c r="AG68" i="1"/>
  <c r="X65" i="1"/>
  <c r="T64" i="1"/>
  <c r="X64" i="1"/>
  <c r="AG64" i="1"/>
  <c r="AI74" i="1"/>
  <c r="AI70" i="1"/>
  <c r="AI67" i="1"/>
  <c r="U59" i="1"/>
  <c r="S59" i="1" s="1"/>
  <c r="U55" i="1"/>
  <c r="S55" i="1" s="1"/>
  <c r="AG48" i="1"/>
  <c r="T48" i="1"/>
  <c r="X48" i="1"/>
  <c r="AI47" i="1"/>
  <c r="U36" i="1"/>
  <c r="S36" i="1" s="1"/>
  <c r="AI36" i="1"/>
  <c r="U32" i="1"/>
  <c r="S32" i="1" s="1"/>
  <c r="AI32" i="1"/>
  <c r="U24" i="1"/>
  <c r="S24" i="1" s="1"/>
  <c r="AI24" i="1"/>
  <c r="X67" i="1"/>
  <c r="AI66" i="1"/>
  <c r="X63" i="1"/>
  <c r="AG60" i="1"/>
  <c r="X59" i="1"/>
  <c r="AI58" i="1"/>
  <c r="AG56" i="1"/>
  <c r="X55" i="1"/>
  <c r="AI54" i="1"/>
  <c r="AG52" i="1"/>
  <c r="X51" i="1"/>
  <c r="AA42" i="1"/>
  <c r="U40" i="1"/>
  <c r="S40" i="1" s="1"/>
  <c r="AI40" i="1"/>
  <c r="U20" i="1"/>
  <c r="S20" i="1" s="1"/>
  <c r="AI20" i="1"/>
  <c r="W16" i="1"/>
  <c r="X60" i="1"/>
  <c r="T60" i="1"/>
  <c r="AI59" i="1"/>
  <c r="X56" i="1"/>
  <c r="T56" i="1"/>
  <c r="AI55" i="1"/>
  <c r="X52" i="1"/>
  <c r="T52" i="1"/>
  <c r="X49" i="1"/>
  <c r="T43" i="1"/>
  <c r="X43" i="1"/>
  <c r="AG43" i="1"/>
  <c r="X44" i="1"/>
  <c r="U28" i="1"/>
  <c r="S28" i="1" s="1"/>
  <c r="AI28" i="1"/>
  <c r="AI16" i="1"/>
  <c r="T47" i="1"/>
  <c r="U47" i="1" s="1"/>
  <c r="S47" i="1" s="1"/>
  <c r="X47" i="1"/>
  <c r="AA46" i="1"/>
  <c r="W46" i="1" s="1"/>
  <c r="AI42" i="1"/>
  <c r="W36" i="1"/>
  <c r="W32" i="1"/>
  <c r="W24" i="1"/>
  <c r="U41" i="1"/>
  <c r="S41" i="1" s="1"/>
  <c r="X40" i="1"/>
  <c r="U37" i="1"/>
  <c r="S37" i="1" s="1"/>
  <c r="U29" i="1"/>
  <c r="S29" i="1" s="1"/>
  <c r="U21" i="1"/>
  <c r="S21" i="1" s="1"/>
  <c r="U17" i="1"/>
  <c r="S17" i="1" s="1"/>
  <c r="U26" i="1"/>
  <c r="S26" i="1" s="1"/>
  <c r="U22" i="1"/>
  <c r="S22" i="1" s="1"/>
  <c r="U18" i="1"/>
  <c r="S18" i="1" s="1"/>
  <c r="AG39" i="1"/>
  <c r="W39" i="1" s="1"/>
  <c r="AG35" i="1"/>
  <c r="AG31" i="1"/>
  <c r="X30" i="1"/>
  <c r="AG27" i="1"/>
  <c r="W27" i="1" s="1"/>
  <c r="X26" i="1"/>
  <c r="AG23" i="1"/>
  <c r="X22" i="1"/>
  <c r="AG19" i="1"/>
  <c r="W19" i="1" s="1"/>
  <c r="X18" i="1"/>
  <c r="AG15" i="1"/>
  <c r="X39" i="1"/>
  <c r="AI38" i="1"/>
  <c r="X35" i="1"/>
  <c r="X31" i="1"/>
  <c r="X27" i="1"/>
  <c r="AI26" i="1"/>
  <c r="X23" i="1"/>
  <c r="AI22" i="1"/>
  <c r="X19" i="1"/>
  <c r="AI18" i="1"/>
  <c r="X15" i="1"/>
  <c r="AI14" i="1"/>
  <c r="AE37" i="3"/>
  <c r="T58" i="3"/>
  <c r="AE18" i="3"/>
  <c r="Y55" i="3"/>
  <c r="T17" i="3"/>
  <c r="AD21" i="3"/>
  <c r="AE52" i="3"/>
  <c r="Y36" i="3"/>
  <c r="Y15" i="3"/>
  <c r="AD7" i="3"/>
  <c r="AD37" i="3"/>
  <c r="Y33" i="3"/>
  <c r="T46" i="3"/>
  <c r="Y42" i="3"/>
  <c r="AD27" i="3"/>
  <c r="Y24" i="3"/>
  <c r="Y51" i="3"/>
  <c r="AE51" i="3"/>
  <c r="Y47" i="3"/>
  <c r="AD50" i="3"/>
  <c r="Y58" i="3"/>
  <c r="T9" i="3"/>
  <c r="Y26" i="3"/>
  <c r="AD18" i="3"/>
  <c r="Y13" i="3"/>
  <c r="Y25" i="3"/>
  <c r="AD16" i="3"/>
  <c r="Y17" i="3"/>
  <c r="AD8" i="3"/>
  <c r="T21" i="3"/>
  <c r="AD31" i="3"/>
  <c r="Y53" i="3"/>
  <c r="AD52" i="3"/>
  <c r="AE15" i="3"/>
  <c r="T37" i="3"/>
  <c r="AD29" i="3"/>
  <c r="AD58" i="3"/>
  <c r="AE58" i="3"/>
  <c r="AE17" i="3"/>
  <c r="AD36" i="3"/>
  <c r="AD15" i="3"/>
  <c r="AD41" i="3"/>
  <c r="Y46" i="3"/>
  <c r="AE28" i="3"/>
  <c r="T24" i="3"/>
  <c r="Y32" i="3"/>
  <c r="AD10" i="3"/>
  <c r="AE10" i="3"/>
  <c r="T47" i="3"/>
  <c r="T50" i="3"/>
  <c r="AE39" i="3"/>
  <c r="AD49" i="3"/>
  <c r="AE49" i="3"/>
  <c r="T38" i="3"/>
  <c r="T26" i="3"/>
  <c r="AE35" i="3"/>
  <c r="AD22" i="3"/>
  <c r="AE22" i="3"/>
  <c r="T25" i="3"/>
  <c r="T16" i="3"/>
  <c r="AE8" i="3"/>
  <c r="AD54" i="3"/>
  <c r="AE54" i="3"/>
  <c r="T31" i="3"/>
  <c r="T53" i="3"/>
  <c r="AE36" i="3"/>
  <c r="AD23" i="3"/>
  <c r="AE23" i="3"/>
  <c r="T7" i="3"/>
  <c r="T41" i="3"/>
  <c r="AE29" i="3"/>
  <c r="Y41" i="3"/>
  <c r="AC42" i="3"/>
  <c r="T28" i="3"/>
  <c r="AE24" i="3"/>
  <c r="T10" i="3"/>
  <c r="AE47" i="3"/>
  <c r="AE50" i="3"/>
  <c r="T39" i="3"/>
  <c r="AE38" i="3"/>
  <c r="AE26" i="3"/>
  <c r="T35" i="3"/>
  <c r="AE25" i="3"/>
  <c r="AE16" i="3"/>
  <c r="T8" i="3"/>
  <c r="AE31" i="3"/>
  <c r="AE53" i="3"/>
  <c r="T36" i="3"/>
  <c r="AE7" i="3"/>
  <c r="AE41" i="3"/>
  <c r="T29" i="3"/>
  <c r="Y34" i="3"/>
  <c r="Y28" i="3"/>
  <c r="Y49" i="3"/>
  <c r="Y22" i="3"/>
  <c r="Y54" i="3"/>
  <c r="AE43" i="3"/>
  <c r="T43" i="3"/>
  <c r="AE14" i="3"/>
  <c r="T14" i="3"/>
  <c r="AE27" i="3"/>
  <c r="T27" i="3"/>
  <c r="AC43" i="3"/>
  <c r="AD42" i="3"/>
  <c r="AD11" i="3"/>
  <c r="AD20" i="3"/>
  <c r="AC47" i="3"/>
  <c r="AD40" i="3"/>
  <c r="AC39" i="3"/>
  <c r="AD56" i="3"/>
  <c r="AC38" i="3"/>
  <c r="AD59" i="3"/>
  <c r="AC35" i="3"/>
  <c r="AD13" i="3"/>
  <c r="AD48" i="3"/>
  <c r="AD44" i="3"/>
  <c r="AC31" i="3"/>
  <c r="AD12" i="3"/>
  <c r="AC36" i="3"/>
  <c r="AD19" i="3"/>
  <c r="AD45" i="3"/>
  <c r="AC29" i="3"/>
  <c r="AD30" i="3"/>
  <c r="AC51" i="3"/>
  <c r="AC40" i="3"/>
  <c r="AC56" i="3"/>
  <c r="AC59" i="3"/>
  <c r="AC48" i="3"/>
  <c r="AC44" i="3"/>
  <c r="AC45" i="3"/>
  <c r="AC30" i="3"/>
  <c r="AE42" i="3"/>
  <c r="AE11" i="3"/>
  <c r="AE20" i="3"/>
  <c r="AE40" i="3"/>
  <c r="AE56" i="3"/>
  <c r="AE59" i="3"/>
  <c r="AE13" i="3"/>
  <c r="AE48" i="3"/>
  <c r="AE44" i="3"/>
  <c r="AE12" i="3"/>
  <c r="AE19" i="3"/>
  <c r="AE45" i="3"/>
  <c r="AE30" i="3"/>
  <c r="M57" i="3"/>
  <c r="R57" i="3"/>
  <c r="U57" i="3"/>
  <c r="AD34" i="3" s="1"/>
  <c r="W57" i="3"/>
  <c r="X57" i="3"/>
  <c r="W212" i="1" l="1"/>
  <c r="U51" i="1"/>
  <c r="S51" i="1" s="1"/>
  <c r="AI107" i="1"/>
  <c r="AI127" i="1"/>
  <c r="W128" i="1"/>
  <c r="W124" i="1"/>
  <c r="W115" i="1"/>
  <c r="U34" i="1"/>
  <c r="S34" i="1" s="1"/>
  <c r="U33" i="1"/>
  <c r="S33" i="1" s="1"/>
  <c r="AI50" i="1"/>
  <c r="W42" i="1"/>
  <c r="AI69" i="1"/>
  <c r="W96" i="1"/>
  <c r="AI109" i="1"/>
  <c r="AI120" i="1"/>
  <c r="U140" i="1"/>
  <c r="S140" i="1" s="1"/>
  <c r="W148" i="1"/>
  <c r="W168" i="1"/>
  <c r="W186" i="1"/>
  <c r="U172" i="1"/>
  <c r="S172" i="1" s="1"/>
  <c r="W89" i="1"/>
  <c r="U179" i="1"/>
  <c r="S179" i="1" s="1"/>
  <c r="W236" i="1"/>
  <c r="U62" i="1"/>
  <c r="S62" i="1" s="1"/>
  <c r="W91" i="1"/>
  <c r="W109" i="1"/>
  <c r="W107" i="1"/>
  <c r="U132" i="1"/>
  <c r="S132" i="1" s="1"/>
  <c r="W179" i="1"/>
  <c r="W95" i="1"/>
  <c r="W30" i="1"/>
  <c r="U14" i="1"/>
  <c r="S14" i="1" s="1"/>
  <c r="AI30" i="1"/>
  <c r="W132" i="1"/>
  <c r="W56" i="1"/>
  <c r="W68" i="1"/>
  <c r="W166" i="1"/>
  <c r="U180" i="1"/>
  <c r="S180" i="1" s="1"/>
  <c r="W18" i="1"/>
  <c r="W58" i="1"/>
  <c r="W33" i="1"/>
  <c r="W172" i="1"/>
  <c r="U188" i="1"/>
  <c r="S188" i="1" s="1"/>
  <c r="W116" i="1"/>
  <c r="W144" i="1"/>
  <c r="U120" i="1"/>
  <c r="S120" i="1" s="1"/>
  <c r="AI121" i="1"/>
  <c r="AI91" i="1"/>
  <c r="U116" i="1"/>
  <c r="S116" i="1" s="1"/>
  <c r="U124" i="1"/>
  <c r="S124" i="1" s="1"/>
  <c r="U115" i="1"/>
  <c r="S115" i="1" s="1"/>
  <c r="AI185" i="1"/>
  <c r="W50" i="1"/>
  <c r="W93" i="1"/>
  <c r="U25" i="1"/>
  <c r="S25" i="1" s="1"/>
  <c r="AI63" i="1"/>
  <c r="W77" i="1"/>
  <c r="AI124" i="1"/>
  <c r="W137" i="1"/>
  <c r="AI186" i="1"/>
  <c r="AI188" i="1"/>
  <c r="U49" i="1"/>
  <c r="S49" i="1" s="1"/>
  <c r="W208" i="1"/>
  <c r="W180" i="1"/>
  <c r="AI62" i="1"/>
  <c r="W63" i="1"/>
  <c r="AI136" i="1"/>
  <c r="AI83" i="1"/>
  <c r="U208" i="1"/>
  <c r="S208" i="1" s="1"/>
  <c r="W224" i="1"/>
  <c r="U111" i="1"/>
  <c r="S111" i="1" s="1"/>
  <c r="U238" i="1"/>
  <c r="S238" i="1" s="1"/>
  <c r="W170" i="1"/>
  <c r="W190" i="1"/>
  <c r="W220" i="1"/>
  <c r="U176" i="1"/>
  <c r="S176" i="1" s="1"/>
  <c r="W26" i="1"/>
  <c r="U66" i="1"/>
  <c r="S66" i="1" s="1"/>
  <c r="W25" i="1"/>
  <c r="W37" i="1"/>
  <c r="U152" i="1"/>
  <c r="S152" i="1" s="1"/>
  <c r="W165" i="1"/>
  <c r="W119" i="1"/>
  <c r="U230" i="1"/>
  <c r="S230" i="1" s="1"/>
  <c r="U171" i="1"/>
  <c r="S171" i="1" s="1"/>
  <c r="W232" i="1"/>
  <c r="AI189" i="1"/>
  <c r="W41" i="1"/>
  <c r="W34" i="1"/>
  <c r="W230" i="1"/>
  <c r="W66" i="1"/>
  <c r="U95" i="1"/>
  <c r="S95" i="1" s="1"/>
  <c r="W62" i="1"/>
  <c r="W49" i="1"/>
  <c r="W226" i="1"/>
  <c r="W83" i="1"/>
  <c r="W51" i="1"/>
  <c r="W113" i="1"/>
  <c r="W214" i="1"/>
  <c r="AI214" i="1"/>
  <c r="W55" i="1"/>
  <c r="U85" i="1"/>
  <c r="S85" i="1" s="1"/>
  <c r="AI85" i="1"/>
  <c r="W152" i="1"/>
  <c r="U175" i="1"/>
  <c r="S175" i="1" s="1"/>
  <c r="AI175" i="1"/>
  <c r="W188" i="1"/>
  <c r="W216" i="1"/>
  <c r="W238" i="1"/>
  <c r="W175" i="1"/>
  <c r="U76" i="1"/>
  <c r="S76" i="1" s="1"/>
  <c r="AI76" i="1"/>
  <c r="W85" i="1"/>
  <c r="U103" i="1"/>
  <c r="S103" i="1" s="1"/>
  <c r="U218" i="1"/>
  <c r="S218" i="1" s="1"/>
  <c r="AI218" i="1"/>
  <c r="W218" i="1"/>
  <c r="AI220" i="1"/>
  <c r="W17" i="1"/>
  <c r="W21" i="1"/>
  <c r="W22" i="1"/>
  <c r="U101" i="1"/>
  <c r="S101" i="1" s="1"/>
  <c r="AI101" i="1"/>
  <c r="U89" i="1"/>
  <c r="S89" i="1" s="1"/>
  <c r="AI89" i="1"/>
  <c r="U105" i="1"/>
  <c r="S105" i="1" s="1"/>
  <c r="AI105" i="1"/>
  <c r="W176" i="1"/>
  <c r="U87" i="1"/>
  <c r="S87" i="1" s="1"/>
  <c r="W187" i="1"/>
  <c r="U65" i="1"/>
  <c r="S65" i="1" s="1"/>
  <c r="AI65" i="1"/>
  <c r="U93" i="1"/>
  <c r="S93" i="1" s="1"/>
  <c r="AI93" i="1"/>
  <c r="U70" i="1"/>
  <c r="S70" i="1" s="1"/>
  <c r="W76" i="1"/>
  <c r="W65" i="1"/>
  <c r="U97" i="1"/>
  <c r="S97" i="1" s="1"/>
  <c r="AI97" i="1"/>
  <c r="U23" i="1"/>
  <c r="S23" i="1" s="1"/>
  <c r="AI23" i="1"/>
  <c r="U31" i="1"/>
  <c r="S31" i="1" s="1"/>
  <c r="AI31" i="1"/>
  <c r="U43" i="1"/>
  <c r="S43" i="1" s="1"/>
  <c r="AI43" i="1"/>
  <c r="W31" i="1"/>
  <c r="U48" i="1"/>
  <c r="S48" i="1" s="1"/>
  <c r="AI48" i="1"/>
  <c r="W78" i="1"/>
  <c r="U78" i="1"/>
  <c r="S78" i="1" s="1"/>
  <c r="AI78" i="1"/>
  <c r="AI82" i="1"/>
  <c r="U82" i="1"/>
  <c r="S82" i="1" s="1"/>
  <c r="U84" i="1"/>
  <c r="S84" i="1" s="1"/>
  <c r="AI84" i="1"/>
  <c r="U100" i="1"/>
  <c r="S100" i="1" s="1"/>
  <c r="AI100" i="1"/>
  <c r="U110" i="1"/>
  <c r="S110" i="1" s="1"/>
  <c r="AI110" i="1"/>
  <c r="U126" i="1"/>
  <c r="S126" i="1" s="1"/>
  <c r="AI126" i="1"/>
  <c r="AI137" i="1"/>
  <c r="U137" i="1"/>
  <c r="S137" i="1" s="1"/>
  <c r="U146" i="1"/>
  <c r="AI146" i="1"/>
  <c r="U210" i="1"/>
  <c r="S210" i="1" s="1"/>
  <c r="AI162" i="1"/>
  <c r="U158" i="1"/>
  <c r="S158" i="1" s="1"/>
  <c r="AI183" i="1"/>
  <c r="W157" i="1"/>
  <c r="U231" i="1"/>
  <c r="S231" i="1" s="1"/>
  <c r="AI177" i="1"/>
  <c r="W158" i="1"/>
  <c r="U178" i="1"/>
  <c r="S178" i="1" s="1"/>
  <c r="AI205" i="1"/>
  <c r="U182" i="1"/>
  <c r="S182" i="1" s="1"/>
  <c r="AI209" i="1"/>
  <c r="AI196" i="1"/>
  <c r="U169" i="1"/>
  <c r="S169" i="1" s="1"/>
  <c r="AI216" i="1"/>
  <c r="U189" i="1"/>
  <c r="S189" i="1" s="1"/>
  <c r="W210" i="1"/>
  <c r="W169" i="1"/>
  <c r="U15" i="1"/>
  <c r="S15" i="1" s="1"/>
  <c r="AI15" i="1"/>
  <c r="U35" i="1"/>
  <c r="S35" i="1" s="1"/>
  <c r="AI35" i="1"/>
  <c r="W43" i="1"/>
  <c r="W23" i="1"/>
  <c r="U75" i="1"/>
  <c r="S75" i="1" s="1"/>
  <c r="AI75" i="1"/>
  <c r="W48" i="1"/>
  <c r="U88" i="1"/>
  <c r="S88" i="1" s="1"/>
  <c r="AI88" i="1"/>
  <c r="U104" i="1"/>
  <c r="S104" i="1" s="1"/>
  <c r="AI104" i="1"/>
  <c r="U122" i="1"/>
  <c r="S122" i="1" s="1"/>
  <c r="AI122" i="1"/>
  <c r="U138" i="1"/>
  <c r="S138" i="1" s="1"/>
  <c r="AI138" i="1"/>
  <c r="W82" i="1"/>
  <c r="AI125" i="1"/>
  <c r="U125" i="1"/>
  <c r="S125" i="1" s="1"/>
  <c r="AI157" i="1"/>
  <c r="U157" i="1"/>
  <c r="S157" i="1" s="1"/>
  <c r="AI169" i="1"/>
  <c r="U223" i="1"/>
  <c r="S223" i="1" s="1"/>
  <c r="U162" i="1"/>
  <c r="S162" i="1" s="1"/>
  <c r="AI187" i="1"/>
  <c r="U154" i="1"/>
  <c r="S154" i="1" s="1"/>
  <c r="AI154" i="1"/>
  <c r="U174" i="1"/>
  <c r="S174" i="1" s="1"/>
  <c r="AI201" i="1"/>
  <c r="U198" i="1"/>
  <c r="S198" i="1" s="1"/>
  <c r="AI225" i="1"/>
  <c r="AI233" i="1"/>
  <c r="U217" i="1"/>
  <c r="S217" i="1" s="1"/>
  <c r="U221" i="1"/>
  <c r="S221" i="1" s="1"/>
  <c r="AI237" i="1"/>
  <c r="AI224" i="1"/>
  <c r="U197" i="1"/>
  <c r="S197" i="1" s="1"/>
  <c r="AI200" i="1"/>
  <c r="U173" i="1"/>
  <c r="S173" i="1" s="1"/>
  <c r="AI232" i="1"/>
  <c r="U205" i="1"/>
  <c r="S205" i="1" s="1"/>
  <c r="W197" i="1"/>
  <c r="W15" i="1"/>
  <c r="U19" i="1"/>
  <c r="S19" i="1" s="1"/>
  <c r="AI19" i="1"/>
  <c r="U27" i="1"/>
  <c r="S27" i="1" s="1"/>
  <c r="AI27" i="1"/>
  <c r="U39" i="1"/>
  <c r="S39" i="1" s="1"/>
  <c r="AI39" i="1"/>
  <c r="W35" i="1"/>
  <c r="AI52" i="1"/>
  <c r="U52" i="1"/>
  <c r="S52" i="1" s="1"/>
  <c r="AI56" i="1"/>
  <c r="U56" i="1"/>
  <c r="S56" i="1" s="1"/>
  <c r="AI60" i="1"/>
  <c r="U60" i="1"/>
  <c r="S60" i="1" s="1"/>
  <c r="W60" i="1"/>
  <c r="AI64" i="1"/>
  <c r="U64" i="1"/>
  <c r="S64" i="1" s="1"/>
  <c r="AI68" i="1"/>
  <c r="U68" i="1"/>
  <c r="S68" i="1" s="1"/>
  <c r="U71" i="1"/>
  <c r="S71" i="1" s="1"/>
  <c r="AI71" i="1"/>
  <c r="W52" i="1"/>
  <c r="W64" i="1"/>
  <c r="W71" i="1"/>
  <c r="W75" i="1"/>
  <c r="U92" i="1"/>
  <c r="S92" i="1" s="1"/>
  <c r="AI92" i="1"/>
  <c r="W84" i="1"/>
  <c r="W88" i="1"/>
  <c r="W92" i="1"/>
  <c r="W100" i="1"/>
  <c r="W104" i="1"/>
  <c r="U118" i="1"/>
  <c r="S118" i="1" s="1"/>
  <c r="AI118" i="1"/>
  <c r="U134" i="1"/>
  <c r="S134" i="1" s="1"/>
  <c r="AI134" i="1"/>
  <c r="AI129" i="1"/>
  <c r="U129" i="1"/>
  <c r="S129" i="1" s="1"/>
  <c r="AI141" i="1"/>
  <c r="U141" i="1"/>
  <c r="S141" i="1" s="1"/>
  <c r="U206" i="1"/>
  <c r="S206" i="1" s="1"/>
  <c r="AI158" i="1"/>
  <c r="U224" i="1"/>
  <c r="S224" i="1" s="1"/>
  <c r="AI170" i="1"/>
  <c r="W110" i="1"/>
  <c r="W118" i="1"/>
  <c r="W122" i="1"/>
  <c r="W125" i="1"/>
  <c r="W141" i="1"/>
  <c r="U150" i="1"/>
  <c r="S150" i="1" s="1"/>
  <c r="AI150" i="1"/>
  <c r="W206" i="1"/>
  <c r="W146" i="1"/>
  <c r="U170" i="1"/>
  <c r="S170" i="1" s="1"/>
  <c r="AI197" i="1"/>
  <c r="U190" i="1"/>
  <c r="S190" i="1" s="1"/>
  <c r="AI217" i="1"/>
  <c r="AI221" i="1"/>
  <c r="U194" i="1"/>
  <c r="S194" i="1" s="1"/>
  <c r="U202" i="1"/>
  <c r="S202" i="1" s="1"/>
  <c r="AI229" i="1"/>
  <c r="AI236" i="1"/>
  <c r="U220" i="1"/>
  <c r="S220" i="1" s="1"/>
  <c r="AI204" i="1"/>
  <c r="U177" i="1"/>
  <c r="S177" i="1" s="1"/>
  <c r="W173" i="1"/>
  <c r="W198" i="1"/>
  <c r="W177" i="1"/>
  <c r="W221" i="1"/>
  <c r="W205" i="1"/>
  <c r="AI77" i="1"/>
  <c r="U77" i="1"/>
  <c r="S77" i="1" s="1"/>
  <c r="U96" i="1"/>
  <c r="S96" i="1" s="1"/>
  <c r="AI96" i="1"/>
  <c r="U114" i="1"/>
  <c r="S114" i="1" s="1"/>
  <c r="AI114" i="1"/>
  <c r="U130" i="1"/>
  <c r="S130" i="1" s="1"/>
  <c r="AI130" i="1"/>
  <c r="U142" i="1"/>
  <c r="S142" i="1" s="1"/>
  <c r="AI142" i="1"/>
  <c r="AI133" i="1"/>
  <c r="U133" i="1"/>
  <c r="S133" i="1" s="1"/>
  <c r="U233" i="1"/>
  <c r="S233" i="1" s="1"/>
  <c r="AI179" i="1"/>
  <c r="W126" i="1"/>
  <c r="W134" i="1"/>
  <c r="U214" i="1"/>
  <c r="S214" i="1" s="1"/>
  <c r="AI166" i="1"/>
  <c r="W223" i="1"/>
  <c r="U186" i="1"/>
  <c r="S186" i="1" s="1"/>
  <c r="AI213" i="1"/>
  <c r="W162" i="1"/>
  <c r="U166" i="1"/>
  <c r="S166" i="1" s="1"/>
  <c r="AI191" i="1"/>
  <c r="AI212" i="1"/>
  <c r="U185" i="1"/>
  <c r="S185" i="1" s="1"/>
  <c r="W154" i="1"/>
  <c r="W174" i="1"/>
  <c r="W202" i="1"/>
  <c r="W182" i="1"/>
  <c r="W178" i="1"/>
  <c r="W194" i="1"/>
  <c r="W217" i="1"/>
  <c r="Y57" i="3"/>
  <c r="B87" i="9" l="1"/>
  <c r="B88" i="9"/>
  <c r="C88" i="9" s="1"/>
  <c r="B89" i="9"/>
  <c r="B90" i="9"/>
  <c r="B91" i="9"/>
  <c r="B92" i="9"/>
  <c r="C92" i="9" s="1"/>
  <c r="C90" i="9" l="1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13" i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5" i="6"/>
  <c r="G5" i="6" s="1"/>
  <c r="F5" i="6" l="1"/>
  <c r="J5" i="6"/>
  <c r="I5" i="6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S57" i="3" l="1"/>
  <c r="V57" i="3"/>
  <c r="AC57" i="3"/>
  <c r="AD57" i="3"/>
  <c r="AN13" i="1"/>
  <c r="V13" i="1"/>
  <c r="B31" i="9"/>
  <c r="B32" i="9"/>
  <c r="C33" i="9" s="1"/>
  <c r="AE57" i="3" l="1"/>
  <c r="AE34" i="3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N15" i="3" s="1"/>
  <c r="G46" i="4"/>
  <c r="G47" i="4"/>
  <c r="G48" i="4"/>
  <c r="G49" i="4"/>
  <c r="G50" i="4"/>
  <c r="G51" i="4"/>
  <c r="G52" i="4"/>
  <c r="G53" i="4"/>
  <c r="G54" i="4"/>
  <c r="G55" i="4"/>
  <c r="N19" i="3" s="1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N21" i="3" s="1"/>
  <c r="G78" i="4"/>
  <c r="G79" i="4"/>
  <c r="N54" i="3" s="1"/>
  <c r="G80" i="4"/>
  <c r="G81" i="4"/>
  <c r="G82" i="4"/>
  <c r="G83" i="4"/>
  <c r="G84" i="4"/>
  <c r="G85" i="4"/>
  <c r="G86" i="4"/>
  <c r="G87" i="4"/>
  <c r="G88" i="4"/>
  <c r="G89" i="4"/>
  <c r="N44" i="3" s="1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N26" i="3" s="1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N39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N40" i="3" s="1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N10" i="3" s="1"/>
  <c r="G192" i="4"/>
  <c r="G193" i="4"/>
  <c r="G194" i="4"/>
  <c r="G195" i="4"/>
  <c r="G196" i="4"/>
  <c r="G197" i="4"/>
  <c r="G198" i="4"/>
  <c r="G199" i="4"/>
  <c r="G200" i="4"/>
  <c r="G201" i="4"/>
  <c r="G202" i="4"/>
  <c r="N24" i="3" s="1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1" i="3" l="1"/>
  <c r="N28" i="3"/>
  <c r="N50" i="3"/>
  <c r="N49" i="3"/>
  <c r="N59" i="3"/>
  <c r="N13" i="3"/>
  <c r="N8" i="3"/>
  <c r="N17" i="3"/>
  <c r="N16" i="3"/>
  <c r="N52" i="3"/>
  <c r="N53" i="3"/>
  <c r="N7" i="3"/>
  <c r="N45" i="3"/>
  <c r="N29" i="3"/>
  <c r="N41" i="3"/>
  <c r="N34" i="3"/>
  <c r="N33" i="3"/>
  <c r="N42" i="3"/>
  <c r="N43" i="3"/>
  <c r="N14" i="3"/>
  <c r="N46" i="3"/>
  <c r="N27" i="3"/>
  <c r="N32" i="3"/>
  <c r="N56" i="3"/>
  <c r="N9" i="3"/>
  <c r="N38" i="3"/>
  <c r="N12" i="3"/>
  <c r="N31" i="3"/>
  <c r="N36" i="3"/>
  <c r="N23" i="3"/>
  <c r="N47" i="3"/>
  <c r="N51" i="3"/>
  <c r="N58" i="3"/>
  <c r="N18" i="3"/>
  <c r="N35" i="3"/>
  <c r="N22" i="3"/>
  <c r="N55" i="3"/>
  <c r="N48" i="3"/>
  <c r="N37" i="3"/>
  <c r="N30" i="3"/>
  <c r="N20" i="3"/>
  <c r="N25" i="3"/>
  <c r="N57" i="3"/>
  <c r="L13" i="1"/>
  <c r="H5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57" i="3" l="1"/>
  <c r="AF13" i="1"/>
  <c r="B4" i="6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" i="6" l="1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" i="6" l="1"/>
  <c r="I3" i="6" s="1"/>
  <c r="J8" i="1"/>
  <c r="J4" i="1"/>
  <c r="S8" i="1"/>
  <c r="S4" i="1"/>
  <c r="F3" i="6" l="1"/>
  <c r="J3" i="6"/>
  <c r="H3" i="6"/>
  <c r="G3" i="6"/>
  <c r="S9" i="1"/>
  <c r="J9" i="1"/>
  <c r="B6" i="6" l="1"/>
  <c r="I6" i="6" s="1"/>
  <c r="S11" i="1"/>
  <c r="A11" i="1"/>
  <c r="B7" i="6" l="1"/>
  <c r="I7" i="6" s="1"/>
  <c r="G6" i="6"/>
  <c r="H6" i="6"/>
  <c r="J6" i="6"/>
  <c r="F6" i="6"/>
  <c r="B1" i="6"/>
  <c r="A5" i="3"/>
  <c r="G7" i="6" l="1"/>
  <c r="F7" i="6"/>
  <c r="J7" i="6"/>
  <c r="H7" i="6"/>
  <c r="B8" i="6"/>
  <c r="I8" i="6" s="1"/>
  <c r="F8" i="6" l="1"/>
  <c r="J8" i="6"/>
  <c r="G8" i="6"/>
  <c r="H8" i="6"/>
  <c r="B9" i="6"/>
  <c r="I9" i="6" s="1"/>
  <c r="B10" i="6" l="1"/>
  <c r="I10" i="6" s="1"/>
  <c r="J9" i="6"/>
  <c r="G9" i="6"/>
  <c r="F9" i="6"/>
  <c r="H9" i="6"/>
  <c r="F10" i="6" l="1"/>
  <c r="G10" i="6"/>
  <c r="H10" i="6"/>
  <c r="J10" i="6"/>
  <c r="B11" i="6"/>
  <c r="I11" i="6" s="1"/>
  <c r="J11" i="6" l="1"/>
  <c r="H11" i="6"/>
  <c r="F11" i="6"/>
  <c r="G11" i="6"/>
  <c r="B12" i="6"/>
  <c r="I12" i="6" s="1"/>
  <c r="B13" i="6" l="1"/>
  <c r="I13" i="6" s="1"/>
  <c r="J12" i="6"/>
  <c r="F12" i="6"/>
  <c r="H12" i="6"/>
  <c r="G12" i="6"/>
  <c r="F13" i="6" l="1"/>
  <c r="G13" i="6"/>
  <c r="H13" i="6"/>
  <c r="J13" i="6"/>
  <c r="B14" i="6"/>
  <c r="I14" i="6" s="1"/>
  <c r="G14" i="6" l="1"/>
  <c r="H14" i="6"/>
  <c r="J14" i="6"/>
  <c r="F14" i="6"/>
  <c r="B15" i="6"/>
  <c r="I15" i="6" s="1"/>
  <c r="F15" i="6" l="1"/>
  <c r="H15" i="6"/>
  <c r="J15" i="6"/>
  <c r="G15" i="6"/>
  <c r="B16" i="6"/>
  <c r="I16" i="6" s="1"/>
  <c r="F16" i="6" l="1"/>
  <c r="J16" i="6"/>
  <c r="G16" i="6"/>
  <c r="H16" i="6"/>
  <c r="B17" i="6"/>
  <c r="I17" i="6" s="1"/>
  <c r="B18" i="6" l="1"/>
  <c r="I18" i="6" s="1"/>
  <c r="F17" i="6"/>
  <c r="H17" i="6"/>
  <c r="J17" i="6"/>
  <c r="G17" i="6"/>
  <c r="F18" i="6" l="1"/>
  <c r="H18" i="6"/>
  <c r="J18" i="6"/>
  <c r="G18" i="6"/>
  <c r="B19" i="6"/>
  <c r="I19" i="6" s="1"/>
  <c r="J19" i="6" l="1"/>
  <c r="H19" i="6"/>
  <c r="F19" i="6"/>
  <c r="G19" i="6"/>
  <c r="B20" i="6"/>
  <c r="I20" i="6" s="1"/>
  <c r="B21" i="6" l="1"/>
  <c r="I21" i="6" s="1"/>
  <c r="F20" i="6"/>
  <c r="G20" i="6"/>
  <c r="H20" i="6"/>
  <c r="J20" i="6"/>
  <c r="B22" i="6" l="1"/>
  <c r="I22" i="6" s="1"/>
  <c r="H21" i="6"/>
  <c r="F21" i="6"/>
  <c r="J21" i="6"/>
  <c r="G21" i="6"/>
  <c r="B23" i="6" l="1"/>
  <c r="I23" i="6" s="1"/>
  <c r="F22" i="6"/>
  <c r="H22" i="6"/>
  <c r="J22" i="6"/>
  <c r="G22" i="6"/>
  <c r="F23" i="6" l="1"/>
  <c r="G23" i="6"/>
  <c r="J23" i="6"/>
  <c r="H23" i="6"/>
  <c r="B24" i="6"/>
  <c r="I24" i="6" s="1"/>
  <c r="F24" i="6" l="1"/>
  <c r="J24" i="6"/>
  <c r="H24" i="6"/>
  <c r="G24" i="6"/>
  <c r="B25" i="6"/>
  <c r="I25" i="6" s="1"/>
  <c r="F25" i="6" l="1"/>
  <c r="H25" i="6"/>
  <c r="G25" i="6"/>
  <c r="J25" i="6"/>
  <c r="B26" i="6"/>
  <c r="I26" i="6" s="1"/>
  <c r="B27" i="6" l="1"/>
  <c r="I27" i="6" s="1"/>
  <c r="G26" i="6"/>
  <c r="F26" i="6"/>
  <c r="H26" i="6"/>
  <c r="J26" i="6"/>
  <c r="J27" i="6" l="1"/>
  <c r="H27" i="6"/>
  <c r="F27" i="6"/>
  <c r="G27" i="6"/>
  <c r="B28" i="6"/>
  <c r="I28" i="6" s="1"/>
  <c r="H28" i="6" l="1"/>
  <c r="J28" i="6"/>
  <c r="F28" i="6"/>
  <c r="G28" i="6"/>
  <c r="B29" i="6"/>
  <c r="I29" i="6" s="1"/>
  <c r="H29" i="6" l="1"/>
  <c r="J29" i="6"/>
  <c r="F29" i="6"/>
  <c r="G29" i="6"/>
  <c r="B30" i="6"/>
  <c r="I30" i="6" s="1"/>
  <c r="H30" i="6" l="1"/>
  <c r="J30" i="6"/>
  <c r="F30" i="6"/>
  <c r="G30" i="6"/>
  <c r="B31" i="6"/>
  <c r="I31" i="6" s="1"/>
  <c r="G31" i="6" l="1"/>
  <c r="F31" i="6"/>
  <c r="H31" i="6"/>
  <c r="J31" i="6"/>
  <c r="B32" i="6"/>
  <c r="I32" i="6" s="1"/>
  <c r="B33" i="6" l="1"/>
  <c r="I33" i="6" s="1"/>
  <c r="J32" i="6"/>
  <c r="G32" i="6"/>
  <c r="F32" i="6"/>
  <c r="H32" i="6"/>
  <c r="B34" i="6" l="1"/>
  <c r="I34" i="6" s="1"/>
  <c r="J33" i="6"/>
  <c r="G33" i="6"/>
  <c r="F33" i="6"/>
  <c r="H33" i="6"/>
  <c r="F34" i="6" l="1"/>
  <c r="H34" i="6"/>
  <c r="J34" i="6"/>
  <c r="G34" i="6"/>
  <c r="B35" i="6"/>
  <c r="I35" i="6" s="1"/>
  <c r="B36" i="6" l="1"/>
  <c r="I36" i="6" s="1"/>
  <c r="F35" i="6"/>
  <c r="G35" i="6"/>
  <c r="J35" i="6"/>
  <c r="H35" i="6"/>
  <c r="G36" i="6" l="1"/>
  <c r="F36" i="6"/>
  <c r="H36" i="6"/>
  <c r="J36" i="6"/>
  <c r="B37" i="6"/>
  <c r="I37" i="6" s="1"/>
  <c r="F37" i="6" l="1"/>
  <c r="J37" i="6"/>
  <c r="G37" i="6"/>
  <c r="H37" i="6"/>
  <c r="B38" i="6"/>
  <c r="I38" i="6" s="1"/>
  <c r="G38" i="6" l="1"/>
  <c r="H38" i="6"/>
  <c r="J38" i="6"/>
  <c r="F38" i="6"/>
  <c r="B39" i="6"/>
  <c r="I39" i="6" s="1"/>
  <c r="B40" i="6" l="1"/>
  <c r="I40" i="6" s="1"/>
  <c r="J39" i="6"/>
  <c r="H39" i="6"/>
  <c r="F39" i="6"/>
  <c r="G39" i="6"/>
  <c r="J40" i="6" l="1"/>
  <c r="G40" i="6"/>
  <c r="F40" i="6"/>
  <c r="H40" i="6"/>
  <c r="B41" i="6"/>
  <c r="I41" i="6" s="1"/>
  <c r="B42" i="6" l="1"/>
  <c r="I42" i="6" s="1"/>
  <c r="G41" i="6"/>
  <c r="J41" i="6"/>
  <c r="F41" i="6"/>
  <c r="H41" i="6"/>
  <c r="F42" i="6" l="1"/>
  <c r="G42" i="6"/>
  <c r="J42" i="6"/>
  <c r="H42" i="6"/>
  <c r="B43" i="6"/>
  <c r="I43" i="6" s="1"/>
  <c r="B44" i="6" l="1"/>
  <c r="I44" i="6" s="1"/>
  <c r="F43" i="6"/>
  <c r="G43" i="6"/>
  <c r="J43" i="6"/>
  <c r="H43" i="6"/>
  <c r="G44" i="6" l="1"/>
  <c r="H44" i="6"/>
  <c r="J44" i="6"/>
  <c r="F44" i="6"/>
  <c r="B45" i="6"/>
  <c r="I45" i="6" s="1"/>
  <c r="B46" i="6" l="1"/>
  <c r="I46" i="6" s="1"/>
  <c r="G45" i="6"/>
  <c r="H45" i="6"/>
  <c r="J45" i="6"/>
  <c r="F45" i="6"/>
  <c r="F46" i="6" l="1"/>
  <c r="G46" i="6"/>
  <c r="H46" i="6"/>
  <c r="J46" i="6"/>
  <c r="B47" i="6"/>
  <c r="I47" i="6" s="1"/>
  <c r="G47" i="6" l="1"/>
  <c r="F47" i="6"/>
  <c r="H47" i="6"/>
  <c r="J47" i="6"/>
  <c r="B48" i="6"/>
  <c r="I48" i="6" s="1"/>
  <c r="B49" i="6" l="1"/>
  <c r="I49" i="6" s="1"/>
  <c r="J48" i="6"/>
  <c r="G48" i="6"/>
  <c r="F48" i="6"/>
  <c r="H48" i="6"/>
  <c r="B50" i="6" l="1"/>
  <c r="I50" i="6" s="1"/>
  <c r="J49" i="6"/>
  <c r="G49" i="6"/>
  <c r="F49" i="6"/>
  <c r="H49" i="6"/>
  <c r="H50" i="6" l="1"/>
  <c r="F50" i="6"/>
  <c r="G50" i="6"/>
  <c r="J50" i="6"/>
  <c r="B51" i="6"/>
  <c r="I51" i="6" s="1"/>
  <c r="B52" i="6" l="1"/>
  <c r="I52" i="6" s="1"/>
  <c r="F51" i="6"/>
  <c r="G51" i="6"/>
  <c r="J51" i="6"/>
  <c r="H51" i="6"/>
  <c r="B53" i="6" l="1"/>
  <c r="I53" i="6" s="1"/>
  <c r="J52" i="6"/>
  <c r="F52" i="6"/>
  <c r="G52" i="6"/>
  <c r="H52" i="6"/>
  <c r="F53" i="6" l="1"/>
  <c r="J53" i="6"/>
  <c r="G53" i="6"/>
  <c r="H53" i="6"/>
  <c r="B54" i="6"/>
  <c r="I54" i="6" s="1"/>
  <c r="H54" i="6" l="1"/>
  <c r="J54" i="6"/>
  <c r="G54" i="6"/>
  <c r="F54" i="6"/>
  <c r="B55" i="6"/>
  <c r="I55" i="6" s="1"/>
  <c r="B56" i="6" l="1"/>
  <c r="I56" i="6" s="1"/>
  <c r="J55" i="6"/>
  <c r="H55" i="6"/>
  <c r="F55" i="6"/>
  <c r="G55" i="6"/>
  <c r="J56" i="6" l="1"/>
  <c r="G56" i="6"/>
  <c r="F56" i="6"/>
  <c r="H56" i="6"/>
  <c r="B57" i="6"/>
  <c r="I57" i="6" s="1"/>
  <c r="G57" i="6" l="1"/>
  <c r="H57" i="6"/>
  <c r="J57" i="6"/>
  <c r="F57" i="6"/>
  <c r="B58" i="6"/>
  <c r="I58" i="6" s="1"/>
  <c r="G58" i="6" l="1"/>
  <c r="F58" i="6"/>
  <c r="H58" i="6"/>
  <c r="J58" i="6"/>
  <c r="B59" i="6"/>
  <c r="I59" i="6" s="1"/>
  <c r="B60" i="6" l="1"/>
  <c r="I60" i="6" s="1"/>
  <c r="J59" i="6"/>
  <c r="F59" i="6"/>
  <c r="H59" i="6"/>
  <c r="G59" i="6"/>
  <c r="B61" i="6" l="1"/>
  <c r="I61" i="6" s="1"/>
  <c r="J60" i="6"/>
  <c r="F60" i="6"/>
  <c r="G60" i="6"/>
  <c r="H60" i="6"/>
  <c r="H61" i="6" l="1"/>
  <c r="G61" i="6"/>
  <c r="F61" i="6"/>
  <c r="J61" i="6"/>
  <c r="B62" i="6"/>
  <c r="I62" i="6" s="1"/>
  <c r="G62" i="6" l="1"/>
  <c r="H62" i="6"/>
  <c r="J62" i="6"/>
  <c r="F62" i="6"/>
  <c r="B63" i="6"/>
  <c r="I63" i="6" s="1"/>
  <c r="B64" i="6" l="1"/>
  <c r="I64" i="6" s="1"/>
  <c r="J63" i="6"/>
  <c r="F63" i="6"/>
  <c r="H63" i="6"/>
  <c r="G63" i="6"/>
  <c r="B65" i="6" l="1"/>
  <c r="I65" i="6" s="1"/>
  <c r="J64" i="6"/>
  <c r="F64" i="6"/>
  <c r="G64" i="6"/>
  <c r="H64" i="6"/>
  <c r="B66" i="6" l="1"/>
  <c r="I66" i="6" s="1"/>
  <c r="J65" i="6"/>
  <c r="F65" i="6"/>
  <c r="G65" i="6"/>
  <c r="H65" i="6"/>
  <c r="J66" i="6" l="1"/>
  <c r="F66" i="6"/>
  <c r="H66" i="6"/>
  <c r="G66" i="6"/>
  <c r="B67" i="6"/>
  <c r="I67" i="6" s="1"/>
  <c r="F67" i="6" l="1"/>
  <c r="J67" i="6"/>
  <c r="H67" i="6"/>
  <c r="G67" i="6"/>
  <c r="B68" i="6"/>
  <c r="I68" i="6" s="1"/>
  <c r="J68" i="6" l="1"/>
  <c r="G68" i="6"/>
  <c r="F68" i="6"/>
  <c r="H68" i="6"/>
  <c r="B69" i="6"/>
  <c r="I69" i="6" s="1"/>
  <c r="B70" i="6" l="1"/>
  <c r="I70" i="6" s="1"/>
  <c r="F69" i="6"/>
  <c r="G69" i="6"/>
  <c r="H69" i="6"/>
  <c r="J69" i="6"/>
  <c r="F70" i="6" l="1"/>
  <c r="G70" i="6"/>
  <c r="H70" i="6"/>
  <c r="J70" i="6"/>
  <c r="B71" i="6"/>
  <c r="I71" i="6" s="1"/>
  <c r="B72" i="6" l="1"/>
  <c r="I72" i="6" s="1"/>
  <c r="J71" i="6"/>
  <c r="F71" i="6"/>
  <c r="G71" i="6"/>
  <c r="H71" i="6"/>
  <c r="F72" i="6" l="1"/>
  <c r="H72" i="6"/>
  <c r="G72" i="6"/>
  <c r="J72" i="6"/>
  <c r="B73" i="6"/>
  <c r="I73" i="6" s="1"/>
  <c r="B74" i="6" l="1"/>
  <c r="I74" i="6" s="1"/>
  <c r="H73" i="6"/>
  <c r="G73" i="6"/>
  <c r="F73" i="6"/>
  <c r="J73" i="6"/>
  <c r="B75" i="6" l="1"/>
  <c r="I75" i="6" s="1"/>
  <c r="J74" i="6"/>
  <c r="H74" i="6"/>
  <c r="F74" i="6"/>
  <c r="G74" i="6"/>
  <c r="J75" i="6" l="1"/>
  <c r="H75" i="6"/>
  <c r="F75" i="6"/>
  <c r="G75" i="6"/>
  <c r="B76" i="6"/>
  <c r="I76" i="6" s="1"/>
  <c r="J76" i="6" l="1"/>
  <c r="F76" i="6"/>
  <c r="H76" i="6"/>
  <c r="G76" i="6"/>
  <c r="B77" i="6"/>
  <c r="I77" i="6" s="1"/>
  <c r="B78" i="6" l="1"/>
  <c r="I78" i="6" s="1"/>
  <c r="F77" i="6"/>
  <c r="J77" i="6"/>
  <c r="G77" i="6"/>
  <c r="H77" i="6"/>
  <c r="B79" i="6" l="1"/>
  <c r="I79" i="6" s="1"/>
  <c r="F78" i="6"/>
  <c r="G78" i="6"/>
  <c r="H78" i="6"/>
  <c r="J78" i="6"/>
  <c r="B80" i="6" l="1"/>
  <c r="I80" i="6" s="1"/>
  <c r="J79" i="6"/>
  <c r="H79" i="6"/>
  <c r="G79" i="6"/>
  <c r="F79" i="6"/>
  <c r="B81" i="6" l="1"/>
  <c r="I81" i="6" s="1"/>
  <c r="H80" i="6"/>
  <c r="J80" i="6"/>
  <c r="F80" i="6"/>
  <c r="G80" i="6"/>
  <c r="G81" i="6" l="1"/>
  <c r="H81" i="6"/>
  <c r="J81" i="6"/>
  <c r="F81" i="6"/>
  <c r="B82" i="6"/>
  <c r="I82" i="6" s="1"/>
  <c r="B83" i="6" l="1"/>
  <c r="I83" i="6" s="1"/>
  <c r="G82" i="6"/>
  <c r="J82" i="6"/>
  <c r="H82" i="6"/>
  <c r="F82" i="6"/>
  <c r="F83" i="6" l="1"/>
  <c r="H83" i="6"/>
  <c r="J83" i="6"/>
  <c r="G83" i="6"/>
  <c r="B84" i="6"/>
  <c r="I84" i="6" s="1"/>
  <c r="H84" i="6" l="1"/>
  <c r="F84" i="6"/>
  <c r="G84" i="6"/>
  <c r="J84" i="6"/>
  <c r="B85" i="6"/>
  <c r="I85" i="6" s="1"/>
  <c r="H85" i="6" l="1"/>
  <c r="G85" i="6"/>
  <c r="F85" i="6"/>
  <c r="J85" i="6"/>
  <c r="B86" i="6"/>
  <c r="I86" i="6" s="1"/>
  <c r="H86" i="6" l="1"/>
  <c r="J86" i="6"/>
  <c r="G86" i="6"/>
  <c r="F86" i="6"/>
  <c r="B87" i="6"/>
  <c r="I87" i="6" s="1"/>
  <c r="J87" i="6" l="1"/>
  <c r="G87" i="6"/>
  <c r="F87" i="6"/>
  <c r="H87" i="6"/>
  <c r="B88" i="6"/>
  <c r="I88" i="6" s="1"/>
  <c r="J88" i="6" l="1"/>
  <c r="F88" i="6"/>
  <c r="H88" i="6"/>
  <c r="G88" i="6"/>
  <c r="B89" i="6"/>
  <c r="I89" i="6" s="1"/>
  <c r="G89" i="6" l="1"/>
  <c r="H89" i="6"/>
  <c r="F89" i="6"/>
  <c r="J89" i="6"/>
  <c r="B90" i="6"/>
  <c r="I90" i="6" s="1"/>
  <c r="B91" i="6" l="1"/>
  <c r="I91" i="6" s="1"/>
  <c r="J90" i="6"/>
  <c r="G90" i="6"/>
  <c r="H90" i="6"/>
  <c r="F90" i="6"/>
  <c r="J91" i="6" l="1"/>
  <c r="F91" i="6"/>
  <c r="H91" i="6"/>
  <c r="G91" i="6"/>
  <c r="B92" i="6"/>
  <c r="I92" i="6" s="1"/>
  <c r="B93" i="6" l="1"/>
  <c r="I93" i="6" s="1"/>
  <c r="J92" i="6"/>
  <c r="G92" i="6"/>
  <c r="H92" i="6"/>
  <c r="F92" i="6"/>
  <c r="B94" i="6" l="1"/>
  <c r="I94" i="6" s="1"/>
  <c r="F93" i="6"/>
  <c r="H93" i="6"/>
  <c r="G93" i="6"/>
  <c r="J93" i="6"/>
  <c r="B95" i="6" l="1"/>
  <c r="I95" i="6" s="1"/>
  <c r="J94" i="6"/>
  <c r="F94" i="6"/>
  <c r="G94" i="6"/>
  <c r="H94" i="6"/>
  <c r="B96" i="6" l="1"/>
  <c r="I96" i="6" s="1"/>
  <c r="J95" i="6"/>
  <c r="H95" i="6"/>
  <c r="G95" i="6"/>
  <c r="F95" i="6"/>
  <c r="G96" i="6" l="1"/>
  <c r="H96" i="6"/>
  <c r="J96" i="6"/>
  <c r="F96" i="6"/>
  <c r="B97" i="6"/>
  <c r="I97" i="6" s="1"/>
  <c r="B98" i="6" l="1"/>
  <c r="I98" i="6" s="1"/>
  <c r="J97" i="6"/>
  <c r="F97" i="6"/>
  <c r="G97" i="6"/>
  <c r="H97" i="6"/>
  <c r="F98" i="6" l="1"/>
  <c r="G98" i="6"/>
  <c r="H98" i="6"/>
  <c r="J98" i="6"/>
  <c r="B99" i="6"/>
  <c r="I99" i="6" s="1"/>
  <c r="F99" i="6" l="1"/>
  <c r="H99" i="6"/>
  <c r="G99" i="6"/>
  <c r="J99" i="6"/>
  <c r="B100" i="6"/>
  <c r="I100" i="6" s="1"/>
  <c r="J100" i="6" l="1"/>
  <c r="H100" i="6"/>
  <c r="F100" i="6"/>
  <c r="G100" i="6"/>
  <c r="B101" i="6"/>
  <c r="I101" i="6" s="1"/>
  <c r="F101" i="6" l="1"/>
  <c r="H101" i="6"/>
  <c r="G101" i="6"/>
  <c r="J101" i="6"/>
  <c r="B102" i="6"/>
  <c r="I102" i="6" s="1"/>
  <c r="F102" i="6" l="1"/>
  <c r="H102" i="6"/>
  <c r="G102" i="6"/>
  <c r="J102" i="6"/>
  <c r="B103" i="6"/>
  <c r="I103" i="6" s="1"/>
  <c r="J103" i="6" l="1"/>
  <c r="F103" i="6"/>
  <c r="G103" i="6"/>
  <c r="H103" i="6"/>
  <c r="B104" i="6"/>
  <c r="I104" i="6" s="1"/>
  <c r="G104" i="6" l="1"/>
  <c r="H104" i="6"/>
  <c r="J104" i="6"/>
  <c r="F104" i="6"/>
  <c r="B105" i="6"/>
  <c r="I105" i="6" s="1"/>
  <c r="B106" i="6" l="1"/>
  <c r="I106" i="6" s="1"/>
  <c r="H105" i="6"/>
  <c r="G105" i="6"/>
  <c r="J105" i="6"/>
  <c r="F105" i="6"/>
  <c r="B107" i="6" l="1"/>
  <c r="I107" i="6" s="1"/>
  <c r="J106" i="6"/>
  <c r="G106" i="6"/>
  <c r="H106" i="6"/>
  <c r="F106" i="6"/>
  <c r="H107" i="6" l="1"/>
  <c r="F107" i="6"/>
  <c r="G107" i="6"/>
  <c r="J107" i="6"/>
  <c r="B108" i="6"/>
  <c r="I108" i="6" s="1"/>
  <c r="F108" i="6" l="1"/>
  <c r="H108" i="6"/>
  <c r="J108" i="6"/>
  <c r="G108" i="6"/>
  <c r="B109" i="6"/>
  <c r="I109" i="6" s="1"/>
  <c r="F109" i="6" l="1"/>
  <c r="G109" i="6"/>
  <c r="J109" i="6"/>
  <c r="H109" i="6"/>
  <c r="B110" i="6"/>
  <c r="I110" i="6" s="1"/>
  <c r="B111" i="6" l="1"/>
  <c r="I111" i="6" s="1"/>
  <c r="H110" i="6"/>
  <c r="J110" i="6"/>
  <c r="F110" i="6"/>
  <c r="G110" i="6"/>
  <c r="B112" i="6" l="1"/>
  <c r="I112" i="6" s="1"/>
  <c r="J111" i="6"/>
  <c r="H111" i="6"/>
  <c r="G111" i="6"/>
  <c r="F111" i="6"/>
  <c r="B114" i="6" l="1"/>
  <c r="I114" i="6" s="1"/>
  <c r="B113" i="6"/>
  <c r="I113" i="6" s="1"/>
  <c r="F112" i="6"/>
  <c r="G112" i="6"/>
  <c r="H112" i="6"/>
  <c r="J112" i="6"/>
  <c r="G113" i="6" l="1"/>
  <c r="H113" i="6"/>
  <c r="J113" i="6"/>
  <c r="F113" i="6"/>
  <c r="J114" i="6"/>
  <c r="F114" i="6"/>
  <c r="G114" i="6"/>
  <c r="H11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<sst xmlns="http://schemas.openxmlformats.org/spreadsheetml/2006/main" count="2843" uniqueCount="999">
  <si>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</si>
  <si>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</si>
  <si>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</si>
  <si>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</si>
  <si>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</si>
  <si>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</si>
  <si>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</si>
  <si>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</si>
  <si>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</si>
  <si>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</si>
  <si>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</si>
  <si>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</si>
  <si>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</si>
  <si>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</si>
  <si>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</si>
  <si>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</si>
  <si>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</si>
  <si>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</si>
  <si>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</si>
  <si>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</si>
  <si>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</si>
  <si>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</si>
  <si>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</si>
  <si>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</si>
  <si>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</si>
  <si>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</si>
  <si>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</si>
  <si>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</si>
  <si>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</si>
  <si>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</si>
  <si>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</si>
  <si>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</si>
  <si>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</si>
  <si>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</si>
  <si>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</si>
  <si>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</si>
  <si>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</si>
  <si>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</si>
  <si>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</si>
  <si>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</si>
  <si>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</si>
  <si>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</si>
  <si>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</si>
  <si>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</si>
  <si>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</si>
  <si>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</si>
  <si>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</si>
  <si>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</si>
  <si>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</si>
  <si>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</si>
  <si>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</si>
  <si>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</si>
  <si>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</si>
  <si>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</si>
  <si>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</si>
  <si>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</si>
  <si>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</si>
  <si>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</si>
  <si>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</si>
  <si>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</si>
  <si>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</si>
  <si>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</si>
  <si>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</si>
  <si>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</si>
  <si>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</si>
  <si>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</si>
  <si>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</si>
  <si>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</si>
  <si>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</si>
  <si>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</si>
  <si>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</si>
  <si>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</si>
  <si>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</si>
  <si>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</si>
  <si>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</si>
  <si>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</si>
  <si>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</si>
  <si>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</si>
  <si>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</si>
  <si>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</si>
  <si>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</si>
  <si>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</si>
  <si>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</si>
  <si>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</si>
  <si>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</si>
  <si>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</si>
  <si>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</si>
  <si>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</si>
  <si>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</si>
  <si>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</si>
  <si>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</si>
  <si>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</si>
  <si>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</si>
  <si>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</si>
  <si>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</si>
  <si>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</si>
  <si>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</si>
  <si>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</si>
  <si>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</si>
  <si>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</si>
  <si>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</si>
  <si>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</si>
  <si>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</si>
  <si>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</si>
  <si>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</si>
  <si>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</si>
  <si>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</si>
  <si>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</si>
  <si>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</si>
  <si>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</si>
  <si>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</si>
  <si>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</si>
  <si>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</si>
  <si>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</si>
  <si>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</si>
  <si>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</si>
  <si>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</si>
  <si>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</si>
  <si>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</si>
  <si>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</si>
  <si>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</si>
  <si>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</si>
  <si>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</si>
  <si>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</si>
  <si>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</si>
  <si>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</si>
  <si>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</si>
  <si>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</si>
  <si>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</si>
  <si>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</si>
  <si>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</si>
  <si>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</si>
  <si>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</si>
  <si>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</si>
  <si>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</si>
  <si>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</si>
  <si>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</si>
  <si>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</si>
  <si>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</si>
  <si>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</si>
  <si>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</si>
  <si>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</si>
  <si>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</si>
  <si>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</si>
  <si>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</si>
  <si>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</si>
  <si>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</si>
  <si>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</si>
  <si>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</si>
  <si>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</si>
  <si>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</si>
  <si>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</si>
  <si>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</si>
  <si>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</si>
  <si>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</si>
  <si>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</si>
  <si>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</si>
  <si>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</si>
  <si>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</si>
  <si>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</si>
  <si>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</si>
  <si>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</si>
  <si>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</si>
  <si>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</si>
  <si>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</si>
  <si>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</si>
  <si>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</si>
  <si>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</si>
  <si>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</si>
  <si>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</si>
  <si>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</si>
  <si>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</si>
  <si>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</si>
  <si>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</si>
  <si>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</si>
  <si>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</si>
  <si>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</si>
  <si>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</si>
  <si>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</si>
  <si>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</si>
  <si>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</si>
  <si>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</si>
  <si>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</si>
  <si>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</si>
  <si>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</si>
  <si>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</si>
  <si>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</si>
  <si>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</si>
  <si>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</si>
  <si>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</si>
  <si>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</si>
  <si>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</si>
  <si>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</si>
  <si>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</si>
  <si>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</si>
  <si>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</si>
  <si>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</si>
  <si>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</si>
  <si>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</si>
  <si>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</si>
  <si>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</si>
  <si>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</si>
  <si>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</si>
  <si>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</si>
  <si>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</si>
  <si>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</si>
  <si>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</si>
  <si>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</si>
  <si>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</si>
  <si>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</si>
  <si>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</si>
  <si>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</si>
  <si>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</si>
  <si>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</si>
  <si>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</si>
  <si>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</si>
  <si>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</si>
  <si>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</si>
  <si>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</si>
  <si>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</si>
  <si>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</si>
  <si>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</si>
  <si>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</si>
  <si>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rtdc.l.rtdc.4029:itc</t>
  </si>
  <si>
    <t>204:451</t>
  </si>
  <si>
    <t>204:457</t>
  </si>
  <si>
    <t>STORY</t>
  </si>
  <si>
    <t>SAMANTHA</t>
  </si>
  <si>
    <t>204:460</t>
  </si>
  <si>
    <t>BROWN</t>
  </si>
  <si>
    <t>JACOB</t>
  </si>
  <si>
    <t>rtdc.l.rtdc.4025:itc</t>
  </si>
  <si>
    <t>COMELLA</t>
  </si>
  <si>
    <t>JUSTIN</t>
  </si>
  <si>
    <t>rtdc.l.rtdc.4043:itc</t>
  </si>
  <si>
    <t>204:453</t>
  </si>
  <si>
    <t>CHANDLER</t>
  </si>
  <si>
    <t>KELVIN</t>
  </si>
  <si>
    <t>204:446</t>
  </si>
  <si>
    <t>204:455</t>
  </si>
  <si>
    <t>204:139</t>
  </si>
  <si>
    <t>204:232993</t>
  </si>
  <si>
    <t>204:233293</t>
  </si>
  <si>
    <t>204:464</t>
  </si>
  <si>
    <t>rtdc.l.rtdc.4044:itc</t>
  </si>
  <si>
    <t>204:141</t>
  </si>
  <si>
    <t>204:232996</t>
  </si>
  <si>
    <t>204:440</t>
  </si>
  <si>
    <t>rtdc.l.rtdc.4018:itc</t>
  </si>
  <si>
    <t>rtdc.l.rtdc.4017:itc</t>
  </si>
  <si>
    <t>rtdc.l.rtdc.4012:itc</t>
  </si>
  <si>
    <t>YORK</t>
  </si>
  <si>
    <t>EDGAR</t>
  </si>
  <si>
    <t>204:156</t>
  </si>
  <si>
    <t>204:233310</t>
  </si>
  <si>
    <t>204:444</t>
  </si>
  <si>
    <t>204:147</t>
  </si>
  <si>
    <t>204:233317</t>
  </si>
  <si>
    <t>204:163</t>
  </si>
  <si>
    <t>204:475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</si>
  <si>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</si>
  <si>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</si>
  <si>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</si>
  <si>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</si>
  <si>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</si>
  <si>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</si>
  <si>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</si>
  <si>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</si>
  <si>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204:233332</t>
  </si>
  <si>
    <t>204:232994</t>
  </si>
  <si>
    <t>rtdc.l.rtdc.4050:itc</t>
  </si>
  <si>
    <t>rtdc.l.rtdc.4049:itc</t>
  </si>
  <si>
    <t>204:233284</t>
  </si>
  <si>
    <t>204:232987</t>
  </si>
  <si>
    <t>204:233314</t>
  </si>
  <si>
    <t>204:233297</t>
  </si>
  <si>
    <t>204:233289</t>
  </si>
  <si>
    <t>204:165</t>
  </si>
  <si>
    <t>204:233304</t>
  </si>
  <si>
    <t>204:233299</t>
  </si>
  <si>
    <t>:.+((SYSTEM_STATE.+slice.+state.+changed )|(ment ac)|(multiple cpu faults)|(system.+state.+changed )|(\[timeout)|(PRM\|1\|D)|(kpr)|(kdp)|(\|loc)|(penalty))</t>
  </si>
  <si>
    <t>rtdc.l.rtdc.4013:itc</t>
  </si>
  <si>
    <t>242-23</t>
  </si>
  <si>
    <t>rtdc.l.rtdc.4014:itc</t>
  </si>
  <si>
    <t>60-23</t>
  </si>
  <si>
    <t>DELGADO</t>
  </si>
  <si>
    <t>DIANAH</t>
  </si>
  <si>
    <t>81-23</t>
  </si>
  <si>
    <t>238-23</t>
  </si>
  <si>
    <t>241-23</t>
  </si>
  <si>
    <t>243-23</t>
  </si>
  <si>
    <t>240-23</t>
  </si>
  <si>
    <t>315-23</t>
  </si>
  <si>
    <t>309-23</t>
  </si>
  <si>
    <t>244-23</t>
  </si>
  <si>
    <t>311-23</t>
  </si>
  <si>
    <t>313-23</t>
  </si>
  <si>
    <t>204:233312</t>
  </si>
  <si>
    <t>204:232977</t>
  </si>
  <si>
    <t>204:233308</t>
  </si>
  <si>
    <t>204:467</t>
  </si>
  <si>
    <t>204:491</t>
  </si>
  <si>
    <t>204:473</t>
  </si>
  <si>
    <t>204:232976</t>
  </si>
  <si>
    <t>300:58935</t>
  </si>
  <si>
    <t>STAMBAUGH</t>
  </si>
  <si>
    <t>SANTIZO</t>
  </si>
  <si>
    <t>D. EDY</t>
  </si>
  <si>
    <t>MAELZER</t>
  </si>
  <si>
    <t>KURT</t>
  </si>
  <si>
    <t>rtdc.l.rtdc.4007:itc</t>
  </si>
  <si>
    <t>DAVIS</t>
  </si>
  <si>
    <t>LEVIN</t>
  </si>
  <si>
    <t>SCOTT</t>
  </si>
  <si>
    <t>Partly Cloudy</t>
  </si>
  <si>
    <t>204:233000</t>
  </si>
  <si>
    <t>204:232998</t>
  </si>
  <si>
    <t>204:233315</t>
  </si>
  <si>
    <t>204:232975</t>
  </si>
  <si>
    <t>204:232980</t>
  </si>
  <si>
    <t>300:58933</t>
  </si>
  <si>
    <t>300:58623</t>
  </si>
  <si>
    <t>300:58958</t>
  </si>
  <si>
    <t>204:233311</t>
  </si>
  <si>
    <t>204:232989</t>
  </si>
  <si>
    <t>:.+((SYSTEM_STATE.+slice.+state.+changed )|(ment ac)|(multiple cpu faults)|(system.+state.+changed )|(\[timeout)|(PRM\|1\|D)|(kpr)|(kdp)|(\|lc)|(penalty))</t>
  </si>
  <si>
    <t>Early arrival</t>
  </si>
  <si>
    <t>rtdc.l.rtdc.4006:itc</t>
  </si>
  <si>
    <t>Y</t>
  </si>
  <si>
    <t>STARKS</t>
  </si>
  <si>
    <t>ANGELINA</t>
  </si>
  <si>
    <t>SWANSON</t>
  </si>
  <si>
    <t>BRYCE</t>
  </si>
  <si>
    <t>CLARK</t>
  </si>
  <si>
    <t>KATHLEEN</t>
  </si>
  <si>
    <t>LOCKLEAR</t>
  </si>
  <si>
    <t>TRAVIS</t>
  </si>
  <si>
    <t>LALONDE</t>
  </si>
  <si>
    <t>GREGORY</t>
  </si>
  <si>
    <t>LEVERE</t>
  </si>
  <si>
    <t>CRAIG</t>
  </si>
  <si>
    <t>partly-cloudy-night</t>
  </si>
  <si>
    <t>204:134</t>
  </si>
  <si>
    <t>204:233301</t>
  </si>
  <si>
    <t>204:232979</t>
  </si>
  <si>
    <t>204:233004</t>
  </si>
  <si>
    <t>204:442</t>
  </si>
  <si>
    <t>204:232973</t>
  </si>
  <si>
    <t>204:161</t>
  </si>
  <si>
    <t>204:233323</t>
  </si>
  <si>
    <t>204:232990</t>
  </si>
  <si>
    <t>204:486</t>
  </si>
  <si>
    <t>204:132</t>
  </si>
  <si>
    <t>204:233320</t>
  </si>
  <si>
    <t>204:233331</t>
  </si>
  <si>
    <t>204:406</t>
  </si>
  <si>
    <t>204:233008</t>
  </si>
  <si>
    <t>204:167</t>
  </si>
  <si>
    <t>204:1466</t>
  </si>
  <si>
    <t>300:58641</t>
  </si>
  <si>
    <t>300:58636</t>
  </si>
  <si>
    <t>300:58950</t>
  </si>
  <si>
    <t>204:999</t>
  </si>
  <si>
    <t>300:58971</t>
  </si>
  <si>
    <t>204:657</t>
  </si>
  <si>
    <t>300:58613</t>
  </si>
  <si>
    <t>204:664</t>
  </si>
  <si>
    <t>204:645</t>
  </si>
  <si>
    <t>300:58960</t>
  </si>
  <si>
    <t>Wi-MAX data drop</t>
  </si>
  <si>
    <t>rtdc.l.rtdc.4016:itc</t>
  </si>
  <si>
    <t>rtdc.l.rtdc.4015:itc</t>
  </si>
  <si>
    <t>rtdc.l.rtdc.4010:itc</t>
  </si>
  <si>
    <t>LOZA</t>
  </si>
  <si>
    <t>FIDEL</t>
  </si>
  <si>
    <t>ROCHA</t>
  </si>
  <si>
    <t>YAOTL</t>
  </si>
  <si>
    <t>MAYBERRY</t>
  </si>
  <si>
    <t>BILL</t>
  </si>
  <si>
    <t>STRICKLAND</t>
  </si>
  <si>
    <t>EVAN</t>
  </si>
  <si>
    <t>rtdc.l.rtdc.4009:itc</t>
  </si>
  <si>
    <t>242-28</t>
  </si>
  <si>
    <t>309-28</t>
  </si>
  <si>
    <t>244-28</t>
  </si>
  <si>
    <t>311-28</t>
  </si>
  <si>
    <t>51-01</t>
  </si>
  <si>
    <t>313-28</t>
  </si>
  <si>
    <t>50-01</t>
  </si>
  <si>
    <t>clear-night</t>
  </si>
  <si>
    <t>Clear</t>
  </si>
  <si>
    <t>204:127</t>
  </si>
  <si>
    <t>204:233307</t>
  </si>
  <si>
    <t>204:233001</t>
  </si>
  <si>
    <t>204:757</t>
  </si>
  <si>
    <t>204:233295</t>
  </si>
  <si>
    <t>204:233328</t>
  </si>
  <si>
    <t>204:232986</t>
  </si>
  <si>
    <t>204:233021</t>
  </si>
  <si>
    <t>204:233011</t>
  </si>
  <si>
    <t>204:232959</t>
  </si>
  <si>
    <t>204:233393</t>
  </si>
  <si>
    <t>204:1169</t>
  </si>
  <si>
    <t>204:232991</t>
  </si>
  <si>
    <t>204:433</t>
  </si>
  <si>
    <t>204:449</t>
  </si>
  <si>
    <t>204:233015</t>
  </si>
  <si>
    <t>204:191</t>
  </si>
  <si>
    <t>204:233364</t>
  </si>
  <si>
    <t>204:233249</t>
  </si>
  <si>
    <t>204:232960</t>
  </si>
  <si>
    <t>204:232981</t>
  </si>
  <si>
    <t>204:233274</t>
  </si>
  <si>
    <t>204:232971</t>
  </si>
  <si>
    <t>204:233319</t>
  </si>
  <si>
    <t>204:477</t>
  </si>
  <si>
    <t>300:24214</t>
  </si>
  <si>
    <t>204:752</t>
  </si>
  <si>
    <t>300:24193</t>
  </si>
  <si>
    <t>204:111759</t>
  </si>
  <si>
    <t>204:112085</t>
  </si>
  <si>
    <t>204:687</t>
  </si>
  <si>
    <t>204:911</t>
  </si>
  <si>
    <t>204:974</t>
  </si>
  <si>
    <t>204:682</t>
  </si>
  <si>
    <t>204:969</t>
  </si>
  <si>
    <t>start /low /b %USERPROFILE%\Documents\GitHub\eaglep3\Utilities\DownloadLogsFromS3.py --loco 4025 --day 2017-03-01</t>
  </si>
  <si>
    <t>Onboard in-route failure</t>
  </si>
  <si>
    <t>306-01</t>
  </si>
  <si>
    <t>rtdc.l.rtdc.4023:itc</t>
  </si>
  <si>
    <t>104-01</t>
  </si>
  <si>
    <t>rtdc.l.rtdc.4002:itc</t>
  </si>
  <si>
    <t>115-01</t>
  </si>
  <si>
    <t>106-01</t>
  </si>
  <si>
    <t>802-01</t>
  </si>
  <si>
    <t>125-01</t>
  </si>
  <si>
    <t>rtdc.l.rtdc.4001:itc</t>
  </si>
  <si>
    <t>116-01</t>
  </si>
  <si>
    <t>118-01</t>
  </si>
  <si>
    <t>122-01</t>
  </si>
  <si>
    <t>126-01</t>
  </si>
  <si>
    <t>809-01</t>
  </si>
  <si>
    <t>143-01</t>
  </si>
  <si>
    <t>813-01</t>
  </si>
  <si>
    <t>815-01</t>
  </si>
  <si>
    <t>157-01</t>
  </si>
  <si>
    <t>816-01</t>
  </si>
  <si>
    <t>rtdc.l.rtdc.4021:itc</t>
  </si>
  <si>
    <t>152-01</t>
  </si>
  <si>
    <t>817-01</t>
  </si>
  <si>
    <t>166-01</t>
  </si>
  <si>
    <t>168-01</t>
  </si>
  <si>
    <t>175-01</t>
  </si>
  <si>
    <t>191-01</t>
  </si>
  <si>
    <t>184-01</t>
  </si>
  <si>
    <t>904-01</t>
  </si>
  <si>
    <t>186-01</t>
  </si>
  <si>
    <t>197-01</t>
  </si>
  <si>
    <t>828-01</t>
  </si>
  <si>
    <t>829-01</t>
  </si>
  <si>
    <t>194-01</t>
  </si>
  <si>
    <t>70-01</t>
  </si>
  <si>
    <t>832-01</t>
  </si>
  <si>
    <t>202-01</t>
  </si>
  <si>
    <t>836-01</t>
  </si>
  <si>
    <t>219-01</t>
  </si>
  <si>
    <t>218-01</t>
  </si>
  <si>
    <t>223-01</t>
  </si>
  <si>
    <t>227-01</t>
  </si>
  <si>
    <t>224-01</t>
  </si>
  <si>
    <t>226-01</t>
  </si>
  <si>
    <t>847-01</t>
  </si>
  <si>
    <t>237-01</t>
  </si>
  <si>
    <t>234-01</t>
  </si>
  <si>
    <t>241-01</t>
  </si>
  <si>
    <t>302-01</t>
  </si>
  <si>
    <t>BADERTSCHER</t>
  </si>
  <si>
    <t>DIANE</t>
  </si>
  <si>
    <t>rtdc.l.rtdc.4020:itc</t>
  </si>
  <si>
    <t>101-01</t>
  </si>
  <si>
    <t>304-01</t>
  </si>
  <si>
    <t>103-01</t>
  </si>
  <si>
    <t>GEBRETEKLE</t>
  </si>
  <si>
    <t>DAGNEW</t>
  </si>
  <si>
    <t>308-01</t>
  </si>
  <si>
    <t>BONDS</t>
  </si>
  <si>
    <t>REYNALDO</t>
  </si>
  <si>
    <t>102-01</t>
  </si>
  <si>
    <t>rtdc.l.rtdc.4031:itc</t>
  </si>
  <si>
    <t>105-01</t>
  </si>
  <si>
    <t>310-01</t>
  </si>
  <si>
    <t>107-01</t>
  </si>
  <si>
    <t>rtdc.l.rtdc.4022:itc</t>
  </si>
  <si>
    <t>109-01</t>
  </si>
  <si>
    <t>111-01</t>
  </si>
  <si>
    <t>901-01</t>
  </si>
  <si>
    <t>113-01</t>
  </si>
  <si>
    <t>800-01</t>
  </si>
  <si>
    <t>108-01</t>
  </si>
  <si>
    <t>110-01</t>
  </si>
  <si>
    <t>801-01</t>
  </si>
  <si>
    <t>112-01</t>
  </si>
  <si>
    <t>119-01</t>
  </si>
  <si>
    <t>114-01</t>
  </si>
  <si>
    <t>rtdc.l.rtdc.4024:itc</t>
  </si>
  <si>
    <t>117-01</t>
  </si>
  <si>
    <t>902-01</t>
  </si>
  <si>
    <t>121-01</t>
  </si>
  <si>
    <t>803-01</t>
  </si>
  <si>
    <t>123-01</t>
  </si>
  <si>
    <t>805-01</t>
  </si>
  <si>
    <t>804-01</t>
  </si>
  <si>
    <t>rtdc.l.rtdc.4032:itc</t>
  </si>
  <si>
    <t>120-01</t>
  </si>
  <si>
    <t>127-01</t>
  </si>
  <si>
    <t>806-01</t>
  </si>
  <si>
    <t>124-01</t>
  </si>
  <si>
    <t>129-01</t>
  </si>
  <si>
    <t>807-01</t>
  </si>
  <si>
    <t>131-01</t>
  </si>
  <si>
    <t>808-01</t>
  </si>
  <si>
    <t>133-01</t>
  </si>
  <si>
    <t>128-01</t>
  </si>
  <si>
    <t>135-01</t>
  </si>
  <si>
    <t>130-01</t>
  </si>
  <si>
    <t>810-01</t>
  </si>
  <si>
    <t>137-01</t>
  </si>
  <si>
    <t>811-01</t>
  </si>
  <si>
    <t>132-01</t>
  </si>
  <si>
    <t>139-01</t>
  </si>
  <si>
    <t>903-01</t>
  </si>
  <si>
    <t>134-01</t>
  </si>
  <si>
    <t>812-01</t>
  </si>
  <si>
    <t>141-01</t>
  </si>
  <si>
    <t>136-01</t>
  </si>
  <si>
    <t>138-01</t>
  </si>
  <si>
    <t>145-01</t>
  </si>
  <si>
    <t>140-01</t>
  </si>
  <si>
    <t>147-01</t>
  </si>
  <si>
    <t>142-01</t>
  </si>
  <si>
    <t>814-01</t>
  </si>
  <si>
    <t>149-01</t>
  </si>
  <si>
    <t>144-01</t>
  </si>
  <si>
    <t>151-01</t>
  </si>
  <si>
    <t>146-01</t>
  </si>
  <si>
    <t>153-01</t>
  </si>
  <si>
    <t>148-01</t>
  </si>
  <si>
    <t>155-01</t>
  </si>
  <si>
    <t>150-01</t>
  </si>
  <si>
    <t>159-01</t>
  </si>
  <si>
    <t>154-01</t>
  </si>
  <si>
    <t>156-01</t>
  </si>
  <si>
    <t>161-01</t>
  </si>
  <si>
    <t>163-01</t>
  </si>
  <si>
    <t>818-01</t>
  </si>
  <si>
    <t>158-01</t>
  </si>
  <si>
    <t>165-01</t>
  </si>
  <si>
    <t>HELVIE</t>
  </si>
  <si>
    <t>ADAM</t>
  </si>
  <si>
    <t>160-01</t>
  </si>
  <si>
    <t>167-01</t>
  </si>
  <si>
    <t>819-01</t>
  </si>
  <si>
    <t>162-01</t>
  </si>
  <si>
    <t>169-01</t>
  </si>
  <si>
    <t>164-01</t>
  </si>
  <si>
    <t>171-01</t>
  </si>
  <si>
    <t>HAITHCOX</t>
  </si>
  <si>
    <t>820-01</t>
  </si>
  <si>
    <t>173-01</t>
  </si>
  <si>
    <t>170-01</t>
  </si>
  <si>
    <t>177-01</t>
  </si>
  <si>
    <t>821-01</t>
  </si>
  <si>
    <t>BRUDER</t>
  </si>
  <si>
    <t>RICHARD</t>
  </si>
  <si>
    <t>172-01</t>
  </si>
  <si>
    <t>179-01</t>
  </si>
  <si>
    <t>174-01</t>
  </si>
  <si>
    <t>822-01</t>
  </si>
  <si>
    <t>181-01</t>
  </si>
  <si>
    <t>MOSES</t>
  </si>
  <si>
    <t>BRADLEY</t>
  </si>
  <si>
    <t>176-01</t>
  </si>
  <si>
    <t>183-01</t>
  </si>
  <si>
    <t>178-01</t>
  </si>
  <si>
    <t>823-01</t>
  </si>
  <si>
    <t>180-01</t>
  </si>
  <si>
    <t>185-01</t>
  </si>
  <si>
    <t>BRANNON</t>
  </si>
  <si>
    <t>JEFFREY</t>
  </si>
  <si>
    <t>187-01</t>
  </si>
  <si>
    <t>182-01</t>
  </si>
  <si>
    <t>824-01</t>
  </si>
  <si>
    <t>189-01</t>
  </si>
  <si>
    <t>193-01</t>
  </si>
  <si>
    <t>825-01</t>
  </si>
  <si>
    <t>188-01</t>
  </si>
  <si>
    <t>195-01</t>
  </si>
  <si>
    <t>826-01</t>
  </si>
  <si>
    <t>190-01</t>
  </si>
  <si>
    <t>192-01</t>
  </si>
  <si>
    <t>827-01</t>
  </si>
  <si>
    <t>199-01</t>
  </si>
  <si>
    <t>196-01</t>
  </si>
  <si>
    <t>201-01</t>
  </si>
  <si>
    <t>203-01</t>
  </si>
  <si>
    <t>830-01</t>
  </si>
  <si>
    <t>198-01</t>
  </si>
  <si>
    <t>205-01</t>
  </si>
  <si>
    <t>831-01</t>
  </si>
  <si>
    <t>200-01</t>
  </si>
  <si>
    <t>207-01</t>
  </si>
  <si>
    <t>209-01</t>
  </si>
  <si>
    <t>833-01</t>
  </si>
  <si>
    <t>204-01</t>
  </si>
  <si>
    <t>211-01</t>
  </si>
  <si>
    <t>206-01</t>
  </si>
  <si>
    <t>73-01</t>
  </si>
  <si>
    <t>834-01</t>
  </si>
  <si>
    <t>213-01</t>
  </si>
  <si>
    <t>835-01</t>
  </si>
  <si>
    <t>208-01</t>
  </si>
  <si>
    <t>215-01</t>
  </si>
  <si>
    <t>210-01</t>
  </si>
  <si>
    <t>71-01</t>
  </si>
  <si>
    <t>839-01</t>
  </si>
  <si>
    <t>217-01</t>
  </si>
  <si>
    <t>212-01</t>
  </si>
  <si>
    <t>837-01</t>
  </si>
  <si>
    <t>72-01</t>
  </si>
  <si>
    <t>214-01</t>
  </si>
  <si>
    <t>838-01</t>
  </si>
  <si>
    <t>303-01</t>
  </si>
  <si>
    <t>216-01</t>
  </si>
  <si>
    <t>221-01</t>
  </si>
  <si>
    <t>WHITED</t>
  </si>
  <si>
    <t>906-01</t>
  </si>
  <si>
    <t>220-01</t>
  </si>
  <si>
    <t>305-01</t>
  </si>
  <si>
    <t>841-01</t>
  </si>
  <si>
    <t>NELSON</t>
  </si>
  <si>
    <t>ARIANE</t>
  </si>
  <si>
    <t>JACKSON</t>
  </si>
  <si>
    <t>WILLIAM</t>
  </si>
  <si>
    <t>307-01</t>
  </si>
  <si>
    <t>840-01</t>
  </si>
  <si>
    <t>222-01</t>
  </si>
  <si>
    <t>225-01</t>
  </si>
  <si>
    <t>rtdc.l.rtdc.4065:itc</t>
  </si>
  <si>
    <t>80-01</t>
  </si>
  <si>
    <t>843-01</t>
  </si>
  <si>
    <t>rtdc.l.rtdc.4066:itc</t>
  </si>
  <si>
    <t>81-01</t>
  </si>
  <si>
    <t>842-01</t>
  </si>
  <si>
    <t>229-01</t>
  </si>
  <si>
    <t>228-01</t>
  </si>
  <si>
    <t>845-01</t>
  </si>
  <si>
    <t>231-01</t>
  </si>
  <si>
    <t>844-01</t>
  </si>
  <si>
    <t>230-01</t>
  </si>
  <si>
    <t>233-01</t>
  </si>
  <si>
    <t>235-01</t>
  </si>
  <si>
    <t>232-01</t>
  </si>
  <si>
    <t>908-01</t>
  </si>
  <si>
    <t>239-01</t>
  </si>
  <si>
    <t>236-01</t>
  </si>
  <si>
    <t>4065-01</t>
  </si>
  <si>
    <t>238-01</t>
  </si>
  <si>
    <t>243-01</t>
  </si>
  <si>
    <t>240-01</t>
  </si>
  <si>
    <t>315-01</t>
  </si>
  <si>
    <t>4066-01</t>
  </si>
  <si>
    <t>242-01</t>
  </si>
  <si>
    <t>309-01</t>
  </si>
  <si>
    <t>244-01</t>
  </si>
  <si>
    <t>311-01</t>
  </si>
  <si>
    <t>clear-day</t>
  </si>
  <si>
    <t>partly-cloudy-day</t>
  </si>
  <si>
    <t>204:759</t>
  </si>
  <si>
    <t>204:232675</t>
  </si>
  <si>
    <t>204:119</t>
  </si>
  <si>
    <t>204:763</t>
  </si>
  <si>
    <t>DE.1.0.8.0</t>
  </si>
  <si>
    <t>204:232698</t>
  </si>
  <si>
    <t>204:737</t>
  </si>
  <si>
    <t>204:232656</t>
  </si>
  <si>
    <t>204:233287</t>
  </si>
  <si>
    <t>204:478</t>
  </si>
  <si>
    <t>204:232992</t>
  </si>
  <si>
    <t>204:1158</t>
  </si>
  <si>
    <t>204:418</t>
  </si>
  <si>
    <t>204:233266</t>
  </si>
  <si>
    <t>204:232946</t>
  </si>
  <si>
    <t>204:766</t>
  </si>
  <si>
    <t>204:232930</t>
  </si>
  <si>
    <t>204:37171</t>
  </si>
  <si>
    <t>204:232988</t>
  </si>
  <si>
    <t>204:233342</t>
  </si>
  <si>
    <t>204:233027</t>
  </si>
  <si>
    <t>204:183</t>
  </si>
  <si>
    <t>204:233324</t>
  </si>
  <si>
    <t>204:233325</t>
  </si>
  <si>
    <t>204:232978</t>
  </si>
  <si>
    <t>204:233259</t>
  </si>
  <si>
    <t>204:232944</t>
  </si>
  <si>
    <t>204:169</t>
  </si>
  <si>
    <t>204:233278</t>
  </si>
  <si>
    <t>204:233017</t>
  </si>
  <si>
    <t>204:125</t>
  </si>
  <si>
    <t>204:232984</t>
  </si>
  <si>
    <t>204:469</t>
  </si>
  <si>
    <t>204:233338</t>
  </si>
  <si>
    <t>204:233316</t>
  </si>
  <si>
    <t>204:233005</t>
  </si>
  <si>
    <t>204:233298</t>
  </si>
  <si>
    <t>204:429</t>
  </si>
  <si>
    <t>204:233300</t>
  </si>
  <si>
    <t>204:232974</t>
  </si>
  <si>
    <t>204:236</t>
  </si>
  <si>
    <t>204:471</t>
  </si>
  <si>
    <t>204:127871</t>
  </si>
  <si>
    <t>204:233303</t>
  </si>
  <si>
    <t>204:480</t>
  </si>
  <si>
    <t>204:233025</t>
  </si>
  <si>
    <t>204:129</t>
  </si>
  <si>
    <t>204:551</t>
  </si>
  <si>
    <t>204:170</t>
  </si>
  <si>
    <t>204:233291</t>
  </si>
  <si>
    <t>204:232985</t>
  </si>
  <si>
    <t>204:232967</t>
  </si>
  <si>
    <t>204:233055</t>
  </si>
  <si>
    <t>204:19133</t>
  </si>
  <si>
    <t>204:233327</t>
  </si>
  <si>
    <t>204:233207</t>
  </si>
  <si>
    <t>204:232882</t>
  </si>
  <si>
    <t>204:233081</t>
  </si>
  <si>
    <t>204:233268</t>
  </si>
  <si>
    <t>204:232972</t>
  </si>
  <si>
    <t>204:233013</t>
  </si>
  <si>
    <t>204:233257</t>
  </si>
  <si>
    <t>204:232919</t>
  </si>
  <si>
    <t>204:233006</t>
  </si>
  <si>
    <t>204:233276</t>
  </si>
  <si>
    <t>204:233329</t>
  </si>
  <si>
    <t>204:233355</t>
  </si>
  <si>
    <t>204:19132</t>
  </si>
  <si>
    <t>204:233345</t>
  </si>
  <si>
    <t>204:1213</t>
  </si>
  <si>
    <t>204:233032</t>
  </si>
  <si>
    <t>204:233330</t>
  </si>
  <si>
    <t>204:233340</t>
  </si>
  <si>
    <t>204:233040</t>
  </si>
  <si>
    <t>204:216123</t>
  </si>
  <si>
    <t>300:22811</t>
  </si>
  <si>
    <t>300:20579</t>
  </si>
  <si>
    <t>300:23346</t>
  </si>
  <si>
    <t>300:23442</t>
  </si>
  <si>
    <t>300:23320</t>
  </si>
  <si>
    <t>300:19639</t>
  </si>
  <si>
    <t>300:23310</t>
  </si>
  <si>
    <t>204:125718</t>
  </si>
  <si>
    <t>204:125673</t>
  </si>
  <si>
    <t>204:9244</t>
  </si>
  <si>
    <t>204:125991</t>
  </si>
  <si>
    <t>204:233322</t>
  </si>
  <si>
    <t>204:126029</t>
  </si>
  <si>
    <t>204:9578</t>
  </si>
  <si>
    <t>300:23209</t>
  </si>
  <si>
    <t>204:66</t>
  </si>
  <si>
    <t>204:359</t>
  </si>
  <si>
    <t>300:23306</t>
  </si>
  <si>
    <t>300:23449</t>
  </si>
  <si>
    <t>204:1854</t>
  </si>
  <si>
    <t>300:23211</t>
  </si>
  <si>
    <t>300:58617</t>
  </si>
  <si>
    <t>204:747</t>
  </si>
  <si>
    <t>204:1037</t>
  </si>
  <si>
    <t>300:58927</t>
  </si>
  <si>
    <t>300:58615</t>
  </si>
  <si>
    <t>204:764</t>
  </si>
  <si>
    <t>300:58647</t>
  </si>
  <si>
    <t>204:684</t>
  </si>
  <si>
    <t>204:1044</t>
  </si>
  <si>
    <t>300:58939</t>
  </si>
  <si>
    <t>204:733</t>
  </si>
  <si>
    <t>204:971</t>
  </si>
  <si>
    <t>300:58961</t>
  </si>
  <si>
    <t>300:58651</t>
  </si>
  <si>
    <t>204:699</t>
  </si>
  <si>
    <t>204:1028</t>
  </si>
  <si>
    <t>204:151</t>
  </si>
  <si>
    <t>204:981</t>
  </si>
  <si>
    <t>204:967</t>
  </si>
  <si>
    <t>204:678</t>
  </si>
  <si>
    <t>300:58952</t>
  </si>
  <si>
    <t>204:979</t>
  </si>
  <si>
    <t>300:58920</t>
  </si>
  <si>
    <t>300:58596</t>
  </si>
  <si>
    <t>204:675</t>
  </si>
  <si>
    <t>300:58632</t>
  </si>
  <si>
    <t>204:668</t>
  </si>
  <si>
    <t>300:58640</t>
  </si>
  <si>
    <t>204:691</t>
  </si>
  <si>
    <t>300:58638</t>
  </si>
  <si>
    <t>204:661</t>
  </si>
  <si>
    <t>204:909</t>
  </si>
  <si>
    <t>300:58914</t>
  </si>
  <si>
    <t>300:58592</t>
  </si>
  <si>
    <t>300:58626</t>
  </si>
  <si>
    <t>204:944</t>
  </si>
  <si>
    <t>300:58909</t>
  </si>
  <si>
    <t>300:58594</t>
  </si>
  <si>
    <t>204:965</t>
  </si>
  <si>
    <t>204:927</t>
  </si>
  <si>
    <t>300:58905</t>
  </si>
  <si>
    <t>300:40110</t>
  </si>
  <si>
    <t>300:57815</t>
  </si>
  <si>
    <t>204:978</t>
  </si>
  <si>
    <t>204:953</t>
  </si>
  <si>
    <t>300:58918</t>
  </si>
  <si>
    <t>204:617</t>
  </si>
  <si>
    <t>204:983</t>
  </si>
  <si>
    <t>300:58922</t>
  </si>
  <si>
    <t>300:58911</t>
  </si>
  <si>
    <t>300:30379</t>
  </si>
  <si>
    <t>300:22032</t>
  </si>
  <si>
    <t>204:441</t>
  </si>
  <si>
    <t>300:24258</t>
  </si>
  <si>
    <t>300:23125</t>
  </si>
  <si>
    <t>204:633</t>
  </si>
  <si>
    <t>300:58606</t>
  </si>
  <si>
    <t>300:28793</t>
  </si>
  <si>
    <t>300:58183</t>
  </si>
  <si>
    <t>300:21380</t>
  </si>
  <si>
    <t>start /low /b %USERPROFILE%\Documents\GitHub\eaglep3\Utilities\DownloadLogsFromS3.py --loco 4024 --day 2017-03-01</t>
  </si>
  <si>
    <t>start /low /b %USERPROFILE%\Documents\GitHub\eaglep3\Utilities\DownloadLogsFromS3.py --loco 4002 --day 2017-03-01</t>
  </si>
  <si>
    <t>start /low /b %USERPROFILE%\Documents\GitHub\eaglep3\Utilities\DownloadLogsFromS3.py --loco 4032 --day 2017-03-01</t>
  </si>
  <si>
    <t>start /low /b %USERPROFILE%\Documents\GitHub\eaglep3\Utilities\DownloadLogsFromS3.py --loco 4044 --day 2017-03-01</t>
  </si>
  <si>
    <t>start /low /b %USERPROFILE%\Documents\GitHub\eaglep3\Utilities\DownloadLogsFromS3.py --loco 4029 --day 2017-03-02</t>
  </si>
  <si>
    <t>start /low /b %USERPROFILE%\Documents\GitHub\eaglep3\Utilities\DownloadLogsFromS3.py --loco 4013 --day 2017-03-01</t>
  </si>
  <si>
    <t>start /low /b %USERPROFILE%\Documents\GitHub\eaglep3\Utilities\DownloadLogsFromS3.py --loco 4046 --day 2017-03-01</t>
  </si>
  <si>
    <t>start /low /b %USERPROFILE%\Documents\GitHub\eaglep3\Utilities\DownloadLogsFromS3.py --loco 4009 --day 2017-03-01</t>
  </si>
  <si>
    <t>start /low /b %USERPROFILE%\Documents\GitHub\eaglep3\Utilities\DownloadLogsFromS3.py --loco 4046 --day 2017-03-02</t>
  </si>
  <si>
    <t>start /low /b %USERPROFILE%\Documents\GitHub\eaglep3\Utilities\DownloadLogsFromS3.py --loco 4045 --day 2017-03-01</t>
  </si>
  <si>
    <t>start /low /b %USERPROFILE%\Documents\GitHub\eaglep3\Utilities\DownloadLogsFromS3.py --loco 4043 --day 2017-03-02</t>
  </si>
  <si>
    <t>start /low /b %USERPROFILE%\Documents\GitHub\eaglep3\Utilities\DownloadLogsFromS3.py --loco 4001 --day 2017-03-01</t>
  </si>
  <si>
    <t>start /low /b %USERPROFILE%\Documents\GitHub\eaglep3\Utilities\DownloadLogsFromS3.py --loco 4029 --day 2017-03-01</t>
  </si>
  <si>
    <t>start /low /b %USERPROFILE%\Documents\GitHub\eaglep3\Utilities\DownloadLogsFromS3.py --loco 4030 --day 2017-03-01</t>
  </si>
  <si>
    <t>start /low /b %USERPROFILE%\Documents\GitHub\eaglep3\Utilities\DownloadLogsFromS3.py --loco 4021 --day 2017-03-01</t>
  </si>
  <si>
    <t>start /low /b %USERPROFILE%\Documents\GitHub\eaglep3\Utilities\DownloadLogsFromS3.py --loco 4023 --day 2017-03-01</t>
  </si>
  <si>
    <t>start /low /b %USERPROFILE%\Documents\GitHub\eaglep3\Utilities\DownloadLogsFromS3.py --loco 4002 --day 2017-03-02</t>
  </si>
  <si>
    <t>start /low /b %USERPROFILE%\Documents\GitHub\eaglep3\Utilities\DownloadLogsFromS3.py --loco 4010 --day 2017-03-01</t>
  </si>
  <si>
    <t>start /low /b %USERPROFILE%\Documents\GitHub\eaglep3\Utilities\DownloadLogsFromS3.py --loco 4001 --day 2017-03-02</t>
  </si>
  <si>
    <t>start /low /b %USERPROFILE%\Documents\GitHub\eaglep3\Utilities\DownloadLogsFromS3.py --loco 4012 --day 2017-03-02</t>
  </si>
  <si>
    <t>start /low /b %USERPROFILE%\Documents\GitHub\eaglep3\Utilities\DownloadLogsFromS3.py --loco 4011 --day 2017-03-02</t>
  </si>
  <si>
    <t>start /low /b %USERPROFILE%\Documents\GitHub\eaglep3\Utilities\DownloadLogsFromS3.py --loco 4011 --day 2017-03-01</t>
  </si>
  <si>
    <t>start /low /b %USERPROFILE%\Documents\GitHub\eaglep3\Utilities\DownloadLogsFromS3.py --loco 4012 --day 2017-03-01</t>
  </si>
  <si>
    <t>start /low /b %USERPROFILE%\Documents\GitHub\eaglep3\Utilities\DownloadLogsFromS3.py --loco 4023 --day 2017-03-02</t>
  </si>
  <si>
    <t>start /low /b %USERPROFILE%\Documents\GitHub\eaglep3\Utilities\DownloadLogsFromS3.py --loco 4025 --day 2017-03-02</t>
  </si>
  <si>
    <t>start /low /b %USERPROFILE%\Documents\GitHub\eaglep3\Utilities\DownloadLogsFromS3.py --loco 4013 --day 2017-03-02</t>
  </si>
  <si>
    <t>start /low /b %USERPROFILE%\Documents\GitHub\eaglep3\Utilities\DownloadLogsFromS3.py --loco 4026 --day 2017-03-01</t>
  </si>
  <si>
    <t>start /low /b %USERPROFILE%\Documents\GitHub\eaglep3\Utilities\DownloadLogsFromS3.py --loco 4014 --day 2017-03-01</t>
  </si>
  <si>
    <t>Software update to DE.1.0.9.0</t>
  </si>
  <si>
    <t>http://stevetu21.github.io/eaglep3/load_kml.html?kml=http://rtdc.gmaps-snips.s3.amazonaws.com/eb927496-5fc4-476d-970b-4c824d850f8b.kml</t>
  </si>
  <si>
    <t>RESTRICTING aspect</t>
  </si>
  <si>
    <t>CCROC/crew/equipment mismatch, no Form C for Clayton issued to this trip</t>
  </si>
  <si>
    <t>CPU-1 commanded penalty, then voted out, resulted in no enforcement</t>
  </si>
  <si>
    <t>Selected wrong track (train was on Main 1, selected Main 2)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</si>
  <si>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</si>
  <si>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</si>
  <si>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</si>
  <si>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</si>
  <si>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</si>
  <si>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</si>
  <si>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</si>
  <si>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</si>
  <si>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</si>
  <si>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</si>
  <si>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</si>
  <si>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</si>
  <si>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</si>
  <si>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</si>
  <si>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</si>
  <si>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</si>
  <si>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</si>
  <si>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</si>
  <si>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</si>
  <si>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</si>
  <si>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</si>
  <si>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</si>
  <si>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</si>
  <si>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</si>
  <si>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</si>
  <si>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</si>
  <si>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</si>
  <si>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</si>
  <si>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</si>
  <si>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</si>
  <si>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</si>
  <si>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</si>
  <si>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</si>
  <si>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</si>
  <si>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</si>
  <si>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</si>
  <si>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</si>
  <si>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</si>
  <si>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</si>
  <si>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</si>
  <si>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</si>
  <si>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</si>
  <si>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</si>
  <si>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</si>
  <si>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</si>
  <si>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</si>
  <si>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</si>
  <si>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</si>
  <si>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</si>
  <si>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</si>
  <si>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</si>
  <si>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</si>
  <si>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</si>
  <si>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</si>
  <si>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</si>
  <si>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</si>
  <si>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</si>
  <si>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</si>
  <si>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</si>
  <si>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</si>
  <si>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</si>
  <si>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</si>
  <si>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</si>
  <si>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</si>
  <si>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</si>
  <si>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</si>
  <si>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</si>
  <si>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</si>
  <si>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</si>
  <si>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</si>
  <si>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</si>
  <si>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</si>
  <si>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</si>
  <si>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</si>
  <si>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</si>
  <si>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</si>
  <si>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</si>
  <si>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</si>
  <si>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</si>
  <si>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</si>
  <si>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</si>
  <si>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</si>
  <si>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</si>
  <si>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</si>
  <si>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</si>
  <si>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</si>
  <si>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</si>
  <si>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</si>
  <si>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</si>
  <si>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</si>
  <si>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</si>
  <si>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</si>
  <si>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</si>
  <si>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</si>
  <si>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</si>
  <si>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</si>
  <si>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</si>
  <si>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</si>
  <si>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</si>
  <si>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</si>
  <si>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</si>
  <si>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</si>
  <si>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</si>
  <si>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</si>
  <si>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</si>
  <si>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</si>
  <si>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</si>
  <si>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</si>
  <si>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</si>
  <si>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</si>
  <si>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</si>
  <si>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</si>
  <si>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</si>
  <si>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</si>
  <si>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</si>
  <si>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</si>
  <si>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</si>
  <si>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</si>
  <si>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</si>
  <si>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</si>
  <si>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</si>
  <si>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</si>
  <si>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</si>
  <si>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</si>
  <si>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</si>
  <si>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</si>
  <si>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</si>
  <si>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</si>
  <si>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</si>
  <si>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</si>
  <si>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Banner w/o braking</t>
  </si>
  <si>
    <t>Locomotive mechanical issues (alerter)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</si>
</sst>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8"/>
  <sheetViews>
    <sheetView tabSelected="1" topLeftCell="A72" zoomScaleNormal="100" workbookViewId="0">
      <selection activeCell="R97" sqref="R97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42795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42795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COUNTIFS($N$13:$N$9327,"&gt;0",$AG$13:$AG$9327,I1)</f>
        <v>139</v>
      </c>
      <c r="K5" s="40"/>
      <c r="L5" s="40"/>
      <c r="M5" s="41">
        <f>AVERAGEIFS($N$13:$N$9327,$AG$13:$AG$9327,I1)</f>
        <v>39.945323740721769</v>
      </c>
      <c r="N5" s="39">
        <f t="array" ref="N5">MIN(IF($AG$13:$AG$9327=I1,IF(ISNUMBER($N$13:$N$9327),IF($N$13:$N$9327&gt;0,$N$13:$N$9327))))</f>
        <v>34.983333338750526</v>
      </c>
      <c r="O5" s="3">
        <f t="array" ref="O5">MAX(IF($AG$13:$AG$9327=I1,IF(ISNUMBER($N$13:$N$9327),IF($N$13:$N$9327&gt;0,$N$13:$N$9327))))</f>
        <v>49.649999997345731</v>
      </c>
      <c r="P5" s="2"/>
      <c r="R5" s="74" t="s">
        <v>17</v>
      </c>
      <c r="S5" s="50">
        <f>COUNTIFS($N$13:$N$9327,"&gt;0",$AG$13:$AG$9327,R1)</f>
        <v>46</v>
      </c>
      <c r="T5" s="40"/>
      <c r="U5" s="177"/>
      <c r="V5" s="174">
        <f>AVERAGEIFS($N$13:$N$9327,$AG$13:$AG$9327,R1)</f>
        <v>14.527898549390754</v>
      </c>
      <c r="W5" s="175">
        <f t="array" ref="W5">MIN(IF($AG$13:$AG$9327=R1,IF(ISNUMBER($N$13:$N$9327),IF($N$13:$N$9327&gt;0,$N$13:$N$9327))))</f>
        <v>12.23333333269693</v>
      </c>
      <c r="X5" s="176">
        <f t="array" ref="X5">MAX(IF($AG$13:$AG$9327=R1,IF(ISNUMBER($N$13:$N$9327),IF($N$13:$N$9327&gt;0,$N$13:$N$9327))))</f>
        <v>21.800000004004687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COUNT($O$13:$O$103)</f>
        <v>0</v>
      </c>
      <c r="K6" s="40"/>
      <c r="L6" s="40"/>
      <c r="M6" s="41">
        <f>IFERROR(AVERAGE($O$13:$O$103),0)</f>
        <v>0</v>
      </c>
      <c r="N6" s="39">
        <f>MIN($O$13:$O$103)</f>
        <v>0</v>
      </c>
      <c r="O6" s="3">
        <f>MAX($O$13:$O$103)</f>
        <v>0</v>
      </c>
      <c r="P6" s="2"/>
      <c r="R6" s="75" t="s">
        <v>43</v>
      </c>
      <c r="S6" s="50">
        <f>COUNT($O$13:$O$103)</f>
        <v>0</v>
      </c>
      <c r="T6" s="40"/>
      <c r="U6" s="177"/>
      <c r="V6" s="174">
        <f>IFERROR(AVERAGE($O$13:$O$103),0)</f>
        <v>0</v>
      </c>
      <c r="W6" s="175">
        <f>MIN($O$13:$O$103)</f>
        <v>0</v>
      </c>
      <c r="X6" s="176">
        <f>MAX($O$13:$O$103)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COUNTIFS($P$13:$P$9327,"&gt;0",$AG$13:$AG$9327,I1)</f>
        <v>5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COUNTIFS($P$13:$P$9327,"&gt;0",$AG$13:$AG$9327,R1)</f>
        <v>1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39.945323740721769</v>
      </c>
      <c r="N8" s="39">
        <f>N5</f>
        <v>34.983333338750526</v>
      </c>
      <c r="O8" s="3">
        <f>O5</f>
        <v>49.649999997345731</v>
      </c>
      <c r="P8" s="2"/>
      <c r="R8" s="74" t="s">
        <v>16</v>
      </c>
      <c r="S8" s="50">
        <f>S5</f>
        <v>46</v>
      </c>
      <c r="T8" s="40"/>
      <c r="U8" s="177"/>
      <c r="V8" s="174">
        <f>V5</f>
        <v>14.527898549390754</v>
      </c>
      <c r="W8" s="175">
        <f>W5</f>
        <v>12.23333333269693</v>
      </c>
      <c r="X8" s="176">
        <f>X5</f>
        <v>21.800000004004687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0.96527777777777779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0.97872340425531912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- 2017-03-01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AVERAGE(S13:S73)</f>
        <v>0.99590163934426235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209</v>
      </c>
      <c r="AN12" s="47" t="s">
        <v>218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479</v>
      </c>
      <c r="B13" s="7">
        <v>4020</v>
      </c>
      <c r="C13" s="21" t="s">
        <v>266</v>
      </c>
      <c r="D13" s="21" t="s">
        <v>677</v>
      </c>
      <c r="E13" s="13">
        <v>42795.129571759258</v>
      </c>
      <c r="F13" s="13">
        <v>42795.136076388888</v>
      </c>
      <c r="G13" s="7">
        <v>1</v>
      </c>
      <c r="H13" s="21" t="s">
        <v>317</v>
      </c>
      <c r="I13" s="13">
        <v>42795.164201388892</v>
      </c>
      <c r="J13" s="7">
        <v>0</v>
      </c>
      <c r="K13" s="98" t="str">
        <f t="shared" ref="K13:K76" si="0">IF(ISEVEN(B13),(B13-1)&amp;"/"&amp;B13,B13&amp;"/"&amp;(B13+1))</f>
        <v>4019/4020</v>
      </c>
      <c r="L13" s="21" t="str">
        <f>VLOOKUP(A13,'Trips&amp;Operators'!$C$1:$G$99999,5,FALSE)</f>
        <v>BADERTSCHER DIANE</v>
      </c>
      <c r="M13" s="6">
        <f t="shared" ref="M13:M76" si="1">I13-F13</f>
        <v>2.8125000004365575E-2</v>
      </c>
      <c r="N13" s="7">
        <f t="shared" ref="N13:N28" si="2">24*60*SUM($M13:$M13)</f>
        <v>40.500000006286427</v>
      </c>
      <c r="O13" s="7"/>
      <c r="P13" s="7"/>
      <c r="Q13" s="22"/>
      <c r="R13" s="22"/>
      <c r="S13" s="31">
        <f>SUM(U13:U13)/IF(AG13="EC",12,1)</f>
        <v>1</v>
      </c>
      <c r="T13" s="46" t="str">
        <f t="shared" ref="T13:T76" si="3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-01T02:06:35-0700',mode:absolute,to:'2017-03-01T04:56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" s="187" t="str">
        <f t="shared" ref="W13:W76" si="5">IF(AA13&lt;IF(AG13="EC",23,5.65),"Y","N")</f>
        <v>N</v>
      </c>
      <c r="X13" s="187" t="e">
        <f t="shared" ref="X13:X44" si="6">VALUE(LEFT(AD13,4))-VALUE(LEFT(AD12,4))</f>
        <v>#VALUE!</v>
      </c>
      <c r="Y13" s="62">
        <f t="shared" ref="Y13:Y76" si="7">RIGHT(D13,LEN(D13)-4)/10000</f>
        <v>7.5899999999999995E-2</v>
      </c>
      <c r="Z13" s="62">
        <f t="shared" ref="Z13:Z44" si="8">RIGHT(H13,LEN(H13)-4)/10000</f>
        <v>23.331499999999998</v>
      </c>
      <c r="AA13" s="62">
        <f t="shared" ref="AA13:AA76" si="9">ABS(Z13-Y13)</f>
        <v>23.255599999999998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0">IF(LEN(A13)=6,"0"&amp;A13,A13)</f>
        <v>0101-01</v>
      </c>
      <c r="AE13" s="85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"%USERPROFILE%\AppData\Local\Temp\OnboardLogs"\RTDC4020\2017-03-01 --exclude "*" --recursive --include "*20170301*" &amp; "%USERPROFILE%\Documents\GitHub\mrs-test-scripts\Headless Mode &amp; Sideloading\WalkAndUnGZ.bat" "%USERPROFILE%\AppData\Local\Temp\OnboardLogs"\RTDC4020\2017-03-01 &amp; aws s3 cp s3://rtdc.mdm.uploadarchive.raw/RTDC4020/ "%USERPROFILE%\AppData\Local\Temp\OnboardLogs"\RTDC4020\2017-03-02 --exclude "*" --recursive --include "*20170302*" &amp; "%USERPROFILE%\Documents\GitHub\mrs-test-scripts\Headless Mode &amp; Sideloading\WalkAndUnGZ.bat" "%USERPROFILE%\AppData\Local\Temp\OnboardLogs"\RTDC4020\2017-03-02</v>
      </c>
      <c r="AF13" s="82" t="str">
        <f t="shared" ref="AF13:AF76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/stypes="app*4020*20170301*" /stext=" 10:.+((SYSTEM_STATE.+slice.+state.+changed )|(ment ac)|(multiple cpu faults)|(system.+state.+changed )|(\[timeout)|(PRM\|1\|D)|(kpr)|(kdp)|(\|lc)|(penalty))" /e /r /s</v>
      </c>
      <c r="AG13" s="1" t="str">
        <f t="shared" ref="AG13:AG76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4020 --swversion DE.1.0.9.0 --startMP 204:759 --initTime 2017-03-01T03:06:35 --startdatetime 2017-03-01T03:15:57 --delay 1 --endMP 204:233315 --enddatetime 2017-03-01T03:56:27 --enforcementcount 0 &gt;&gt;C:\Users\stu\Documents\GitHub\eaglep3-reporting\EC\2017-03-01-refined-times.txt</v>
      </c>
      <c r="AI13" s="108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{"issue":{"subject":"","project_id":79,"tracker_id":40,"status_id":1,"priority_id":2,"assigned_to_id":23,"start_date":"2017-03-01","description":"","custom_fields":[{"id":1,"name":"Subdivision","value":"EC"},{"id":4,"name":"Milepost","value":"23.3315"},{"id":17,"name":"Train ID","value":"101-01"},{"id":16,"name":"Locomotive ID","value":"4020"},{"id":130,"name":"Impact","value":""},{"id":150,"name":"Time of Event (Mountain Time)","value":"03:56:27"},{"id":151,"name":"Denver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6">"start /low /b "&amp;dls3logs&amp;" --loco "&amp;B13&amp;" --day "&amp;TEXT(F13,"YYYY-MM-DD")</f>
        <v>start /low /b %USERPROFILE%\Documents\GitHub\eaglep3\Utilities\DownloadLogsFromS3.py --loco 4020 --day 2017-03-01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"%USERPROFILE%\AppData\Local\Temp\OnboardLogs"\RTDC4020\*4020*20170301* | grep -SE "(Enforcement Action)|(\[TIMEOUT)|(CHR.+\|PRM\|1\|D.+(SWITCH|SIGNAL).+UNKNOWN)" - &gt;&gt; 2017-03-01-UncaughtWiMAX.txt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487</v>
      </c>
      <c r="B14" s="7">
        <v>4010</v>
      </c>
      <c r="C14" s="21" t="s">
        <v>266</v>
      </c>
      <c r="D14" s="21" t="s">
        <v>678</v>
      </c>
      <c r="E14" s="13">
        <v>42795.169976851852</v>
      </c>
      <c r="F14" s="13">
        <v>42795.174502314818</v>
      </c>
      <c r="G14" s="7">
        <v>1</v>
      </c>
      <c r="H14" s="21" t="s">
        <v>679</v>
      </c>
      <c r="I14" s="13">
        <v>42795.207708333335</v>
      </c>
      <c r="J14" s="7">
        <v>0</v>
      </c>
      <c r="K14" s="98" t="str">
        <f t="shared" si="0"/>
        <v>4009/4010</v>
      </c>
      <c r="L14" s="21" t="str">
        <f>VLOOKUP(A14,'Trips&amp;Operators'!$C$1:$G$99999,5,FALSE)</f>
        <v>BADERTSCHER DIANE</v>
      </c>
      <c r="M14" s="6">
        <f t="shared" si="1"/>
        <v>3.3206018517375924E-2</v>
      </c>
      <c r="N14" s="7">
        <f t="shared" si="2"/>
        <v>47.81666666502133</v>
      </c>
      <c r="O14" s="7"/>
      <c r="P14" s="7"/>
      <c r="Q14" s="22"/>
      <c r="R14" s="22"/>
      <c r="S14" s="31">
        <f t="shared" ref="S14:S76" si="17">SUM(U14:U14)/IF(AG14="EC",12,1)</f>
        <v>1</v>
      </c>
      <c r="T14" s="46" t="str">
        <f t="shared" si="3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4"/>
        <v>https://d0f6bd738d7f1b3e5a7ca70fe4ff75f0.us-east-1.aws.found.io/app/kibana#/discover/Steve-Slow-Train-Analysis-(2080s-and-2083s)?_g=(refreshInterval:(display:Off,pause:!f,section:0,value:0),time:(from:'2017-03-01T03:04:46-0700',mode:absolute,to:'2017-03-01T05:59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" s="187" t="str">
        <f t="shared" si="5"/>
        <v>N</v>
      </c>
      <c r="X14" s="187">
        <f t="shared" si="6"/>
        <v>1</v>
      </c>
      <c r="Y14" s="62">
        <f t="shared" si="7"/>
        <v>23.267499999999998</v>
      </c>
      <c r="Z14" s="62">
        <f t="shared" si="8"/>
        <v>1.1900000000000001E-2</v>
      </c>
      <c r="AA14" s="62">
        <f t="shared" si="9"/>
        <v>23.255599999999998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0"/>
        <v>0102-01</v>
      </c>
      <c r="AE14" s="85" t="str">
        <f t="shared" si="11"/>
        <v>aws s3 cp s3://rtdc.mdm.uploadarchive.raw/RTDC4010/ "%USERPROFILE%\AppData\Local\Temp\OnboardLogs"\RTDC4010\2017-03-01 --exclude "*" --recursive --include "*20170301*" &amp; "%USERPROFILE%\Documents\GitHub\mrs-test-scripts\Headless Mode &amp; Sideloading\WalkAndUnGZ.bat" "%USERPROFILE%\AppData\Local\Temp\OnboardLogs"\RTDC4010\2017-03-01 &amp; aws s3 cp s3://rtdc.mdm.uploadarchive.raw/RTDC4010/ "%USERPROFILE%\AppData\Local\Temp\OnboardLogs"\RTDC4010\2017-03-02 --exclude "*" --recursive --include "*20170302*" &amp; "%USERPROFILE%\Documents\GitHub\mrs-test-scripts\Headless Mode &amp; Sideloading\WalkAndUnGZ.bat" "%USERPROFILE%\AppData\Local\Temp\OnboardLogs"\RTDC4010\2017-03-02</v>
      </c>
      <c r="AF14" s="82" t="str">
        <f t="shared" si="12"/>
        <v>"C:\Program Files (x86)\AstroGrep\AstroGrep.exe" /spath="%USERPROFILE%\AppData\Local\Temp\OnboardLogs" /stypes="app*4010*20170301*" /stext=" 11:.+((SYSTEM_STATE.+slice.+state.+changed )|(ment ac)|(multiple cpu faults)|(system.+state.+changed )|(\[timeout)|(PRM\|1\|D)|(kpr)|(kdp)|(\|lc)|(penalty))" /e /r /s</v>
      </c>
      <c r="AG14" s="1" t="str">
        <f t="shared" si="13"/>
        <v>EC</v>
      </c>
      <c r="AH14" s="86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4010 --swversion DE.1.0.9.0 --startMP 204:232675 --initTime 2017-03-01T04:04:46 --startdatetime 2017-03-01T04:11:17 --delay 1 --endMP 204:119 --enddatetime 2017-03-01T04:59:06 --enforcementcount 0 &gt;&gt;C:\Users\stu\Documents\GitHub\eaglep3-reporting\EC\2017-03-01-refined-times.txt</v>
      </c>
      <c r="AI14" s="108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{"issue":{"subject":"","project_id":79,"tracker_id":40,"status_id":1,"priority_id":2,"assigned_to_id":23,"start_date":"2017-03-01","description":"","custom_fields":[{"id":1,"name":"Subdivision","value":"EC"},{"id":4,"name":"Milepost","value":"0.0119"},{"id":17,"name":"Train ID","value":"102-01"},{"id":16,"name":"Locomotive ID","value":"4010"},{"id":130,"name":"Impact","value":""},{"id":150,"name":"Time of Event (Mountain Time)","value":"04:59:06"},{"id":151,"name":"Denver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6" si="20">"start /low /b "&amp;dls3logs&amp;" --loco "&amp;B14&amp;" --day "&amp;TEXT(F14,"YYYY-MM-DD")</f>
        <v>start /low /b %USERPROFILE%\Documents\GitHub\eaglep3\Utilities\DownloadLogsFromS3.py --loco 4010 --day 2017-03-01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"%USERPROFILE%\AppData\Local\Temp\OnboardLogs"\RTDC4010\*4010*20170301* | grep -SE "(Enforcement Action)|(\[TIMEOUT)|(CHR.+\|PRM\|1\|D.+(SWITCH|SIGNAL).+UNKNOWN)" - &gt;&gt; 2017-03-01-UncaughtWiMAX.txt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481</v>
      </c>
      <c r="B15" s="7">
        <v>4002</v>
      </c>
      <c r="C15" s="21" t="s">
        <v>266</v>
      </c>
      <c r="D15" s="21" t="s">
        <v>680</v>
      </c>
      <c r="E15" s="13">
        <v>42795.152094907404</v>
      </c>
      <c r="F15" s="13">
        <v>42795.156504629631</v>
      </c>
      <c r="G15" s="7">
        <v>1</v>
      </c>
      <c r="H15" s="21" t="s">
        <v>349</v>
      </c>
      <c r="I15" s="13">
        <v>42795.183472222219</v>
      </c>
      <c r="J15" s="7">
        <v>0</v>
      </c>
      <c r="K15" s="98" t="str">
        <f t="shared" si="0"/>
        <v>4001/4002</v>
      </c>
      <c r="L15" s="21" t="str">
        <f>VLOOKUP(A15,'Trips&amp;Operators'!$C$1:$G$99999,5,FALSE)</f>
        <v>MAELZER KURT</v>
      </c>
      <c r="M15" s="6">
        <f t="shared" si="1"/>
        <v>2.696759258833481E-2</v>
      </c>
      <c r="N15" s="7">
        <f t="shared" si="2"/>
        <v>38.833333327202126</v>
      </c>
      <c r="O15" s="7"/>
      <c r="P15" s="7"/>
      <c r="Q15" s="22"/>
      <c r="R15" s="22"/>
      <c r="S15" s="31">
        <f t="shared" si="17"/>
        <v>1</v>
      </c>
      <c r="T15" s="46" t="str">
        <f t="shared" si="3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4"/>
        <v>https://d0f6bd738d7f1b3e5a7ca70fe4ff75f0.us-east-1.aws.found.io/app/kibana#/discover/Steve-Slow-Train-Analysis-(2080s-and-2083s)?_g=(refreshInterval:(display:Off,pause:!f,section:0,value:0),time:(from:'2017-03-01T02:39:01-0700',mode:absolute,to:'2017-03-01T05:24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" s="187" t="str">
        <f t="shared" si="5"/>
        <v>N</v>
      </c>
      <c r="X15" s="187">
        <f t="shared" si="6"/>
        <v>1</v>
      </c>
      <c r="Y15" s="62">
        <f t="shared" si="7"/>
        <v>7.6300000000000007E-2</v>
      </c>
      <c r="Z15" s="62">
        <f t="shared" si="8"/>
        <v>23.3323</v>
      </c>
      <c r="AA15" s="62">
        <f t="shared" si="9"/>
        <v>23.256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0"/>
        <v>0103-01</v>
      </c>
      <c r="AE15" s="85" t="str">
        <f t="shared" si="11"/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AF15" s="82" t="str">
        <f t="shared" si="12"/>
        <v>"C:\Program Files (x86)\AstroGrep\AstroGrep.exe" /spath="%USERPROFILE%\AppData\Local\Temp\OnboardLogs" /stypes="app*4002*20170301*" /stext=" 11:.+((SYSTEM_STATE.+slice.+state.+changed )|(ment ac)|(multiple cpu faults)|(system.+state.+changed )|(\[timeout)|(PRM\|1\|D)|(kpr)|(kdp)|(\|lc)|(penalty))" /e /r /s</v>
      </c>
      <c r="AG15" s="1" t="str">
        <f t="shared" si="13"/>
        <v>EC</v>
      </c>
      <c r="AH15" s="86" t="str">
        <f t="shared" si="18"/>
        <v>"%USERPROFILE%\Documents\GitHub\eaglep3\Utilities\RefineRTDCRunTimes.py" --tripid 103-01 --locoid 4002 --swversion DE.1.0.9.0 --startMP 204:763 --initTime 2017-03-01T03:39:01 --startdatetime 2017-03-01T03:45:22 --delay 1 --endMP 204:233323 --enddatetime 2017-03-01T04:24:12 --enforcementcount 0 &gt;&gt;C:\Users\stu\Documents\GitHub\eaglep3-reporting\EC\2017-03-01-refined-times.txt</v>
      </c>
      <c r="AI15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{"issue":{"subject":"","project_id":79,"tracker_id":40,"status_id":1,"priority_id":2,"assigned_to_id":23,"start_date":"2017-03-01","description":"","custom_fields":[{"id":1,"name":"Subdivision","value":"EC"},{"id":4,"name":"Milepost","value":"23.3323"},{"id":17,"name":"Train ID","value":"103-01"},{"id":16,"name":"Locomotive ID","value":"4002"},{"id":130,"name":"Impact","value":""},{"id":150,"name":"Time of Event (Mountain Time)","value":"04:24:12"},{"id":151,"name":"Denver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4002 --day 2017-03-01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"%USERPROFILE%\AppData\Local\Temp\OnboardLogs"\RTDC4002\*4002*20170301* | grep -SE "(Enforcement Action)|(\[TIMEOUT)|(CHR.+\|PRM\|1\|D.+(SWITCH|SIGNAL).+UNKNOWN)" - &gt;&gt; 2017-03-01-UncaughtWiMAX.txt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430</v>
      </c>
      <c r="B16" s="7">
        <v>4023</v>
      </c>
      <c r="C16" s="21" t="s">
        <v>681</v>
      </c>
      <c r="D16" s="21" t="s">
        <v>682</v>
      </c>
      <c r="E16" s="13">
        <v>42795.188483796293</v>
      </c>
      <c r="F16" s="13">
        <v>42795.195474537039</v>
      </c>
      <c r="G16" s="7">
        <v>1</v>
      </c>
      <c r="H16" s="21" t="s">
        <v>196</v>
      </c>
      <c r="I16" s="13">
        <v>42795.225775462961</v>
      </c>
      <c r="J16" s="7">
        <v>0</v>
      </c>
      <c r="K16" s="98" t="str">
        <f t="shared" si="0"/>
        <v>4023/4024</v>
      </c>
      <c r="L16" s="21" t="str">
        <f>VLOOKUP(A16,'Trips&amp;Operators'!$C$1:$G$99999,5,FALSE)</f>
        <v>MAELZER KURT</v>
      </c>
      <c r="M16" s="6">
        <f t="shared" si="1"/>
        <v>3.0300925922347233E-2</v>
      </c>
      <c r="N16" s="7">
        <f t="shared" si="2"/>
        <v>43.633333328180015</v>
      </c>
      <c r="O16" s="7"/>
      <c r="P16" s="7"/>
      <c r="Q16" s="22"/>
      <c r="R16" s="22"/>
      <c r="S16" s="31">
        <f t="shared" si="17"/>
        <v>1</v>
      </c>
      <c r="T16" s="46" t="str">
        <f t="shared" si="3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4"/>
        <v>https://d0f6bd738d7f1b3e5a7ca70fe4ff75f0.us-east-1.aws.found.io/app/kibana#/discover/Steve-Slow-Train-Analysis-(2080s-and-2083s)?_g=(refreshInterval:(display:Off,pause:!f,section:0,value:0),time:(from:'2017-03-01T03:31:25-0700',mode:absolute,to:'2017-03-01T06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" s="187" t="str">
        <f t="shared" si="5"/>
        <v>N</v>
      </c>
      <c r="X16" s="187">
        <f t="shared" si="6"/>
        <v>1</v>
      </c>
      <c r="Y16" s="62">
        <f t="shared" si="7"/>
        <v>23.2698</v>
      </c>
      <c r="Z16" s="62">
        <f t="shared" si="8"/>
        <v>1.4500000000000001E-2</v>
      </c>
      <c r="AA16" s="62">
        <f t="shared" si="9"/>
        <v>23.255299999999998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0"/>
        <v>0104-01</v>
      </c>
      <c r="AE16" s="85" t="str">
        <f t="shared" si="11"/>
        <v>aws s3 cp s3://rtdc.mdm.uploadarchive.raw/RTDC4023/ "%USERPROFILE%\AppData\Local\Temp\OnboardLogs"\RTDC4023\2017-03-01 --exclude "*" --recursive --include "*20170301*" &amp; "%USERPROFILE%\Documents\GitHub\mrs-test-scripts\Headless Mode &amp; Sideloading\WalkAndUnGZ.bat" "%USERPROFILE%\AppData\Local\Temp\OnboardLogs"\RTDC4023\2017-03-01 &amp; aws s3 cp s3://rtdc.mdm.uploadarchive.raw/RTDC4023/ "%USERPROFILE%\AppData\Local\Temp\OnboardLogs"\RTDC4023\2017-03-02 --exclude "*" --recursive --include "*20170302*" &amp; "%USERPROFILE%\Documents\GitHub\mrs-test-scripts\Headless Mode &amp; Sideloading\WalkAndUnGZ.bat" "%USERPROFILE%\AppData\Local\Temp\OnboardLogs"\RTDC4023\2017-03-02</v>
      </c>
      <c r="AF16" s="82" t="str">
        <f t="shared" si="12"/>
        <v>"C:\Program Files (x86)\AstroGrep\AstroGrep.exe" /spath="%USERPROFILE%\AppData\Local\Temp\OnboardLogs" /stypes="app*4023*20170301*" /stext=" 12:.+((SYSTEM_STATE.+slice.+state.+changed )|(ment ac)|(multiple cpu faults)|(system.+state.+changed )|(\[timeout)|(PRM\|1\|D)|(kpr)|(kdp)|(\|lc)|(penalty))" /e /r /s</v>
      </c>
      <c r="AG16" s="1" t="str">
        <f t="shared" si="13"/>
        <v>EC</v>
      </c>
      <c r="AH16" s="86" t="str">
        <f t="shared" si="18"/>
        <v>"%USERPROFILE%\Documents\GitHub\eaglep3\Utilities\RefineRTDCRunTimes.py" --tripid 104-01 --locoid 4023 --swversion DE.1.0.8.0 --startMP 204:232698 --initTime 2017-03-01T04:31:25 --startdatetime 2017-03-01T04:41:29 --delay 1 --endMP 204:145 --enddatetime 2017-03-01T05:25:07 --enforcementcount 0 &gt;&gt;C:\Users\stu\Documents\GitHub\eaglep3-reporting\EC\2017-03-01-refined-times.txt</v>
      </c>
      <c r="AI16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{"issue":{"subject":"","project_id":79,"tracker_id":40,"status_id":1,"priority_id":2,"assigned_to_id":23,"start_date":"2017-03-01","description":"","custom_fields":[{"id":1,"name":"Subdivision","value":"EC"},{"id":4,"name":"Milepost","value":"0.0145"},{"id":17,"name":"Train ID","value":"104-01"},{"id":16,"name":"Locomotive ID","value":"4023"},{"id":130,"name":"Impact","value":""},{"id":150,"name":"Time of Event (Mountain Time)","value":"05:25:07"},{"id":151,"name":"Denver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4023 --day 2017-03-01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"%USERPROFILE%\AppData\Local\Temp\OnboardLogs"\RTDC4023\*4023*20170301* | grep -SE "(Enforcement Action)|(\[TIMEOUT)|(CHR.+\|PRM\|1\|D.+(SWITCH|SIGNAL).+UNKNOWN)" - &gt;&gt; 2017-03-01-UncaughtWiMAX.txt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489</v>
      </c>
      <c r="B17" s="7">
        <v>4031</v>
      </c>
      <c r="C17" s="21" t="s">
        <v>266</v>
      </c>
      <c r="D17" s="21" t="s">
        <v>683</v>
      </c>
      <c r="E17" s="13">
        <v>42795.174618055556</v>
      </c>
      <c r="F17" s="13">
        <v>42795.17732638889</v>
      </c>
      <c r="G17" s="7">
        <v>2</v>
      </c>
      <c r="H17" s="21" t="s">
        <v>279</v>
      </c>
      <c r="I17" s="13">
        <v>42795.204421296294</v>
      </c>
      <c r="J17" s="7">
        <v>0</v>
      </c>
      <c r="K17" s="98" t="str">
        <f t="shared" si="0"/>
        <v>4031/4032</v>
      </c>
      <c r="L17" s="21" t="str">
        <f>VLOOKUP(A17,'Trips&amp;Operators'!$C$1:$G$99999,5,FALSE)</f>
        <v>GEBRETEKLE DAGNEW</v>
      </c>
      <c r="M17" s="6">
        <f t="shared" si="1"/>
        <v>2.7094907403807156E-2</v>
      </c>
      <c r="N17" s="7">
        <f t="shared" si="2"/>
        <v>39.016666661482304</v>
      </c>
      <c r="O17" s="7"/>
      <c r="P17" s="7"/>
      <c r="Q17" s="22"/>
      <c r="R17" s="22"/>
      <c r="S17" s="31">
        <f t="shared" si="17"/>
        <v>1</v>
      </c>
      <c r="T17" s="46" t="str">
        <f t="shared" si="3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4"/>
        <v>https://d0f6bd738d7f1b3e5a7ca70fe4ff75f0.us-east-1.aws.found.io/app/kibana#/discover/Steve-Slow-Train-Analysis-(2080s-and-2083s)?_g=(refreshInterval:(display:Off,pause:!f,section:0,value:0),time:(from:'2017-03-01T03:11:27-0700',mode:absolute,to:'2017-03-01T05:54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" s="187" t="str">
        <f t="shared" si="5"/>
        <v>N</v>
      </c>
      <c r="X17" s="187">
        <f t="shared" si="6"/>
        <v>1</v>
      </c>
      <c r="Y17" s="62">
        <f t="shared" si="7"/>
        <v>7.3700000000000002E-2</v>
      </c>
      <c r="Z17" s="62">
        <f t="shared" si="8"/>
        <v>23.329899999999999</v>
      </c>
      <c r="AA17" s="62">
        <f t="shared" si="9"/>
        <v>23.2562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0"/>
        <v>0105-01</v>
      </c>
      <c r="AE17" s="85" t="str">
        <f t="shared" si="11"/>
        <v>aws s3 cp s3://rtdc.mdm.uploadarchive.raw/RTDC4031/ "%USERPROFILE%\AppData\Local\Temp\OnboardLogs"\RTDC4031\2017-03-01 --exclude "*" --recursive --include "*20170301*" &amp; "%USERPROFILE%\Documents\GitHub\mrs-test-scripts\Headless Mode &amp; Sideloading\WalkAndUnGZ.bat" "%USERPROFILE%\AppData\Local\Temp\OnboardLogs"\RTDC4031\2017-03-01 &amp; aws s3 cp s3://rtdc.mdm.uploadarchive.raw/RTDC4031/ "%USERPROFILE%\AppData\Local\Temp\OnboardLogs"\RTDC4031\2017-03-02 --exclude "*" --recursive --include "*20170302*" &amp; "%USERPROFILE%\Documents\GitHub\mrs-test-scripts\Headless Mode &amp; Sideloading\WalkAndUnGZ.bat" "%USERPROFILE%\AppData\Local\Temp\OnboardLogs"\RTDC4031\2017-03-02</v>
      </c>
      <c r="AF17" s="82" t="str">
        <f t="shared" si="12"/>
        <v>"C:\Program Files (x86)\AstroGrep\AstroGrep.exe" /spath="%USERPROFILE%\AppData\Local\Temp\OnboardLogs" /stypes="app*4031*20170301*" /stext=" 11:.+((SYSTEM_STATE.+slice.+state.+changed )|(ment ac)|(multiple cpu faults)|(system.+state.+changed )|(\[timeout)|(PRM\|1\|D)|(kpr)|(kdp)|(\|lc)|(penalty))" /e /r /s</v>
      </c>
      <c r="AG17" s="1" t="str">
        <f t="shared" si="13"/>
        <v>EC</v>
      </c>
      <c r="AH17" s="86" t="str">
        <f t="shared" si="18"/>
        <v>"%USERPROFILE%\Documents\GitHub\eaglep3\Utilities\RefineRTDCRunTimes.py" --tripid 105-01 --locoid 4031 --swversion DE.1.0.9.0 --startMP 204:737 --initTime 2017-03-01T04:11:27 --startdatetime 2017-03-01T04:15:21 --delay 2 --endMP 204:233299 --enddatetime 2017-03-01T04:54:22 --enforcementcount 0 &gt;&gt;C:\Users\stu\Documents\GitHub\eaglep3-reporting\EC\2017-03-01-refined-times.txt</v>
      </c>
      <c r="AI17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{"issue":{"subject":"","project_id":79,"tracker_id":40,"status_id":1,"priority_id":2,"assigned_to_id":23,"start_date":"2017-03-01","description":"","custom_fields":[{"id":1,"name":"Subdivision","value":"EC"},{"id":4,"name":"Milepost","value":"23.3299"},{"id":17,"name":"Train ID","value":"105-01"},{"id":16,"name":"Locomotive ID","value":"4031"},{"id":130,"name":"Impact","value":""},{"id":150,"name":"Time of Event (Mountain Time)","value":"04:54:22"},{"id":151,"name":"Denver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4031 --day 2017-03-01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"%USERPROFILE%\AppData\Local\Temp\OnboardLogs"\RTDC4031\*4031*20170301* | grep -SE "(Enforcement Action)|(\[TIMEOUT)|(CHR.+\|PRM\|1\|D.+(SWITCH|SIGNAL).+UNKNOWN)" - &gt;&gt; 2017-03-01-UncaughtWiMAX.txt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433</v>
      </c>
      <c r="B18" s="7">
        <v>4012</v>
      </c>
      <c r="C18" s="21" t="s">
        <v>266</v>
      </c>
      <c r="D18" s="21" t="s">
        <v>684</v>
      </c>
      <c r="E18" s="13">
        <v>42795.20689814815</v>
      </c>
      <c r="F18" s="13">
        <v>42795.216979166667</v>
      </c>
      <c r="G18" s="7">
        <v>1</v>
      </c>
      <c r="H18" s="21" t="s">
        <v>184</v>
      </c>
      <c r="I18" s="13">
        <v>42795.244652777779</v>
      </c>
      <c r="J18" s="7">
        <v>0</v>
      </c>
      <c r="K18" s="98" t="str">
        <f t="shared" si="0"/>
        <v>4011/4012</v>
      </c>
      <c r="L18" s="21" t="str">
        <f>VLOOKUP(A18,'Trips&amp;Operators'!$C$1:$G$99999,5,FALSE)</f>
        <v>GEBRETEKLE DAGNEW</v>
      </c>
      <c r="M18" s="6">
        <f t="shared" si="1"/>
        <v>2.7673611111822538E-2</v>
      </c>
      <c r="N18" s="7">
        <f t="shared" si="2"/>
        <v>39.850000001024455</v>
      </c>
      <c r="O18" s="7"/>
      <c r="P18" s="7"/>
      <c r="Q18" s="22"/>
      <c r="R18" s="22"/>
      <c r="S18" s="31">
        <f t="shared" si="17"/>
        <v>1</v>
      </c>
      <c r="T18" s="46" t="str">
        <f t="shared" si="3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4"/>
        <v>https://d0f6bd738d7f1b3e5a7ca70fe4ff75f0.us-east-1.aws.found.io/app/kibana#/discover/Steve-Slow-Train-Analysis-(2080s-and-2083s)?_g=(refreshInterval:(display:Off,pause:!f,section:0,value:0),time:(from:'2017-03-01T03:57:56-0700',mode:absolute,to:'2017-03-01T06:52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" s="187" t="str">
        <f t="shared" si="5"/>
        <v>N</v>
      </c>
      <c r="X18" s="187">
        <f t="shared" si="6"/>
        <v>1</v>
      </c>
      <c r="Y18" s="62">
        <f t="shared" si="7"/>
        <v>23.265599999999999</v>
      </c>
      <c r="Z18" s="62">
        <f t="shared" si="8"/>
        <v>1.49E-2</v>
      </c>
      <c r="AA18" s="62">
        <f t="shared" si="9"/>
        <v>23.250699999999998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0"/>
        <v>0106-01</v>
      </c>
      <c r="AE18" s="85" t="str">
        <f t="shared" si="11"/>
        <v>aws s3 cp s3://rtdc.mdm.uploadarchive.raw/RTDC4012/ "%USERPROFILE%\AppData\Local\Temp\OnboardLogs"\RTDC4012\2017-03-01 --exclude "*" --recursive --include "*20170301*" &amp; "%USERPROFILE%\Documents\GitHub\mrs-test-scripts\Headless Mode &amp; Sideloading\WalkAndUnGZ.bat" "%USERPROFILE%\AppData\Local\Temp\OnboardLogs"\RTDC4012\2017-03-01 &amp; aws s3 cp s3://rtdc.mdm.uploadarchive.raw/RTDC4012/ "%USERPROFILE%\AppData\Local\Temp\OnboardLogs"\RTDC4012\2017-03-02 --exclude "*" --recursive --include "*20170302*" &amp; "%USERPROFILE%\Documents\GitHub\mrs-test-scripts\Headless Mode &amp; Sideloading\WalkAndUnGZ.bat" "%USERPROFILE%\AppData\Local\Temp\OnboardLogs"\RTDC4012\2017-03-02</v>
      </c>
      <c r="AF18" s="82" t="str">
        <f t="shared" si="12"/>
        <v>"C:\Program Files (x86)\AstroGrep\AstroGrep.exe" /spath="%USERPROFILE%\AppData\Local\Temp\OnboardLogs" /stypes="app*4012*20170301*" /stext=" 12:.+((SYSTEM_STATE.+slice.+state.+changed )|(ment ac)|(multiple cpu faults)|(system.+state.+changed )|(\[timeout)|(PRM\|1\|D)|(kpr)|(kdp)|(\|lc)|(penalty))" /e /r /s</v>
      </c>
      <c r="AG18" s="1" t="str">
        <f t="shared" si="13"/>
        <v>EC</v>
      </c>
      <c r="AH18" s="86" t="str">
        <f t="shared" si="18"/>
        <v>"%USERPROFILE%\Documents\GitHub\eaglep3\Utilities\RefineRTDCRunTimes.py" --tripid 106-01 --locoid 4012 --swversion DE.1.0.9.0 --startMP 204:232656 --initTime 2017-03-01T04:57:56 --startdatetime 2017-03-01T05:12:27 --delay 1 --endMP 204:149 --enddatetime 2017-03-01T05:52:18 --enforcementcount 0 &gt;&gt;C:\Users\stu\Documents\GitHub\eaglep3-reporting\EC\2017-03-01-refined-times.txt</v>
      </c>
      <c r="AI18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{"issue":{"subject":"","project_id":79,"tracker_id":40,"status_id":1,"priority_id":2,"assigned_to_id":23,"start_date":"2017-03-01","description":"","custom_fields":[{"id":1,"name":"Subdivision","value":"EC"},{"id":4,"name":"Milepost","value":"0.0149"},{"id":17,"name":"Train ID","value":"106-01"},{"id":16,"name":"Locomotive ID","value":"4012"},{"id":130,"name":"Impact","value":""},{"id":150,"name":"Time of Event (Mountain Time)","value":"05:52:18"},{"id":151,"name":"Denver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4012 --day 2017-03-01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"%USERPROFILE%\AppData\Local\Temp\OnboardLogs"\RTDC4012\*4012*20170301* | grep -SE "(Enforcement Action)|(\[TIMEOUT)|(CHR.+\|PRM\|1\|D.+(SWITCH|SIGNAL).+UNKNOWN)" - &gt;&gt; 2017-03-01-UncaughtWiMAX.txt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491</v>
      </c>
      <c r="B19" s="7">
        <v>4029</v>
      </c>
      <c r="C19" s="21" t="s">
        <v>266</v>
      </c>
      <c r="D19" s="21" t="s">
        <v>261</v>
      </c>
      <c r="E19" s="13">
        <v>42795.182928240742</v>
      </c>
      <c r="F19" s="13">
        <v>42795.188263888886</v>
      </c>
      <c r="G19" s="7">
        <v>0</v>
      </c>
      <c r="H19" s="21" t="s">
        <v>685</v>
      </c>
      <c r="I19" s="13">
        <v>42795.216284722221</v>
      </c>
      <c r="J19" s="7">
        <v>0</v>
      </c>
      <c r="K19" s="98" t="str">
        <f t="shared" si="0"/>
        <v>4029/4030</v>
      </c>
      <c r="L19" s="21" t="str">
        <f>VLOOKUP(A19,'Trips&amp;Operators'!$C$1:$G$99999,5,FALSE)</f>
        <v>BONDS REYNALDO</v>
      </c>
      <c r="M19" s="6">
        <f t="shared" si="1"/>
        <v>2.8020833335176576E-2</v>
      </c>
      <c r="N19" s="7">
        <f t="shared" si="2"/>
        <v>40.350000002654269</v>
      </c>
      <c r="O19" s="7"/>
      <c r="P19" s="7"/>
      <c r="Q19" s="22"/>
      <c r="R19" s="22"/>
      <c r="S19" s="31">
        <f t="shared" si="17"/>
        <v>1</v>
      </c>
      <c r="T19" s="46" t="str">
        <f t="shared" si="3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4"/>
        <v>https://d0f6bd738d7f1b3e5a7ca70fe4ff75f0.us-east-1.aws.found.io/app/kibana#/discover/Steve-Slow-Train-Analysis-(2080s-and-2083s)?_g=(refreshInterval:(display:Off,pause:!f,section:0,value:0),time:(from:'2017-03-01T03:23:25-0700',mode:absolute,to:'2017-03-01T06:11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" s="187" t="str">
        <f t="shared" si="5"/>
        <v>N</v>
      </c>
      <c r="X19" s="187">
        <f t="shared" si="6"/>
        <v>1</v>
      </c>
      <c r="Y19" s="62">
        <f t="shared" si="7"/>
        <v>4.6600000000000003E-2</v>
      </c>
      <c r="Z19" s="62">
        <f t="shared" si="8"/>
        <v>23.328700000000001</v>
      </c>
      <c r="AA19" s="62">
        <f t="shared" si="9"/>
        <v>23.2821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0"/>
        <v>0107-01</v>
      </c>
      <c r="AE19" s="85" t="str">
        <f t="shared" si="11"/>
        <v>aws s3 cp s3://rtdc.mdm.uploadarchive.raw/RTDC4029/ "%USERPROFILE%\AppData\Local\Temp\OnboardLogs"\RTDC4029\2017-03-01 --exclude "*" --recursive --include "*20170301*" &amp; "%USERPROFILE%\Documents\GitHub\mrs-test-scripts\Headless Mode &amp; Sideloading\WalkAndUnGZ.bat" "%USERPROFILE%\AppData\Local\Temp\OnboardLogs"\RTDC4029\2017-03-01 &amp; aws s3 cp s3://rtdc.mdm.uploadarchive.raw/RTDC4029/ "%USERPROFILE%\AppData\Local\Temp\OnboardLogs"\RTDC4029\2017-03-02 --exclude "*" --recursive --include "*20170302*" &amp; "%USERPROFILE%\Documents\GitHub\mrs-test-scripts\Headless Mode &amp; Sideloading\WalkAndUnGZ.bat" "%USERPROFILE%\AppData\Local\Temp\OnboardLogs"\RTDC4029\2017-03-02</v>
      </c>
      <c r="AF19" s="82" t="str">
        <f t="shared" si="12"/>
        <v>"C:\Program Files (x86)\AstroGrep\AstroGrep.exe" /spath="%USERPROFILE%\AppData\Local\Temp\OnboardLogs" /stypes="app*4029*20170301*" /stext=" 12:.+((SYSTEM_STATE.+slice.+state.+changed )|(ment ac)|(multiple cpu faults)|(system.+state.+changed )|(\[timeout)|(PRM\|1\|D)|(kpr)|(kdp)|(\|lc)|(penalty))" /e /r /s</v>
      </c>
      <c r="AG19" s="1" t="str">
        <f t="shared" si="13"/>
        <v>EC</v>
      </c>
      <c r="AH19" s="86" t="str">
        <f t="shared" si="18"/>
        <v>"%USERPROFILE%\Documents\GitHub\eaglep3\Utilities\RefineRTDCRunTimes.py" --tripid 107-01 --locoid 4029 --swversion DE.1.0.9.0 --startMP 204:466 --initTime 2017-03-01T04:23:25 --startdatetime 2017-03-01T04:31:06 --delay 0 --endMP 204:233287 --enddatetime 2017-03-01T05:11:27 --enforcementcount 0 &gt;&gt;C:\Users\stu\Documents\GitHub\eaglep3-reporting\EC\2017-03-01-refined-times.txt</v>
      </c>
      <c r="AI19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{"issue":{"subject":"","project_id":79,"tracker_id":40,"status_id":1,"priority_id":2,"assigned_to_id":23,"start_date":"2017-03-01","description":"","custom_fields":[{"id":1,"name":"Subdivision","value":"EC"},{"id":4,"name":"Milepost","value":"23.3287"},{"id":17,"name":"Train ID","value":"107-01"},{"id":16,"name":"Locomotive ID","value":"4029"},{"id":130,"name":"Impact","value":""},{"id":150,"name":"Time of Event (Mountain Time)","value":"05:11:27"},{"id":151,"name":"Denver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4029 --day 2017-03-01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"%USERPROFILE%\AppData\Local\Temp\OnboardLogs"\RTDC4029\*4029*20170301* | grep -SE "(Enforcement Action)|(\[TIMEOUT)|(CHR.+\|PRM\|1\|D.+(SWITCH|SIGNAL).+UNKNOWN)" - &gt;&gt; 2017-03-01-UncaughtWiMAX.txt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498</v>
      </c>
      <c r="B20" s="7">
        <v>4030</v>
      </c>
      <c r="C20" s="21" t="s">
        <v>266</v>
      </c>
      <c r="D20" s="21" t="s">
        <v>411</v>
      </c>
      <c r="E20" s="13">
        <v>42795.224548611113</v>
      </c>
      <c r="F20" s="13">
        <v>42795.226724537039</v>
      </c>
      <c r="G20" s="7">
        <v>0</v>
      </c>
      <c r="H20" s="21" t="s">
        <v>213</v>
      </c>
      <c r="I20" s="13">
        <v>42795.254965277774</v>
      </c>
      <c r="J20" s="7">
        <v>0</v>
      </c>
      <c r="K20" s="98" t="str">
        <f t="shared" si="0"/>
        <v>4029/4030</v>
      </c>
      <c r="L20" s="21" t="str">
        <f>VLOOKUP(A20,'Trips&amp;Operators'!$C$1:$G$99999,5,FALSE)</f>
        <v>BONDS REYNALDO</v>
      </c>
      <c r="M20" s="6">
        <f t="shared" si="1"/>
        <v>2.824074073578231E-2</v>
      </c>
      <c r="N20" s="7">
        <f t="shared" si="2"/>
        <v>40.666666659526527</v>
      </c>
      <c r="O20" s="7"/>
      <c r="P20" s="7"/>
      <c r="Q20" s="22"/>
      <c r="R20" s="22"/>
      <c r="S20" s="31">
        <f t="shared" si="17"/>
        <v>1</v>
      </c>
      <c r="T20" s="46" t="str">
        <f t="shared" si="3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4"/>
        <v>https://d0f6bd738d7f1b3e5a7ca70fe4ff75f0.us-east-1.aws.found.io/app/kibana#/discover/Steve-Slow-Train-Analysis-(2080s-and-2083s)?_g=(refreshInterval:(display:Off,pause:!f,section:0,value:0),time:(from:'2017-03-01T04:23:21-0700',mode:absolute,to:'2017-03-01T07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" s="187" t="str">
        <f t="shared" si="5"/>
        <v>N</v>
      </c>
      <c r="X20" s="187">
        <f t="shared" si="6"/>
        <v>1</v>
      </c>
      <c r="Y20" s="62">
        <f t="shared" si="7"/>
        <v>23.298100000000002</v>
      </c>
      <c r="Z20" s="62">
        <f t="shared" si="8"/>
        <v>1.54E-2</v>
      </c>
      <c r="AA20" s="62">
        <f t="shared" si="9"/>
        <v>23.282700000000002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0"/>
        <v>0108-01</v>
      </c>
      <c r="AE20" s="85" t="str">
        <f t="shared" si="11"/>
        <v>aws s3 cp s3://rtdc.mdm.uploadarchive.raw/RTDC4030/ "%USERPROFILE%\AppData\Local\Temp\OnboardLogs"\RTDC4030\2017-03-01 --exclude "*" --recursive --include "*20170301*" &amp; "%USERPROFILE%\Documents\GitHub\mrs-test-scripts\Headless Mode &amp; Sideloading\WalkAndUnGZ.bat" "%USERPROFILE%\AppData\Local\Temp\OnboardLogs"\RTDC4030\2017-03-01 &amp; aws s3 cp s3://rtdc.mdm.uploadarchive.raw/RTDC4030/ "%USERPROFILE%\AppData\Local\Temp\OnboardLogs"\RTDC4030\2017-03-02 --exclude "*" --recursive --include "*20170302*" &amp; "%USERPROFILE%\Documents\GitHub\mrs-test-scripts\Headless Mode &amp; Sideloading\WalkAndUnGZ.bat" "%USERPROFILE%\AppData\Local\Temp\OnboardLogs"\RTDC4030\2017-03-02</v>
      </c>
      <c r="AF20" s="82" t="str">
        <f t="shared" si="12"/>
        <v>"C:\Program Files (x86)\AstroGrep\AstroGrep.exe" /spath="%USERPROFILE%\AppData\Local\Temp\OnboardLogs" /stypes="app*4030*20170301*" /stext=" 13:.+((SYSTEM_STATE.+slice.+state.+changed )|(ment ac)|(multiple cpu faults)|(system.+state.+changed )|(\[timeout)|(PRM\|1\|D)|(kpr)|(kdp)|(\|lc)|(penalty))" /e /r /s</v>
      </c>
      <c r="AG20" s="1" t="str">
        <f t="shared" si="13"/>
        <v>EC</v>
      </c>
      <c r="AH20" s="86" t="str">
        <f t="shared" si="18"/>
        <v>"%USERPROFILE%\Documents\GitHub\eaglep3\Utilities\RefineRTDCRunTimes.py" --tripid 108-01 --locoid 4030 --swversion DE.1.0.9.0 --startMP 204:232981 --initTime 2017-03-01T05:23:21 --startdatetime 2017-03-01T05:26:29 --delay 0 --endMP 204:154 --enddatetime 2017-03-01T06:07:09 --enforcementcount 0 &gt;&gt;C:\Users\stu\Documents\GitHub\eaglep3-reporting\EC\2017-03-01-refined-times.txt</v>
      </c>
      <c r="AI20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{"issue":{"subject":"","project_id":79,"tracker_id":40,"status_id":1,"priority_id":2,"assigned_to_id":23,"start_date":"2017-03-01","description":"","custom_fields":[{"id":1,"name":"Subdivision","value":"EC"},{"id":4,"name":"Milepost","value":"0.0154"},{"id":17,"name":"Train ID","value":"108-01"},{"id":16,"name":"Locomotive ID","value":"4030"},{"id":130,"name":"Impact","value":""},{"id":150,"name":"Time of Event (Mountain Time)","value":"06:07:09"},{"id":151,"name":"Denver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4030 --day 2017-03-01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"%USERPROFILE%\AppData\Local\Temp\OnboardLogs"\RTDC4030\*4030*20170301* | grep -SE "(Enforcement Action)|(\[TIMEOUT)|(CHR.+\|PRM\|1\|D.+(SWITCH|SIGNAL).+UNKNOWN)" - &gt;&gt; 2017-03-01-UncaughtWiMAX.txt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493</v>
      </c>
      <c r="B21" s="7">
        <v>4022</v>
      </c>
      <c r="C21" s="21" t="s">
        <v>266</v>
      </c>
      <c r="D21" s="21" t="s">
        <v>686</v>
      </c>
      <c r="E21" s="13">
        <v>42795.192164351851</v>
      </c>
      <c r="F21" s="13">
        <v>42795.198391203703</v>
      </c>
      <c r="G21" s="7">
        <v>1</v>
      </c>
      <c r="H21" s="21" t="s">
        <v>275</v>
      </c>
      <c r="I21" s="13">
        <v>42795.22383101852</v>
      </c>
      <c r="J21" s="7">
        <v>0</v>
      </c>
      <c r="K21" s="98" t="str">
        <f t="shared" si="0"/>
        <v>4021/4022</v>
      </c>
      <c r="L21" s="21" t="str">
        <f>VLOOKUP(A21,'Trips&amp;Operators'!$C$1:$G$99999,5,FALSE)</f>
        <v>SANTIZO D. EDY</v>
      </c>
      <c r="M21" s="6">
        <f t="shared" si="1"/>
        <v>2.5439814817218576E-2</v>
      </c>
      <c r="N21" s="7">
        <f t="shared" si="2"/>
        <v>36.633333336794749</v>
      </c>
      <c r="O21" s="7"/>
      <c r="P21" s="7"/>
      <c r="Q21" s="22"/>
      <c r="R21" s="22"/>
      <c r="S21" s="31">
        <f t="shared" si="17"/>
        <v>1</v>
      </c>
      <c r="T21" s="46" t="str">
        <f t="shared" si="3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4"/>
        <v>https://d0f6bd738d7f1b3e5a7ca70fe4ff75f0.us-east-1.aws.found.io/app/kibana#/discover/Steve-Slow-Train-Analysis-(2080s-and-2083s)?_g=(refreshInterval:(display:Off,pause:!f,section:0,value:0),time:(from:'2017-03-01T03:36:43-0700',mode:absolute,to:'2017-03-01T06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" s="187" t="str">
        <f t="shared" si="5"/>
        <v>N</v>
      </c>
      <c r="X21" s="187">
        <f t="shared" si="6"/>
        <v>1</v>
      </c>
      <c r="Y21" s="62">
        <f t="shared" si="7"/>
        <v>4.7800000000000002E-2</v>
      </c>
      <c r="Z21" s="62">
        <f t="shared" si="8"/>
        <v>23.329699999999999</v>
      </c>
      <c r="AA21" s="62">
        <f t="shared" si="9"/>
        <v>23.2819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0"/>
        <v>0109-01</v>
      </c>
      <c r="AE21" s="85" t="str">
        <f t="shared" si="11"/>
        <v>aws s3 cp s3://rtdc.mdm.uploadarchive.raw/RTDC4022/ "%USERPROFILE%\AppData\Local\Temp\OnboardLogs"\RTDC4022\2017-03-01 --exclude "*" --recursive --include "*20170301*" &amp; "%USERPROFILE%\Documents\GitHub\mrs-test-scripts\Headless Mode &amp; Sideloading\WalkAndUnGZ.bat" "%USERPROFILE%\AppData\Local\Temp\OnboardLogs"\RTDC4022\2017-03-01 &amp; 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</v>
      </c>
      <c r="AF21" s="82" t="str">
        <f t="shared" si="12"/>
        <v>"C:\Program Files (x86)\AstroGrep\AstroGrep.exe" /spath="%USERPROFILE%\AppData\Local\Temp\OnboardLogs" /stypes="app*4022*20170301*" /stext=" 12:.+((SYSTEM_STATE.+slice.+state.+changed )|(ment ac)|(multiple cpu faults)|(system.+state.+changed )|(\[timeout)|(PRM\|1\|D)|(kpr)|(kdp)|(\|lc)|(penalty))" /e /r /s</v>
      </c>
      <c r="AG21" s="1" t="str">
        <f t="shared" si="13"/>
        <v>EC</v>
      </c>
      <c r="AH21" s="86" t="str">
        <f t="shared" si="18"/>
        <v>"%USERPROFILE%\Documents\GitHub\eaglep3\Utilities\RefineRTDCRunTimes.py" --tripid 109-01 --locoid 4022 --swversion DE.1.0.9.0 --startMP 204:478 --initTime 2017-03-01T04:36:43 --startdatetime 2017-03-01T04:45:41 --delay 1 --endMP 204:233297 --enddatetime 2017-03-01T05:22:19 --enforcementcount 0 &gt;&gt;C:\Users\stu\Documents\GitHub\eaglep3-reporting\EC\2017-03-01-refined-times.txt</v>
      </c>
      <c r="AI21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{"issue":{"subject":"","project_id":79,"tracker_id":40,"status_id":1,"priority_id":2,"assigned_to_id":23,"start_date":"2017-03-01","description":"","custom_fields":[{"id":1,"name":"Subdivision","value":"EC"},{"id":4,"name":"Milepost","value":"23.3297"},{"id":17,"name":"Train ID","value":"109-01"},{"id":16,"name":"Locomotive ID","value":"4022"},{"id":130,"name":"Impact","value":""},{"id":150,"name":"Time of Event (Mountain Time)","value":"05:22:19"},{"id":151,"name":"Denver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4022 --day 2017-03-01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"%USERPROFILE%\AppData\Local\Temp\OnboardLogs"\RTDC4022\*4022*20170301* | grep -SE "(Enforcement Action)|(\[TIMEOUT)|(CHR.+\|PRM\|1\|D.+(SWITCH|SIGNAL).+UNKNOWN)" - &gt;&gt; 2017-03-01-UncaughtWiMAX.txt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499</v>
      </c>
      <c r="B22" s="7">
        <v>4021</v>
      </c>
      <c r="C22" s="21" t="s">
        <v>266</v>
      </c>
      <c r="D22" s="21" t="s">
        <v>687</v>
      </c>
      <c r="E22" s="13">
        <v>42795.225937499999</v>
      </c>
      <c r="F22" s="13">
        <v>42795.236990740741</v>
      </c>
      <c r="G22" s="7">
        <v>1</v>
      </c>
      <c r="H22" s="21" t="s">
        <v>213</v>
      </c>
      <c r="I22" s="13">
        <v>42795.2656712963</v>
      </c>
      <c r="J22" s="7">
        <v>0</v>
      </c>
      <c r="K22" s="98" t="str">
        <f t="shared" si="0"/>
        <v>4021/4022</v>
      </c>
      <c r="L22" s="21" t="str">
        <f>VLOOKUP(A22,'Trips&amp;Operators'!$C$1:$G$99999,5,FALSE)</f>
        <v>SANTIZO D. EDY</v>
      </c>
      <c r="M22" s="6">
        <f t="shared" si="1"/>
        <v>2.8680555558821652E-2</v>
      </c>
      <c r="N22" s="7">
        <f t="shared" si="2"/>
        <v>41.300000004703179</v>
      </c>
      <c r="O22" s="7"/>
      <c r="P22" s="7"/>
      <c r="Q22" s="22"/>
      <c r="R22" s="22"/>
      <c r="S22" s="31">
        <f t="shared" si="17"/>
        <v>1</v>
      </c>
      <c r="T22" s="46" t="str">
        <f t="shared" si="3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4"/>
        <v>https://d0f6bd738d7f1b3e5a7ca70fe4ff75f0.us-east-1.aws.found.io/app/kibana#/discover/Steve-Slow-Train-Analysis-(2080s-and-2083s)?_g=(refreshInterval:(display:Off,pause:!f,section:0,value:0),time:(from:'2017-03-01T04:25:21-0700',mode:absolute,to:'2017-03-01T07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" s="187" t="str">
        <f t="shared" si="5"/>
        <v>N</v>
      </c>
      <c r="X22" s="187">
        <f t="shared" si="6"/>
        <v>1</v>
      </c>
      <c r="Y22" s="62">
        <f t="shared" si="7"/>
        <v>23.299199999999999</v>
      </c>
      <c r="Z22" s="62">
        <f t="shared" si="8"/>
        <v>1.54E-2</v>
      </c>
      <c r="AA22" s="62">
        <f t="shared" si="9"/>
        <v>23.283799999999999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0"/>
        <v>0110-01</v>
      </c>
      <c r="AE22" s="85" t="str">
        <f t="shared" si="11"/>
        <v>aws s3 cp s3://rtdc.mdm.uploadarchive.raw/RTDC4021/ "%USERPROFILE%\AppData\Local\Temp\OnboardLogs"\RTDC4021\2017-03-01 --exclude "*" --recursive --include "*20170301*" &amp; "%USERPROFILE%\Documents\GitHub\mrs-test-scripts\Headless Mode &amp; Sideloading\WalkAndUnGZ.bat" "%USERPROFILE%\AppData\Local\Temp\OnboardLogs"\RTDC4021\2017-03-01 &amp; 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</v>
      </c>
      <c r="AF22" s="82" t="str">
        <f t="shared" si="12"/>
        <v>"C:\Program Files (x86)\AstroGrep\AstroGrep.exe" /spath="%USERPROFILE%\AppData\Local\Temp\OnboardLogs" /stypes="app*4021*20170301*" /stext=" 13:.+((SYSTEM_STATE.+slice.+state.+changed )|(ment ac)|(multiple cpu faults)|(system.+state.+changed )|(\[timeout)|(PRM\|1\|D)|(kpr)|(kdp)|(\|lc)|(penalty))" /e /r /s</v>
      </c>
      <c r="AG22" s="1" t="str">
        <f t="shared" si="13"/>
        <v>EC</v>
      </c>
      <c r="AH22" s="86" t="str">
        <f t="shared" si="18"/>
        <v>"%USERPROFILE%\Documents\GitHub\eaglep3\Utilities\RefineRTDCRunTimes.py" --tripid 110-01 --locoid 4021 --swversion DE.1.0.9.0 --startMP 204:232992 --initTime 2017-03-01T05:25:21 --startdatetime 2017-03-01T05:41:16 --delay 1 --endMP 204:154 --enddatetime 2017-03-01T06:22:34 --enforcementcount 0 &gt;&gt;C:\Users\stu\Documents\GitHub\eaglep3-reporting\EC\2017-03-01-refined-times.txt</v>
      </c>
      <c r="AI22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{"issue":{"subject":"","project_id":79,"tracker_id":40,"status_id":1,"priority_id":2,"assigned_to_id":23,"start_date":"2017-03-01","description":"","custom_fields":[{"id":1,"name":"Subdivision","value":"EC"},{"id":4,"name":"Milepost","value":"0.0154"},{"id":17,"name":"Train ID","value":"110-01"},{"id":16,"name":"Locomotive ID","value":"4021"},{"id":130,"name":"Impact","value":""},{"id":150,"name":"Time of Event (Mountain Time)","value":"06:22:34"},{"id":151,"name":"Denver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4021 --day 2017-03-01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"%USERPROFILE%\AppData\Local\Temp\OnboardLogs"\RTDC4021\*4021*20170301* | grep -SE "(Enforcement Action)|(\[TIMEOUT)|(CHR.+\|PRM\|1\|D.+(SWITCH|SIGNAL).+UNKNOWN)" - &gt;&gt; 2017-03-01-UncaughtWiMAX.txt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494</v>
      </c>
      <c r="B23" s="7">
        <v>4046</v>
      </c>
      <c r="C23" s="21" t="s">
        <v>266</v>
      </c>
      <c r="D23" s="21" t="s">
        <v>688</v>
      </c>
      <c r="E23" s="13">
        <v>42795.202106481483</v>
      </c>
      <c r="F23" s="13">
        <v>42795.208715277775</v>
      </c>
      <c r="G23" s="7">
        <v>1</v>
      </c>
      <c r="H23" s="21" t="s">
        <v>278</v>
      </c>
      <c r="I23" s="13">
        <v>42795.234525462962</v>
      </c>
      <c r="J23" s="7">
        <v>0</v>
      </c>
      <c r="K23" s="98" t="str">
        <f t="shared" si="0"/>
        <v>4045/4046</v>
      </c>
      <c r="L23" s="21" t="str">
        <f>VLOOKUP(A23,'Trips&amp;Operators'!$C$1:$G$99999,5,FALSE)</f>
        <v>ROCHA YAOTL</v>
      </c>
      <c r="M23" s="6">
        <f t="shared" si="1"/>
        <v>2.5810185186855961E-2</v>
      </c>
      <c r="N23" s="7">
        <f t="shared" si="2"/>
        <v>37.166666669072583</v>
      </c>
      <c r="O23" s="7"/>
      <c r="P23" s="7"/>
      <c r="Q23" s="22"/>
      <c r="R23" s="22"/>
      <c r="S23" s="31">
        <f t="shared" si="17"/>
        <v>1</v>
      </c>
      <c r="T23" s="46" t="str">
        <f t="shared" si="3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4"/>
        <v>https://d0f6bd738d7f1b3e5a7ca70fe4ff75f0.us-east-1.aws.found.io/app/kibana#/discover/Steve-Slow-Train-Analysis-(2080s-and-2083s)?_g=(refreshInterval:(display:Off,pause:!f,section:0,value:0),time:(from:'2017-03-01T03:51:02-0700',mode:absolute,to:'2017-03-01T06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" s="187" t="str">
        <f t="shared" si="5"/>
        <v>N</v>
      </c>
      <c r="X23" s="187">
        <f t="shared" si="6"/>
        <v>1</v>
      </c>
      <c r="Y23" s="62">
        <f t="shared" si="7"/>
        <v>0.1158</v>
      </c>
      <c r="Z23" s="62">
        <f t="shared" si="8"/>
        <v>23.330400000000001</v>
      </c>
      <c r="AA23" s="62">
        <f t="shared" si="9"/>
        <v>23.214600000000001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0"/>
        <v>0111-01</v>
      </c>
      <c r="AE23" s="85" t="str">
        <f t="shared" si="11"/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AF23" s="82" t="str">
        <f t="shared" si="12"/>
        <v>"C:\Program Files (x86)\AstroGrep\AstroGrep.exe" /spath="%USERPROFILE%\AppData\Local\Temp\OnboardLogs" /stypes="app*4046*20170301*" /stext=" 12:.+((SYSTEM_STATE.+slice.+state.+changed )|(ment ac)|(multiple cpu faults)|(system.+state.+changed )|(\[timeout)|(PRM\|1\|D)|(kpr)|(kdp)|(\|lc)|(penalty))" /e /r /s</v>
      </c>
      <c r="AG23" s="1" t="str">
        <f t="shared" si="13"/>
        <v>EC</v>
      </c>
      <c r="AH23" s="86" t="str">
        <f t="shared" si="18"/>
        <v>"%USERPROFILE%\Documents\GitHub\eaglep3\Utilities\RefineRTDCRunTimes.py" --tripid 111-01 --locoid 4046 --swversion DE.1.0.9.0 --startMP 204:1158 --initTime 2017-03-01T04:51:02 --startdatetime 2017-03-01T05:00:33 --delay 1 --endMP 204:233304 --enddatetime 2017-03-01T05:37:43 --enforcementcount 0 &gt;&gt;C:\Users\stu\Documents\GitHub\eaglep3-reporting\EC\2017-03-01-refined-times.txt</v>
      </c>
      <c r="AI23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{"issue":{"subject":"","project_id":79,"tracker_id":40,"status_id":1,"priority_id":2,"assigned_to_id":23,"start_date":"2017-03-01","description":"","custom_fields":[{"id":1,"name":"Subdivision","value":"EC"},{"id":4,"name":"Milepost","value":"23.3304"},{"id":17,"name":"Train ID","value":"111-01"},{"id":16,"name":"Locomotive ID","value":"4046"},{"id":130,"name":"Impact","value":""},{"id":150,"name":"Time of Event (Mountain Time)","value":"05:37:43"},{"id":151,"name":"Denver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4046 --day 2017-03-01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"%USERPROFILE%\AppData\Local\Temp\OnboardLogs"\RTDC4046\*4046*20170301* | grep -SE "(Enforcement Action)|(\[TIMEOUT)|(CHR.+\|PRM\|1\|D.+(SWITCH|SIGNAL).+UNKNOWN)" - &gt;&gt; 2017-03-01-UncaughtWiMAX.txt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501</v>
      </c>
      <c r="B24" s="7">
        <v>4045</v>
      </c>
      <c r="C24" s="21" t="s">
        <v>266</v>
      </c>
      <c r="D24" s="21" t="s">
        <v>273</v>
      </c>
      <c r="E24" s="13">
        <v>42795.246064814812</v>
      </c>
      <c r="F24" s="13">
        <v>42795.247847222221</v>
      </c>
      <c r="G24" s="7">
        <v>1</v>
      </c>
      <c r="H24" s="21" t="s">
        <v>253</v>
      </c>
      <c r="I24" s="13">
        <v>42795.278819444444</v>
      </c>
      <c r="J24" s="7">
        <v>0</v>
      </c>
      <c r="K24" s="98" t="str">
        <f t="shared" si="0"/>
        <v>4045/4046</v>
      </c>
      <c r="L24" s="21" t="str">
        <f>VLOOKUP(A24,'Trips&amp;Operators'!$C$1:$G$99999,5,FALSE)</f>
        <v>ROCHA YAOTL</v>
      </c>
      <c r="M24" s="6">
        <f t="shared" si="1"/>
        <v>3.0972222222771961E-2</v>
      </c>
      <c r="N24" s="7">
        <f t="shared" si="2"/>
        <v>44.600000000791624</v>
      </c>
      <c r="O24" s="7"/>
      <c r="P24" s="7"/>
      <c r="Q24" s="22"/>
      <c r="R24" s="22"/>
      <c r="S24" s="31">
        <f t="shared" si="17"/>
        <v>1</v>
      </c>
      <c r="T24" s="46" t="str">
        <f t="shared" si="3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4"/>
        <v>https://d0f6bd738d7f1b3e5a7ca70fe4ff75f0.us-east-1.aws.found.io/app/kibana#/discover/Steve-Slow-Train-Analysis-(2080s-and-2083s)?_g=(refreshInterval:(display:Off,pause:!f,section:0,value:0),time:(from:'2017-03-01T04:54:20-0700',mode:absolute,to:'2017-03-01T07:41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" s="187" t="str">
        <f t="shared" si="5"/>
        <v>N</v>
      </c>
      <c r="X24" s="187">
        <f t="shared" si="6"/>
        <v>1</v>
      </c>
      <c r="Y24" s="62">
        <f t="shared" si="7"/>
        <v>23.2987</v>
      </c>
      <c r="Z24" s="62">
        <f t="shared" si="8"/>
        <v>1.5599999999999999E-2</v>
      </c>
      <c r="AA24" s="62">
        <f t="shared" si="9"/>
        <v>23.283100000000001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0"/>
        <v>0112-01</v>
      </c>
      <c r="AE24" s="85" t="str">
        <f t="shared" si="11"/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AF24" s="82" t="str">
        <f t="shared" si="12"/>
        <v>"C:\Program Files (x86)\AstroGrep\AstroGrep.exe" /spath="%USERPROFILE%\AppData\Local\Temp\OnboardLogs" /stypes="app*4045*20170301*" /stext=" 13:.+((SYSTEM_STATE.+slice.+state.+changed )|(ment ac)|(multiple cpu faults)|(system.+state.+changed )|(\[timeout)|(PRM\|1\|D)|(kpr)|(kdp)|(\|lc)|(penalty))" /e /r /s</v>
      </c>
      <c r="AG24" s="1" t="str">
        <f t="shared" si="13"/>
        <v>EC</v>
      </c>
      <c r="AH24" s="86" t="str">
        <f t="shared" si="18"/>
        <v>"%USERPROFILE%\Documents\GitHub\eaglep3\Utilities\RefineRTDCRunTimes.py" --tripid 112-01 --locoid 4045 --swversion DE.1.0.9.0 --startMP 204:232987 --initTime 2017-03-01T05:54:20 --startdatetime 2017-03-01T05:56:54 --delay 1 --endMP 204:156 --enddatetime 2017-03-01T06:41:30 --enforcementcount 0 &gt;&gt;C:\Users\stu\Documents\GitHub\eaglep3-reporting\EC\2017-03-01-refined-times.txt</v>
      </c>
      <c r="AI24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{"issue":{"subject":"","project_id":79,"tracker_id":40,"status_id":1,"priority_id":2,"assigned_to_id":23,"start_date":"2017-03-01","description":"","custom_fields":[{"id":1,"name":"Subdivision","value":"EC"},{"id":4,"name":"Milepost","value":"0.0156"},{"id":17,"name":"Train ID","value":"112-01"},{"id":16,"name":"Locomotive ID","value":"4045"},{"id":130,"name":"Impact","value":""},{"id":150,"name":"Time of Event (Mountain Time)","value":"06:41:30"},{"id":151,"name":"Denver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4045 --day 2017-03-01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"%USERPROFILE%\AppData\Local\Temp\OnboardLogs"\RTDC4045\*4045*20170301* | grep -SE "(Enforcement Action)|(\[TIMEOUT)|(CHR.+\|PRM\|1\|D.+(SWITCH|SIGNAL).+UNKNOWN)" - &gt;&gt; 2017-03-01-UncaughtWiMAX.txt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496</v>
      </c>
      <c r="B25" s="7">
        <v>4009</v>
      </c>
      <c r="C25" s="21" t="s">
        <v>266</v>
      </c>
      <c r="D25" s="21" t="s">
        <v>689</v>
      </c>
      <c r="E25" s="13">
        <v>42795.211377314816</v>
      </c>
      <c r="F25" s="13">
        <v>42795.218923611108</v>
      </c>
      <c r="G25" s="7">
        <v>2</v>
      </c>
      <c r="H25" s="21" t="s">
        <v>690</v>
      </c>
      <c r="I25" s="13">
        <v>42795.245300925926</v>
      </c>
      <c r="J25" s="7">
        <v>0</v>
      </c>
      <c r="K25" s="98" t="str">
        <f t="shared" si="0"/>
        <v>4009/4010</v>
      </c>
      <c r="L25" s="21" t="str">
        <f>VLOOKUP(A25,'Trips&amp;Operators'!$C$1:$G$99999,5,FALSE)</f>
        <v>BADERTSCHER DIANE</v>
      </c>
      <c r="M25" s="6">
        <f t="shared" si="1"/>
        <v>2.6377314818091691E-2</v>
      </c>
      <c r="N25" s="7">
        <f t="shared" si="2"/>
        <v>37.983333338052034</v>
      </c>
      <c r="O25" s="7"/>
      <c r="P25" s="7"/>
      <c r="Q25" s="22"/>
      <c r="R25" s="22"/>
      <c r="S25" s="31">
        <f t="shared" si="17"/>
        <v>1</v>
      </c>
      <c r="T25" s="46" t="str">
        <f t="shared" si="3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4"/>
        <v>https://d0f6bd738d7f1b3e5a7ca70fe4ff75f0.us-east-1.aws.found.io/app/kibana#/discover/Steve-Slow-Train-Analysis-(2080s-and-2083s)?_g=(refreshInterval:(display:Off,pause:!f,section:0,value:0),time:(from:'2017-03-01T04:04:23-0700',mode:absolute,to:'2017-03-01T06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5" s="187" t="str">
        <f t="shared" si="5"/>
        <v>N</v>
      </c>
      <c r="X25" s="187">
        <f t="shared" si="6"/>
        <v>1</v>
      </c>
      <c r="Y25" s="62">
        <f t="shared" si="7"/>
        <v>4.1799999999999997E-2</v>
      </c>
      <c r="Z25" s="62">
        <f t="shared" si="8"/>
        <v>23.326599999999999</v>
      </c>
      <c r="AA25" s="62">
        <f t="shared" si="9"/>
        <v>23.284800000000001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0"/>
        <v>0113-01</v>
      </c>
      <c r="AE25" s="85" t="str">
        <f t="shared" si="11"/>
        <v>aws s3 cp s3://rtdc.mdm.uploadarchive.raw/RTDC4009/ "%USERPROFILE%\AppData\Local\Temp\OnboardLogs"\RTDC4009\2017-03-01 --exclude "*" --recursive --include "*20170301*" &amp; "%USERPROFILE%\Documents\GitHub\mrs-test-scripts\Headless Mode &amp; Sideloading\WalkAndUnGZ.bat" "%USERPROFILE%\AppData\Local\Temp\OnboardLogs"\RTDC4009\2017-03-01 &amp; aws s3 cp s3://rtdc.mdm.uploadarchive.raw/RTDC4009/ "%USERPROFILE%\AppData\Local\Temp\OnboardLogs"\RTDC4009\2017-03-02 --exclude "*" --recursive --include "*20170302*" &amp; "%USERPROFILE%\Documents\GitHub\mrs-test-scripts\Headless Mode &amp; Sideloading\WalkAndUnGZ.bat" "%USERPROFILE%\AppData\Local\Temp\OnboardLogs"\RTDC4009\2017-03-02</v>
      </c>
      <c r="AF25" s="82" t="str">
        <f t="shared" si="12"/>
        <v>"C:\Program Files (x86)\AstroGrep\AstroGrep.exe" /spath="%USERPROFILE%\AppData\Local\Temp\OnboardLogs" /stypes="app*4009*20170301*" /stext=" 12:.+((SYSTEM_STATE.+slice.+state.+changed )|(ment ac)|(multiple cpu faults)|(system.+state.+changed )|(\[timeout)|(PRM\|1\|D)|(kpr)|(kdp)|(\|lc)|(penalty))" /e /r /s</v>
      </c>
      <c r="AG25" s="1" t="str">
        <f t="shared" si="13"/>
        <v>EC</v>
      </c>
      <c r="AH25" s="86" t="str">
        <f t="shared" si="18"/>
        <v>"%USERPROFILE%\Documents\GitHub\eaglep3\Utilities\RefineRTDCRunTimes.py" --tripid 113-01 --locoid 4009 --swversion DE.1.0.9.0 --startMP 204:418 --initTime 2017-03-01T05:04:23 --startdatetime 2017-03-01T05:15:15 --delay 2 --endMP 204:233266 --enddatetime 2017-03-01T05:53:14 --enforcementcount 0 &gt;&gt;C:\Users\stu\Documents\GitHub\eaglep3-reporting\EC\2017-03-01-refined-times.txt</v>
      </c>
      <c r="AI25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{"issue":{"subject":"","project_id":79,"tracker_id":40,"status_id":1,"priority_id":2,"assigned_to_id":23,"start_date":"2017-03-01","description":"","custom_fields":[{"id":1,"name":"Subdivision","value":"EC"},{"id":4,"name":"Milepost","value":"23.3266"},{"id":17,"name":"Train ID","value":"113-01"},{"id":16,"name":"Locomotive ID","value":"4009"},{"id":130,"name":"Impact","value":""},{"id":150,"name":"Time of Event (Mountain Time)","value":"05:53:14"},{"id":151,"name":"Denver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4009 --day 2017-03-01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"%USERPROFILE%\AppData\Local\Temp\OnboardLogs"\RTDC4009\*4009*20170301* | grep -SE "(Enforcement Action)|(\[TIMEOUT)|(CHR.+\|PRM\|1\|D.+(SWITCH|SIGNAL).+UNKNOWN)" - &gt;&gt; 2017-03-01-UncaughtWiMAX.txt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503</v>
      </c>
      <c r="B26" s="7">
        <v>4010</v>
      </c>
      <c r="C26" s="21" t="s">
        <v>266</v>
      </c>
      <c r="D26" s="21" t="s">
        <v>691</v>
      </c>
      <c r="E26" s="13">
        <v>42795.247858796298</v>
      </c>
      <c r="F26" s="13">
        <v>42795.2578125</v>
      </c>
      <c r="G26" s="7">
        <v>1</v>
      </c>
      <c r="H26" s="21" t="s">
        <v>196</v>
      </c>
      <c r="I26" s="13">
        <v>42795.292291666665</v>
      </c>
      <c r="J26" s="7">
        <v>0</v>
      </c>
      <c r="K26" s="98" t="str">
        <f t="shared" si="0"/>
        <v>4009/4010</v>
      </c>
      <c r="L26" s="21" t="str">
        <f>VLOOKUP(A26,'Trips&amp;Operators'!$C$1:$G$99999,5,FALSE)</f>
        <v>BADERTSCHER DIANE</v>
      </c>
      <c r="M26" s="6">
        <f t="shared" si="1"/>
        <v>3.4479166664823424E-2</v>
      </c>
      <c r="N26" s="7">
        <f t="shared" si="2"/>
        <v>49.649999997345731</v>
      </c>
      <c r="O26" s="7"/>
      <c r="P26" s="7"/>
      <c r="Q26" s="22"/>
      <c r="R26" s="22"/>
      <c r="S26" s="31">
        <f t="shared" si="17"/>
        <v>1</v>
      </c>
      <c r="T26" s="46" t="str">
        <f t="shared" si="3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4"/>
        <v>https://d0f6bd738d7f1b3e5a7ca70fe4ff75f0.us-east-1.aws.found.io/app/kibana#/discover/Steve-Slow-Train-Analysis-(2080s-and-2083s)?_g=(refreshInterval:(display:Off,pause:!f,section:0,value:0),time:(from:'2017-03-01T04:56:55-0700',mode:absolute,to:'2017-03-01T08:00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6" s="187" t="str">
        <f t="shared" si="5"/>
        <v>N</v>
      </c>
      <c r="X26" s="187">
        <f t="shared" si="6"/>
        <v>1</v>
      </c>
      <c r="Y26" s="62">
        <f t="shared" si="7"/>
        <v>23.294599999999999</v>
      </c>
      <c r="Z26" s="62">
        <f t="shared" si="8"/>
        <v>1.4500000000000001E-2</v>
      </c>
      <c r="AA26" s="62">
        <f t="shared" si="9"/>
        <v>23.280099999999997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0"/>
        <v>0114-01</v>
      </c>
      <c r="AE26" s="85" t="str">
        <f t="shared" si="11"/>
        <v>aws s3 cp s3://rtdc.mdm.uploadarchive.raw/RTDC4010/ "%USERPROFILE%\AppData\Local\Temp\OnboardLogs"\RTDC4010\2017-03-01 --exclude "*" --recursive --include "*20170301*" &amp; "%USERPROFILE%\Documents\GitHub\mrs-test-scripts\Headless Mode &amp; Sideloading\WalkAndUnGZ.bat" "%USERPROFILE%\AppData\Local\Temp\OnboardLogs"\RTDC4010\2017-03-01 &amp; aws s3 cp s3://rtdc.mdm.uploadarchive.raw/RTDC4010/ "%USERPROFILE%\AppData\Local\Temp\OnboardLogs"\RTDC4010\2017-03-02 --exclude "*" --recursive --include "*20170302*" &amp; "%USERPROFILE%\Documents\GitHub\mrs-test-scripts\Headless Mode &amp; Sideloading\WalkAndUnGZ.bat" "%USERPROFILE%\AppData\Local\Temp\OnboardLogs"\RTDC4010\2017-03-02</v>
      </c>
      <c r="AF26" s="82" t="str">
        <f t="shared" si="12"/>
        <v>"C:\Program Files (x86)\AstroGrep\AstroGrep.exe" /spath="%USERPROFILE%\AppData\Local\Temp\OnboardLogs" /stypes="app*4010*20170301*" /stext=" 14:.+((SYSTEM_STATE.+slice.+state.+changed )|(ment ac)|(multiple cpu faults)|(system.+state.+changed )|(\[timeout)|(PRM\|1\|D)|(kpr)|(kdp)|(\|lc)|(penalty))" /e /r /s</v>
      </c>
      <c r="AG26" s="1" t="str">
        <f t="shared" si="13"/>
        <v>EC</v>
      </c>
      <c r="AH26" s="86" t="str">
        <f t="shared" si="18"/>
        <v>"%USERPROFILE%\Documents\GitHub\eaglep3\Utilities\RefineRTDCRunTimes.py" --tripid 114-01 --locoid 4010 --swversion DE.1.0.9.0 --startMP 204:232946 --initTime 2017-03-01T05:56:55 --startdatetime 2017-03-01T06:11:15 --delay 1 --endMP 204:145 --enddatetime 2017-03-01T07:00:54 --enforcementcount 0 &gt;&gt;C:\Users\stu\Documents\GitHub\eaglep3-reporting\EC\2017-03-01-refined-times.txt</v>
      </c>
      <c r="AI26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{"issue":{"subject":"","project_id":79,"tracker_id":40,"status_id":1,"priority_id":2,"assigned_to_id":23,"start_date":"2017-03-01","description":"","custom_fields":[{"id":1,"name":"Subdivision","value":"EC"},{"id":4,"name":"Milepost","value":"0.0145"},{"id":17,"name":"Train ID","value":"114-01"},{"id":16,"name":"Locomotive ID","value":"4010"},{"id":130,"name":"Impact","value":""},{"id":150,"name":"Time of Event (Mountain Time)","value":"07:00:54"},{"id":151,"name":"Denver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4010 --day 2017-03-01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"%USERPROFILE%\AppData\Local\Temp\OnboardLogs"\RTDC4010\*4010*20170301* | grep -SE "(Enforcement Action)|(\[TIMEOUT)|(CHR.+\|PRM\|1\|D.+(SWITCH|SIGNAL).+UNKNOWN)" - &gt;&gt; 2017-03-01-UncaughtWiMAX.txt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432</v>
      </c>
      <c r="B27" s="7">
        <v>4002</v>
      </c>
      <c r="C27" s="21" t="s">
        <v>266</v>
      </c>
      <c r="D27" s="21" t="s">
        <v>692</v>
      </c>
      <c r="E27" s="13">
        <v>42795.228090277778</v>
      </c>
      <c r="F27" s="13">
        <v>42795.229861111111</v>
      </c>
      <c r="G27" s="7">
        <v>2</v>
      </c>
      <c r="H27" s="21" t="s">
        <v>409</v>
      </c>
      <c r="I27" s="13">
        <v>42795.257430555554</v>
      </c>
      <c r="J27" s="7">
        <v>0</v>
      </c>
      <c r="K27" s="98" t="str">
        <f t="shared" si="0"/>
        <v>4001/4002</v>
      </c>
      <c r="L27" s="21" t="str">
        <f>VLOOKUP(A27,'Trips&amp;Operators'!$C$1:$G$99999,5,FALSE)</f>
        <v>STARKS ANGELINA</v>
      </c>
      <c r="M27" s="6">
        <f t="shared" si="1"/>
        <v>2.7569444442633539E-2</v>
      </c>
      <c r="N27" s="7">
        <f t="shared" si="2"/>
        <v>39.699999997392297</v>
      </c>
      <c r="O27" s="7"/>
      <c r="P27" s="7"/>
      <c r="Q27" s="22"/>
      <c r="R27" s="22"/>
      <c r="S27" s="31">
        <f t="shared" si="17"/>
        <v>1</v>
      </c>
      <c r="T27" s="46" t="str">
        <f t="shared" si="3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4"/>
        <v>https://d0f6bd738d7f1b3e5a7ca70fe4ff75f0.us-east-1.aws.found.io/app/kibana#/discover/Steve-Slow-Train-Analysis-(2080s-and-2083s)?_g=(refreshInterval:(display:Off,pause:!f,section:0,value:0),time:(from:'2017-03-01T04:28:27-0700',mode:absolute,to:'2017-03-01T07:10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7" s="187" t="str">
        <f t="shared" si="5"/>
        <v>N</v>
      </c>
      <c r="X27" s="187">
        <f t="shared" si="6"/>
        <v>1</v>
      </c>
      <c r="Y27" s="62">
        <f t="shared" si="7"/>
        <v>7.6600000000000001E-2</v>
      </c>
      <c r="Z27" s="62">
        <f t="shared" si="8"/>
        <v>23.3249</v>
      </c>
      <c r="AA27" s="62">
        <f t="shared" si="9"/>
        <v>23.2483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0"/>
        <v>0115-01</v>
      </c>
      <c r="AE27" s="85" t="str">
        <f t="shared" si="11"/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AF27" s="82" t="str">
        <f t="shared" si="12"/>
        <v>"C:\Program Files (x86)\AstroGrep\AstroGrep.exe" /spath="%USERPROFILE%\AppData\Local\Temp\OnboardLogs" /stypes="app*4002*20170301*" /stext=" 13:.+((SYSTEM_STATE.+slice.+state.+changed )|(ment ac)|(multiple cpu faults)|(system.+state.+changed )|(\[timeout)|(PRM\|1\|D)|(kpr)|(kdp)|(\|lc)|(penalty))" /e /r /s</v>
      </c>
      <c r="AG27" s="1" t="str">
        <f t="shared" si="13"/>
        <v>EC</v>
      </c>
      <c r="AH27" s="86" t="str">
        <f t="shared" si="18"/>
        <v>"%USERPROFILE%\Documents\GitHub\eaglep3\Utilities\RefineRTDCRunTimes.py" --tripid 115-01 --locoid 4002 --swversion DE.1.0.9.0 --startMP 204:766 --initTime 2017-03-01T05:28:27 --startdatetime 2017-03-01T05:31:00 --delay 2 --endMP 204:233249 --enddatetime 2017-03-01T06:10:42 --enforcementcount 0 &gt;&gt;C:\Users\stu\Documents\GitHub\eaglep3-reporting\EC\2017-03-01-refined-times.txt</v>
      </c>
      <c r="AI27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{"issue":{"subject":"","project_id":79,"tracker_id":40,"status_id":1,"priority_id":2,"assigned_to_id":23,"start_date":"2017-03-01","description":"","custom_fields":[{"id":1,"name":"Subdivision","value":"EC"},{"id":4,"name":"Milepost","value":"23.3249"},{"id":17,"name":"Train ID","value":"115-01"},{"id":16,"name":"Locomotive ID","value":"4002"},{"id":130,"name":"Impact","value":""},{"id":150,"name":"Time of Event (Mountain Time)","value":"06:10:42"},{"id":151,"name":"Denver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4002 --day 2017-03-01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"%USERPROFILE%\AppData\Local\Temp\OnboardLogs"\RTDC4002\*4002*20170301* | grep -SE "(Enforcement Action)|(\[TIMEOUT)|(CHR.+\|PRM\|1\|D.+(SWITCH|SIGNAL).+UNKNOWN)" - &gt;&gt; 2017-03-01-UncaughtWiMAX.txt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437</v>
      </c>
      <c r="B28" s="7">
        <v>4001</v>
      </c>
      <c r="C28" s="21" t="s">
        <v>266</v>
      </c>
      <c r="D28" s="21" t="s">
        <v>693</v>
      </c>
      <c r="E28" s="13">
        <v>42795.265057870369</v>
      </c>
      <c r="F28" s="13">
        <v>42795.268229166664</v>
      </c>
      <c r="G28" s="7">
        <v>1</v>
      </c>
      <c r="H28" s="21" t="s">
        <v>206</v>
      </c>
      <c r="I28" s="13">
        <v>42795.299699074072</v>
      </c>
      <c r="J28" s="7">
        <v>0</v>
      </c>
      <c r="K28" s="98" t="str">
        <f t="shared" si="0"/>
        <v>4001/4002</v>
      </c>
      <c r="L28" s="21" t="str">
        <f>VLOOKUP(A28,'Trips&amp;Operators'!$C$1:$G$99999,5,FALSE)</f>
        <v>STARKS ANGELINA</v>
      </c>
      <c r="M28" s="6">
        <f t="shared" si="1"/>
        <v>3.1469907407881692E-2</v>
      </c>
      <c r="N28" s="7">
        <f t="shared" si="2"/>
        <v>45.316666667349637</v>
      </c>
      <c r="O28" s="7"/>
      <c r="P28" s="7"/>
      <c r="Q28" s="22"/>
      <c r="R28" s="22"/>
      <c r="S28" s="31">
        <f t="shared" si="17"/>
        <v>1</v>
      </c>
      <c r="T28" s="46" t="str">
        <f t="shared" si="3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4"/>
        <v>https://d0f6bd738d7f1b3e5a7ca70fe4ff75f0.us-east-1.aws.found.io/app/kibana#/discover/Steve-Slow-Train-Analysis-(2080s-and-2083s)?_g=(refreshInterval:(display:Off,pause:!f,section:0,value:0),time:(from:'2017-03-01T05:21:41-0700',mode:absolute,to:'2017-03-01T08:11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8" s="187" t="str">
        <f t="shared" si="5"/>
        <v>N</v>
      </c>
      <c r="X28" s="187">
        <f t="shared" si="6"/>
        <v>1</v>
      </c>
      <c r="Y28" s="62">
        <f t="shared" si="7"/>
        <v>23.292999999999999</v>
      </c>
      <c r="Z28" s="62">
        <f t="shared" si="8"/>
        <v>1.52E-2</v>
      </c>
      <c r="AA28" s="62">
        <f t="shared" si="9"/>
        <v>23.277799999999999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0"/>
        <v>0116-01</v>
      </c>
      <c r="AE28" s="85" t="str">
        <f t="shared" si="11"/>
        <v>aws s3 cp s3://rtdc.mdm.uploadarchive.raw/RTDC4001/ "%USERPROFILE%\AppData\Local\Temp\OnboardLogs"\RTDC4001\2017-03-01 --exclude "*" --recursive --include "*20170301*" &amp; "%USERPROFILE%\Documents\GitHub\mrs-test-scripts\Headless Mode &amp; Sideloading\WalkAndUnGZ.bat" "%USERPROFILE%\AppData\Local\Temp\OnboardLogs"\RTDC4001\2017-03-01 &amp; aws s3 cp s3://rtdc.mdm.uploadarchive.raw/RTDC4001/ "%USERPROFILE%\AppData\Local\Temp\OnboardLogs"\RTDC4001\2017-03-02 --exclude "*" --recursive --include "*20170302*" &amp; "%USERPROFILE%\Documents\GitHub\mrs-test-scripts\Headless Mode &amp; Sideloading\WalkAndUnGZ.bat" "%USERPROFILE%\AppData\Local\Temp\OnboardLogs"\RTDC4001\2017-03-02</v>
      </c>
      <c r="AF28" s="82" t="str">
        <f t="shared" si="12"/>
        <v>"C:\Program Files (x86)\AstroGrep\AstroGrep.exe" /spath="%USERPROFILE%\AppData\Local\Temp\OnboardLogs" /stypes="app*4001*20170301*" /stext=" 14:.+((SYSTEM_STATE.+slice.+state.+changed )|(ment ac)|(multiple cpu faults)|(system.+state.+changed )|(\[timeout)|(PRM\|1\|D)|(kpr)|(kdp)|(\|lc)|(penalty))" /e /r /s</v>
      </c>
      <c r="AG28" s="1" t="str">
        <f t="shared" si="13"/>
        <v>EC</v>
      </c>
      <c r="AH28" s="86" t="str">
        <f t="shared" si="18"/>
        <v>"%USERPROFILE%\Documents\GitHub\eaglep3\Utilities\RefineRTDCRunTimes.py" --tripid 116-01 --locoid 4001 --swversion DE.1.0.9.0 --startMP 204:232930 --initTime 2017-03-01T06:21:41 --startdatetime 2017-03-01T06:26:15 --delay 1 --endMP 204:152 --enddatetime 2017-03-01T07:11:34 --enforcementcount 0 &gt;&gt;C:\Users\stu\Documents\GitHub\eaglep3-reporting\EC\2017-03-01-refined-times.txt</v>
      </c>
      <c r="AI28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{"issue":{"subject":"","project_id":79,"tracker_id":40,"status_id":1,"priority_id":2,"assigned_to_id":23,"start_date":"2017-03-01","description":"","custom_fields":[{"id":1,"name":"Subdivision","value":"EC"},{"id":4,"name":"Milepost","value":"0.0152"},{"id":17,"name":"Train ID","value":"116-01"},{"id":16,"name":"Locomotive ID","value":"4001"},{"id":130,"name":"Impact","value":""},{"id":150,"name":"Time of Event (Mountain Time)","value":"07:11:34"},{"id":151,"name":"Denver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4001 --day 2017-03-01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"%USERPROFILE%\AppData\Local\Temp\OnboardLogs"\RTDC4001\*4001*20170301* | grep -SE "(Enforcement Action)|(\[TIMEOUT)|(CHR.+\|PRM\|1\|D.+(SWITCH|SIGNAL).+UNKNOWN)" - &gt;&gt; 2017-03-01-UncaughtWiMAX.txt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505</v>
      </c>
      <c r="B29" s="7">
        <v>4024</v>
      </c>
      <c r="C29" s="21" t="s">
        <v>266</v>
      </c>
      <c r="D29" s="21" t="s">
        <v>694</v>
      </c>
      <c r="E29" s="13">
        <v>42795.250439814816</v>
      </c>
      <c r="F29" s="13">
        <v>42795.252291666664</v>
      </c>
      <c r="G29" s="7">
        <v>1</v>
      </c>
      <c r="H29" s="21" t="s">
        <v>297</v>
      </c>
      <c r="I29" s="13">
        <v>42795.270729166667</v>
      </c>
      <c r="J29" s="7">
        <v>0</v>
      </c>
      <c r="K29" s="98" t="str">
        <f t="shared" si="0"/>
        <v>4023/4024</v>
      </c>
      <c r="L29" s="21" t="str">
        <f>VLOOKUP(A29,'Trips&amp;Operators'!$C$1:$G$99999,5,FALSE)</f>
        <v>MAELZER KURT</v>
      </c>
      <c r="M29" s="6">
        <f t="shared" si="1"/>
        <v>1.8437500002619345E-2</v>
      </c>
      <c r="N29" s="7"/>
      <c r="O29" s="7"/>
      <c r="P29" s="7">
        <f>24*60*SUM($M29:$M29)</f>
        <v>26.550000003771856</v>
      </c>
      <c r="Q29" s="22"/>
      <c r="R29" s="22" t="s">
        <v>861</v>
      </c>
      <c r="S29" s="31">
        <f t="shared" si="17"/>
        <v>0.75</v>
      </c>
      <c r="T29" s="46" t="str">
        <f t="shared" si="3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9</v>
      </c>
      <c r="V29" s="186" t="str">
        <f t="shared" si="4"/>
        <v>https://d0f6bd738d7f1b3e5a7ca70fe4ff75f0.us-east-1.aws.found.io/app/kibana#/discover/Steve-Slow-Train-Analysis-(2080s-and-2083s)?_g=(refreshInterval:(display:Off,pause:!f,section:0,value:0),time:(from:'2017-03-01T05:00:38-0700',mode:absolute,to:'2017-03-01T07:29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9" s="187" t="str">
        <f t="shared" si="5"/>
        <v>Y</v>
      </c>
      <c r="X29" s="187">
        <f t="shared" si="6"/>
        <v>1</v>
      </c>
      <c r="Y29" s="62">
        <f t="shared" si="7"/>
        <v>3.7170999999999998</v>
      </c>
      <c r="Z29" s="62">
        <f t="shared" si="8"/>
        <v>23.331199999999999</v>
      </c>
      <c r="AA29" s="62">
        <f t="shared" si="9"/>
        <v>19.614100000000001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0"/>
        <v>0117-01</v>
      </c>
      <c r="AE29" s="85" t="str">
        <f t="shared" si="11"/>
        <v>aws s3 cp s3://rtdc.mdm.uploadarchive.raw/RTDC4024/ "%USERPROFILE%\AppData\Local\Temp\OnboardLogs"\RTDC4024\2017-03-01 --exclude "*" --recursive --include "*20170301*" &amp; "%USERPROFILE%\Documents\GitHub\mrs-test-scripts\Headless Mode &amp; Sideloading\WalkAndUnGZ.bat" "%USERPROFILE%\AppData\Local\Temp\OnboardLogs"\RTDC4024\2017-03-01 &amp; aws s3 cp s3://rtdc.mdm.uploadarchive.raw/RTDC4024/ "%USERPROFILE%\AppData\Local\Temp\OnboardLogs"\RTDC4024\2017-03-02 --exclude "*" --recursive --include "*20170302*" &amp; "%USERPROFILE%\Documents\GitHub\mrs-test-scripts\Headless Mode &amp; Sideloading\WalkAndUnGZ.bat" "%USERPROFILE%\AppData\Local\Temp\OnboardLogs"\RTDC4024\2017-03-02</v>
      </c>
      <c r="AF29" s="82" t="str">
        <f t="shared" si="12"/>
        <v>"C:\Program Files (x86)\AstroGrep\AstroGrep.exe" /spath="%USERPROFILE%\AppData\Local\Temp\OnboardLogs" /stypes="app*4024*20170301*" /stext=" 13:.+((SYSTEM_STATE.+slice.+state.+changed )|(ment ac)|(multiple cpu faults)|(system.+state.+changed )|(\[timeout)|(PRM\|1\|D)|(kpr)|(kdp)|(\|lc)|(penalty))" /e /r /s</v>
      </c>
      <c r="AG29" s="1" t="str">
        <f t="shared" si="13"/>
        <v>EC</v>
      </c>
      <c r="AH29" s="86" t="str">
        <f t="shared" si="18"/>
        <v>"%USERPROFILE%\Documents\GitHub\eaglep3\Utilities\RefineRTDCRunTimes.py" --tripid 117-01 --locoid 4024 --swversion DE.1.0.9.0 --startMP 204:37171 --initTime 2017-03-01T06:00:38 --startdatetime 2017-03-01T06:03:18 --delay 1 --endMP 204:233312 --enddatetime 2017-03-01T06:29:51 --enforcementcount 0 &gt;&gt;C:\Users\stu\Documents\GitHub\eaglep3-reporting\EC\2017-03-01-refined-times.txt</v>
      </c>
      <c r="AI29" s="108" t="str">
        <f t="shared" si="19"/>
        <v>echo {"issue":{"subject":"Software update to DE.1.0.9.0","project_id":79,"tracker_id":40,"status_id":1,"priority_id":2,"assigned_to_id":23,"start_date":"2017-03-01","description":"","custom_fields":[{"id":1,"name":"Subdivision","value":"EC"},{"id":4,"name":"Milepost","value":"23.3312"},{"id":17,"name":"Train ID","value":"117-01"},{"id":16,"name":"Locomotive ID","value":"4024"},{"id":130,"name":"Impact","value":""},{"id":150,"name":"Time of Event (Mountain Time)","value":"06:29:51"},{"id":151,"name":"Denver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4024 --day 2017-03-01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"%USERPROFILE%\AppData\Local\Temp\OnboardLogs"\RTDC4024\*4024*20170301* | grep -SE "(Enforcement Action)|(\[TIMEOUT)|(CHR.+\|PRM\|1\|D.+(SWITCH|SIGNAL).+UNKNOWN)" - &gt;&gt; 2017-03-01-UncaughtWiMAX.txt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438</v>
      </c>
      <c r="B30" s="7">
        <v>4023</v>
      </c>
      <c r="C30" s="21" t="s">
        <v>266</v>
      </c>
      <c r="D30" s="21" t="s">
        <v>695</v>
      </c>
      <c r="E30" s="13">
        <v>42795.278541666667</v>
      </c>
      <c r="F30" s="13">
        <v>42795.280173611114</v>
      </c>
      <c r="G30" s="7">
        <v>1</v>
      </c>
      <c r="H30" s="21" t="s">
        <v>213</v>
      </c>
      <c r="I30" s="13">
        <v>42795.308634259258</v>
      </c>
      <c r="J30" s="7">
        <v>0</v>
      </c>
      <c r="K30" s="98" t="str">
        <f t="shared" si="0"/>
        <v>4023/4024</v>
      </c>
      <c r="L30" s="21" t="str">
        <f>VLOOKUP(A30,'Trips&amp;Operators'!$C$1:$G$99999,5,FALSE)</f>
        <v>MAELZER KURT</v>
      </c>
      <c r="M30" s="6">
        <f t="shared" si="1"/>
        <v>2.8460648143664002E-2</v>
      </c>
      <c r="N30" s="7">
        <f t="shared" ref="N30:N73" si="21">24*60*SUM($M30:$M30)</f>
        <v>40.983333326876163</v>
      </c>
      <c r="O30" s="7"/>
      <c r="P30" s="7"/>
      <c r="Q30" s="22"/>
      <c r="R30" s="22"/>
      <c r="S30" s="31">
        <f t="shared" si="17"/>
        <v>1</v>
      </c>
      <c r="T30" s="46" t="str">
        <f t="shared" si="3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4"/>
        <v>https://d0f6bd738d7f1b3e5a7ca70fe4ff75f0.us-east-1.aws.found.io/app/kibana#/discover/Steve-Slow-Train-Analysis-(2080s-and-2083s)?_g=(refreshInterval:(display:Off,pause:!f,section:0,value:0),time:(from:'2017-03-01T05:41:06-0700',mode:absolute,to:'2017-03-01T08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0" s="187" t="str">
        <f t="shared" si="5"/>
        <v>N</v>
      </c>
      <c r="X30" s="187">
        <f t="shared" si="6"/>
        <v>1</v>
      </c>
      <c r="Y30" s="62">
        <f t="shared" si="7"/>
        <v>23.2988</v>
      </c>
      <c r="Z30" s="62">
        <f t="shared" si="8"/>
        <v>1.54E-2</v>
      </c>
      <c r="AA30" s="62">
        <f t="shared" si="9"/>
        <v>23.2834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0"/>
        <v>0118-01</v>
      </c>
      <c r="AE30" s="85" t="str">
        <f t="shared" si="11"/>
        <v>aws s3 cp s3://rtdc.mdm.uploadarchive.raw/RTDC4023/ "%USERPROFILE%\AppData\Local\Temp\OnboardLogs"\RTDC4023\2017-03-01 --exclude "*" --recursive --include "*20170301*" &amp; "%USERPROFILE%\Documents\GitHub\mrs-test-scripts\Headless Mode &amp; Sideloading\WalkAndUnGZ.bat" "%USERPROFILE%\AppData\Local\Temp\OnboardLogs"\RTDC4023\2017-03-01 &amp; aws s3 cp s3://rtdc.mdm.uploadarchive.raw/RTDC4023/ "%USERPROFILE%\AppData\Local\Temp\OnboardLogs"\RTDC4023\2017-03-02 --exclude "*" --recursive --include "*20170302*" &amp; "%USERPROFILE%\Documents\GitHub\mrs-test-scripts\Headless Mode &amp; Sideloading\WalkAndUnGZ.bat" "%USERPROFILE%\AppData\Local\Temp\OnboardLogs"\RTDC4023\2017-03-02</v>
      </c>
      <c r="AF30" s="82" t="str">
        <f t="shared" si="12"/>
        <v>"C:\Program Files (x86)\AstroGrep\AstroGrep.exe" /spath="%USERPROFILE%\AppData\Local\Temp\OnboardLogs" /stypes="app*4023*20170301*" /stext=" 14:.+((SYSTEM_STATE.+slice.+state.+changed )|(ment ac)|(multiple cpu faults)|(system.+state.+changed )|(\[timeout)|(PRM\|1\|D)|(kpr)|(kdp)|(\|lc)|(penalty))" /e /r /s</v>
      </c>
      <c r="AG30" s="1" t="str">
        <f t="shared" si="13"/>
        <v>EC</v>
      </c>
      <c r="AH30" s="86" t="str">
        <f t="shared" si="18"/>
        <v>"%USERPROFILE%\Documents\GitHub\eaglep3\Utilities\RefineRTDCRunTimes.py" --tripid 118-01 --locoid 4023 --swversion DE.1.0.9.0 --startMP 204:232988 --initTime 2017-03-01T06:41:06 --startdatetime 2017-03-01T06:43:27 --delay 1 --endMP 204:154 --enddatetime 2017-03-01T07:24:26 --enforcementcount 0 &gt;&gt;C:\Users\stu\Documents\GitHub\eaglep3-reporting\EC\2017-03-01-refined-times.txt</v>
      </c>
      <c r="AI30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{"issue":{"subject":"","project_id":79,"tracker_id":40,"status_id":1,"priority_id":2,"assigned_to_id":23,"start_date":"2017-03-01","description":"","custom_fields":[{"id":1,"name":"Subdivision","value":"EC"},{"id":4,"name":"Milepost","value":"0.0154"},{"id":17,"name":"Train ID","value":"118-01"},{"id":16,"name":"Locomotive ID","value":"4023"},{"id":130,"name":"Impact","value":""},{"id":150,"name":"Time of Event (Mountain Time)","value":"07:24:26"},{"id":151,"name":"Denver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4023 --day 2017-03-01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"%USERPROFILE%\AppData\Local\Temp\OnboardLogs"\RTDC4023\*4023*20170301* | grep -SE "(Enforcement Action)|(\[TIMEOUT)|(CHR.+\|PRM\|1\|D.+(SWITCH|SIGNAL).+UNKNOWN)" - &gt;&gt; 2017-03-01-UncaughtWiMAX.txt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502</v>
      </c>
      <c r="B31" s="7">
        <v>4031</v>
      </c>
      <c r="C31" s="21" t="s">
        <v>266</v>
      </c>
      <c r="D31" s="21" t="s">
        <v>394</v>
      </c>
      <c r="E31" s="13">
        <v>42795.248773148145</v>
      </c>
      <c r="F31" s="13">
        <v>42795.2503125</v>
      </c>
      <c r="G31" s="7">
        <v>1</v>
      </c>
      <c r="H31" s="21" t="s">
        <v>696</v>
      </c>
      <c r="I31" s="13">
        <v>42795.278680555559</v>
      </c>
      <c r="J31" s="7">
        <v>0</v>
      </c>
      <c r="K31" s="98" t="str">
        <f t="shared" si="0"/>
        <v>4031/4032</v>
      </c>
      <c r="L31" s="21" t="str">
        <f>VLOOKUP(A31,'Trips&amp;Operators'!$C$1:$G$99999,5,FALSE)</f>
        <v>GEBRETEKLE DAGNEW</v>
      </c>
      <c r="M31" s="6">
        <f t="shared" si="1"/>
        <v>2.8368055558530614E-2</v>
      </c>
      <c r="N31" s="7">
        <f t="shared" si="21"/>
        <v>40.850000004284084</v>
      </c>
      <c r="O31" s="7"/>
      <c r="P31" s="7"/>
      <c r="Q31" s="22"/>
      <c r="R31" s="22"/>
      <c r="S31" s="31">
        <f t="shared" si="17"/>
        <v>1</v>
      </c>
      <c r="T31" s="46" t="str">
        <f t="shared" si="3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4"/>
        <v>https://d0f6bd738d7f1b3e5a7ca70fe4ff75f0.us-east-1.aws.found.io/app/kibana#/discover/Steve-Slow-Train-Analysis-(2080s-and-2083s)?_g=(refreshInterval:(display:Off,pause:!f,section:0,value:0),time:(from:'2017-03-01T04:58:14-0700',mode:absolute,to:'2017-03-01T07:41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1" s="187" t="str">
        <f t="shared" si="5"/>
        <v>N</v>
      </c>
      <c r="X31" s="187">
        <f t="shared" si="6"/>
        <v>1</v>
      </c>
      <c r="Y31" s="62">
        <f t="shared" si="7"/>
        <v>7.5700000000000003E-2</v>
      </c>
      <c r="Z31" s="62">
        <f t="shared" si="8"/>
        <v>23.334199999999999</v>
      </c>
      <c r="AA31" s="62">
        <f t="shared" si="9"/>
        <v>23.258499999999998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0"/>
        <v>0119-01</v>
      </c>
      <c r="AE31" s="85" t="str">
        <f t="shared" si="11"/>
        <v>aws s3 cp s3://rtdc.mdm.uploadarchive.raw/RTDC4031/ "%USERPROFILE%\AppData\Local\Temp\OnboardLogs"\RTDC4031\2017-03-01 --exclude "*" --recursive --include "*20170301*" &amp; "%USERPROFILE%\Documents\GitHub\mrs-test-scripts\Headless Mode &amp; Sideloading\WalkAndUnGZ.bat" "%USERPROFILE%\AppData\Local\Temp\OnboardLogs"\RTDC4031\2017-03-01 &amp; aws s3 cp s3://rtdc.mdm.uploadarchive.raw/RTDC4031/ "%USERPROFILE%\AppData\Local\Temp\OnboardLogs"\RTDC4031\2017-03-02 --exclude "*" --recursive --include "*20170302*" &amp; "%USERPROFILE%\Documents\GitHub\mrs-test-scripts\Headless Mode &amp; Sideloading\WalkAndUnGZ.bat" "%USERPROFILE%\AppData\Local\Temp\OnboardLogs"\RTDC4031\2017-03-02</v>
      </c>
      <c r="AF31" s="82" t="str">
        <f t="shared" si="12"/>
        <v>"C:\Program Files (x86)\AstroGrep\AstroGrep.exe" /spath="%USERPROFILE%\AppData\Local\Temp\OnboardLogs" /stypes="app*4031*20170301*" /stext=" 13:.+((SYSTEM_STATE.+slice.+state.+changed )|(ment ac)|(multiple cpu faults)|(system.+state.+changed )|(\[timeout)|(PRM\|1\|D)|(kpr)|(kdp)|(\|lc)|(penalty))" /e /r /s</v>
      </c>
      <c r="AG31" s="1" t="str">
        <f t="shared" si="13"/>
        <v>EC</v>
      </c>
      <c r="AH31" s="86" t="str">
        <f t="shared" si="18"/>
        <v>"%USERPROFILE%\Documents\GitHub\eaglep3\Utilities\RefineRTDCRunTimes.py" --tripid 119-01 --locoid 4031 --swversion DE.1.0.9.0 --startMP 204:757 --initTime 2017-03-01T05:58:14 --startdatetime 2017-03-01T06:00:27 --delay 1 --endMP 204:233342 --enddatetime 2017-03-01T06:41:18 --enforcementcount 0 &gt;&gt;C:\Users\stu\Documents\GitHub\eaglep3-reporting\EC\2017-03-01-refined-times.txt</v>
      </c>
      <c r="AI31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{"issue":{"subject":"","project_id":79,"tracker_id":40,"status_id":1,"priority_id":2,"assigned_to_id":23,"start_date":"2017-03-01","description":"","custom_fields":[{"id":1,"name":"Subdivision","value":"EC"},{"id":4,"name":"Milepost","value":"23.3342"},{"id":17,"name":"Train ID","value":"119-01"},{"id":16,"name":"Locomotive ID","value":"4031"},{"id":130,"name":"Impact","value":""},{"id":150,"name":"Time of Event (Mountain Time)","value":"06:41:18"},{"id":151,"name":"Denver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4031 --day 2017-03-01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"%USERPROFILE%\AppData\Local\Temp\OnboardLogs"\RTDC4031\*4031*20170301* | grep -SE "(Enforcement Action)|(\[TIMEOUT)|(CHR.+\|PRM\|1\|D.+(SWITCH|SIGNAL).+UNKNOWN)" - &gt;&gt; 2017-03-01-UncaughtWiMAX.txt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513</v>
      </c>
      <c r="B32" s="7">
        <v>4032</v>
      </c>
      <c r="C32" s="21" t="s">
        <v>266</v>
      </c>
      <c r="D32" s="21" t="s">
        <v>697</v>
      </c>
      <c r="E32" s="13">
        <v>42795.286481481482</v>
      </c>
      <c r="F32" s="13">
        <v>42795.289085648146</v>
      </c>
      <c r="G32" s="7">
        <v>1</v>
      </c>
      <c r="H32" s="21" t="s">
        <v>698</v>
      </c>
      <c r="I32" s="13">
        <v>42795.315949074073</v>
      </c>
      <c r="J32" s="7">
        <v>0</v>
      </c>
      <c r="K32" s="98" t="str">
        <f t="shared" si="0"/>
        <v>4031/4032</v>
      </c>
      <c r="L32" s="21" t="str">
        <f>VLOOKUP(A32,'Trips&amp;Operators'!$C$1:$G$99999,5,FALSE)</f>
        <v>GEBRETEKLE DAGNEW</v>
      </c>
      <c r="M32" s="6">
        <f t="shared" si="1"/>
        <v>2.6863425926421769E-2</v>
      </c>
      <c r="N32" s="7">
        <f t="shared" si="21"/>
        <v>38.683333334047347</v>
      </c>
      <c r="O32" s="7"/>
      <c r="P32" s="7"/>
      <c r="Q32" s="22"/>
      <c r="R32" s="22"/>
      <c r="S32" s="31">
        <f t="shared" si="17"/>
        <v>1</v>
      </c>
      <c r="T32" s="46" t="str">
        <f t="shared" si="3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4"/>
        <v>https://d0f6bd738d7f1b3e5a7ca70fe4ff75f0.us-east-1.aws.found.io/app/kibana#/discover/Steve-Slow-Train-Analysis-(2080s-and-2083s)?_g=(refreshInterval:(display:Off,pause:!f,section:0,value:0),time:(from:'2017-03-01T05:52:32-0700',mode:absolute,to:'2017-03-01T08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2" s="187" t="str">
        <f t="shared" si="5"/>
        <v>N</v>
      </c>
      <c r="X32" s="187">
        <f t="shared" si="6"/>
        <v>1</v>
      </c>
      <c r="Y32" s="62">
        <f t="shared" si="7"/>
        <v>23.302700000000002</v>
      </c>
      <c r="Z32" s="62">
        <f t="shared" si="8"/>
        <v>1.83E-2</v>
      </c>
      <c r="AA32" s="62">
        <f t="shared" si="9"/>
        <v>23.284400000000002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0"/>
        <v>0120-01</v>
      </c>
      <c r="AE32" s="85" t="str">
        <f t="shared" si="11"/>
        <v>aws s3 cp s3://rtdc.mdm.uploadarchive.raw/RTDC4032/ "%USERPROFILE%\AppData\Local\Temp\OnboardLogs"\RTDC4032\2017-03-01 --exclude "*" --recursive --include "*20170301*" &amp; "%USERPROFILE%\Documents\GitHub\mrs-test-scripts\Headless Mode &amp; Sideloading\WalkAndUnGZ.bat" "%USERPROFILE%\AppData\Local\Temp\OnboardLogs"\RTDC4032\2017-03-01 &amp; aws s3 cp s3://rtdc.mdm.uploadarchive.raw/RTDC4032/ "%USERPROFILE%\AppData\Local\Temp\OnboardLogs"\RTDC4032\2017-03-02 --exclude "*" --recursive --include "*20170302*" &amp; "%USERPROFILE%\Documents\GitHub\mrs-test-scripts\Headless Mode &amp; Sideloading\WalkAndUnGZ.bat" "%USERPROFILE%\AppData\Local\Temp\OnboardLogs"\RTDC4032\2017-03-02</v>
      </c>
      <c r="AF32" s="82" t="str">
        <f t="shared" si="12"/>
        <v>"C:\Program Files (x86)\AstroGrep\AstroGrep.exe" /spath="%USERPROFILE%\AppData\Local\Temp\OnboardLogs" /stypes="app*4032*20170301*" /stext=" 14:.+((SYSTEM_STATE.+slice.+state.+changed )|(ment ac)|(multiple cpu faults)|(system.+state.+changed )|(\[timeout)|(PRM\|1\|D)|(kpr)|(kdp)|(\|lc)|(penalty))" /e /r /s</v>
      </c>
      <c r="AG32" s="1" t="str">
        <f t="shared" si="13"/>
        <v>EC</v>
      </c>
      <c r="AH32" s="86" t="str">
        <f t="shared" si="18"/>
        <v>"%USERPROFILE%\Documents\GitHub\eaglep3\Utilities\RefineRTDCRunTimes.py" --tripid 120-01 --locoid 4032 --swversion DE.1.0.9.0 --startMP 204:233027 --initTime 2017-03-01T06:52:32 --startdatetime 2017-03-01T06:56:17 --delay 1 --endMP 204:183 --enddatetime 2017-03-01T07:34:58 --enforcementcount 0 &gt;&gt;C:\Users\stu\Documents\GitHub\eaglep3-reporting\EC\2017-03-01-refined-times.txt</v>
      </c>
      <c r="AI32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{"issue":{"subject":"","project_id":79,"tracker_id":40,"status_id":1,"priority_id":2,"assigned_to_id":23,"start_date":"2017-03-01","description":"","custom_fields":[{"id":1,"name":"Subdivision","value":"EC"},{"id":4,"name":"Milepost","value":"0.0183"},{"id":17,"name":"Train ID","value":"120-01"},{"id":16,"name":"Locomotive ID","value":"4032"},{"id":130,"name":"Impact","value":""},{"id":150,"name":"Time of Event (Mountain Time)","value":"07:34:58"},{"id":151,"name":"Denver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4032 --day 2017-03-01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"%USERPROFILE%\AppData\Local\Temp\OnboardLogs"\RTDC4032\*4032*20170301* | grep -SE "(Enforcement Action)|(\[TIMEOUT)|(CHR.+\|PRM\|1\|D.+(SWITCH|SIGNAL).+UNKNOWN)" - &gt;&gt; 2017-03-01-UncaughtWiMAX.txt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507</v>
      </c>
      <c r="B33" s="7">
        <v>4029</v>
      </c>
      <c r="C33" s="21" t="s">
        <v>266</v>
      </c>
      <c r="D33" s="21" t="s">
        <v>228</v>
      </c>
      <c r="E33" s="13">
        <v>42795.256527777776</v>
      </c>
      <c r="F33" s="13">
        <v>42795.261712962965</v>
      </c>
      <c r="G33" s="7">
        <v>3</v>
      </c>
      <c r="H33" s="21" t="s">
        <v>699</v>
      </c>
      <c r="I33" s="13">
        <v>42795.288553240738</v>
      </c>
      <c r="J33" s="7">
        <v>0</v>
      </c>
      <c r="K33" s="98" t="str">
        <f t="shared" si="0"/>
        <v>4029/4030</v>
      </c>
      <c r="L33" s="21" t="str">
        <f>VLOOKUP(A33,'Trips&amp;Operators'!$C$1:$G$99999,5,FALSE)</f>
        <v>LOCKLEAR TRAVIS</v>
      </c>
      <c r="M33" s="6">
        <f t="shared" si="1"/>
        <v>2.6840277772862464E-2</v>
      </c>
      <c r="N33" s="7">
        <f t="shared" si="21"/>
        <v>38.649999992921948</v>
      </c>
      <c r="O33" s="7"/>
      <c r="P33" s="7"/>
      <c r="Q33" s="22"/>
      <c r="R33" s="22"/>
      <c r="S33" s="31">
        <f t="shared" si="17"/>
        <v>1</v>
      </c>
      <c r="T33" s="46" t="str">
        <f t="shared" si="3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4"/>
        <v>https://d0f6bd738d7f1b3e5a7ca70fe4ff75f0.us-east-1.aws.found.io/app/kibana#/discover/Steve-Slow-Train-Analysis-(2080s-and-2083s)?_g=(refreshInterval:(display:Off,pause:!f,section:0,value:0),time:(from:'2017-03-01T05:09:24-0700',mode:absolute,to:'2017-03-01T07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3" s="187" t="str">
        <f t="shared" si="5"/>
        <v>N</v>
      </c>
      <c r="X33" s="187">
        <f t="shared" si="6"/>
        <v>1</v>
      </c>
      <c r="Y33" s="62">
        <f t="shared" si="7"/>
        <v>4.5999999999999999E-2</v>
      </c>
      <c r="Z33" s="62">
        <f t="shared" si="8"/>
        <v>23.3324</v>
      </c>
      <c r="AA33" s="62">
        <f t="shared" si="9"/>
        <v>23.2864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0"/>
        <v>0121-01</v>
      </c>
      <c r="AE33" s="85" t="str">
        <f t="shared" si="11"/>
        <v>aws s3 cp s3://rtdc.mdm.uploadarchive.raw/RTDC4029/ "%USERPROFILE%\AppData\Local\Temp\OnboardLogs"\RTDC4029\2017-03-01 --exclude "*" --recursive --include "*20170301*" &amp; "%USERPROFILE%\Documents\GitHub\mrs-test-scripts\Headless Mode &amp; Sideloading\WalkAndUnGZ.bat" "%USERPROFILE%\AppData\Local\Temp\OnboardLogs"\RTDC4029\2017-03-01 &amp; aws s3 cp s3://rtdc.mdm.uploadarchive.raw/RTDC4029/ "%USERPROFILE%\AppData\Local\Temp\OnboardLogs"\RTDC4029\2017-03-02 --exclude "*" --recursive --include "*20170302*" &amp; "%USERPROFILE%\Documents\GitHub\mrs-test-scripts\Headless Mode &amp; Sideloading\WalkAndUnGZ.bat" "%USERPROFILE%\AppData\Local\Temp\OnboardLogs"\RTDC4029\2017-03-02</v>
      </c>
      <c r="AF33" s="82" t="str">
        <f t="shared" si="12"/>
        <v>"C:\Program Files (x86)\AstroGrep\AstroGrep.exe" /spath="%USERPROFILE%\AppData\Local\Temp\OnboardLogs" /stypes="app*4029*20170301*" /stext=" 13:.+((SYSTEM_STATE.+slice.+state.+changed )|(ment ac)|(multiple cpu faults)|(system.+state.+changed )|(\[timeout)|(PRM\|1\|D)|(kpr)|(kdp)|(\|lc)|(penalty))" /e /r /s</v>
      </c>
      <c r="AG33" s="1" t="str">
        <f t="shared" si="13"/>
        <v>EC</v>
      </c>
      <c r="AH33" s="86" t="str">
        <f t="shared" si="18"/>
        <v>"%USERPROFILE%\Documents\GitHub\eaglep3\Utilities\RefineRTDCRunTimes.py" --tripid 121-01 --locoid 4029 --swversion DE.1.0.9.0 --startMP 204:460 --initTime 2017-03-01T06:09:24 --startdatetime 2017-03-01T06:16:52 --delay 3 --endMP 204:233324 --enddatetime 2017-03-01T06:55:31 --enforcementcount 0 &gt;&gt;C:\Users\stu\Documents\GitHub\eaglep3-reporting\EC\2017-03-01-refined-times.txt</v>
      </c>
      <c r="AI33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{"issue":{"subject":"","project_id":79,"tracker_id":40,"status_id":1,"priority_id":2,"assigned_to_id":23,"start_date":"2017-03-01","description":"","custom_fields":[{"id":1,"name":"Subdivision","value":"EC"},{"id":4,"name":"Milepost","value":"23.3324"},{"id":17,"name":"Train ID","value":"121-01"},{"id":16,"name":"Locomotive ID","value":"4029"},{"id":130,"name":"Impact","value":""},{"id":150,"name":"Time of Event (Mountain Time)","value":"06:55:31"},{"id":151,"name":"Denver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4029 --day 2017-03-01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"%USERPROFILE%\AppData\Local\Temp\OnboardLogs"\RTDC4029\*4029*20170301* | grep -SE "(Enforcement Action)|(\[TIMEOUT)|(CHR.+\|PRM\|1\|D.+(SWITCH|SIGNAL).+UNKNOWN)" - &gt;&gt; 2017-03-01-UncaughtWiMAX.txt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439</v>
      </c>
      <c r="B34" s="7">
        <v>4030</v>
      </c>
      <c r="C34" s="21" t="s">
        <v>266</v>
      </c>
      <c r="D34" s="21" t="s">
        <v>393</v>
      </c>
      <c r="E34" s="13">
        <v>42795.297673611109</v>
      </c>
      <c r="F34" s="13">
        <v>42795.299456018518</v>
      </c>
      <c r="G34" s="7">
        <v>1</v>
      </c>
      <c r="H34" s="21" t="s">
        <v>213</v>
      </c>
      <c r="I34" s="13">
        <v>42795.327025462961</v>
      </c>
      <c r="J34" s="7">
        <v>0</v>
      </c>
      <c r="K34" s="98" t="str">
        <f t="shared" si="0"/>
        <v>4029/4030</v>
      </c>
      <c r="L34" s="21" t="str">
        <f>VLOOKUP(A34,'Trips&amp;Operators'!$C$1:$G$99999,5,FALSE)</f>
        <v>LOCKLEAR TRAVIS</v>
      </c>
      <c r="M34" s="6">
        <f t="shared" si="1"/>
        <v>2.7569444442633539E-2</v>
      </c>
      <c r="N34" s="7">
        <f t="shared" si="21"/>
        <v>39.699999997392297</v>
      </c>
      <c r="O34" s="7"/>
      <c r="P34" s="7"/>
      <c r="Q34" s="22"/>
      <c r="R34" s="22"/>
      <c r="S34" s="31">
        <f t="shared" si="17"/>
        <v>1</v>
      </c>
      <c r="T34" s="46" t="str">
        <f t="shared" si="3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4"/>
        <v>https://d0f6bd738d7f1b3e5a7ca70fe4ff75f0.us-east-1.aws.found.io/app/kibana#/discover/Steve-Slow-Train-Analysis-(2080s-and-2083s)?_g=(refreshInterval:(display:Off,pause:!f,section:0,value:0),time:(from:'2017-03-01T06:08:39-0700',mode:absolute,to:'2017-03-01T08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4" s="187" t="str">
        <f t="shared" si="5"/>
        <v>N</v>
      </c>
      <c r="X34" s="187">
        <f t="shared" si="6"/>
        <v>1</v>
      </c>
      <c r="Y34" s="62">
        <f t="shared" si="7"/>
        <v>23.3001</v>
      </c>
      <c r="Z34" s="62">
        <f t="shared" si="8"/>
        <v>1.54E-2</v>
      </c>
      <c r="AA34" s="62">
        <f t="shared" si="9"/>
        <v>23.284700000000001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0"/>
        <v>0122-01</v>
      </c>
      <c r="AE34" s="85" t="str">
        <f t="shared" si="11"/>
        <v>aws s3 cp s3://rtdc.mdm.uploadarchive.raw/RTDC4030/ "%USERPROFILE%\AppData\Local\Temp\OnboardLogs"\RTDC4030\2017-03-01 --exclude "*" --recursive --include "*20170301*" &amp; "%USERPROFILE%\Documents\GitHub\mrs-test-scripts\Headless Mode &amp; Sideloading\WalkAndUnGZ.bat" "%USERPROFILE%\AppData\Local\Temp\OnboardLogs"\RTDC4030\2017-03-01 &amp; aws s3 cp s3://rtdc.mdm.uploadarchive.raw/RTDC4030/ "%USERPROFILE%\AppData\Local\Temp\OnboardLogs"\RTDC4030\2017-03-02 --exclude "*" --recursive --include "*20170302*" &amp; "%USERPROFILE%\Documents\GitHub\mrs-test-scripts\Headless Mode &amp; Sideloading\WalkAndUnGZ.bat" "%USERPROFILE%\AppData\Local\Temp\OnboardLogs"\RTDC4030\2017-03-02</v>
      </c>
      <c r="AF34" s="82" t="str">
        <f t="shared" si="12"/>
        <v>"C:\Program Files (x86)\AstroGrep\AstroGrep.exe" /spath="%USERPROFILE%\AppData\Local\Temp\OnboardLogs" /stypes="app*4030*20170301*" /stext=" 14:.+((SYSTEM_STATE.+slice.+state.+changed )|(ment ac)|(multiple cpu faults)|(system.+state.+changed )|(\[timeout)|(PRM\|1\|D)|(kpr)|(kdp)|(\|lc)|(penalty))" /e /r /s</v>
      </c>
      <c r="AG34" s="1" t="str">
        <f t="shared" si="13"/>
        <v>EC</v>
      </c>
      <c r="AH34" s="86" t="str">
        <f t="shared" si="18"/>
        <v>"%USERPROFILE%\Documents\GitHub\eaglep3\Utilities\RefineRTDCRunTimes.py" --tripid 122-01 --locoid 4030 --swversion DE.1.0.9.0 --startMP 204:233001 --initTime 2017-03-01T07:08:39 --startdatetime 2017-03-01T07:11:13 --delay 1 --endMP 204:154 --enddatetime 2017-03-01T07:50:55 --enforcementcount 0 &gt;&gt;C:\Users\stu\Documents\GitHub\eaglep3-reporting\EC\2017-03-01-refined-times.txt</v>
      </c>
      <c r="AI34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{"issue":{"subject":"","project_id":79,"tracker_id":40,"status_id":1,"priority_id":2,"assigned_to_id":23,"start_date":"2017-03-01","description":"","custom_fields":[{"id":1,"name":"Subdivision","value":"EC"},{"id":4,"name":"Milepost","value":"0.0154"},{"id":17,"name":"Train ID","value":"122-01"},{"id":16,"name":"Locomotive ID","value":"4030"},{"id":130,"name":"Impact","value":""},{"id":150,"name":"Time of Event (Mountain Time)","value":"07:50:55"},{"id":151,"name":"Denver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4030 --day 2017-03-01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"%USERPROFILE%\AppData\Local\Temp\OnboardLogs"\RTDC4030\*4030*20170301* | grep -SE "(Enforcement Action)|(\[TIMEOUT)|(CHR.+\|PRM\|1\|D.+(SWITCH|SIGNAL).+UNKNOWN)" - &gt;&gt; 2017-03-01-UncaughtWiMAX.txt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509</v>
      </c>
      <c r="B35" s="7">
        <v>4022</v>
      </c>
      <c r="C35" s="21" t="s">
        <v>266</v>
      </c>
      <c r="D35" s="21" t="s">
        <v>204</v>
      </c>
      <c r="E35" s="13">
        <v>42795.268275462964</v>
      </c>
      <c r="F35" s="13">
        <v>42795.271331018521</v>
      </c>
      <c r="G35" s="7">
        <v>1</v>
      </c>
      <c r="H35" s="21" t="s">
        <v>700</v>
      </c>
      <c r="I35" s="13">
        <v>42795.296655092592</v>
      </c>
      <c r="J35" s="7">
        <v>0</v>
      </c>
      <c r="K35" s="98" t="str">
        <f t="shared" si="0"/>
        <v>4021/4022</v>
      </c>
      <c r="L35" s="21" t="str">
        <f>VLOOKUP(A35,'Trips&amp;Operators'!$C$1:$G$99999,5,FALSE)</f>
        <v>SANTIZO D. EDY</v>
      </c>
      <c r="M35" s="6">
        <f t="shared" si="1"/>
        <v>2.5324074071249925E-2</v>
      </c>
      <c r="N35" s="7">
        <f t="shared" si="21"/>
        <v>36.466666662599891</v>
      </c>
      <c r="O35" s="7"/>
      <c r="P35" s="7"/>
      <c r="Q35" s="22"/>
      <c r="R35" s="22"/>
      <c r="S35" s="31">
        <f t="shared" si="17"/>
        <v>1</v>
      </c>
      <c r="T35" s="46" t="str">
        <f t="shared" si="3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4"/>
        <v>https://d0f6bd738d7f1b3e5a7ca70fe4ff75f0.us-east-1.aws.found.io/app/kibana#/discover/Steve-Slow-Train-Analysis-(2080s-and-2083s)?_g=(refreshInterval:(display:Off,pause:!f,section:0,value:0),time:(from:'2017-03-01T05:26:19-0700',mode:absolute,to:'2017-03-01T08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5" s="187" t="str">
        <f t="shared" si="5"/>
        <v>N</v>
      </c>
      <c r="X35" s="187">
        <f t="shared" si="6"/>
        <v>1</v>
      </c>
      <c r="Y35" s="62">
        <f t="shared" si="7"/>
        <v>4.6199999999999998E-2</v>
      </c>
      <c r="Z35" s="62">
        <f t="shared" si="8"/>
        <v>23.3325</v>
      </c>
      <c r="AA35" s="62">
        <f t="shared" si="9"/>
        <v>23.286300000000001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0"/>
        <v>0123-01</v>
      </c>
      <c r="AE35" s="85" t="str">
        <f t="shared" si="11"/>
        <v>aws s3 cp s3://rtdc.mdm.uploadarchive.raw/RTDC4022/ "%USERPROFILE%\AppData\Local\Temp\OnboardLogs"\RTDC4022\2017-03-01 --exclude "*" --recursive --include "*20170301*" &amp; "%USERPROFILE%\Documents\GitHub\mrs-test-scripts\Headless Mode &amp; Sideloading\WalkAndUnGZ.bat" "%USERPROFILE%\AppData\Local\Temp\OnboardLogs"\RTDC4022\2017-03-01 &amp; 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</v>
      </c>
      <c r="AF35" s="82" t="str">
        <f t="shared" si="12"/>
        <v>"C:\Program Files (x86)\AstroGrep\AstroGrep.exe" /spath="%USERPROFILE%\AppData\Local\Temp\OnboardLogs" /stypes="app*4022*20170301*" /stext=" 14:.+((SYSTEM_STATE.+slice.+state.+changed )|(ment ac)|(multiple cpu faults)|(system.+state.+changed )|(\[timeout)|(PRM\|1\|D)|(kpr)|(kdp)|(\|lc)|(penalty))" /e /r /s</v>
      </c>
      <c r="AG35" s="1" t="str">
        <f t="shared" si="13"/>
        <v>EC</v>
      </c>
      <c r="AH35" s="86" t="str">
        <f t="shared" si="18"/>
        <v>"%USERPROFILE%\Documents\GitHub\eaglep3\Utilities\RefineRTDCRunTimes.py" --tripid 123-01 --locoid 4022 --swversion DE.1.0.9.0 --startMP 204:462 --initTime 2017-03-01T06:26:19 --startdatetime 2017-03-01T06:30:43 --delay 1 --endMP 204:233325 --enddatetime 2017-03-01T07:07:11 --enforcementcount 0 &gt;&gt;C:\Users\stu\Documents\GitHub\eaglep3-reporting\EC\2017-03-01-refined-times.txt</v>
      </c>
      <c r="AI35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{"issue":{"subject":"","project_id":79,"tracker_id":40,"status_id":1,"priority_id":2,"assigned_to_id":23,"start_date":"2017-03-01","description":"","custom_fields":[{"id":1,"name":"Subdivision","value":"EC"},{"id":4,"name":"Milepost","value":"23.3325"},{"id":17,"name":"Train ID","value":"123-01"},{"id":16,"name":"Locomotive ID","value":"4022"},{"id":130,"name":"Impact","value":""},{"id":150,"name":"Time of Event (Mountain Time)","value":"07:07:11"},{"id":151,"name":"Denver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4022 --day 2017-03-01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"%USERPROFILE%\AppData\Local\Temp\OnboardLogs"\RTDC4022\*4022*20170301* | grep -SE "(Enforcement Action)|(\[TIMEOUT)|(CHR.+\|PRM\|1\|D.+(SWITCH|SIGNAL).+UNKNOWN)" - &gt;&gt; 2017-03-01-UncaughtWiMAX.txt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516</v>
      </c>
      <c r="B36" s="7">
        <v>4021</v>
      </c>
      <c r="C36" s="21" t="s">
        <v>266</v>
      </c>
      <c r="D36" s="21" t="s">
        <v>399</v>
      </c>
      <c r="E36" s="13">
        <v>42795.297824074078</v>
      </c>
      <c r="F36" s="13">
        <v>42795.310081018521</v>
      </c>
      <c r="G36" s="7">
        <v>1</v>
      </c>
      <c r="H36" s="21" t="s">
        <v>206</v>
      </c>
      <c r="I36" s="13">
        <v>42795.337199074071</v>
      </c>
      <c r="J36" s="7">
        <v>0</v>
      </c>
      <c r="K36" s="98" t="str">
        <f t="shared" si="0"/>
        <v>4021/4022</v>
      </c>
      <c r="L36" s="21" t="str">
        <f>VLOOKUP(A36,'Trips&amp;Operators'!$C$1:$G$99999,5,FALSE)</f>
        <v>SANTIZO D. EDY</v>
      </c>
      <c r="M36" s="6">
        <f t="shared" si="1"/>
        <v>2.7118055550090503E-2</v>
      </c>
      <c r="N36" s="7">
        <f t="shared" si="21"/>
        <v>39.049999992130324</v>
      </c>
      <c r="O36" s="7"/>
      <c r="P36" s="7"/>
      <c r="Q36" s="22"/>
      <c r="R36" s="22"/>
      <c r="S36" s="31">
        <f t="shared" si="17"/>
        <v>1</v>
      </c>
      <c r="T36" s="46" t="str">
        <f t="shared" si="3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4"/>
        <v>https://d0f6bd738d7f1b3e5a7ca70fe4ff75f0.us-east-1.aws.found.io/app/kibana#/discover/Steve-Slow-Train-Analysis-(2080s-and-2083s)?_g=(refreshInterval:(display:Off,pause:!f,section:0,value:0),time:(from:'2017-03-01T06:08:52-0700',mode:absolute,to:'2017-03-01T09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6" s="187" t="str">
        <f t="shared" si="5"/>
        <v>N</v>
      </c>
      <c r="X36" s="187">
        <f t="shared" si="6"/>
        <v>1</v>
      </c>
      <c r="Y36" s="62">
        <f t="shared" si="7"/>
        <v>23.301100000000002</v>
      </c>
      <c r="Z36" s="62">
        <f t="shared" si="8"/>
        <v>1.52E-2</v>
      </c>
      <c r="AA36" s="62">
        <f t="shared" si="9"/>
        <v>23.285900000000002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0"/>
        <v>0124-01</v>
      </c>
      <c r="AE36" s="85" t="str">
        <f t="shared" si="11"/>
        <v>aws s3 cp s3://rtdc.mdm.uploadarchive.raw/RTDC4021/ "%USERPROFILE%\AppData\Local\Temp\OnboardLogs"\RTDC4021\2017-03-01 --exclude "*" --recursive --include "*20170301*" &amp; "%USERPROFILE%\Documents\GitHub\mrs-test-scripts\Headless Mode &amp; Sideloading\WalkAndUnGZ.bat" "%USERPROFILE%\AppData\Local\Temp\OnboardLogs"\RTDC4021\2017-03-01 &amp; 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</v>
      </c>
      <c r="AF36" s="82" t="str">
        <f t="shared" si="12"/>
        <v>"C:\Program Files (x86)\AstroGrep\AstroGrep.exe" /spath="%USERPROFILE%\AppData\Local\Temp\OnboardLogs" /stypes="app*4021*20170301*" /stext=" 15:.+((SYSTEM_STATE.+slice.+state.+changed )|(ment ac)|(multiple cpu faults)|(system.+state.+changed )|(\[timeout)|(PRM\|1\|D)|(kpr)|(kdp)|(\|lc)|(penalty))" /e /r /s</v>
      </c>
      <c r="AG36" s="1" t="str">
        <f t="shared" si="13"/>
        <v>EC</v>
      </c>
      <c r="AH36" s="86" t="str">
        <f t="shared" si="18"/>
        <v>"%USERPROFILE%\Documents\GitHub\eaglep3\Utilities\RefineRTDCRunTimes.py" --tripid 124-01 --locoid 4021 --swversion DE.1.0.9.0 --startMP 204:233011 --initTime 2017-03-01T07:08:52 --startdatetime 2017-03-01T07:26:31 --delay 1 --endMP 204:152 --enddatetime 2017-03-01T08:05:34 --enforcementcount 0 &gt;&gt;C:\Users\stu\Documents\GitHub\eaglep3-reporting\EC\2017-03-01-refined-times.txt</v>
      </c>
      <c r="AI36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{"issue":{"subject":"","project_id":79,"tracker_id":40,"status_id":1,"priority_id":2,"assigned_to_id":23,"start_date":"2017-03-01","description":"","custom_fields":[{"id":1,"name":"Subdivision","value":"EC"},{"id":4,"name":"Milepost","value":"0.0152"},{"id":17,"name":"Train ID","value":"124-01"},{"id":16,"name":"Locomotive ID","value":"4021"},{"id":130,"name":"Impact","value":""},{"id":150,"name":"Time of Event (Mountain Time)","value":"08:05:34"},{"id":151,"name":"Denver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4021 --day 2017-03-01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"%USERPROFILE%\AppData\Local\Temp\OnboardLogs"\RTDC4021\*4021*20170301* | grep -SE "(Enforcement Action)|(\[TIMEOUT)|(CHR.+\|PRM\|1\|D.+(SWITCH|SIGNAL).+UNKNOWN)" - &gt;&gt; 2017-03-01-UncaughtWiMAX.txt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435</v>
      </c>
      <c r="B37" s="7">
        <v>4046</v>
      </c>
      <c r="C37" s="21" t="s">
        <v>266</v>
      </c>
      <c r="D37" s="21" t="s">
        <v>239</v>
      </c>
      <c r="E37" s="13">
        <v>42795.280243055553</v>
      </c>
      <c r="F37" s="13">
        <v>42795.286481481482</v>
      </c>
      <c r="G37" s="7">
        <v>6</v>
      </c>
      <c r="H37" s="21" t="s">
        <v>323</v>
      </c>
      <c r="I37" s="13">
        <v>42795.314444444448</v>
      </c>
      <c r="J37" s="7">
        <v>0</v>
      </c>
      <c r="K37" s="98" t="str">
        <f t="shared" si="0"/>
        <v>4045/4046</v>
      </c>
      <c r="L37" s="21" t="str">
        <f>VLOOKUP(A37,'Trips&amp;Operators'!$C$1:$G$99999,5,FALSE)</f>
        <v>MAYBERRY BILL</v>
      </c>
      <c r="M37" s="6">
        <f t="shared" si="1"/>
        <v>2.7962962965830229E-2</v>
      </c>
      <c r="N37" s="7">
        <f t="shared" si="21"/>
        <v>40.26666667079553</v>
      </c>
      <c r="O37" s="7"/>
      <c r="P37" s="7"/>
      <c r="Q37" s="22"/>
      <c r="R37" s="22"/>
      <c r="S37" s="31">
        <f t="shared" si="17"/>
        <v>1</v>
      </c>
      <c r="T37" s="46" t="str">
        <f t="shared" si="3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4"/>
        <v>https://d0f6bd738d7f1b3e5a7ca70fe4ff75f0.us-east-1.aws.found.io/app/kibana#/discover/Steve-Slow-Train-Analysis-(2080s-and-2083s)?_g=(refreshInterval:(display:Off,pause:!f,section:0,value:0),time:(from:'2017-03-01T05:43:33-0700',mode:absolute,to:'2017-03-01T08:32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7" s="187" t="str">
        <f t="shared" si="5"/>
        <v>N</v>
      </c>
      <c r="X37" s="187">
        <f t="shared" si="6"/>
        <v>1</v>
      </c>
      <c r="Y37" s="62">
        <f t="shared" si="7"/>
        <v>4.5499999999999999E-2</v>
      </c>
      <c r="Z37" s="62">
        <f t="shared" si="8"/>
        <v>23.331099999999999</v>
      </c>
      <c r="AA37" s="62">
        <f t="shared" si="9"/>
        <v>23.285599999999999</v>
      </c>
      <c r="AB37" s="59" t="str">
        <f>VLOOKUP(A37,Enforcements!$C$7:$K$13,8,0)</f>
        <v>Bulletin (2)</v>
      </c>
      <c r="AC37" s="55" t="str">
        <f>VLOOKUP(A37,Enforcements!$C$7:$E$13,3,0)</f>
        <v>GRADE CROSSING</v>
      </c>
      <c r="AD37" s="56" t="str">
        <f t="shared" si="10"/>
        <v>0125-01</v>
      </c>
      <c r="AE37" s="85" t="str">
        <f t="shared" si="11"/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AF37" s="82" t="str">
        <f t="shared" si="12"/>
        <v>"C:\Program Files (x86)\AstroGrep\AstroGrep.exe" /spath="%USERPROFILE%\AppData\Local\Temp\OnboardLogs" /stypes="app*4046*20170301*" /stext=" 14:.+((SYSTEM_STATE.+slice.+state.+changed )|(ment ac)|(multiple cpu faults)|(system.+state.+changed )|(\[timeout)|(PRM\|1\|D)|(kpr)|(kdp)|(\|lc)|(penalty))" /e /r /s</v>
      </c>
      <c r="AG37" s="1" t="str">
        <f t="shared" si="13"/>
        <v>EC</v>
      </c>
      <c r="AH37" s="86" t="str">
        <f t="shared" si="18"/>
        <v>"%USERPROFILE%\Documents\GitHub\eaglep3\Utilities\RefineRTDCRunTimes.py" --tripid 125-01 --locoid 4046 --swversion DE.1.0.9.0 --startMP 204:455 --initTime 2017-03-01T06:43:33 --startdatetime 2017-03-01T06:52:32 --delay 6 --endMP 204:233311 --enddatetime 2017-03-01T07:32:48 --enforcementcount 0 &gt;&gt;C:\Users\stu\Documents\GitHub\eaglep3-reporting\EC\2017-03-01-refined-times.txt</v>
      </c>
      <c r="AI37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{"issue":{"subject":"","project_id":79,"tracker_id":40,"status_id":1,"priority_id":2,"assigned_to_id":23,"start_date":"2017-03-01","description":"","custom_fields":[{"id":1,"name":"Subdivision","value":"EC"},{"id":4,"name":"Milepost","value":"23.3311"},{"id":17,"name":"Train ID","value":"125-01"},{"id":16,"name":"Locomotive ID","value":"4046"},{"id":130,"name":"Impact","value":""},{"id":150,"name":"Time of Event (Mountain Time)","value":"07:32:48"},{"id":151,"name":"Denver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4046 --day 2017-03-01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"%USERPROFILE%\AppData\Local\Temp\OnboardLogs"\RTDC4046\*4046*20170301* | grep -SE "(Enforcement Action)|(\[TIMEOUT)|(CHR.+\|PRM\|1\|D.+(SWITCH|SIGNAL).+UNKNOWN)" - &gt;&gt; 2017-03-01-UncaughtWiMAX.txt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440</v>
      </c>
      <c r="B38" s="7">
        <v>4045</v>
      </c>
      <c r="C38" s="21" t="s">
        <v>266</v>
      </c>
      <c r="D38" s="21" t="s">
        <v>701</v>
      </c>
      <c r="E38" s="13">
        <v>42795.317442129628</v>
      </c>
      <c r="F38" s="13">
        <v>42795.320416666669</v>
      </c>
      <c r="G38" s="7">
        <v>1</v>
      </c>
      <c r="H38" s="21" t="s">
        <v>213</v>
      </c>
      <c r="I38" s="13">
        <v>42795.351006944446</v>
      </c>
      <c r="J38" s="7">
        <v>0</v>
      </c>
      <c r="K38" s="98" t="str">
        <f t="shared" si="0"/>
        <v>4045/4046</v>
      </c>
      <c r="L38" s="21" t="str">
        <f>VLOOKUP(A38,'Trips&amp;Operators'!$C$1:$G$99999,5,FALSE)</f>
        <v>MAYBERRY BILL</v>
      </c>
      <c r="M38" s="6">
        <f t="shared" si="1"/>
        <v>3.0590277776354924E-2</v>
      </c>
      <c r="N38" s="7">
        <f t="shared" si="21"/>
        <v>44.04999999795109</v>
      </c>
      <c r="O38" s="7"/>
      <c r="P38" s="7"/>
      <c r="Q38" s="22"/>
      <c r="R38" s="22"/>
      <c r="S38" s="31">
        <f t="shared" si="17"/>
        <v>1</v>
      </c>
      <c r="T38" s="46" t="str">
        <f t="shared" si="3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4"/>
        <v>https://d0f6bd738d7f1b3e5a7ca70fe4ff75f0.us-east-1.aws.found.io/app/kibana#/discover/Steve-Slow-Train-Analysis-(2080s-and-2083s)?_g=(refreshInterval:(display:Off,pause:!f,section:0,value:0),time:(from:'2017-03-01T06:37:07-0700',mode:absolute,to:'2017-03-01T09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8" s="187" t="str">
        <f t="shared" si="5"/>
        <v>N</v>
      </c>
      <c r="X38" s="187">
        <f t="shared" si="6"/>
        <v>1</v>
      </c>
      <c r="Y38" s="62">
        <f t="shared" si="7"/>
        <v>23.297799999999999</v>
      </c>
      <c r="Z38" s="62">
        <f t="shared" si="8"/>
        <v>1.54E-2</v>
      </c>
      <c r="AA38" s="62">
        <f t="shared" si="9"/>
        <v>23.282399999999999</v>
      </c>
      <c r="AB38" s="59" t="str">
        <f>VLOOKUP(A38,Enforcements!$C$7:$K$13,8,0)</f>
        <v>Bulletin (2)</v>
      </c>
      <c r="AC38" s="55" t="str">
        <f>VLOOKUP(A38,Enforcements!$C$7:$E$13,3,0)</f>
        <v>GRADE CROSSING</v>
      </c>
      <c r="AD38" s="56" t="str">
        <f t="shared" si="10"/>
        <v>0126-01</v>
      </c>
      <c r="AE38" s="85" t="str">
        <f t="shared" si="11"/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AF38" s="82" t="str">
        <f t="shared" si="12"/>
        <v>"C:\Program Files (x86)\AstroGrep\AstroGrep.exe" /spath="%USERPROFILE%\AppData\Local\Temp\OnboardLogs" /stypes="app*4045*20170301*" /stext=" 15:.+((SYSTEM_STATE.+slice.+state.+changed )|(ment ac)|(multiple cpu faults)|(system.+state.+changed )|(\[timeout)|(PRM\|1\|D)|(kpr)|(kdp)|(\|lc)|(penalty))" /e /r /s</v>
      </c>
      <c r="AG38" s="1" t="str">
        <f t="shared" si="13"/>
        <v>EC</v>
      </c>
      <c r="AH38" s="86" t="str">
        <f t="shared" si="18"/>
        <v>"%USERPROFILE%\Documents\GitHub\eaglep3\Utilities\RefineRTDCRunTimes.py" --tripid 126-01 --locoid 4045 --swversion DE.1.0.9.0 --startMP 204:232978 --initTime 2017-03-01T07:37:07 --startdatetime 2017-03-01T07:41:24 --delay 1 --endMP 204:154 --enddatetime 2017-03-01T08:25:27 --enforcementcount 0 &gt;&gt;C:\Users\stu\Documents\GitHub\eaglep3-reporting\EC\2017-03-01-refined-times.txt</v>
      </c>
      <c r="AI38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{"issue":{"subject":"","project_id":79,"tracker_id":40,"status_id":1,"priority_id":2,"assigned_to_id":23,"start_date":"2017-03-01","description":"","custom_fields":[{"id":1,"name":"Subdivision","value":"EC"},{"id":4,"name":"Milepost","value":"0.0154"},{"id":17,"name":"Train ID","value":"126-01"},{"id":16,"name":"Locomotive ID","value":"4045"},{"id":130,"name":"Impact","value":""},{"id":150,"name":"Time of Event (Mountain Time)","value":"08:25:27"},{"id":151,"name":"Denver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4045 --day 2017-03-01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"%USERPROFILE%\AppData\Local\Temp\OnboardLogs"\RTDC4045\*4045*20170301* | grep -SE "(Enforcement Action)|(\[TIMEOUT)|(CHR.+\|PRM\|1\|D.+(SWITCH|SIGNAL).+UNKNOWN)" - &gt;&gt; 2017-03-01-UncaughtWiMAX.txt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514</v>
      </c>
      <c r="B39" s="7">
        <v>4009</v>
      </c>
      <c r="C39" s="21" t="s">
        <v>266</v>
      </c>
      <c r="D39" s="21" t="s">
        <v>239</v>
      </c>
      <c r="E39" s="13">
        <v>42795.293657407405</v>
      </c>
      <c r="F39" s="13">
        <v>42795.295173611114</v>
      </c>
      <c r="G39" s="7">
        <v>1</v>
      </c>
      <c r="H39" s="21" t="s">
        <v>702</v>
      </c>
      <c r="I39" s="13">
        <v>42795.325138888889</v>
      </c>
      <c r="J39" s="7">
        <v>0</v>
      </c>
      <c r="K39" s="98" t="str">
        <f t="shared" si="0"/>
        <v>4009/4010</v>
      </c>
      <c r="L39" s="21" t="str">
        <f>VLOOKUP(A39,'Trips&amp;Operators'!$C$1:$G$99999,5,FALSE)</f>
        <v>BADERTSCHER DIANE</v>
      </c>
      <c r="M39" s="6">
        <f t="shared" si="1"/>
        <v>2.9965277775772847E-2</v>
      </c>
      <c r="N39" s="7">
        <f t="shared" si="21"/>
        <v>43.1499999971129</v>
      </c>
      <c r="O39" s="7"/>
      <c r="P39" s="7"/>
      <c r="Q39" s="22"/>
      <c r="R39" s="22"/>
      <c r="S39" s="31">
        <f t="shared" si="17"/>
        <v>1</v>
      </c>
      <c r="T39" s="46" t="str">
        <f t="shared" si="3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4"/>
        <v>https://d0f6bd738d7f1b3e5a7ca70fe4ff75f0.us-east-1.aws.found.io/app/kibana#/discover/Steve-Slow-Train-Analysis-(2080s-and-2083s)?_g=(refreshInterval:(display:Off,pause:!f,section:0,value:0),time:(from:'2017-03-01T06:02:52-0700',mode:absolute,to:'2017-03-01T08:48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9" s="187" t="str">
        <f t="shared" si="5"/>
        <v>N</v>
      </c>
      <c r="X39" s="187">
        <f t="shared" si="6"/>
        <v>1</v>
      </c>
      <c r="Y39" s="62">
        <f t="shared" si="7"/>
        <v>4.5499999999999999E-2</v>
      </c>
      <c r="Z39" s="62">
        <f t="shared" si="8"/>
        <v>23.325900000000001</v>
      </c>
      <c r="AA39" s="62">
        <f t="shared" si="9"/>
        <v>23.2804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0"/>
        <v>0127-01</v>
      </c>
      <c r="AE39" s="85" t="str">
        <f t="shared" si="11"/>
        <v>aws s3 cp s3://rtdc.mdm.uploadarchive.raw/RTDC4009/ "%USERPROFILE%\AppData\Local\Temp\OnboardLogs"\RTDC4009\2017-03-01 --exclude "*" --recursive --include "*20170301*" &amp; "%USERPROFILE%\Documents\GitHub\mrs-test-scripts\Headless Mode &amp; Sideloading\WalkAndUnGZ.bat" "%USERPROFILE%\AppData\Local\Temp\OnboardLogs"\RTDC4009\2017-03-01 &amp; aws s3 cp s3://rtdc.mdm.uploadarchive.raw/RTDC4009/ "%USERPROFILE%\AppData\Local\Temp\OnboardLogs"\RTDC4009\2017-03-02 --exclude "*" --recursive --include "*20170302*" &amp; "%USERPROFILE%\Documents\GitHub\mrs-test-scripts\Headless Mode &amp; Sideloading\WalkAndUnGZ.bat" "%USERPROFILE%\AppData\Local\Temp\OnboardLogs"\RTDC4009\2017-03-02</v>
      </c>
      <c r="AF39" s="82" t="str">
        <f t="shared" si="12"/>
        <v>"C:\Program Files (x86)\AstroGrep\AstroGrep.exe" /spath="%USERPROFILE%\AppData\Local\Temp\OnboardLogs" /stypes="app*4009*20170301*" /stext=" 14:.+((SYSTEM_STATE.+slice.+state.+changed )|(ment ac)|(multiple cpu faults)|(system.+state.+changed )|(\[timeout)|(PRM\|1\|D)|(kpr)|(kdp)|(\|lc)|(penalty))" /e /r /s</v>
      </c>
      <c r="AG39" s="1" t="str">
        <f t="shared" si="13"/>
        <v>EC</v>
      </c>
      <c r="AH39" s="86" t="str">
        <f t="shared" si="18"/>
        <v>"%USERPROFILE%\Documents\GitHub\eaglep3\Utilities\RefineRTDCRunTimes.py" --tripid 127-01 --locoid 4009 --swversion DE.1.0.9.0 --startMP 204:455 --initTime 2017-03-01T07:02:52 --startdatetime 2017-03-01T07:05:03 --delay 1 --endMP 204:233259 --enddatetime 2017-03-01T07:48:12 --enforcementcount 0 &gt;&gt;C:\Users\stu\Documents\GitHub\eaglep3-reporting\EC\2017-03-01-refined-times.txt</v>
      </c>
      <c r="AI39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{"issue":{"subject":"","project_id":79,"tracker_id":40,"status_id":1,"priority_id":2,"assigned_to_id":23,"start_date":"2017-03-01","description":"","custom_fields":[{"id":1,"name":"Subdivision","value":"EC"},{"id":4,"name":"Milepost","value":"23.3259"},{"id":17,"name":"Train ID","value":"127-01"},{"id":16,"name":"Locomotive ID","value":"4009"},{"id":130,"name":"Impact","value":""},{"id":150,"name":"Time of Event (Mountain Time)","value":"07:48:12"},{"id":151,"name":"Denver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4009 --day 2017-03-01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"%USERPROFILE%\AppData\Local\Temp\OnboardLogs"\RTDC4009\*4009*20170301* | grep -SE "(Enforcement Action)|(\[TIMEOUT)|(CHR.+\|PRM\|1\|D.+(SWITCH|SIGNAL).+UNKNOWN)" - &gt;&gt; 2017-03-01-UncaughtWiMAX.txt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522</v>
      </c>
      <c r="B40" s="7">
        <v>4010</v>
      </c>
      <c r="C40" s="21" t="s">
        <v>266</v>
      </c>
      <c r="D40" s="21" t="s">
        <v>703</v>
      </c>
      <c r="E40" s="13">
        <v>42795.327384259261</v>
      </c>
      <c r="F40" s="13">
        <v>42795.330740740741</v>
      </c>
      <c r="G40" s="7">
        <v>2</v>
      </c>
      <c r="H40" s="21" t="s">
        <v>704</v>
      </c>
      <c r="I40" s="13">
        <v>42795.36209490741</v>
      </c>
      <c r="J40" s="7">
        <v>0</v>
      </c>
      <c r="K40" s="98" t="str">
        <f t="shared" si="0"/>
        <v>4009/4010</v>
      </c>
      <c r="L40" s="21" t="str">
        <f>VLOOKUP(A40,'Trips&amp;Operators'!$C$1:$G$99999,5,FALSE)</f>
        <v>BADERTSCHER DIANE</v>
      </c>
      <c r="M40" s="6">
        <f t="shared" si="1"/>
        <v>3.1354166669188999E-2</v>
      </c>
      <c r="N40" s="7">
        <f t="shared" si="21"/>
        <v>45.150000003632158</v>
      </c>
      <c r="O40" s="7"/>
      <c r="P40" s="7"/>
      <c r="Q40" s="22"/>
      <c r="R40" s="22"/>
      <c r="S40" s="31">
        <f t="shared" si="17"/>
        <v>1</v>
      </c>
      <c r="T40" s="46" t="str">
        <f t="shared" si="3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4"/>
        <v>https://d0f6bd738d7f1b3e5a7ca70fe4ff75f0.us-east-1.aws.found.io/app/kibana#/discover/Steve-Slow-Train-Analysis-(2080s-and-2083s)?_g=(refreshInterval:(display:Off,pause:!f,section:0,value:0),time:(from:'2017-03-01T06:51:26-0700',mode:absolute,to:'2017-03-01T09:41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0" s="187" t="str">
        <f t="shared" si="5"/>
        <v>N</v>
      </c>
      <c r="X40" s="187">
        <f t="shared" si="6"/>
        <v>1</v>
      </c>
      <c r="Y40" s="62">
        <f t="shared" si="7"/>
        <v>23.2944</v>
      </c>
      <c r="Z40" s="62">
        <f t="shared" si="8"/>
        <v>1.6899999999999998E-2</v>
      </c>
      <c r="AA40" s="62">
        <f t="shared" si="9"/>
        <v>23.2775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0"/>
        <v>0128-01</v>
      </c>
      <c r="AE40" s="85" t="str">
        <f t="shared" si="11"/>
        <v>aws s3 cp s3://rtdc.mdm.uploadarchive.raw/RTDC4010/ "%USERPROFILE%\AppData\Local\Temp\OnboardLogs"\RTDC4010\2017-03-01 --exclude "*" --recursive --include "*20170301*" &amp; "%USERPROFILE%\Documents\GitHub\mrs-test-scripts\Headless Mode &amp; Sideloading\WalkAndUnGZ.bat" "%USERPROFILE%\AppData\Local\Temp\OnboardLogs"\RTDC4010\2017-03-01 &amp; aws s3 cp s3://rtdc.mdm.uploadarchive.raw/RTDC4010/ "%USERPROFILE%\AppData\Local\Temp\OnboardLogs"\RTDC4010\2017-03-02 --exclude "*" --recursive --include "*20170302*" &amp; "%USERPROFILE%\Documents\GitHub\mrs-test-scripts\Headless Mode &amp; Sideloading\WalkAndUnGZ.bat" "%USERPROFILE%\AppData\Local\Temp\OnboardLogs"\RTDC4010\2017-03-02</v>
      </c>
      <c r="AF40" s="82" t="str">
        <f t="shared" si="12"/>
        <v>"C:\Program Files (x86)\AstroGrep\AstroGrep.exe" /spath="%USERPROFILE%\AppData\Local\Temp\OnboardLogs" /stypes="app*4010*20170301*" /stext=" 15:.+((SYSTEM_STATE.+slice.+state.+changed )|(ment ac)|(multiple cpu faults)|(system.+state.+changed )|(\[timeout)|(PRM\|1\|D)|(kpr)|(kdp)|(\|lc)|(penalty))" /e /r /s</v>
      </c>
      <c r="AG40" s="1" t="str">
        <f t="shared" si="13"/>
        <v>EC</v>
      </c>
      <c r="AH40" s="86" t="str">
        <f t="shared" si="18"/>
        <v>"%USERPROFILE%\Documents\GitHub\eaglep3\Utilities\RefineRTDCRunTimes.py" --tripid 128-01 --locoid 4010 --swversion DE.1.0.9.0 --startMP 204:232944 --initTime 2017-03-01T07:51:26 --startdatetime 2017-03-01T07:56:16 --delay 2 --endMP 204:169 --enddatetime 2017-03-01T08:41:25 --enforcementcount 0 &gt;&gt;C:\Users\stu\Documents\GitHub\eaglep3-reporting\EC\2017-03-01-refined-times.txt</v>
      </c>
      <c r="AI40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{"issue":{"subject":"","project_id":79,"tracker_id":40,"status_id":1,"priority_id":2,"assigned_to_id":23,"start_date":"2017-03-01","description":"","custom_fields":[{"id":1,"name":"Subdivision","value":"EC"},{"id":4,"name":"Milepost","value":"0.0169"},{"id":17,"name":"Train ID","value":"128-01"},{"id":16,"name":"Locomotive ID","value":"4010"},{"id":130,"name":"Impact","value":""},{"id":150,"name":"Time of Event (Mountain Time)","value":"08:41:25"},{"id":151,"name":"Denver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4010 --day 2017-03-01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"%USERPROFILE%\AppData\Local\Temp\OnboardLogs"\RTDC4010\*4010*20170301* | grep -SE "(Enforcement Action)|(\[TIMEOUT)|(CHR.+\|PRM\|1\|D.+(SWITCH|SIGNAL).+UNKNOWN)" - &gt;&gt; 2017-03-01-UncaughtWiMAX.txt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517</v>
      </c>
      <c r="B41" s="7">
        <v>4002</v>
      </c>
      <c r="C41" s="21" t="s">
        <v>266</v>
      </c>
      <c r="D41" s="21" t="s">
        <v>243</v>
      </c>
      <c r="E41" s="13">
        <v>42795.300925925927</v>
      </c>
      <c r="F41" s="13">
        <v>42795.303101851852</v>
      </c>
      <c r="G41" s="7">
        <v>1</v>
      </c>
      <c r="H41" s="21" t="s">
        <v>276</v>
      </c>
      <c r="I41" s="13">
        <v>42795.329074074078</v>
      </c>
      <c r="J41" s="7">
        <v>0</v>
      </c>
      <c r="K41" s="98" t="str">
        <f t="shared" si="0"/>
        <v>4001/4002</v>
      </c>
      <c r="L41" s="21" t="str">
        <f>VLOOKUP(A41,'Trips&amp;Operators'!$C$1:$G$99999,5,FALSE)</f>
        <v>STARKS ANGELINA</v>
      </c>
      <c r="M41" s="6">
        <f t="shared" si="1"/>
        <v>2.5972222225391306E-2</v>
      </c>
      <c r="N41" s="7">
        <f t="shared" si="21"/>
        <v>37.400000004563481</v>
      </c>
      <c r="O41" s="7"/>
      <c r="P41" s="7"/>
      <c r="Q41" s="22"/>
      <c r="R41" s="22"/>
      <c r="S41" s="31">
        <f t="shared" si="17"/>
        <v>1</v>
      </c>
      <c r="T41" s="46" t="str">
        <f t="shared" si="3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4"/>
        <v>https://d0f6bd738d7f1b3e5a7ca70fe4ff75f0.us-east-1.aws.found.io/app/kibana#/discover/Steve-Slow-Train-Analysis-(2080s-and-2083s)?_g=(refreshInterval:(display:Off,pause:!f,section:0,value:0),time:(from:'2017-03-01T06:13:20-0700',mode:absolute,to:'2017-03-01T08:53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1" s="187" t="str">
        <f t="shared" si="5"/>
        <v>N</v>
      </c>
      <c r="X41" s="187">
        <f t="shared" si="6"/>
        <v>1</v>
      </c>
      <c r="Y41" s="62">
        <f t="shared" si="7"/>
        <v>4.6399999999999997E-2</v>
      </c>
      <c r="Z41" s="62">
        <f t="shared" si="8"/>
        <v>23.328900000000001</v>
      </c>
      <c r="AA41" s="62">
        <f t="shared" si="9"/>
        <v>23.282500000000002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0"/>
        <v>0129-01</v>
      </c>
      <c r="AE41" s="85" t="str">
        <f t="shared" si="11"/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AF41" s="82" t="str">
        <f t="shared" si="12"/>
        <v>"C:\Program Files (x86)\AstroGrep\AstroGrep.exe" /spath="%USERPROFILE%\AppData\Local\Temp\OnboardLogs" /stypes="app*4002*20170301*" /stext=" 14:.+((SYSTEM_STATE.+slice.+state.+changed )|(ment ac)|(multiple cpu faults)|(system.+state.+changed )|(\[timeout)|(PRM\|1\|D)|(kpr)|(kdp)|(\|lc)|(penalty))" /e /r /s</v>
      </c>
      <c r="AG41" s="1" t="str">
        <f t="shared" si="13"/>
        <v>EC</v>
      </c>
      <c r="AH41" s="86" t="str">
        <f t="shared" si="18"/>
        <v>"%USERPROFILE%\Documents\GitHub\eaglep3\Utilities\RefineRTDCRunTimes.py" --tripid 129-01 --locoid 4002 --swversion DE.1.0.9.0 --startMP 204:464 --initTime 2017-03-01T07:13:20 --startdatetime 2017-03-01T07:16:28 --delay 1 --endMP 204:233289 --enddatetime 2017-03-01T07:53:52 --enforcementcount 0 &gt;&gt;C:\Users\stu\Documents\GitHub\eaglep3-reporting\EC\2017-03-01-refined-times.txt</v>
      </c>
      <c r="AI41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{"issue":{"subject":"","project_id":79,"tracker_id":40,"status_id":1,"priority_id":2,"assigned_to_id":23,"start_date":"2017-03-01","description":"","custom_fields":[{"id":1,"name":"Subdivision","value":"EC"},{"id":4,"name":"Milepost","value":"23.3289"},{"id":17,"name":"Train ID","value":"129-01"},{"id":16,"name":"Locomotive ID","value":"4002"},{"id":130,"name":"Impact","value":""},{"id":150,"name":"Time of Event (Mountain Time)","value":"07:53:52"},{"id":151,"name":"Denver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4002 --day 2017-03-01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"%USERPROFILE%\AppData\Local\Temp\OnboardLogs"\RTDC4002\*4002*20170301* | grep -SE "(Enforcement Action)|(\[TIMEOUT)|(CHR.+\|PRM\|1\|D.+(SWITCH|SIGNAL).+UNKNOWN)" - &gt;&gt; 2017-03-01-UncaughtWiMAX.txt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524</v>
      </c>
      <c r="B42" s="7">
        <v>4001</v>
      </c>
      <c r="C42" s="21" t="s">
        <v>266</v>
      </c>
      <c r="D42" s="21" t="s">
        <v>269</v>
      </c>
      <c r="E42" s="13">
        <v>42795.333020833335</v>
      </c>
      <c r="F42" s="13">
        <v>42795.341435185182</v>
      </c>
      <c r="G42" s="7">
        <v>1</v>
      </c>
      <c r="H42" s="21" t="s">
        <v>256</v>
      </c>
      <c r="I42" s="13">
        <v>42795.368622685186</v>
      </c>
      <c r="J42" s="7">
        <v>0</v>
      </c>
      <c r="K42" s="98" t="str">
        <f t="shared" si="0"/>
        <v>4001/4002</v>
      </c>
      <c r="L42" s="21" t="str">
        <f>VLOOKUP(A42,'Trips&amp;Operators'!$C$1:$G$99999,5,FALSE)</f>
        <v>STARKS ANGELINA</v>
      </c>
      <c r="M42" s="6">
        <f t="shared" si="1"/>
        <v>2.718750000349246E-2</v>
      </c>
      <c r="N42" s="7">
        <f t="shared" si="21"/>
        <v>39.150000005029142</v>
      </c>
      <c r="O42" s="7"/>
      <c r="P42" s="7"/>
      <c r="Q42" s="22"/>
      <c r="R42" s="22"/>
      <c r="S42" s="31">
        <f t="shared" si="17"/>
        <v>1</v>
      </c>
      <c r="T42" s="46" t="str">
        <f t="shared" si="3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4"/>
        <v>https://d0f6bd738d7f1b3e5a7ca70fe4ff75f0.us-east-1.aws.found.io/app/kibana#/discover/Steve-Slow-Train-Analysis-(2080s-and-2083s)?_g=(refreshInterval:(display:Off,pause:!f,section:0,value:0),time:(from:'2017-03-01T06:59:33-0700',mode:absolute,to:'2017-03-01T09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187" t="str">
        <f t="shared" si="5"/>
        <v>N</v>
      </c>
      <c r="X42" s="187">
        <f t="shared" si="6"/>
        <v>1</v>
      </c>
      <c r="Y42" s="62">
        <f t="shared" si="7"/>
        <v>23.299399999999999</v>
      </c>
      <c r="Z42" s="62">
        <f t="shared" si="8"/>
        <v>1.47E-2</v>
      </c>
      <c r="AA42" s="62">
        <f t="shared" si="9"/>
        <v>23.284699999999997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0"/>
        <v>0130-01</v>
      </c>
      <c r="AE42" s="85" t="str">
        <f t="shared" si="11"/>
        <v>aws s3 cp s3://rtdc.mdm.uploadarchive.raw/RTDC4001/ "%USERPROFILE%\AppData\Local\Temp\OnboardLogs"\RTDC4001\2017-03-01 --exclude "*" --recursive --include "*20170301*" &amp; "%USERPROFILE%\Documents\GitHub\mrs-test-scripts\Headless Mode &amp; Sideloading\WalkAndUnGZ.bat" "%USERPROFILE%\AppData\Local\Temp\OnboardLogs"\RTDC4001\2017-03-01 &amp; aws s3 cp s3://rtdc.mdm.uploadarchive.raw/RTDC4001/ "%USERPROFILE%\AppData\Local\Temp\OnboardLogs"\RTDC4001\2017-03-02 --exclude "*" --recursive --include "*20170302*" &amp; "%USERPROFILE%\Documents\GitHub\mrs-test-scripts\Headless Mode &amp; Sideloading\WalkAndUnGZ.bat" "%USERPROFILE%\AppData\Local\Temp\OnboardLogs"\RTDC4001\2017-03-02</v>
      </c>
      <c r="AF42" s="82" t="str">
        <f t="shared" si="12"/>
        <v>"C:\Program Files (x86)\AstroGrep\AstroGrep.exe" /spath="%USERPROFILE%\AppData\Local\Temp\OnboardLogs" /stypes="app*4001*20170301*" /stext=" 15:.+((SYSTEM_STATE.+slice.+state.+changed )|(ment ac)|(multiple cpu faults)|(system.+state.+changed )|(\[timeout)|(PRM\|1\|D)|(kpr)|(kdp)|(\|lc)|(penalty))" /e /r /s</v>
      </c>
      <c r="AG42" s="1" t="str">
        <f t="shared" si="13"/>
        <v>EC</v>
      </c>
      <c r="AH42" s="86" t="str">
        <f t="shared" si="18"/>
        <v>"%USERPROFILE%\Documents\GitHub\eaglep3\Utilities\RefineRTDCRunTimes.py" --tripid 130-01 --locoid 4001 --swversion DE.1.0.9.0 --startMP 204:232994 --initTime 2017-03-01T07:59:33 --startdatetime 2017-03-01T08:11:40 --delay 1 --endMP 204:147 --enddatetime 2017-03-01T08:50:49 --enforcementcount 0 &gt;&gt;C:\Users\stu\Documents\GitHub\eaglep3-reporting\EC\2017-03-01-refined-times.txt</v>
      </c>
      <c r="AI42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{"issue":{"subject":"","project_id":79,"tracker_id":40,"status_id":1,"priority_id":2,"assigned_to_id":23,"start_date":"2017-03-01","description":"","custom_fields":[{"id":1,"name":"Subdivision","value":"EC"},{"id":4,"name":"Milepost","value":"0.0147"},{"id":17,"name":"Train ID","value":"130-01"},{"id":16,"name":"Locomotive ID","value":"4001"},{"id":130,"name":"Impact","value":""},{"id":150,"name":"Time of Event (Mountain Time)","value":"08:50:49"},{"id":151,"name":"Denver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4001 --day 2017-03-01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"%USERPROFILE%\AppData\Local\Temp\OnboardLogs"\RTDC4001\*4001*20170301* | grep -SE "(Enforcement Action)|(\[TIMEOUT)|(CHR.+\|PRM\|1\|D.+(SWITCH|SIGNAL).+UNKNOWN)" - &gt;&gt; 2017-03-01-UncaughtWiMAX.txt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519</v>
      </c>
      <c r="B43" s="7">
        <v>4024</v>
      </c>
      <c r="C43" s="21" t="s">
        <v>266</v>
      </c>
      <c r="D43" s="21" t="s">
        <v>261</v>
      </c>
      <c r="E43" s="13">
        <v>42795.310381944444</v>
      </c>
      <c r="F43" s="13">
        <v>42795.316145833334</v>
      </c>
      <c r="G43" s="7">
        <v>5</v>
      </c>
      <c r="H43" s="21" t="s">
        <v>343</v>
      </c>
      <c r="I43" s="13">
        <v>42795.340694444443</v>
      </c>
      <c r="J43" s="7">
        <v>0</v>
      </c>
      <c r="K43" s="98" t="str">
        <f t="shared" si="0"/>
        <v>4023/4024</v>
      </c>
      <c r="L43" s="21" t="str">
        <f>VLOOKUP(A43,'Trips&amp;Operators'!$C$1:$G$99999,5,FALSE)</f>
        <v>MAELZER KURT</v>
      </c>
      <c r="M43" s="6">
        <f t="shared" si="1"/>
        <v>2.4548611108912155E-2</v>
      </c>
      <c r="N43" s="7">
        <f t="shared" si="21"/>
        <v>35.349999996833503</v>
      </c>
      <c r="O43" s="7"/>
      <c r="P43" s="7"/>
      <c r="Q43" s="22"/>
      <c r="R43" s="22"/>
      <c r="S43" s="31">
        <f t="shared" si="17"/>
        <v>1</v>
      </c>
      <c r="T43" s="46" t="str">
        <f t="shared" si="3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4"/>
        <v>https://d0f6bd738d7f1b3e5a7ca70fe4ff75f0.us-east-1.aws.found.io/app/kibana#/discover/Steve-Slow-Train-Analysis-(2080s-and-2083s)?_g=(refreshInterval:(display:Off,pause:!f,section:0,value:0),time:(from:'2017-03-01T06:26:57-0700',mode:absolute,to:'2017-03-01T09:10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3" s="187" t="str">
        <f t="shared" si="5"/>
        <v>N</v>
      </c>
      <c r="X43" s="187">
        <f t="shared" si="6"/>
        <v>1</v>
      </c>
      <c r="Y43" s="62">
        <f t="shared" si="7"/>
        <v>4.6600000000000003E-2</v>
      </c>
      <c r="Z43" s="62">
        <f t="shared" si="8"/>
        <v>23.330100000000002</v>
      </c>
      <c r="AA43" s="62">
        <f t="shared" si="9"/>
        <v>23.2835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0"/>
        <v>0131-01</v>
      </c>
      <c r="AE43" s="85" t="str">
        <f t="shared" si="11"/>
        <v>aws s3 cp s3://rtdc.mdm.uploadarchive.raw/RTDC4024/ "%USERPROFILE%\AppData\Local\Temp\OnboardLogs"\RTDC4024\2017-03-01 --exclude "*" --recursive --include "*20170301*" &amp; "%USERPROFILE%\Documents\GitHub\mrs-test-scripts\Headless Mode &amp; Sideloading\WalkAndUnGZ.bat" "%USERPROFILE%\AppData\Local\Temp\OnboardLogs"\RTDC4024\2017-03-01 &amp; aws s3 cp s3://rtdc.mdm.uploadarchive.raw/RTDC4024/ "%USERPROFILE%\AppData\Local\Temp\OnboardLogs"\RTDC4024\2017-03-02 --exclude "*" --recursive --include "*20170302*" &amp; "%USERPROFILE%\Documents\GitHub\mrs-test-scripts\Headless Mode &amp; Sideloading\WalkAndUnGZ.bat" "%USERPROFILE%\AppData\Local\Temp\OnboardLogs"\RTDC4024\2017-03-02</v>
      </c>
      <c r="AF43" s="82" t="str">
        <f t="shared" si="12"/>
        <v>"C:\Program Files (x86)\AstroGrep\AstroGrep.exe" /spath="%USERPROFILE%\AppData\Local\Temp\OnboardLogs" /stypes="app*4024*20170301*" /stext=" 15:.+((SYSTEM_STATE.+slice.+state.+changed )|(ment ac)|(multiple cpu faults)|(system.+state.+changed )|(\[timeout)|(PRM\|1\|D)|(kpr)|(kdp)|(\|lc)|(penalty))" /e /r /s</v>
      </c>
      <c r="AG43" s="1" t="str">
        <f t="shared" si="13"/>
        <v>EC</v>
      </c>
      <c r="AH43" s="86" t="str">
        <f t="shared" si="18"/>
        <v>"%USERPROFILE%\Documents\GitHub\eaglep3\Utilities\RefineRTDCRunTimes.py" --tripid 131-01 --locoid 4024 --swversion DE.1.0.9.0 --startMP 204:466 --initTime 2017-03-01T07:26:57 --startdatetime 2017-03-01T07:35:15 --delay 5 --endMP 204:233301 --enddatetime 2017-03-01T08:10:36 --enforcementcount 0 &gt;&gt;C:\Users\stu\Documents\GitHub\eaglep3-reporting\EC\2017-03-01-refined-times.txt</v>
      </c>
      <c r="AI43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{"issue":{"subject":"","project_id":79,"tracker_id":40,"status_id":1,"priority_id":2,"assigned_to_id":23,"start_date":"2017-03-01","description":"","custom_fields":[{"id":1,"name":"Subdivision","value":"EC"},{"id":4,"name":"Milepost","value":"23.3301"},{"id":17,"name":"Train ID","value":"131-01"},{"id":16,"name":"Locomotive ID","value":"4024"},{"id":130,"name":"Impact","value":""},{"id":150,"name":"Time of Event (Mountain Time)","value":"08:10:36"},{"id":151,"name":"Denver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4024 --day 2017-03-01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"%USERPROFILE%\AppData\Local\Temp\OnboardLogs"\RTDC4024\*4024*20170301* | grep -SE "(Enforcement Action)|(\[TIMEOUT)|(CHR.+\|PRM\|1\|D.+(SWITCH|SIGNAL).+UNKNOWN)" - &gt;&gt; 2017-03-01-UncaughtWiMAX.txt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528</v>
      </c>
      <c r="B44" s="7">
        <v>4023</v>
      </c>
      <c r="C44" s="21" t="s">
        <v>266</v>
      </c>
      <c r="D44" s="21" t="s">
        <v>316</v>
      </c>
      <c r="E44" s="13">
        <v>42795.349548611113</v>
      </c>
      <c r="F44" s="13">
        <v>42795.351747685185</v>
      </c>
      <c r="G44" s="7">
        <v>1</v>
      </c>
      <c r="H44" s="21" t="s">
        <v>203</v>
      </c>
      <c r="I44" s="13">
        <v>42795.379212962966</v>
      </c>
      <c r="J44" s="7">
        <v>0</v>
      </c>
      <c r="K44" s="98" t="str">
        <f t="shared" si="0"/>
        <v>4023/4024</v>
      </c>
      <c r="L44" s="21" t="str">
        <f>VLOOKUP(A44,'Trips&amp;Operators'!$C$1:$G$99999,5,FALSE)</f>
        <v>MAELZER KURT</v>
      </c>
      <c r="M44" s="6">
        <f t="shared" si="1"/>
        <v>2.7465277780720498E-2</v>
      </c>
      <c r="N44" s="7">
        <f t="shared" si="21"/>
        <v>39.550000004237518</v>
      </c>
      <c r="O44" s="7"/>
      <c r="P44" s="7"/>
      <c r="Q44" s="22"/>
      <c r="R44" s="22"/>
      <c r="S44" s="31">
        <f t="shared" si="17"/>
        <v>1</v>
      </c>
      <c r="T44" s="46" t="str">
        <f t="shared" si="3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4"/>
        <v>https://d0f6bd738d7f1b3e5a7ca70fe4ff75f0.us-east-1.aws.found.io/app/kibana#/discover/Steve-Slow-Train-Analysis-(2080s-and-2083s)?_g=(refreshInterval:(display:Off,pause:!f,section:0,value:0),time:(from:'2017-03-01T07:23:21-0700',mode:absolute,to:'2017-03-01T10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4" s="187" t="str">
        <f t="shared" si="5"/>
        <v>N</v>
      </c>
      <c r="X44" s="187">
        <f t="shared" si="6"/>
        <v>1</v>
      </c>
      <c r="Y44" s="62">
        <f t="shared" si="7"/>
        <v>23.299800000000001</v>
      </c>
      <c r="Z44" s="62">
        <f t="shared" si="8"/>
        <v>1.6E-2</v>
      </c>
      <c r="AA44" s="62">
        <f t="shared" si="9"/>
        <v>23.283800000000003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0"/>
        <v>0132-01</v>
      </c>
      <c r="AE44" s="85" t="str">
        <f t="shared" si="11"/>
        <v>aws s3 cp s3://rtdc.mdm.uploadarchive.raw/RTDC4023/ "%USERPROFILE%\AppData\Local\Temp\OnboardLogs"\RTDC4023\2017-03-01 --exclude "*" --recursive --include "*20170301*" &amp; "%USERPROFILE%\Documents\GitHub\mrs-test-scripts\Headless Mode &amp; Sideloading\WalkAndUnGZ.bat" "%USERPROFILE%\AppData\Local\Temp\OnboardLogs"\RTDC4023\2017-03-01 &amp; aws s3 cp s3://rtdc.mdm.uploadarchive.raw/RTDC4023/ "%USERPROFILE%\AppData\Local\Temp\OnboardLogs"\RTDC4023\2017-03-02 --exclude "*" --recursive --include "*20170302*" &amp; "%USERPROFILE%\Documents\GitHub\mrs-test-scripts\Headless Mode &amp; Sideloading\WalkAndUnGZ.bat" "%USERPROFILE%\AppData\Local\Temp\OnboardLogs"\RTDC4023\2017-03-02</v>
      </c>
      <c r="AF44" s="82" t="str">
        <f t="shared" si="12"/>
        <v>"C:\Program Files (x86)\AstroGrep\AstroGrep.exe" /spath="%USERPROFILE%\AppData\Local\Temp\OnboardLogs" /stypes="app*4023*20170301*" /stext=" 16:.+((SYSTEM_STATE.+slice.+state.+changed )|(ment ac)|(multiple cpu faults)|(system.+state.+changed )|(\[timeout)|(PRM\|1\|D)|(kpr)|(kdp)|(\|lc)|(penalty))" /e /r /s</v>
      </c>
      <c r="AG44" s="1" t="str">
        <f t="shared" si="13"/>
        <v>EC</v>
      </c>
      <c r="AH44" s="86" t="str">
        <f t="shared" si="18"/>
        <v>"%USERPROFILE%\Documents\GitHub\eaglep3\Utilities\RefineRTDCRunTimes.py" --tripid 132-01 --locoid 4023 --swversion DE.1.0.9.0 --startMP 204:232998 --initTime 2017-03-01T08:23:21 --startdatetime 2017-03-01T08:26:31 --delay 1 --endMP 204:160 --enddatetime 2017-03-01T09:06:04 --enforcementcount 0 &gt;&gt;C:\Users\stu\Documents\GitHub\eaglep3-reporting\EC\2017-03-01-refined-times.txt</v>
      </c>
      <c r="AI44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{"issue":{"subject":"","project_id":79,"tracker_id":40,"status_id":1,"priority_id":2,"assigned_to_id":23,"start_date":"2017-03-01","description":"","custom_fields":[{"id":1,"name":"Subdivision","value":"EC"},{"id":4,"name":"Milepost","value":"0.016"},{"id":17,"name":"Train ID","value":"132-01"},{"id":16,"name":"Locomotive ID","value":"4023"},{"id":130,"name":"Impact","value":""},{"id":150,"name":"Time of Event (Mountain Time)","value":"09:06:04"},{"id":151,"name":"Denver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4023 --day 2017-03-01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"%USERPROFILE%\AppData\Local\Temp\OnboardLogs"\RTDC4023\*4023*20170301* | grep -SE "(Enforcement Action)|(\[TIMEOUT)|(CHR.+\|PRM\|1\|D.+(SWITCH|SIGNAL).+UNKNOWN)" - &gt;&gt; 2017-03-01-UncaughtWiMAX.txt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521</v>
      </c>
      <c r="B45" s="7">
        <v>4031</v>
      </c>
      <c r="C45" s="21" t="s">
        <v>266</v>
      </c>
      <c r="D45" s="21" t="s">
        <v>415</v>
      </c>
      <c r="E45" s="13">
        <v>42795.318541666667</v>
      </c>
      <c r="F45" s="13">
        <v>42795.32309027778</v>
      </c>
      <c r="G45" s="7">
        <v>2</v>
      </c>
      <c r="H45" s="21" t="s">
        <v>685</v>
      </c>
      <c r="I45" s="13">
        <v>42795.348252314812</v>
      </c>
      <c r="J45" s="7">
        <v>0</v>
      </c>
      <c r="K45" s="98" t="str">
        <f t="shared" si="0"/>
        <v>4031/4032</v>
      </c>
      <c r="L45" s="21" t="str">
        <f>VLOOKUP(A45,'Trips&amp;Operators'!$C$1:$G$99999,5,FALSE)</f>
        <v>GEBRETEKLE DAGNEW</v>
      </c>
      <c r="M45" s="6">
        <f t="shared" si="1"/>
        <v>2.5162037032714579E-2</v>
      </c>
      <c r="N45" s="7">
        <f t="shared" si="21"/>
        <v>36.233333327108994</v>
      </c>
      <c r="O45" s="7"/>
      <c r="P45" s="7"/>
      <c r="Q45" s="22"/>
      <c r="R45" s="22"/>
      <c r="S45" s="31">
        <f t="shared" si="17"/>
        <v>1</v>
      </c>
      <c r="T45" s="46" t="str">
        <f t="shared" si="3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4"/>
        <v>https://d0f6bd738d7f1b3e5a7ca70fe4ff75f0.us-east-1.aws.found.io/app/kibana#/discover/Steve-Slow-Train-Analysis-(2080s-and-2083s)?_g=(refreshInterval:(display:Off,pause:!f,section:0,value:0),time:(from:'2017-03-01T06:38:42-0700',mode:absolute,to:'2017-03-01T09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5" s="187" t="str">
        <f t="shared" si="5"/>
        <v>N</v>
      </c>
      <c r="X45" s="187">
        <f t="shared" ref="X45:X67" si="22">VALUE(LEFT(AD45,4))-VALUE(LEFT(AD44,4))</f>
        <v>1</v>
      </c>
      <c r="Y45" s="62">
        <f t="shared" si="7"/>
        <v>4.7699999999999999E-2</v>
      </c>
      <c r="Z45" s="62">
        <f t="shared" ref="Z45:Z76" si="23">RIGHT(H45,LEN(H45)-4)/10000</f>
        <v>23.328700000000001</v>
      </c>
      <c r="AA45" s="62">
        <f t="shared" si="9"/>
        <v>23.281000000000002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0"/>
        <v>0133-01</v>
      </c>
      <c r="AE45" s="85" t="str">
        <f t="shared" si="11"/>
        <v>aws s3 cp s3://rtdc.mdm.uploadarchive.raw/RTDC4031/ "%USERPROFILE%\AppData\Local\Temp\OnboardLogs"\RTDC4031\2017-03-01 --exclude "*" --recursive --include "*20170301*" &amp; "%USERPROFILE%\Documents\GitHub\mrs-test-scripts\Headless Mode &amp; Sideloading\WalkAndUnGZ.bat" "%USERPROFILE%\AppData\Local\Temp\OnboardLogs"\RTDC4031\2017-03-01 &amp; aws s3 cp s3://rtdc.mdm.uploadarchive.raw/RTDC4031/ "%USERPROFILE%\AppData\Local\Temp\OnboardLogs"\RTDC4031\2017-03-02 --exclude "*" --recursive --include "*20170302*" &amp; "%USERPROFILE%\Documents\GitHub\mrs-test-scripts\Headless Mode &amp; Sideloading\WalkAndUnGZ.bat" "%USERPROFILE%\AppData\Local\Temp\OnboardLogs"\RTDC4031\2017-03-02</v>
      </c>
      <c r="AF45" s="82" t="str">
        <f t="shared" si="12"/>
        <v>"C:\Program Files (x86)\AstroGrep\AstroGrep.exe" /spath="%USERPROFILE%\AppData\Local\Temp\OnboardLogs" /stypes="app*4031*20170301*" /stext=" 15:.+((SYSTEM_STATE.+slice.+state.+changed )|(ment ac)|(multiple cpu faults)|(system.+state.+changed )|(\[timeout)|(PRM\|1\|D)|(kpr)|(kdp)|(\|lc)|(penalty))" /e /r /s</v>
      </c>
      <c r="AG45" s="1" t="str">
        <f t="shared" si="13"/>
        <v>EC</v>
      </c>
      <c r="AH45" s="86" t="str">
        <f t="shared" si="18"/>
        <v>"%USERPROFILE%\Documents\GitHub\eaglep3\Utilities\RefineRTDCRunTimes.py" --tripid 133-01 --locoid 4031 --swversion DE.1.0.9.0 --startMP 204:477 --initTime 2017-03-01T07:38:42 --startdatetime 2017-03-01T07:45:15 --delay 2 --endMP 204:233287 --enddatetime 2017-03-01T08:21:29 --enforcementcount 0 &gt;&gt;C:\Users\stu\Documents\GitHub\eaglep3-reporting\EC\2017-03-01-refined-times.txt</v>
      </c>
      <c r="AI45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{"issue":{"subject":"","project_id":79,"tracker_id":40,"status_id":1,"priority_id":2,"assigned_to_id":23,"start_date":"2017-03-01","description":"","custom_fields":[{"id":1,"name":"Subdivision","value":"EC"},{"id":4,"name":"Milepost","value":"23.3287"},{"id":17,"name":"Train ID","value":"133-01"},{"id":16,"name":"Locomotive ID","value":"4031"},{"id":130,"name":"Impact","value":""},{"id":150,"name":"Time of Event (Mountain Time)","value":"08:21:29"},{"id":151,"name":"Denver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4031 --day 2017-03-01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"%USERPROFILE%\AppData\Local\Temp\OnboardLogs"\RTDC4031\*4031*20170301* | grep -SE "(Enforcement Action)|(\[TIMEOUT)|(CHR.+\|PRM\|1\|D.+(SWITCH|SIGNAL).+UNKNOWN)" - &gt;&gt; 2017-03-01-UncaughtWiMAX.txt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531</v>
      </c>
      <c r="B46" s="7">
        <v>4032</v>
      </c>
      <c r="C46" s="21" t="s">
        <v>266</v>
      </c>
      <c r="D46" s="21" t="s">
        <v>241</v>
      </c>
      <c r="E46" s="13">
        <v>42795.357569444444</v>
      </c>
      <c r="F46" s="13">
        <v>42795.362476851849</v>
      </c>
      <c r="G46" s="7">
        <v>1</v>
      </c>
      <c r="H46" s="21" t="s">
        <v>194</v>
      </c>
      <c r="I46" s="13">
        <v>42795.388819444444</v>
      </c>
      <c r="J46" s="7">
        <v>0</v>
      </c>
      <c r="K46" s="98" t="str">
        <f t="shared" si="0"/>
        <v>4031/4032</v>
      </c>
      <c r="L46" s="21" t="str">
        <f>VLOOKUP(A46,'Trips&amp;Operators'!$C$1:$G$99999,5,FALSE)</f>
        <v>GEBRETEKLE DAGNEW</v>
      </c>
      <c r="M46" s="6">
        <f t="shared" si="1"/>
        <v>2.6342592595028691E-2</v>
      </c>
      <c r="N46" s="7">
        <f t="shared" si="21"/>
        <v>37.933333336841315</v>
      </c>
      <c r="O46" s="7"/>
      <c r="P46" s="7"/>
      <c r="Q46" s="22"/>
      <c r="R46" s="22"/>
      <c r="S46" s="31">
        <f t="shared" si="17"/>
        <v>1</v>
      </c>
      <c r="T46" s="46" t="str">
        <f t="shared" si="3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4"/>
        <v>https://d0f6bd738d7f1b3e5a7ca70fe4ff75f0.us-east-1.aws.found.io/app/kibana#/discover/Steve-Slow-Train-Analysis-(2080s-and-2083s)?_g=(refreshInterval:(display:Off,pause:!f,section:0,value:0),time:(from:'2017-03-01T07:34:54-0700',mode:absolute,to:'2017-03-01T10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6" s="187" t="str">
        <f t="shared" si="5"/>
        <v>N</v>
      </c>
      <c r="X46" s="187">
        <f t="shared" si="22"/>
        <v>1</v>
      </c>
      <c r="Y46" s="62">
        <f t="shared" si="7"/>
        <v>23.299299999999999</v>
      </c>
      <c r="Z46" s="62">
        <f t="shared" si="23"/>
        <v>1.4999999999999999E-2</v>
      </c>
      <c r="AA46" s="62">
        <f t="shared" si="9"/>
        <v>23.284299999999998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0"/>
        <v>0134-01</v>
      </c>
      <c r="AE46" s="85" t="str">
        <f t="shared" si="11"/>
        <v>aws s3 cp s3://rtdc.mdm.uploadarchive.raw/RTDC4032/ "%USERPROFILE%\AppData\Local\Temp\OnboardLogs"\RTDC4032\2017-03-01 --exclude "*" --recursive --include "*20170301*" &amp; "%USERPROFILE%\Documents\GitHub\mrs-test-scripts\Headless Mode &amp; Sideloading\WalkAndUnGZ.bat" "%USERPROFILE%\AppData\Local\Temp\OnboardLogs"\RTDC4032\2017-03-01 &amp; aws s3 cp s3://rtdc.mdm.uploadarchive.raw/RTDC4032/ "%USERPROFILE%\AppData\Local\Temp\OnboardLogs"\RTDC4032\2017-03-02 --exclude "*" --recursive --include "*20170302*" &amp; "%USERPROFILE%\Documents\GitHub\mrs-test-scripts\Headless Mode &amp; Sideloading\WalkAndUnGZ.bat" "%USERPROFILE%\AppData\Local\Temp\OnboardLogs"\RTDC4032\2017-03-02</v>
      </c>
      <c r="AF46" s="82" t="str">
        <f t="shared" si="12"/>
        <v>"C:\Program Files (x86)\AstroGrep\AstroGrep.exe" /spath="%USERPROFILE%\AppData\Local\Temp\OnboardLogs" /stypes="app*4032*20170301*" /stext=" 16:.+((SYSTEM_STATE.+slice.+state.+changed )|(ment ac)|(multiple cpu faults)|(system.+state.+changed )|(\[timeout)|(PRM\|1\|D)|(kpr)|(kdp)|(\|lc)|(penalty))" /e /r /s</v>
      </c>
      <c r="AG46" s="1" t="str">
        <f t="shared" si="13"/>
        <v>EC</v>
      </c>
      <c r="AH46" s="86" t="str">
        <f t="shared" si="18"/>
        <v>"%USERPROFILE%\Documents\GitHub\eaglep3\Utilities\RefineRTDCRunTimes.py" --tripid 134-01 --locoid 4032 --swversion DE.1.0.9.0 --startMP 204:232993 --initTime 2017-03-01T08:34:54 --startdatetime 2017-03-01T08:41:58 --delay 1 --endMP 204:150 --enddatetime 2017-03-01T09:19:54 --enforcementcount 0 &gt;&gt;C:\Users\stu\Documents\GitHub\eaglep3-reporting\EC\2017-03-01-refined-times.txt</v>
      </c>
      <c r="AI46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{"issue":{"subject":"","project_id":79,"tracker_id":40,"status_id":1,"priority_id":2,"assigned_to_id":23,"start_date":"2017-03-01","description":"","custom_fields":[{"id":1,"name":"Subdivision","value":"EC"},{"id":4,"name":"Milepost","value":"0.015"},{"id":17,"name":"Train ID","value":"134-01"},{"id":16,"name":"Locomotive ID","value":"4032"},{"id":130,"name":"Impact","value":""},{"id":150,"name":"Time of Event (Mountain Time)","value":"09:19:54"},{"id":151,"name":"Denver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4032 --day 2017-03-01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"%USERPROFILE%\AppData\Local\Temp\OnboardLogs"\RTDC4032\*4032*20170301* | grep -SE "(Enforcement Action)|(\[TIMEOUT)|(CHR.+\|PRM\|1\|D.+(SWITCH|SIGNAL).+UNKNOWN)" - &gt;&gt; 2017-03-01-UncaughtWiMAX.txt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523</v>
      </c>
      <c r="B47" s="7">
        <v>4029</v>
      </c>
      <c r="C47" s="21" t="s">
        <v>266</v>
      </c>
      <c r="D47" s="21" t="s">
        <v>204</v>
      </c>
      <c r="E47" s="13">
        <v>42795.328402777777</v>
      </c>
      <c r="F47" s="13">
        <v>42795.33353009259</v>
      </c>
      <c r="G47" s="7">
        <v>1</v>
      </c>
      <c r="H47" s="21" t="s">
        <v>699</v>
      </c>
      <c r="I47" s="13">
        <v>42795.360127314816</v>
      </c>
      <c r="J47" s="7">
        <v>0</v>
      </c>
      <c r="K47" s="98" t="str">
        <f t="shared" si="0"/>
        <v>4029/4030</v>
      </c>
      <c r="L47" s="21" t="str">
        <f>VLOOKUP(A47,'Trips&amp;Operators'!$C$1:$G$99999,5,FALSE)</f>
        <v>LOCKLEAR TRAVIS</v>
      </c>
      <c r="M47" s="6">
        <f t="shared" si="1"/>
        <v>2.6597222225973383E-2</v>
      </c>
      <c r="N47" s="7">
        <f t="shared" si="21"/>
        <v>38.300000005401671</v>
      </c>
      <c r="O47" s="7"/>
      <c r="P47" s="7"/>
      <c r="Q47" s="22"/>
      <c r="R47" s="22"/>
      <c r="S47" s="31">
        <f t="shared" si="17"/>
        <v>1</v>
      </c>
      <c r="T47" s="46" t="str">
        <f t="shared" si="3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4"/>
        <v>https://d0f6bd738d7f1b3e5a7ca70fe4ff75f0.us-east-1.aws.found.io/app/kibana#/discover/Steve-Slow-Train-Analysis-(2080s-and-2083s)?_g=(refreshInterval:(display:Off,pause:!f,section:0,value:0),time:(from:'2017-03-01T06:52:54-0700',mode:absolute,to:'2017-03-01T09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7" s="187" t="str">
        <f t="shared" si="5"/>
        <v>N</v>
      </c>
      <c r="X47" s="187">
        <f t="shared" si="22"/>
        <v>1</v>
      </c>
      <c r="Y47" s="62">
        <f t="shared" si="7"/>
        <v>4.6199999999999998E-2</v>
      </c>
      <c r="Z47" s="62">
        <f t="shared" si="23"/>
        <v>23.3324</v>
      </c>
      <c r="AA47" s="62">
        <f t="shared" si="9"/>
        <v>23.286200000000001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0"/>
        <v>0135-01</v>
      </c>
      <c r="AE47" s="85" t="str">
        <f t="shared" si="11"/>
        <v>aws s3 cp s3://rtdc.mdm.uploadarchive.raw/RTDC4029/ "%USERPROFILE%\AppData\Local\Temp\OnboardLogs"\RTDC4029\2017-03-01 --exclude "*" --recursive --include "*20170301*" &amp; "%USERPROFILE%\Documents\GitHub\mrs-test-scripts\Headless Mode &amp; Sideloading\WalkAndUnGZ.bat" "%USERPROFILE%\AppData\Local\Temp\OnboardLogs"\RTDC4029\2017-03-01 &amp; aws s3 cp s3://rtdc.mdm.uploadarchive.raw/RTDC4029/ "%USERPROFILE%\AppData\Local\Temp\OnboardLogs"\RTDC4029\2017-03-02 --exclude "*" --recursive --include "*20170302*" &amp; "%USERPROFILE%\Documents\GitHub\mrs-test-scripts\Headless Mode &amp; Sideloading\WalkAndUnGZ.bat" "%USERPROFILE%\AppData\Local\Temp\OnboardLogs"\RTDC4029\2017-03-02</v>
      </c>
      <c r="AF47" s="82" t="str">
        <f t="shared" si="12"/>
        <v>"C:\Program Files (x86)\AstroGrep\AstroGrep.exe" /spath="%USERPROFILE%\AppData\Local\Temp\OnboardLogs" /stypes="app*4029*20170301*" /stext=" 15:.+((SYSTEM_STATE.+slice.+state.+changed )|(ment ac)|(multiple cpu faults)|(system.+state.+changed )|(\[timeout)|(PRM\|1\|D)|(kpr)|(kdp)|(\|lc)|(penalty))" /e /r /s</v>
      </c>
      <c r="AG47" s="1" t="str">
        <f t="shared" si="13"/>
        <v>EC</v>
      </c>
      <c r="AH47" s="86" t="str">
        <f t="shared" si="18"/>
        <v>"%USERPROFILE%\Documents\GitHub\eaglep3\Utilities\RefineRTDCRunTimes.py" --tripid 135-01 --locoid 4029 --swversion DE.1.0.9.0 --startMP 204:462 --initTime 2017-03-01T07:52:54 --startdatetime 2017-03-01T08:00:17 --delay 1 --endMP 204:233324 --enddatetime 2017-03-01T08:38:35 --enforcementcount 0 &gt;&gt;C:\Users\stu\Documents\GitHub\eaglep3-reporting\EC\2017-03-01-refined-times.txt</v>
      </c>
      <c r="AI47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{"issue":{"subject":"","project_id":79,"tracker_id":40,"status_id":1,"priority_id":2,"assigned_to_id":23,"start_date":"2017-03-01","description":"","custom_fields":[{"id":1,"name":"Subdivision","value":"EC"},{"id":4,"name":"Milepost","value":"23.3324"},{"id":17,"name":"Train ID","value":"135-01"},{"id":16,"name":"Locomotive ID","value":"4029"},{"id":130,"name":"Impact","value":""},{"id":150,"name":"Time of Event (Mountain Time)","value":"08:38:35"},{"id":151,"name":"Denver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4029 --day 2017-03-01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"%USERPROFILE%\AppData\Local\Temp\OnboardLogs"\RTDC4029\*4029*20170301* | grep -SE "(Enforcement Action)|(\[TIMEOUT)|(CHR.+\|PRM\|1\|D.+(SWITCH|SIGNAL).+UNKNOWN)" - &gt;&gt; 2017-03-01-UncaughtWiMAX.txt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534</v>
      </c>
      <c r="B48" s="7">
        <v>4030</v>
      </c>
      <c r="C48" s="21" t="s">
        <v>266</v>
      </c>
      <c r="D48" s="21" t="s">
        <v>393</v>
      </c>
      <c r="E48" s="13">
        <v>42795.367372685185</v>
      </c>
      <c r="F48" s="13">
        <v>42795.372395833336</v>
      </c>
      <c r="G48" s="7">
        <v>1</v>
      </c>
      <c r="H48" s="21" t="s">
        <v>253</v>
      </c>
      <c r="I48" s="13">
        <v>42795.400682870371</v>
      </c>
      <c r="J48" s="7">
        <v>0</v>
      </c>
      <c r="K48" s="98" t="str">
        <f t="shared" si="0"/>
        <v>4029/4030</v>
      </c>
      <c r="L48" s="21" t="str">
        <f>VLOOKUP(A48,'Trips&amp;Operators'!$C$1:$G$99999,5,FALSE)</f>
        <v>LOCKLEAR TRAVIS</v>
      </c>
      <c r="M48" s="6">
        <f t="shared" si="1"/>
        <v>2.8287037035624962E-2</v>
      </c>
      <c r="N48" s="7">
        <f t="shared" si="21"/>
        <v>40.733333331299946</v>
      </c>
      <c r="O48" s="7"/>
      <c r="P48" s="7"/>
      <c r="Q48" s="22"/>
      <c r="R48" s="22"/>
      <c r="S48" s="31">
        <f t="shared" si="17"/>
        <v>1</v>
      </c>
      <c r="T48" s="46" t="str">
        <f t="shared" si="3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4"/>
        <v>https://d0f6bd738d7f1b3e5a7ca70fe4ff75f0.us-east-1.aws.found.io/app/kibana#/discover/Steve-Slow-Train-Analysis-(2080s-and-2083s)?_g=(refreshInterval:(display:Off,pause:!f,section:0,value:0),time:(from:'2017-03-01T07:49:01-0700',mode:absolute,to:'2017-03-01T10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8" s="187" t="str">
        <f t="shared" si="5"/>
        <v>N</v>
      </c>
      <c r="X48" s="187">
        <f t="shared" si="22"/>
        <v>1</v>
      </c>
      <c r="Y48" s="62">
        <f t="shared" si="7"/>
        <v>23.3001</v>
      </c>
      <c r="Z48" s="62">
        <f t="shared" si="23"/>
        <v>1.5599999999999999E-2</v>
      </c>
      <c r="AA48" s="62">
        <f t="shared" si="9"/>
        <v>23.284500000000001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0"/>
        <v>0136-01</v>
      </c>
      <c r="AE48" s="85" t="str">
        <f t="shared" si="11"/>
        <v>aws s3 cp s3://rtdc.mdm.uploadarchive.raw/RTDC4030/ "%USERPROFILE%\AppData\Local\Temp\OnboardLogs"\RTDC4030\2017-03-01 --exclude "*" --recursive --include "*20170301*" &amp; "%USERPROFILE%\Documents\GitHub\mrs-test-scripts\Headless Mode &amp; Sideloading\WalkAndUnGZ.bat" "%USERPROFILE%\AppData\Local\Temp\OnboardLogs"\RTDC4030\2017-03-01 &amp; aws s3 cp s3://rtdc.mdm.uploadarchive.raw/RTDC4030/ "%USERPROFILE%\AppData\Local\Temp\OnboardLogs"\RTDC4030\2017-03-02 --exclude "*" --recursive --include "*20170302*" &amp; "%USERPROFILE%\Documents\GitHub\mrs-test-scripts\Headless Mode &amp; Sideloading\WalkAndUnGZ.bat" "%USERPROFILE%\AppData\Local\Temp\OnboardLogs"\RTDC4030\2017-03-02</v>
      </c>
      <c r="AF48" s="82" t="str">
        <f t="shared" si="12"/>
        <v>"C:\Program Files (x86)\AstroGrep\AstroGrep.exe" /spath="%USERPROFILE%\AppData\Local\Temp\OnboardLogs" /stypes="app*4030*20170301*" /stext=" 16:.+((SYSTEM_STATE.+slice.+state.+changed )|(ment ac)|(multiple cpu faults)|(system.+state.+changed )|(\[timeout)|(PRM\|1\|D)|(kpr)|(kdp)|(\|lc)|(penalty))" /e /r /s</v>
      </c>
      <c r="AG48" s="1" t="str">
        <f t="shared" si="13"/>
        <v>EC</v>
      </c>
      <c r="AH48" s="86" t="str">
        <f t="shared" si="18"/>
        <v>"%USERPROFILE%\Documents\GitHub\eaglep3\Utilities\RefineRTDCRunTimes.py" --tripid 136-01 --locoid 4030 --swversion DE.1.0.9.0 --startMP 204:233001 --initTime 2017-03-01T08:49:01 --startdatetime 2017-03-01T08:56:15 --delay 1 --endMP 204:156 --enddatetime 2017-03-01T09:36:59 --enforcementcount 0 &gt;&gt;C:\Users\stu\Documents\GitHub\eaglep3-reporting\EC\2017-03-01-refined-times.txt</v>
      </c>
      <c r="AI48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{"issue":{"subject":"","project_id":79,"tracker_id":40,"status_id":1,"priority_id":2,"assigned_to_id":23,"start_date":"2017-03-01","description":"","custom_fields":[{"id":1,"name":"Subdivision","value":"EC"},{"id":4,"name":"Milepost","value":"0.0156"},{"id":17,"name":"Train ID","value":"136-01"},{"id":16,"name":"Locomotive ID","value":"4030"},{"id":130,"name":"Impact","value":""},{"id":150,"name":"Time of Event (Mountain Time)","value":"09:36:59"},{"id":151,"name":"Denver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4030 --day 2017-03-01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"%USERPROFILE%\AppData\Local\Temp\OnboardLogs"\RTDC4030\*4030*20170301* | grep -SE "(Enforcement Action)|(\[TIMEOUT)|(CHR.+\|PRM\|1\|D.+(SWITCH|SIGNAL).+UNKNOWN)" - &gt;&gt; 2017-03-01-UncaughtWiMAX.txt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526</v>
      </c>
      <c r="B49" s="7">
        <v>4022</v>
      </c>
      <c r="C49" s="21" t="s">
        <v>266</v>
      </c>
      <c r="D49" s="21" t="s">
        <v>228</v>
      </c>
      <c r="E49" s="13">
        <v>42795.339965277781</v>
      </c>
      <c r="F49" s="13">
        <v>42795.344166666669</v>
      </c>
      <c r="G49" s="7">
        <v>1</v>
      </c>
      <c r="H49" s="21" t="s">
        <v>257</v>
      </c>
      <c r="I49" s="13">
        <v>42795.368993055556</v>
      </c>
      <c r="J49" s="7">
        <v>0</v>
      </c>
      <c r="K49" s="98" t="str">
        <f t="shared" si="0"/>
        <v>4021/4022</v>
      </c>
      <c r="L49" s="21" t="str">
        <f>VLOOKUP(A49,'Trips&amp;Operators'!$C$1:$G$99999,5,FALSE)</f>
        <v>SANTIZO D. EDY</v>
      </c>
      <c r="M49" s="6">
        <f t="shared" si="1"/>
        <v>2.4826388886140194E-2</v>
      </c>
      <c r="N49" s="7">
        <f t="shared" si="21"/>
        <v>35.749999996041879</v>
      </c>
      <c r="O49" s="7"/>
      <c r="P49" s="7"/>
      <c r="Q49" s="22"/>
      <c r="R49" s="22"/>
      <c r="S49" s="31">
        <f t="shared" si="17"/>
        <v>1</v>
      </c>
      <c r="T49" s="46" t="str">
        <f t="shared" si="3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4"/>
        <v>https://d0f6bd738d7f1b3e5a7ca70fe4ff75f0.us-east-1.aws.found.io/app/kibana#/discover/Steve-Slow-Train-Analysis-(2080s-and-2083s)?_g=(refreshInterval:(display:Off,pause:!f,section:0,value:0),time:(from:'2017-03-01T07:09:33-0700',mode:absolute,to:'2017-03-01T09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9" s="187" t="str">
        <f t="shared" si="5"/>
        <v>N</v>
      </c>
      <c r="X49" s="187">
        <f t="shared" si="22"/>
        <v>1</v>
      </c>
      <c r="Y49" s="62">
        <f t="shared" si="7"/>
        <v>4.5999999999999999E-2</v>
      </c>
      <c r="Z49" s="62">
        <f t="shared" si="23"/>
        <v>23.331700000000001</v>
      </c>
      <c r="AA49" s="62">
        <f t="shared" si="9"/>
        <v>23.285700000000002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0"/>
        <v>0137-01</v>
      </c>
      <c r="AE49" s="85" t="str">
        <f t="shared" si="11"/>
        <v>aws s3 cp s3://rtdc.mdm.uploadarchive.raw/RTDC4022/ "%USERPROFILE%\AppData\Local\Temp\OnboardLogs"\RTDC4022\2017-03-01 --exclude "*" --recursive --include "*20170301*" &amp; "%USERPROFILE%\Documents\GitHub\mrs-test-scripts\Headless Mode &amp; Sideloading\WalkAndUnGZ.bat" "%USERPROFILE%\AppData\Local\Temp\OnboardLogs"\RTDC4022\2017-03-01 &amp; 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</v>
      </c>
      <c r="AF49" s="82" t="str">
        <f t="shared" si="12"/>
        <v>"C:\Program Files (x86)\AstroGrep\AstroGrep.exe" /spath="%USERPROFILE%\AppData\Local\Temp\OnboardLogs" /stypes="app*4022*20170301*" /stext=" 15:.+((SYSTEM_STATE.+slice.+state.+changed )|(ment ac)|(multiple cpu faults)|(system.+state.+changed )|(\[timeout)|(PRM\|1\|D)|(kpr)|(kdp)|(\|lc)|(penalty))" /e /r /s</v>
      </c>
      <c r="AG49" s="1" t="str">
        <f t="shared" si="13"/>
        <v>EC</v>
      </c>
      <c r="AH49" s="86" t="str">
        <f t="shared" si="18"/>
        <v>"%USERPROFILE%\Documents\GitHub\eaglep3\Utilities\RefineRTDCRunTimes.py" --tripid 137-01 --locoid 4022 --swversion DE.1.0.9.0 --startMP 204:460 --initTime 2017-03-01T08:09:33 --startdatetime 2017-03-01T08:15:36 --delay 1 --endMP 204:233317 --enddatetime 2017-03-01T08:51:21 --enforcementcount 0 &gt;&gt;C:\Users\stu\Documents\GitHub\eaglep3-reporting\EC\2017-03-01-refined-times.txt</v>
      </c>
      <c r="AI49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{"issue":{"subject":"","project_id":79,"tracker_id":40,"status_id":1,"priority_id":2,"assigned_to_id":23,"start_date":"2017-03-01","description":"","custom_fields":[{"id":1,"name":"Subdivision","value":"EC"},{"id":4,"name":"Milepost","value":"23.3317"},{"id":17,"name":"Train ID","value":"137-01"},{"id":16,"name":"Locomotive ID","value":"4022"},{"id":130,"name":"Impact","value":""},{"id":150,"name":"Time of Event (Mountain Time)","value":"08:51:21"},{"id":151,"name":"Denver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4022 --day 2017-03-01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"%USERPROFILE%\AppData\Local\Temp\OnboardLogs"\RTDC4022\*4022*20170301* | grep -SE "(Enforcement Action)|(\[TIMEOUT)|(CHR.+\|PRM\|1\|D.+(SWITCH|SIGNAL).+UNKNOWN)" - &gt;&gt; 2017-03-01-UncaughtWiMAX.txt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535</v>
      </c>
      <c r="B50" s="7">
        <v>4021</v>
      </c>
      <c r="C50" s="21" t="s">
        <v>266</v>
      </c>
      <c r="D50" s="21" t="s">
        <v>345</v>
      </c>
      <c r="E50" s="13">
        <v>42795.370706018519</v>
      </c>
      <c r="F50" s="13">
        <v>42795.382824074077</v>
      </c>
      <c r="G50" s="7">
        <v>0</v>
      </c>
      <c r="H50" s="21" t="s">
        <v>253</v>
      </c>
      <c r="I50" s="13">
        <v>42795.410578703704</v>
      </c>
      <c r="J50" s="7">
        <v>0</v>
      </c>
      <c r="K50" s="98" t="str">
        <f t="shared" si="0"/>
        <v>4021/4022</v>
      </c>
      <c r="L50" s="21" t="str">
        <f>VLOOKUP(A50,'Trips&amp;Operators'!$C$1:$G$99999,5,FALSE)</f>
        <v>SANTIZO D. EDY</v>
      </c>
      <c r="M50" s="6">
        <f t="shared" si="1"/>
        <v>2.7754629627452232E-2</v>
      </c>
      <c r="N50" s="7">
        <f t="shared" si="21"/>
        <v>39.966666663531214</v>
      </c>
      <c r="O50" s="7"/>
      <c r="P50" s="7"/>
      <c r="Q50" s="22"/>
      <c r="R50" s="22"/>
      <c r="S50" s="31">
        <f t="shared" si="17"/>
        <v>1</v>
      </c>
      <c r="T50" s="46" t="str">
        <f t="shared" si="3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4"/>
        <v>https://d0f6bd738d7f1b3e5a7ca70fe4ff75f0.us-east-1.aws.found.io/app/kibana#/discover/Steve-Slow-Train-Analysis-(2080s-and-2083s)?_g=(refreshInterval:(display:Off,pause:!f,section:0,value:0),time:(from:'2017-03-01T07:53:49-0700',mode:absolute,to:'2017-03-01T10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0" s="187" t="str">
        <f t="shared" si="5"/>
        <v>N</v>
      </c>
      <c r="X50" s="187">
        <f t="shared" si="22"/>
        <v>1</v>
      </c>
      <c r="Y50" s="62">
        <f t="shared" si="7"/>
        <v>23.3004</v>
      </c>
      <c r="Z50" s="62">
        <f t="shared" si="23"/>
        <v>1.5599999999999999E-2</v>
      </c>
      <c r="AA50" s="62">
        <f t="shared" si="9"/>
        <v>23.284800000000001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0"/>
        <v>0138-01</v>
      </c>
      <c r="AE50" s="85" t="str">
        <f t="shared" si="11"/>
        <v>aws s3 cp s3://rtdc.mdm.uploadarchive.raw/RTDC4021/ "%USERPROFILE%\AppData\Local\Temp\OnboardLogs"\RTDC4021\2017-03-01 --exclude "*" --recursive --include "*20170301*" &amp; "%USERPROFILE%\Documents\GitHub\mrs-test-scripts\Headless Mode &amp; Sideloading\WalkAndUnGZ.bat" "%USERPROFILE%\AppData\Local\Temp\OnboardLogs"\RTDC4021\2017-03-01 &amp; 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</v>
      </c>
      <c r="AF50" s="82" t="str">
        <f t="shared" si="12"/>
        <v>"C:\Program Files (x86)\AstroGrep\AstroGrep.exe" /spath="%USERPROFILE%\AppData\Local\Temp\OnboardLogs" /stypes="app*4021*20170301*" /stext=" 16:.+((SYSTEM_STATE.+slice.+state.+changed )|(ment ac)|(multiple cpu faults)|(system.+state.+changed )|(\[timeout)|(PRM\|1\|D)|(kpr)|(kdp)|(\|lc)|(penalty))" /e /r /s</v>
      </c>
      <c r="AG50" s="1" t="str">
        <f t="shared" si="13"/>
        <v>EC</v>
      </c>
      <c r="AH50" s="86" t="str">
        <f t="shared" si="18"/>
        <v>"%USERPROFILE%\Documents\GitHub\eaglep3\Utilities\RefineRTDCRunTimes.py" --tripid 138-01 --locoid 4021 --swversion DE.1.0.9.0 --startMP 204:233004 --initTime 2017-03-01T08:53:49 --startdatetime 2017-03-01T09:11:16 --delay 0 --endMP 204:156 --enddatetime 2017-03-01T09:51:14 --enforcementcount 0 &gt;&gt;C:\Users\stu\Documents\GitHub\eaglep3-reporting\EC\2017-03-01-refined-times.txt</v>
      </c>
      <c r="AI50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{"issue":{"subject":"","project_id":79,"tracker_id":40,"status_id":1,"priority_id":2,"assigned_to_id":23,"start_date":"2017-03-01","description":"","custom_fields":[{"id":1,"name":"Subdivision","value":"EC"},{"id":4,"name":"Milepost","value":"0.0156"},{"id":17,"name":"Train ID","value":"138-01"},{"id":16,"name":"Locomotive ID","value":"4021"},{"id":130,"name":"Impact","value":""},{"id":150,"name":"Time of Event (Mountain Time)","value":"09:51:14"},{"id":151,"name":"Denver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4021 --day 2017-03-01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"%USERPROFILE%\AppData\Local\Temp\OnboardLogs"\RTDC4021\*4021*20170301* | grep -SE "(Enforcement Action)|(\[TIMEOUT)|(CHR.+\|PRM\|1\|D.+(SWITCH|SIGNAL).+UNKNOWN)" - &gt;&gt; 2017-03-01-UncaughtWiMAX.txt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529</v>
      </c>
      <c r="B51" s="7">
        <v>4046</v>
      </c>
      <c r="C51" s="21" t="s">
        <v>266</v>
      </c>
      <c r="D51" s="21" t="s">
        <v>239</v>
      </c>
      <c r="E51" s="13">
        <v>42795.352858796294</v>
      </c>
      <c r="F51" s="13">
        <v>42795.35434027778</v>
      </c>
      <c r="G51" s="7">
        <v>1</v>
      </c>
      <c r="H51" s="21" t="s">
        <v>353</v>
      </c>
      <c r="I51" s="13">
        <v>42795.378703703704</v>
      </c>
      <c r="J51" s="7">
        <v>0</v>
      </c>
      <c r="K51" s="98" t="str">
        <f t="shared" si="0"/>
        <v>4045/4046</v>
      </c>
      <c r="L51" s="21" t="str">
        <f>VLOOKUP(A51,'Trips&amp;Operators'!$C$1:$G$99999,5,FALSE)</f>
        <v>ROCHA YAOTL</v>
      </c>
      <c r="M51" s="6">
        <f t="shared" si="1"/>
        <v>2.4363425924093463E-2</v>
      </c>
      <c r="N51" s="7">
        <f t="shared" si="21"/>
        <v>35.083333330694586</v>
      </c>
      <c r="O51" s="7"/>
      <c r="P51" s="7"/>
      <c r="Q51" s="22"/>
      <c r="R51" s="22"/>
      <c r="S51" s="31">
        <f t="shared" si="17"/>
        <v>1</v>
      </c>
      <c r="T51" s="46" t="str">
        <f t="shared" si="3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4"/>
        <v>https://d0f6bd738d7f1b3e5a7ca70fe4ff75f0.us-east-1.aws.found.io/app/kibana#/discover/Steve-Slow-Train-Analysis-(2080s-and-2083s)?_g=(refreshInterval:(display:Off,pause:!f,section:0,value:0),time:(from:'2017-03-01T07:28:07-0700',mode:absolute,to:'2017-03-01T10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1" s="187" t="str">
        <f t="shared" si="5"/>
        <v>N</v>
      </c>
      <c r="X51" s="187">
        <f t="shared" si="22"/>
        <v>1</v>
      </c>
      <c r="Y51" s="62">
        <f t="shared" si="7"/>
        <v>4.5499999999999999E-2</v>
      </c>
      <c r="Z51" s="62">
        <f t="shared" si="23"/>
        <v>23.332000000000001</v>
      </c>
      <c r="AA51" s="62">
        <f t="shared" si="9"/>
        <v>23.2865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0"/>
        <v>0139-01</v>
      </c>
      <c r="AE51" s="85" t="str">
        <f t="shared" si="11"/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AF51" s="82" t="str">
        <f t="shared" si="12"/>
        <v>"C:\Program Files (x86)\AstroGrep\AstroGrep.exe" /spath="%USERPROFILE%\AppData\Local\Temp\OnboardLogs" /stypes="app*4046*20170301*" /stext=" 16:.+((SYSTEM_STATE.+slice.+state.+changed )|(ment ac)|(multiple cpu faults)|(system.+state.+changed )|(\[timeout)|(PRM\|1\|D)|(kpr)|(kdp)|(\|lc)|(penalty))" /e /r /s</v>
      </c>
      <c r="AG51" s="1" t="str">
        <f t="shared" si="13"/>
        <v>EC</v>
      </c>
      <c r="AH51" s="86" t="str">
        <f t="shared" si="18"/>
        <v>"%USERPROFILE%\Documents\GitHub\eaglep3\Utilities\RefineRTDCRunTimes.py" --tripid 139-01 --locoid 4046 --swversion DE.1.0.9.0 --startMP 204:455 --initTime 2017-03-01T08:28:07 --startdatetime 2017-03-01T08:30:15 --delay 1 --endMP 204:233320 --enddatetime 2017-03-01T09:05:20 --enforcementcount 0 &gt;&gt;C:\Users\stu\Documents\GitHub\eaglep3-reporting\EC\2017-03-01-refined-times.txt</v>
      </c>
      <c r="AI51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{"issue":{"subject":"","project_id":79,"tracker_id":40,"status_id":1,"priority_id":2,"assigned_to_id":23,"start_date":"2017-03-01","description":"","custom_fields":[{"id":1,"name":"Subdivision","value":"EC"},{"id":4,"name":"Milepost","value":"23.332"},{"id":17,"name":"Train ID","value":"139-01"},{"id":16,"name":"Locomotive ID","value":"4046"},{"id":130,"name":"Impact","value":""},{"id":150,"name":"Time of Event (Mountain Time)","value":"09:05:20"},{"id":151,"name":"Denver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4046 --day 2017-03-01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"%USERPROFILE%\AppData\Local\Temp\OnboardLogs"\RTDC4046\*4046*20170301* | grep -SE "(Enforcement Action)|(\[TIMEOUT)|(CHR.+\|PRM\|1\|D.+(SWITCH|SIGNAL).+UNKNOWN)" - &gt;&gt; 2017-03-01-UncaughtWiMAX.txt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537</v>
      </c>
      <c r="B52" s="7">
        <v>4045</v>
      </c>
      <c r="C52" s="21" t="s">
        <v>266</v>
      </c>
      <c r="D52" s="21" t="s">
        <v>397</v>
      </c>
      <c r="E52" s="13">
        <v>42795.388229166667</v>
      </c>
      <c r="F52" s="13">
        <v>42795.393206018518</v>
      </c>
      <c r="G52" s="7">
        <v>3</v>
      </c>
      <c r="H52" s="21" t="s">
        <v>206</v>
      </c>
      <c r="I52" s="13">
        <v>42795.420972222222</v>
      </c>
      <c r="J52" s="7">
        <v>0</v>
      </c>
      <c r="K52" s="98" t="str">
        <f t="shared" si="0"/>
        <v>4045/4046</v>
      </c>
      <c r="L52" s="21" t="str">
        <f>VLOOKUP(A52,'Trips&amp;Operators'!$C$1:$G$99999,5,FALSE)</f>
        <v>ROCHA YAOTL</v>
      </c>
      <c r="M52" s="6">
        <f t="shared" si="1"/>
        <v>2.7766203704231884E-2</v>
      </c>
      <c r="N52" s="7">
        <f t="shared" si="21"/>
        <v>39.983333334093913</v>
      </c>
      <c r="O52" s="7"/>
      <c r="P52" s="7"/>
      <c r="Q52" s="22"/>
      <c r="R52" s="22"/>
      <c r="S52" s="31">
        <f t="shared" si="17"/>
        <v>1</v>
      </c>
      <c r="T52" s="46" t="str">
        <f t="shared" si="3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4"/>
        <v>https://d0f6bd738d7f1b3e5a7ca70fe4ff75f0.us-east-1.aws.found.io/app/kibana#/discover/Steve-Slow-Train-Analysis-(2080s-and-2083s)?_g=(refreshInterval:(display:Off,pause:!f,section:0,value:0),time:(from:'2017-03-01T08:19:03-0700',mode:absolute,to:'2017-03-01T11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2" s="187" t="str">
        <f t="shared" si="5"/>
        <v>N</v>
      </c>
      <c r="X52" s="187">
        <f t="shared" si="22"/>
        <v>1</v>
      </c>
      <c r="Y52" s="62">
        <f t="shared" si="7"/>
        <v>23.2986</v>
      </c>
      <c r="Z52" s="62">
        <f t="shared" si="23"/>
        <v>1.52E-2</v>
      </c>
      <c r="AA52" s="62">
        <f t="shared" si="9"/>
        <v>23.2834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0"/>
        <v>0140-01</v>
      </c>
      <c r="AE52" s="85" t="str">
        <f t="shared" si="11"/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AF52" s="82" t="str">
        <f t="shared" si="12"/>
        <v>"C:\Program Files (x86)\AstroGrep\AstroGrep.exe" /spath="%USERPROFILE%\AppData\Local\Temp\OnboardLogs" /stypes="app*4045*20170301*" /stext=" 17:.+((SYSTEM_STATE.+slice.+state.+changed )|(ment ac)|(multiple cpu faults)|(system.+state.+changed )|(\[timeout)|(PRM\|1\|D)|(kpr)|(kdp)|(\|lc)|(penalty))" /e /r /s</v>
      </c>
      <c r="AG52" s="1" t="str">
        <f t="shared" si="13"/>
        <v>EC</v>
      </c>
      <c r="AH52" s="86" t="str">
        <f t="shared" si="18"/>
        <v>"%USERPROFILE%\Documents\GitHub\eaglep3\Utilities\RefineRTDCRunTimes.py" --tripid 140-01 --locoid 4045 --swversion DE.1.0.9.0 --startMP 204:232986 --initTime 2017-03-01T09:19:03 --startdatetime 2017-03-01T09:26:13 --delay 3 --endMP 204:152 --enddatetime 2017-03-01T10:06:12 --enforcementcount 0 &gt;&gt;C:\Users\stu\Documents\GitHub\eaglep3-reporting\EC\2017-03-01-refined-times.txt</v>
      </c>
      <c r="AI52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{"issue":{"subject":"","project_id":79,"tracker_id":40,"status_id":1,"priority_id":2,"assigned_to_id":23,"start_date":"2017-03-01","description":"","custom_fields":[{"id":1,"name":"Subdivision","value":"EC"},{"id":4,"name":"Milepost","value":"0.0152"},{"id":17,"name":"Train ID","value":"140-01"},{"id":16,"name":"Locomotive ID","value":"4045"},{"id":130,"name":"Impact","value":""},{"id":150,"name":"Time of Event (Mountain Time)","value":"10:06:12"},{"id":151,"name":"Denver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4045 --day 2017-03-01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"%USERPROFILE%\AppData\Local\Temp\OnboardLogs"\RTDC4045\*4045*20170301* | grep -SE "(Enforcement Action)|(\[TIMEOUT)|(CHR.+\|PRM\|1\|D.+(SWITCH|SIGNAL).+UNKNOWN)" - &gt;&gt; 2017-03-01-UncaughtWiMAX.txt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533</v>
      </c>
      <c r="B53" s="7">
        <v>4009</v>
      </c>
      <c r="C53" s="21" t="s">
        <v>266</v>
      </c>
      <c r="D53" s="21" t="s">
        <v>267</v>
      </c>
      <c r="E53" s="13">
        <v>42795.364201388889</v>
      </c>
      <c r="F53" s="13">
        <v>42795.365578703706</v>
      </c>
      <c r="G53" s="7">
        <v>1</v>
      </c>
      <c r="H53" s="21" t="s">
        <v>705</v>
      </c>
      <c r="I53" s="13">
        <v>42795.391087962962</v>
      </c>
      <c r="J53" s="7">
        <v>0</v>
      </c>
      <c r="K53" s="98" t="str">
        <f t="shared" si="0"/>
        <v>4009/4010</v>
      </c>
      <c r="L53" s="21" t="str">
        <f>VLOOKUP(A53,'Trips&amp;Operators'!$C$1:$G$99999,5,FALSE)</f>
        <v>BADERTSCHER DIANE</v>
      </c>
      <c r="M53" s="6">
        <f t="shared" si="1"/>
        <v>2.5509259256068617E-2</v>
      </c>
      <c r="N53" s="7">
        <f t="shared" si="21"/>
        <v>36.733333328738809</v>
      </c>
      <c r="O53" s="7"/>
      <c r="P53" s="7"/>
      <c r="Q53" s="22"/>
      <c r="R53" s="22"/>
      <c r="S53" s="31">
        <f t="shared" si="17"/>
        <v>1</v>
      </c>
      <c r="T53" s="46" t="str">
        <f t="shared" si="3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4"/>
        <v>https://d0f6bd738d7f1b3e5a7ca70fe4ff75f0.us-east-1.aws.found.io/app/kibana#/discover/Steve-Slow-Train-Analysis-(2080s-and-2083s)?_g=(refreshInterval:(display:Off,pause:!f,section:0,value:0),time:(from:'2017-03-01T07:44:27-0700',mode:absolute,to:'2017-03-01T10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3" s="187" t="str">
        <f t="shared" si="5"/>
        <v>N</v>
      </c>
      <c r="X53" s="187">
        <f t="shared" si="22"/>
        <v>1</v>
      </c>
      <c r="Y53" s="62">
        <f t="shared" si="7"/>
        <v>4.58E-2</v>
      </c>
      <c r="Z53" s="62">
        <f t="shared" si="23"/>
        <v>23.3278</v>
      </c>
      <c r="AA53" s="62">
        <f t="shared" si="9"/>
        <v>23.282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0"/>
        <v>0141-01</v>
      </c>
      <c r="AE53" s="85" t="str">
        <f t="shared" si="11"/>
        <v>aws s3 cp s3://rtdc.mdm.uploadarchive.raw/RTDC4009/ "%USERPROFILE%\AppData\Local\Temp\OnboardLogs"\RTDC4009\2017-03-01 --exclude "*" --recursive --include "*20170301*" &amp; "%USERPROFILE%\Documents\GitHub\mrs-test-scripts\Headless Mode &amp; Sideloading\WalkAndUnGZ.bat" "%USERPROFILE%\AppData\Local\Temp\OnboardLogs"\RTDC4009\2017-03-01 &amp; aws s3 cp s3://rtdc.mdm.uploadarchive.raw/RTDC4009/ "%USERPROFILE%\AppData\Local\Temp\OnboardLogs"\RTDC4009\2017-03-02 --exclude "*" --recursive --include "*20170302*" &amp; "%USERPROFILE%\Documents\GitHub\mrs-test-scripts\Headless Mode &amp; Sideloading\WalkAndUnGZ.bat" "%USERPROFILE%\AppData\Local\Temp\OnboardLogs"\RTDC4009\2017-03-02</v>
      </c>
      <c r="AF53" s="82" t="str">
        <f t="shared" si="12"/>
        <v>"C:\Program Files (x86)\AstroGrep\AstroGrep.exe" /spath="%USERPROFILE%\AppData\Local\Temp\OnboardLogs" /stypes="app*4009*20170301*" /stext=" 16:.+((SYSTEM_STATE.+slice.+state.+changed )|(ment ac)|(multiple cpu faults)|(system.+state.+changed )|(\[timeout)|(PRM\|1\|D)|(kpr)|(kdp)|(\|lc)|(penalty))" /e /r /s</v>
      </c>
      <c r="AG53" s="1" t="str">
        <f t="shared" si="13"/>
        <v>EC</v>
      </c>
      <c r="AH53" s="86" t="str">
        <f t="shared" si="18"/>
        <v>"%USERPROFILE%\Documents\GitHub\eaglep3\Utilities\RefineRTDCRunTimes.py" --tripid 141-01 --locoid 4009 --swversion DE.1.0.9.0 --startMP 204:458 --initTime 2017-03-01T08:44:27 --startdatetime 2017-03-01T08:46:26 --delay 1 --endMP 204:233278 --enddatetime 2017-03-01T09:23:10 --enforcementcount 0 &gt;&gt;C:\Users\stu\Documents\GitHub\eaglep3-reporting\EC\2017-03-01-refined-times.txt</v>
      </c>
      <c r="AI53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{"issue":{"subject":"","project_id":79,"tracker_id":40,"status_id":1,"priority_id":2,"assigned_to_id":23,"start_date":"2017-03-01","description":"","custom_fields":[{"id":1,"name":"Subdivision","value":"EC"},{"id":4,"name":"Milepost","value":"23.3278"},{"id":17,"name":"Train ID","value":"141-01"},{"id":16,"name":"Locomotive ID","value":"4009"},{"id":130,"name":"Impact","value":""},{"id":150,"name":"Time of Event (Mountain Time)","value":"09:23:10"},{"id":151,"name":"Denver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4009 --day 2017-03-01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"%USERPROFILE%\AppData\Local\Temp\OnboardLogs"\RTDC4009\*4009*20170301* | grep -SE "(Enforcement Action)|(\[TIMEOUT)|(CHR.+\|PRM\|1\|D.+(SWITCH|SIGNAL).+UNKNOWN)" - &gt;&gt; 2017-03-01-UncaughtWiMAX.txt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539</v>
      </c>
      <c r="B54" s="7">
        <v>4010</v>
      </c>
      <c r="C54" s="21" t="s">
        <v>266</v>
      </c>
      <c r="D54" s="21" t="s">
        <v>706</v>
      </c>
      <c r="E54" s="13">
        <v>42795.394120370373</v>
      </c>
      <c r="F54" s="13">
        <v>42795.403657407405</v>
      </c>
      <c r="G54" s="7">
        <v>1</v>
      </c>
      <c r="H54" s="21" t="s">
        <v>707</v>
      </c>
      <c r="I54" s="13">
        <v>42795.431921296295</v>
      </c>
      <c r="J54" s="7">
        <v>0</v>
      </c>
      <c r="K54" s="98" t="str">
        <f t="shared" si="0"/>
        <v>4009/4010</v>
      </c>
      <c r="L54" s="21" t="str">
        <f>VLOOKUP(A54,'Trips&amp;Operators'!$C$1:$G$99999,5,FALSE)</f>
        <v>BADERTSCHER DIANE</v>
      </c>
      <c r="M54" s="6">
        <f t="shared" si="1"/>
        <v>2.8263888889341615E-2</v>
      </c>
      <c r="N54" s="7">
        <f t="shared" si="21"/>
        <v>40.700000000651926</v>
      </c>
      <c r="O54" s="7"/>
      <c r="P54" s="7"/>
      <c r="Q54" s="22"/>
      <c r="R54" s="22"/>
      <c r="S54" s="31">
        <f t="shared" si="17"/>
        <v>1</v>
      </c>
      <c r="T54" s="46" t="str">
        <f t="shared" si="3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4"/>
        <v>https://d0f6bd738d7f1b3e5a7ca70fe4ff75f0.us-east-1.aws.found.io/app/kibana#/discover/Steve-Slow-Train-Analysis-(2080s-and-2083s)?_g=(refreshInterval:(display:Off,pause:!f,section:0,value:0),time:(from:'2017-03-01T08:27:32-0700',mode:absolute,to:'2017-03-01T11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4" s="187" t="str">
        <f t="shared" si="5"/>
        <v>N</v>
      </c>
      <c r="X54" s="187">
        <f t="shared" si="22"/>
        <v>1</v>
      </c>
      <c r="Y54" s="62">
        <f t="shared" si="7"/>
        <v>23.3017</v>
      </c>
      <c r="Z54" s="62">
        <f t="shared" si="23"/>
        <v>1.2500000000000001E-2</v>
      </c>
      <c r="AA54" s="62">
        <f t="shared" si="9"/>
        <v>23.289200000000001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0"/>
        <v>0142-01</v>
      </c>
      <c r="AE54" s="85" t="str">
        <f t="shared" si="11"/>
        <v>aws s3 cp s3://rtdc.mdm.uploadarchive.raw/RTDC4010/ "%USERPROFILE%\AppData\Local\Temp\OnboardLogs"\RTDC4010\2017-03-01 --exclude "*" --recursive --include "*20170301*" &amp; "%USERPROFILE%\Documents\GitHub\mrs-test-scripts\Headless Mode &amp; Sideloading\WalkAndUnGZ.bat" "%USERPROFILE%\AppData\Local\Temp\OnboardLogs"\RTDC4010\2017-03-01 &amp; aws s3 cp s3://rtdc.mdm.uploadarchive.raw/RTDC4010/ "%USERPROFILE%\AppData\Local\Temp\OnboardLogs"\RTDC4010\2017-03-02 --exclude "*" --recursive --include "*20170302*" &amp; "%USERPROFILE%\Documents\GitHub\mrs-test-scripts\Headless Mode &amp; Sideloading\WalkAndUnGZ.bat" "%USERPROFILE%\AppData\Local\Temp\OnboardLogs"\RTDC4010\2017-03-02</v>
      </c>
      <c r="AF54" s="82" t="str">
        <f t="shared" si="12"/>
        <v>"C:\Program Files (x86)\AstroGrep\AstroGrep.exe" /spath="%USERPROFILE%\AppData\Local\Temp\OnboardLogs" /stypes="app*4010*20170301*" /stext=" 17:.+((SYSTEM_STATE.+slice.+state.+changed )|(ment ac)|(multiple cpu faults)|(system.+state.+changed )|(\[timeout)|(PRM\|1\|D)|(kpr)|(kdp)|(\|lc)|(penalty))" /e /r /s</v>
      </c>
      <c r="AG54" s="1" t="str">
        <f t="shared" si="13"/>
        <v>EC</v>
      </c>
      <c r="AH54" s="86" t="str">
        <f t="shared" si="18"/>
        <v>"%USERPROFILE%\Documents\GitHub\eaglep3\Utilities\RefineRTDCRunTimes.py" --tripid 142-01 --locoid 4010 --swversion DE.1.0.9.0 --startMP 204:233017 --initTime 2017-03-01T09:27:32 --startdatetime 2017-03-01T09:41:16 --delay 1 --endMP 204:125 --enddatetime 2017-03-01T10:21:58 --enforcementcount 0 &gt;&gt;C:\Users\stu\Documents\GitHub\eaglep3-reporting\EC\2017-03-01-refined-times.txt</v>
      </c>
      <c r="AI54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{"issue":{"subject":"","project_id":79,"tracker_id":40,"status_id":1,"priority_id":2,"assigned_to_id":23,"start_date":"2017-03-01","description":"","custom_fields":[{"id":1,"name":"Subdivision","value":"EC"},{"id":4,"name":"Milepost","value":"0.0125"},{"id":17,"name":"Train ID","value":"142-01"},{"id":16,"name":"Locomotive ID","value":"4010"},{"id":130,"name":"Impact","value":""},{"id":150,"name":"Time of Event (Mountain Time)","value":"10:21:58"},{"id":151,"name":"Denver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4010 --day 2017-03-01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"%USERPROFILE%\AppData\Local\Temp\OnboardLogs"\RTDC4010\*4010*20170301* | grep -SE "(Enforcement Action)|(\[TIMEOUT)|(CHR.+\|PRM\|1\|D.+(SWITCH|SIGNAL).+UNKNOWN)" - &gt;&gt; 2017-03-01-UncaughtWiMAX.txt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442</v>
      </c>
      <c r="B55" s="7">
        <v>4002</v>
      </c>
      <c r="C55" s="21" t="s">
        <v>266</v>
      </c>
      <c r="D55" s="21" t="s">
        <v>225</v>
      </c>
      <c r="E55" s="13">
        <v>42795.370775462965</v>
      </c>
      <c r="F55" s="13">
        <v>42795.375162037039</v>
      </c>
      <c r="G55" s="7">
        <v>1</v>
      </c>
      <c r="H55" s="21" t="s">
        <v>297</v>
      </c>
      <c r="I55" s="13">
        <v>42795.401655092595</v>
      </c>
      <c r="J55" s="7">
        <v>0</v>
      </c>
      <c r="K55" s="98" t="str">
        <f t="shared" si="0"/>
        <v>4001/4002</v>
      </c>
      <c r="L55" s="21" t="str">
        <f>VLOOKUP(A55,'Trips&amp;Operators'!$C$1:$G$99999,5,FALSE)</f>
        <v>STARKS ANGELINA</v>
      </c>
      <c r="M55" s="6">
        <f t="shared" si="1"/>
        <v>2.6493055556784384E-2</v>
      </c>
      <c r="N55" s="7">
        <f t="shared" si="21"/>
        <v>38.150000001769513</v>
      </c>
      <c r="O55" s="7"/>
      <c r="P55" s="7"/>
      <c r="Q55" s="22"/>
      <c r="R55" s="22"/>
      <c r="S55" s="31">
        <f t="shared" si="17"/>
        <v>1</v>
      </c>
      <c r="T55" s="46" t="str">
        <f t="shared" si="3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4"/>
        <v>https://d0f6bd738d7f1b3e5a7ca70fe4ff75f0.us-east-1.aws.found.io/app/kibana#/discover/Steve-Slow-Train-Analysis-(2080s-and-2083s)?_g=(refreshInterval:(display:Off,pause:!f,section:0,value:0),time:(from:'2017-03-01T07:53:55-0700',mode:absolute,to:'2017-03-01T10:38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187" t="str">
        <f t="shared" si="5"/>
        <v>N</v>
      </c>
      <c r="X55" s="187">
        <f t="shared" si="22"/>
        <v>1</v>
      </c>
      <c r="Y55" s="62">
        <f t="shared" si="7"/>
        <v>4.5699999999999998E-2</v>
      </c>
      <c r="Z55" s="62">
        <f t="shared" si="23"/>
        <v>23.331199999999999</v>
      </c>
      <c r="AA55" s="62">
        <f t="shared" si="9"/>
        <v>23.285499999999999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0"/>
        <v>0143-01</v>
      </c>
      <c r="AE55" s="85" t="str">
        <f t="shared" si="11"/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AF55" s="82" t="str">
        <f t="shared" si="12"/>
        <v>"C:\Program Files (x86)\AstroGrep\AstroGrep.exe" /spath="%USERPROFILE%\AppData\Local\Temp\OnboardLogs" /stypes="app*4002*20170301*" /stext=" 16:.+((SYSTEM_STATE.+slice.+state.+changed )|(ment ac)|(multiple cpu faults)|(system.+state.+changed )|(\[timeout)|(PRM\|1\|D)|(kpr)|(kdp)|(\|lc)|(penalty))" /e /r /s</v>
      </c>
      <c r="AG55" s="1" t="str">
        <f t="shared" si="13"/>
        <v>EC</v>
      </c>
      <c r="AH55" s="86" t="str">
        <f t="shared" si="18"/>
        <v>"%USERPROFILE%\Documents\GitHub\eaglep3\Utilities\RefineRTDCRunTimes.py" --tripid 143-01 --locoid 4002 --swversion DE.1.0.9.0 --startMP 204:457 --initTime 2017-03-01T08:53:55 --startdatetime 2017-03-01T09:00:14 --delay 1 --endMP 204:233312 --enddatetime 2017-03-01T09:38:23 --enforcementcount 0 &gt;&gt;C:\Users\stu\Documents\GitHub\eaglep3-reporting\EC\2017-03-01-refined-times.txt</v>
      </c>
      <c r="AI55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{"issue":{"subject":"","project_id":79,"tracker_id":40,"status_id":1,"priority_id":2,"assigned_to_id":23,"start_date":"2017-03-01","description":"","custom_fields":[{"id":1,"name":"Subdivision","value":"EC"},{"id":4,"name":"Milepost","value":"23.3312"},{"id":17,"name":"Train ID","value":"143-01"},{"id":16,"name":"Locomotive ID","value":"4002"},{"id":130,"name":"Impact","value":""},{"id":150,"name":"Time of Event (Mountain Time)","value":"09:38:23"},{"id":151,"name":"Denver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4002 --day 2017-03-01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"%USERPROFILE%\AppData\Local\Temp\OnboardLogs"\RTDC4002\*4002*20170301* | grep -SE "(Enforcement Action)|(\[TIMEOUT)|(CHR.+\|PRM\|1\|D.+(SWITCH|SIGNAL).+UNKNOWN)" - &gt;&gt; 2017-03-01-UncaughtWiMAX.txt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542</v>
      </c>
      <c r="B56" s="7">
        <v>4001</v>
      </c>
      <c r="C56" s="21" t="s">
        <v>266</v>
      </c>
      <c r="D56" s="21" t="s">
        <v>708</v>
      </c>
      <c r="E56" s="13">
        <v>42795.40357638889</v>
      </c>
      <c r="F56" s="13">
        <v>42795.414340277777</v>
      </c>
      <c r="G56" s="7">
        <v>1</v>
      </c>
      <c r="H56" s="21" t="s">
        <v>253</v>
      </c>
      <c r="I56" s="13">
        <v>42795.441759259258</v>
      </c>
      <c r="J56" s="7">
        <v>0</v>
      </c>
      <c r="K56" s="98" t="str">
        <f t="shared" si="0"/>
        <v>4001/4002</v>
      </c>
      <c r="L56" s="21" t="str">
        <f>VLOOKUP(A56,'Trips&amp;Operators'!$C$1:$G$99999,5,FALSE)</f>
        <v>STARKS ANGELINA</v>
      </c>
      <c r="M56" s="6">
        <f t="shared" si="1"/>
        <v>2.7418981480877846E-2</v>
      </c>
      <c r="N56" s="7">
        <f t="shared" si="21"/>
        <v>39.483333332464099</v>
      </c>
      <c r="O56" s="7"/>
      <c r="P56" s="7"/>
      <c r="Q56" s="22"/>
      <c r="R56" s="22"/>
      <c r="S56" s="31">
        <f t="shared" si="17"/>
        <v>1</v>
      </c>
      <c r="T56" s="46" t="str">
        <f t="shared" si="3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4"/>
        <v>https://d0f6bd738d7f1b3e5a7ca70fe4ff75f0.us-east-1.aws.found.io/app/kibana#/discover/Steve-Slow-Train-Analysis-(2080s-and-2083s)?_g=(refreshInterval:(display:Off,pause:!f,section:0,value:0),time:(from:'2017-03-01T08:41:09-0700',mode:absolute,to:'2017-03-01T11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187" t="str">
        <f t="shared" si="5"/>
        <v>N</v>
      </c>
      <c r="X56" s="187">
        <f t="shared" si="22"/>
        <v>1</v>
      </c>
      <c r="Y56" s="62">
        <f t="shared" si="7"/>
        <v>23.298400000000001</v>
      </c>
      <c r="Z56" s="62">
        <f t="shared" si="23"/>
        <v>1.5599999999999999E-2</v>
      </c>
      <c r="AA56" s="62">
        <f t="shared" si="9"/>
        <v>23.282800000000002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0"/>
        <v>0144-01</v>
      </c>
      <c r="AE56" s="85" t="str">
        <f t="shared" si="11"/>
        <v>aws s3 cp s3://rtdc.mdm.uploadarchive.raw/RTDC4001/ "%USERPROFILE%\AppData\Local\Temp\OnboardLogs"\RTDC4001\2017-03-01 --exclude "*" --recursive --include "*20170301*" &amp; "%USERPROFILE%\Documents\GitHub\mrs-test-scripts\Headless Mode &amp; Sideloading\WalkAndUnGZ.bat" "%USERPROFILE%\AppData\Local\Temp\OnboardLogs"\RTDC4001\2017-03-01 &amp; aws s3 cp s3://rtdc.mdm.uploadarchive.raw/RTDC4001/ "%USERPROFILE%\AppData\Local\Temp\OnboardLogs"\RTDC4001\2017-03-02 --exclude "*" --recursive --include "*20170302*" &amp; "%USERPROFILE%\Documents\GitHub\mrs-test-scripts\Headless Mode &amp; Sideloading\WalkAndUnGZ.bat" "%USERPROFILE%\AppData\Local\Temp\OnboardLogs"\RTDC4001\2017-03-02</v>
      </c>
      <c r="AF56" s="82" t="str">
        <f t="shared" si="12"/>
        <v>"C:\Program Files (x86)\AstroGrep\AstroGrep.exe" /spath="%USERPROFILE%\AppData\Local\Temp\OnboardLogs" /stypes="app*4001*20170301*" /stext=" 17:.+((SYSTEM_STATE.+slice.+state.+changed )|(ment ac)|(multiple cpu faults)|(system.+state.+changed )|(\[timeout)|(PRM\|1\|D)|(kpr)|(kdp)|(\|lc)|(penalty))" /e /r /s</v>
      </c>
      <c r="AG56" s="1" t="str">
        <f t="shared" si="13"/>
        <v>EC</v>
      </c>
      <c r="AH56" s="86" t="str">
        <f t="shared" si="18"/>
        <v>"%USERPROFILE%\Documents\GitHub\eaglep3\Utilities\RefineRTDCRunTimes.py" --tripid 144-01 --locoid 4001 --swversion DE.1.0.9.0 --startMP 204:232984 --initTime 2017-03-01T09:41:09 --startdatetime 2017-03-01T09:56:39 --delay 1 --endMP 204:156 --enddatetime 2017-03-01T10:36:08 --enforcementcount 0 &gt;&gt;C:\Users\stu\Documents\GitHub\eaglep3-reporting\EC\2017-03-01-refined-times.txt</v>
      </c>
      <c r="AI56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{"issue":{"subject":"","project_id":79,"tracker_id":40,"status_id":1,"priority_id":2,"assigned_to_id":23,"start_date":"2017-03-01","description":"","custom_fields":[{"id":1,"name":"Subdivision","value":"EC"},{"id":4,"name":"Milepost","value":"0.0156"},{"id":17,"name":"Train ID","value":"144-01"},{"id":16,"name":"Locomotive ID","value":"4001"},{"id":130,"name":"Impact","value":""},{"id":150,"name":"Time of Event (Mountain Time)","value":"10:36:08"},{"id":151,"name":"Denver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4001 --day 2017-03-01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"%USERPROFILE%\AppData\Local\Temp\OnboardLogs"\RTDC4001\*4001*20170301* | grep -SE "(Enforcement Action)|(\[TIMEOUT)|(CHR.+\|PRM\|1\|D.+(SWITCH|SIGNAL).+UNKNOWN)" - &gt;&gt; 2017-03-01-UncaughtWiMAX.txt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536</v>
      </c>
      <c r="B57" s="7">
        <v>4024</v>
      </c>
      <c r="C57" s="21" t="s">
        <v>266</v>
      </c>
      <c r="D57" s="21" t="s">
        <v>709</v>
      </c>
      <c r="E57" s="13">
        <v>42795.381354166668</v>
      </c>
      <c r="F57" s="13">
        <v>42795.385671296295</v>
      </c>
      <c r="G57" s="7">
        <v>4</v>
      </c>
      <c r="H57" s="21" t="s">
        <v>268</v>
      </c>
      <c r="I57" s="13">
        <v>42795.410775462966</v>
      </c>
      <c r="J57" s="7">
        <v>0</v>
      </c>
      <c r="K57" s="98" t="str">
        <f t="shared" si="0"/>
        <v>4023/4024</v>
      </c>
      <c r="L57" s="21" t="str">
        <f>VLOOKUP(A57,'Trips&amp;Operators'!$C$1:$G$99999,5,FALSE)</f>
        <v>MAELZER KURT</v>
      </c>
      <c r="M57" s="6">
        <f t="shared" si="1"/>
        <v>2.510416667064419E-2</v>
      </c>
      <c r="N57" s="7">
        <f t="shared" si="21"/>
        <v>36.150000005727634</v>
      </c>
      <c r="O57" s="7"/>
      <c r="P57" s="7"/>
      <c r="Q57" s="22"/>
      <c r="R57" s="22"/>
      <c r="S57" s="31">
        <f t="shared" si="17"/>
        <v>1</v>
      </c>
      <c r="T57" s="46" t="str">
        <f t="shared" si="3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4"/>
        <v>https://d0f6bd738d7f1b3e5a7ca70fe4ff75f0.us-east-1.aws.found.io/app/kibana#/discover/Steve-Slow-Train-Analysis-(2080s-and-2083s)?_g=(refreshInterval:(display:Off,pause:!f,section:0,value:0),time:(from:'2017-03-01T08:09:09-0700',mode:absolute,to:'2017-03-01T10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7" s="187" t="str">
        <f t="shared" si="5"/>
        <v>N</v>
      </c>
      <c r="X57" s="187">
        <f t="shared" si="22"/>
        <v>1</v>
      </c>
      <c r="Y57" s="62">
        <f t="shared" si="7"/>
        <v>4.6899999999999997E-2</v>
      </c>
      <c r="Z57" s="62">
        <f t="shared" si="23"/>
        <v>23.333200000000001</v>
      </c>
      <c r="AA57" s="62">
        <f t="shared" si="9"/>
        <v>23.286300000000001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0"/>
        <v>0145-01</v>
      </c>
      <c r="AE57" s="85" t="str">
        <f t="shared" si="11"/>
        <v>aws s3 cp s3://rtdc.mdm.uploadarchive.raw/RTDC4024/ "%USERPROFILE%\AppData\Local\Temp\OnboardLogs"\RTDC4024\2017-03-01 --exclude "*" --recursive --include "*20170301*" &amp; "%USERPROFILE%\Documents\GitHub\mrs-test-scripts\Headless Mode &amp; Sideloading\WalkAndUnGZ.bat" "%USERPROFILE%\AppData\Local\Temp\OnboardLogs"\RTDC4024\2017-03-01 &amp; aws s3 cp s3://rtdc.mdm.uploadarchive.raw/RTDC4024/ "%USERPROFILE%\AppData\Local\Temp\OnboardLogs"\RTDC4024\2017-03-02 --exclude "*" --recursive --include "*20170302*" &amp; "%USERPROFILE%\Documents\GitHub\mrs-test-scripts\Headless Mode &amp; Sideloading\WalkAndUnGZ.bat" "%USERPROFILE%\AppData\Local\Temp\OnboardLogs"\RTDC4024\2017-03-02</v>
      </c>
      <c r="AF57" s="82" t="str">
        <f t="shared" si="12"/>
        <v>"C:\Program Files (x86)\AstroGrep\AstroGrep.exe" /spath="%USERPROFILE%\AppData\Local\Temp\OnboardLogs" /stypes="app*4024*20170301*" /stext=" 16:.+((SYSTEM_STATE.+slice.+state.+changed )|(ment ac)|(multiple cpu faults)|(system.+state.+changed )|(\[timeout)|(PRM\|1\|D)|(kpr)|(kdp)|(\|lc)|(penalty))" /e /r /s</v>
      </c>
      <c r="AG57" s="1" t="str">
        <f t="shared" si="13"/>
        <v>EC</v>
      </c>
      <c r="AH57" s="86" t="str">
        <f t="shared" si="18"/>
        <v>"%USERPROFILE%\Documents\GitHub\eaglep3\Utilities\RefineRTDCRunTimes.py" --tripid 145-01 --locoid 4024 --swversion DE.1.0.9.0 --startMP 204:469 --initTime 2017-03-01T09:09:09 --startdatetime 2017-03-01T09:15:22 --delay 4 --endMP 204:233332 --enddatetime 2017-03-01T09:51:31 --enforcementcount 0 &gt;&gt;C:\Users\stu\Documents\GitHub\eaglep3-reporting\EC\2017-03-01-refined-times.txt</v>
      </c>
      <c r="AI57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{"issue":{"subject":"","project_id":79,"tracker_id":40,"status_id":1,"priority_id":2,"assigned_to_id":23,"start_date":"2017-03-01","description":"","custom_fields":[{"id":1,"name":"Subdivision","value":"EC"},{"id":4,"name":"Milepost","value":"23.3332"},{"id":17,"name":"Train ID","value":"145-01"},{"id":16,"name":"Locomotive ID","value":"4024"},{"id":130,"name":"Impact","value":""},{"id":150,"name":"Time of Event (Mountain Time)","value":"09:51:31"},{"id":151,"name":"Denver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4024 --day 2017-03-01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"%USERPROFILE%\AppData\Local\Temp\OnboardLogs"\RTDC4024\*4024*20170301* | grep -SE "(Enforcement Action)|(\[TIMEOUT)|(CHR.+\|PRM\|1\|D.+(SWITCH|SIGNAL).+UNKNOWN)" - &gt;&gt; 2017-03-01-UncaughtWiMAX.txt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544</v>
      </c>
      <c r="B58" s="7">
        <v>4023</v>
      </c>
      <c r="C58" s="21" t="s">
        <v>266</v>
      </c>
      <c r="D58" s="21" t="s">
        <v>406</v>
      </c>
      <c r="E58" s="13">
        <v>42795.418206018519</v>
      </c>
      <c r="F58" s="13">
        <v>42795.424745370372</v>
      </c>
      <c r="G58" s="7">
        <v>1</v>
      </c>
      <c r="H58" s="21" t="s">
        <v>256</v>
      </c>
      <c r="I58" s="13">
        <v>42795.451898148145</v>
      </c>
      <c r="J58" s="7">
        <v>0</v>
      </c>
      <c r="K58" s="98" t="str">
        <f t="shared" si="0"/>
        <v>4023/4024</v>
      </c>
      <c r="L58" s="21" t="str">
        <f>VLOOKUP(A58,'Trips&amp;Operators'!$C$1:$G$99999,5,FALSE)</f>
        <v>MAELZER KURT</v>
      </c>
      <c r="M58" s="6">
        <f t="shared" si="1"/>
        <v>2.7152777773153502E-2</v>
      </c>
      <c r="N58" s="7">
        <f t="shared" si="21"/>
        <v>39.099999993341044</v>
      </c>
      <c r="O58" s="7"/>
      <c r="P58" s="7"/>
      <c r="Q58" s="22"/>
      <c r="R58" s="22"/>
      <c r="S58" s="31">
        <f t="shared" si="17"/>
        <v>1</v>
      </c>
      <c r="T58" s="46" t="str">
        <f t="shared" si="3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4"/>
        <v>https://d0f6bd738d7f1b3e5a7ca70fe4ff75f0.us-east-1.aws.found.io/app/kibana#/discover/Steve-Slow-Train-Analysis-(2080s-and-2083s)?_g=(refreshInterval:(display:Off,pause:!f,section:0,value:0),time:(from:'2017-03-01T09:02:13-0700',mode:absolute,to:'2017-03-01T11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8" s="187" t="str">
        <f t="shared" si="5"/>
        <v>N</v>
      </c>
      <c r="X58" s="187">
        <f t="shared" si="22"/>
        <v>1</v>
      </c>
      <c r="Y58" s="62">
        <f t="shared" si="7"/>
        <v>23.301500000000001</v>
      </c>
      <c r="Z58" s="62">
        <f t="shared" si="23"/>
        <v>1.47E-2</v>
      </c>
      <c r="AA58" s="62">
        <f t="shared" si="9"/>
        <v>23.286799999999999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0"/>
        <v>0146-01</v>
      </c>
      <c r="AE58" s="85" t="str">
        <f t="shared" si="11"/>
        <v>aws s3 cp s3://rtdc.mdm.uploadarchive.raw/RTDC4023/ "%USERPROFILE%\AppData\Local\Temp\OnboardLogs"\RTDC4023\2017-03-01 --exclude "*" --recursive --include "*20170301*" &amp; "%USERPROFILE%\Documents\GitHub\mrs-test-scripts\Headless Mode &amp; Sideloading\WalkAndUnGZ.bat" "%USERPROFILE%\AppData\Local\Temp\OnboardLogs"\RTDC4023\2017-03-01 &amp; aws s3 cp s3://rtdc.mdm.uploadarchive.raw/RTDC4023/ "%USERPROFILE%\AppData\Local\Temp\OnboardLogs"\RTDC4023\2017-03-02 --exclude "*" --recursive --include "*20170302*" &amp; "%USERPROFILE%\Documents\GitHub\mrs-test-scripts\Headless Mode &amp; Sideloading\WalkAndUnGZ.bat" "%USERPROFILE%\AppData\Local\Temp\OnboardLogs"\RTDC4023\2017-03-02</v>
      </c>
      <c r="AF58" s="82" t="str">
        <f t="shared" si="12"/>
        <v>"C:\Program Files (x86)\AstroGrep\AstroGrep.exe" /spath="%USERPROFILE%\AppData\Local\Temp\OnboardLogs" /stypes="app*4023*20170301*" /stext=" 17:.+((SYSTEM_STATE.+slice.+state.+changed )|(ment ac)|(multiple cpu faults)|(system.+state.+changed )|(\[timeout)|(PRM\|1\|D)|(kpr)|(kdp)|(\|lc)|(penalty))" /e /r /s</v>
      </c>
      <c r="AG58" s="1" t="str">
        <f t="shared" si="13"/>
        <v>EC</v>
      </c>
      <c r="AH58" s="86" t="str">
        <f t="shared" si="18"/>
        <v>"%USERPROFILE%\Documents\GitHub\eaglep3\Utilities\RefineRTDCRunTimes.py" --tripid 146-01 --locoid 4023 --swversion DE.1.0.9.0 --startMP 204:233015 --initTime 2017-03-01T10:02:13 --startdatetime 2017-03-01T10:11:38 --delay 1 --endMP 204:147 --enddatetime 2017-03-01T10:50:44 --enforcementcount 0 &gt;&gt;C:\Users\stu\Documents\GitHub\eaglep3-reporting\EC\2017-03-01-refined-times.txt</v>
      </c>
      <c r="AI58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{"issue":{"subject":"","project_id":79,"tracker_id":40,"status_id":1,"priority_id":2,"assigned_to_id":23,"start_date":"2017-03-01","description":"","custom_fields":[{"id":1,"name":"Subdivision","value":"EC"},{"id":4,"name":"Milepost","value":"0.0147"},{"id":17,"name":"Train ID","value":"146-01"},{"id":16,"name":"Locomotive ID","value":"4023"},{"id":130,"name":"Impact","value":""},{"id":150,"name":"Time of Event (Mountain Time)","value":"10:50:44"},{"id":151,"name":"Denver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4023 --day 2017-03-01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"%USERPROFILE%\AppData\Local\Temp\OnboardLogs"\RTDC4023\*4023*20170301* | grep -SE "(Enforcement Action)|(\[TIMEOUT)|(CHR.+\|PRM\|1\|D.+(SWITCH|SIGNAL).+UNKNOWN)" - &gt;&gt; 2017-03-01-UncaughtWiMAX.txt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538</v>
      </c>
      <c r="B59" s="7">
        <v>4031</v>
      </c>
      <c r="C59" s="21" t="s">
        <v>266</v>
      </c>
      <c r="D59" s="21" t="s">
        <v>228</v>
      </c>
      <c r="E59" s="13">
        <v>42795.39166666667</v>
      </c>
      <c r="F59" s="13">
        <v>42795.396006944444</v>
      </c>
      <c r="G59" s="7">
        <v>1</v>
      </c>
      <c r="H59" s="21" t="s">
        <v>323</v>
      </c>
      <c r="I59" s="13">
        <v>42795.421817129631</v>
      </c>
      <c r="J59" s="7">
        <v>0</v>
      </c>
      <c r="K59" s="98" t="str">
        <f t="shared" si="0"/>
        <v>4031/4032</v>
      </c>
      <c r="L59" s="21" t="str">
        <f>VLOOKUP(A59,'Trips&amp;Operators'!$C$1:$G$99999,5,FALSE)</f>
        <v>GEBRETEKLE DAGNEW</v>
      </c>
      <c r="M59" s="6">
        <f t="shared" si="1"/>
        <v>2.5810185186855961E-2</v>
      </c>
      <c r="N59" s="7">
        <f t="shared" si="21"/>
        <v>37.166666669072583</v>
      </c>
      <c r="O59" s="7"/>
      <c r="P59" s="7"/>
      <c r="Q59" s="22"/>
      <c r="R59" s="22"/>
      <c r="S59" s="31">
        <f t="shared" si="17"/>
        <v>1</v>
      </c>
      <c r="T59" s="46" t="str">
        <f t="shared" si="3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4"/>
        <v>https://d0f6bd738d7f1b3e5a7ca70fe4ff75f0.us-east-1.aws.found.io/app/kibana#/discover/Steve-Slow-Train-Analysis-(2080s-and-2083s)?_g=(refreshInterval:(display:Off,pause:!f,section:0,value:0),time:(from:'2017-03-01T08:24:00-0700',mode:absolute,to:'2017-03-01T11:07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9" s="187" t="str">
        <f t="shared" si="5"/>
        <v>N</v>
      </c>
      <c r="X59" s="187">
        <f t="shared" si="22"/>
        <v>1</v>
      </c>
      <c r="Y59" s="62">
        <f t="shared" si="7"/>
        <v>4.5999999999999999E-2</v>
      </c>
      <c r="Z59" s="62">
        <f t="shared" si="23"/>
        <v>23.331099999999999</v>
      </c>
      <c r="AA59" s="62">
        <f t="shared" si="9"/>
        <v>23.2851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0"/>
        <v>0147-01</v>
      </c>
      <c r="AE59" s="85" t="str">
        <f t="shared" si="11"/>
        <v>aws s3 cp s3://rtdc.mdm.uploadarchive.raw/RTDC4031/ "%USERPROFILE%\AppData\Local\Temp\OnboardLogs"\RTDC4031\2017-03-01 --exclude "*" --recursive --include "*20170301*" &amp; "%USERPROFILE%\Documents\GitHub\mrs-test-scripts\Headless Mode &amp; Sideloading\WalkAndUnGZ.bat" "%USERPROFILE%\AppData\Local\Temp\OnboardLogs"\RTDC4031\2017-03-01 &amp; aws s3 cp s3://rtdc.mdm.uploadarchive.raw/RTDC4031/ "%USERPROFILE%\AppData\Local\Temp\OnboardLogs"\RTDC4031\2017-03-02 --exclude "*" --recursive --include "*20170302*" &amp; "%USERPROFILE%\Documents\GitHub\mrs-test-scripts\Headless Mode &amp; Sideloading\WalkAndUnGZ.bat" "%USERPROFILE%\AppData\Local\Temp\OnboardLogs"\RTDC4031\2017-03-02</v>
      </c>
      <c r="AF59" s="82" t="str">
        <f t="shared" si="12"/>
        <v>"C:\Program Files (x86)\AstroGrep\AstroGrep.exe" /spath="%USERPROFILE%\AppData\Local\Temp\OnboardLogs" /stypes="app*4031*20170301*" /stext=" 17:.+((SYSTEM_STATE.+slice.+state.+changed )|(ment ac)|(multiple cpu faults)|(system.+state.+changed )|(\[timeout)|(PRM\|1\|D)|(kpr)|(kdp)|(\|lc)|(penalty))" /e /r /s</v>
      </c>
      <c r="AG59" s="1" t="str">
        <f t="shared" si="13"/>
        <v>EC</v>
      </c>
      <c r="AH59" s="86" t="str">
        <f t="shared" si="18"/>
        <v>"%USERPROFILE%\Documents\GitHub\eaglep3\Utilities\RefineRTDCRunTimes.py" --tripid 147-01 --locoid 4031 --swversion DE.1.0.9.0 --startMP 204:460 --initTime 2017-03-01T09:24:00 --startdatetime 2017-03-01T09:30:15 --delay 1 --endMP 204:233311 --enddatetime 2017-03-01T10:07:25 --enforcementcount 0 &gt;&gt;C:\Users\stu\Documents\GitHub\eaglep3-reporting\EC\2017-03-01-refined-times.txt</v>
      </c>
      <c r="AI59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{"issue":{"subject":"","project_id":79,"tracker_id":40,"status_id":1,"priority_id":2,"assigned_to_id":23,"start_date":"2017-03-01","description":"","custom_fields":[{"id":1,"name":"Subdivision","value":"EC"},{"id":4,"name":"Milepost","value":"23.3311"},{"id":17,"name":"Train ID","value":"147-01"},{"id":16,"name":"Locomotive ID","value":"4031"},{"id":130,"name":"Impact","value":""},{"id":150,"name":"Time of Event (Mountain Time)","value":"10:07:25"},{"id":151,"name":"Denver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4031 --day 2017-03-01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"%USERPROFILE%\AppData\Local\Temp\OnboardLogs"\RTDC4031\*4031*20170301* | grep -SE "(Enforcement Action)|(\[TIMEOUT)|(CHR.+\|PRM\|1\|D.+(SWITCH|SIGNAL).+UNKNOWN)" - &gt;&gt; 2017-03-01-UncaughtWiMAX.txt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546</v>
      </c>
      <c r="B60" s="7">
        <v>4032</v>
      </c>
      <c r="C60" s="21" t="s">
        <v>266</v>
      </c>
      <c r="D60" s="21" t="s">
        <v>316</v>
      </c>
      <c r="E60" s="13">
        <v>42795.430254629631</v>
      </c>
      <c r="F60" s="13">
        <v>42795.435104166667</v>
      </c>
      <c r="G60" s="7">
        <v>2</v>
      </c>
      <c r="H60" s="21" t="s">
        <v>213</v>
      </c>
      <c r="I60" s="13">
        <v>42795.462233796294</v>
      </c>
      <c r="J60" s="7">
        <v>0</v>
      </c>
      <c r="K60" s="98" t="str">
        <f t="shared" si="0"/>
        <v>4031/4032</v>
      </c>
      <c r="L60" s="21" t="str">
        <f>VLOOKUP(A60,'Trips&amp;Operators'!$C$1:$G$99999,5,FALSE)</f>
        <v>GEBRETEKLE DAGNEW</v>
      </c>
      <c r="M60" s="6">
        <f t="shared" si="1"/>
        <v>2.7129629626870155E-2</v>
      </c>
      <c r="N60" s="7">
        <f t="shared" si="21"/>
        <v>39.066666662693024</v>
      </c>
      <c r="O60" s="7"/>
      <c r="P60" s="7"/>
      <c r="Q60" s="22"/>
      <c r="R60" s="22"/>
      <c r="S60" s="31">
        <f t="shared" si="17"/>
        <v>1</v>
      </c>
      <c r="T60" s="46" t="str">
        <f t="shared" si="3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4"/>
        <v>https://d0f6bd738d7f1b3e5a7ca70fe4ff75f0.us-east-1.aws.found.io/app/kibana#/discover/Steve-Slow-Train-Analysis-(2080s-and-2083s)?_g=(refreshInterval:(display:Off,pause:!f,section:0,value:0),time:(from:'2017-03-01T09:19:34-0700',mode:absolute,to:'2017-03-01T12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0" s="187" t="str">
        <f t="shared" si="5"/>
        <v>N</v>
      </c>
      <c r="X60" s="187">
        <f t="shared" si="22"/>
        <v>1</v>
      </c>
      <c r="Y60" s="62">
        <f t="shared" si="7"/>
        <v>23.299800000000001</v>
      </c>
      <c r="Z60" s="62">
        <f t="shared" si="23"/>
        <v>1.54E-2</v>
      </c>
      <c r="AA60" s="62">
        <f t="shared" si="9"/>
        <v>23.284400000000002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0"/>
        <v>0148-01</v>
      </c>
      <c r="AE60" s="85" t="str">
        <f t="shared" si="11"/>
        <v>aws s3 cp s3://rtdc.mdm.uploadarchive.raw/RTDC4032/ "%USERPROFILE%\AppData\Local\Temp\OnboardLogs"\RTDC4032\2017-03-01 --exclude "*" --recursive --include "*20170301*" &amp; "%USERPROFILE%\Documents\GitHub\mrs-test-scripts\Headless Mode &amp; Sideloading\WalkAndUnGZ.bat" "%USERPROFILE%\AppData\Local\Temp\OnboardLogs"\RTDC4032\2017-03-01 &amp; aws s3 cp s3://rtdc.mdm.uploadarchive.raw/RTDC4032/ "%USERPROFILE%\AppData\Local\Temp\OnboardLogs"\RTDC4032\2017-03-02 --exclude "*" --recursive --include "*20170302*" &amp; "%USERPROFILE%\Documents\GitHub\mrs-test-scripts\Headless Mode &amp; Sideloading\WalkAndUnGZ.bat" "%USERPROFILE%\AppData\Local\Temp\OnboardLogs"\RTDC4032\2017-03-02</v>
      </c>
      <c r="AF60" s="82" t="str">
        <f t="shared" si="12"/>
        <v>"C:\Program Files (x86)\AstroGrep\AstroGrep.exe" /spath="%USERPROFILE%\AppData\Local\Temp\OnboardLogs" /stypes="app*4032*20170301*" /stext=" 18:.+((SYSTEM_STATE.+slice.+state.+changed )|(ment ac)|(multiple cpu faults)|(system.+state.+changed )|(\[timeout)|(PRM\|1\|D)|(kpr)|(kdp)|(\|lc)|(penalty))" /e /r /s</v>
      </c>
      <c r="AG60" s="1" t="str">
        <f t="shared" si="13"/>
        <v>EC</v>
      </c>
      <c r="AH60" s="86" t="str">
        <f t="shared" si="18"/>
        <v>"%USERPROFILE%\Documents\GitHub\eaglep3\Utilities\RefineRTDCRunTimes.py" --tripid 148-01 --locoid 4032 --swversion DE.1.0.9.0 --startMP 204:232998 --initTime 2017-03-01T10:19:34 --startdatetime 2017-03-01T10:26:33 --delay 2 --endMP 204:154 --enddatetime 2017-03-01T11:05:37 --enforcementcount 0 &gt;&gt;C:\Users\stu\Documents\GitHub\eaglep3-reporting\EC\2017-03-01-refined-times.txt</v>
      </c>
      <c r="AI60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{"issue":{"subject":"","project_id":79,"tracker_id":40,"status_id":1,"priority_id":2,"assigned_to_id":23,"start_date":"2017-03-01","description":"","custom_fields":[{"id":1,"name":"Subdivision","value":"EC"},{"id":4,"name":"Milepost","value":"0.0154"},{"id":17,"name":"Train ID","value":"148-01"},{"id":16,"name":"Locomotive ID","value":"4032"},{"id":130,"name":"Impact","value":""},{"id":150,"name":"Time of Event (Mountain Time)","value":"11:05:37"},{"id":151,"name":"Denver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4032 --day 2017-03-01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"%USERPROFILE%\AppData\Local\Temp\OnboardLogs"\RTDC4032\*4032*20170301* | grep -SE "(Enforcement Action)|(\[TIMEOUT)|(CHR.+\|PRM\|1\|D.+(SWITCH|SIGNAL).+UNKNOWN)" - &gt;&gt; 2017-03-01-UncaughtWiMAX.txt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541</v>
      </c>
      <c r="B61" s="7">
        <v>4029</v>
      </c>
      <c r="C61" s="21" t="s">
        <v>266</v>
      </c>
      <c r="D61" s="21" t="s">
        <v>709</v>
      </c>
      <c r="E61" s="13">
        <v>42795.402280092596</v>
      </c>
      <c r="F61" s="13">
        <v>42795.406400462962</v>
      </c>
      <c r="G61" s="7">
        <v>0</v>
      </c>
      <c r="H61" s="21" t="s">
        <v>710</v>
      </c>
      <c r="I61" s="13">
        <v>42795.431516203702</v>
      </c>
      <c r="J61" s="7">
        <v>0</v>
      </c>
      <c r="K61" s="98" t="str">
        <f t="shared" si="0"/>
        <v>4029/4030</v>
      </c>
      <c r="L61" s="21" t="str">
        <f>VLOOKUP(A61,'Trips&amp;Operators'!$C$1:$G$99999,5,FALSE)</f>
        <v>LOCKLEAR TRAVIS</v>
      </c>
      <c r="M61" s="6">
        <f t="shared" si="1"/>
        <v>2.5115740740147885E-2</v>
      </c>
      <c r="N61" s="7">
        <f t="shared" si="21"/>
        <v>36.166666665812954</v>
      </c>
      <c r="O61" s="7"/>
      <c r="P61" s="7"/>
      <c r="Q61" s="22"/>
      <c r="R61" s="22"/>
      <c r="S61" s="31">
        <f t="shared" si="17"/>
        <v>1</v>
      </c>
      <c r="T61" s="46" t="str">
        <f t="shared" si="3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4"/>
        <v>https://d0f6bd738d7f1b3e5a7ca70fe4ff75f0.us-east-1.aws.found.io/app/kibana#/discover/Steve-Slow-Train-Analysis-(2080s-and-2083s)?_g=(refreshInterval:(display:Off,pause:!f,section:0,value:0),time:(from:'2017-03-01T08:39:17-0700',mode:absolute,to:'2017-03-01T11:21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1" s="187" t="str">
        <f t="shared" si="5"/>
        <v>N</v>
      </c>
      <c r="X61" s="187">
        <f t="shared" si="22"/>
        <v>1</v>
      </c>
      <c r="Y61" s="62">
        <f t="shared" si="7"/>
        <v>4.6899999999999997E-2</v>
      </c>
      <c r="Z61" s="62">
        <f t="shared" si="23"/>
        <v>23.3338</v>
      </c>
      <c r="AA61" s="62">
        <f t="shared" si="9"/>
        <v>23.286899999999999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0"/>
        <v>0149-01</v>
      </c>
      <c r="AE61" s="85" t="str">
        <f t="shared" si="11"/>
        <v>aws s3 cp s3://rtdc.mdm.uploadarchive.raw/RTDC4029/ "%USERPROFILE%\AppData\Local\Temp\OnboardLogs"\RTDC4029\2017-03-01 --exclude "*" --recursive --include "*20170301*" &amp; "%USERPROFILE%\Documents\GitHub\mrs-test-scripts\Headless Mode &amp; Sideloading\WalkAndUnGZ.bat" "%USERPROFILE%\AppData\Local\Temp\OnboardLogs"\RTDC4029\2017-03-01 &amp; aws s3 cp s3://rtdc.mdm.uploadarchive.raw/RTDC4029/ "%USERPROFILE%\AppData\Local\Temp\OnboardLogs"\RTDC4029\2017-03-02 --exclude "*" --recursive --include "*20170302*" &amp; "%USERPROFILE%\Documents\GitHub\mrs-test-scripts\Headless Mode &amp; Sideloading\WalkAndUnGZ.bat" "%USERPROFILE%\AppData\Local\Temp\OnboardLogs"\RTDC4029\2017-03-02</v>
      </c>
      <c r="AF61" s="82" t="str">
        <f t="shared" si="12"/>
        <v>"C:\Program Files (x86)\AstroGrep\AstroGrep.exe" /spath="%USERPROFILE%\AppData\Local\Temp\OnboardLogs" /stypes="app*4029*20170301*" /stext=" 17:.+((SYSTEM_STATE.+slice.+state.+changed )|(ment ac)|(multiple cpu faults)|(system.+state.+changed )|(\[timeout)|(PRM\|1\|D)|(kpr)|(kdp)|(\|lc)|(penalty))" /e /r /s</v>
      </c>
      <c r="AG61" s="1" t="str">
        <f t="shared" si="13"/>
        <v>EC</v>
      </c>
      <c r="AH61" s="86" t="str">
        <f t="shared" si="18"/>
        <v>"%USERPROFILE%\Documents\GitHub\eaglep3\Utilities\RefineRTDCRunTimes.py" --tripid 149-01 --locoid 4029 --swversion DE.1.0.9.0 --startMP 204:469 --initTime 2017-03-01T09:39:17 --startdatetime 2017-03-01T09:45:13 --delay 0 --endMP 204:233338 --enddatetime 2017-03-01T10:21:23 --enforcementcount 0 &gt;&gt;C:\Users\stu\Documents\GitHub\eaglep3-reporting\EC\2017-03-01-refined-times.txt</v>
      </c>
      <c r="AI61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{"issue":{"subject":"","project_id":79,"tracker_id":40,"status_id":1,"priority_id":2,"assigned_to_id":23,"start_date":"2017-03-01","description":"","custom_fields":[{"id":1,"name":"Subdivision","value":"EC"},{"id":4,"name":"Milepost","value":"23.3338"},{"id":17,"name":"Train ID","value":"149-01"},{"id":16,"name":"Locomotive ID","value":"4029"},{"id":130,"name":"Impact","value":""},{"id":150,"name":"Time of Event (Mountain Time)","value":"10:21:23"},{"id":151,"name":"Denver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4029 --day 2017-03-01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"%USERPROFILE%\AppData\Local\Temp\OnboardLogs"\RTDC4029\*4029*20170301* | grep -SE "(Enforcement Action)|(\[TIMEOUT)|(CHR.+\|PRM\|1\|D.+(SWITCH|SIGNAL).+UNKNOWN)" - &gt;&gt; 2017-03-01-UncaughtWiMAX.txt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548</v>
      </c>
      <c r="B62" s="7">
        <v>4030</v>
      </c>
      <c r="C62" s="21" t="s">
        <v>266</v>
      </c>
      <c r="D62" s="21" t="s">
        <v>315</v>
      </c>
      <c r="E62" s="13">
        <v>42795.443067129629</v>
      </c>
      <c r="F62" s="13">
        <v>42795.445694444446</v>
      </c>
      <c r="G62" s="7">
        <v>1</v>
      </c>
      <c r="H62" s="21" t="s">
        <v>253</v>
      </c>
      <c r="I62" s="13">
        <v>42795.473506944443</v>
      </c>
      <c r="J62" s="7">
        <v>0</v>
      </c>
      <c r="K62" s="98" t="str">
        <f t="shared" si="0"/>
        <v>4029/4030</v>
      </c>
      <c r="L62" s="21" t="str">
        <f>VLOOKUP(A62,'Trips&amp;Operators'!$C$1:$G$99999,5,FALSE)</f>
        <v>BONDS REYNALDO</v>
      </c>
      <c r="M62" s="6">
        <f t="shared" si="1"/>
        <v>2.7812499996798579E-2</v>
      </c>
      <c r="N62" s="7">
        <f t="shared" si="21"/>
        <v>40.049999995389953</v>
      </c>
      <c r="O62" s="7"/>
      <c r="P62" s="7"/>
      <c r="Q62" s="22"/>
      <c r="R62" s="22"/>
      <c r="S62" s="31">
        <f t="shared" si="17"/>
        <v>1</v>
      </c>
      <c r="T62" s="46" t="str">
        <f t="shared" si="3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4"/>
        <v>https://d0f6bd738d7f1b3e5a7ca70fe4ff75f0.us-east-1.aws.found.io/app/kibana#/discover/Steve-Slow-Train-Analysis-(2080s-and-2083s)?_g=(refreshInterval:(display:Off,pause:!f,section:0,value:0),time:(from:'2017-03-01T09:38:01-0700',mode:absolute,to:'2017-03-01T12:21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2" s="187" t="str">
        <f t="shared" si="5"/>
        <v>N</v>
      </c>
      <c r="X62" s="187">
        <f t="shared" si="22"/>
        <v>1</v>
      </c>
      <c r="Y62" s="62">
        <f t="shared" si="7"/>
        <v>23.3</v>
      </c>
      <c r="Z62" s="62">
        <f t="shared" si="23"/>
        <v>1.5599999999999999E-2</v>
      </c>
      <c r="AA62" s="62">
        <f t="shared" si="9"/>
        <v>23.284400000000002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0"/>
        <v>0150-01</v>
      </c>
      <c r="AE62" s="85" t="str">
        <f t="shared" si="11"/>
        <v>aws s3 cp s3://rtdc.mdm.uploadarchive.raw/RTDC4030/ "%USERPROFILE%\AppData\Local\Temp\OnboardLogs"\RTDC4030\2017-03-01 --exclude "*" --recursive --include "*20170301*" &amp; "%USERPROFILE%\Documents\GitHub\mrs-test-scripts\Headless Mode &amp; Sideloading\WalkAndUnGZ.bat" "%USERPROFILE%\AppData\Local\Temp\OnboardLogs"\RTDC4030\2017-03-01 &amp; aws s3 cp s3://rtdc.mdm.uploadarchive.raw/RTDC4030/ "%USERPROFILE%\AppData\Local\Temp\OnboardLogs"\RTDC4030\2017-03-02 --exclude "*" --recursive --include "*20170302*" &amp; "%USERPROFILE%\Documents\GitHub\mrs-test-scripts\Headless Mode &amp; Sideloading\WalkAndUnGZ.bat" "%USERPROFILE%\AppData\Local\Temp\OnboardLogs"\RTDC4030\2017-03-02</v>
      </c>
      <c r="AF62" s="82" t="str">
        <f t="shared" si="12"/>
        <v>"C:\Program Files (x86)\AstroGrep\AstroGrep.exe" /spath="%USERPROFILE%\AppData\Local\Temp\OnboardLogs" /stypes="app*4030*20170301*" /stext=" 18:.+((SYSTEM_STATE.+slice.+state.+changed )|(ment ac)|(multiple cpu faults)|(system.+state.+changed )|(\[timeout)|(PRM\|1\|D)|(kpr)|(kdp)|(\|lc)|(penalty))" /e /r /s</v>
      </c>
      <c r="AG62" s="1" t="str">
        <f t="shared" si="13"/>
        <v>EC</v>
      </c>
      <c r="AH62" s="86" t="str">
        <f t="shared" si="18"/>
        <v>"%USERPROFILE%\Documents\GitHub\eaglep3\Utilities\RefineRTDCRunTimes.py" --tripid 150-01 --locoid 4030 --swversion DE.1.0.9.0 --startMP 204:233000 --initTime 2017-03-01T10:38:01 --startdatetime 2017-03-01T10:41:48 --delay 1 --endMP 204:156 --enddatetime 2017-03-01T11:21:51 --enforcementcount 0 &gt;&gt;C:\Users\stu\Documents\GitHub\eaglep3-reporting\EC\2017-03-01-refined-times.txt</v>
      </c>
      <c r="AI62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{"issue":{"subject":"","project_id":79,"tracker_id":40,"status_id":1,"priority_id":2,"assigned_to_id":23,"start_date":"2017-03-01","description":"","custom_fields":[{"id":1,"name":"Subdivision","value":"EC"},{"id":4,"name":"Milepost","value":"0.0156"},{"id":17,"name":"Train ID","value":"150-01"},{"id":16,"name":"Locomotive ID","value":"4030"},{"id":130,"name":"Impact","value":""},{"id":150,"name":"Time of Event (Mountain Time)","value":"11:21:51"},{"id":151,"name":"Denver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4030 --day 2017-03-01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"%USERPROFILE%\AppData\Local\Temp\OnboardLogs"\RTDC4030\*4030*20170301* | grep -SE "(Enforcement Action)|(\[TIMEOUT)|(CHR.+\|PRM\|1\|D.+(SWITCH|SIGNAL).+UNKNOWN)" - &gt;&gt; 2017-03-01-UncaughtWiMAX.txt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543</v>
      </c>
      <c r="B63" s="7">
        <v>4022</v>
      </c>
      <c r="C63" s="21" t="s">
        <v>266</v>
      </c>
      <c r="D63" s="21" t="s">
        <v>267</v>
      </c>
      <c r="E63" s="13">
        <v>42795.412002314813</v>
      </c>
      <c r="F63" s="13">
        <v>42795.416805555556</v>
      </c>
      <c r="G63" s="7">
        <v>1</v>
      </c>
      <c r="H63" s="21" t="s">
        <v>711</v>
      </c>
      <c r="I63" s="13">
        <v>42795.442881944444</v>
      </c>
      <c r="J63" s="7">
        <v>0</v>
      </c>
      <c r="K63" s="98" t="str">
        <f t="shared" si="0"/>
        <v>4021/4022</v>
      </c>
      <c r="L63" s="21" t="str">
        <f>VLOOKUP(A63,'Trips&amp;Operators'!$C$1:$G$99999,5,FALSE)</f>
        <v>SANTIZO D. EDY</v>
      </c>
      <c r="M63" s="6">
        <f t="shared" si="1"/>
        <v>2.6076388887304347E-2</v>
      </c>
      <c r="N63" s="7">
        <f t="shared" si="21"/>
        <v>37.54999999771826</v>
      </c>
      <c r="O63" s="7"/>
      <c r="P63" s="7"/>
      <c r="Q63" s="22"/>
      <c r="R63" s="22"/>
      <c r="S63" s="31">
        <f t="shared" si="17"/>
        <v>1</v>
      </c>
      <c r="T63" s="46" t="str">
        <f t="shared" si="3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4"/>
        <v>https://d0f6bd738d7f1b3e5a7ca70fe4ff75f0.us-east-1.aws.found.io/app/kibana#/discover/Steve-Slow-Train-Analysis-(2080s-and-2083s)?_g=(refreshInterval:(display:Off,pause:!f,section:0,value:0),time:(from:'2017-03-01T08:53:17-0700',mode:absolute,to:'2017-03-01T11:37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3" s="187" t="str">
        <f t="shared" si="5"/>
        <v>N</v>
      </c>
      <c r="X63" s="187">
        <f t="shared" si="22"/>
        <v>1</v>
      </c>
      <c r="Y63" s="62">
        <f t="shared" si="7"/>
        <v>4.58E-2</v>
      </c>
      <c r="Z63" s="62">
        <f t="shared" si="23"/>
        <v>23.331600000000002</v>
      </c>
      <c r="AA63" s="62">
        <f t="shared" si="9"/>
        <v>23.285800000000002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0"/>
        <v>0151-01</v>
      </c>
      <c r="AE63" s="85" t="str">
        <f t="shared" si="11"/>
        <v>aws s3 cp s3://rtdc.mdm.uploadarchive.raw/RTDC4022/ "%USERPROFILE%\AppData\Local\Temp\OnboardLogs"\RTDC4022\2017-03-01 --exclude "*" --recursive --include "*20170301*" &amp; "%USERPROFILE%\Documents\GitHub\mrs-test-scripts\Headless Mode &amp; Sideloading\WalkAndUnGZ.bat" "%USERPROFILE%\AppData\Local\Temp\OnboardLogs"\RTDC4022\2017-03-01 &amp; 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</v>
      </c>
      <c r="AF63" s="82" t="str">
        <f t="shared" si="12"/>
        <v>"C:\Program Files (x86)\AstroGrep\AstroGrep.exe" /spath="%USERPROFILE%\AppData\Local\Temp\OnboardLogs" /stypes="app*4022*20170301*" /stext=" 17:.+((SYSTEM_STATE.+slice.+state.+changed )|(ment ac)|(multiple cpu faults)|(system.+state.+changed )|(\[timeout)|(PRM\|1\|D)|(kpr)|(kdp)|(\|lc)|(penalty))" /e /r /s</v>
      </c>
      <c r="AG63" s="1" t="str">
        <f t="shared" si="13"/>
        <v>EC</v>
      </c>
      <c r="AH63" s="86" t="str">
        <f t="shared" si="18"/>
        <v>"%USERPROFILE%\Documents\GitHub\eaglep3\Utilities\RefineRTDCRunTimes.py" --tripid 151-01 --locoid 4022 --swversion DE.1.0.9.0 --startMP 204:458 --initTime 2017-03-01T09:53:17 --startdatetime 2017-03-01T10:00:12 --delay 1 --endMP 204:233316 --enddatetime 2017-03-01T10:37:45 --enforcementcount 0 &gt;&gt;C:\Users\stu\Documents\GitHub\eaglep3-reporting\EC\2017-03-01-refined-times.txt</v>
      </c>
      <c r="AI63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{"issue":{"subject":"","project_id":79,"tracker_id":40,"status_id":1,"priority_id":2,"assigned_to_id":23,"start_date":"2017-03-01","description":"","custom_fields":[{"id":1,"name":"Subdivision","value":"EC"},{"id":4,"name":"Milepost","value":"23.3316"},{"id":17,"name":"Train ID","value":"151-01"},{"id":16,"name":"Locomotive ID","value":"4022"},{"id":130,"name":"Impact","value":""},{"id":150,"name":"Time of Event (Mountain Time)","value":"10:37:45"},{"id":151,"name":"Denver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4022 --day 2017-03-01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"%USERPROFILE%\AppData\Local\Temp\OnboardLogs"\RTDC4022\*4022*20170301* | grep -SE "(Enforcement Action)|(\[TIMEOUT)|(CHR.+\|PRM\|1\|D.+(SWITCH|SIGNAL).+UNKNOWN)" - &gt;&gt; 2017-03-01-UncaughtWiMAX.txt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448</v>
      </c>
      <c r="B64" s="7">
        <v>4021</v>
      </c>
      <c r="C64" s="21" t="s">
        <v>266</v>
      </c>
      <c r="D64" s="21" t="s">
        <v>712</v>
      </c>
      <c r="E64" s="13">
        <v>42795.443923611114</v>
      </c>
      <c r="F64" s="13">
        <v>42795.455937500003</v>
      </c>
      <c r="G64" s="7">
        <v>1</v>
      </c>
      <c r="H64" s="21" t="s">
        <v>348</v>
      </c>
      <c r="I64" s="13">
        <v>42795.483310185184</v>
      </c>
      <c r="J64" s="7">
        <v>0</v>
      </c>
      <c r="K64" s="98" t="str">
        <f t="shared" si="0"/>
        <v>4021/4022</v>
      </c>
      <c r="L64" s="21" t="str">
        <f>VLOOKUP(A64,'Trips&amp;Operators'!$C$1:$G$99999,5,FALSE)</f>
        <v>SANTIZO D. EDY</v>
      </c>
      <c r="M64" s="6">
        <f t="shared" si="1"/>
        <v>2.7372685181035195E-2</v>
      </c>
      <c r="N64" s="7">
        <f t="shared" si="21"/>
        <v>39.41666666069068</v>
      </c>
      <c r="O64" s="7"/>
      <c r="P64" s="7"/>
      <c r="Q64" s="22"/>
      <c r="R64" s="22"/>
      <c r="S64" s="31">
        <f t="shared" si="17"/>
        <v>1</v>
      </c>
      <c r="T64" s="46" t="str">
        <f t="shared" si="3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4"/>
        <v>https://d0f6bd738d7f1b3e5a7ca70fe4ff75f0.us-east-1.aws.found.io/app/kibana#/discover/Steve-Slow-Train-Analysis-(2080s-and-2083s)?_g=(refreshInterval:(display:Off,pause:!f,section:0,value:0),time:(from:'2017-03-01T09:39:15-0700',mode:absolute,to:'2017-03-01T12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4" s="187" t="str">
        <f t="shared" si="5"/>
        <v>N</v>
      </c>
      <c r="X64" s="187">
        <f t="shared" si="22"/>
        <v>1</v>
      </c>
      <c r="Y64" s="62">
        <f t="shared" si="7"/>
        <v>23.3005</v>
      </c>
      <c r="Z64" s="62">
        <f t="shared" si="23"/>
        <v>1.61E-2</v>
      </c>
      <c r="AA64" s="62">
        <f t="shared" si="9"/>
        <v>23.284399999999998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0"/>
        <v>0152-01</v>
      </c>
      <c r="AE64" s="85" t="str">
        <f t="shared" si="11"/>
        <v>aws s3 cp s3://rtdc.mdm.uploadarchive.raw/RTDC4021/ "%USERPROFILE%\AppData\Local\Temp\OnboardLogs"\RTDC4021\2017-03-01 --exclude "*" --recursive --include "*20170301*" &amp; "%USERPROFILE%\Documents\GitHub\mrs-test-scripts\Headless Mode &amp; Sideloading\WalkAndUnGZ.bat" "%USERPROFILE%\AppData\Local\Temp\OnboardLogs"\RTDC4021\2017-03-01 &amp; 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</v>
      </c>
      <c r="AF64" s="82" t="str">
        <f t="shared" si="12"/>
        <v>"C:\Program Files (x86)\AstroGrep\AstroGrep.exe" /spath="%USERPROFILE%\AppData\Local\Temp\OnboardLogs" /stypes="app*4021*20170301*" /stext=" 18:.+((SYSTEM_STATE.+slice.+state.+changed )|(ment ac)|(multiple cpu faults)|(system.+state.+changed )|(\[timeout)|(PRM\|1\|D)|(kpr)|(kdp)|(\|lc)|(penalty))" /e /r /s</v>
      </c>
      <c r="AG64" s="1" t="str">
        <f t="shared" si="13"/>
        <v>EC</v>
      </c>
      <c r="AH64" s="86" t="str">
        <f t="shared" si="18"/>
        <v>"%USERPROFILE%\Documents\GitHub\eaglep3\Utilities\RefineRTDCRunTimes.py" --tripid 152-01 --locoid 4021 --swversion DE.1.0.9.0 --startMP 204:233005 --initTime 2017-03-01T10:39:15 --startdatetime 2017-03-01T10:56:33 --delay 1 --endMP 204:161 --enddatetime 2017-03-01T11:35:58 --enforcementcount 0 &gt;&gt;C:\Users\stu\Documents\GitHub\eaglep3-reporting\EC\2017-03-01-refined-times.txt</v>
      </c>
      <c r="AI64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{"issue":{"subject":"","project_id":79,"tracker_id":40,"status_id":1,"priority_id":2,"assigned_to_id":23,"start_date":"2017-03-01","description":"","custom_fields":[{"id":1,"name":"Subdivision","value":"EC"},{"id":4,"name":"Milepost","value":"0.0161"},{"id":17,"name":"Train ID","value":"152-01"},{"id":16,"name":"Locomotive ID","value":"4021"},{"id":130,"name":"Impact","value":""},{"id":150,"name":"Time of Event (Mountain Time)","value":"11:35:58"},{"id":151,"name":"Denver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4021 --day 2017-03-01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"%USERPROFILE%\AppData\Local\Temp\OnboardLogs"\RTDC4021\*4021*20170301* | grep -SE "(Enforcement Action)|(\[TIMEOUT)|(CHR.+\|PRM\|1\|D.+(SWITCH|SIGNAL).+UNKNOWN)" - &gt;&gt; 2017-03-01-UncaughtWiMAX.txt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545</v>
      </c>
      <c r="B65" s="7">
        <v>4046</v>
      </c>
      <c r="C65" s="21" t="s">
        <v>266</v>
      </c>
      <c r="D65" s="21" t="s">
        <v>300</v>
      </c>
      <c r="E65" s="13">
        <v>42795.422719907408</v>
      </c>
      <c r="F65" s="13">
        <v>42795.427662037036</v>
      </c>
      <c r="G65" s="7">
        <v>4</v>
      </c>
      <c r="H65" s="21" t="s">
        <v>713</v>
      </c>
      <c r="I65" s="13">
        <v>42795.452974537038</v>
      </c>
      <c r="J65" s="7">
        <v>0</v>
      </c>
      <c r="K65" s="98" t="str">
        <f t="shared" si="0"/>
        <v>4045/4046</v>
      </c>
      <c r="L65" s="21" t="str">
        <f>VLOOKUP(A65,'Trips&amp;Operators'!$C$1:$G$99999,5,FALSE)</f>
        <v>MAYBERRY BILL</v>
      </c>
      <c r="M65" s="6">
        <f t="shared" si="1"/>
        <v>2.531250000174623E-2</v>
      </c>
      <c r="N65" s="7">
        <f t="shared" si="21"/>
        <v>36.450000002514571</v>
      </c>
      <c r="O65" s="7"/>
      <c r="P65" s="7"/>
      <c r="Q65" s="22"/>
      <c r="R65" s="22"/>
      <c r="S65" s="31">
        <f t="shared" si="17"/>
        <v>1</v>
      </c>
      <c r="T65" s="46" t="str">
        <f t="shared" si="3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4"/>
        <v>https://d0f6bd738d7f1b3e5a7ca70fe4ff75f0.us-east-1.aws.found.io/app/kibana#/discover/Steve-Slow-Train-Analysis-(2080s-and-2083s)?_g=(refreshInterval:(display:Off,pause:!f,section:0,value:0),time:(from:'2017-03-01T09:08:43-0700',mode:absolute,to:'2017-03-01T11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5" s="187" t="str">
        <f t="shared" si="5"/>
        <v>N</v>
      </c>
      <c r="X65" s="187">
        <f t="shared" si="22"/>
        <v>1</v>
      </c>
      <c r="Y65" s="62">
        <f t="shared" si="7"/>
        <v>4.6699999999999998E-2</v>
      </c>
      <c r="Z65" s="62">
        <f t="shared" si="23"/>
        <v>23.329799999999999</v>
      </c>
      <c r="AA65" s="62">
        <f t="shared" si="9"/>
        <v>23.283099999999997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0"/>
        <v>0153-01</v>
      </c>
      <c r="AE65" s="85" t="str">
        <f t="shared" si="11"/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AF65" s="82" t="str">
        <f t="shared" si="12"/>
        <v>"C:\Program Files (x86)\AstroGrep\AstroGrep.exe" /spath="%USERPROFILE%\AppData\Local\Temp\OnboardLogs" /stypes="app*4046*20170301*" /stext=" 17:.+((SYSTEM_STATE.+slice.+state.+changed )|(ment ac)|(multiple cpu faults)|(system.+state.+changed )|(\[timeout)|(PRM\|1\|D)|(kpr)|(kdp)|(\|lc)|(penalty))" /e /r /s</v>
      </c>
      <c r="AG65" s="1" t="str">
        <f t="shared" si="13"/>
        <v>EC</v>
      </c>
      <c r="AH65" s="86" t="str">
        <f t="shared" si="18"/>
        <v>"%USERPROFILE%\Documents\GitHub\eaglep3\Utilities\RefineRTDCRunTimes.py" --tripid 153-01 --locoid 4046 --swversion DE.1.0.9.0 --startMP 204:467 --initTime 2017-03-01T10:08:43 --startdatetime 2017-03-01T10:15:50 --delay 4 --endMP 204:233298 --enddatetime 2017-03-01T10:52:17 --enforcementcount 0 &gt;&gt;C:\Users\stu\Documents\GitHub\eaglep3-reporting\EC\2017-03-01-refined-times.txt</v>
      </c>
      <c r="AI65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{"issue":{"subject":"","project_id":79,"tracker_id":40,"status_id":1,"priority_id":2,"assigned_to_id":23,"start_date":"2017-03-01","description":"","custom_fields":[{"id":1,"name":"Subdivision","value":"EC"},{"id":4,"name":"Milepost","value":"23.3298"},{"id":17,"name":"Train ID","value":"153-01"},{"id":16,"name":"Locomotive ID","value":"4046"},{"id":130,"name":"Impact","value":""},{"id":150,"name":"Time of Event (Mountain Time)","value":"10:52:17"},{"id":151,"name":"Denver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4046 --day 2017-03-01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"%USERPROFILE%\AppData\Local\Temp\OnboardLogs"\RTDC4046\*4046*20170301* | grep -SE "(Enforcement Action)|(\[TIMEOUT)|(CHR.+\|PRM\|1\|D.+(SWITCH|SIGNAL).+UNKNOWN)" - &gt;&gt; 2017-03-01-UncaughtWiMAX.txt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550</v>
      </c>
      <c r="B66" s="7">
        <v>4045</v>
      </c>
      <c r="C66" s="21" t="s">
        <v>266</v>
      </c>
      <c r="D66" s="21" t="s">
        <v>303</v>
      </c>
      <c r="E66" s="13">
        <v>42795.458634259259</v>
      </c>
      <c r="F66" s="13">
        <v>42795.466516203705</v>
      </c>
      <c r="G66" s="7">
        <v>1</v>
      </c>
      <c r="H66" s="21" t="s">
        <v>704</v>
      </c>
      <c r="I66" s="13">
        <v>42795.495555555557</v>
      </c>
      <c r="J66" s="7">
        <v>0</v>
      </c>
      <c r="K66" s="98" t="str">
        <f t="shared" si="0"/>
        <v>4045/4046</v>
      </c>
      <c r="L66" s="21" t="str">
        <f>VLOOKUP(A66,'Trips&amp;Operators'!$C$1:$G$99999,5,FALSE)</f>
        <v>MAYBERRY BILL</v>
      </c>
      <c r="M66" s="6">
        <f t="shared" si="1"/>
        <v>2.9039351851679385E-2</v>
      </c>
      <c r="N66" s="7">
        <f t="shared" si="21"/>
        <v>41.816666666418314</v>
      </c>
      <c r="O66" s="7"/>
      <c r="P66" s="7"/>
      <c r="Q66" s="22"/>
      <c r="R66" s="22"/>
      <c r="S66" s="31">
        <f t="shared" si="17"/>
        <v>1</v>
      </c>
      <c r="T66" s="46" t="str">
        <f t="shared" si="3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4"/>
        <v>https://d0f6bd738d7f1b3e5a7ca70fe4ff75f0.us-east-1.aws.found.io/app/kibana#/discover/Steve-Slow-Train-Analysis-(2080s-and-2083s)?_g=(refreshInterval:(display:Off,pause:!f,section:0,value:0),time:(from:'2017-03-01T10:00:26-0700',mode:absolute,to:'2017-03-01T12:53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6" s="187" t="str">
        <f t="shared" si="5"/>
        <v>N</v>
      </c>
      <c r="X66" s="187">
        <f t="shared" si="22"/>
        <v>1</v>
      </c>
      <c r="Y66" s="62">
        <f t="shared" si="7"/>
        <v>23.297599999999999</v>
      </c>
      <c r="Z66" s="62">
        <f t="shared" si="23"/>
        <v>1.6899999999999998E-2</v>
      </c>
      <c r="AA66" s="62">
        <f t="shared" si="9"/>
        <v>23.2807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0"/>
        <v>0154-01</v>
      </c>
      <c r="AE66" s="85" t="str">
        <f t="shared" si="11"/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AF66" s="82" t="str">
        <f t="shared" si="12"/>
        <v>"C:\Program Files (x86)\AstroGrep\AstroGrep.exe" /spath="%USERPROFILE%\AppData\Local\Temp\OnboardLogs" /stypes="app*4045*20170301*" /stext=" 18:.+((SYSTEM_STATE.+slice.+state.+changed )|(ment ac)|(multiple cpu faults)|(system.+state.+changed )|(\[timeout)|(PRM\|1\|D)|(kpr)|(kdp)|(\|lc)|(penalty))" /e /r /s</v>
      </c>
      <c r="AG66" s="1" t="str">
        <f t="shared" si="13"/>
        <v>EC</v>
      </c>
      <c r="AH66" s="86" t="str">
        <f t="shared" si="18"/>
        <v>"%USERPROFILE%\Documents\GitHub\eaglep3\Utilities\RefineRTDCRunTimes.py" --tripid 154-01 --locoid 4045 --swversion DE.1.0.9.0 --startMP 204:232976 --initTime 2017-03-01T11:00:26 --startdatetime 2017-03-01T11:11:47 --delay 1 --endMP 204:169 --enddatetime 2017-03-01T11:53:36 --enforcementcount 0 &gt;&gt;C:\Users\stu\Documents\GitHub\eaglep3-reporting\EC\2017-03-01-refined-times.txt</v>
      </c>
      <c r="AI66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{"issue":{"subject":"","project_id":79,"tracker_id":40,"status_id":1,"priority_id":2,"assigned_to_id":23,"start_date":"2017-03-01","description":"","custom_fields":[{"id":1,"name":"Subdivision","value":"EC"},{"id":4,"name":"Milepost","value":"0.0169"},{"id":17,"name":"Train ID","value":"154-01"},{"id":16,"name":"Locomotive ID","value":"4045"},{"id":130,"name":"Impact","value":""},{"id":150,"name":"Time of Event (Mountain Time)","value":"11:53:36"},{"id":151,"name":"Denver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4045 --day 2017-03-01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"%USERPROFILE%\AppData\Local\Temp\OnboardLogs"\RTDC4045\*4045*20170301* | grep -SE "(Enforcement Action)|(\[TIMEOUT)|(CHR.+\|PRM\|1\|D.+(SWITCH|SIGNAL).+UNKNOWN)" - &gt;&gt; 2017-03-01-UncaughtWiMAX.txt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547</v>
      </c>
      <c r="B67" s="7">
        <v>4009</v>
      </c>
      <c r="C67" s="21" t="s">
        <v>266</v>
      </c>
      <c r="D67" s="21" t="s">
        <v>714</v>
      </c>
      <c r="E67" s="13">
        <v>42795.433483796296</v>
      </c>
      <c r="F67" s="13">
        <v>42795.43787037037</v>
      </c>
      <c r="G67" s="7">
        <v>1</v>
      </c>
      <c r="H67" s="21" t="s">
        <v>395</v>
      </c>
      <c r="I67" s="13">
        <v>42795.462164351855</v>
      </c>
      <c r="J67" s="7">
        <v>0</v>
      </c>
      <c r="K67" s="98" t="str">
        <f t="shared" si="0"/>
        <v>4009/4010</v>
      </c>
      <c r="L67" s="21" t="str">
        <f>VLOOKUP(A67,'Trips&amp;Operators'!$C$1:$G$99999,5,FALSE)</f>
        <v>YORK EDGAR</v>
      </c>
      <c r="M67" s="6">
        <f t="shared" si="1"/>
        <v>2.4293981485243421E-2</v>
      </c>
      <c r="N67" s="7">
        <f t="shared" si="21"/>
        <v>34.983333338750526</v>
      </c>
      <c r="O67" s="7"/>
      <c r="P67" s="7"/>
      <c r="Q67" s="22"/>
      <c r="R67" s="22"/>
      <c r="S67" s="31">
        <f t="shared" si="17"/>
        <v>1</v>
      </c>
      <c r="T67" s="46" t="str">
        <f t="shared" si="3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4"/>
        <v>https://d0f6bd738d7f1b3e5a7ca70fe4ff75f0.us-east-1.aws.found.io/app/kibana#/discover/Steve-Slow-Train-Analysis-(2080s-and-2083s)?_g=(refreshInterval:(display:Off,pause:!f,section:0,value:0),time:(from:'2017-03-01T09:24:13-0700',mode:absolute,to:'2017-03-01T12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7" s="187" t="str">
        <f t="shared" si="5"/>
        <v>N</v>
      </c>
      <c r="X67" s="187">
        <f t="shared" si="22"/>
        <v>1</v>
      </c>
      <c r="Y67" s="62">
        <f t="shared" si="7"/>
        <v>4.2900000000000001E-2</v>
      </c>
      <c r="Z67" s="62">
        <f t="shared" si="23"/>
        <v>23.329499999999999</v>
      </c>
      <c r="AA67" s="62">
        <f t="shared" si="9"/>
        <v>23.2866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0"/>
        <v>0155-01</v>
      </c>
      <c r="AE67" s="85" t="str">
        <f t="shared" si="11"/>
        <v>aws s3 cp s3://rtdc.mdm.uploadarchive.raw/RTDC4009/ "%USERPROFILE%\AppData\Local\Temp\OnboardLogs"\RTDC4009\2017-03-01 --exclude "*" --recursive --include "*20170301*" &amp; "%USERPROFILE%\Documents\GitHub\mrs-test-scripts\Headless Mode &amp; Sideloading\WalkAndUnGZ.bat" "%USERPROFILE%\AppData\Local\Temp\OnboardLogs"\RTDC4009\2017-03-01 &amp; aws s3 cp s3://rtdc.mdm.uploadarchive.raw/RTDC4009/ "%USERPROFILE%\AppData\Local\Temp\OnboardLogs"\RTDC4009\2017-03-02 --exclude "*" --recursive --include "*20170302*" &amp; "%USERPROFILE%\Documents\GitHub\mrs-test-scripts\Headless Mode &amp; Sideloading\WalkAndUnGZ.bat" "%USERPROFILE%\AppData\Local\Temp\OnboardLogs"\RTDC4009\2017-03-02</v>
      </c>
      <c r="AF67" s="82" t="str">
        <f t="shared" si="12"/>
        <v>"C:\Program Files (x86)\AstroGrep\AstroGrep.exe" /spath="%USERPROFILE%\AppData\Local\Temp\OnboardLogs" /stypes="app*4009*20170301*" /stext=" 18:.+((SYSTEM_STATE.+slice.+state.+changed )|(ment ac)|(multiple cpu faults)|(system.+state.+changed )|(\[timeout)|(PRM\|1\|D)|(kpr)|(kdp)|(\|lc)|(penalty))" /e /r /s</v>
      </c>
      <c r="AG67" s="1" t="str">
        <f t="shared" si="13"/>
        <v>EC</v>
      </c>
      <c r="AH67" s="86" t="str">
        <f t="shared" si="18"/>
        <v>"%USERPROFILE%\Documents\GitHub\eaglep3\Utilities\RefineRTDCRunTimes.py" --tripid 155-01 --locoid 4009 --swversion DE.1.0.9.0 --startMP 204:429 --initTime 2017-03-01T10:24:13 --startdatetime 2017-03-01T10:30:32 --delay 1 --endMP 204:233295 --enddatetime 2017-03-01T11:05:31 --enforcementcount 0 &gt;&gt;C:\Users\stu\Documents\GitHub\eaglep3-reporting\EC\2017-03-01-refined-times.txt</v>
      </c>
      <c r="AI67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{"issue":{"subject":"","project_id":79,"tracker_id":40,"status_id":1,"priority_id":2,"assigned_to_id":23,"start_date":"2017-03-01","description":"","custom_fields":[{"id":1,"name":"Subdivision","value":"EC"},{"id":4,"name":"Milepost","value":"23.3295"},{"id":17,"name":"Train ID","value":"155-01"},{"id":16,"name":"Locomotive ID","value":"4009"},{"id":130,"name":"Impact","value":""},{"id":150,"name":"Time of Event (Mountain Time)","value":"11:05:31"},{"id":151,"name":"Denver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4009 --day 2017-03-01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"%USERPROFILE%\AppData\Local\Temp\OnboardLogs"\RTDC4009\*4009*20170301* | grep -SE "(Enforcement Action)|(\[TIMEOUT)|(CHR.+\|PRM\|1\|D.+(SWITCH|SIGNAL).+UNKNOWN)" - &gt;&gt; 2017-03-01-UncaughtWiMAX.txt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551</v>
      </c>
      <c r="B68" s="7">
        <v>4010</v>
      </c>
      <c r="C68" s="21" t="s">
        <v>266</v>
      </c>
      <c r="D68" s="21" t="s">
        <v>400</v>
      </c>
      <c r="E68" s="13">
        <v>42795.463125000002</v>
      </c>
      <c r="F68" s="13">
        <v>42795.476782407408</v>
      </c>
      <c r="G68" s="7">
        <v>1</v>
      </c>
      <c r="H68" s="21" t="s">
        <v>213</v>
      </c>
      <c r="I68" s="13">
        <v>42795.504745370374</v>
      </c>
      <c r="J68" s="7">
        <v>0</v>
      </c>
      <c r="K68" s="98" t="str">
        <f t="shared" si="0"/>
        <v>4009/4010</v>
      </c>
      <c r="L68" s="21" t="str">
        <f>VLOOKUP(A68,'Trips&amp;Operators'!$C$1:$G$99999,5,FALSE)</f>
        <v>YORK EDGAR</v>
      </c>
      <c r="M68" s="6">
        <f t="shared" si="1"/>
        <v>2.7962962965830229E-2</v>
      </c>
      <c r="N68" s="7">
        <f t="shared" si="21"/>
        <v>40.26666667079553</v>
      </c>
      <c r="O68" s="7"/>
      <c r="P68" s="7"/>
      <c r="Q68" s="22"/>
      <c r="R68" s="22"/>
      <c r="S68" s="31">
        <f t="shared" si="17"/>
        <v>1</v>
      </c>
      <c r="T68" s="46" t="str">
        <f t="shared" si="3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4"/>
        <v>https://d0f6bd738d7f1b3e5a7ca70fe4ff75f0.us-east-1.aws.found.io/app/kibana#/discover/Steve-Slow-Train-Analysis-(2080s-and-2083s)?_g=(refreshInterval:(display:Off,pause:!f,section:0,value:0),time:(from:'2017-03-01T10:06:54-0700',mode:absolute,to:'2017-03-01T13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8" s="187" t="str">
        <f t="shared" si="5"/>
        <v>N</v>
      </c>
      <c r="X68" s="187">
        <f t="shared" ref="X68:X71" si="24">VALUE(LEFT(AD68,4))-VALUE(LEFT(AD67,4))</f>
        <v>1</v>
      </c>
      <c r="Y68" s="62">
        <f t="shared" si="7"/>
        <v>23.2959</v>
      </c>
      <c r="Z68" s="62">
        <f t="shared" si="23"/>
        <v>1.54E-2</v>
      </c>
      <c r="AA68" s="62">
        <f t="shared" si="9"/>
        <v>23.2805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0"/>
        <v>0156-01</v>
      </c>
      <c r="AE68" s="85" t="str">
        <f t="shared" si="11"/>
        <v>aws s3 cp s3://rtdc.mdm.uploadarchive.raw/RTDC4010/ "%USERPROFILE%\AppData\Local\Temp\OnboardLogs"\RTDC4010\2017-03-01 --exclude "*" --recursive --include "*20170301*" &amp; "%USERPROFILE%\Documents\GitHub\mrs-test-scripts\Headless Mode &amp; Sideloading\WalkAndUnGZ.bat" "%USERPROFILE%\AppData\Local\Temp\OnboardLogs"\RTDC4010\2017-03-01 &amp; aws s3 cp s3://rtdc.mdm.uploadarchive.raw/RTDC4010/ "%USERPROFILE%\AppData\Local\Temp\OnboardLogs"\RTDC4010\2017-03-02 --exclude "*" --recursive --include "*20170302*" &amp; "%USERPROFILE%\Documents\GitHub\mrs-test-scripts\Headless Mode &amp; Sideloading\WalkAndUnGZ.bat" "%USERPROFILE%\AppData\Local\Temp\OnboardLogs"\RTDC4010\2017-03-02</v>
      </c>
      <c r="AF68" s="82" t="str">
        <f t="shared" si="12"/>
        <v>"C:\Program Files (x86)\AstroGrep\AstroGrep.exe" /spath="%USERPROFILE%\AppData\Local\Temp\OnboardLogs" /stypes="app*4010*20170301*" /stext=" 19:.+((SYSTEM_STATE.+slice.+state.+changed )|(ment ac)|(multiple cpu faults)|(system.+state.+changed )|(\[timeout)|(PRM\|1\|D)|(kpr)|(kdp)|(\|lc)|(penalty))" /e /r /s</v>
      </c>
      <c r="AG68" s="1" t="str">
        <f t="shared" si="13"/>
        <v>EC</v>
      </c>
      <c r="AH68" s="86" t="str">
        <f t="shared" si="18"/>
        <v>"%USERPROFILE%\Documents\GitHub\eaglep3\Utilities\RefineRTDCRunTimes.py" --tripid 156-01 --locoid 4010 --swversion DE.1.0.9.0 --startMP 204:232959 --initTime 2017-03-01T11:06:54 --startdatetime 2017-03-01T11:26:34 --delay 1 --endMP 204:154 --enddatetime 2017-03-01T12:06:50 --enforcementcount 0 &gt;&gt;C:\Users\stu\Documents\GitHub\eaglep3-reporting\EC\2017-03-01-refined-times.txt</v>
      </c>
      <c r="AI68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{"issue":{"subject":"","project_id":79,"tracker_id":40,"status_id":1,"priority_id":2,"assigned_to_id":23,"start_date":"2017-03-01","description":"","custom_fields":[{"id":1,"name":"Subdivision","value":"EC"},{"id":4,"name":"Milepost","value":"0.0154"},{"id":17,"name":"Train ID","value":"156-01"},{"id":16,"name":"Locomotive ID","value":"4010"},{"id":130,"name":"Impact","value":""},{"id":150,"name":"Time of Event (Mountain Time)","value":"12:06:50"},{"id":151,"name":"Denver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4010 --day 2017-03-01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"%USERPROFILE%\AppData\Local\Temp\OnboardLogs"\RTDC4010\*4010*20170301* | grep -SE "(Enforcement Action)|(\[TIMEOUT)|(CHR.+\|PRM\|1\|D.+(SWITCH|SIGNAL).+UNKNOWN)" - &gt;&gt; 2017-03-01-UncaughtWiMAX.txt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20" customFormat="1" x14ac:dyDescent="0.25">
      <c r="A69" s="33" t="s">
        <v>445</v>
      </c>
      <c r="B69" s="7">
        <v>4002</v>
      </c>
      <c r="C69" s="21" t="s">
        <v>266</v>
      </c>
      <c r="D69" s="21" t="s">
        <v>225</v>
      </c>
      <c r="E69" s="13">
        <v>42795.443923611114</v>
      </c>
      <c r="F69" s="13">
        <v>42795.448078703703</v>
      </c>
      <c r="G69" s="7">
        <v>3</v>
      </c>
      <c r="H69" s="21" t="s">
        <v>715</v>
      </c>
      <c r="I69" s="13">
        <v>42795.474583333336</v>
      </c>
      <c r="J69" s="7">
        <v>0</v>
      </c>
      <c r="K69" s="98" t="str">
        <f t="shared" si="0"/>
        <v>4001/4002</v>
      </c>
      <c r="L69" s="21" t="str">
        <f>VLOOKUP(A69,'Trips&amp;Operators'!$C$1:$G$99999,5,FALSE)</f>
        <v>STARKS ANGELINA</v>
      </c>
      <c r="M69" s="6">
        <f t="shared" si="1"/>
        <v>2.6504629633564036E-2</v>
      </c>
      <c r="N69" s="7">
        <f t="shared" si="21"/>
        <v>38.166666672332212</v>
      </c>
      <c r="O69" s="7"/>
      <c r="P69" s="7"/>
      <c r="Q69" s="22"/>
      <c r="R69" s="22"/>
      <c r="S69" s="31">
        <f t="shared" si="17"/>
        <v>1</v>
      </c>
      <c r="T69" s="46" t="str">
        <f t="shared" si="3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4"/>
        <v>https://d0f6bd738d7f1b3e5a7ca70fe4ff75f0.us-east-1.aws.found.io/app/kibana#/discover/Steve-Slow-Train-Analysis-(2080s-and-2083s)?_g=(refreshInterval:(display:Off,pause:!f,section:0,value:0),time:(from:'2017-03-01T09:39:15-0700',mode:absolute,to:'2017-03-01T12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187" t="str">
        <f t="shared" si="5"/>
        <v>N</v>
      </c>
      <c r="X69" s="187">
        <f t="shared" si="24"/>
        <v>1</v>
      </c>
      <c r="Y69" s="62">
        <f t="shared" si="7"/>
        <v>4.5699999999999998E-2</v>
      </c>
      <c r="Z69" s="62">
        <f t="shared" si="23"/>
        <v>23.33</v>
      </c>
      <c r="AA69" s="62">
        <f t="shared" si="9"/>
        <v>23.284299999999998</v>
      </c>
      <c r="AB69" s="59" t="str">
        <f>VLOOKUP(A69,Enforcements!$C$7:$K$13,8,0)</f>
        <v>Bulletin (2)</v>
      </c>
      <c r="AC69" s="55" t="str">
        <f>VLOOKUP(A69,Enforcements!$C$7:$E$13,3,0)</f>
        <v>GRADE CROSSING</v>
      </c>
      <c r="AD69" s="56" t="str">
        <f t="shared" si="10"/>
        <v>0157-01</v>
      </c>
      <c r="AE69" s="85" t="str">
        <f t="shared" si="11"/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AF69" s="82" t="str">
        <f t="shared" si="12"/>
        <v>"C:\Program Files (x86)\AstroGrep\AstroGrep.exe" /spath="%USERPROFILE%\AppData\Local\Temp\OnboardLogs" /stypes="app*4002*20170301*" /stext=" 18:.+((SYSTEM_STATE.+slice.+state.+changed )|(ment ac)|(multiple cpu faults)|(system.+state.+changed )|(\[timeout)|(PRM\|1\|D)|(kpr)|(kdp)|(\|lc)|(penalty))" /e /r /s</v>
      </c>
      <c r="AG69" s="1" t="str">
        <f t="shared" si="13"/>
        <v>EC</v>
      </c>
      <c r="AH69" s="86" t="str">
        <f t="shared" si="18"/>
        <v>"%USERPROFILE%\Documents\GitHub\eaglep3\Utilities\RefineRTDCRunTimes.py" --tripid 157-01 --locoid 4002 --swversion DE.1.0.9.0 --startMP 204:457 --initTime 2017-03-01T10:39:15 --startdatetime 2017-03-01T10:45:14 --delay 3 --endMP 204:233300 --enddatetime 2017-03-01T11:23:24 --enforcementcount 0 &gt;&gt;C:\Users\stu\Documents\GitHub\eaglep3-reporting\EC\2017-03-01-refined-times.txt</v>
      </c>
      <c r="AI69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{"issue":{"subject":"","project_id":79,"tracker_id":40,"status_id":1,"priority_id":2,"assigned_to_id":23,"start_date":"2017-03-01","description":"","custom_fields":[{"id":1,"name":"Subdivision","value":"EC"},{"id":4,"name":"Milepost","value":"23.33"},{"id":17,"name":"Train ID","value":"157-01"},{"id":16,"name":"Locomotive ID","value":"4002"},{"id":130,"name":"Impact","value":""},{"id":150,"name":"Time of Event (Mountain Time)","value":"11:23:24"},{"id":151,"name":"Denver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4002 --day 2017-03-01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"%USERPROFILE%\AppData\Local\Temp\OnboardLogs"\RTDC4002\*4002*20170301* | grep -SE "(Enforcement Action)|(\[TIMEOUT)|(CHR.+\|PRM\|1\|D.+(SWITCH|SIGNAL).+UNKNOWN)" - &gt;&gt; 2017-03-01-UncaughtWiMAX.txt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20" customFormat="1" x14ac:dyDescent="0.25">
      <c r="A70" s="33" t="s">
        <v>555</v>
      </c>
      <c r="B70" s="7">
        <v>4001</v>
      </c>
      <c r="C70" s="21" t="s">
        <v>266</v>
      </c>
      <c r="D70" s="21" t="s">
        <v>716</v>
      </c>
      <c r="E70" s="13">
        <v>42795.48505787037</v>
      </c>
      <c r="F70" s="13">
        <v>42795.487245370372</v>
      </c>
      <c r="G70" s="7">
        <v>1</v>
      </c>
      <c r="H70" s="21" t="s">
        <v>206</v>
      </c>
      <c r="I70" s="13">
        <v>42795.516412037039</v>
      </c>
      <c r="J70" s="7">
        <v>0</v>
      </c>
      <c r="K70" s="98" t="str">
        <f t="shared" si="0"/>
        <v>4001/4002</v>
      </c>
      <c r="L70" s="21" t="str">
        <f>VLOOKUP(A70,'Trips&amp;Operators'!$C$1:$G$99999,5,FALSE)</f>
        <v>STARKS ANGELINA</v>
      </c>
      <c r="M70" s="6">
        <f t="shared" si="1"/>
        <v>2.9166666667151731E-2</v>
      </c>
      <c r="N70" s="7">
        <f t="shared" si="21"/>
        <v>42.000000000698492</v>
      </c>
      <c r="O70" s="7"/>
      <c r="P70" s="7"/>
      <c r="Q70" s="22"/>
      <c r="R70" s="22"/>
      <c r="S70" s="31">
        <f t="shared" si="17"/>
        <v>1</v>
      </c>
      <c r="T70" s="46" t="str">
        <f t="shared" si="3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4"/>
        <v>https://d0f6bd738d7f1b3e5a7ca70fe4ff75f0.us-east-1.aws.found.io/app/kibana#/discover/Steve-Slow-Train-Analysis-(2080s-and-2083s)?_g=(refreshInterval:(display:Off,pause:!f,section:0,value:0),time:(from:'2017-03-01T10:38:29-0700',mode:absolute,to:'2017-03-01T13:23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0" s="187" t="str">
        <f t="shared" si="5"/>
        <v>N</v>
      </c>
      <c r="X70" s="187">
        <f t="shared" si="24"/>
        <v>1</v>
      </c>
      <c r="Y70" s="62">
        <f t="shared" si="7"/>
        <v>23.2974</v>
      </c>
      <c r="Z70" s="62">
        <f t="shared" si="23"/>
        <v>1.52E-2</v>
      </c>
      <c r="AA70" s="62">
        <f t="shared" si="9"/>
        <v>23.2822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0"/>
        <v>0158-01</v>
      </c>
      <c r="AE70" s="85" t="str">
        <f t="shared" si="11"/>
        <v>aws s3 cp s3://rtdc.mdm.uploadarchive.raw/RTDC4001/ "%USERPROFILE%\AppData\Local\Temp\OnboardLogs"\RTDC4001\2017-03-01 --exclude "*" --recursive --include "*20170301*" &amp; "%USERPROFILE%\Documents\GitHub\mrs-test-scripts\Headless Mode &amp; Sideloading\WalkAndUnGZ.bat" "%USERPROFILE%\AppData\Local\Temp\OnboardLogs"\RTDC4001\2017-03-01 &amp; aws s3 cp s3://rtdc.mdm.uploadarchive.raw/RTDC4001/ "%USERPROFILE%\AppData\Local\Temp\OnboardLogs"\RTDC4001\2017-03-02 --exclude "*" --recursive --include "*20170302*" &amp; "%USERPROFILE%\Documents\GitHub\mrs-test-scripts\Headless Mode &amp; Sideloading\WalkAndUnGZ.bat" "%USERPROFILE%\AppData\Local\Temp\OnboardLogs"\RTDC4001\2017-03-02</v>
      </c>
      <c r="AF70" s="82" t="str">
        <f t="shared" si="12"/>
        <v>"C:\Program Files (x86)\AstroGrep\AstroGrep.exe" /spath="%USERPROFILE%\AppData\Local\Temp\OnboardLogs" /stypes="app*4001*20170301*" /stext=" 19:.+((SYSTEM_STATE.+slice.+state.+changed )|(ment ac)|(multiple cpu faults)|(system.+state.+changed )|(\[timeout)|(PRM\|1\|D)|(kpr)|(kdp)|(\|lc)|(penalty))" /e /r /s</v>
      </c>
      <c r="AG70" s="1" t="str">
        <f t="shared" si="13"/>
        <v>EC</v>
      </c>
      <c r="AH70" s="86" t="str">
        <f t="shared" si="18"/>
        <v>"%USERPROFILE%\Documents\GitHub\eaglep3\Utilities\RefineRTDCRunTimes.py" --tripid 158-01 --locoid 4001 --swversion DE.1.0.9.0 --startMP 204:232974 --initTime 2017-03-01T11:38:29 --startdatetime 2017-03-01T11:41:38 --delay 1 --endMP 204:152 --enddatetime 2017-03-01T12:23:38 --enforcementcount 0 &gt;&gt;C:\Users\stu\Documents\GitHub\eaglep3-reporting\EC\2017-03-01-refined-times.txt</v>
      </c>
      <c r="AI70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{"issue":{"subject":"","project_id":79,"tracker_id":40,"status_id":1,"priority_id":2,"assigned_to_id":23,"start_date":"2017-03-01","description":"","custom_fields":[{"id":1,"name":"Subdivision","value":"EC"},{"id":4,"name":"Milepost","value":"0.0152"},{"id":17,"name":"Train ID","value":"158-01"},{"id":16,"name":"Locomotive ID","value":"4001"},{"id":130,"name":"Impact","value":""},{"id":150,"name":"Time of Event (Mountain Time)","value":"12:23:38"},{"id":151,"name":"Denver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4001 --day 2017-03-01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"%USERPROFILE%\AppData\Local\Temp\OnboardLogs"\RTDC4001\*4001*20170301* | grep -SE "(Enforcement Action)|(\[TIMEOUT)|(CHR.+\|PRM\|1\|D.+(SWITCH|SIGNAL).+UNKNOWN)" - &gt;&gt; 2017-03-01-UncaughtWiMAX.txt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x14ac:dyDescent="0.25">
      <c r="A71" s="33" t="s">
        <v>549</v>
      </c>
      <c r="B71" s="7">
        <v>4024</v>
      </c>
      <c r="C71" s="21" t="s">
        <v>266</v>
      </c>
      <c r="D71" s="21" t="s">
        <v>228</v>
      </c>
      <c r="E71" s="13">
        <v>42795.454699074071</v>
      </c>
      <c r="F71" s="13">
        <v>42795.458495370367</v>
      </c>
      <c r="G71" s="7">
        <v>1</v>
      </c>
      <c r="H71" s="21" t="s">
        <v>275</v>
      </c>
      <c r="I71" s="13">
        <v>42795.485972222225</v>
      </c>
      <c r="J71" s="7">
        <v>0</v>
      </c>
      <c r="K71" s="98" t="str">
        <f t="shared" si="0"/>
        <v>4023/4024</v>
      </c>
      <c r="L71" s="21" t="str">
        <f>VLOOKUP(A71,'Trips&amp;Operators'!$C$1:$G$99999,5,FALSE)</f>
        <v>CLARK KATHLEEN</v>
      </c>
      <c r="M71" s="6">
        <f t="shared" si="1"/>
        <v>2.7476851857500151E-2</v>
      </c>
      <c r="N71" s="7">
        <f t="shared" si="21"/>
        <v>39.566666674800217</v>
      </c>
      <c r="O71" s="7"/>
      <c r="P71" s="7"/>
      <c r="Q71" s="22"/>
      <c r="R71" s="22"/>
      <c r="S71" s="31">
        <f t="shared" si="17"/>
        <v>1</v>
      </c>
      <c r="T71" s="46" t="str">
        <f t="shared" si="3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4"/>
        <v>https://d0f6bd738d7f1b3e5a7ca70fe4ff75f0.us-east-1.aws.found.io/app/kibana#/discover/Steve-Slow-Train-Analysis-(2080s-and-2083s)?_g=(refreshInterval:(display:Off,pause:!f,section:0,value:0),time:(from:'2017-03-01T09:54:46-0700',mode:absolute,to:'2017-03-01T12:39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1" s="187" t="str">
        <f t="shared" si="5"/>
        <v>N</v>
      </c>
      <c r="X71" s="187">
        <f t="shared" si="24"/>
        <v>1</v>
      </c>
      <c r="Y71" s="62">
        <f t="shared" si="7"/>
        <v>4.5999999999999999E-2</v>
      </c>
      <c r="Z71" s="62">
        <f t="shared" si="23"/>
        <v>23.329699999999999</v>
      </c>
      <c r="AA71" s="62">
        <f t="shared" si="9"/>
        <v>23.2837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0"/>
        <v>0159-01</v>
      </c>
      <c r="AE71" s="85" t="str">
        <f t="shared" si="11"/>
        <v>aws s3 cp s3://rtdc.mdm.uploadarchive.raw/RTDC4024/ "%USERPROFILE%\AppData\Local\Temp\OnboardLogs"\RTDC4024\2017-03-01 --exclude "*" --recursive --include "*20170301*" &amp; "%USERPROFILE%\Documents\GitHub\mrs-test-scripts\Headless Mode &amp; Sideloading\WalkAndUnGZ.bat" "%USERPROFILE%\AppData\Local\Temp\OnboardLogs"\RTDC4024\2017-03-01 &amp; aws s3 cp s3://rtdc.mdm.uploadarchive.raw/RTDC4024/ "%USERPROFILE%\AppData\Local\Temp\OnboardLogs"\RTDC4024\2017-03-02 --exclude "*" --recursive --include "*20170302*" &amp; "%USERPROFILE%\Documents\GitHub\mrs-test-scripts\Headless Mode &amp; Sideloading\WalkAndUnGZ.bat" "%USERPROFILE%\AppData\Local\Temp\OnboardLogs"\RTDC4024\2017-03-02</v>
      </c>
      <c r="AF71" s="82" t="str">
        <f t="shared" si="12"/>
        <v>"C:\Program Files (x86)\AstroGrep\AstroGrep.exe" /spath="%USERPROFILE%\AppData\Local\Temp\OnboardLogs" /stypes="app*4024*20170301*" /stext=" 18:.+((SYSTEM_STATE.+slice.+state.+changed )|(ment ac)|(multiple cpu faults)|(system.+state.+changed )|(\[timeout)|(PRM\|1\|D)|(kpr)|(kdp)|(\|lc)|(penalty))" /e /r /s</v>
      </c>
      <c r="AG71" s="1" t="str">
        <f t="shared" si="13"/>
        <v>EC</v>
      </c>
      <c r="AH71" s="86" t="str">
        <f t="shared" si="18"/>
        <v>"%USERPROFILE%\Documents\GitHub\eaglep3\Utilities\RefineRTDCRunTimes.py" --tripid 159-01 --locoid 4024 --swversion DE.1.0.9.0 --startMP 204:460 --initTime 2017-03-01T10:54:46 --startdatetime 2017-03-01T11:00:14 --delay 1 --endMP 204:233297 --enddatetime 2017-03-01T11:39:48 --enforcementcount 0 &gt;&gt;C:\Users\stu\Documents\GitHub\eaglep3-reporting\EC\2017-03-01-refined-times.txt</v>
      </c>
      <c r="AI71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{"issue":{"subject":"","project_id":79,"tracker_id":40,"status_id":1,"priority_id":2,"assigned_to_id":23,"start_date":"2017-03-01","description":"","custom_fields":[{"id":1,"name":"Subdivision","value":"EC"},{"id":4,"name":"Milepost","value":"23.3297"},{"id":17,"name":"Train ID","value":"159-01"},{"id":16,"name":"Locomotive ID","value":"4024"},{"id":130,"name":"Impact","value":""},{"id":150,"name":"Time of Event (Mountain Time)","value":"11:39:48"},{"id":151,"name":"Denver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4024 --day 2017-03-01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"%USERPROFILE%\AppData\Local\Temp\OnboardLogs"\RTDC4024\*4024*20170301* | grep -SE "(Enforcement Action)|(\[TIMEOUT)|(CHR.+\|PRM\|1\|D.+(SWITCH|SIGNAL).+UNKNOWN)" - &gt;&gt; 2017-03-01-UncaughtWiMAX.txt</v>
      </c>
    </row>
    <row r="72" spans="1:91" s="20" customFormat="1" x14ac:dyDescent="0.25">
      <c r="A72" s="33" t="s">
        <v>559</v>
      </c>
      <c r="B72" s="7">
        <v>4023</v>
      </c>
      <c r="C72" s="21" t="s">
        <v>266</v>
      </c>
      <c r="D72" s="21" t="s">
        <v>318</v>
      </c>
      <c r="E72" s="13">
        <v>42795.494375000002</v>
      </c>
      <c r="F72" s="13">
        <v>42795.497407407405</v>
      </c>
      <c r="G72" s="7">
        <v>1</v>
      </c>
      <c r="H72" s="21" t="s">
        <v>717</v>
      </c>
      <c r="I72" s="13">
        <v>42795.526956018519</v>
      </c>
      <c r="J72" s="7">
        <v>0</v>
      </c>
      <c r="K72" s="98" t="str">
        <f t="shared" si="0"/>
        <v>4023/4024</v>
      </c>
      <c r="L72" s="21" t="str">
        <f>VLOOKUP(A72,'Trips&amp;Operators'!$C$1:$G$99999,5,FALSE)</f>
        <v>CLARK KATHLEEN</v>
      </c>
      <c r="M72" s="6">
        <f t="shared" si="1"/>
        <v>2.9548611113568768E-2</v>
      </c>
      <c r="N72" s="7">
        <f t="shared" si="21"/>
        <v>42.550000003539026</v>
      </c>
      <c r="O72" s="7"/>
      <c r="P72" s="7"/>
      <c r="Q72" s="22"/>
      <c r="R72" s="22"/>
      <c r="S72" s="31">
        <f t="shared" si="17"/>
        <v>1</v>
      </c>
      <c r="T72" s="46" t="str">
        <f t="shared" si="3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4"/>
        <v>https://d0f6bd738d7f1b3e5a7ca70fe4ff75f0.us-east-1.aws.found.io/app/kibana#/discover/Steve-Slow-Train-Analysis-(2080s-and-2083s)?_g=(refreshInterval:(display:Off,pause:!f,section:0,value:0),time:(from:'2017-03-01T10:51:54-0700',mode:absolute,to:'2017-03-01T13:38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2" s="187" t="str">
        <f t="shared" si="5"/>
        <v>N</v>
      </c>
      <c r="X72" s="187">
        <f t="shared" ref="X72:X103" si="25">VALUE(LEFT(AD72,4))-VALUE(LEFT(AD71,4))</f>
        <v>1</v>
      </c>
      <c r="Y72" s="62">
        <f t="shared" si="7"/>
        <v>23.297499999999999</v>
      </c>
      <c r="Z72" s="62">
        <f t="shared" si="23"/>
        <v>2.3599999999999999E-2</v>
      </c>
      <c r="AA72" s="62">
        <f t="shared" si="9"/>
        <v>23.273900000000001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0"/>
        <v>0160-01</v>
      </c>
      <c r="AE72" s="85" t="str">
        <f t="shared" si="11"/>
        <v>aws s3 cp s3://rtdc.mdm.uploadarchive.raw/RTDC4023/ "%USERPROFILE%\AppData\Local\Temp\OnboardLogs"\RTDC4023\2017-03-01 --exclude "*" --recursive --include "*20170301*" &amp; "%USERPROFILE%\Documents\GitHub\mrs-test-scripts\Headless Mode &amp; Sideloading\WalkAndUnGZ.bat" "%USERPROFILE%\AppData\Local\Temp\OnboardLogs"\RTDC4023\2017-03-01 &amp; aws s3 cp s3://rtdc.mdm.uploadarchive.raw/RTDC4023/ "%USERPROFILE%\AppData\Local\Temp\OnboardLogs"\RTDC4023\2017-03-02 --exclude "*" --recursive --include "*20170302*" &amp; "%USERPROFILE%\Documents\GitHub\mrs-test-scripts\Headless Mode &amp; Sideloading\WalkAndUnGZ.bat" "%USERPROFILE%\AppData\Local\Temp\OnboardLogs"\RTDC4023\2017-03-02</v>
      </c>
      <c r="AF72" s="82" t="str">
        <f t="shared" si="12"/>
        <v>"C:\Program Files (x86)\AstroGrep\AstroGrep.exe" /spath="%USERPROFILE%\AppData\Local\Temp\OnboardLogs" /stypes="app*4023*20170301*" /stext=" 19:.+((SYSTEM_STATE.+slice.+state.+changed )|(ment ac)|(multiple cpu faults)|(system.+state.+changed )|(\[timeout)|(PRM\|1\|D)|(kpr)|(kdp)|(\|lc)|(penalty))" /e /r /s</v>
      </c>
      <c r="AG72" s="1" t="str">
        <f t="shared" si="13"/>
        <v>EC</v>
      </c>
      <c r="AH72" s="86" t="str">
        <f t="shared" si="18"/>
        <v>"%USERPROFILE%\Documents\GitHub\eaglep3\Utilities\RefineRTDCRunTimes.py" --tripid 160-01 --locoid 4023 --swversion DE.1.0.9.0 --startMP 204:232975 --initTime 2017-03-01T11:51:54 --startdatetime 2017-03-01T11:56:16 --delay 1 --endMP 204:236 --enddatetime 2017-03-01T12:38:49 --enforcementcount 0 &gt;&gt;C:\Users\stu\Documents\GitHub\eaglep3-reporting\EC\2017-03-01-refined-times.txt</v>
      </c>
      <c r="AI72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{"issue":{"subject":"","project_id":79,"tracker_id":40,"status_id":1,"priority_id":2,"assigned_to_id":23,"start_date":"2017-03-01","description":"","custom_fields":[{"id":1,"name":"Subdivision","value":"EC"},{"id":4,"name":"Milepost","value":"0.0236"},{"id":17,"name":"Train ID","value":"160-01"},{"id":16,"name":"Locomotive ID","value":"4023"},{"id":130,"name":"Impact","value":""},{"id":150,"name":"Time of Event (Mountain Time)","value":"12:38:49"},{"id":151,"name":"Denver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4023 --day 2017-03-01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"%USERPROFILE%\AppData\Local\Temp\OnboardLogs"\RTDC4023\*4023*20170301* | grep -SE "(Enforcement Action)|(\[TIMEOUT)|(CHR.+\|PRM\|1\|D.+(SWITCH|SIGNAL).+UNKNOWN)" - &gt;&gt; 2017-03-01-UncaughtWiMAX.txt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552</v>
      </c>
      <c r="B73" s="7">
        <v>4031</v>
      </c>
      <c r="C73" s="21" t="s">
        <v>266</v>
      </c>
      <c r="D73" s="21" t="s">
        <v>718</v>
      </c>
      <c r="E73" s="13">
        <v>42795.465532407405</v>
      </c>
      <c r="F73" s="13">
        <v>42795.469131944446</v>
      </c>
      <c r="G73" s="7">
        <v>1</v>
      </c>
      <c r="H73" s="21" t="s">
        <v>275</v>
      </c>
      <c r="I73" s="13">
        <v>42795.496886574074</v>
      </c>
      <c r="J73" s="7">
        <v>0</v>
      </c>
      <c r="K73" s="98" t="str">
        <f t="shared" si="0"/>
        <v>4031/4032</v>
      </c>
      <c r="L73" s="21" t="str">
        <f>VLOOKUP(A73,'Trips&amp;Operators'!$C$1:$G$99999,5,FALSE)</f>
        <v>DAVIS MICHAEL</v>
      </c>
      <c r="M73" s="6">
        <f t="shared" si="1"/>
        <v>2.7754629627452232E-2</v>
      </c>
      <c r="N73" s="7">
        <f t="shared" si="21"/>
        <v>39.966666663531214</v>
      </c>
      <c r="O73" s="7"/>
      <c r="P73" s="7"/>
      <c r="Q73" s="22"/>
      <c r="R73" s="22"/>
      <c r="S73" s="31">
        <f t="shared" si="17"/>
        <v>1</v>
      </c>
      <c r="T73" s="46" t="str">
        <f t="shared" si="3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4"/>
        <v>https://d0f6bd738d7f1b3e5a7ca70fe4ff75f0.us-east-1.aws.found.io/app/kibana#/discover/Steve-Slow-Train-Analysis-(2080s-and-2083s)?_g=(refreshInterval:(display:Off,pause:!f,section:0,value:0),time:(from:'2017-03-01T10:10:22-0700',mode:absolute,to:'2017-03-01T12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3" s="187" t="str">
        <f t="shared" si="5"/>
        <v>N</v>
      </c>
      <c r="X73" s="187">
        <f t="shared" si="25"/>
        <v>1</v>
      </c>
      <c r="Y73" s="62">
        <f t="shared" si="7"/>
        <v>4.7100000000000003E-2</v>
      </c>
      <c r="Z73" s="62">
        <f t="shared" si="23"/>
        <v>23.329699999999999</v>
      </c>
      <c r="AA73" s="62">
        <f t="shared" si="9"/>
        <v>23.282599999999999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0"/>
        <v>0161-01</v>
      </c>
      <c r="AE73" s="85" t="str">
        <f t="shared" si="11"/>
        <v>aws s3 cp s3://rtdc.mdm.uploadarchive.raw/RTDC4031/ "%USERPROFILE%\AppData\Local\Temp\OnboardLogs"\RTDC4031\2017-03-01 --exclude "*" --recursive --include "*20170301*" &amp; "%USERPROFILE%\Documents\GitHub\mrs-test-scripts\Headless Mode &amp; Sideloading\WalkAndUnGZ.bat" "%USERPROFILE%\AppData\Local\Temp\OnboardLogs"\RTDC4031\2017-03-01 &amp; aws s3 cp s3://rtdc.mdm.uploadarchive.raw/RTDC4031/ "%USERPROFILE%\AppData\Local\Temp\OnboardLogs"\RTDC4031\2017-03-02 --exclude "*" --recursive --include "*20170302*" &amp; "%USERPROFILE%\Documents\GitHub\mrs-test-scripts\Headless Mode &amp; Sideloading\WalkAndUnGZ.bat" "%USERPROFILE%\AppData\Local\Temp\OnboardLogs"\RTDC4031\2017-03-02</v>
      </c>
      <c r="AF73" s="82" t="str">
        <f t="shared" si="12"/>
        <v>"C:\Program Files (x86)\AstroGrep\AstroGrep.exe" /spath="%USERPROFILE%\AppData\Local\Temp\OnboardLogs" /stypes="app*4031*20170301*" /stext=" 18:.+((SYSTEM_STATE.+slice.+state.+changed )|(ment ac)|(multiple cpu faults)|(system.+state.+changed )|(\[timeout)|(PRM\|1\|D)|(kpr)|(kdp)|(\|lc)|(penalty))" /e /r /s</v>
      </c>
      <c r="AG73" s="1" t="str">
        <f t="shared" si="13"/>
        <v>EC</v>
      </c>
      <c r="AH73" s="86" t="str">
        <f t="shared" si="18"/>
        <v>"%USERPROFILE%\Documents\GitHub\eaglep3\Utilities\RefineRTDCRunTimes.py" --tripid 161-01 --locoid 4031 --swversion DE.1.0.9.0 --startMP 204:471 --initTime 2017-03-01T11:10:22 --startdatetime 2017-03-01T11:15:33 --delay 1 --endMP 204:233297 --enddatetime 2017-03-01T11:55:31 --enforcementcount 0 &gt;&gt;C:\Users\stu\Documents\GitHub\eaglep3-reporting\EC\2017-03-01-refined-times.txt</v>
      </c>
      <c r="AI73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{"issue":{"subject":"","project_id":79,"tracker_id":40,"status_id":1,"priority_id":2,"assigned_to_id":23,"start_date":"2017-03-01","description":"","custom_fields":[{"id":1,"name":"Subdivision","value":"EC"},{"id":4,"name":"Milepost","value":"23.3297"},{"id":17,"name":"Train ID","value":"161-01"},{"id":16,"name":"Locomotive ID","value":"4031"},{"id":130,"name":"Impact","value":""},{"id":150,"name":"Time of Event (Mountain Time)","value":"11:55:31"},{"id":151,"name":"Denver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4031 --day 2017-03-01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"%USERPROFILE%\AppData\Local\Temp\OnboardLogs"\RTDC4031\*4031*20170301* | grep -SE "(Enforcement Action)|(\[TIMEOUT)|(CHR.+\|PRM\|1\|D.+(SWITCH|SIGNAL).+UNKNOWN)" - &gt;&gt; 2017-03-01-UncaughtWiMAX.txt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562</v>
      </c>
      <c r="B74" s="7">
        <v>4032</v>
      </c>
      <c r="C74" s="21" t="s">
        <v>266</v>
      </c>
      <c r="D74" s="21" t="s">
        <v>344</v>
      </c>
      <c r="E74" s="13">
        <v>42795.505949074075</v>
      </c>
      <c r="F74" s="13">
        <v>42795.508564814816</v>
      </c>
      <c r="G74" s="7">
        <v>1</v>
      </c>
      <c r="H74" s="21" t="s">
        <v>719</v>
      </c>
      <c r="I74" s="13">
        <v>42795.518935185188</v>
      </c>
      <c r="J74" s="7">
        <v>0</v>
      </c>
      <c r="K74" s="98" t="str">
        <f t="shared" si="0"/>
        <v>4031/4032</v>
      </c>
      <c r="L74" s="21" t="str">
        <f>VLOOKUP(A74,'Trips&amp;Operators'!$C$1:$G$99999,5,FALSE)</f>
        <v>DAVIS MICHAEL</v>
      </c>
      <c r="M74" s="6">
        <f t="shared" si="1"/>
        <v>1.0370370371674653E-2</v>
      </c>
      <c r="N74" s="7"/>
      <c r="O74" s="7"/>
      <c r="P74" s="7">
        <f>24*60*SUM($M74:$M74)</f>
        <v>14.933333335211501</v>
      </c>
      <c r="Q74" s="22"/>
      <c r="R74" s="22" t="s">
        <v>427</v>
      </c>
      <c r="S74" s="31">
        <f t="shared" si="17"/>
        <v>0</v>
      </c>
      <c r="T74" s="46" t="str">
        <f t="shared" si="3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0</v>
      </c>
      <c r="V74" s="186" t="str">
        <f t="shared" si="4"/>
        <v>https://d0f6bd738d7f1b3e5a7ca70fe4ff75f0.us-east-1.aws.found.io/app/kibana#/discover/Steve-Slow-Train-Analysis-(2080s-and-2083s)?_g=(refreshInterval:(display:Off,pause:!f,section:0,value:0),time:(from:'2017-03-01T11:08:34-0700',mode:absolute,to:'2017-03-01T13:27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4" s="187" t="str">
        <f t="shared" si="5"/>
        <v>Y</v>
      </c>
      <c r="X74" s="187">
        <f t="shared" si="25"/>
        <v>1</v>
      </c>
      <c r="Y74" s="62">
        <f t="shared" si="7"/>
        <v>23.297899999999998</v>
      </c>
      <c r="Z74" s="62">
        <f t="shared" si="23"/>
        <v>12.787100000000001</v>
      </c>
      <c r="AA74" s="62">
        <f t="shared" si="9"/>
        <v>10.510799999999998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0"/>
        <v>0162-01</v>
      </c>
      <c r="AE74" s="85" t="str">
        <f t="shared" si="11"/>
        <v>aws s3 cp s3://rtdc.mdm.uploadarchive.raw/RTDC4032/ "%USERPROFILE%\AppData\Local\Temp\OnboardLogs"\RTDC4032\2017-03-01 --exclude "*" --recursive --include "*20170301*" &amp; "%USERPROFILE%\Documents\GitHub\mrs-test-scripts\Headless Mode &amp; Sideloading\WalkAndUnGZ.bat" "%USERPROFILE%\AppData\Local\Temp\OnboardLogs"\RTDC4032\2017-03-01 &amp; aws s3 cp s3://rtdc.mdm.uploadarchive.raw/RTDC4032/ "%USERPROFILE%\AppData\Local\Temp\OnboardLogs"\RTDC4032\2017-03-02 --exclude "*" --recursive --include "*20170302*" &amp; "%USERPROFILE%\Documents\GitHub\mrs-test-scripts\Headless Mode &amp; Sideloading\WalkAndUnGZ.bat" "%USERPROFILE%\AppData\Local\Temp\OnboardLogs"\RTDC4032\2017-03-02</v>
      </c>
      <c r="AF74" s="82" t="str">
        <f t="shared" si="12"/>
        <v>"C:\Program Files (x86)\AstroGrep\AstroGrep.exe" /spath="%USERPROFILE%\AppData\Local\Temp\OnboardLogs" /stypes="app*4032*20170301*" /stext=" 19:.+((SYSTEM_STATE.+slice.+state.+changed )|(ment ac)|(multiple cpu faults)|(system.+state.+changed )|(\[timeout)|(PRM\|1\|D)|(kpr)|(kdp)|(\|lc)|(penalty))" /e /r /s</v>
      </c>
      <c r="AG74" s="1" t="str">
        <f t="shared" si="13"/>
        <v>EC</v>
      </c>
      <c r="AH74" s="86" t="str">
        <f t="shared" si="18"/>
        <v>"%USERPROFILE%\Documents\GitHub\eaglep3\Utilities\RefineRTDCRunTimes.py" --tripid 162-01 --locoid 4032 --swversion DE.1.0.9.0 --startMP 204:232979 --initTime 2017-03-01T12:08:34 --startdatetime 2017-03-01T12:12:20 --delay 1 --endMP 204:127871 --enddatetime 2017-03-01T12:27:16 --enforcementcount 0 &gt;&gt;C:\Users\stu\Documents\GitHub\eaglep3-reporting\EC\2017-03-01-refined-times.txt</v>
      </c>
      <c r="AI74" s="108" t="str">
        <f t="shared" si="19"/>
        <v>echo {"issue":{"subject":"Onboard in-route failure","project_id":79,"tracker_id":40,"status_id":1,"priority_id":2,"assigned_to_id":23,"start_date":"2017-03-01","description":"","custom_fields":[{"id":1,"name":"Subdivision","value":"EC"},{"id":4,"name":"Milepost","value":"12.7871"},{"id":17,"name":"Train ID","value":"162-01"},{"id":16,"name":"Locomotive ID","value":"4032"},{"id":130,"name":"Impact","value":""},{"id":150,"name":"Time of Event (Mountain Time)","value":"12:27:16"},{"id":151,"name":"Denver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4032 --day 2017-03-01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"%USERPROFILE%\AppData\Local\Temp\OnboardLogs"\RTDC4032\*4032*20170301* | grep -SE "(Enforcement Action)|(\[TIMEOUT)|(CHR.+\|PRM\|1\|D.+(SWITCH|SIGNAL).+UNKNOWN)" - &gt;&gt; 2017-03-01-UncaughtWiMAX.txt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553</v>
      </c>
      <c r="B75" s="7">
        <v>4029</v>
      </c>
      <c r="C75" s="21" t="s">
        <v>266</v>
      </c>
      <c r="D75" s="21" t="s">
        <v>405</v>
      </c>
      <c r="E75" s="13">
        <v>42795.476006944446</v>
      </c>
      <c r="F75" s="13">
        <v>42795.479490740741</v>
      </c>
      <c r="G75" s="7">
        <v>1</v>
      </c>
      <c r="H75" s="21" t="s">
        <v>720</v>
      </c>
      <c r="I75" s="13">
        <v>42795.505300925928</v>
      </c>
      <c r="J75" s="7">
        <v>0</v>
      </c>
      <c r="K75" s="98" t="str">
        <f t="shared" si="0"/>
        <v>4029/4030</v>
      </c>
      <c r="L75" s="21" t="str">
        <f>VLOOKUP(A75,'Trips&amp;Operators'!$C$1:$G$99999,5,FALSE)</f>
        <v>LEVERE CRAIG</v>
      </c>
      <c r="M75" s="6">
        <f t="shared" si="1"/>
        <v>2.5810185186855961E-2</v>
      </c>
      <c r="N75" s="7">
        <f t="shared" ref="N75:N96" si="26">24*60*SUM($M75:$M75)</f>
        <v>37.166666669072583</v>
      </c>
      <c r="O75" s="7"/>
      <c r="P75" s="7"/>
      <c r="Q75" s="22"/>
      <c r="R75" s="22"/>
      <c r="S75" s="31">
        <f t="shared" si="17"/>
        <v>1</v>
      </c>
      <c r="T75" s="46" t="str">
        <f t="shared" si="3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4"/>
        <v>https://d0f6bd738d7f1b3e5a7ca70fe4ff75f0.us-east-1.aws.found.io/app/kibana#/discover/Steve-Slow-Train-Analysis-(2080s-and-2083s)?_g=(refreshInterval:(display:Off,pause:!f,section:0,value:0),time:(from:'2017-03-01T10:25:27-0700',mode:absolute,to:'2017-03-01T13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5" s="187" t="str">
        <f t="shared" si="5"/>
        <v>N</v>
      </c>
      <c r="X75" s="187">
        <f t="shared" si="25"/>
        <v>1</v>
      </c>
      <c r="Y75" s="62">
        <f t="shared" si="7"/>
        <v>4.4900000000000002E-2</v>
      </c>
      <c r="Z75" s="62">
        <f t="shared" si="23"/>
        <v>23.330300000000001</v>
      </c>
      <c r="AA75" s="62">
        <f t="shared" si="9"/>
        <v>23.285400000000003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0"/>
        <v>0163-01</v>
      </c>
      <c r="AE75" s="85" t="str">
        <f t="shared" si="11"/>
        <v>aws s3 cp s3://rtdc.mdm.uploadarchive.raw/RTDC4029/ "%USERPROFILE%\AppData\Local\Temp\OnboardLogs"\RTDC4029\2017-03-01 --exclude "*" --recursive --include "*20170301*" &amp; "%USERPROFILE%\Documents\GitHub\mrs-test-scripts\Headless Mode &amp; Sideloading\WalkAndUnGZ.bat" "%USERPROFILE%\AppData\Local\Temp\OnboardLogs"\RTDC4029\2017-03-01 &amp; aws s3 cp s3://rtdc.mdm.uploadarchive.raw/RTDC4029/ "%USERPROFILE%\AppData\Local\Temp\OnboardLogs"\RTDC4029\2017-03-02 --exclude "*" --recursive --include "*20170302*" &amp; "%USERPROFILE%\Documents\GitHub\mrs-test-scripts\Headless Mode &amp; Sideloading\WalkAndUnGZ.bat" "%USERPROFILE%\AppData\Local\Temp\OnboardLogs"\RTDC4029\2017-03-02</v>
      </c>
      <c r="AF75" s="82" t="str">
        <f t="shared" si="12"/>
        <v>"C:\Program Files (x86)\AstroGrep\AstroGrep.exe" /spath="%USERPROFILE%\AppData\Local\Temp\OnboardLogs" /stypes="app*4029*20170301*" /stext=" 19:.+((SYSTEM_STATE.+slice.+state.+changed )|(ment ac)|(multiple cpu faults)|(system.+state.+changed )|(\[timeout)|(PRM\|1\|D)|(kpr)|(kdp)|(\|lc)|(penalty))" /e /r /s</v>
      </c>
      <c r="AG75" s="1" t="str">
        <f t="shared" si="13"/>
        <v>EC</v>
      </c>
      <c r="AH75" s="86" t="str">
        <f t="shared" si="18"/>
        <v>"%USERPROFILE%\Documents\GitHub\eaglep3\Utilities\RefineRTDCRunTimes.py" --tripid 163-01 --locoid 4029 --swversion DE.1.0.9.0 --startMP 204:449 --initTime 2017-03-01T11:25:27 --startdatetime 2017-03-01T11:30:28 --delay 1 --endMP 204:233303 --enddatetime 2017-03-01T12:07:38 --enforcementcount 0 &gt;&gt;C:\Users\stu\Documents\GitHub\eaglep3-reporting\EC\2017-03-01-refined-times.txt</v>
      </c>
      <c r="AI75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{"issue":{"subject":"","project_id":79,"tracker_id":40,"status_id":1,"priority_id":2,"assigned_to_id":23,"start_date":"2017-03-01","description":"","custom_fields":[{"id":1,"name":"Subdivision","value":"EC"},{"id":4,"name":"Milepost","value":"23.3303"},{"id":17,"name":"Train ID","value":"163-01"},{"id":16,"name":"Locomotive ID","value":"4029"},{"id":130,"name":"Impact","value":""},{"id":150,"name":"Time of Event (Mountain Time)","value":"12:07:38"},{"id":151,"name":"Denver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4029 --day 2017-03-01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"%USERPROFILE%\AppData\Local\Temp\OnboardLogs"\RTDC4029\*4029*20170301* | grep -SE "(Enforcement Action)|(\[TIMEOUT)|(CHR.+\|PRM\|1\|D.+(SWITCH|SIGNAL).+UNKNOWN)" - &gt;&gt; 2017-03-01-UncaughtWiMAX.txt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x14ac:dyDescent="0.25">
      <c r="A76" s="33" t="s">
        <v>564</v>
      </c>
      <c r="B76" s="7">
        <v>4030</v>
      </c>
      <c r="C76" s="21" t="s">
        <v>266</v>
      </c>
      <c r="D76" s="21" t="s">
        <v>413</v>
      </c>
      <c r="E76" s="13">
        <v>42795.50984953704</v>
      </c>
      <c r="F76" s="13">
        <v>42795.518263888887</v>
      </c>
      <c r="G76" s="7">
        <v>1</v>
      </c>
      <c r="H76" s="21" t="s">
        <v>348</v>
      </c>
      <c r="I76" s="13">
        <v>42795.546574074076</v>
      </c>
      <c r="J76" s="7">
        <v>0</v>
      </c>
      <c r="K76" s="98" t="str">
        <f t="shared" si="0"/>
        <v>4029/4030</v>
      </c>
      <c r="L76" s="21" t="str">
        <f>VLOOKUP(A76,'Trips&amp;Operators'!$C$1:$G$99999,5,FALSE)</f>
        <v>LEVERE CRAIG</v>
      </c>
      <c r="M76" s="6">
        <f t="shared" si="1"/>
        <v>2.8310185189184267E-2</v>
      </c>
      <c r="N76" s="7">
        <f t="shared" si="26"/>
        <v>40.766666672425345</v>
      </c>
      <c r="O76" s="7"/>
      <c r="P76" s="7"/>
      <c r="Q76" s="22"/>
      <c r="R76" s="22"/>
      <c r="S76" s="31">
        <f t="shared" si="17"/>
        <v>1</v>
      </c>
      <c r="T76" s="46" t="str">
        <f t="shared" si="3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4"/>
        <v>https://d0f6bd738d7f1b3e5a7ca70fe4ff75f0.us-east-1.aws.found.io/app/kibana#/discover/Steve-Slow-Train-Analysis-(2080s-and-2083s)?_g=(refreshInterval:(display:Off,pause:!f,section:0,value:0),time:(from:'2017-03-01T11:14:11-0700',mode:absolute,to:'2017-03-01T14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6" s="187" t="str">
        <f t="shared" si="5"/>
        <v>N</v>
      </c>
      <c r="X76" s="187">
        <f t="shared" si="25"/>
        <v>1</v>
      </c>
      <c r="Y76" s="62">
        <f t="shared" si="7"/>
        <v>23.2971</v>
      </c>
      <c r="Z76" s="62">
        <f t="shared" si="23"/>
        <v>1.61E-2</v>
      </c>
      <c r="AA76" s="62">
        <f t="shared" si="9"/>
        <v>23.280999999999999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0"/>
        <v>0164-01</v>
      </c>
      <c r="AE76" s="85" t="str">
        <f t="shared" si="11"/>
        <v>aws s3 cp s3://rtdc.mdm.uploadarchive.raw/RTDC4030/ "%USERPROFILE%\AppData\Local\Temp\OnboardLogs"\RTDC4030\2017-03-01 --exclude "*" --recursive --include "*20170301*" &amp; "%USERPROFILE%\Documents\GitHub\mrs-test-scripts\Headless Mode &amp; Sideloading\WalkAndUnGZ.bat" "%USERPROFILE%\AppData\Local\Temp\OnboardLogs"\RTDC4030\2017-03-01 &amp; aws s3 cp s3://rtdc.mdm.uploadarchive.raw/RTDC4030/ "%USERPROFILE%\AppData\Local\Temp\OnboardLogs"\RTDC4030\2017-03-02 --exclude "*" --recursive --include "*20170302*" &amp; "%USERPROFILE%\Documents\GitHub\mrs-test-scripts\Headless Mode &amp; Sideloading\WalkAndUnGZ.bat" "%USERPROFILE%\AppData\Local\Temp\OnboardLogs"\RTDC4030\2017-03-02</v>
      </c>
      <c r="AF76" s="82" t="str">
        <f t="shared" si="12"/>
        <v>"C:\Program Files (x86)\AstroGrep\AstroGrep.exe" /spath="%USERPROFILE%\AppData\Local\Temp\OnboardLogs" /stypes="app*4030*20170301*" /stext=" 20:.+((SYSTEM_STATE.+slice.+state.+changed )|(ment ac)|(multiple cpu faults)|(system.+state.+changed )|(\[timeout)|(PRM\|1\|D)|(kpr)|(kdp)|(\|lc)|(penalty))" /e /r /s</v>
      </c>
      <c r="AG76" s="1" t="str">
        <f t="shared" si="13"/>
        <v>EC</v>
      </c>
      <c r="AH76" s="86" t="str">
        <f t="shared" si="18"/>
        <v>"%USERPROFILE%\Documents\GitHub\eaglep3\Utilities\RefineRTDCRunTimes.py" --tripid 164-01 --locoid 4030 --swversion DE.1.0.9.0 --startMP 204:232971 --initTime 2017-03-01T12:14:11 --startdatetime 2017-03-01T12:26:18 --delay 1 --endMP 204:161 --enddatetime 2017-03-01T13:07:04 --enforcementcount 0 &gt;&gt;C:\Users\stu\Documents\GitHub\eaglep3-reporting\EC\2017-03-01-refined-times.txt</v>
      </c>
      <c r="AI76" s="108" t="str">
        <f t="shared" si="19"/>
        <v>echo {"issue":{"subject":"","project_id":79,"tracker_id":40,"status_id":1,"priority_id":2,"assigned_to_id":23,"start_date":"2017-03-01","description":"","custom_fields":[{"id":1,"name":"Subdivision","value":"EC"},{"id":4,"name":"Milepost","value":"0.0161"},{"id":17,"name":"Train ID","value":"164-01"},{"id":16,"name":"Locomotive ID","value":"4030"},{"id":130,"name":"Impact","value":""},{"id":150,"name":"Time of Event (Mountain Time)","value":"13:07:04"},{"id":151,"name":"Denver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4030 --day 2017-03-01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"%USERPROFILE%\AppData\Local\Temp\OnboardLogs"\RTDC4030\*4030*20170301* | grep -SE "(Enforcement Action)|(\[TIMEOUT)|(CHR.+\|PRM\|1\|D.+(SWITCH|SIGNAL).+UNKNOWN)" - &gt;&gt; 2017-03-01-UncaughtWiMAX.txt</v>
      </c>
    </row>
    <row r="77" spans="1:91" s="20" customFormat="1" x14ac:dyDescent="0.25">
      <c r="A77" s="33" t="s">
        <v>556</v>
      </c>
      <c r="B77" s="7">
        <v>4022</v>
      </c>
      <c r="C77" s="21" t="s">
        <v>266</v>
      </c>
      <c r="D77" s="21" t="s">
        <v>405</v>
      </c>
      <c r="E77" s="13">
        <v>42795.486446759256</v>
      </c>
      <c r="F77" s="13">
        <v>42795.489745370367</v>
      </c>
      <c r="G77" s="7">
        <v>1</v>
      </c>
      <c r="H77" s="21" t="s">
        <v>254</v>
      </c>
      <c r="I77" s="13">
        <v>42795.515011574076</v>
      </c>
      <c r="J77" s="7">
        <v>0</v>
      </c>
      <c r="K77" s="98" t="str">
        <f t="shared" ref="K77:K140" si="27">IF(ISEVEN(B77),(B77-1)&amp;"/"&amp;B77,B77&amp;"/"&amp;(B77+1))</f>
        <v>4021/4022</v>
      </c>
      <c r="L77" s="21" t="str">
        <f>VLOOKUP(A77,'Trips&amp;Operators'!$C$1:$G$99999,5,FALSE)</f>
        <v>HELVIE ADAM</v>
      </c>
      <c r="M77" s="6">
        <f t="shared" ref="M77:M140" si="28">I77-F77</f>
        <v>2.5266203709179536E-2</v>
      </c>
      <c r="N77" s="7">
        <f t="shared" si="26"/>
        <v>36.383333341218531</v>
      </c>
      <c r="O77" s="7"/>
      <c r="P77" s="7"/>
      <c r="Q77" s="22"/>
      <c r="R77" s="22"/>
      <c r="S77" s="31">
        <f t="shared" ref="S77:S140" si="29">SUM(U77:U77)/IF(AG77="EC",12,1)</f>
        <v>1</v>
      </c>
      <c r="T77" s="46" t="str">
        <f t="shared" ref="T77:T140" si="30">IF(ISEVEN(LEFT(AD77,4)),"Southbound","NorthBound")</f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-01T10:40:29-0700',mode:absolute,to:'2017-03-01T13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7" s="187" t="str">
        <f t="shared" ref="W77:W140" si="32">IF(AA77&lt;IF(AG77="EC",23,5.65),"Y","N")</f>
        <v>N</v>
      </c>
      <c r="X77" s="187">
        <f t="shared" si="25"/>
        <v>1</v>
      </c>
      <c r="Y77" s="62">
        <f t="shared" ref="Y77:Y140" si="33">RIGHT(D77,LEN(D77)-4)/10000</f>
        <v>4.4900000000000002E-2</v>
      </c>
      <c r="Z77" s="62">
        <f t="shared" ref="Z77:Z108" si="34">RIGHT(H77,LEN(H77)-4)/10000</f>
        <v>23.331</v>
      </c>
      <c r="AA77" s="62">
        <f t="shared" ref="AA77:AA140" si="35">ABS(Z77-Y77)</f>
        <v>23.286100000000001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6">IF(LEN(A77)=6,"0"&amp;A77,A77)</f>
        <v>0165-01</v>
      </c>
      <c r="AE77" s="85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s3://rtdc.mdm.uploadarchive.raw/RTDC4022/ "%USERPROFILE%\AppData\Local\Temp\OnboardLogs"\RTDC4022\2017-03-01 --exclude "*" --recursive --include "*20170301*" &amp; "%USERPROFILE%\Documents\GitHub\mrs-test-scripts\Headless Mode &amp; Sideloading\WalkAndUnGZ.bat" "%USERPROFILE%\AppData\Local\Temp\OnboardLogs"\RTDC4022\2017-03-01 &amp; 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</v>
      </c>
      <c r="AF77" s="82" t="str">
        <f t="shared" ref="AF77:AF140" si="3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/stypes="app*4022*20170301*" /stext=" 19:.+((SYSTEM_STATE.+slice.+state.+changed )|(ment ac)|(multiple cpu faults)|(system.+state.+changed )|(\[timeout)|(PRM\|1\|D)|(kpr)|(kdp)|(\|lc)|(penalty))" /e /r /s</v>
      </c>
      <c r="AG77" s="1" t="str">
        <f t="shared" ref="AG77:AG140" si="39">IFERROR(IF(VALUE(LEFT(AD77,2))&lt;=2,"EC",IF(OR(VALUE(LEFT(AD77,2))=8,VALUE(LEFT(AD77,2))=18),"NW","Other")),"Other")</f>
        <v>EC</v>
      </c>
      <c r="AH77" s="86" t="str">
        <f t="shared" ref="AH77:AH140" si="4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165-01 --locoid 4022 --swversion DE.1.0.9.0 --startMP 204:449 --initTime 2017-03-01T11:40:29 --startdatetime 2017-03-01T11:45:14 --delay 1 --endMP 204:233310 --enddatetime 2017-03-01T12:21:37 --enforcementcount 0 &gt;&gt;C:\Users\stu\Documents\GitHub\eaglep3-reporting\EC\2017-03-01-refined-times.txt</v>
      </c>
      <c r="AI77" s="108" t="str">
        <f t="shared" ref="AI77:AI140" si="4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{"issue":{"subject":"","project_id":79,"tracker_id":40,"status_id":1,"priority_id":2,"assigned_to_id":23,"start_date":"2017-03-01","description":"","custom_fields":[{"id":1,"name":"Subdivision","value":"EC"},{"id":4,"name":"Milepost","value":"23.331"},{"id":17,"name":"Train ID","value":"165-01"},{"id":16,"name":"Locomotive ID","value":"4022"},{"id":130,"name":"Impact","value":""},{"id":150,"name":"Time of Event (Mountain Time)","value":"12:21:37"},{"id":151,"name":"Denver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ref="AM77:AM140" si="42">"start /low /b "&amp;dls3logs&amp;" --loco "&amp;B77&amp;" --day "&amp;TEXT(F77,"YYYY-MM-DD")</f>
        <v>start /low /b %USERPROFILE%\Documents\GitHub\eaglep3\Utilities\DownloadLogsFromS3.py --loco 4022 --day 2017-03-01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"%USERPROFILE%\AppData\Local\Temp\OnboardLogs"\RTDC4022\*4022*20170301* | grep -SE "(Enforcement Action)|(\[TIMEOUT)|(CHR.+\|PRM\|1\|D.+(SWITCH|SIGNAL).+UNKNOWN)" - &gt;&gt; 2017-03-01-UncaughtWiMAX.txt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450</v>
      </c>
      <c r="B78" s="7">
        <v>4021</v>
      </c>
      <c r="C78" s="21" t="s">
        <v>266</v>
      </c>
      <c r="D78" s="21" t="s">
        <v>303</v>
      </c>
      <c r="E78" s="13">
        <v>42795.526145833333</v>
      </c>
      <c r="F78" s="13">
        <v>42795.528657407405</v>
      </c>
      <c r="G78" s="7">
        <v>1</v>
      </c>
      <c r="H78" s="21" t="s">
        <v>277</v>
      </c>
      <c r="I78" s="13">
        <v>42795.555428240739</v>
      </c>
      <c r="J78" s="7">
        <v>0</v>
      </c>
      <c r="K78" s="98" t="str">
        <f t="shared" si="27"/>
        <v>4021/4022</v>
      </c>
      <c r="L78" s="21" t="str">
        <f>VLOOKUP(A78,'Trips&amp;Operators'!$C$1:$G$99999,5,FALSE)</f>
        <v>HELVIE ADAM</v>
      </c>
      <c r="M78" s="6">
        <f t="shared" si="28"/>
        <v>2.6770833334012423E-2</v>
      </c>
      <c r="N78" s="7">
        <f t="shared" si="26"/>
        <v>38.550000000977889</v>
      </c>
      <c r="O78" s="7"/>
      <c r="P78" s="7"/>
      <c r="Q78" s="22"/>
      <c r="R78" s="22"/>
      <c r="S78" s="31">
        <f t="shared" si="29"/>
        <v>1</v>
      </c>
      <c r="T78" s="46" t="str">
        <f t="shared" si="30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31"/>
        <v>https://d0f6bd738d7f1b3e5a7ca70fe4ff75f0.us-east-1.aws.found.io/app/kibana#/discover/Steve-Slow-Train-Analysis-(2080s-and-2083s)?_g=(refreshInterval:(display:Off,pause:!f,section:0,value:0),time:(from:'2017-03-01T11:37:39-0700',mode:absolute,to:'2017-03-01T14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8" s="187" t="str">
        <f t="shared" si="32"/>
        <v>N</v>
      </c>
      <c r="X78" s="187">
        <f t="shared" si="25"/>
        <v>1</v>
      </c>
      <c r="Y78" s="62">
        <f t="shared" si="33"/>
        <v>23.297599999999999</v>
      </c>
      <c r="Z78" s="62">
        <f t="shared" si="34"/>
        <v>1.6500000000000001E-2</v>
      </c>
      <c r="AA78" s="62">
        <f t="shared" si="35"/>
        <v>23.281099999999999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6"/>
        <v>0166-01</v>
      </c>
      <c r="AE78" s="85" t="str">
        <f t="shared" si="37"/>
        <v>aws s3 cp s3://rtdc.mdm.uploadarchive.raw/RTDC4021/ "%USERPROFILE%\AppData\Local\Temp\OnboardLogs"\RTDC4021\2017-03-01 --exclude "*" --recursive --include "*20170301*" &amp; "%USERPROFILE%\Documents\GitHub\mrs-test-scripts\Headless Mode &amp; Sideloading\WalkAndUnGZ.bat" "%USERPROFILE%\AppData\Local\Temp\OnboardLogs"\RTDC4021\2017-03-01 &amp; 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</v>
      </c>
      <c r="AF78" s="82" t="str">
        <f t="shared" si="38"/>
        <v>"C:\Program Files (x86)\AstroGrep\AstroGrep.exe" /spath="%USERPROFILE%\AppData\Local\Temp\OnboardLogs" /stypes="app*4021*20170301*" /stext=" 20:.+((SYSTEM_STATE.+slice.+state.+changed )|(ment ac)|(multiple cpu faults)|(system.+state.+changed )|(\[timeout)|(PRM\|1\|D)|(kpr)|(kdp)|(\|lc)|(penalty))" /e /r /s</v>
      </c>
      <c r="AG78" s="1" t="str">
        <f t="shared" si="39"/>
        <v>EC</v>
      </c>
      <c r="AH78" s="86" t="str">
        <f t="shared" si="40"/>
        <v>"%USERPROFILE%\Documents\GitHub\eaglep3\Utilities\RefineRTDCRunTimes.py" --tripid 166-01 --locoid 4021 --swversion DE.1.0.9.0 --startMP 204:232976 --initTime 2017-03-01T12:37:39 --startdatetime 2017-03-01T12:41:16 --delay 1 --endMP 204:165 --enddatetime 2017-03-01T13:19:49 --enforcementcount 0 &gt;&gt;C:\Users\stu\Documents\GitHub\eaglep3-reporting\EC\2017-03-01-refined-times.txt</v>
      </c>
      <c r="AI78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{"issue":{"subject":"","project_id":79,"tracker_id":40,"status_id":1,"priority_id":2,"assigned_to_id":23,"start_date":"2017-03-01","description":"","custom_fields":[{"id":1,"name":"Subdivision","value":"EC"},{"id":4,"name":"Milepost","value":"0.0165"},{"id":17,"name":"Train ID","value":"166-01"},{"id":16,"name":"Locomotive ID","value":"4021"},{"id":130,"name":"Impact","value":""},{"id":150,"name":"Time of Event (Mountain Time)","value":"13:19:49"},{"id":151,"name":"Denver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42"/>
        <v>start /low /b %USERPROFILE%\Documents\GitHub\eaglep3\Utilities\DownloadLogsFromS3.py --loco 4021 --day 2017-03-01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"%USERPROFILE%\AppData\Local\Temp\OnboardLogs"\RTDC4021\*4021*20170301* | grep -SE "(Enforcement Action)|(\[TIMEOUT)|(CHR.+\|PRM\|1\|D.+(SWITCH|SIGNAL).+UNKNOWN)" - &gt;&gt; 2017-03-01-UncaughtWiMAX.txt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560</v>
      </c>
      <c r="B79" s="7">
        <v>4046</v>
      </c>
      <c r="C79" s="21" t="s">
        <v>266</v>
      </c>
      <c r="D79" s="21" t="s">
        <v>721</v>
      </c>
      <c r="E79" s="13">
        <v>42795.497719907406</v>
      </c>
      <c r="F79" s="13">
        <v>42795.500219907408</v>
      </c>
      <c r="G79" s="7">
        <v>1</v>
      </c>
      <c r="H79" s="21" t="s">
        <v>323</v>
      </c>
      <c r="I79" s="13">
        <v>42795.525300925925</v>
      </c>
      <c r="J79" s="7">
        <v>0</v>
      </c>
      <c r="K79" s="98" t="str">
        <f t="shared" si="27"/>
        <v>4045/4046</v>
      </c>
      <c r="L79" s="21" t="str">
        <f>VLOOKUP(A79,'Trips&amp;Operators'!$C$1:$G$99999,5,FALSE)</f>
        <v>SWANSON BRYCE</v>
      </c>
      <c r="M79" s="6">
        <f t="shared" si="28"/>
        <v>2.5081018517084885E-2</v>
      </c>
      <c r="N79" s="7">
        <f t="shared" si="26"/>
        <v>36.116666664602235</v>
      </c>
      <c r="O79" s="7"/>
      <c r="P79" s="7"/>
      <c r="Q79" s="22"/>
      <c r="R79" s="22"/>
      <c r="S79" s="31">
        <f t="shared" si="29"/>
        <v>1</v>
      </c>
      <c r="T79" s="46" t="str">
        <f t="shared" si="30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31"/>
        <v>https://d0f6bd738d7f1b3e5a7ca70fe4ff75f0.us-east-1.aws.found.io/app/kibana#/discover/Steve-Slow-Train-Analysis-(2080s-and-2083s)?_g=(refreshInterval:(display:Off,pause:!f,section:0,value:0),time:(from:'2017-03-01T10:56:43-0700',mode:absolute,to:'2017-03-01T13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9" s="187" t="str">
        <f t="shared" si="32"/>
        <v>N</v>
      </c>
      <c r="X79" s="187">
        <f t="shared" si="25"/>
        <v>1</v>
      </c>
      <c r="Y79" s="62">
        <f t="shared" si="33"/>
        <v>4.8000000000000001E-2</v>
      </c>
      <c r="Z79" s="62">
        <f t="shared" si="34"/>
        <v>23.331099999999999</v>
      </c>
      <c r="AA79" s="62">
        <f t="shared" si="35"/>
        <v>23.283100000000001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6"/>
        <v>0167-01</v>
      </c>
      <c r="AE79" s="85" t="str">
        <f t="shared" si="37"/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AF79" s="82" t="str">
        <f t="shared" si="38"/>
        <v>"C:\Program Files (x86)\AstroGrep\AstroGrep.exe" /spath="%USERPROFILE%\AppData\Local\Temp\OnboardLogs" /stypes="app*4046*20170301*" /stext=" 19:.+((SYSTEM_STATE.+slice.+state.+changed )|(ment ac)|(multiple cpu faults)|(system.+state.+changed )|(\[timeout)|(PRM\|1\|D)|(kpr)|(kdp)|(\|lc)|(penalty))" /e /r /s</v>
      </c>
      <c r="AG79" s="1" t="str">
        <f t="shared" si="39"/>
        <v>EC</v>
      </c>
      <c r="AH79" s="86" t="str">
        <f t="shared" si="40"/>
        <v>"%USERPROFILE%\Documents\GitHub\eaglep3\Utilities\RefineRTDCRunTimes.py" --tripid 167-01 --locoid 4046 --swversion DE.1.0.9.0 --startMP 204:480 --initTime 2017-03-01T11:56:43 --startdatetime 2017-03-01T12:00:19 --delay 1 --endMP 204:233311 --enddatetime 2017-03-01T12:36:26 --enforcementcount 0 &gt;&gt;C:\Users\stu\Documents\GitHub\eaglep3-reporting\EC\2017-03-01-refined-times.txt</v>
      </c>
      <c r="AI79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{"issue":{"subject":"","project_id":79,"tracker_id":40,"status_id":1,"priority_id":2,"assigned_to_id":23,"start_date":"2017-03-01","description":"","custom_fields":[{"id":1,"name":"Subdivision","value":"EC"},{"id":4,"name":"Milepost","value":"23.3311"},{"id":17,"name":"Train ID","value":"167-01"},{"id":16,"name":"Locomotive ID","value":"4046"},{"id":130,"name":"Impact","value":""},{"id":150,"name":"Time of Event (Mountain Time)","value":"12:36:26"},{"id":151,"name":"Denver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2"/>
        <v>start /low /b %USERPROFILE%\Documents\GitHub\eaglep3\Utilities\DownloadLogsFromS3.py --loco 4046 --day 2017-03-01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"%USERPROFILE%\AppData\Local\Temp\OnboardLogs"\RTDC4046\*4046*20170301* | grep -SE "(Enforcement Action)|(\[TIMEOUT)|(CHR.+\|PRM\|1\|D.+(SWITCH|SIGNAL).+UNKNOWN)" - &gt;&gt; 2017-03-01-UncaughtWiMAX.txt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451</v>
      </c>
      <c r="B80" s="7">
        <v>4045</v>
      </c>
      <c r="C80" s="21" t="s">
        <v>266</v>
      </c>
      <c r="D80" s="21" t="s">
        <v>347</v>
      </c>
      <c r="E80" s="13">
        <v>42795.527071759258</v>
      </c>
      <c r="F80" s="13">
        <v>42795.539074074077</v>
      </c>
      <c r="G80" s="7">
        <v>1</v>
      </c>
      <c r="H80" s="21" t="s">
        <v>256</v>
      </c>
      <c r="I80" s="13">
        <v>42795.568622685183</v>
      </c>
      <c r="J80" s="7">
        <v>0</v>
      </c>
      <c r="K80" s="98" t="str">
        <f t="shared" si="27"/>
        <v>4045/4046</v>
      </c>
      <c r="L80" s="21" t="str">
        <f>VLOOKUP(A80,'Trips&amp;Operators'!$C$1:$G$99999,5,FALSE)</f>
        <v>SWANSON BRYCE</v>
      </c>
      <c r="M80" s="6">
        <f t="shared" si="28"/>
        <v>2.954861110629281E-2</v>
      </c>
      <c r="N80" s="7">
        <f t="shared" si="26"/>
        <v>42.549999993061647</v>
      </c>
      <c r="O80" s="7"/>
      <c r="P80" s="7"/>
      <c r="Q80" s="22"/>
      <c r="R80" s="22"/>
      <c r="S80" s="31">
        <f t="shared" si="29"/>
        <v>1</v>
      </c>
      <c r="T80" s="46" t="str">
        <f t="shared" si="30"/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31"/>
        <v>https://d0f6bd738d7f1b3e5a7ca70fe4ff75f0.us-east-1.aws.found.io/app/kibana#/discover/Steve-Slow-Train-Analysis-(2080s-and-2083s)?_g=(refreshInterval:(display:Off,pause:!f,section:0,value:0),time:(from:'2017-03-01T11:38:59-0700',mode:absolute,to:'2017-03-01T14:38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0" s="187" t="str">
        <f t="shared" si="32"/>
        <v>N</v>
      </c>
      <c r="X80" s="187">
        <f t="shared" si="25"/>
        <v>1</v>
      </c>
      <c r="Y80" s="62">
        <f t="shared" si="33"/>
        <v>23.2973</v>
      </c>
      <c r="Z80" s="62">
        <f t="shared" si="34"/>
        <v>1.47E-2</v>
      </c>
      <c r="AA80" s="62">
        <f t="shared" si="35"/>
        <v>23.282599999999999</v>
      </c>
      <c r="AB80" s="59" t="str">
        <f>VLOOKUP(A80,Enforcements!$C$7:$K$13,8,0)</f>
        <v>Bulletin (2)</v>
      </c>
      <c r="AC80" s="55" t="str">
        <f>VLOOKUP(A80,Enforcements!$C$7:$E$13,3,0)</f>
        <v>GRADE CROSSING</v>
      </c>
      <c r="AD80" s="56" t="str">
        <f t="shared" si="36"/>
        <v>0168-01</v>
      </c>
      <c r="AE80" s="85" t="str">
        <f t="shared" si="37"/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AF80" s="82" t="str">
        <f t="shared" si="38"/>
        <v>"C:\Program Files (x86)\AstroGrep\AstroGrep.exe" /spath="%USERPROFILE%\AppData\Local\Temp\OnboardLogs" /stypes="app*4045*20170301*" /stext=" 20:.+((SYSTEM_STATE.+slice.+state.+changed )|(ment ac)|(multiple cpu faults)|(system.+state.+changed )|(\[timeout)|(PRM\|1\|D)|(kpr)|(kdp)|(\|lc)|(penalty))" /e /r /s</v>
      </c>
      <c r="AG80" s="1" t="str">
        <f t="shared" si="39"/>
        <v>EC</v>
      </c>
      <c r="AH80" s="86" t="str">
        <f t="shared" si="40"/>
        <v>"%USERPROFILE%\Documents\GitHub\eaglep3\Utilities\RefineRTDCRunTimes.py" --tripid 168-01 --locoid 4045 --swversion DE.1.0.9.0 --startMP 204:232973 --initTime 2017-03-01T12:38:59 --startdatetime 2017-03-01T12:56:16 --delay 1 --endMP 204:147 --enddatetime 2017-03-01T13:38:49 --enforcementcount 0 &gt;&gt;C:\Users\stu\Documents\GitHub\eaglep3-reporting\EC\2017-03-01-refined-times.txt</v>
      </c>
      <c r="AI80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{"issue":{"subject":"","project_id":79,"tracker_id":40,"status_id":1,"priority_id":2,"assigned_to_id":23,"start_date":"2017-03-01","description":"","custom_fields":[{"id":1,"name":"Subdivision","value":"EC"},{"id":4,"name":"Milepost","value":"0.0147"},{"id":17,"name":"Train ID","value":"168-01"},{"id":16,"name":"Locomotive ID","value":"4045"},{"id":130,"name":"Impact","value":""},{"id":150,"name":"Time of Event (Mountain Time)","value":"13:38:49"},{"id":151,"name":"Denver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2"/>
        <v>start /low /b %USERPROFILE%\Documents\GitHub\eaglep3\Utilities\DownloadLogsFromS3.py --loco 4045 --day 2017-03-01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"%USERPROFILE%\AppData\Local\Temp\OnboardLogs"\RTDC4045\*4045*20170301* | grep -SE "(Enforcement Action)|(\[TIMEOUT)|(CHR.+\|PRM\|1\|D.+(SWITCH|SIGNAL).+UNKNOWN)" - &gt;&gt; 2017-03-01-UncaughtWiMAX.txt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563</v>
      </c>
      <c r="B81" s="7">
        <v>4009</v>
      </c>
      <c r="C81" s="21" t="s">
        <v>266</v>
      </c>
      <c r="D81" s="21" t="s">
        <v>267</v>
      </c>
      <c r="E81" s="13">
        <v>42795.507928240739</v>
      </c>
      <c r="F81" s="13">
        <v>42795.510625000003</v>
      </c>
      <c r="G81" s="7">
        <v>2</v>
      </c>
      <c r="H81" s="21" t="s">
        <v>710</v>
      </c>
      <c r="I81" s="13">
        <v>42795.535509259258</v>
      </c>
      <c r="J81" s="7">
        <v>0</v>
      </c>
      <c r="K81" s="98" t="str">
        <f t="shared" si="27"/>
        <v>4009/4010</v>
      </c>
      <c r="L81" s="21" t="str">
        <f>VLOOKUP(A81,'Trips&amp;Operators'!$C$1:$G$99999,5,FALSE)</f>
        <v>LEVIN SCOTT</v>
      </c>
      <c r="M81" s="6">
        <f t="shared" si="28"/>
        <v>2.488425925548654E-2</v>
      </c>
      <c r="N81" s="7">
        <f t="shared" si="26"/>
        <v>35.833333327900618</v>
      </c>
      <c r="O81" s="7"/>
      <c r="P81" s="7"/>
      <c r="Q81" s="22"/>
      <c r="R81" s="22"/>
      <c r="S81" s="31">
        <f t="shared" si="29"/>
        <v>1</v>
      </c>
      <c r="T81" s="46" t="str">
        <f t="shared" si="30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31"/>
        <v>https://d0f6bd738d7f1b3e5a7ca70fe4ff75f0.us-east-1.aws.found.io/app/kibana#/discover/Steve-Slow-Train-Analysis-(2080s-and-2083s)?_g=(refreshInterval:(display:Off,pause:!f,section:0,value:0),time:(from:'2017-03-01T11:11:25-0700',mode:absolute,to:'2017-03-01T13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1" s="187" t="str">
        <f t="shared" si="32"/>
        <v>N</v>
      </c>
      <c r="X81" s="187">
        <f t="shared" si="25"/>
        <v>1</v>
      </c>
      <c r="Y81" s="62">
        <f t="shared" si="33"/>
        <v>4.58E-2</v>
      </c>
      <c r="Z81" s="62">
        <f t="shared" si="34"/>
        <v>23.3338</v>
      </c>
      <c r="AA81" s="62">
        <f t="shared" si="35"/>
        <v>23.288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6"/>
        <v>0169-01</v>
      </c>
      <c r="AE81" s="85" t="str">
        <f t="shared" si="37"/>
        <v>aws s3 cp s3://rtdc.mdm.uploadarchive.raw/RTDC4009/ "%USERPROFILE%\AppData\Local\Temp\OnboardLogs"\RTDC4009\2017-03-01 --exclude "*" --recursive --include "*20170301*" &amp; "%USERPROFILE%\Documents\GitHub\mrs-test-scripts\Headless Mode &amp; Sideloading\WalkAndUnGZ.bat" "%USERPROFILE%\AppData\Local\Temp\OnboardLogs"\RTDC4009\2017-03-01 &amp; aws s3 cp s3://rtdc.mdm.uploadarchive.raw/RTDC4009/ "%USERPROFILE%\AppData\Local\Temp\OnboardLogs"\RTDC4009\2017-03-02 --exclude "*" --recursive --include "*20170302*" &amp; "%USERPROFILE%\Documents\GitHub\mrs-test-scripts\Headless Mode &amp; Sideloading\WalkAndUnGZ.bat" "%USERPROFILE%\AppData\Local\Temp\OnboardLogs"\RTDC4009\2017-03-02</v>
      </c>
      <c r="AF81" s="82" t="str">
        <f t="shared" si="38"/>
        <v>"C:\Program Files (x86)\AstroGrep\AstroGrep.exe" /spath="%USERPROFILE%\AppData\Local\Temp\OnboardLogs" /stypes="app*4009*20170301*" /stext=" 19:.+((SYSTEM_STATE.+slice.+state.+changed )|(ment ac)|(multiple cpu faults)|(system.+state.+changed )|(\[timeout)|(PRM\|1\|D)|(kpr)|(kdp)|(\|lc)|(penalty))" /e /r /s</v>
      </c>
      <c r="AG81" s="1" t="str">
        <f t="shared" si="39"/>
        <v>EC</v>
      </c>
      <c r="AH81" s="86" t="str">
        <f t="shared" si="40"/>
        <v>"%USERPROFILE%\Documents\GitHub\eaglep3\Utilities\RefineRTDCRunTimes.py" --tripid 169-01 --locoid 4009 --swversion DE.1.0.9.0 --startMP 204:458 --initTime 2017-03-01T12:11:25 --startdatetime 2017-03-01T12:15:18 --delay 2 --endMP 204:233338 --enddatetime 2017-03-01T12:51:08 --enforcementcount 0 &gt;&gt;C:\Users\stu\Documents\GitHub\eaglep3-reporting\EC\2017-03-01-refined-times.txt</v>
      </c>
      <c r="AI81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{"issue":{"subject":"","project_id":79,"tracker_id":40,"status_id":1,"priority_id":2,"assigned_to_id":23,"start_date":"2017-03-01","description":"","custom_fields":[{"id":1,"name":"Subdivision","value":"EC"},{"id":4,"name":"Milepost","value":"23.3338"},{"id":17,"name":"Train ID","value":"169-01"},{"id":16,"name":"Locomotive ID","value":"4009"},{"id":130,"name":"Impact","value":""},{"id":150,"name":"Time of Event (Mountain Time)","value":"12:51:08"},{"id":151,"name":"Denver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2"/>
        <v>start /low /b %USERPROFILE%\Documents\GitHub\eaglep3\Utilities\DownloadLogsFromS3.py --loco 4009 --day 2017-03-01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"%USERPROFILE%\AppData\Local\Temp\OnboardLogs"\RTDC4009\*4009*20170301* | grep -SE "(Enforcement Action)|(\[TIMEOUT)|(CHR.+\|PRM\|1\|D.+(SWITCH|SIGNAL).+UNKNOWN)" - &gt;&gt; 2017-03-01-UncaughtWiMAX.txt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569</v>
      </c>
      <c r="B82" s="7">
        <v>4010</v>
      </c>
      <c r="C82" s="21" t="s">
        <v>266</v>
      </c>
      <c r="D82" s="21" t="s">
        <v>722</v>
      </c>
      <c r="E82" s="13">
        <v>42795.542719907404</v>
      </c>
      <c r="F82" s="13">
        <v>42795.549490740741</v>
      </c>
      <c r="G82" s="7">
        <v>1</v>
      </c>
      <c r="H82" s="21" t="s">
        <v>723</v>
      </c>
      <c r="I82" s="13">
        <v>42795.577245370368</v>
      </c>
      <c r="J82" s="7">
        <v>0</v>
      </c>
      <c r="K82" s="98" t="str">
        <f t="shared" si="27"/>
        <v>4009/4010</v>
      </c>
      <c r="L82" s="21" t="str">
        <f>VLOOKUP(A82,'Trips&amp;Operators'!$C$1:$G$99999,5,FALSE)</f>
        <v>LEVIN SCOTT</v>
      </c>
      <c r="M82" s="6">
        <f t="shared" si="28"/>
        <v>2.7754629627452232E-2</v>
      </c>
      <c r="N82" s="7">
        <f t="shared" si="26"/>
        <v>39.966666663531214</v>
      </c>
      <c r="O82" s="7"/>
      <c r="P82" s="7"/>
      <c r="Q82" s="22"/>
      <c r="R82" s="22"/>
      <c r="S82" s="31">
        <f t="shared" si="29"/>
        <v>1</v>
      </c>
      <c r="T82" s="46" t="str">
        <f t="shared" si="30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31"/>
        <v>https://d0f6bd738d7f1b3e5a7ca70fe4ff75f0.us-east-1.aws.found.io/app/kibana#/discover/Steve-Slow-Train-Analysis-(2080s-and-2083s)?_g=(refreshInterval:(display:Off,pause:!f,section:0,value:0),time:(from:'2017-03-01T12:01:31-0700',mode:absolute,to:'2017-03-01T14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2" s="187" t="str">
        <f t="shared" si="32"/>
        <v>N</v>
      </c>
      <c r="X82" s="187">
        <f t="shared" si="25"/>
        <v>1</v>
      </c>
      <c r="Y82" s="62">
        <f t="shared" si="33"/>
        <v>23.302499999999998</v>
      </c>
      <c r="Z82" s="62">
        <f t="shared" si="34"/>
        <v>1.29E-2</v>
      </c>
      <c r="AA82" s="62">
        <f t="shared" si="35"/>
        <v>23.2896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6"/>
        <v>0170-01</v>
      </c>
      <c r="AE82" s="85" t="str">
        <f t="shared" si="37"/>
        <v>aws s3 cp s3://rtdc.mdm.uploadarchive.raw/RTDC4010/ "%USERPROFILE%\AppData\Local\Temp\OnboardLogs"\RTDC4010\2017-03-01 --exclude "*" --recursive --include "*20170301*" &amp; "%USERPROFILE%\Documents\GitHub\mrs-test-scripts\Headless Mode &amp; Sideloading\WalkAndUnGZ.bat" "%USERPROFILE%\AppData\Local\Temp\OnboardLogs"\RTDC4010\2017-03-01 &amp; aws s3 cp s3://rtdc.mdm.uploadarchive.raw/RTDC4010/ "%USERPROFILE%\AppData\Local\Temp\OnboardLogs"\RTDC4010\2017-03-02 --exclude "*" --recursive --include "*20170302*" &amp; "%USERPROFILE%\Documents\GitHub\mrs-test-scripts\Headless Mode &amp; Sideloading\WalkAndUnGZ.bat" "%USERPROFILE%\AppData\Local\Temp\OnboardLogs"\RTDC4010\2017-03-02</v>
      </c>
      <c r="AF82" s="82" t="str">
        <f t="shared" si="38"/>
        <v>"C:\Program Files (x86)\AstroGrep\AstroGrep.exe" /spath="%USERPROFILE%\AppData\Local\Temp\OnboardLogs" /stypes="app*4010*20170301*" /stext=" 20:.+((SYSTEM_STATE.+slice.+state.+changed )|(ment ac)|(multiple cpu faults)|(system.+state.+changed )|(\[timeout)|(PRM\|1\|D)|(kpr)|(kdp)|(\|lc)|(penalty))" /e /r /s</v>
      </c>
      <c r="AG82" s="1" t="str">
        <f t="shared" si="39"/>
        <v>EC</v>
      </c>
      <c r="AH82" s="86" t="str">
        <f t="shared" si="40"/>
        <v>"%USERPROFILE%\Documents\GitHub\eaglep3\Utilities\RefineRTDCRunTimes.py" --tripid 170-01 --locoid 4010 --swversion DE.1.0.9.0 --startMP 204:233025 --initTime 2017-03-01T13:01:31 --startdatetime 2017-03-01T13:11:16 --delay 1 --endMP 204:129 --enddatetime 2017-03-01T13:51:14 --enforcementcount 0 &gt;&gt;C:\Users\stu\Documents\GitHub\eaglep3-reporting\EC\2017-03-01-refined-times.txt</v>
      </c>
      <c r="AI82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{"issue":{"subject":"","project_id":79,"tracker_id":40,"status_id":1,"priority_id":2,"assigned_to_id":23,"start_date":"2017-03-01","description":"","custom_fields":[{"id":1,"name":"Subdivision","value":"EC"},{"id":4,"name":"Milepost","value":"0.0129"},{"id":17,"name":"Train ID","value":"170-01"},{"id":16,"name":"Locomotive ID","value":"4010"},{"id":130,"name":"Impact","value":""},{"id":150,"name":"Time of Event (Mountain Time)","value":"13:51:14"},{"id":151,"name":"Denver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2"/>
        <v>start /low /b %USERPROFILE%\Documents\GitHub\eaglep3\Utilities\DownloadLogsFromS3.py --loco 4010 --day 2017-03-01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"%USERPROFILE%\AppData\Local\Temp\OnboardLogs"\RTDC4010\*4010*20170301* | grep -SE "(Enforcement Action)|(\[TIMEOUT)|(CHR.+\|PRM\|1\|D.+(SWITCH|SIGNAL).+UNKNOWN)" - &gt;&gt; 2017-03-01-UncaughtWiMAX.txt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565</v>
      </c>
      <c r="B83" s="7">
        <v>4002</v>
      </c>
      <c r="C83" s="21" t="s">
        <v>266</v>
      </c>
      <c r="D83" s="21" t="s">
        <v>300</v>
      </c>
      <c r="E83" s="13">
        <v>42795.517638888887</v>
      </c>
      <c r="F83" s="13">
        <v>42795.521053240744</v>
      </c>
      <c r="G83" s="7">
        <v>1</v>
      </c>
      <c r="H83" s="21" t="s">
        <v>396</v>
      </c>
      <c r="I83" s="13">
        <v>42795.546932870369</v>
      </c>
      <c r="J83" s="7">
        <v>0</v>
      </c>
      <c r="K83" s="98" t="str">
        <f t="shared" si="27"/>
        <v>4001/4002</v>
      </c>
      <c r="L83" s="21" t="str">
        <f>VLOOKUP(A83,'Trips&amp;Operators'!$C$1:$G$99999,5,FALSE)</f>
        <v>HAITHCOX MICHAEL</v>
      </c>
      <c r="M83" s="6">
        <f t="shared" si="28"/>
        <v>2.5879629625706002E-2</v>
      </c>
      <c r="N83" s="7">
        <f t="shared" si="26"/>
        <v>37.266666661016643</v>
      </c>
      <c r="O83" s="7"/>
      <c r="P83" s="7"/>
      <c r="Q83" s="22"/>
      <c r="R83" s="22"/>
      <c r="S83" s="31">
        <f t="shared" si="29"/>
        <v>1</v>
      </c>
      <c r="T83" s="46" t="str">
        <f t="shared" si="30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31"/>
        <v>https://d0f6bd738d7f1b3e5a7ca70fe4ff75f0.us-east-1.aws.found.io/app/kibana#/discover/Steve-Slow-Train-Analysis-(2080s-and-2083s)?_g=(refreshInterval:(display:Off,pause:!f,section:0,value:0),time:(from:'2017-03-01T11:25:24-0700',mode:absolute,to:'2017-03-01T14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3" s="187" t="str">
        <f t="shared" si="32"/>
        <v>N</v>
      </c>
      <c r="X83" s="187">
        <f t="shared" si="25"/>
        <v>1</v>
      </c>
      <c r="Y83" s="62">
        <f t="shared" si="33"/>
        <v>4.6699999999999998E-2</v>
      </c>
      <c r="Z83" s="62">
        <f t="shared" si="34"/>
        <v>23.332799999999999</v>
      </c>
      <c r="AA83" s="62">
        <f t="shared" si="35"/>
        <v>23.286099999999998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6"/>
        <v>0171-01</v>
      </c>
      <c r="AE83" s="85" t="str">
        <f t="shared" si="37"/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AF83" s="82" t="str">
        <f t="shared" si="38"/>
        <v>"C:\Program Files (x86)\AstroGrep\AstroGrep.exe" /spath="%USERPROFILE%\AppData\Local\Temp\OnboardLogs" /stypes="app*4002*20170301*" /stext=" 20:.+((SYSTEM_STATE.+slice.+state.+changed )|(ment ac)|(multiple cpu faults)|(system.+state.+changed )|(\[timeout)|(PRM\|1\|D)|(kpr)|(kdp)|(\|lc)|(penalty))" /e /r /s</v>
      </c>
      <c r="AG83" s="1" t="str">
        <f t="shared" si="39"/>
        <v>EC</v>
      </c>
      <c r="AH83" s="86" t="str">
        <f t="shared" si="40"/>
        <v>"%USERPROFILE%\Documents\GitHub\eaglep3\Utilities\RefineRTDCRunTimes.py" --tripid 171-01 --locoid 4002 --swversion DE.1.0.9.0 --startMP 204:467 --initTime 2017-03-01T12:25:24 --startdatetime 2017-03-01T12:30:19 --delay 1 --endMP 204:233328 --enddatetime 2017-03-01T13:07:35 --enforcementcount 0 &gt;&gt;C:\Users\stu\Documents\GitHub\eaglep3-reporting\EC\2017-03-01-refined-times.txt</v>
      </c>
      <c r="AI83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{"issue":{"subject":"","project_id":79,"tracker_id":40,"status_id":1,"priority_id":2,"assigned_to_id":23,"start_date":"2017-03-01","description":"","custom_fields":[{"id":1,"name":"Subdivision","value":"EC"},{"id":4,"name":"Milepost","value":"23.3328"},{"id":17,"name":"Train ID","value":"171-01"},{"id":16,"name":"Locomotive ID","value":"4002"},{"id":130,"name":"Impact","value":""},{"id":150,"name":"Time of Event (Mountain Time)","value":"13:07:35"},{"id":151,"name":"Denver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2"/>
        <v>start /low /b %USERPROFILE%\Documents\GitHub\eaglep3\Utilities\DownloadLogsFromS3.py --loco 4002 --day 2017-03-01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"%USERPROFILE%\AppData\Local\Temp\OnboardLogs"\RTDC4002\*4002*20170301* | grep -SE "(Enforcement Action)|(\[TIMEOUT)|(CHR.+\|PRM\|1\|D.+(SWITCH|SIGNAL).+UNKNOWN)" - &gt;&gt; 2017-03-01-UncaughtWiMAX.txt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x14ac:dyDescent="0.25">
      <c r="A84" s="33" t="s">
        <v>574</v>
      </c>
      <c r="B84" s="7">
        <v>4001</v>
      </c>
      <c r="C84" s="21" t="s">
        <v>266</v>
      </c>
      <c r="D84" s="21" t="s">
        <v>722</v>
      </c>
      <c r="E84" s="13">
        <v>42795.555358796293</v>
      </c>
      <c r="F84" s="13">
        <v>42795.559988425928</v>
      </c>
      <c r="G84" s="7">
        <v>2</v>
      </c>
      <c r="H84" s="21" t="s">
        <v>277</v>
      </c>
      <c r="I84" s="13">
        <v>42795.594143518516</v>
      </c>
      <c r="J84" s="7">
        <v>0</v>
      </c>
      <c r="K84" s="98" t="str">
        <f t="shared" si="27"/>
        <v>4001/4002</v>
      </c>
      <c r="L84" s="21" t="str">
        <f>VLOOKUP(A84,'Trips&amp;Operators'!$C$1:$G$99999,5,FALSE)</f>
        <v>HAITHCOX MICHAEL</v>
      </c>
      <c r="M84" s="6">
        <f t="shared" si="28"/>
        <v>3.4155092587752733E-2</v>
      </c>
      <c r="N84" s="7">
        <f t="shared" si="26"/>
        <v>49.183333326363936</v>
      </c>
      <c r="O84" s="7"/>
      <c r="P84" s="7"/>
      <c r="Q84" s="22"/>
      <c r="R84" s="22"/>
      <c r="S84" s="31">
        <f t="shared" si="29"/>
        <v>1</v>
      </c>
      <c r="T84" s="46" t="str">
        <f t="shared" si="30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31"/>
        <v>https://d0f6bd738d7f1b3e5a7ca70fe4ff75f0.us-east-1.aws.found.io/app/kibana#/discover/Steve-Slow-Train-Analysis-(2080s-and-2083s)?_g=(refreshInterval:(display:Off,pause:!f,section:0,value:0),time:(from:'2017-03-01T12:19:43-0700',mode:absolute,to:'2017-03-01T15:15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4" s="187" t="str">
        <f t="shared" si="32"/>
        <v>N</v>
      </c>
      <c r="X84" s="187">
        <f t="shared" si="25"/>
        <v>1</v>
      </c>
      <c r="Y84" s="62">
        <f t="shared" si="33"/>
        <v>23.302499999999998</v>
      </c>
      <c r="Z84" s="62">
        <f t="shared" si="34"/>
        <v>1.6500000000000001E-2</v>
      </c>
      <c r="AA84" s="62">
        <f t="shared" si="35"/>
        <v>23.285999999999998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6"/>
        <v>0172-01</v>
      </c>
      <c r="AE84" s="85" t="str">
        <f t="shared" si="37"/>
        <v>aws s3 cp s3://rtdc.mdm.uploadarchive.raw/RTDC4001/ "%USERPROFILE%\AppData\Local\Temp\OnboardLogs"\RTDC4001\2017-03-01 --exclude "*" --recursive --include "*20170301*" &amp; "%USERPROFILE%\Documents\GitHub\mrs-test-scripts\Headless Mode &amp; Sideloading\WalkAndUnGZ.bat" "%USERPROFILE%\AppData\Local\Temp\OnboardLogs"\RTDC4001\2017-03-01 &amp; aws s3 cp s3://rtdc.mdm.uploadarchive.raw/RTDC4001/ "%USERPROFILE%\AppData\Local\Temp\OnboardLogs"\RTDC4001\2017-03-02 --exclude "*" --recursive --include "*20170302*" &amp; "%USERPROFILE%\Documents\GitHub\mrs-test-scripts\Headless Mode &amp; Sideloading\WalkAndUnGZ.bat" "%USERPROFILE%\AppData\Local\Temp\OnboardLogs"\RTDC4001\2017-03-02</v>
      </c>
      <c r="AF84" s="82" t="str">
        <f t="shared" si="38"/>
        <v>"C:\Program Files (x86)\AstroGrep\AstroGrep.exe" /spath="%USERPROFILE%\AppData\Local\Temp\OnboardLogs" /stypes="app*4001*20170301*" /stext=" 21:.+((SYSTEM_STATE.+slice.+state.+changed )|(ment ac)|(multiple cpu faults)|(system.+state.+changed )|(\[timeout)|(PRM\|1\|D)|(kpr)|(kdp)|(\|lc)|(penalty))" /e /r /s</v>
      </c>
      <c r="AG84" s="1" t="str">
        <f t="shared" si="39"/>
        <v>EC</v>
      </c>
      <c r="AH84" s="86" t="str">
        <f t="shared" si="40"/>
        <v>"%USERPROFILE%\Documents\GitHub\eaglep3\Utilities\RefineRTDCRunTimes.py" --tripid 172-01 --locoid 4001 --swversion DE.1.0.9.0 --startMP 204:233025 --initTime 2017-03-01T13:19:43 --startdatetime 2017-03-01T13:26:23 --delay 2 --endMP 204:165 --enddatetime 2017-03-01T14:15:34 --enforcementcount 0 &gt;&gt;C:\Users\stu\Documents\GitHub\eaglep3-reporting\EC\2017-03-01-refined-times.txt</v>
      </c>
      <c r="AI84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{"issue":{"subject":"","project_id":79,"tracker_id":40,"status_id":1,"priority_id":2,"assigned_to_id":23,"start_date":"2017-03-01","description":"","custom_fields":[{"id":1,"name":"Subdivision","value":"EC"},{"id":4,"name":"Milepost","value":"0.0165"},{"id":17,"name":"Train ID","value":"172-01"},{"id":16,"name":"Locomotive ID","value":"4001"},{"id":130,"name":"Impact","value":""},{"id":150,"name":"Time of Event (Mountain Time)","value":"14:15:34"},{"id":151,"name":"Denver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2"/>
        <v>start /low /b %USERPROFILE%\Documents\GitHub\eaglep3\Utilities\DownloadLogsFromS3.py --loco 4001 --day 2017-03-01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"%USERPROFILE%\AppData\Local\Temp\OnboardLogs"\RTDC4001\*4001*20170301* | grep -SE "(Enforcement Action)|(\[TIMEOUT)|(CHR.+\|PRM\|1\|D.+(SWITCH|SIGNAL).+UNKNOWN)" - &gt;&gt; 2017-03-01-UncaughtWiMAX.txt</v>
      </c>
    </row>
    <row r="85" spans="1:91" s="20" customFormat="1" x14ac:dyDescent="0.25">
      <c r="A85" s="33" t="s">
        <v>568</v>
      </c>
      <c r="B85" s="7">
        <v>4024</v>
      </c>
      <c r="C85" s="21" t="s">
        <v>266</v>
      </c>
      <c r="D85" s="21" t="s">
        <v>724</v>
      </c>
      <c r="E85" s="13">
        <v>42795.528935185182</v>
      </c>
      <c r="F85" s="13">
        <v>42795.531423611108</v>
      </c>
      <c r="G85" s="7">
        <v>1</v>
      </c>
      <c r="H85" s="21" t="s">
        <v>715</v>
      </c>
      <c r="I85" s="13">
        <v>42795.557870370372</v>
      </c>
      <c r="J85" s="7">
        <v>0</v>
      </c>
      <c r="K85" s="98" t="str">
        <f t="shared" si="27"/>
        <v>4023/4024</v>
      </c>
      <c r="L85" s="21" t="str">
        <f>VLOOKUP(A85,'Trips&amp;Operators'!$C$1:$G$99999,5,FALSE)</f>
        <v>CLARK KATHLEEN</v>
      </c>
      <c r="M85" s="6">
        <f t="shared" si="28"/>
        <v>2.644675926421769E-2</v>
      </c>
      <c r="N85" s="7">
        <f t="shared" si="26"/>
        <v>38.083333340473473</v>
      </c>
      <c r="O85" s="7"/>
      <c r="P85" s="7"/>
      <c r="Q85" s="22"/>
      <c r="R85" s="22"/>
      <c r="S85" s="31">
        <f t="shared" si="29"/>
        <v>1</v>
      </c>
      <c r="T85" s="46" t="str">
        <f t="shared" si="30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31"/>
        <v>https://d0f6bd738d7f1b3e5a7ca70fe4ff75f0.us-east-1.aws.found.io/app/kibana#/discover/Steve-Slow-Train-Analysis-(2080s-and-2083s)?_g=(refreshInterval:(display:Off,pause:!f,section:0,value:0),time:(from:'2017-03-01T11:41:40-0700',mode:absolute,to:'2017-03-01T14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5" s="187" t="str">
        <f t="shared" si="32"/>
        <v>N</v>
      </c>
      <c r="X85" s="187">
        <f t="shared" si="25"/>
        <v>1</v>
      </c>
      <c r="Y85" s="62">
        <f t="shared" si="33"/>
        <v>5.5100000000000003E-2</v>
      </c>
      <c r="Z85" s="62">
        <f t="shared" si="34"/>
        <v>23.33</v>
      </c>
      <c r="AA85" s="62">
        <f t="shared" si="35"/>
        <v>23.274899999999999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6"/>
        <v>0173-01</v>
      </c>
      <c r="AE85" s="85" t="str">
        <f t="shared" si="37"/>
        <v>aws s3 cp s3://rtdc.mdm.uploadarchive.raw/RTDC4024/ "%USERPROFILE%\AppData\Local\Temp\OnboardLogs"\RTDC4024\2017-03-01 --exclude "*" --recursive --include "*20170301*" &amp; "%USERPROFILE%\Documents\GitHub\mrs-test-scripts\Headless Mode &amp; Sideloading\WalkAndUnGZ.bat" "%USERPROFILE%\AppData\Local\Temp\OnboardLogs"\RTDC4024\2017-03-01 &amp; aws s3 cp s3://rtdc.mdm.uploadarchive.raw/RTDC4024/ "%USERPROFILE%\AppData\Local\Temp\OnboardLogs"\RTDC4024\2017-03-02 --exclude "*" --recursive --include "*20170302*" &amp; "%USERPROFILE%\Documents\GitHub\mrs-test-scripts\Headless Mode &amp; Sideloading\WalkAndUnGZ.bat" "%USERPROFILE%\AppData\Local\Temp\OnboardLogs"\RTDC4024\2017-03-02</v>
      </c>
      <c r="AF85" s="82" t="str">
        <f t="shared" si="38"/>
        <v>"C:\Program Files (x86)\AstroGrep\AstroGrep.exe" /spath="%USERPROFILE%\AppData\Local\Temp\OnboardLogs" /stypes="app*4024*20170301*" /stext=" 20:.+((SYSTEM_STATE.+slice.+state.+changed )|(ment ac)|(multiple cpu faults)|(system.+state.+changed )|(\[timeout)|(PRM\|1\|D)|(kpr)|(kdp)|(\|lc)|(penalty))" /e /r /s</v>
      </c>
      <c r="AG85" s="1" t="str">
        <f t="shared" si="39"/>
        <v>EC</v>
      </c>
      <c r="AH85" s="86" t="str">
        <f t="shared" si="40"/>
        <v>"%USERPROFILE%\Documents\GitHub\eaglep3\Utilities\RefineRTDCRunTimes.py" --tripid 173-01 --locoid 4024 --swversion DE.1.0.9.0 --startMP 204:551 --initTime 2017-03-01T12:41:40 --startdatetime 2017-03-01T12:45:15 --delay 1 --endMP 204:233300 --enddatetime 2017-03-01T13:23:20 --enforcementcount 0 &gt;&gt;C:\Users\stu\Documents\GitHub\eaglep3-reporting\EC\2017-03-01-refined-times.txt</v>
      </c>
      <c r="AI85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{"issue":{"subject":"","project_id":79,"tracker_id":40,"status_id":1,"priority_id":2,"assigned_to_id":23,"start_date":"2017-03-01","description":"","custom_fields":[{"id":1,"name":"Subdivision","value":"EC"},{"id":4,"name":"Milepost","value":"23.33"},{"id":17,"name":"Train ID","value":"173-01"},{"id":16,"name":"Locomotive ID","value":"4024"},{"id":130,"name":"Impact","value":""},{"id":150,"name":"Time of Event (Mountain Time)","value":"13:23:20"},{"id":151,"name":"Denver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2"/>
        <v>start /low /b %USERPROFILE%\Documents\GitHub\eaglep3\Utilities\DownloadLogsFromS3.py --loco 4024 --day 2017-03-01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"%USERPROFILE%\AppData\Local\Temp\OnboardLogs"\RTDC4024\*4024*20170301* | grep -SE "(Enforcement Action)|(\[TIMEOUT)|(CHR.+\|PRM\|1\|D.+(SWITCH|SIGNAL).+UNKNOWN)" - &gt;&gt; 2017-03-01-UncaughtWiMAX.txt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576</v>
      </c>
      <c r="B86" s="7">
        <v>4023</v>
      </c>
      <c r="C86" s="21" t="s">
        <v>266</v>
      </c>
      <c r="D86" s="21" t="s">
        <v>298</v>
      </c>
      <c r="E86" s="13">
        <v>42795.564386574071</v>
      </c>
      <c r="F86" s="13">
        <v>42795.606921296298</v>
      </c>
      <c r="G86" s="7">
        <v>1</v>
      </c>
      <c r="H86" s="21" t="s">
        <v>725</v>
      </c>
      <c r="I86" s="13">
        <v>42795.63449074074</v>
      </c>
      <c r="J86" s="7">
        <v>0</v>
      </c>
      <c r="K86" s="98" t="str">
        <f t="shared" si="27"/>
        <v>4023/4024</v>
      </c>
      <c r="L86" s="21" t="str">
        <f>VLOOKUP(A86,'Trips&amp;Operators'!$C$1:$G$99999,5,FALSE)</f>
        <v>CLARK KATHLEEN</v>
      </c>
      <c r="M86" s="6">
        <f t="shared" si="28"/>
        <v>2.7569444442633539E-2</v>
      </c>
      <c r="N86" s="7">
        <f t="shared" si="26"/>
        <v>39.699999997392297</v>
      </c>
      <c r="O86" s="7"/>
      <c r="P86" s="7"/>
      <c r="Q86" s="22"/>
      <c r="R86" s="22"/>
      <c r="S86" s="31">
        <f t="shared" si="29"/>
        <v>1</v>
      </c>
      <c r="T86" s="46" t="str">
        <f t="shared" si="30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31"/>
        <v>https://d0f6bd738d7f1b3e5a7ca70fe4ff75f0.us-east-1.aws.found.io/app/kibana#/discover/Steve-Slow-Train-Analysis-(2080s-and-2083s)?_g=(refreshInterval:(display:Off,pause:!f,section:0,value:0),time:(from:'2017-03-01T12:32:43-0700',mode:absolute,to:'2017-03-01T16:13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6" s="187" t="str">
        <f t="shared" si="32"/>
        <v>N</v>
      </c>
      <c r="X86" s="187">
        <f t="shared" si="25"/>
        <v>1</v>
      </c>
      <c r="Y86" s="62">
        <f t="shared" si="33"/>
        <v>23.297699999999999</v>
      </c>
      <c r="Z86" s="62">
        <f t="shared" si="34"/>
        <v>1.7000000000000001E-2</v>
      </c>
      <c r="AA86" s="62">
        <f t="shared" si="35"/>
        <v>23.2807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6"/>
        <v>0174-01</v>
      </c>
      <c r="AE86" s="85" t="str">
        <f t="shared" si="37"/>
        <v>aws s3 cp s3://rtdc.mdm.uploadarchive.raw/RTDC4023/ "%USERPROFILE%\AppData\Local\Temp\OnboardLogs"\RTDC4023\2017-03-01 --exclude "*" --recursive --include "*20170301*" &amp; "%USERPROFILE%\Documents\GitHub\mrs-test-scripts\Headless Mode &amp; Sideloading\WalkAndUnGZ.bat" "%USERPROFILE%\AppData\Local\Temp\OnboardLogs"\RTDC4023\2017-03-01 &amp; aws s3 cp s3://rtdc.mdm.uploadarchive.raw/RTDC4023/ "%USERPROFILE%\AppData\Local\Temp\OnboardLogs"\RTDC4023\2017-03-02 --exclude "*" --recursive --include "*20170302*" &amp; "%USERPROFILE%\Documents\GitHub\mrs-test-scripts\Headless Mode &amp; Sideloading\WalkAndUnGZ.bat" "%USERPROFILE%\AppData\Local\Temp\OnboardLogs"\RTDC4023\2017-03-02</v>
      </c>
      <c r="AF86" s="82" t="str">
        <f t="shared" si="38"/>
        <v>"C:\Program Files (x86)\AstroGrep\AstroGrep.exe" /spath="%USERPROFILE%\AppData\Local\Temp\OnboardLogs" /stypes="app*4023*20170301*" /stext=" 22:.+((SYSTEM_STATE.+slice.+state.+changed )|(ment ac)|(multiple cpu faults)|(system.+state.+changed )|(\[timeout)|(PRM\|1\|D)|(kpr)|(kdp)|(\|lc)|(penalty))" /e /r /s</v>
      </c>
      <c r="AG86" s="1" t="str">
        <f t="shared" si="39"/>
        <v>EC</v>
      </c>
      <c r="AH86" s="86" t="str">
        <f t="shared" si="40"/>
        <v>"%USERPROFILE%\Documents\GitHub\eaglep3\Utilities\RefineRTDCRunTimes.py" --tripid 174-01 --locoid 4023 --swversion DE.1.0.9.0 --startMP 204:232977 --initTime 2017-03-01T13:32:43 --startdatetime 2017-03-01T14:33:58 --delay 1 --endMP 204:170 --enddatetime 2017-03-01T15:13:40 --enforcementcount 0 &gt;&gt;C:\Users\stu\Documents\GitHub\eaglep3-reporting\EC\2017-03-01-refined-times.txt</v>
      </c>
      <c r="AI86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{"issue":{"subject":"","project_id":79,"tracker_id":40,"status_id":1,"priority_id":2,"assigned_to_id":23,"start_date":"2017-03-01","description":"","custom_fields":[{"id":1,"name":"Subdivision","value":"EC"},{"id":4,"name":"Milepost","value":"0.017"},{"id":17,"name":"Train ID","value":"174-01"},{"id":16,"name":"Locomotive ID","value":"4023"},{"id":130,"name":"Impact","value":""},{"id":150,"name":"Time of Event (Mountain Time)","value":"15:13:40"},{"id":151,"name":"Denver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2"/>
        <v>start /low /b %USERPROFILE%\Documents\GitHub\eaglep3\Utilities\DownloadLogsFromS3.py --loco 4023 --day 2017-03-01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"%USERPROFILE%\AppData\Local\Temp\OnboardLogs"\RTDC4023\*4023*20170301* | grep -SE "(Enforcement Action)|(\[TIMEOUT)|(CHR.+\|PRM\|1\|D.+(SWITCH|SIGNAL).+UNKNOWN)" - &gt;&gt; 2017-03-01-UncaughtWiMAX.txt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452</v>
      </c>
      <c r="B87" s="7">
        <v>4011</v>
      </c>
      <c r="C87" s="21" t="s">
        <v>266</v>
      </c>
      <c r="D87" s="21" t="s">
        <v>300</v>
      </c>
      <c r="E87" s="13">
        <v>42795.540405092594</v>
      </c>
      <c r="F87" s="13">
        <v>42795.54210648148</v>
      </c>
      <c r="G87" s="7">
        <v>1</v>
      </c>
      <c r="H87" s="21" t="s">
        <v>726</v>
      </c>
      <c r="I87" s="13">
        <v>42795.570127314815</v>
      </c>
      <c r="J87" s="7">
        <v>0</v>
      </c>
      <c r="K87" s="98" t="str">
        <f t="shared" si="27"/>
        <v>4011/4012</v>
      </c>
      <c r="L87" s="21" t="str">
        <f>VLOOKUP(A87,'Trips&amp;Operators'!$C$1:$G$99999,5,FALSE)</f>
        <v>DAVIS MICHAEL</v>
      </c>
      <c r="M87" s="6">
        <f t="shared" si="28"/>
        <v>2.8020833335176576E-2</v>
      </c>
      <c r="N87" s="7">
        <f t="shared" si="26"/>
        <v>40.350000002654269</v>
      </c>
      <c r="O87" s="7"/>
      <c r="P87" s="7"/>
      <c r="Q87" s="22"/>
      <c r="R87" s="22"/>
      <c r="S87" s="31">
        <f t="shared" si="29"/>
        <v>1</v>
      </c>
      <c r="T87" s="46" t="str">
        <f t="shared" si="30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31"/>
        <v>https://d0f6bd738d7f1b3e5a7ca70fe4ff75f0.us-east-1.aws.found.io/app/kibana#/discover/Steve-Slow-Train-Analysis-(2080s-and-2083s)?_g=(refreshInterval:(display:Off,pause:!f,section:0,value:0),time:(from:'2017-03-01T11:58:11-0700',mode:absolute,to:'2017-03-01T14:40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7" s="187" t="str">
        <f t="shared" si="32"/>
        <v>N</v>
      </c>
      <c r="X87" s="187">
        <f t="shared" si="25"/>
        <v>1</v>
      </c>
      <c r="Y87" s="62">
        <f t="shared" si="33"/>
        <v>4.6699999999999998E-2</v>
      </c>
      <c r="Z87" s="62">
        <f t="shared" si="34"/>
        <v>23.3291</v>
      </c>
      <c r="AA87" s="62">
        <f t="shared" si="35"/>
        <v>23.282399999999999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6"/>
        <v>0175-01</v>
      </c>
      <c r="AE87" s="85" t="str">
        <f t="shared" si="37"/>
        <v>aws s3 cp s3://rtdc.mdm.uploadarchive.raw/RTDC4011/ "%USERPROFILE%\AppData\Local\Temp\OnboardLogs"\RTDC4011\2017-03-01 --exclude "*" --recursive --include "*20170301*" &amp; "%USERPROFILE%\Documents\GitHub\mrs-test-scripts\Headless Mode &amp; Sideloading\WalkAndUnGZ.bat" "%USERPROFILE%\AppData\Local\Temp\OnboardLogs"\RTDC4011\2017-03-01 &amp; aws s3 cp s3://rtdc.mdm.uploadarchive.raw/RTDC4011/ "%USERPROFILE%\AppData\Local\Temp\OnboardLogs"\RTDC4011\2017-03-02 --exclude "*" --recursive --include "*20170302*" &amp; "%USERPROFILE%\Documents\GitHub\mrs-test-scripts\Headless Mode &amp; Sideloading\WalkAndUnGZ.bat" "%USERPROFILE%\AppData\Local\Temp\OnboardLogs"\RTDC4011\2017-03-02</v>
      </c>
      <c r="AF87" s="82" t="str">
        <f t="shared" si="38"/>
        <v>"C:\Program Files (x86)\AstroGrep\AstroGrep.exe" /spath="%USERPROFILE%\AppData\Local\Temp\OnboardLogs" /stypes="app*4011*20170301*" /stext=" 20:.+((SYSTEM_STATE.+slice.+state.+changed )|(ment ac)|(multiple cpu faults)|(system.+state.+changed )|(\[timeout)|(PRM\|1\|D)|(kpr)|(kdp)|(\|lc)|(penalty))" /e /r /s</v>
      </c>
      <c r="AG87" s="1" t="str">
        <f t="shared" si="39"/>
        <v>EC</v>
      </c>
      <c r="AH87" s="86" t="str">
        <f t="shared" si="40"/>
        <v>"%USERPROFILE%\Documents\GitHub\eaglep3\Utilities\RefineRTDCRunTimes.py" --tripid 175-01 --locoid 4011 --swversion DE.1.0.9.0 --startMP 204:467 --initTime 2017-03-01T12:58:11 --startdatetime 2017-03-01T13:00:38 --delay 1 --endMP 204:233291 --enddatetime 2017-03-01T13:40:59 --enforcementcount 0 &gt;&gt;C:\Users\stu\Documents\GitHub\eaglep3-reporting\EC\2017-03-01-refined-times.txt</v>
      </c>
      <c r="AI87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{"issue":{"subject":"","project_id":79,"tracker_id":40,"status_id":1,"priority_id":2,"assigned_to_id":23,"start_date":"2017-03-01","description":"","custom_fields":[{"id":1,"name":"Subdivision","value":"EC"},{"id":4,"name":"Milepost","value":"23.3291"},{"id":17,"name":"Train ID","value":"175-01"},{"id":16,"name":"Locomotive ID","value":"4011"},{"id":130,"name":"Impact","value":""},{"id":150,"name":"Time of Event (Mountain Time)","value":"13:40:59"},{"id":151,"name":"Denver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2"/>
        <v>start /low /b %USERPROFILE%\Documents\GitHub\eaglep3\Utilities\DownloadLogsFromS3.py --loco 4011 --day 2017-03-01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"%USERPROFILE%\AppData\Local\Temp\OnboardLogs"\RTDC4011\*4011*20170301* | grep -SE "(Enforcement Action)|(\[TIMEOUT)|(CHR.+\|PRM\|1\|D.+(SWITCH|SIGNAL).+UNKNOWN)" - &gt;&gt; 2017-03-01-UncaughtWiMAX.txt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581</v>
      </c>
      <c r="B88" s="7">
        <v>4012</v>
      </c>
      <c r="C88" s="21" t="s">
        <v>266</v>
      </c>
      <c r="D88" s="21" t="s">
        <v>347</v>
      </c>
      <c r="E88" s="13">
        <v>42795.582442129627</v>
      </c>
      <c r="F88" s="13">
        <v>42795.584178240744</v>
      </c>
      <c r="G88" s="7">
        <v>1</v>
      </c>
      <c r="H88" s="21" t="s">
        <v>352</v>
      </c>
      <c r="I88" s="13">
        <v>42795.614699074074</v>
      </c>
      <c r="J88" s="7">
        <v>0</v>
      </c>
      <c r="K88" s="98" t="str">
        <f t="shared" si="27"/>
        <v>4011/4012</v>
      </c>
      <c r="L88" s="21" t="str">
        <f>VLOOKUP(A88,'Trips&amp;Operators'!$C$1:$G$99999,5,FALSE)</f>
        <v>DAVIS MICHAEL</v>
      </c>
      <c r="M88" s="6">
        <f t="shared" si="28"/>
        <v>3.0520833330228925E-2</v>
      </c>
      <c r="N88" s="7">
        <f t="shared" si="26"/>
        <v>43.949999995529652</v>
      </c>
      <c r="O88" s="7"/>
      <c r="P88" s="7"/>
      <c r="Q88" s="22"/>
      <c r="R88" s="22"/>
      <c r="S88" s="31">
        <f t="shared" si="29"/>
        <v>1</v>
      </c>
      <c r="T88" s="46" t="str">
        <f t="shared" si="30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31"/>
        <v>https://d0f6bd738d7f1b3e5a7ca70fe4ff75f0.us-east-1.aws.found.io/app/kibana#/discover/Steve-Slow-Train-Analysis-(2080s-and-2083s)?_g=(refreshInterval:(display:Off,pause:!f,section:0,value:0),time:(from:'2017-03-01T12:58:43-0700',mode:absolute,to:'2017-03-01T15:45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8" s="187" t="str">
        <f t="shared" si="32"/>
        <v>N</v>
      </c>
      <c r="X88" s="187">
        <f t="shared" si="25"/>
        <v>1</v>
      </c>
      <c r="Y88" s="62">
        <f t="shared" si="33"/>
        <v>23.2973</v>
      </c>
      <c r="Z88" s="62">
        <f t="shared" si="34"/>
        <v>1.32E-2</v>
      </c>
      <c r="AA88" s="62">
        <f t="shared" si="35"/>
        <v>23.284099999999999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6"/>
        <v>0176-01</v>
      </c>
      <c r="AE88" s="85" t="str">
        <f t="shared" si="37"/>
        <v>aws s3 cp s3://rtdc.mdm.uploadarchive.raw/RTDC4012/ "%USERPROFILE%\AppData\Local\Temp\OnboardLogs"\RTDC4012\2017-03-01 --exclude "*" --recursive --include "*20170301*" &amp; "%USERPROFILE%\Documents\GitHub\mrs-test-scripts\Headless Mode &amp; Sideloading\WalkAndUnGZ.bat" "%USERPROFILE%\AppData\Local\Temp\OnboardLogs"\RTDC4012\2017-03-01 &amp; aws s3 cp s3://rtdc.mdm.uploadarchive.raw/RTDC4012/ "%USERPROFILE%\AppData\Local\Temp\OnboardLogs"\RTDC4012\2017-03-02 --exclude "*" --recursive --include "*20170302*" &amp; "%USERPROFILE%\Documents\GitHub\mrs-test-scripts\Headless Mode &amp; Sideloading\WalkAndUnGZ.bat" "%USERPROFILE%\AppData\Local\Temp\OnboardLogs"\RTDC4012\2017-03-02</v>
      </c>
      <c r="AF88" s="82" t="str">
        <f t="shared" si="38"/>
        <v>"C:\Program Files (x86)\AstroGrep\AstroGrep.exe" /spath="%USERPROFILE%\AppData\Local\Temp\OnboardLogs" /stypes="app*4012*20170301*" /stext=" 21:.+((SYSTEM_STATE.+slice.+state.+changed )|(ment ac)|(multiple cpu faults)|(system.+state.+changed )|(\[timeout)|(PRM\|1\|D)|(kpr)|(kdp)|(\|lc)|(penalty))" /e /r /s</v>
      </c>
      <c r="AG88" s="1" t="str">
        <f t="shared" si="39"/>
        <v>EC</v>
      </c>
      <c r="AH88" s="86" t="str">
        <f t="shared" si="40"/>
        <v>"%USERPROFILE%\Documents\GitHub\eaglep3\Utilities\RefineRTDCRunTimes.py" --tripid 176-01 --locoid 4012 --swversion DE.1.0.9.0 --startMP 204:232973 --initTime 2017-03-01T13:58:43 --startdatetime 2017-03-01T14:01:13 --delay 1 --endMP 204:132 --enddatetime 2017-03-01T14:45:10 --enforcementcount 0 &gt;&gt;C:\Users\stu\Documents\GitHub\eaglep3-reporting\EC\2017-03-01-refined-times.txt</v>
      </c>
      <c r="AI88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{"issue":{"subject":"","project_id":79,"tracker_id":40,"status_id":1,"priority_id":2,"assigned_to_id":23,"start_date":"2017-03-01","description":"","custom_fields":[{"id":1,"name":"Subdivision","value":"EC"},{"id":4,"name":"Milepost","value":"0.0132"},{"id":17,"name":"Train ID","value":"176-01"},{"id":16,"name":"Locomotive ID","value":"4012"},{"id":130,"name":"Impact","value":""},{"id":150,"name":"Time of Event (Mountain Time)","value":"14:45:10"},{"id":151,"name":"Denver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2"/>
        <v>start /low /b %USERPROFILE%\Documents\GitHub\eaglep3\Utilities\DownloadLogsFromS3.py --loco 4012 --day 2017-03-01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"%USERPROFILE%\AppData\Local\Temp\OnboardLogs"\RTDC4012\*4012*20170301* | grep -SE "(Enforcement Action)|(\[TIMEOUT)|(CHR.+\|PRM\|1\|D.+(SWITCH|SIGNAL).+UNKNOWN)" - &gt;&gt; 2017-03-01-UncaughtWiMAX.txt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570</v>
      </c>
      <c r="B89" s="7">
        <v>4029</v>
      </c>
      <c r="C89" s="21" t="s">
        <v>266</v>
      </c>
      <c r="D89" s="21" t="s">
        <v>235</v>
      </c>
      <c r="E89" s="13">
        <v>42795.547881944447</v>
      </c>
      <c r="F89" s="13">
        <v>42795.552268518521</v>
      </c>
      <c r="G89" s="7">
        <v>1</v>
      </c>
      <c r="H89" s="21" t="s">
        <v>254</v>
      </c>
      <c r="I89" s="13">
        <v>42795.577974537038</v>
      </c>
      <c r="J89" s="7">
        <v>0</v>
      </c>
      <c r="K89" s="98" t="str">
        <f t="shared" si="27"/>
        <v>4029/4030</v>
      </c>
      <c r="L89" s="21" t="str">
        <f>VLOOKUP(A89,'Trips&amp;Operators'!$C$1:$G$99999,5,FALSE)</f>
        <v>LEVERE CRAIG</v>
      </c>
      <c r="M89" s="6">
        <f t="shared" si="28"/>
        <v>2.5706018517666962E-2</v>
      </c>
      <c r="N89" s="7">
        <f t="shared" si="26"/>
        <v>37.016666665440425</v>
      </c>
      <c r="O89" s="7"/>
      <c r="P89" s="7"/>
      <c r="Q89" s="22"/>
      <c r="R89" s="22"/>
      <c r="S89" s="31">
        <f t="shared" si="29"/>
        <v>1</v>
      </c>
      <c r="T89" s="46" t="str">
        <f t="shared" si="30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31"/>
        <v>https://d0f6bd738d7f1b3e5a7ca70fe4ff75f0.us-east-1.aws.found.io/app/kibana#/discover/Steve-Slow-Train-Analysis-(2080s-and-2083s)?_g=(refreshInterval:(display:Off,pause:!f,section:0,value:0),time:(from:'2017-03-01T12:08:57-0700',mode:absolute,to:'2017-03-01T14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9" s="187" t="str">
        <f t="shared" si="32"/>
        <v>N</v>
      </c>
      <c r="X89" s="187">
        <f t="shared" si="25"/>
        <v>1</v>
      </c>
      <c r="Y89" s="62">
        <f t="shared" si="33"/>
        <v>4.53E-2</v>
      </c>
      <c r="Z89" s="62">
        <f t="shared" si="34"/>
        <v>23.331</v>
      </c>
      <c r="AA89" s="62">
        <f t="shared" si="35"/>
        <v>23.285699999999999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6"/>
        <v>0177-01</v>
      </c>
      <c r="AE89" s="85" t="str">
        <f t="shared" si="37"/>
        <v>aws s3 cp s3://rtdc.mdm.uploadarchive.raw/RTDC4029/ "%USERPROFILE%\AppData\Local\Temp\OnboardLogs"\RTDC4029\2017-03-01 --exclude "*" --recursive --include "*20170301*" &amp; "%USERPROFILE%\Documents\GitHub\mrs-test-scripts\Headless Mode &amp; Sideloading\WalkAndUnGZ.bat" "%USERPROFILE%\AppData\Local\Temp\OnboardLogs"\RTDC4029\2017-03-01 &amp; aws s3 cp s3://rtdc.mdm.uploadarchive.raw/RTDC4029/ "%USERPROFILE%\AppData\Local\Temp\OnboardLogs"\RTDC4029\2017-03-02 --exclude "*" --recursive --include "*20170302*" &amp; "%USERPROFILE%\Documents\GitHub\mrs-test-scripts\Headless Mode &amp; Sideloading\WalkAndUnGZ.bat" "%USERPROFILE%\AppData\Local\Temp\OnboardLogs"\RTDC4029\2017-03-02</v>
      </c>
      <c r="AF89" s="82" t="str">
        <f t="shared" si="38"/>
        <v>"C:\Program Files (x86)\AstroGrep\AstroGrep.exe" /spath="%USERPROFILE%\AppData\Local\Temp\OnboardLogs" /stypes="app*4029*20170301*" /stext=" 20:.+((SYSTEM_STATE.+slice.+state.+changed )|(ment ac)|(multiple cpu faults)|(system.+state.+changed )|(\[timeout)|(PRM\|1\|D)|(kpr)|(kdp)|(\|lc)|(penalty))" /e /r /s</v>
      </c>
      <c r="AG89" s="1" t="str">
        <f t="shared" si="39"/>
        <v>EC</v>
      </c>
      <c r="AH89" s="86" t="str">
        <f t="shared" si="40"/>
        <v>"%USERPROFILE%\Documents\GitHub\eaglep3\Utilities\RefineRTDCRunTimes.py" --tripid 177-01 --locoid 4029 --swversion DE.1.0.9.0 --startMP 204:453 --initTime 2017-03-01T13:08:57 --startdatetime 2017-03-01T13:15:16 --delay 1 --endMP 204:233310 --enddatetime 2017-03-01T13:52:17 --enforcementcount 0 &gt;&gt;C:\Users\stu\Documents\GitHub\eaglep3-reporting\EC\2017-03-01-refined-times.txt</v>
      </c>
      <c r="AI89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{"issue":{"subject":"","project_id":79,"tracker_id":40,"status_id":1,"priority_id":2,"assigned_to_id":23,"start_date":"2017-03-01","description":"","custom_fields":[{"id":1,"name":"Subdivision","value":"EC"},{"id":4,"name":"Milepost","value":"23.331"},{"id":17,"name":"Train ID","value":"177-01"},{"id":16,"name":"Locomotive ID","value":"4029"},{"id":130,"name":"Impact","value":""},{"id":150,"name":"Time of Event (Mountain Time)","value":"13:52:17"},{"id":151,"name":"Denver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2"/>
        <v>start /low /b %USERPROFILE%\Documents\GitHub\eaglep3\Utilities\DownloadLogsFromS3.py --loco 4029 --day 2017-03-01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"%USERPROFILE%\AppData\Local\Temp\OnboardLogs"\RTDC4029\*4029*20170301* | grep -SE "(Enforcement Action)|(\[TIMEOUT)|(CHR.+\|PRM\|1\|D.+(SWITCH|SIGNAL).+UNKNOWN)" - &gt;&gt; 2017-03-01-UncaughtWiMAX.txt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583</v>
      </c>
      <c r="B90" s="7">
        <v>4030</v>
      </c>
      <c r="C90" s="21" t="s">
        <v>266</v>
      </c>
      <c r="D90" s="21" t="s">
        <v>727</v>
      </c>
      <c r="E90" s="13">
        <v>42795.585358796299</v>
      </c>
      <c r="F90" s="13">
        <v>42795.591782407406</v>
      </c>
      <c r="G90" s="7">
        <v>1</v>
      </c>
      <c r="H90" s="21" t="s">
        <v>207</v>
      </c>
      <c r="I90" s="13">
        <v>42795.620810185188</v>
      </c>
      <c r="J90" s="7">
        <v>0</v>
      </c>
      <c r="K90" s="98" t="str">
        <f t="shared" si="27"/>
        <v>4029/4030</v>
      </c>
      <c r="L90" s="21" t="str">
        <f>VLOOKUP(A90,'Trips&amp;Operators'!$C$1:$G$99999,5,FALSE)</f>
        <v>LEVERE CRAIG</v>
      </c>
      <c r="M90" s="6">
        <f t="shared" si="28"/>
        <v>2.902777778217569E-2</v>
      </c>
      <c r="N90" s="7">
        <f t="shared" si="26"/>
        <v>41.800000006332994</v>
      </c>
      <c r="O90" s="7"/>
      <c r="P90" s="7"/>
      <c r="Q90" s="22"/>
      <c r="R90" s="22"/>
      <c r="S90" s="31">
        <f t="shared" si="29"/>
        <v>1</v>
      </c>
      <c r="T90" s="46" t="str">
        <f t="shared" si="30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31"/>
        <v>https://d0f6bd738d7f1b3e5a7ca70fe4ff75f0.us-east-1.aws.found.io/app/kibana#/discover/Steve-Slow-Train-Analysis-(2080s-and-2083s)?_g=(refreshInterval:(display:Off,pause:!f,section:0,value:0),time:(from:'2017-03-01T13:02:55-0700',mode:absolute,to:'2017-03-01T15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0" s="187" t="str">
        <f t="shared" si="32"/>
        <v>N</v>
      </c>
      <c r="X90" s="187">
        <f t="shared" si="25"/>
        <v>1</v>
      </c>
      <c r="Y90" s="62">
        <f t="shared" si="33"/>
        <v>23.298500000000001</v>
      </c>
      <c r="Z90" s="62">
        <f t="shared" si="34"/>
        <v>1.5800000000000002E-2</v>
      </c>
      <c r="AA90" s="62">
        <f t="shared" si="35"/>
        <v>23.282700000000002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6"/>
        <v>0178-01</v>
      </c>
      <c r="AE90" s="85" t="str">
        <f t="shared" si="37"/>
        <v>aws s3 cp s3://rtdc.mdm.uploadarchive.raw/RTDC4030/ "%USERPROFILE%\AppData\Local\Temp\OnboardLogs"\RTDC4030\2017-03-01 --exclude "*" --recursive --include "*20170301*" &amp; "%USERPROFILE%\Documents\GitHub\mrs-test-scripts\Headless Mode &amp; Sideloading\WalkAndUnGZ.bat" "%USERPROFILE%\AppData\Local\Temp\OnboardLogs"\RTDC4030\2017-03-01 &amp; aws s3 cp s3://rtdc.mdm.uploadarchive.raw/RTDC4030/ "%USERPROFILE%\AppData\Local\Temp\OnboardLogs"\RTDC4030\2017-03-02 --exclude "*" --recursive --include "*20170302*" &amp; "%USERPROFILE%\Documents\GitHub\mrs-test-scripts\Headless Mode &amp; Sideloading\WalkAndUnGZ.bat" "%USERPROFILE%\AppData\Local\Temp\OnboardLogs"\RTDC4030\2017-03-02</v>
      </c>
      <c r="AF90" s="82" t="str">
        <f t="shared" si="38"/>
        <v>"C:\Program Files (x86)\AstroGrep\AstroGrep.exe" /spath="%USERPROFILE%\AppData\Local\Temp\OnboardLogs" /stypes="app*4030*20170301*" /stext=" 21:.+((SYSTEM_STATE.+slice.+state.+changed )|(ment ac)|(multiple cpu faults)|(system.+state.+changed )|(\[timeout)|(PRM\|1\|D)|(kpr)|(kdp)|(\|lc)|(penalty))" /e /r /s</v>
      </c>
      <c r="AG90" s="1" t="str">
        <f t="shared" si="39"/>
        <v>EC</v>
      </c>
      <c r="AH90" s="86" t="str">
        <f t="shared" si="40"/>
        <v>"%USERPROFILE%\Documents\GitHub\eaglep3\Utilities\RefineRTDCRunTimes.py" --tripid 178-01 --locoid 4030 --swversion DE.1.0.9.0 --startMP 204:232985 --initTime 2017-03-01T14:02:55 --startdatetime 2017-03-01T14:12:10 --delay 1 --endMP 204:158 --enddatetime 2017-03-01T14:53:58 --enforcementcount 0 &gt;&gt;C:\Users\stu\Documents\GitHub\eaglep3-reporting\EC\2017-03-01-refined-times.txt</v>
      </c>
      <c r="AI90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{"issue":{"subject":"","project_id":79,"tracker_id":40,"status_id":1,"priority_id":2,"assigned_to_id":23,"start_date":"2017-03-01","description":"","custom_fields":[{"id":1,"name":"Subdivision","value":"EC"},{"id":4,"name":"Milepost","value":"0.0158"},{"id":17,"name":"Train ID","value":"178-01"},{"id":16,"name":"Locomotive ID","value":"4030"},{"id":130,"name":"Impact","value":""},{"id":150,"name":"Time of Event (Mountain Time)","value":"14:53:58"},{"id":151,"name":"Denver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2"/>
        <v>start /low /b %USERPROFILE%\Documents\GitHub\eaglep3\Utilities\DownloadLogsFromS3.py --loco 4030 --day 2017-03-01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"%USERPROFILE%\AppData\Local\Temp\OnboardLogs"\RTDC4030\*4030*20170301* | grep -SE "(Enforcement Action)|(\[TIMEOUT)|(CHR.+\|PRM\|1\|D.+(SWITCH|SIGNAL).+UNKNOWN)" - &gt;&gt; 2017-03-01-UncaughtWiMAX.txt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575</v>
      </c>
      <c r="B91" s="7">
        <v>4022</v>
      </c>
      <c r="C91" s="21" t="s">
        <v>266</v>
      </c>
      <c r="D91" s="21" t="s">
        <v>259</v>
      </c>
      <c r="E91" s="13">
        <v>42795.55982638889</v>
      </c>
      <c r="F91" s="13">
        <v>42795.562835648147</v>
      </c>
      <c r="G91" s="7">
        <v>1</v>
      </c>
      <c r="H91" s="21" t="s">
        <v>242</v>
      </c>
      <c r="I91" s="13">
        <v>42795.587905092594</v>
      </c>
      <c r="J91" s="7">
        <v>0</v>
      </c>
      <c r="K91" s="98" t="str">
        <f t="shared" si="27"/>
        <v>4021/4022</v>
      </c>
      <c r="L91" s="21" t="str">
        <f>VLOOKUP(A91,'Trips&amp;Operators'!$C$1:$G$99999,5,FALSE)</f>
        <v>HELVIE ADAM</v>
      </c>
      <c r="M91" s="6">
        <f t="shared" si="28"/>
        <v>2.5069444447581191E-2</v>
      </c>
      <c r="N91" s="7">
        <f t="shared" si="26"/>
        <v>36.100000004516914</v>
      </c>
      <c r="O91" s="7"/>
      <c r="P91" s="7"/>
      <c r="Q91" s="22"/>
      <c r="R91" s="22"/>
      <c r="S91" s="31">
        <f t="shared" si="29"/>
        <v>1</v>
      </c>
      <c r="T91" s="46" t="str">
        <f t="shared" si="30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31"/>
        <v>https://d0f6bd738d7f1b3e5a7ca70fe4ff75f0.us-east-1.aws.found.io/app/kibana#/discover/Steve-Slow-Train-Analysis-(2080s-and-2083s)?_g=(refreshInterval:(display:Off,pause:!f,section:0,value:0),time:(from:'2017-03-01T12:26:09-0700',mode:absolute,to:'2017-03-01T15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1" s="187" t="str">
        <f t="shared" si="32"/>
        <v>N</v>
      </c>
      <c r="X91" s="187">
        <f t="shared" si="25"/>
        <v>1</v>
      </c>
      <c r="Y91" s="62">
        <f t="shared" si="33"/>
        <v>4.7500000000000001E-2</v>
      </c>
      <c r="Z91" s="62">
        <f t="shared" si="34"/>
        <v>23.3293</v>
      </c>
      <c r="AA91" s="62">
        <f t="shared" si="35"/>
        <v>23.2818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6"/>
        <v>0179-01</v>
      </c>
      <c r="AE91" s="85" t="str">
        <f t="shared" si="37"/>
        <v>aws s3 cp s3://rtdc.mdm.uploadarchive.raw/RTDC4022/ "%USERPROFILE%\AppData\Local\Temp\OnboardLogs"\RTDC4022\2017-03-01 --exclude "*" --recursive --include "*20170301*" &amp; "%USERPROFILE%\Documents\GitHub\mrs-test-scripts\Headless Mode &amp; Sideloading\WalkAndUnGZ.bat" "%USERPROFILE%\AppData\Local\Temp\OnboardLogs"\RTDC4022\2017-03-01 &amp; 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</v>
      </c>
      <c r="AF91" s="82" t="str">
        <f t="shared" si="38"/>
        <v>"C:\Program Files (x86)\AstroGrep\AstroGrep.exe" /spath="%USERPROFILE%\AppData\Local\Temp\OnboardLogs" /stypes="app*4022*20170301*" /stext=" 21:.+((SYSTEM_STATE.+slice.+state.+changed )|(ment ac)|(multiple cpu faults)|(system.+state.+changed )|(\[timeout)|(PRM\|1\|D)|(kpr)|(kdp)|(\|lc)|(penalty))" /e /r /s</v>
      </c>
      <c r="AG91" s="1" t="str">
        <f t="shared" si="39"/>
        <v>EC</v>
      </c>
      <c r="AH91" s="86" t="str">
        <f t="shared" si="40"/>
        <v>"%USERPROFILE%\Documents\GitHub\eaglep3\Utilities\RefineRTDCRunTimes.py" --tripid 179-01 --locoid 4022 --swversion DE.1.0.9.0 --startMP 204:475 --initTime 2017-03-01T13:26:09 --startdatetime 2017-03-01T13:30:29 --delay 1 --endMP 204:233293 --enddatetime 2017-03-01T14:06:35 --enforcementcount 0 &gt;&gt;C:\Users\stu\Documents\GitHub\eaglep3-reporting\EC\2017-03-01-refined-times.txt</v>
      </c>
      <c r="AI91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{"issue":{"subject":"","project_id":79,"tracker_id":40,"status_id":1,"priority_id":2,"assigned_to_id":23,"start_date":"2017-03-01","description":"","custom_fields":[{"id":1,"name":"Subdivision","value":"EC"},{"id":4,"name":"Milepost","value":"23.3293"},{"id":17,"name":"Train ID","value":"179-01"},{"id":16,"name":"Locomotive ID","value":"4022"},{"id":130,"name":"Impact","value":""},{"id":150,"name":"Time of Event (Mountain Time)","value":"14:06:35"},{"id":151,"name":"Denver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2"/>
        <v>start /low /b %USERPROFILE%\Documents\GitHub\eaglep3\Utilities\DownloadLogsFromS3.py --loco 4022 --day 2017-03-01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"%USERPROFILE%\AppData\Local\Temp\OnboardLogs"\RTDC4022\*4022*20170301* | grep -SE "(Enforcement Action)|(\[TIMEOUT)|(CHR.+\|PRM\|1\|D.+(SWITCH|SIGNAL).+UNKNOWN)" - &gt;&gt; 2017-03-01-UncaughtWiMAX.txt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585</v>
      </c>
      <c r="B92" s="7">
        <v>4021</v>
      </c>
      <c r="C92" s="21" t="s">
        <v>266</v>
      </c>
      <c r="D92" s="21" t="s">
        <v>728</v>
      </c>
      <c r="E92" s="13">
        <v>42795.599074074074</v>
      </c>
      <c r="F92" s="13">
        <v>42795.601574074077</v>
      </c>
      <c r="G92" s="7">
        <v>1</v>
      </c>
      <c r="H92" s="21" t="s">
        <v>357</v>
      </c>
      <c r="I92" s="13">
        <v>42795.635277777779</v>
      </c>
      <c r="J92" s="7">
        <v>0</v>
      </c>
      <c r="K92" s="98" t="str">
        <f t="shared" si="27"/>
        <v>4021/4022</v>
      </c>
      <c r="L92" s="21" t="str">
        <f>VLOOKUP(A92,'Trips&amp;Operators'!$C$1:$G$99999,5,FALSE)</f>
        <v>HELVIE ADAM</v>
      </c>
      <c r="M92" s="6">
        <f t="shared" si="28"/>
        <v>3.3703703702485655E-2</v>
      </c>
      <c r="N92" s="7">
        <f t="shared" si="26"/>
        <v>48.533333331579342</v>
      </c>
      <c r="O92" s="7"/>
      <c r="P92" s="7"/>
      <c r="Q92" s="22"/>
      <c r="R92" s="22"/>
      <c r="S92" s="31">
        <f t="shared" si="29"/>
        <v>1</v>
      </c>
      <c r="T92" s="46" t="str">
        <f t="shared" si="30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31"/>
        <v>https://d0f6bd738d7f1b3e5a7ca70fe4ff75f0.us-east-1.aws.found.io/app/kibana#/discover/Steve-Slow-Train-Analysis-(2080s-and-2083s)?_g=(refreshInterval:(display:Off,pause:!f,section:0,value:0),time:(from:'2017-03-01T13:22:40-0700',mode:absolute,to:'2017-03-01T16:14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2" s="187" t="str">
        <f t="shared" si="32"/>
        <v>N</v>
      </c>
      <c r="X92" s="187">
        <f t="shared" si="25"/>
        <v>1</v>
      </c>
      <c r="Y92" s="62">
        <f t="shared" si="33"/>
        <v>23.296700000000001</v>
      </c>
      <c r="Z92" s="62">
        <f t="shared" si="34"/>
        <v>1.67E-2</v>
      </c>
      <c r="AA92" s="62">
        <f t="shared" si="35"/>
        <v>23.28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6"/>
        <v>0180-01</v>
      </c>
      <c r="AE92" s="85" t="str">
        <f t="shared" si="37"/>
        <v>aws s3 cp s3://rtdc.mdm.uploadarchive.raw/RTDC4021/ "%USERPROFILE%\AppData\Local\Temp\OnboardLogs"\RTDC4021\2017-03-01 --exclude "*" --recursive --include "*20170301*" &amp; "%USERPROFILE%\Documents\GitHub\mrs-test-scripts\Headless Mode &amp; Sideloading\WalkAndUnGZ.bat" "%USERPROFILE%\AppData\Local\Temp\OnboardLogs"\RTDC4021\2017-03-01 &amp; 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</v>
      </c>
      <c r="AF92" s="82" t="str">
        <f t="shared" si="38"/>
        <v>"C:\Program Files (x86)\AstroGrep\AstroGrep.exe" /spath="%USERPROFILE%\AppData\Local\Temp\OnboardLogs" /stypes="app*4021*20170301*" /stext=" 22:.+((SYSTEM_STATE.+slice.+state.+changed )|(ment ac)|(multiple cpu faults)|(system.+state.+changed )|(\[timeout)|(PRM\|1\|D)|(kpr)|(kdp)|(\|lc)|(penalty))" /e /r /s</v>
      </c>
      <c r="AG92" s="1" t="str">
        <f t="shared" si="39"/>
        <v>EC</v>
      </c>
      <c r="AH92" s="86" t="str">
        <f t="shared" si="40"/>
        <v>"%USERPROFILE%\Documents\GitHub\eaglep3\Utilities\RefineRTDCRunTimes.py" --tripid 180-01 --locoid 4021 --swversion DE.1.0.9.0 --startMP 204:232967 --initTime 2017-03-01T14:22:40 --startdatetime 2017-03-01T14:26:16 --delay 1 --endMP 204:167 --enddatetime 2017-03-01T15:14:48 --enforcementcount 0 &gt;&gt;C:\Users\stu\Documents\GitHub\eaglep3-reporting\EC\2017-03-01-refined-times.txt</v>
      </c>
      <c r="AI92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{"issue":{"subject":"","project_id":79,"tracker_id":40,"status_id":1,"priority_id":2,"assigned_to_id":23,"start_date":"2017-03-01","description":"","custom_fields":[{"id":1,"name":"Subdivision","value":"EC"},{"id":4,"name":"Milepost","value":"0.0167"},{"id":17,"name":"Train ID","value":"180-01"},{"id":16,"name":"Locomotive ID","value":"4021"},{"id":130,"name":"Impact","value":""},{"id":150,"name":"Time of Event (Mountain Time)","value":"15:14:48"},{"id":151,"name":"Denver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2"/>
        <v>start /low /b %USERPROFILE%\Documents\GitHub\eaglep3\Utilities\DownloadLogsFromS3.py --loco 4021 --day 2017-03-01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"%USERPROFILE%\AppData\Local\Temp\OnboardLogs"\RTDC4021\*4021*20170301* | grep -SE "(Enforcement Action)|(\[TIMEOUT)|(CHR.+\|PRM\|1\|D.+(SWITCH|SIGNAL).+UNKNOWN)" - &gt;&gt; 2017-03-01-UncaughtWiMAX.txt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578</v>
      </c>
      <c r="B93" s="7">
        <v>4046</v>
      </c>
      <c r="C93" s="21" t="s">
        <v>266</v>
      </c>
      <c r="D93" s="21" t="s">
        <v>243</v>
      </c>
      <c r="E93" s="13">
        <v>42795.570648148147</v>
      </c>
      <c r="F93" s="13">
        <v>42795.573125000003</v>
      </c>
      <c r="G93" s="7">
        <v>1</v>
      </c>
      <c r="H93" s="21" t="s">
        <v>257</v>
      </c>
      <c r="I93" s="13">
        <v>42795.599351851852</v>
      </c>
      <c r="J93" s="7">
        <v>0</v>
      </c>
      <c r="K93" s="98" t="str">
        <f t="shared" si="27"/>
        <v>4045/4046</v>
      </c>
      <c r="L93" s="21" t="str">
        <f>VLOOKUP(A93,'Trips&amp;Operators'!$C$1:$G$99999,5,FALSE)</f>
        <v>MOSES BRADLEY</v>
      </c>
      <c r="M93" s="6">
        <f t="shared" si="28"/>
        <v>2.622685184906004E-2</v>
      </c>
      <c r="N93" s="7">
        <f t="shared" si="26"/>
        <v>37.766666662646458</v>
      </c>
      <c r="O93" s="7"/>
      <c r="P93" s="7"/>
      <c r="Q93" s="22"/>
      <c r="R93" s="22"/>
      <c r="S93" s="31">
        <f t="shared" si="29"/>
        <v>1</v>
      </c>
      <c r="T93" s="46" t="str">
        <f t="shared" si="30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31"/>
        <v>https://d0f6bd738d7f1b3e5a7ca70fe4ff75f0.us-east-1.aws.found.io/app/kibana#/discover/Steve-Slow-Train-Analysis-(2080s-and-2083s)?_g=(refreshInterval:(display:Off,pause:!f,section:0,value:0),time:(from:'2017-03-01T12:41:44-0700',mode:absolute,to:'2017-03-01T15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3" s="187" t="str">
        <f t="shared" si="32"/>
        <v>N</v>
      </c>
      <c r="X93" s="187">
        <f t="shared" si="25"/>
        <v>1</v>
      </c>
      <c r="Y93" s="62">
        <f t="shared" si="33"/>
        <v>4.6399999999999997E-2</v>
      </c>
      <c r="Z93" s="62">
        <f t="shared" si="34"/>
        <v>23.331700000000001</v>
      </c>
      <c r="AA93" s="62">
        <f t="shared" si="35"/>
        <v>23.285300000000003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6"/>
        <v>0181-01</v>
      </c>
      <c r="AE93" s="85" t="str">
        <f t="shared" si="37"/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AF93" s="82" t="str">
        <f t="shared" si="38"/>
        <v>"C:\Program Files (x86)\AstroGrep\AstroGrep.exe" /spath="%USERPROFILE%\AppData\Local\Temp\OnboardLogs" /stypes="app*4046*20170301*" /stext=" 21:.+((SYSTEM_STATE.+slice.+state.+changed )|(ment ac)|(multiple cpu faults)|(system.+state.+changed )|(\[timeout)|(PRM\|1\|D)|(kpr)|(kdp)|(\|lc)|(penalty))" /e /r /s</v>
      </c>
      <c r="AG93" s="1" t="str">
        <f t="shared" si="39"/>
        <v>EC</v>
      </c>
      <c r="AH93" s="86" t="str">
        <f t="shared" si="40"/>
        <v>"%USERPROFILE%\Documents\GitHub\eaglep3\Utilities\RefineRTDCRunTimes.py" --tripid 181-01 --locoid 4046 --swversion DE.1.0.9.0 --startMP 204:464 --initTime 2017-03-01T13:41:44 --startdatetime 2017-03-01T13:45:18 --delay 1 --endMP 204:233317 --enddatetime 2017-03-01T14:23:04 --enforcementcount 0 &gt;&gt;C:\Users\stu\Documents\GitHub\eaglep3-reporting\EC\2017-03-01-refined-times.txt</v>
      </c>
      <c r="AI93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{"issue":{"subject":"","project_id":79,"tracker_id":40,"status_id":1,"priority_id":2,"assigned_to_id":23,"start_date":"2017-03-01","description":"","custom_fields":[{"id":1,"name":"Subdivision","value":"EC"},{"id":4,"name":"Milepost","value":"23.3317"},{"id":17,"name":"Train ID","value":"181-01"},{"id":16,"name":"Locomotive ID","value":"4046"},{"id":130,"name":"Impact","value":""},{"id":150,"name":"Time of Event (Mountain Time)","value":"14:23:04"},{"id":151,"name":"Denver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2"/>
        <v>start /low /b %USERPROFILE%\Documents\GitHub\eaglep3\Utilities\DownloadLogsFromS3.py --loco 4046 --day 2017-03-01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"%USERPROFILE%\AppData\Local\Temp\OnboardLogs"\RTDC4046\*4046*20170301* | grep -SE "(Enforcement Action)|(\[TIMEOUT)|(CHR.+\|PRM\|1\|D.+(SWITCH|SIGNAL).+UNKNOWN)" - &gt;&gt; 2017-03-01-UncaughtWiMAX.txt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590</v>
      </c>
      <c r="B94" s="7">
        <v>4045</v>
      </c>
      <c r="C94" s="21" t="s">
        <v>266</v>
      </c>
      <c r="D94" s="21" t="s">
        <v>356</v>
      </c>
      <c r="E94" s="13">
        <v>42795.606550925928</v>
      </c>
      <c r="F94" s="13">
        <v>42795.612037037034</v>
      </c>
      <c r="G94" s="7">
        <v>1</v>
      </c>
      <c r="H94" s="21" t="s">
        <v>194</v>
      </c>
      <c r="I94" s="13">
        <v>42795.642442129632</v>
      </c>
      <c r="J94" s="7">
        <v>0</v>
      </c>
      <c r="K94" s="98" t="str">
        <f t="shared" si="27"/>
        <v>4045/4046</v>
      </c>
      <c r="L94" s="21" t="str">
        <f>VLOOKUP(A94,'Trips&amp;Operators'!$C$1:$G$99999,5,FALSE)</f>
        <v>MOSES BRADLEY</v>
      </c>
      <c r="M94" s="6">
        <f t="shared" si="28"/>
        <v>3.0405092598812189E-2</v>
      </c>
      <c r="N94" s="7">
        <f t="shared" si="26"/>
        <v>43.783333342289552</v>
      </c>
      <c r="O94" s="7"/>
      <c r="P94" s="7"/>
      <c r="Q94" s="22"/>
      <c r="R94" s="22"/>
      <c r="S94" s="31">
        <f t="shared" si="29"/>
        <v>1</v>
      </c>
      <c r="T94" s="46" t="str">
        <f t="shared" si="30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31"/>
        <v>https://d0f6bd738d7f1b3e5a7ca70fe4ff75f0.us-east-1.aws.found.io/app/kibana#/discover/Steve-Slow-Train-Analysis-(2080s-and-2083s)?_g=(refreshInterval:(display:Off,pause:!f,section:0,value:0),time:(from:'2017-03-01T13:33:26-0700',mode:absolute,to:'2017-03-01T16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4" s="187" t="str">
        <f t="shared" si="32"/>
        <v>N</v>
      </c>
      <c r="X94" s="187">
        <f t="shared" si="25"/>
        <v>1</v>
      </c>
      <c r="Y94" s="62">
        <f t="shared" si="33"/>
        <v>23.300799999999999</v>
      </c>
      <c r="Z94" s="62">
        <f t="shared" si="34"/>
        <v>1.4999999999999999E-2</v>
      </c>
      <c r="AA94" s="62">
        <f t="shared" si="35"/>
        <v>23.285799999999998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6"/>
        <v>0182-01</v>
      </c>
      <c r="AE94" s="85" t="str">
        <f t="shared" si="37"/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AF94" s="82" t="str">
        <f t="shared" si="38"/>
        <v>"C:\Program Files (x86)\AstroGrep\AstroGrep.exe" /spath="%USERPROFILE%\AppData\Local\Temp\OnboardLogs" /stypes="app*4045*20170301*" /stext=" 22:.+((SYSTEM_STATE.+slice.+state.+changed )|(ment ac)|(multiple cpu faults)|(system.+state.+changed )|(\[timeout)|(PRM\|1\|D)|(kpr)|(kdp)|(\|lc)|(penalty))" /e /r /s</v>
      </c>
      <c r="AG94" s="1" t="str">
        <f t="shared" si="39"/>
        <v>EC</v>
      </c>
      <c r="AH94" s="86" t="str">
        <f t="shared" si="40"/>
        <v>"%USERPROFILE%\Documents\GitHub\eaglep3\Utilities\RefineRTDCRunTimes.py" --tripid 182-01 --locoid 4045 --swversion DE.1.0.9.0 --startMP 204:233008 --initTime 2017-03-01T14:33:26 --startdatetime 2017-03-01T14:41:20 --delay 1 --endMP 204:150 --enddatetime 2017-03-01T15:25:07 --enforcementcount 0 &gt;&gt;C:\Users\stu\Documents\GitHub\eaglep3-reporting\EC\2017-03-01-refined-times.txt</v>
      </c>
      <c r="AI94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{"issue":{"subject":"","project_id":79,"tracker_id":40,"status_id":1,"priority_id":2,"assigned_to_id":23,"start_date":"2017-03-01","description":"","custom_fields":[{"id":1,"name":"Subdivision","value":"EC"},{"id":4,"name":"Milepost","value":"0.015"},{"id":17,"name":"Train ID","value":"182-01"},{"id":16,"name":"Locomotive ID","value":"4045"},{"id":130,"name":"Impact","value":""},{"id":150,"name":"Time of Event (Mountain Time)","value":"15:25:07"},{"id":151,"name":"Denver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2"/>
        <v>start /low /b %USERPROFILE%\Documents\GitHub\eaglep3\Utilities\DownloadLogsFromS3.py --loco 4045 --day 2017-03-01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"%USERPROFILE%\AppData\Local\Temp\OnboardLogs"\RTDC4045\*4045*20170301* | grep -SE "(Enforcement Action)|(\[TIMEOUT)|(CHR.+\|PRM\|1\|D.+(SWITCH|SIGNAL).+UNKNOWN)" - &gt;&gt; 2017-03-01-UncaughtWiMAX.txt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582</v>
      </c>
      <c r="B95" s="7">
        <v>4009</v>
      </c>
      <c r="C95" s="21" t="s">
        <v>266</v>
      </c>
      <c r="D95" s="21" t="s">
        <v>247</v>
      </c>
      <c r="E95" s="13">
        <v>42795.578506944446</v>
      </c>
      <c r="F95" s="13">
        <v>42795.583611111113</v>
      </c>
      <c r="G95" s="7">
        <v>2</v>
      </c>
      <c r="H95" s="21" t="s">
        <v>268</v>
      </c>
      <c r="I95" s="13">
        <v>42795.608819444446</v>
      </c>
      <c r="J95" s="7">
        <v>0</v>
      </c>
      <c r="K95" s="98" t="str">
        <f t="shared" si="27"/>
        <v>4009/4010</v>
      </c>
      <c r="L95" s="21" t="str">
        <f>VLOOKUP(A95,'Trips&amp;Operators'!$C$1:$G$99999,5,FALSE)</f>
        <v>LEVIN SCOTT</v>
      </c>
      <c r="M95" s="6">
        <f t="shared" si="28"/>
        <v>2.5208333332557231E-2</v>
      </c>
      <c r="N95" s="7">
        <f t="shared" si="26"/>
        <v>36.299999998882413</v>
      </c>
      <c r="O95" s="7"/>
      <c r="P95" s="7"/>
      <c r="Q95" s="22"/>
      <c r="R95" s="22"/>
      <c r="S95" s="31">
        <f t="shared" si="29"/>
        <v>1</v>
      </c>
      <c r="T95" s="46" t="str">
        <f t="shared" si="30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31"/>
        <v>https://d0f6bd738d7f1b3e5a7ca70fe4ff75f0.us-east-1.aws.found.io/app/kibana#/discover/Steve-Slow-Train-Analysis-(2080s-and-2083s)?_g=(refreshInterval:(display:Off,pause:!f,section:0,value:0),time:(from:'2017-03-01T12:53:03-0700',mode:absolute,to:'2017-03-01T15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5" s="187" t="str">
        <f t="shared" si="32"/>
        <v>N</v>
      </c>
      <c r="X95" s="187">
        <f t="shared" si="25"/>
        <v>1</v>
      </c>
      <c r="Y95" s="62">
        <f t="shared" si="33"/>
        <v>4.3999999999999997E-2</v>
      </c>
      <c r="Z95" s="62">
        <f t="shared" si="34"/>
        <v>23.333200000000001</v>
      </c>
      <c r="AA95" s="62">
        <f t="shared" si="35"/>
        <v>23.289200000000001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6"/>
        <v>0183-01</v>
      </c>
      <c r="AE95" s="85" t="str">
        <f t="shared" si="37"/>
        <v>aws s3 cp s3://rtdc.mdm.uploadarchive.raw/RTDC4009/ "%USERPROFILE%\AppData\Local\Temp\OnboardLogs"\RTDC4009\2017-03-01 --exclude "*" --recursive --include "*20170301*" &amp; "%USERPROFILE%\Documents\GitHub\mrs-test-scripts\Headless Mode &amp; Sideloading\WalkAndUnGZ.bat" "%USERPROFILE%\AppData\Local\Temp\OnboardLogs"\RTDC4009\2017-03-01 &amp; aws s3 cp s3://rtdc.mdm.uploadarchive.raw/RTDC4009/ "%USERPROFILE%\AppData\Local\Temp\OnboardLogs"\RTDC4009\2017-03-02 --exclude "*" --recursive --include "*20170302*" &amp; "%USERPROFILE%\Documents\GitHub\mrs-test-scripts\Headless Mode &amp; Sideloading\WalkAndUnGZ.bat" "%USERPROFILE%\AppData\Local\Temp\OnboardLogs"\RTDC4009\2017-03-02</v>
      </c>
      <c r="AF95" s="82" t="str">
        <f t="shared" si="38"/>
        <v>"C:\Program Files (x86)\AstroGrep\AstroGrep.exe" /spath="%USERPROFILE%\AppData\Local\Temp\OnboardLogs" /stypes="app*4009*20170301*" /stext=" 21:.+((SYSTEM_STATE.+slice.+state.+changed )|(ment ac)|(multiple cpu faults)|(system.+state.+changed )|(\[timeout)|(PRM\|1\|D)|(kpr)|(kdp)|(\|lc)|(penalty))" /e /r /s</v>
      </c>
      <c r="AG95" s="1" t="str">
        <f t="shared" si="39"/>
        <v>EC</v>
      </c>
      <c r="AH95" s="86" t="str">
        <f t="shared" si="40"/>
        <v>"%USERPROFILE%\Documents\GitHub\eaglep3\Utilities\RefineRTDCRunTimes.py" --tripid 183-01 --locoid 4009 --swversion DE.1.0.9.0 --startMP 204:440 --initTime 2017-03-01T13:53:03 --startdatetime 2017-03-01T14:00:24 --delay 2 --endMP 204:233332 --enddatetime 2017-03-01T14:36:42 --enforcementcount 0 &gt;&gt;C:\Users\stu\Documents\GitHub\eaglep3-reporting\EC\2017-03-01-refined-times.txt</v>
      </c>
      <c r="AI95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{"issue":{"subject":"","project_id":79,"tracker_id":40,"status_id":1,"priority_id":2,"assigned_to_id":23,"start_date":"2017-03-01","description":"","custom_fields":[{"id":1,"name":"Subdivision","value":"EC"},{"id":4,"name":"Milepost","value":"23.3332"},{"id":17,"name":"Train ID","value":"183-01"},{"id":16,"name":"Locomotive ID","value":"4009"},{"id":130,"name":"Impact","value":""},{"id":150,"name":"Time of Event (Mountain Time)","value":"14:36:42"},{"id":151,"name":"Denver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2"/>
        <v>start /low /b %USERPROFILE%\Documents\GitHub\eaglep3\Utilities\DownloadLogsFromS3.py --loco 4009 --day 2017-03-01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"%USERPROFILE%\AppData\Local\Temp\OnboardLogs"\RTDC4009\*4009*20170301* | grep -SE "(Enforcement Action)|(\[TIMEOUT)|(CHR.+\|PRM\|1\|D.+(SWITCH|SIGNAL).+UNKNOWN)" - &gt;&gt; 2017-03-01-UncaughtWiMAX.txt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454</v>
      </c>
      <c r="B96" s="7">
        <v>4010</v>
      </c>
      <c r="C96" s="21" t="s">
        <v>266</v>
      </c>
      <c r="D96" s="21" t="s">
        <v>729</v>
      </c>
      <c r="E96" s="13">
        <v>42795.61755787037</v>
      </c>
      <c r="F96" s="13">
        <v>42795.622476851851</v>
      </c>
      <c r="G96" s="7">
        <v>1</v>
      </c>
      <c r="H96" s="21" t="s">
        <v>256</v>
      </c>
      <c r="I96" s="13">
        <v>42795.655173611114</v>
      </c>
      <c r="J96" s="7">
        <v>0</v>
      </c>
      <c r="K96" s="98" t="str">
        <f t="shared" si="27"/>
        <v>4009/4010</v>
      </c>
      <c r="L96" s="21" t="str">
        <f>VLOOKUP(A96,'Trips&amp;Operators'!$C$1:$G$99999,5,FALSE)</f>
        <v>LEVIN SCOTT</v>
      </c>
      <c r="M96" s="6">
        <f t="shared" si="28"/>
        <v>3.2696759262762498E-2</v>
      </c>
      <c r="N96" s="7">
        <f t="shared" si="26"/>
        <v>47.083333338377997</v>
      </c>
      <c r="O96" s="7"/>
      <c r="P96" s="7"/>
      <c r="Q96" s="22"/>
      <c r="R96" s="22"/>
      <c r="S96" s="31">
        <f t="shared" si="29"/>
        <v>1</v>
      </c>
      <c r="T96" s="46" t="str">
        <f t="shared" si="30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31"/>
        <v>https://d0f6bd738d7f1b3e5a7ca70fe4ff75f0.us-east-1.aws.found.io/app/kibana#/discover/Steve-Slow-Train-Analysis-(2080s-and-2083s)?_g=(refreshInterval:(display:Off,pause:!f,section:0,value:0),time:(from:'2017-03-01T13:49:17-0700',mode:absolute,to:'2017-03-01T16:43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6" s="187" t="str">
        <f t="shared" si="32"/>
        <v>N</v>
      </c>
      <c r="X96" s="187">
        <f t="shared" si="25"/>
        <v>1</v>
      </c>
      <c r="Y96" s="62">
        <f t="shared" si="33"/>
        <v>23.305499999999999</v>
      </c>
      <c r="Z96" s="62">
        <f t="shared" si="34"/>
        <v>1.47E-2</v>
      </c>
      <c r="AA96" s="62">
        <f t="shared" si="35"/>
        <v>23.290799999999997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6"/>
        <v>0184-01</v>
      </c>
      <c r="AE96" s="85" t="str">
        <f t="shared" si="37"/>
        <v>aws s3 cp s3://rtdc.mdm.uploadarchive.raw/RTDC4010/ "%USERPROFILE%\AppData\Local\Temp\OnboardLogs"\RTDC4010\2017-03-01 --exclude "*" --recursive --include "*20170301*" &amp; "%USERPROFILE%\Documents\GitHub\mrs-test-scripts\Headless Mode &amp; Sideloading\WalkAndUnGZ.bat" "%USERPROFILE%\AppData\Local\Temp\OnboardLogs"\RTDC4010\2017-03-01 &amp; aws s3 cp s3://rtdc.mdm.uploadarchive.raw/RTDC4010/ "%USERPROFILE%\AppData\Local\Temp\OnboardLogs"\RTDC4010\2017-03-02 --exclude "*" --recursive --include "*20170302*" &amp; "%USERPROFILE%\Documents\GitHub\mrs-test-scripts\Headless Mode &amp; Sideloading\WalkAndUnGZ.bat" "%USERPROFILE%\AppData\Local\Temp\OnboardLogs"\RTDC4010\2017-03-02</v>
      </c>
      <c r="AF96" s="82" t="str">
        <f t="shared" si="38"/>
        <v>"C:\Program Files (x86)\AstroGrep\AstroGrep.exe" /spath="%USERPROFILE%\AppData\Local\Temp\OnboardLogs" /stypes="app*4010*20170301*" /stext=" 22:.+((SYSTEM_STATE.+slice.+state.+changed )|(ment ac)|(multiple cpu faults)|(system.+state.+changed )|(\[timeout)|(PRM\|1\|D)|(kpr)|(kdp)|(\|lc)|(penalty))" /e /r /s</v>
      </c>
      <c r="AG96" s="1" t="str">
        <f t="shared" si="39"/>
        <v>EC</v>
      </c>
      <c r="AH96" s="86" t="str">
        <f t="shared" si="40"/>
        <v>"%USERPROFILE%\Documents\GitHub\eaglep3\Utilities\RefineRTDCRunTimes.py" --tripid 184-01 --locoid 4010 --swversion DE.1.0.9.0 --startMP 204:233055 --initTime 2017-03-01T14:49:17 --startdatetime 2017-03-01T14:56:22 --delay 1 --endMP 204:147 --enddatetime 2017-03-01T15:43:27 --enforcementcount 0 &gt;&gt;C:\Users\stu\Documents\GitHub\eaglep3-reporting\EC\2017-03-01-refined-times.txt</v>
      </c>
      <c r="AI96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{"issue":{"subject":"","project_id":79,"tracker_id":40,"status_id":1,"priority_id":2,"assigned_to_id":23,"start_date":"2017-03-01","description":"","custom_fields":[{"id":1,"name":"Subdivision","value":"EC"},{"id":4,"name":"Milepost","value":"0.0147"},{"id":17,"name":"Train ID","value":"184-01"},{"id":16,"name":"Locomotive ID","value":"4010"},{"id":130,"name":"Impact","value":""},{"id":150,"name":"Time of Event (Mountain Time)","value":"15:43:27"},{"id":151,"name":"Denver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2"/>
        <v>start /low /b %USERPROFILE%\Documents\GitHub\eaglep3\Utilities\DownloadLogsFromS3.py --loco 4010 --day 2017-03-01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"%USERPROFILE%\AppData\Local\Temp\OnboardLogs"\RTDC4010\*4010*20170301* | grep -SE "(Enforcement Action)|(\[TIMEOUT)|(CHR.+\|PRM\|1\|D.+(SWITCH|SIGNAL).+UNKNOWN)" - &gt;&gt; 2017-03-01-UncaughtWiMAX.txt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586</v>
      </c>
      <c r="B97" s="7">
        <v>4002</v>
      </c>
      <c r="C97" s="21" t="s">
        <v>266</v>
      </c>
      <c r="D97" s="21" t="s">
        <v>730</v>
      </c>
      <c r="E97" s="13">
        <v>42795.601168981484</v>
      </c>
      <c r="F97" s="13">
        <v>42795.60355324074</v>
      </c>
      <c r="G97" s="7">
        <v>1</v>
      </c>
      <c r="H97" s="21" t="s">
        <v>414</v>
      </c>
      <c r="I97" s="13">
        <v>42795.626898148148</v>
      </c>
      <c r="J97" s="7">
        <v>0</v>
      </c>
      <c r="K97" s="98" t="str">
        <f t="shared" si="27"/>
        <v>4001/4002</v>
      </c>
      <c r="L97" s="21" t="str">
        <f>VLOOKUP(A97,'Trips&amp;Operators'!$C$1:$G$99999,5,FALSE)</f>
        <v>BRANNON JEFFREY</v>
      </c>
      <c r="M97" s="6">
        <f t="shared" si="28"/>
        <v>2.3344907407590654E-2</v>
      </c>
      <c r="N97" s="7"/>
      <c r="O97" s="7"/>
      <c r="P97" s="7">
        <f>24*60*SUM($M97:$M97)</f>
        <v>33.616666666930541</v>
      </c>
      <c r="Q97" s="22"/>
      <c r="R97" s="22" t="s">
        <v>864</v>
      </c>
      <c r="S97" s="31">
        <f t="shared" si="29"/>
        <v>1</v>
      </c>
      <c r="T97" s="46" t="str">
        <f t="shared" si="30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31"/>
        <v>https://d0f6bd738d7f1b3e5a7ca70fe4ff75f0.us-east-1.aws.found.io/app/kibana#/discover/Steve-Slow-Train-Analysis-(2080s-and-2083s)?_g=(refreshInterval:(display:Off,pause:!f,section:0,value:0),time:(from:'2017-03-01T13:25:41-0700',mode:absolute,to:'2017-03-01T16:02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7" s="187" t="str">
        <f t="shared" si="32"/>
        <v>Y</v>
      </c>
      <c r="X97" s="187">
        <f t="shared" si="25"/>
        <v>1</v>
      </c>
      <c r="Y97" s="62">
        <f t="shared" si="33"/>
        <v>1.9133</v>
      </c>
      <c r="Z97" s="62">
        <f t="shared" si="34"/>
        <v>23.331900000000001</v>
      </c>
      <c r="AA97" s="62">
        <f t="shared" si="35"/>
        <v>21.418600000000001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6"/>
        <v>0185-01</v>
      </c>
      <c r="AE97" s="85" t="str">
        <f t="shared" si="37"/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AF97" s="82" t="str">
        <f t="shared" si="38"/>
        <v>"C:\Program Files (x86)\AstroGrep\AstroGrep.exe" /spath="%USERPROFILE%\AppData\Local\Temp\OnboardLogs" /stypes="app*4002*20170301*" /stext=" 22:.+((SYSTEM_STATE.+slice.+state.+changed )|(ment ac)|(multiple cpu faults)|(system.+state.+changed )|(\[timeout)|(PRM\|1\|D)|(kpr)|(kdp)|(\|lc)|(penalty))" /e /r /s</v>
      </c>
      <c r="AG97" s="1" t="str">
        <f t="shared" si="39"/>
        <v>EC</v>
      </c>
      <c r="AH97" s="86" t="str">
        <f t="shared" si="40"/>
        <v>"%USERPROFILE%\Documents\GitHub\eaglep3\Utilities\RefineRTDCRunTimes.py" --tripid 185-01 --locoid 4002 --swversion DE.1.0.9.0 --startMP 204:19133 --initTime 2017-03-01T14:25:41 --startdatetime 2017-03-01T14:29:07 --delay 1 --endMP 204:233319 --enddatetime 2017-03-01T15:02:44 --enforcementcount 0 &gt;&gt;C:\Users\stu\Documents\GitHub\eaglep3-reporting\EC\2017-03-01-refined-times.txt</v>
      </c>
      <c r="AI97" s="108" t="str">
        <f t="shared" si="41"/>
        <v>echo {"issue":{"subject":"CCROC/crew/equipment mismatch, no Form C for Clayton issued to this trip","project_id":79,"tracker_id":40,"status_id":1,"priority_id":2,"assigned_to_id":23,"start_date":"2017-03-01","description":"","custom_fields":[{"id":1,"name":"Subdivision","value":"EC"},{"id":4,"name":"Milepost","value":"23.3319"},{"id":17,"name":"Train ID","value":"185-01"},{"id":16,"name":"Locomotive ID","value":"4002"},{"id":130,"name":"Impact","value":""},{"id":150,"name":"Time of Event (Mountain Time)","value":"15:02:44"},{"id":151,"name":"Denver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2"/>
        <v>start /low /b %USERPROFILE%\Documents\GitHub\eaglep3\Utilities\DownloadLogsFromS3.py --loco 4002 --day 2017-03-01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"%USERPROFILE%\AppData\Local\Temp\OnboardLogs"\RTDC4002\*4002*20170301* | grep -SE "(Enforcement Action)|(\[TIMEOUT)|(CHR.+\|PRM\|1\|D.+(SWITCH|SIGNAL).+UNKNOWN)" - &gt;&gt; 2017-03-01-UncaughtWiMAX.txt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456</v>
      </c>
      <c r="B98" s="7">
        <v>4001</v>
      </c>
      <c r="C98" s="21" t="s">
        <v>266</v>
      </c>
      <c r="D98" s="21" t="s">
        <v>269</v>
      </c>
      <c r="E98" s="13">
        <v>42795.630960648145</v>
      </c>
      <c r="F98" s="13">
        <v>42795.632835648146</v>
      </c>
      <c r="G98" s="7">
        <v>2</v>
      </c>
      <c r="H98" s="21" t="s">
        <v>203</v>
      </c>
      <c r="I98" s="13">
        <v>42795.661122685182</v>
      </c>
      <c r="J98" s="7">
        <v>0</v>
      </c>
      <c r="K98" s="98" t="str">
        <f t="shared" si="27"/>
        <v>4001/4002</v>
      </c>
      <c r="L98" s="21" t="str">
        <f>VLOOKUP(A98,'Trips&amp;Operators'!$C$1:$G$99999,5,FALSE)</f>
        <v>BRANNON JEFFREY</v>
      </c>
      <c r="M98" s="6">
        <f t="shared" si="28"/>
        <v>2.8287037035624962E-2</v>
      </c>
      <c r="N98" s="7">
        <f t="shared" ref="N98:N144" si="43">24*60*SUM($M98:$M98)</f>
        <v>40.733333331299946</v>
      </c>
      <c r="O98" s="7"/>
      <c r="P98" s="7"/>
      <c r="Q98" s="22"/>
      <c r="R98" s="22"/>
      <c r="S98" s="31">
        <f t="shared" si="29"/>
        <v>1</v>
      </c>
      <c r="T98" s="46" t="str">
        <f t="shared" si="30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31"/>
        <v>https://d0f6bd738d7f1b3e5a7ca70fe4ff75f0.us-east-1.aws.found.io/app/kibana#/discover/Steve-Slow-Train-Analysis-(2080s-and-2083s)?_g=(refreshInterval:(display:Off,pause:!f,section:0,value:0),time:(from:'2017-03-01T14:08:35-0700',mode:absolute,to:'2017-03-01T16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8" s="187" t="str">
        <f t="shared" si="32"/>
        <v>N</v>
      </c>
      <c r="X98" s="187">
        <f t="shared" si="25"/>
        <v>1</v>
      </c>
      <c r="Y98" s="62">
        <f t="shared" si="33"/>
        <v>23.299399999999999</v>
      </c>
      <c r="Z98" s="62">
        <f t="shared" si="34"/>
        <v>1.6E-2</v>
      </c>
      <c r="AA98" s="62">
        <f t="shared" si="35"/>
        <v>23.2834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6"/>
        <v>0186-01</v>
      </c>
      <c r="AE98" s="85" t="str">
        <f t="shared" si="37"/>
        <v>aws s3 cp s3://rtdc.mdm.uploadarchive.raw/RTDC4001/ "%USERPROFILE%\AppData\Local\Temp\OnboardLogs"\RTDC4001\2017-03-01 --exclude "*" --recursive --include "*20170301*" &amp; "%USERPROFILE%\Documents\GitHub\mrs-test-scripts\Headless Mode &amp; Sideloading\WalkAndUnGZ.bat" "%USERPROFILE%\AppData\Local\Temp\OnboardLogs"\RTDC4001\2017-03-01 &amp; aws s3 cp s3://rtdc.mdm.uploadarchive.raw/RTDC4001/ "%USERPROFILE%\AppData\Local\Temp\OnboardLogs"\RTDC4001\2017-03-02 --exclude "*" --recursive --include "*20170302*" &amp; "%USERPROFILE%\Documents\GitHub\mrs-test-scripts\Headless Mode &amp; Sideloading\WalkAndUnGZ.bat" "%USERPROFILE%\AppData\Local\Temp\OnboardLogs"\RTDC4001\2017-03-02</v>
      </c>
      <c r="AF98" s="82" t="str">
        <f t="shared" si="38"/>
        <v>"C:\Program Files (x86)\AstroGrep\AstroGrep.exe" /spath="%USERPROFILE%\AppData\Local\Temp\OnboardLogs" /stypes="app*4001*20170301*" /stext=" 22:.+((SYSTEM_STATE.+slice.+state.+changed )|(ment ac)|(multiple cpu faults)|(system.+state.+changed )|(\[timeout)|(PRM\|1\|D)|(kpr)|(kdp)|(\|lc)|(penalty))" /e /r /s</v>
      </c>
      <c r="AG98" s="1" t="str">
        <f t="shared" si="39"/>
        <v>EC</v>
      </c>
      <c r="AH98" s="86" t="str">
        <f t="shared" si="40"/>
        <v>"%USERPROFILE%\Documents\GitHub\eaglep3\Utilities\RefineRTDCRunTimes.py" --tripid 186-01 --locoid 4001 --swversion DE.1.0.9.0 --startMP 204:232994 --initTime 2017-03-01T15:08:35 --startdatetime 2017-03-01T15:11:17 --delay 2 --endMP 204:160 --enddatetime 2017-03-01T15:52:01 --enforcementcount 0 &gt;&gt;C:\Users\stu\Documents\GitHub\eaglep3-reporting\EC\2017-03-01-refined-times.txt</v>
      </c>
      <c r="AI98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{"issue":{"subject":"","project_id":79,"tracker_id":40,"status_id":1,"priority_id":2,"assigned_to_id":23,"start_date":"2017-03-01","description":"","custom_fields":[{"id":1,"name":"Subdivision","value":"EC"},{"id":4,"name":"Milepost","value":"0.016"},{"id":17,"name":"Train ID","value":"186-01"},{"id":16,"name":"Locomotive ID","value":"4001"},{"id":130,"name":"Impact","value":""},{"id":150,"name":"Time of Event (Mountain Time)","value":"15:52:01"},{"id":151,"name":"Denver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2"/>
        <v>start /low /b %USERPROFILE%\Documents\GitHub\eaglep3\Utilities\DownloadLogsFromS3.py --loco 4001 --day 2017-03-01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"%USERPROFILE%\AppData\Local\Temp\OnboardLogs"\RTDC4001\*4001*20170301* | grep -SE "(Enforcement Action)|(\[TIMEOUT)|(CHR.+\|PRM\|1\|D.+(SWITCH|SIGNAL).+UNKNOWN)" - &gt;&gt; 2017-03-01-UncaughtWiMAX.txt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589</v>
      </c>
      <c r="B99" s="7">
        <v>4024</v>
      </c>
      <c r="C99" s="21" t="s">
        <v>266</v>
      </c>
      <c r="D99" s="21" t="s">
        <v>301</v>
      </c>
      <c r="E99" s="13">
        <v>42795.605104166665</v>
      </c>
      <c r="F99" s="13">
        <v>42795.606921296298</v>
      </c>
      <c r="G99" s="7">
        <v>1</v>
      </c>
      <c r="H99" s="21" t="s">
        <v>720</v>
      </c>
      <c r="I99" s="13">
        <v>42795.63449074074</v>
      </c>
      <c r="J99" s="7">
        <v>0</v>
      </c>
      <c r="K99" s="98" t="str">
        <f t="shared" si="27"/>
        <v>4023/4024</v>
      </c>
      <c r="L99" s="21" t="str">
        <f>VLOOKUP(A99,'Trips&amp;Operators'!$C$1:$G$99999,5,FALSE)</f>
        <v>CLARK KATHLEEN</v>
      </c>
      <c r="M99" s="6">
        <f t="shared" si="28"/>
        <v>2.7569444442633539E-2</v>
      </c>
      <c r="N99" s="7">
        <f t="shared" si="43"/>
        <v>39.699999997392297</v>
      </c>
      <c r="O99" s="7"/>
      <c r="P99" s="7"/>
      <c r="Q99" s="22"/>
      <c r="R99" s="22"/>
      <c r="S99" s="31">
        <f t="shared" si="29"/>
        <v>1</v>
      </c>
      <c r="T99" s="46" t="str">
        <f t="shared" si="30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31"/>
        <v>https://d0f6bd738d7f1b3e5a7ca70fe4ff75f0.us-east-1.aws.found.io/app/kibana#/discover/Steve-Slow-Train-Analysis-(2080s-and-2083s)?_g=(refreshInterval:(display:Off,pause:!f,section:0,value:0),time:(from:'2017-03-01T13:31:21-0700',mode:absolute,to:'2017-03-01T16:13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9" s="187" t="str">
        <f t="shared" si="32"/>
        <v>N</v>
      </c>
      <c r="X99" s="187">
        <f t="shared" si="25"/>
        <v>1</v>
      </c>
      <c r="Y99" s="62">
        <f t="shared" si="33"/>
        <v>4.9099999999999998E-2</v>
      </c>
      <c r="Z99" s="62">
        <f t="shared" si="34"/>
        <v>23.330300000000001</v>
      </c>
      <c r="AA99" s="62">
        <f t="shared" si="35"/>
        <v>23.281200000000002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6"/>
        <v>0187-01</v>
      </c>
      <c r="AE99" s="85" t="str">
        <f t="shared" si="37"/>
        <v>aws s3 cp s3://rtdc.mdm.uploadarchive.raw/RTDC4024/ "%USERPROFILE%\AppData\Local\Temp\OnboardLogs"\RTDC4024\2017-03-01 --exclude "*" --recursive --include "*20170301*" &amp; "%USERPROFILE%\Documents\GitHub\mrs-test-scripts\Headless Mode &amp; Sideloading\WalkAndUnGZ.bat" "%USERPROFILE%\AppData\Local\Temp\OnboardLogs"\RTDC4024\2017-03-01 &amp; aws s3 cp s3://rtdc.mdm.uploadarchive.raw/RTDC4024/ "%USERPROFILE%\AppData\Local\Temp\OnboardLogs"\RTDC4024\2017-03-02 --exclude "*" --recursive --include "*20170302*" &amp; "%USERPROFILE%\Documents\GitHub\mrs-test-scripts\Headless Mode &amp; Sideloading\WalkAndUnGZ.bat" "%USERPROFILE%\AppData\Local\Temp\OnboardLogs"\RTDC4024\2017-03-02</v>
      </c>
      <c r="AF99" s="82" t="str">
        <f t="shared" si="38"/>
        <v>"C:\Program Files (x86)\AstroGrep\AstroGrep.exe" /spath="%USERPROFILE%\AppData\Local\Temp\OnboardLogs" /stypes="app*4024*20170301*" /stext=" 22:.+((SYSTEM_STATE.+slice.+state.+changed )|(ment ac)|(multiple cpu faults)|(system.+state.+changed )|(\[timeout)|(PRM\|1\|D)|(kpr)|(kdp)|(\|lc)|(penalty))" /e /r /s</v>
      </c>
      <c r="AG99" s="1" t="str">
        <f t="shared" si="39"/>
        <v>EC</v>
      </c>
      <c r="AH99" s="86" t="str">
        <f t="shared" si="40"/>
        <v>"%USERPROFILE%\Documents\GitHub\eaglep3\Utilities\RefineRTDCRunTimes.py" --tripid 187-01 --locoid 4024 --swversion DE.1.0.9.0 --startMP 204:491 --initTime 2017-03-01T14:31:21 --startdatetime 2017-03-01T14:33:58 --delay 1 --endMP 204:233303 --enddatetime 2017-03-01T15:13:40 --enforcementcount 0 &gt;&gt;C:\Users\stu\Documents\GitHub\eaglep3-reporting\EC\2017-03-01-refined-times.txt</v>
      </c>
      <c r="AI99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{"issue":{"subject":"","project_id":79,"tracker_id":40,"status_id":1,"priority_id":2,"assigned_to_id":23,"start_date":"2017-03-01","description":"","custom_fields":[{"id":1,"name":"Subdivision","value":"EC"},{"id":4,"name":"Milepost","value":"23.3303"},{"id":17,"name":"Train ID","value":"187-01"},{"id":16,"name":"Locomotive ID","value":"4024"},{"id":130,"name":"Impact","value":""},{"id":150,"name":"Time of Event (Mountain Time)","value":"15:13:40"},{"id":151,"name":"Denver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2"/>
        <v>start /low /b %USERPROFILE%\Documents\GitHub\eaglep3\Utilities\DownloadLogsFromS3.py --loco 4024 --day 2017-03-01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"%USERPROFILE%\AppData\Local\Temp\OnboardLogs"\RTDC4024\*4024*20170301* | grep -SE "(Enforcement Action)|(\[TIMEOUT)|(CHR.+\|PRM\|1\|D.+(SWITCH|SIGNAL).+UNKNOWN)" - &gt;&gt; 2017-03-01-UncaughtWiMAX.txt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3" t="s">
        <v>595</v>
      </c>
      <c r="B100" s="7">
        <v>4023</v>
      </c>
      <c r="C100" s="21" t="s">
        <v>266</v>
      </c>
      <c r="D100" s="21" t="s">
        <v>701</v>
      </c>
      <c r="E100" s="13">
        <v>42795.639421296299</v>
      </c>
      <c r="F100" s="13">
        <v>42795.643240740741</v>
      </c>
      <c r="G100" s="7">
        <v>1</v>
      </c>
      <c r="H100" s="21" t="s">
        <v>407</v>
      </c>
      <c r="I100" s="13">
        <v>42795.674305555556</v>
      </c>
      <c r="J100" s="7">
        <v>0</v>
      </c>
      <c r="K100" s="98" t="str">
        <f t="shared" si="27"/>
        <v>4023/4024</v>
      </c>
      <c r="L100" s="21" t="str">
        <f>VLOOKUP(A100,'Trips&amp;Operators'!$C$1:$G$99999,5,FALSE)</f>
        <v>CLARK KATHLEEN</v>
      </c>
      <c r="M100" s="6">
        <f t="shared" si="28"/>
        <v>3.1064814815181307E-2</v>
      </c>
      <c r="N100" s="7">
        <f t="shared" si="43"/>
        <v>44.733333333861083</v>
      </c>
      <c r="O100" s="7"/>
      <c r="P100" s="7"/>
      <c r="Q100" s="22"/>
      <c r="R100" s="22"/>
      <c r="S100" s="31">
        <f t="shared" si="29"/>
        <v>1</v>
      </c>
      <c r="T100" s="46" t="str">
        <f t="shared" si="30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31"/>
        <v>https://d0f6bd738d7f1b3e5a7ca70fe4ff75f0.us-east-1.aws.found.io/app/kibana#/discover/Steve-Slow-Train-Analysis-(2080s-and-2083s)?_g=(refreshInterval:(display:Off,pause:!f,section:0,value:0),time:(from:'2017-03-01T14:20:46-0700',mode:absolute,to:'2017-03-01T17:11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0" s="187" t="str">
        <f t="shared" si="32"/>
        <v>N</v>
      </c>
      <c r="X100" s="187">
        <f t="shared" si="25"/>
        <v>1</v>
      </c>
      <c r="Y100" s="62">
        <f t="shared" si="33"/>
        <v>23.297799999999999</v>
      </c>
      <c r="Z100" s="62">
        <f t="shared" si="34"/>
        <v>1.9099999999999999E-2</v>
      </c>
      <c r="AA100" s="62">
        <f t="shared" si="35"/>
        <v>23.278699999999997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6"/>
        <v>0188-01</v>
      </c>
      <c r="AE100" s="85" t="str">
        <f t="shared" si="37"/>
        <v>aws s3 cp s3://rtdc.mdm.uploadarchive.raw/RTDC4023/ "%USERPROFILE%\AppData\Local\Temp\OnboardLogs"\RTDC4023\2017-03-01 --exclude "*" --recursive --include "*20170301*" &amp; "%USERPROFILE%\Documents\GitHub\mrs-test-scripts\Headless Mode &amp; Sideloading\WalkAndUnGZ.bat" "%USERPROFILE%\AppData\Local\Temp\OnboardLogs"\RTDC4023\2017-03-01 &amp; aws s3 cp s3://rtdc.mdm.uploadarchive.raw/RTDC4023/ "%USERPROFILE%\AppData\Local\Temp\OnboardLogs"\RTDC4023\2017-03-02 --exclude "*" --recursive --include "*20170302*" &amp; "%USERPROFILE%\Documents\GitHub\mrs-test-scripts\Headless Mode &amp; Sideloading\WalkAndUnGZ.bat" "%USERPROFILE%\AppData\Local\Temp\OnboardLogs"\RTDC4023\2017-03-02</v>
      </c>
      <c r="AF100" s="82" t="str">
        <f t="shared" si="38"/>
        <v>"C:\Program Files (x86)\AstroGrep\AstroGrep.exe" /spath="%USERPROFILE%\AppData\Local\Temp\OnboardLogs" /stypes="app*4023*20170301*" /stext=" 23:.+((SYSTEM_STATE.+slice.+state.+changed )|(ment ac)|(multiple cpu faults)|(system.+state.+changed )|(\[timeout)|(PRM\|1\|D)|(kpr)|(kdp)|(\|lc)|(penalty))" /e /r /s</v>
      </c>
      <c r="AG100" s="1" t="str">
        <f t="shared" si="39"/>
        <v>EC</v>
      </c>
      <c r="AH100" s="86" t="str">
        <f t="shared" si="40"/>
        <v>"%USERPROFILE%\Documents\GitHub\eaglep3\Utilities\RefineRTDCRunTimes.py" --tripid 188-01 --locoid 4023 --swversion DE.1.0.9.0 --startMP 204:232978 --initTime 2017-03-01T15:20:46 --startdatetime 2017-03-01T15:26:16 --delay 1 --endMP 204:191 --enddatetime 2017-03-01T16:11:00 --enforcementcount 0 &gt;&gt;C:\Users\stu\Documents\GitHub\eaglep3-reporting\EC\2017-03-01-refined-times.txt</v>
      </c>
      <c r="AI100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{"issue":{"subject":"","project_id":79,"tracker_id":40,"status_id":1,"priority_id":2,"assigned_to_id":23,"start_date":"2017-03-01","description":"","custom_fields":[{"id":1,"name":"Subdivision","value":"EC"},{"id":4,"name":"Milepost","value":"0.0191"},{"id":17,"name":"Train ID","value":"188-01"},{"id":16,"name":"Locomotive ID","value":"4023"},{"id":130,"name":"Impact","value":""},{"id":150,"name":"Time of Event (Mountain Time)","value":"16:11:00"},{"id":151,"name":"Denver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2"/>
        <v>start /low /b %USERPROFILE%\Documents\GitHub\eaglep3\Utilities\DownloadLogsFromS3.py --loco 4023 --day 2017-03-01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"%USERPROFILE%\AppData\Local\Temp\OnboardLogs"\RTDC4023\*4023*20170301* | grep -SE "(Enforcement Action)|(\[TIMEOUT)|(CHR.+\|PRM\|1\|D.+(SWITCH|SIGNAL).+UNKNOWN)" - &gt;&gt; 2017-03-01-UncaughtWiMAX.txt</v>
      </c>
    </row>
    <row r="101" spans="1:91" s="20" customFormat="1" x14ac:dyDescent="0.25">
      <c r="A101" s="33" t="s">
        <v>592</v>
      </c>
      <c r="B101" s="7">
        <v>4011</v>
      </c>
      <c r="C101" s="21" t="s">
        <v>266</v>
      </c>
      <c r="D101" s="21" t="s">
        <v>224</v>
      </c>
      <c r="E101" s="13">
        <v>42795.616550925923</v>
      </c>
      <c r="F101" s="13">
        <v>42795.618194444447</v>
      </c>
      <c r="G101" s="7">
        <v>1</v>
      </c>
      <c r="H101" s="21" t="s">
        <v>731</v>
      </c>
      <c r="I101" s="13">
        <v>42795.646828703706</v>
      </c>
      <c r="J101" s="7">
        <v>0</v>
      </c>
      <c r="K101" s="98" t="str">
        <f t="shared" si="27"/>
        <v>4011/4012</v>
      </c>
      <c r="L101" s="21" t="str">
        <f>VLOOKUP(A101,'Trips&amp;Operators'!$C$1:$G$99999,5,FALSE)</f>
        <v>DAVIS MICHAEL</v>
      </c>
      <c r="M101" s="6">
        <f t="shared" si="28"/>
        <v>2.8634259258979E-2</v>
      </c>
      <c r="N101" s="7">
        <f t="shared" si="43"/>
        <v>41.23333333292976</v>
      </c>
      <c r="O101" s="7"/>
      <c r="P101" s="7"/>
      <c r="Q101" s="22"/>
      <c r="R101" s="22"/>
      <c r="S101" s="31">
        <f t="shared" si="29"/>
        <v>1</v>
      </c>
      <c r="T101" s="46" t="str">
        <f t="shared" si="30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31"/>
        <v>https://d0f6bd738d7f1b3e5a7ca70fe4ff75f0.us-east-1.aws.found.io/app/kibana#/discover/Steve-Slow-Train-Analysis-(2080s-and-2083s)?_g=(refreshInterval:(display:Off,pause:!f,section:0,value:0),time:(from:'2017-03-01T13:47:50-0700',mode:absolute,to:'2017-03-01T16:31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1" s="187" t="str">
        <f t="shared" si="32"/>
        <v>N</v>
      </c>
      <c r="X101" s="187">
        <f t="shared" si="25"/>
        <v>1</v>
      </c>
      <c r="Y101" s="62">
        <f t="shared" si="33"/>
        <v>4.5100000000000001E-2</v>
      </c>
      <c r="Z101" s="62">
        <f t="shared" si="34"/>
        <v>23.332699999999999</v>
      </c>
      <c r="AA101" s="62">
        <f t="shared" si="35"/>
        <v>23.287599999999998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6"/>
        <v>0189-01</v>
      </c>
      <c r="AE101" s="85" t="str">
        <f t="shared" si="37"/>
        <v>aws s3 cp s3://rtdc.mdm.uploadarchive.raw/RTDC4011/ "%USERPROFILE%\AppData\Local\Temp\OnboardLogs"\RTDC4011\2017-03-01 --exclude "*" --recursive --include "*20170301*" &amp; "%USERPROFILE%\Documents\GitHub\mrs-test-scripts\Headless Mode &amp; Sideloading\WalkAndUnGZ.bat" "%USERPROFILE%\AppData\Local\Temp\OnboardLogs"\RTDC4011\2017-03-01 &amp; aws s3 cp s3://rtdc.mdm.uploadarchive.raw/RTDC4011/ "%USERPROFILE%\AppData\Local\Temp\OnboardLogs"\RTDC4011\2017-03-02 --exclude "*" --recursive --include "*20170302*" &amp; "%USERPROFILE%\Documents\GitHub\mrs-test-scripts\Headless Mode &amp; Sideloading\WalkAndUnGZ.bat" "%USERPROFILE%\AppData\Local\Temp\OnboardLogs"\RTDC4011\2017-03-02</v>
      </c>
      <c r="AF101" s="82" t="str">
        <f t="shared" si="38"/>
        <v>"C:\Program Files (x86)\AstroGrep\AstroGrep.exe" /spath="%USERPROFILE%\AppData\Local\Temp\OnboardLogs" /stypes="app*4011*20170301*" /stext=" 22:.+((SYSTEM_STATE.+slice.+state.+changed )|(ment ac)|(multiple cpu faults)|(system.+state.+changed )|(\[timeout)|(PRM\|1\|D)|(kpr)|(kdp)|(\|lc)|(penalty))" /e /r /s</v>
      </c>
      <c r="AG101" s="1" t="str">
        <f t="shared" si="39"/>
        <v>EC</v>
      </c>
      <c r="AH101" s="86" t="str">
        <f t="shared" si="40"/>
        <v>"%USERPROFILE%\Documents\GitHub\eaglep3\Utilities\RefineRTDCRunTimes.py" --tripid 189-01 --locoid 4011 --swversion DE.1.0.9.0 --startMP 204:451 --initTime 2017-03-01T14:47:50 --startdatetime 2017-03-01T14:50:12 --delay 1 --endMP 204:233327 --enddatetime 2017-03-01T15:31:26 --enforcementcount 0 &gt;&gt;C:\Users\stu\Documents\GitHub\eaglep3-reporting\EC\2017-03-01-refined-times.txt</v>
      </c>
      <c r="AI101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{"issue":{"subject":"","project_id":79,"tracker_id":40,"status_id":1,"priority_id":2,"assigned_to_id":23,"start_date":"2017-03-01","description":"","custom_fields":[{"id":1,"name":"Subdivision","value":"EC"},{"id":4,"name":"Milepost","value":"23.3327"},{"id":17,"name":"Train ID","value":"189-01"},{"id":16,"name":"Locomotive ID","value":"4011"},{"id":130,"name":"Impact","value":""},{"id":150,"name":"Time of Event (Mountain Time)","value":"15:31:26"},{"id":151,"name":"Denver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2"/>
        <v>start /low /b %USERPROFILE%\Documents\GitHub\eaglep3\Utilities\DownloadLogsFromS3.py --loco 4011 --day 2017-03-01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"%USERPROFILE%\AppData\Local\Temp\OnboardLogs"\RTDC4011\*4011*20170301* | grep -SE "(Enforcement Action)|(\[TIMEOUT)|(CHR.+\|PRM\|1\|D.+(SWITCH|SIGNAL).+UNKNOWN)" - &gt;&gt; 2017-03-01-UncaughtWiMAX.txt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3" t="s">
        <v>598</v>
      </c>
      <c r="B102" s="7">
        <v>4012</v>
      </c>
      <c r="C102" s="21" t="s">
        <v>266</v>
      </c>
      <c r="D102" s="21" t="s">
        <v>727</v>
      </c>
      <c r="E102" s="13">
        <v>42795.651284722226</v>
      </c>
      <c r="F102" s="13">
        <v>42795.653807870367</v>
      </c>
      <c r="G102" s="7">
        <v>1</v>
      </c>
      <c r="H102" s="21" t="s">
        <v>256</v>
      </c>
      <c r="I102" s="13">
        <v>42795.686018518521</v>
      </c>
      <c r="J102" s="7">
        <v>0</v>
      </c>
      <c r="K102" s="98" t="str">
        <f t="shared" si="27"/>
        <v>4011/4012</v>
      </c>
      <c r="L102" s="21" t="str">
        <f>VLOOKUP(A102,'Trips&amp;Operators'!$C$1:$G$99999,5,FALSE)</f>
        <v>DAVIS MICHAEL</v>
      </c>
      <c r="M102" s="6">
        <f t="shared" si="28"/>
        <v>3.221064815443242E-2</v>
      </c>
      <c r="N102" s="7">
        <f t="shared" si="43"/>
        <v>46.383333342382684</v>
      </c>
      <c r="O102" s="7"/>
      <c r="P102" s="7"/>
      <c r="Q102" s="22"/>
      <c r="R102" s="22"/>
      <c r="S102" s="31">
        <f t="shared" si="29"/>
        <v>1</v>
      </c>
      <c r="T102" s="46" t="str">
        <f t="shared" si="30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31"/>
        <v>https://d0f6bd738d7f1b3e5a7ca70fe4ff75f0.us-east-1.aws.found.io/app/kibana#/discover/Steve-Slow-Train-Analysis-(2080s-and-2083s)?_g=(refreshInterval:(display:Off,pause:!f,section:0,value:0),time:(from:'2017-03-01T14:37:51-0700',mode:absolute,to:'2017-03-01T17:27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2" s="187" t="str">
        <f t="shared" si="32"/>
        <v>N</v>
      </c>
      <c r="X102" s="187">
        <f t="shared" si="25"/>
        <v>1</v>
      </c>
      <c r="Y102" s="62">
        <f t="shared" si="33"/>
        <v>23.298500000000001</v>
      </c>
      <c r="Z102" s="62">
        <f t="shared" si="34"/>
        <v>1.47E-2</v>
      </c>
      <c r="AA102" s="62">
        <f t="shared" si="35"/>
        <v>23.283799999999999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6"/>
        <v>0190-01</v>
      </c>
      <c r="AE102" s="85" t="str">
        <f t="shared" si="37"/>
        <v>aws s3 cp s3://rtdc.mdm.uploadarchive.raw/RTDC4012/ "%USERPROFILE%\AppData\Local\Temp\OnboardLogs"\RTDC4012\2017-03-01 --exclude "*" --recursive --include "*20170301*" &amp; "%USERPROFILE%\Documents\GitHub\mrs-test-scripts\Headless Mode &amp; Sideloading\WalkAndUnGZ.bat" "%USERPROFILE%\AppData\Local\Temp\OnboardLogs"\RTDC4012\2017-03-01 &amp; aws s3 cp s3://rtdc.mdm.uploadarchive.raw/RTDC4012/ "%USERPROFILE%\AppData\Local\Temp\OnboardLogs"\RTDC4012\2017-03-02 --exclude "*" --recursive --include "*20170302*" &amp; "%USERPROFILE%\Documents\GitHub\mrs-test-scripts\Headless Mode &amp; Sideloading\WalkAndUnGZ.bat" "%USERPROFILE%\AppData\Local\Temp\OnboardLogs"\RTDC4012\2017-03-02</v>
      </c>
      <c r="AF102" s="82" t="str">
        <f t="shared" si="38"/>
        <v>"C:\Program Files (x86)\AstroGrep\AstroGrep.exe" /spath="%USERPROFILE%\AppData\Local\Temp\OnboardLogs" /stypes="app*4012*20170301*" /stext=" 23:.+((SYSTEM_STATE.+slice.+state.+changed )|(ment ac)|(multiple cpu faults)|(system.+state.+changed )|(\[timeout)|(PRM\|1\|D)|(kpr)|(kdp)|(\|lc)|(penalty))" /e /r /s</v>
      </c>
      <c r="AG102" s="1" t="str">
        <f t="shared" si="39"/>
        <v>EC</v>
      </c>
      <c r="AH102" s="86" t="str">
        <f t="shared" si="40"/>
        <v>"%USERPROFILE%\Documents\GitHub\eaglep3\Utilities\RefineRTDCRunTimes.py" --tripid 190-01 --locoid 4012 --swversion DE.1.0.9.0 --startMP 204:232985 --initTime 2017-03-01T15:37:51 --startdatetime 2017-03-01T15:41:29 --delay 1 --endMP 204:147 --enddatetime 2017-03-01T16:27:52 --enforcementcount 0 &gt;&gt;C:\Users\stu\Documents\GitHub\eaglep3-reporting\EC\2017-03-01-refined-times.txt</v>
      </c>
      <c r="AI102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{"issue":{"subject":"","project_id":79,"tracker_id":40,"status_id":1,"priority_id":2,"assigned_to_id":23,"start_date":"2017-03-01","description":"","custom_fields":[{"id":1,"name":"Subdivision","value":"EC"},{"id":4,"name":"Milepost","value":"0.0147"},{"id":17,"name":"Train ID","value":"190-01"},{"id":16,"name":"Locomotive ID","value":"4012"},{"id":130,"name":"Impact","value":""},{"id":150,"name":"Time of Event (Mountain Time)","value":"16:27:52"},{"id":151,"name":"Denver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2"/>
        <v>start /low /b %USERPROFILE%\Documents\GitHub\eaglep3\Utilities\DownloadLogsFromS3.py --loco 4012 --day 2017-03-01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"%USERPROFILE%\AppData\Local\Temp\OnboardLogs"\RTDC4012\*4012*20170301* | grep -SE "(Enforcement Action)|(\[TIMEOUT)|(CHR.+\|PRM\|1\|D.+(SWITCH|SIGNAL).+UNKNOWN)" - &gt;&gt; 2017-03-01-UncaughtWiMAX.txt</v>
      </c>
    </row>
    <row r="103" spans="1:91" s="20" customFormat="1" x14ac:dyDescent="0.25">
      <c r="A103" s="33" t="s">
        <v>453</v>
      </c>
      <c r="B103" s="7">
        <v>4029</v>
      </c>
      <c r="C103" s="21" t="s">
        <v>266</v>
      </c>
      <c r="D103" s="21" t="s">
        <v>261</v>
      </c>
      <c r="E103" s="13">
        <v>42795.621851851851</v>
      </c>
      <c r="F103" s="13">
        <v>42795.625185185185</v>
      </c>
      <c r="G103" s="7">
        <v>1</v>
      </c>
      <c r="H103" s="21" t="s">
        <v>408</v>
      </c>
      <c r="I103" s="13">
        <v>42795.653182870374</v>
      </c>
      <c r="J103" s="7">
        <v>0</v>
      </c>
      <c r="K103" s="98" t="str">
        <f t="shared" si="27"/>
        <v>4029/4030</v>
      </c>
      <c r="L103" s="21" t="str">
        <f>VLOOKUP(A103,'Trips&amp;Operators'!$C$1:$G$99999,5,FALSE)</f>
        <v>LEVERE CRAIG</v>
      </c>
      <c r="M103" s="6">
        <f t="shared" si="28"/>
        <v>2.7997685188893229E-2</v>
      </c>
      <c r="N103" s="7">
        <f t="shared" si="43"/>
        <v>40.316666672006249</v>
      </c>
      <c r="O103" s="7"/>
      <c r="P103" s="7"/>
      <c r="Q103" s="22"/>
      <c r="R103" s="22"/>
      <c r="S103" s="31">
        <f t="shared" si="29"/>
        <v>1</v>
      </c>
      <c r="T103" s="46" t="str">
        <f t="shared" si="30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31"/>
        <v>https://d0f6bd738d7f1b3e5a7ca70fe4ff75f0.us-east-1.aws.found.io/app/kibana#/discover/Steve-Slow-Train-Analysis-(2080s-and-2083s)?_g=(refreshInterval:(display:Off,pause:!f,section:0,value:0),time:(from:'2017-03-01T13:55:28-0700',mode:absolute,to:'2017-03-01T16:40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3" s="187" t="str">
        <f t="shared" si="32"/>
        <v>N</v>
      </c>
      <c r="X103" s="187">
        <f t="shared" si="25"/>
        <v>1</v>
      </c>
      <c r="Y103" s="62">
        <f t="shared" si="33"/>
        <v>4.6600000000000003E-2</v>
      </c>
      <c r="Z103" s="62">
        <f t="shared" si="34"/>
        <v>23.336400000000001</v>
      </c>
      <c r="AA103" s="62">
        <f t="shared" si="35"/>
        <v>23.2898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6"/>
        <v>0191-01</v>
      </c>
      <c r="AE103" s="85" t="str">
        <f t="shared" si="37"/>
        <v>aws s3 cp s3://rtdc.mdm.uploadarchive.raw/RTDC4029/ "%USERPROFILE%\AppData\Local\Temp\OnboardLogs"\RTDC4029\2017-03-01 --exclude "*" --recursive --include "*20170301*" &amp; "%USERPROFILE%\Documents\GitHub\mrs-test-scripts\Headless Mode &amp; Sideloading\WalkAndUnGZ.bat" "%USERPROFILE%\AppData\Local\Temp\OnboardLogs"\RTDC4029\2017-03-01 &amp; aws s3 cp s3://rtdc.mdm.uploadarchive.raw/RTDC4029/ "%USERPROFILE%\AppData\Local\Temp\OnboardLogs"\RTDC4029\2017-03-02 --exclude "*" --recursive --include "*20170302*" &amp; "%USERPROFILE%\Documents\GitHub\mrs-test-scripts\Headless Mode &amp; Sideloading\WalkAndUnGZ.bat" "%USERPROFILE%\AppData\Local\Temp\OnboardLogs"\RTDC4029\2017-03-02</v>
      </c>
      <c r="AF103" s="82" t="str">
        <f t="shared" si="38"/>
        <v>"C:\Program Files (x86)\AstroGrep\AstroGrep.exe" /spath="%USERPROFILE%\AppData\Local\Temp\OnboardLogs" /stypes="app*4029*20170301*" /stext=" 22:.+((SYSTEM_STATE.+slice.+state.+changed )|(ment ac)|(multiple cpu faults)|(system.+state.+changed )|(\[timeout)|(PRM\|1\|D)|(kpr)|(kdp)|(\|lc)|(penalty))" /e /r /s</v>
      </c>
      <c r="AG103" s="1" t="str">
        <f t="shared" si="39"/>
        <v>EC</v>
      </c>
      <c r="AH103" s="86" t="str">
        <f t="shared" si="40"/>
        <v>"%USERPROFILE%\Documents\GitHub\eaglep3\Utilities\RefineRTDCRunTimes.py" --tripid 191-01 --locoid 4029 --swversion DE.1.0.9.0 --startMP 204:466 --initTime 2017-03-01T14:55:28 --startdatetime 2017-03-01T15:00:16 --delay 1 --endMP 204:233364 --enddatetime 2017-03-01T15:40:35 --enforcementcount 0 &gt;&gt;C:\Users\stu\Documents\GitHub\eaglep3-reporting\EC\2017-03-01-refined-times.txt</v>
      </c>
      <c r="AI103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{"issue":{"subject":"","project_id":79,"tracker_id":40,"status_id":1,"priority_id":2,"assigned_to_id":23,"start_date":"2017-03-01","description":"","custom_fields":[{"id":1,"name":"Subdivision","value":"EC"},{"id":4,"name":"Milepost","value":"23.3364"},{"id":17,"name":"Train ID","value":"191-01"},{"id":16,"name":"Locomotive ID","value":"4029"},{"id":130,"name":"Impact","value":""},{"id":150,"name":"Time of Event (Mountain Time)","value":"15:40:35"},{"id":151,"name":"Denver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2"/>
        <v>start /low /b %USERPROFILE%\Documents\GitHub\eaglep3\Utilities\DownloadLogsFromS3.py --loco 4029 --day 2017-03-01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"%USERPROFILE%\AppData\Local\Temp\OnboardLogs"\RTDC4029\*4029*20170301* | grep -SE "(Enforcement Action)|(\[TIMEOUT)|(CHR.+\|PRM\|1\|D.+(SWITCH|SIGNAL).+UNKNOWN)" - &gt;&gt; 2017-03-01-UncaughtWiMAX.txt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599</v>
      </c>
      <c r="B104" s="7">
        <v>4030</v>
      </c>
      <c r="C104" s="21" t="s">
        <v>266</v>
      </c>
      <c r="D104" s="21" t="s">
        <v>708</v>
      </c>
      <c r="E104" s="13">
        <v>42795.656909722224</v>
      </c>
      <c r="F104" s="13">
        <v>42795.664131944446</v>
      </c>
      <c r="G104" s="7">
        <v>1</v>
      </c>
      <c r="H104" s="21" t="s">
        <v>213</v>
      </c>
      <c r="I104" s="13">
        <v>42795.69427083333</v>
      </c>
      <c r="J104" s="7">
        <v>0</v>
      </c>
      <c r="K104" s="98" t="str">
        <f t="shared" si="27"/>
        <v>4029/4030</v>
      </c>
      <c r="L104" s="21" t="str">
        <f>VLOOKUP(A104,'Trips&amp;Operators'!$C$1:$G$99999,5,FALSE)</f>
        <v>LEVERE CRAIG</v>
      </c>
      <c r="M104" s="6">
        <f t="shared" si="28"/>
        <v>3.0138888883811887E-2</v>
      </c>
      <c r="N104" s="7">
        <f t="shared" si="43"/>
        <v>43.399999992689118</v>
      </c>
      <c r="O104" s="7"/>
      <c r="P104" s="7"/>
      <c r="Q104" s="22"/>
      <c r="R104" s="22"/>
      <c r="S104" s="31">
        <f t="shared" si="29"/>
        <v>1</v>
      </c>
      <c r="T104" s="46" t="str">
        <f t="shared" si="30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31"/>
        <v>https://d0f6bd738d7f1b3e5a7ca70fe4ff75f0.us-east-1.aws.found.io/app/kibana#/discover/Steve-Slow-Train-Analysis-(2080s-and-2083s)?_g=(refreshInterval:(display:Off,pause:!f,section:0,value:0),time:(from:'2017-03-01T14:45:57-0700',mode:absolute,to:'2017-03-01T17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4" s="187" t="str">
        <f t="shared" si="32"/>
        <v>N</v>
      </c>
      <c r="X104" s="187">
        <f t="shared" ref="X104:X135" si="44">VALUE(LEFT(AD104,4))-VALUE(LEFT(AD103,4))</f>
        <v>1</v>
      </c>
      <c r="Y104" s="62">
        <f t="shared" si="33"/>
        <v>23.298400000000001</v>
      </c>
      <c r="Z104" s="62">
        <f t="shared" si="34"/>
        <v>1.54E-2</v>
      </c>
      <c r="AA104" s="62">
        <f t="shared" si="35"/>
        <v>23.283000000000001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6"/>
        <v>0192-01</v>
      </c>
      <c r="AE104" s="85" t="str">
        <f t="shared" si="37"/>
        <v>aws s3 cp s3://rtdc.mdm.uploadarchive.raw/RTDC4030/ "%USERPROFILE%\AppData\Local\Temp\OnboardLogs"\RTDC4030\2017-03-01 --exclude "*" --recursive --include "*20170301*" &amp; "%USERPROFILE%\Documents\GitHub\mrs-test-scripts\Headless Mode &amp; Sideloading\WalkAndUnGZ.bat" "%USERPROFILE%\AppData\Local\Temp\OnboardLogs"\RTDC4030\2017-03-01 &amp; aws s3 cp s3://rtdc.mdm.uploadarchive.raw/RTDC4030/ "%USERPROFILE%\AppData\Local\Temp\OnboardLogs"\RTDC4030\2017-03-02 --exclude "*" --recursive --include "*20170302*" &amp; "%USERPROFILE%\Documents\GitHub\mrs-test-scripts\Headless Mode &amp; Sideloading\WalkAndUnGZ.bat" "%USERPROFILE%\AppData\Local\Temp\OnboardLogs"\RTDC4030\2017-03-02</v>
      </c>
      <c r="AF104" s="82" t="str">
        <f t="shared" si="38"/>
        <v>"C:\Program Files (x86)\AstroGrep\AstroGrep.exe" /spath="%USERPROFILE%\AppData\Local\Temp\OnboardLogs" /stypes="app*4030*20170301*" /stext=" 23:.+((SYSTEM_STATE.+slice.+state.+changed )|(ment ac)|(multiple cpu faults)|(system.+state.+changed )|(\[timeout)|(PRM\|1\|D)|(kpr)|(kdp)|(\|lc)|(penalty))" /e /r /s</v>
      </c>
      <c r="AG104" s="1" t="str">
        <f t="shared" si="39"/>
        <v>EC</v>
      </c>
      <c r="AH104" s="86" t="str">
        <f t="shared" si="40"/>
        <v>"%USERPROFILE%\Documents\GitHub\eaglep3\Utilities\RefineRTDCRunTimes.py" --tripid 192-01 --locoid 4030 --swversion DE.1.0.9.0 --startMP 204:232984 --initTime 2017-03-01T15:45:57 --startdatetime 2017-03-01T15:56:21 --delay 1 --endMP 204:154 --enddatetime 2017-03-01T16:39:45 --enforcementcount 0 &gt;&gt;C:\Users\stu\Documents\GitHub\eaglep3-reporting\EC\2017-03-01-refined-times.txt</v>
      </c>
      <c r="AI104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{"issue":{"subject":"","project_id":79,"tracker_id":40,"status_id":1,"priority_id":2,"assigned_to_id":23,"start_date":"2017-03-01","description":"","custom_fields":[{"id":1,"name":"Subdivision","value":"EC"},{"id":4,"name":"Milepost","value":"0.0154"},{"id":17,"name":"Train ID","value":"192-01"},{"id":16,"name":"Locomotive ID","value":"4030"},{"id":130,"name":"Impact","value":""},{"id":150,"name":"Time of Event (Mountain Time)","value":"16:39:45"},{"id":151,"name":"Denver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2"/>
        <v>start /low /b %USERPROFILE%\Documents\GitHub\eaglep3\Utilities\DownloadLogsFromS3.py --loco 4030 --day 2017-03-01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"%USERPROFILE%\AppData\Local\Temp\OnboardLogs"\RTDC4030\*4030*20170301* | grep -SE "(Enforcement Action)|(\[TIMEOUT)|(CHR.+\|PRM\|1\|D.+(SWITCH|SIGNAL).+UNKNOWN)" - &gt;&gt; 2017-03-01-UncaughtWiMAX.txt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593</v>
      </c>
      <c r="B105" s="7">
        <v>4022</v>
      </c>
      <c r="C105" s="21" t="s">
        <v>266</v>
      </c>
      <c r="D105" s="21" t="s">
        <v>225</v>
      </c>
      <c r="E105" s="13">
        <v>42795.636712962965</v>
      </c>
      <c r="F105" s="13">
        <v>42795.638298611113</v>
      </c>
      <c r="G105" s="7">
        <v>1</v>
      </c>
      <c r="H105" s="21" t="s">
        <v>275</v>
      </c>
      <c r="I105" s="13">
        <v>42795.6640625</v>
      </c>
      <c r="J105" s="7">
        <v>0</v>
      </c>
      <c r="K105" s="98" t="str">
        <f t="shared" si="27"/>
        <v>4021/4022</v>
      </c>
      <c r="L105" s="21" t="str">
        <f>VLOOKUP(A105,'Trips&amp;Operators'!$C$1:$G$99999,5,FALSE)</f>
        <v>HELVIE ADAM</v>
      </c>
      <c r="M105" s="6">
        <f t="shared" si="28"/>
        <v>2.5763888887013309E-2</v>
      </c>
      <c r="N105" s="7">
        <f t="shared" si="43"/>
        <v>37.099999997299165</v>
      </c>
      <c r="O105" s="7"/>
      <c r="P105" s="7"/>
      <c r="Q105" s="22"/>
      <c r="R105" s="22"/>
      <c r="S105" s="31">
        <f t="shared" si="29"/>
        <v>1</v>
      </c>
      <c r="T105" s="46" t="str">
        <f t="shared" si="30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31"/>
        <v>https://d0f6bd738d7f1b3e5a7ca70fe4ff75f0.us-east-1.aws.found.io/app/kibana#/discover/Steve-Slow-Train-Analysis-(2080s-and-2083s)?_g=(refreshInterval:(display:Off,pause:!f,section:0,value:0),time:(from:'2017-03-01T14:16:52-0700',mode:absolute,to:'2017-03-01T16:56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5" s="187" t="str">
        <f t="shared" si="32"/>
        <v>N</v>
      </c>
      <c r="X105" s="187">
        <f t="shared" si="44"/>
        <v>1</v>
      </c>
      <c r="Y105" s="62">
        <f t="shared" si="33"/>
        <v>4.5699999999999998E-2</v>
      </c>
      <c r="Z105" s="62">
        <f t="shared" si="34"/>
        <v>23.329699999999999</v>
      </c>
      <c r="AA105" s="62">
        <f t="shared" si="35"/>
        <v>23.283999999999999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6"/>
        <v>0193-01</v>
      </c>
      <c r="AE105" s="85" t="str">
        <f t="shared" si="37"/>
        <v>aws s3 cp s3://rtdc.mdm.uploadarchive.raw/RTDC4022/ "%USERPROFILE%\AppData\Local\Temp\OnboardLogs"\RTDC4022\2017-03-01 --exclude "*" --recursive --include "*20170301*" &amp; "%USERPROFILE%\Documents\GitHub\mrs-test-scripts\Headless Mode &amp; Sideloading\WalkAndUnGZ.bat" "%USERPROFILE%\AppData\Local\Temp\OnboardLogs"\RTDC4022\2017-03-01 &amp; 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</v>
      </c>
      <c r="AF105" s="82" t="str">
        <f t="shared" si="38"/>
        <v>"C:\Program Files (x86)\AstroGrep\AstroGrep.exe" /spath="%USERPROFILE%\AppData\Local\Temp\OnboardLogs" /stypes="app*4022*20170301*" /stext=" 22:.+((SYSTEM_STATE.+slice.+state.+changed )|(ment ac)|(multiple cpu faults)|(system.+state.+changed )|(\[timeout)|(PRM\|1\|D)|(kpr)|(kdp)|(\|lc)|(penalty))" /e /r /s</v>
      </c>
      <c r="AG105" s="1" t="str">
        <f t="shared" si="39"/>
        <v>EC</v>
      </c>
      <c r="AH105" s="86" t="str">
        <f t="shared" si="40"/>
        <v>"%USERPROFILE%\Documents\GitHub\eaglep3\Utilities\RefineRTDCRunTimes.py" --tripid 193-01 --locoid 4022 --swversion DE.1.0.9.0 --startMP 204:457 --initTime 2017-03-01T15:16:52 --startdatetime 2017-03-01T15:19:09 --delay 1 --endMP 204:233297 --enddatetime 2017-03-01T15:56:15 --enforcementcount 0 &gt;&gt;C:\Users\stu\Documents\GitHub\eaglep3-reporting\EC\2017-03-01-refined-times.txt</v>
      </c>
      <c r="AI105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{"issue":{"subject":"","project_id":79,"tracker_id":40,"status_id":1,"priority_id":2,"assigned_to_id":23,"start_date":"2017-03-01","description":"","custom_fields":[{"id":1,"name":"Subdivision","value":"EC"},{"id":4,"name":"Milepost","value":"23.3297"},{"id":17,"name":"Train ID","value":"193-01"},{"id":16,"name":"Locomotive ID","value":"4022"},{"id":130,"name":"Impact","value":""},{"id":150,"name":"Time of Event (Mountain Time)","value":"15:56:15"},{"id":151,"name":"Denver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2"/>
        <v>start /low /b %USERPROFILE%\Documents\GitHub\eaglep3\Utilities\DownloadLogsFromS3.py --loco 4022 --day 2017-03-01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"%USERPROFILE%\AppData\Local\Temp\OnboardLogs"\RTDC4022\*4022*20170301* | grep -SE "(Enforcement Action)|(\[TIMEOUT)|(CHR.+\|PRM\|1\|D.+(SWITCH|SIGNAL).+UNKNOWN)" - &gt;&gt; 2017-03-01-UncaughtWiMAX.txt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460</v>
      </c>
      <c r="B106" s="7">
        <v>4021</v>
      </c>
      <c r="C106" s="21" t="s">
        <v>266</v>
      </c>
      <c r="D106" s="21" t="s">
        <v>411</v>
      </c>
      <c r="E106" s="13">
        <v>42795.668877314813</v>
      </c>
      <c r="F106" s="13">
        <v>42795.674502314818</v>
      </c>
      <c r="G106" s="7">
        <v>2</v>
      </c>
      <c r="H106" s="21" t="s">
        <v>277</v>
      </c>
      <c r="I106" s="13">
        <v>42795.702962962961</v>
      </c>
      <c r="J106" s="7">
        <v>0</v>
      </c>
      <c r="K106" s="98" t="str">
        <f t="shared" si="27"/>
        <v>4021/4022</v>
      </c>
      <c r="L106" s="21" t="str">
        <f>VLOOKUP(A106,'Trips&amp;Operators'!$C$1:$G$99999,5,FALSE)</f>
        <v>HELVIE ADAM</v>
      </c>
      <c r="M106" s="6">
        <f t="shared" si="28"/>
        <v>2.8460648143664002E-2</v>
      </c>
      <c r="N106" s="7">
        <f t="shared" si="43"/>
        <v>40.983333326876163</v>
      </c>
      <c r="O106" s="7"/>
      <c r="P106" s="7"/>
      <c r="Q106" s="22"/>
      <c r="R106" s="22"/>
      <c r="S106" s="31">
        <f t="shared" si="29"/>
        <v>1</v>
      </c>
      <c r="T106" s="46" t="str">
        <f t="shared" si="30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31"/>
        <v>https://d0f6bd738d7f1b3e5a7ca70fe4ff75f0.us-east-1.aws.found.io/app/kibana#/discover/Steve-Slow-Train-Analysis-(2080s-and-2083s)?_g=(refreshInterval:(display:Off,pause:!f,section:0,value:0),time:(from:'2017-03-01T15:03:11-0700',mode:absolute,to:'2017-03-01T17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6" s="187" t="str">
        <f t="shared" si="32"/>
        <v>N</v>
      </c>
      <c r="X106" s="187">
        <f t="shared" si="44"/>
        <v>1</v>
      </c>
      <c r="Y106" s="62">
        <f t="shared" si="33"/>
        <v>23.298100000000002</v>
      </c>
      <c r="Z106" s="62">
        <f t="shared" si="34"/>
        <v>1.6500000000000001E-2</v>
      </c>
      <c r="AA106" s="62">
        <f t="shared" si="35"/>
        <v>23.281600000000001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6"/>
        <v>0194-01</v>
      </c>
      <c r="AE106" s="85" t="str">
        <f t="shared" si="37"/>
        <v>aws s3 cp s3://rtdc.mdm.uploadarchive.raw/RTDC4021/ "%USERPROFILE%\AppData\Local\Temp\OnboardLogs"\RTDC4021\2017-03-01 --exclude "*" --recursive --include "*20170301*" &amp; "%USERPROFILE%\Documents\GitHub\mrs-test-scripts\Headless Mode &amp; Sideloading\WalkAndUnGZ.bat" "%USERPROFILE%\AppData\Local\Temp\OnboardLogs"\RTDC4021\2017-03-01 &amp; 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</v>
      </c>
      <c r="AF106" s="82" t="str">
        <f t="shared" si="38"/>
        <v>"C:\Program Files (x86)\AstroGrep\AstroGrep.exe" /spath="%USERPROFILE%\AppData\Local\Temp\OnboardLogs" /stypes="app*4021*20170301*" /stext=" 23:.+((SYSTEM_STATE.+slice.+state.+changed )|(ment ac)|(multiple cpu faults)|(system.+state.+changed )|(\[timeout)|(PRM\|1\|D)|(kpr)|(kdp)|(\|lc)|(penalty))" /e /r /s</v>
      </c>
      <c r="AG106" s="1" t="str">
        <f t="shared" si="39"/>
        <v>EC</v>
      </c>
      <c r="AH106" s="86" t="str">
        <f t="shared" si="40"/>
        <v>"%USERPROFILE%\Documents\GitHub\eaglep3\Utilities\RefineRTDCRunTimes.py" --tripid 194-01 --locoid 4021 --swversion DE.1.0.9.0 --startMP 204:232981 --initTime 2017-03-01T16:03:11 --startdatetime 2017-03-01T16:11:17 --delay 2 --endMP 204:165 --enddatetime 2017-03-01T16:52:16 --enforcementcount 0 &gt;&gt;C:\Users\stu\Documents\GitHub\eaglep3-reporting\EC\2017-03-01-refined-times.txt</v>
      </c>
      <c r="AI106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{"issue":{"subject":"","project_id":79,"tracker_id":40,"status_id":1,"priority_id":2,"assigned_to_id":23,"start_date":"2017-03-01","description":"","custom_fields":[{"id":1,"name":"Subdivision","value":"EC"},{"id":4,"name":"Milepost","value":"0.0165"},{"id":17,"name":"Train ID","value":"194-01"},{"id":16,"name":"Locomotive ID","value":"4021"},{"id":130,"name":"Impact","value":""},{"id":150,"name":"Time of Event (Mountain Time)","value":"16:52:16"},{"id":151,"name":"Denver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2"/>
        <v>start /low /b %USERPROFILE%\Documents\GitHub\eaglep3\Utilities\DownloadLogsFromS3.py --loco 4021 --day 2017-03-01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"%USERPROFILE%\AppData\Local\Temp\OnboardLogs"\RTDC4021\*4021*20170301* | grep -SE "(Enforcement Action)|(\[TIMEOUT)|(CHR.+\|PRM\|1\|D.+(SWITCH|SIGNAL).+UNKNOWN)" - &gt;&gt; 2017-03-01-UncaughtWiMAX.txt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596</v>
      </c>
      <c r="B107" s="7">
        <v>4046</v>
      </c>
      <c r="C107" s="21" t="s">
        <v>266</v>
      </c>
      <c r="D107" s="21" t="s">
        <v>204</v>
      </c>
      <c r="E107" s="13">
        <v>42795.64366898148</v>
      </c>
      <c r="F107" s="13">
        <v>42795.646412037036</v>
      </c>
      <c r="G107" s="7">
        <v>1</v>
      </c>
      <c r="H107" s="21" t="s">
        <v>732</v>
      </c>
      <c r="I107" s="13">
        <v>42795.673692129632</v>
      </c>
      <c r="J107" s="7">
        <v>0</v>
      </c>
      <c r="K107" s="98" t="str">
        <f t="shared" si="27"/>
        <v>4045/4046</v>
      </c>
      <c r="L107" s="21" t="str">
        <f>VLOOKUP(A107,'Trips&amp;Operators'!$C$1:$G$99999,5,FALSE)</f>
        <v>SWANSON BRYCE</v>
      </c>
      <c r="M107" s="6">
        <f t="shared" si="28"/>
        <v>2.7280092595901806E-2</v>
      </c>
      <c r="N107" s="7">
        <f t="shared" si="43"/>
        <v>39.283333338098601</v>
      </c>
      <c r="O107" s="7"/>
      <c r="P107" s="7"/>
      <c r="Q107" s="22"/>
      <c r="R107" s="22"/>
      <c r="S107" s="31">
        <f t="shared" si="29"/>
        <v>1</v>
      </c>
      <c r="T107" s="46" t="str">
        <f t="shared" si="30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31"/>
        <v>https://d0f6bd738d7f1b3e5a7ca70fe4ff75f0.us-east-1.aws.found.io/app/kibana#/discover/Steve-Slow-Train-Analysis-(2080s-and-2083s)?_g=(refreshInterval:(display:Off,pause:!f,section:0,value:0),time:(from:'2017-03-01T14:26:53-0700',mode:absolute,to:'2017-03-01T17:10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7" s="187" t="str">
        <f t="shared" si="32"/>
        <v>N</v>
      </c>
      <c r="X107" s="187">
        <f t="shared" si="44"/>
        <v>1</v>
      </c>
      <c r="Y107" s="62">
        <f t="shared" si="33"/>
        <v>4.6199999999999998E-2</v>
      </c>
      <c r="Z107" s="62">
        <f t="shared" si="34"/>
        <v>23.320699999999999</v>
      </c>
      <c r="AA107" s="62">
        <f t="shared" si="35"/>
        <v>23.2745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6"/>
        <v>0195-01</v>
      </c>
      <c r="AE107" s="85" t="str">
        <f t="shared" si="37"/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AF107" s="82" t="str">
        <f t="shared" si="38"/>
        <v>"C:\Program Files (x86)\AstroGrep\AstroGrep.exe" /spath="%USERPROFILE%\AppData\Local\Temp\OnboardLogs" /stypes="app*4046*20170301*" /stext=" 23:.+((SYSTEM_STATE.+slice.+state.+changed )|(ment ac)|(multiple cpu faults)|(system.+state.+changed )|(\[timeout)|(PRM\|1\|D)|(kpr)|(kdp)|(\|lc)|(penalty))" /e /r /s</v>
      </c>
      <c r="AG107" s="1" t="str">
        <f t="shared" si="39"/>
        <v>EC</v>
      </c>
      <c r="AH107" s="86" t="str">
        <f t="shared" si="40"/>
        <v>"%USERPROFILE%\Documents\GitHub\eaglep3\Utilities\RefineRTDCRunTimes.py" --tripid 195-01 --locoid 4046 --swversion DE.1.0.9.0 --startMP 204:462 --initTime 2017-03-01T15:26:53 --startdatetime 2017-03-01T15:30:50 --delay 1 --endMP 204:233207 --enddatetime 2017-03-01T16:10:07 --enforcementcount 0 &gt;&gt;C:\Users\stu\Documents\GitHub\eaglep3-reporting\EC\2017-03-01-refined-times.txt</v>
      </c>
      <c r="AI107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{"issue":{"subject":"","project_id":79,"tracker_id":40,"status_id":1,"priority_id":2,"assigned_to_id":23,"start_date":"2017-03-01","description":"","custom_fields":[{"id":1,"name":"Subdivision","value":"EC"},{"id":4,"name":"Milepost","value":"23.3207"},{"id":17,"name":"Train ID","value":"195-01"},{"id":16,"name":"Locomotive ID","value":"4046"},{"id":130,"name":"Impact","value":""},{"id":150,"name":"Time of Event (Mountain Time)","value":"16:10:07"},{"id":151,"name":"Denver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2"/>
        <v>start /low /b %USERPROFILE%\Documents\GitHub\eaglep3\Utilities\DownloadLogsFromS3.py --loco 4046 --day 2017-03-01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"%USERPROFILE%\AppData\Local\Temp\OnboardLogs"\RTDC4046\*4046*20170301* | grep -SE "(Enforcement Action)|(\[TIMEOUT)|(CHR.+\|PRM\|1\|D.+(SWITCH|SIGNAL).+UNKNOWN)" - &gt;&gt; 2017-03-01-UncaughtWiMAX.txt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602</v>
      </c>
      <c r="B108" s="7">
        <v>4045</v>
      </c>
      <c r="C108" s="21" t="s">
        <v>266</v>
      </c>
      <c r="D108" s="21" t="s">
        <v>733</v>
      </c>
      <c r="E108" s="13">
        <v>42795.67491898148</v>
      </c>
      <c r="F108" s="13">
        <v>42795.684884259259</v>
      </c>
      <c r="G108" s="7">
        <v>1</v>
      </c>
      <c r="H108" s="21" t="s">
        <v>253</v>
      </c>
      <c r="I108" s="13">
        <v>42795.714398148149</v>
      </c>
      <c r="J108" s="7">
        <v>0</v>
      </c>
      <c r="K108" s="98" t="str">
        <f t="shared" si="27"/>
        <v>4045/4046</v>
      </c>
      <c r="L108" s="21" t="str">
        <f>VLOOKUP(A108,'Trips&amp;Operators'!$C$1:$G$99999,5,FALSE)</f>
        <v>SWANSON BRYCE</v>
      </c>
      <c r="M108" s="6">
        <f t="shared" si="28"/>
        <v>2.9513888890505768E-2</v>
      </c>
      <c r="N108" s="7">
        <f t="shared" si="43"/>
        <v>42.500000002328306</v>
      </c>
      <c r="O108" s="7"/>
      <c r="P108" s="7"/>
      <c r="Q108" s="22"/>
      <c r="R108" s="22"/>
      <c r="S108" s="31">
        <f t="shared" si="29"/>
        <v>1</v>
      </c>
      <c r="T108" s="46" t="str">
        <f t="shared" si="30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31"/>
        <v>https://d0f6bd738d7f1b3e5a7ca70fe4ff75f0.us-east-1.aws.found.io/app/kibana#/discover/Steve-Slow-Train-Analysis-(2080s-and-2083s)?_g=(refreshInterval:(display:Off,pause:!f,section:0,value:0),time:(from:'2017-03-01T15:11:53-0700',mode:absolute,to:'2017-03-01T18:08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8" s="187" t="str">
        <f t="shared" si="32"/>
        <v>N</v>
      </c>
      <c r="X108" s="187">
        <f t="shared" si="44"/>
        <v>1</v>
      </c>
      <c r="Y108" s="62">
        <f t="shared" si="33"/>
        <v>23.2882</v>
      </c>
      <c r="Z108" s="62">
        <f t="shared" si="34"/>
        <v>1.5599999999999999E-2</v>
      </c>
      <c r="AA108" s="62">
        <f t="shared" si="35"/>
        <v>23.272600000000001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6"/>
        <v>0196-01</v>
      </c>
      <c r="AE108" s="85" t="str">
        <f t="shared" si="37"/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AF108" s="82" t="str">
        <f t="shared" si="38"/>
        <v>"C:\Program Files (x86)\AstroGrep\AstroGrep.exe" /spath="%USERPROFILE%\AppData\Local\Temp\OnboardLogs" /stypes="app*4045*20170302*" /stext=" 00:.+((SYSTEM_STATE.+slice.+state.+changed )|(ment ac)|(multiple cpu faults)|(system.+state.+changed )|(\[timeout)|(PRM\|1\|D)|(kpr)|(kdp)|(\|lc)|(penalty))" /e /r /s</v>
      </c>
      <c r="AG108" s="1" t="str">
        <f t="shared" si="39"/>
        <v>EC</v>
      </c>
      <c r="AH108" s="86" t="str">
        <f t="shared" si="40"/>
        <v>"%USERPROFILE%\Documents\GitHub\eaglep3\Utilities\RefineRTDCRunTimes.py" --tripid 196-01 --locoid 4045 --swversion DE.1.0.9.0 --startMP 204:232882 --initTime 2017-03-01T16:11:53 --startdatetime 2017-03-01T16:26:14 --delay 1 --endMP 204:156 --enddatetime 2017-03-01T17:08:44 --enforcementcount 0 &gt;&gt;C:\Users\stu\Documents\GitHub\eaglep3-reporting\EC\2017-03-01-refined-times.txt</v>
      </c>
      <c r="AI108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{"issue":{"subject":"","project_id":79,"tracker_id":40,"status_id":1,"priority_id":2,"assigned_to_id":23,"start_date":"2017-03-01","description":"","custom_fields":[{"id":1,"name":"Subdivision","value":"EC"},{"id":4,"name":"Milepost","value":"0.0156"},{"id":17,"name":"Train ID","value":"196-01"},{"id":16,"name":"Locomotive ID","value":"4045"},{"id":130,"name":"Impact","value":""},{"id":150,"name":"Time of Event (Mountain Time)","value":"17:08:44"},{"id":151,"name":"Denver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2"/>
        <v>start /low /b %USERPROFILE%\Documents\GitHub\eaglep3\Utilities\DownloadLogsFromS3.py --loco 4045 --day 2017-03-01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"%USERPROFILE%\AppData\Local\Temp\OnboardLogs"\RTDC4045\*4045*20170301* | grep -SE "(Enforcement Action)|(\[TIMEOUT)|(CHR.+\|PRM\|1\|D.+(SWITCH|SIGNAL).+UNKNOWN)" - &gt;&gt; 2017-03-01-UncaughtWiMAX.txt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457</v>
      </c>
      <c r="B109" s="7">
        <v>4009</v>
      </c>
      <c r="C109" s="21" t="s">
        <v>266</v>
      </c>
      <c r="D109" s="21" t="s">
        <v>405</v>
      </c>
      <c r="E109" s="13">
        <v>42795.656273148146</v>
      </c>
      <c r="F109" s="13">
        <v>42795.65797453704</v>
      </c>
      <c r="G109" s="7">
        <v>1</v>
      </c>
      <c r="H109" s="21" t="s">
        <v>401</v>
      </c>
      <c r="I109" s="13">
        <v>42795.682916666665</v>
      </c>
      <c r="J109" s="7">
        <v>0</v>
      </c>
      <c r="K109" s="98" t="str">
        <f t="shared" si="27"/>
        <v>4009/4010</v>
      </c>
      <c r="L109" s="21" t="str">
        <f>VLOOKUP(A109,'Trips&amp;Operators'!$C$1:$G$99999,5,FALSE)</f>
        <v>LEVIN SCOTT</v>
      </c>
      <c r="M109" s="6">
        <f t="shared" si="28"/>
        <v>2.4942129624832887E-2</v>
      </c>
      <c r="N109" s="7">
        <f t="shared" si="43"/>
        <v>35.916666659759358</v>
      </c>
      <c r="O109" s="7"/>
      <c r="P109" s="7"/>
      <c r="Q109" s="22"/>
      <c r="R109" s="22"/>
      <c r="S109" s="31">
        <f t="shared" si="29"/>
        <v>1</v>
      </c>
      <c r="T109" s="46" t="str">
        <f t="shared" si="30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31"/>
        <v>https://d0f6bd738d7f1b3e5a7ca70fe4ff75f0.us-east-1.aws.found.io/app/kibana#/discover/Steve-Slow-Train-Analysis-(2080s-and-2083s)?_g=(refreshInterval:(display:Off,pause:!f,section:0,value:0),time:(from:'2017-03-01T14:45:02-0700',mode:absolute,to:'2017-03-01T17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187" t="str">
        <f t="shared" si="32"/>
        <v>N</v>
      </c>
      <c r="X109" s="187">
        <f t="shared" si="44"/>
        <v>1</v>
      </c>
      <c r="Y109" s="62">
        <f t="shared" si="33"/>
        <v>4.4900000000000002E-2</v>
      </c>
      <c r="Z109" s="62">
        <f t="shared" ref="Z109:Z137" si="45">RIGHT(H109,LEN(H109)-4)/10000</f>
        <v>23.339300000000001</v>
      </c>
      <c r="AA109" s="62">
        <f t="shared" si="35"/>
        <v>23.294400000000003</v>
      </c>
      <c r="AB109" s="59" t="str">
        <f>VLOOKUP(A109,Enforcements!$C$7:$K$13,8,0)</f>
        <v>Bulletin (2)</v>
      </c>
      <c r="AC109" s="55" t="str">
        <f>VLOOKUP(A109,Enforcements!$C$7:$E$13,3,0)</f>
        <v>GRADE CROSSING</v>
      </c>
      <c r="AD109" s="56" t="str">
        <f t="shared" si="36"/>
        <v>0197-01</v>
      </c>
      <c r="AE109" s="85" t="str">
        <f t="shared" si="37"/>
        <v>aws s3 cp s3://rtdc.mdm.uploadarchive.raw/RTDC4009/ "%USERPROFILE%\AppData\Local\Temp\OnboardLogs"\RTDC4009\2017-03-01 --exclude "*" --recursive --include "*20170301*" &amp; "%USERPROFILE%\Documents\GitHub\mrs-test-scripts\Headless Mode &amp; Sideloading\WalkAndUnGZ.bat" "%USERPROFILE%\AppData\Local\Temp\OnboardLogs"\RTDC4009\2017-03-01 &amp; aws s3 cp s3://rtdc.mdm.uploadarchive.raw/RTDC4009/ "%USERPROFILE%\AppData\Local\Temp\OnboardLogs"\RTDC4009\2017-03-02 --exclude "*" --recursive --include "*20170302*" &amp; "%USERPROFILE%\Documents\GitHub\mrs-test-scripts\Headless Mode &amp; Sideloading\WalkAndUnGZ.bat" "%USERPROFILE%\AppData\Local\Temp\OnboardLogs"\RTDC4009\2017-03-02</v>
      </c>
      <c r="AF109" s="82" t="str">
        <f t="shared" si="38"/>
        <v>"C:\Program Files (x86)\AstroGrep\AstroGrep.exe" /spath="%USERPROFILE%\AppData\Local\Temp\OnboardLogs" /stypes="app*4009*20170301*" /stext=" 23:.+((SYSTEM_STATE.+slice.+state.+changed )|(ment ac)|(multiple cpu faults)|(system.+state.+changed )|(\[timeout)|(PRM\|1\|D)|(kpr)|(kdp)|(\|lc)|(penalty))" /e /r /s</v>
      </c>
      <c r="AG109" s="1" t="str">
        <f t="shared" si="39"/>
        <v>EC</v>
      </c>
      <c r="AH109" s="86" t="str">
        <f t="shared" si="40"/>
        <v>"%USERPROFILE%\Documents\GitHub\eaglep3\Utilities\RefineRTDCRunTimes.py" --tripid 197-01 --locoid 4009 --swversion DE.1.0.9.0 --startMP 204:449 --initTime 2017-03-01T15:45:02 --startdatetime 2017-03-01T15:47:29 --delay 1 --endMP 204:233393 --enddatetime 2017-03-01T16:23:24 --enforcementcount 0 &gt;&gt;C:\Users\stu\Documents\GitHub\eaglep3-reporting\EC\2017-03-01-refined-times.txt</v>
      </c>
      <c r="AI109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{"issue":{"subject":"","project_id":79,"tracker_id":40,"status_id":1,"priority_id":2,"assigned_to_id":23,"start_date":"2017-03-01","description":"","custom_fields":[{"id":1,"name":"Subdivision","value":"EC"},{"id":4,"name":"Milepost","value":"23.3393"},{"id":17,"name":"Train ID","value":"197-01"},{"id":16,"name":"Locomotive ID","value":"4009"},{"id":130,"name":"Impact","value":""},{"id":150,"name":"Time of Event (Mountain Time)","value":"16:23:24"},{"id":151,"name":"Denver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2"/>
        <v>start /low /b %USERPROFILE%\Documents\GitHub\eaglep3\Utilities\DownloadLogsFromS3.py --loco 4009 --day 2017-03-01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"%USERPROFILE%\AppData\Local\Temp\OnboardLogs"\RTDC4009\*4009*20170301* | grep -SE "(Enforcement Action)|(\[TIMEOUT)|(CHR.+\|PRM\|1\|D.+(SWITCH|SIGNAL).+UNKNOWN)" - &gt;&gt; 2017-03-01-UncaughtWiMAX.txt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606</v>
      </c>
      <c r="B110" s="7">
        <v>4010</v>
      </c>
      <c r="C110" s="21" t="s">
        <v>266</v>
      </c>
      <c r="D110" s="21" t="s">
        <v>734</v>
      </c>
      <c r="E110" s="13">
        <v>42795.692858796298</v>
      </c>
      <c r="F110" s="13">
        <v>42795.6953125</v>
      </c>
      <c r="G110" s="7">
        <v>1</v>
      </c>
      <c r="H110" s="21" t="s">
        <v>256</v>
      </c>
      <c r="I110" s="13">
        <v>42795.723067129627</v>
      </c>
      <c r="J110" s="7">
        <v>0</v>
      </c>
      <c r="K110" s="98" t="str">
        <f t="shared" si="27"/>
        <v>4009/4010</v>
      </c>
      <c r="L110" s="21" t="str">
        <f>VLOOKUP(A110,'Trips&amp;Operators'!$C$1:$G$99999,5,FALSE)</f>
        <v>LEVIN SCOTT</v>
      </c>
      <c r="M110" s="6">
        <f t="shared" si="28"/>
        <v>2.7754629627452232E-2</v>
      </c>
      <c r="N110" s="7">
        <f t="shared" si="43"/>
        <v>39.966666663531214</v>
      </c>
      <c r="O110" s="7"/>
      <c r="P110" s="7"/>
      <c r="Q110" s="22"/>
      <c r="R110" s="22"/>
      <c r="S110" s="31">
        <f t="shared" si="29"/>
        <v>1</v>
      </c>
      <c r="T110" s="46" t="str">
        <f t="shared" si="30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31"/>
        <v>https://d0f6bd738d7f1b3e5a7ca70fe4ff75f0.us-east-1.aws.found.io/app/kibana#/discover/Steve-Slow-Train-Analysis-(2080s-and-2083s)?_g=(refreshInterval:(display:Off,pause:!f,section:0,value:0),time:(from:'2017-03-01T15:37:43-0700',mode:absolute,to:'2017-03-01T18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0" s="187" t="str">
        <f t="shared" si="32"/>
        <v>N</v>
      </c>
      <c r="X110" s="187">
        <f t="shared" si="44"/>
        <v>1</v>
      </c>
      <c r="Y110" s="62">
        <f t="shared" si="33"/>
        <v>23.3081</v>
      </c>
      <c r="Z110" s="62">
        <f t="shared" si="45"/>
        <v>1.47E-2</v>
      </c>
      <c r="AA110" s="62">
        <f t="shared" si="35"/>
        <v>23.293399999999998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6"/>
        <v>0198-01</v>
      </c>
      <c r="AE110" s="85" t="str">
        <f t="shared" si="37"/>
        <v>aws s3 cp s3://rtdc.mdm.uploadarchive.raw/RTDC4010/ "%USERPROFILE%\AppData\Local\Temp\OnboardLogs"\RTDC4010\2017-03-01 --exclude "*" --recursive --include "*20170301*" &amp; "%USERPROFILE%\Documents\GitHub\mrs-test-scripts\Headless Mode &amp; Sideloading\WalkAndUnGZ.bat" "%USERPROFILE%\AppData\Local\Temp\OnboardLogs"\RTDC4010\2017-03-01 &amp; aws s3 cp s3://rtdc.mdm.uploadarchive.raw/RTDC4010/ "%USERPROFILE%\AppData\Local\Temp\OnboardLogs"\RTDC4010\2017-03-02 --exclude "*" --recursive --include "*20170302*" &amp; "%USERPROFILE%\Documents\GitHub\mrs-test-scripts\Headless Mode &amp; Sideloading\WalkAndUnGZ.bat" "%USERPROFILE%\AppData\Local\Temp\OnboardLogs"\RTDC4010\2017-03-02</v>
      </c>
      <c r="AF110" s="82" t="str">
        <f t="shared" si="38"/>
        <v>"C:\Program Files (x86)\AstroGrep\AstroGrep.exe" /spath="%USERPROFILE%\AppData\Local\Temp\OnboardLogs" /stypes="app*4010*20170302*" /stext=" 00:.+((SYSTEM_STATE.+slice.+state.+changed )|(ment ac)|(multiple cpu faults)|(system.+state.+changed )|(\[timeout)|(PRM\|1\|D)|(kpr)|(kdp)|(\|lc)|(penalty))" /e /r /s</v>
      </c>
      <c r="AG110" s="1" t="str">
        <f t="shared" si="39"/>
        <v>EC</v>
      </c>
      <c r="AH110" s="86" t="str">
        <f t="shared" si="40"/>
        <v>"%USERPROFILE%\Documents\GitHub\eaglep3\Utilities\RefineRTDCRunTimes.py" --tripid 198-01 --locoid 4010 --swversion DE.1.0.9.0 --startMP 204:233081 --initTime 2017-03-01T16:37:43 --startdatetime 2017-03-01T16:41:15 --delay 1 --endMP 204:147 --enddatetime 2017-03-01T17:21:13 --enforcementcount 0 &gt;&gt;C:\Users\stu\Documents\GitHub\eaglep3-reporting\EC\2017-03-01-refined-times.txt</v>
      </c>
      <c r="AI110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{"issue":{"subject":"","project_id":79,"tracker_id":40,"status_id":1,"priority_id":2,"assigned_to_id":23,"start_date":"2017-03-01","description":"","custom_fields":[{"id":1,"name":"Subdivision","value":"EC"},{"id":4,"name":"Milepost","value":"0.0147"},{"id":17,"name":"Train ID","value":"198-01"},{"id":16,"name":"Locomotive ID","value":"4010"},{"id":130,"name":"Impact","value":""},{"id":150,"name":"Time of Event (Mountain Time)","value":"17:21:13"},{"id":151,"name":"Denver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2"/>
        <v>start /low /b %USERPROFILE%\Documents\GitHub\eaglep3\Utilities\DownloadLogsFromS3.py --loco 4010 --day 2017-03-01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"%USERPROFILE%\AppData\Local\Temp\OnboardLogs"\RTDC4010\*4010*20170302* | grep -SE "(Enforcement Action)|(\[TIMEOUT)|(CHR.+\|PRM\|1\|D.+(SWITCH|SIGNAL).+UNKNOWN)" - &gt;&gt; 2017-03-01-UncaughtWiMAX.txt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601</v>
      </c>
      <c r="B111" s="7">
        <v>4002</v>
      </c>
      <c r="C111" s="21" t="s">
        <v>266</v>
      </c>
      <c r="D111" s="21" t="s">
        <v>261</v>
      </c>
      <c r="E111" s="13">
        <v>42795.662291666667</v>
      </c>
      <c r="F111" s="13">
        <v>42795.666828703703</v>
      </c>
      <c r="G111" s="7">
        <v>1</v>
      </c>
      <c r="H111" s="21" t="s">
        <v>274</v>
      </c>
      <c r="I111" s="13">
        <v>42795.692662037036</v>
      </c>
      <c r="J111" s="7">
        <v>0</v>
      </c>
      <c r="K111" s="98" t="str">
        <f t="shared" si="27"/>
        <v>4001/4002</v>
      </c>
      <c r="L111" s="21" t="str">
        <f>VLOOKUP(A111,'Trips&amp;Operators'!$C$1:$G$99999,5,FALSE)</f>
        <v>BRANNON JEFFREY</v>
      </c>
      <c r="M111" s="6">
        <f t="shared" si="28"/>
        <v>2.5833333333139308E-2</v>
      </c>
      <c r="N111" s="7">
        <f t="shared" si="43"/>
        <v>37.199999999720603</v>
      </c>
      <c r="O111" s="7"/>
      <c r="P111" s="7"/>
      <c r="Q111" s="22"/>
      <c r="R111" s="22"/>
      <c r="S111" s="31">
        <f t="shared" si="29"/>
        <v>1</v>
      </c>
      <c r="T111" s="46" t="str">
        <f t="shared" si="30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31"/>
        <v>https://d0f6bd738d7f1b3e5a7ca70fe4ff75f0.us-east-1.aws.found.io/app/kibana#/discover/Steve-Slow-Train-Analysis-(2080s-and-2083s)?_g=(refreshInterval:(display:Off,pause:!f,section:0,value:0),time:(from:'2017-03-01T14:53:42-0700',mode:absolute,to:'2017-03-01T17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1" s="187" t="str">
        <f t="shared" si="32"/>
        <v>N</v>
      </c>
      <c r="X111" s="187">
        <f t="shared" si="44"/>
        <v>1</v>
      </c>
      <c r="Y111" s="62">
        <f t="shared" si="33"/>
        <v>4.6600000000000003E-2</v>
      </c>
      <c r="Z111" s="62">
        <f t="shared" si="45"/>
        <v>23.331399999999999</v>
      </c>
      <c r="AA111" s="62">
        <f t="shared" si="35"/>
        <v>23.284799999999997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6"/>
        <v>0199-01</v>
      </c>
      <c r="AE111" s="85" t="str">
        <f t="shared" si="37"/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AF111" s="82" t="str">
        <f t="shared" si="38"/>
        <v>"C:\Program Files (x86)\AstroGrep\AstroGrep.exe" /spath="%USERPROFILE%\AppData\Local\Temp\OnboardLogs" /stypes="app*4002*20170301*" /stext=" 23:.+((SYSTEM_STATE.+slice.+state.+changed )|(ment ac)|(multiple cpu faults)|(system.+state.+changed )|(\[timeout)|(PRM\|1\|D)|(kpr)|(kdp)|(\|lc)|(penalty))" /e /r /s</v>
      </c>
      <c r="AG111" s="1" t="str">
        <f t="shared" si="39"/>
        <v>EC</v>
      </c>
      <c r="AH111" s="86" t="str">
        <f t="shared" si="40"/>
        <v>"%USERPROFILE%\Documents\GitHub\eaglep3\Utilities\RefineRTDCRunTimes.py" --tripid 199-01 --locoid 4002 --swversion DE.1.0.9.0 --startMP 204:466 --initTime 2017-03-01T15:53:42 --startdatetime 2017-03-01T16:00:14 --delay 1 --endMP 204:233314 --enddatetime 2017-03-01T16:37:26 --enforcementcount 0 &gt;&gt;C:\Users\stu\Documents\GitHub\eaglep3-reporting\EC\2017-03-01-refined-times.txt</v>
      </c>
      <c r="AI111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{"issue":{"subject":"","project_id":79,"tracker_id":40,"status_id":1,"priority_id":2,"assigned_to_id":23,"start_date":"2017-03-01","description":"","custom_fields":[{"id":1,"name":"Subdivision","value":"EC"},{"id":4,"name":"Milepost","value":"23.3314"},{"id":17,"name":"Train ID","value":"199-01"},{"id":16,"name":"Locomotive ID","value":"4002"},{"id":130,"name":"Impact","value":""},{"id":150,"name":"Time of Event (Mountain Time)","value":"16:37:26"},{"id":151,"name":"Denver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2"/>
        <v>start /low /b %USERPROFILE%\Documents\GitHub\eaglep3\Utilities\DownloadLogsFromS3.py --loco 4002 --day 2017-03-01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"%USERPROFILE%\AppData\Local\Temp\OnboardLogs"\RTDC4002\*4002*20170301* | grep -SE "(Enforcement Action)|(\[TIMEOUT)|(CHR.+\|PRM\|1\|D.+(SWITCH|SIGNAL).+UNKNOWN)" - &gt;&gt; 2017-03-01-UncaughtWiMAX.txt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609</v>
      </c>
      <c r="B112" s="7">
        <v>4001</v>
      </c>
      <c r="C112" s="21" t="s">
        <v>266</v>
      </c>
      <c r="D112" s="21" t="s">
        <v>315</v>
      </c>
      <c r="E112" s="13">
        <v>42795.703043981484</v>
      </c>
      <c r="F112" s="13">
        <v>42795.705717592595</v>
      </c>
      <c r="G112" s="7">
        <v>0</v>
      </c>
      <c r="H112" s="21" t="s">
        <v>206</v>
      </c>
      <c r="I112" s="13">
        <v>42795.734988425924</v>
      </c>
      <c r="J112" s="7">
        <v>0</v>
      </c>
      <c r="K112" s="98" t="str">
        <f t="shared" si="27"/>
        <v>4001/4002</v>
      </c>
      <c r="L112" s="21" t="str">
        <f>VLOOKUP(A112,'Trips&amp;Operators'!$C$1:$G$99999,5,FALSE)</f>
        <v>BRANNON JEFFREY</v>
      </c>
      <c r="M112" s="6">
        <f t="shared" si="28"/>
        <v>2.9270833329064772E-2</v>
      </c>
      <c r="N112" s="7">
        <f t="shared" si="43"/>
        <v>42.149999993853271</v>
      </c>
      <c r="O112" s="7"/>
      <c r="P112" s="7"/>
      <c r="Q112" s="22"/>
      <c r="R112" s="22"/>
      <c r="S112" s="31">
        <f t="shared" si="29"/>
        <v>1</v>
      </c>
      <c r="T112" s="46" t="str">
        <f t="shared" si="30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31"/>
        <v>https://d0f6bd738d7f1b3e5a7ca70fe4ff75f0.us-east-1.aws.found.io/app/kibana#/discover/Steve-Slow-Train-Analysis-(2080s-and-2083s)?_g=(refreshInterval:(display:Off,pause:!f,section:0,value:0),time:(from:'2017-03-01T15:52:23-0700',mode:absolute,to:'2017-03-01T18:38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2" s="187" t="str">
        <f t="shared" si="32"/>
        <v>N</v>
      </c>
      <c r="X112" s="187">
        <f t="shared" si="44"/>
        <v>1</v>
      </c>
      <c r="Y112" s="62">
        <f t="shared" si="33"/>
        <v>23.3</v>
      </c>
      <c r="Z112" s="62">
        <f t="shared" si="45"/>
        <v>1.52E-2</v>
      </c>
      <c r="AA112" s="62">
        <f t="shared" si="35"/>
        <v>23.284800000000001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6"/>
        <v>0200-01</v>
      </c>
      <c r="AE112" s="85" t="str">
        <f t="shared" si="37"/>
        <v>aws s3 cp s3://rtdc.mdm.uploadarchive.raw/RTDC4001/ "%USERPROFILE%\AppData\Local\Temp\OnboardLogs"\RTDC4001\2017-03-01 --exclude "*" --recursive --include "*20170301*" &amp; "%USERPROFILE%\Documents\GitHub\mrs-test-scripts\Headless Mode &amp; Sideloading\WalkAndUnGZ.bat" "%USERPROFILE%\AppData\Local\Temp\OnboardLogs"\RTDC4001\2017-03-01 &amp; aws s3 cp s3://rtdc.mdm.uploadarchive.raw/RTDC4001/ "%USERPROFILE%\AppData\Local\Temp\OnboardLogs"\RTDC4001\2017-03-02 --exclude "*" --recursive --include "*20170302*" &amp; "%USERPROFILE%\Documents\GitHub\mrs-test-scripts\Headless Mode &amp; Sideloading\WalkAndUnGZ.bat" "%USERPROFILE%\AppData\Local\Temp\OnboardLogs"\RTDC4001\2017-03-02</v>
      </c>
      <c r="AF112" s="82" t="str">
        <f t="shared" si="38"/>
        <v>"C:\Program Files (x86)\AstroGrep\AstroGrep.exe" /spath="%USERPROFILE%\AppData\Local\Temp\OnboardLogs" /stypes="app*4001*20170302*" /stext=" 00:.+((SYSTEM_STATE.+slice.+state.+changed )|(ment ac)|(multiple cpu faults)|(system.+state.+changed )|(\[timeout)|(PRM\|1\|D)|(kpr)|(kdp)|(\|lc)|(penalty))" /e /r /s</v>
      </c>
      <c r="AG112" s="1" t="str">
        <f t="shared" si="39"/>
        <v>EC</v>
      </c>
      <c r="AH112" s="86" t="str">
        <f t="shared" si="40"/>
        <v>"%USERPROFILE%\Documents\GitHub\eaglep3\Utilities\RefineRTDCRunTimes.py" --tripid 200-01 --locoid 4001 --swversion DE.1.0.9.0 --startMP 204:233000 --initTime 2017-03-01T16:52:23 --startdatetime 2017-03-01T16:56:14 --delay 0 --endMP 204:152 --enddatetime 2017-03-01T17:38:23 --enforcementcount 0 &gt;&gt;C:\Users\stu\Documents\GitHub\eaglep3-reporting\EC\2017-03-01-refined-times.txt</v>
      </c>
      <c r="AI112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{"issue":{"subject":"","project_id":79,"tracker_id":40,"status_id":1,"priority_id":2,"assigned_to_id":23,"start_date":"2017-03-01","description":"","custom_fields":[{"id":1,"name":"Subdivision","value":"EC"},{"id":4,"name":"Milepost","value":"0.0152"},{"id":17,"name":"Train ID","value":"200-01"},{"id":16,"name":"Locomotive ID","value":"4001"},{"id":130,"name":"Impact","value":""},{"id":150,"name":"Time of Event (Mountain Time)","value":"17:38:23"},{"id":151,"name":"Denver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2"/>
        <v>start /low /b %USERPROFILE%\Documents\GitHub\eaglep3\Utilities\DownloadLogsFromS3.py --loco 4001 --day 2017-03-01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"%USERPROFILE%\AppData\Local\Temp\OnboardLogs"\RTDC4001\*4001*20170302* | grep -SE "(Enforcement Action)|(\[TIMEOUT)|(CHR.+\|PRM\|1\|D.+(SWITCH|SIGNAL).+UNKNOWN)" - &gt;&gt; 2017-03-01-UncaughtWiMAX.txt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603</v>
      </c>
      <c r="B113" s="7">
        <v>4024</v>
      </c>
      <c r="C113" s="21" t="s">
        <v>266</v>
      </c>
      <c r="D113" s="21" t="s">
        <v>351</v>
      </c>
      <c r="E113" s="13">
        <v>42795.675393518519</v>
      </c>
      <c r="F113" s="13">
        <v>42795.677245370367</v>
      </c>
      <c r="G113" s="7">
        <v>1</v>
      </c>
      <c r="H113" s="21" t="s">
        <v>395</v>
      </c>
      <c r="I113" s="13">
        <v>42795.703576388885</v>
      </c>
      <c r="J113" s="7">
        <v>0</v>
      </c>
      <c r="K113" s="98" t="str">
        <f t="shared" si="27"/>
        <v>4023/4024</v>
      </c>
      <c r="L113" s="21" t="str">
        <f>VLOOKUP(A113,'Trips&amp;Operators'!$C$1:$G$99999,5,FALSE)</f>
        <v>CLARK KATHLEEN</v>
      </c>
      <c r="M113" s="6">
        <f t="shared" si="28"/>
        <v>2.6331018518249039E-2</v>
      </c>
      <c r="N113" s="7">
        <f t="shared" si="43"/>
        <v>37.916666666278616</v>
      </c>
      <c r="O113" s="7"/>
      <c r="P113" s="7"/>
      <c r="Q113" s="22"/>
      <c r="R113" s="22"/>
      <c r="S113" s="31">
        <f t="shared" si="29"/>
        <v>1</v>
      </c>
      <c r="T113" s="46" t="str">
        <f t="shared" si="30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31"/>
        <v>https://d0f6bd738d7f1b3e5a7ca70fe4ff75f0.us-east-1.aws.found.io/app/kibana#/discover/Steve-Slow-Train-Analysis-(2080s-and-2083s)?_g=(refreshInterval:(display:Off,pause:!f,section:0,value:0),time:(from:'2017-03-01T15:12:34-0700',mode:absolute,to:'2017-03-01T17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3" s="187" t="str">
        <f t="shared" si="32"/>
        <v>N</v>
      </c>
      <c r="X113" s="187">
        <f t="shared" si="44"/>
        <v>1</v>
      </c>
      <c r="Y113" s="62">
        <f t="shared" si="33"/>
        <v>4.8599999999999997E-2</v>
      </c>
      <c r="Z113" s="62">
        <f t="shared" si="45"/>
        <v>23.329499999999999</v>
      </c>
      <c r="AA113" s="62">
        <f t="shared" si="35"/>
        <v>23.280899999999999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6"/>
        <v>0201-01</v>
      </c>
      <c r="AE113" s="85" t="str">
        <f t="shared" si="37"/>
        <v>aws s3 cp s3://rtdc.mdm.uploadarchive.raw/RTDC4024/ "%USERPROFILE%\AppData\Local\Temp\OnboardLogs"\RTDC4024\2017-03-01 --exclude "*" --recursive --include "*20170301*" &amp; "%USERPROFILE%\Documents\GitHub\mrs-test-scripts\Headless Mode &amp; Sideloading\WalkAndUnGZ.bat" "%USERPROFILE%\AppData\Local\Temp\OnboardLogs"\RTDC4024\2017-03-01 &amp; aws s3 cp s3://rtdc.mdm.uploadarchive.raw/RTDC4024/ "%USERPROFILE%\AppData\Local\Temp\OnboardLogs"\RTDC4024\2017-03-02 --exclude "*" --recursive --include "*20170302*" &amp; "%USERPROFILE%\Documents\GitHub\mrs-test-scripts\Headless Mode &amp; Sideloading\WalkAndUnGZ.bat" "%USERPROFILE%\AppData\Local\Temp\OnboardLogs"\RTDC4024\2017-03-02</v>
      </c>
      <c r="AF113" s="82" t="str">
        <f t="shared" si="38"/>
        <v>"C:\Program Files (x86)\AstroGrep\AstroGrep.exe" /spath="%USERPROFILE%\AppData\Local\Temp\OnboardLogs" /stypes="app*4024*20170301*" /stext=" 23:.+((SYSTEM_STATE.+slice.+state.+changed )|(ment ac)|(multiple cpu faults)|(system.+state.+changed )|(\[timeout)|(PRM\|1\|D)|(kpr)|(kdp)|(\|lc)|(penalty))" /e /r /s</v>
      </c>
      <c r="AG113" s="1" t="str">
        <f t="shared" si="39"/>
        <v>EC</v>
      </c>
      <c r="AH113" s="86" t="str">
        <f t="shared" si="40"/>
        <v>"%USERPROFILE%\Documents\GitHub\eaglep3\Utilities\RefineRTDCRunTimes.py" --tripid 201-01 --locoid 4024 --swversion DE.1.0.9.0 --startMP 204:486 --initTime 2017-03-01T16:12:34 --startdatetime 2017-03-01T16:15:14 --delay 1 --endMP 204:233295 --enddatetime 2017-03-01T16:53:09 --enforcementcount 0 &gt;&gt;C:\Users\stu\Documents\GitHub\eaglep3-reporting\EC\2017-03-01-refined-times.txt</v>
      </c>
      <c r="AI113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{"issue":{"subject":"","project_id":79,"tracker_id":40,"status_id":1,"priority_id":2,"assigned_to_id":23,"start_date":"2017-03-01","description":"","custom_fields":[{"id":1,"name":"Subdivision","value":"EC"},{"id":4,"name":"Milepost","value":"23.3295"},{"id":17,"name":"Train ID","value":"201-01"},{"id":16,"name":"Locomotive ID","value":"4024"},{"id":130,"name":"Impact","value":""},{"id":150,"name":"Time of Event (Mountain Time)","value":"16:53:09"},{"id":151,"name":"Denver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2"/>
        <v>start /low /b %USERPROFILE%\Documents\GitHub\eaglep3\Utilities\DownloadLogsFromS3.py --loco 4024 --day 2017-03-01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"%USERPROFILE%\AppData\Local\Temp\OnboardLogs"\RTDC4024\*4024*20170301* | grep -SE "(Enforcement Action)|(\[TIMEOUT)|(CHR.+\|PRM\|1\|D.+(SWITCH|SIGNAL).+UNKNOWN)" - &gt;&gt; 2017-03-01-UncaughtWiMAX.txt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463</v>
      </c>
      <c r="B114" s="7">
        <v>4023</v>
      </c>
      <c r="C114" s="21" t="s">
        <v>266</v>
      </c>
      <c r="D114" s="21" t="s">
        <v>411</v>
      </c>
      <c r="E114" s="13">
        <v>42795.711678240739</v>
      </c>
      <c r="F114" s="13">
        <v>42795.716168981482</v>
      </c>
      <c r="G114" s="7">
        <v>1</v>
      </c>
      <c r="H114" s="21" t="s">
        <v>348</v>
      </c>
      <c r="I114" s="13">
        <v>42795.744942129626</v>
      </c>
      <c r="J114" s="7">
        <v>0</v>
      </c>
      <c r="K114" s="98" t="str">
        <f t="shared" si="27"/>
        <v>4023/4024</v>
      </c>
      <c r="L114" s="21" t="str">
        <f>VLOOKUP(A114,'Trips&amp;Operators'!$C$1:$G$99999,5,FALSE)</f>
        <v>CLARK KATHLEEN</v>
      </c>
      <c r="M114" s="6">
        <f t="shared" si="28"/>
        <v>2.8773148143955041E-2</v>
      </c>
      <c r="N114" s="7">
        <f t="shared" si="43"/>
        <v>41.433333327295259</v>
      </c>
      <c r="O114" s="7"/>
      <c r="P114" s="7"/>
      <c r="Q114" s="22"/>
      <c r="R114" s="22"/>
      <c r="S114" s="31">
        <f t="shared" si="29"/>
        <v>1</v>
      </c>
      <c r="T114" s="46" t="str">
        <f t="shared" si="30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31"/>
        <v>https://d0f6bd738d7f1b3e5a7ca70fe4ff75f0.us-east-1.aws.found.io/app/kibana#/discover/Steve-Slow-Train-Analysis-(2080s-and-2083s)?_g=(refreshInterval:(display:Off,pause:!f,section:0,value:0),time:(from:'2017-03-01T16:04:49-0700',mode:absolute,to:'2017-03-01T18:52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4" s="187" t="str">
        <f t="shared" si="32"/>
        <v>N</v>
      </c>
      <c r="X114" s="187">
        <f t="shared" si="44"/>
        <v>1</v>
      </c>
      <c r="Y114" s="62">
        <f t="shared" si="33"/>
        <v>23.298100000000002</v>
      </c>
      <c r="Z114" s="62">
        <f t="shared" si="45"/>
        <v>1.61E-2</v>
      </c>
      <c r="AA114" s="62">
        <f t="shared" si="35"/>
        <v>23.282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6"/>
        <v>0202-01</v>
      </c>
      <c r="AE114" s="85" t="str">
        <f t="shared" si="37"/>
        <v>aws s3 cp s3://rtdc.mdm.uploadarchive.raw/RTDC4023/ "%USERPROFILE%\AppData\Local\Temp\OnboardLogs"\RTDC4023\2017-03-01 --exclude "*" --recursive --include "*20170301*" &amp; "%USERPROFILE%\Documents\GitHub\mrs-test-scripts\Headless Mode &amp; Sideloading\WalkAndUnGZ.bat" "%USERPROFILE%\AppData\Local\Temp\OnboardLogs"\RTDC4023\2017-03-01 &amp; aws s3 cp s3://rtdc.mdm.uploadarchive.raw/RTDC4023/ "%USERPROFILE%\AppData\Local\Temp\OnboardLogs"\RTDC4023\2017-03-02 --exclude "*" --recursive --include "*20170302*" &amp; "%USERPROFILE%\Documents\GitHub\mrs-test-scripts\Headless Mode &amp; Sideloading\WalkAndUnGZ.bat" "%USERPROFILE%\AppData\Local\Temp\OnboardLogs"\RTDC4023\2017-03-02</v>
      </c>
      <c r="AF114" s="82" t="str">
        <f t="shared" si="38"/>
        <v>"C:\Program Files (x86)\AstroGrep\AstroGrep.exe" /spath="%USERPROFILE%\AppData\Local\Temp\OnboardLogs" /stypes="app*4023*20170302*" /stext=" 00:.+((SYSTEM_STATE.+slice.+state.+changed )|(ment ac)|(multiple cpu faults)|(system.+state.+changed )|(\[timeout)|(PRM\|1\|D)|(kpr)|(kdp)|(\|lc)|(penalty))" /e /r /s</v>
      </c>
      <c r="AG114" s="1" t="str">
        <f t="shared" si="39"/>
        <v>EC</v>
      </c>
      <c r="AH114" s="86" t="str">
        <f t="shared" si="40"/>
        <v>"%USERPROFILE%\Documents\GitHub\eaglep3\Utilities\RefineRTDCRunTimes.py" --tripid 202-01 --locoid 4023 --swversion DE.1.0.9.0 --startMP 204:232981 --initTime 2017-03-01T17:04:49 --startdatetime 2017-03-01T17:11:17 --delay 1 --endMP 204:161 --enddatetime 2017-03-01T17:52:43 --enforcementcount 0 &gt;&gt;C:\Users\stu\Documents\GitHub\eaglep3-reporting\EC\2017-03-01-refined-times.txt</v>
      </c>
      <c r="AI114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{"issue":{"subject":"","project_id":79,"tracker_id":40,"status_id":1,"priority_id":2,"assigned_to_id":23,"start_date":"2017-03-01","description":"","custom_fields":[{"id":1,"name":"Subdivision","value":"EC"},{"id":4,"name":"Milepost","value":"0.0161"},{"id":17,"name":"Train ID","value":"202-01"},{"id":16,"name":"Locomotive ID","value":"4023"},{"id":130,"name":"Impact","value":""},{"id":150,"name":"Time of Event (Mountain Time)","value":"17:52:43"},{"id":151,"name":"Denver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2"/>
        <v>start /low /b %USERPROFILE%\Documents\GitHub\eaglep3\Utilities\DownloadLogsFromS3.py --loco 4023 --day 2017-03-01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"%USERPROFILE%\AppData\Local\Temp\OnboardLogs"\RTDC4023\*4023*20170302* | grep -SE "(Enforcement Action)|(\[TIMEOUT)|(CHR.+\|PRM\|1\|D.+(SWITCH|SIGNAL).+UNKNOWN)" - &gt;&gt; 2017-03-01-UncaughtWiMAX.txt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604</v>
      </c>
      <c r="B115" s="7">
        <v>4011</v>
      </c>
      <c r="C115" s="21" t="s">
        <v>266</v>
      </c>
      <c r="D115" s="21" t="s">
        <v>224</v>
      </c>
      <c r="E115" s="13">
        <v>42795.6877662037</v>
      </c>
      <c r="F115" s="13">
        <v>42795.68954861111</v>
      </c>
      <c r="G115" s="7">
        <v>1</v>
      </c>
      <c r="H115" s="21" t="s">
        <v>705</v>
      </c>
      <c r="I115" s="13">
        <v>42795.716597222221</v>
      </c>
      <c r="J115" s="7">
        <v>0</v>
      </c>
      <c r="K115" s="98" t="str">
        <f t="shared" si="27"/>
        <v>4011/4012</v>
      </c>
      <c r="L115" s="21" t="str">
        <f>VLOOKUP(A115,'Trips&amp;Operators'!$C$1:$G$99999,5,FALSE)</f>
        <v>DAVIS MICHAEL</v>
      </c>
      <c r="M115" s="6">
        <f t="shared" si="28"/>
        <v>2.7048611111240461E-2</v>
      </c>
      <c r="N115" s="7">
        <f t="shared" si="43"/>
        <v>38.950000000186265</v>
      </c>
      <c r="O115" s="7"/>
      <c r="P115" s="7"/>
      <c r="Q115" s="22"/>
      <c r="R115" s="22"/>
      <c r="S115" s="31">
        <f t="shared" si="29"/>
        <v>1</v>
      </c>
      <c r="T115" s="46" t="str">
        <f t="shared" si="30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31"/>
        <v>https://d0f6bd738d7f1b3e5a7ca70fe4ff75f0.us-east-1.aws.found.io/app/kibana#/discover/Steve-Slow-Train-Analysis-(2080s-and-2083s)?_g=(refreshInterval:(display:Off,pause:!f,section:0,value:0),time:(from:'2017-03-01T15:30:23-0700',mode:absolute,to:'2017-03-01T18:11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5" s="187" t="str">
        <f t="shared" si="32"/>
        <v>N</v>
      </c>
      <c r="X115" s="187">
        <f t="shared" si="44"/>
        <v>1</v>
      </c>
      <c r="Y115" s="62">
        <f t="shared" si="33"/>
        <v>4.5100000000000001E-2</v>
      </c>
      <c r="Z115" s="62">
        <f t="shared" si="45"/>
        <v>23.3278</v>
      </c>
      <c r="AA115" s="62">
        <f t="shared" si="35"/>
        <v>23.282699999999998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6"/>
        <v>0203-01</v>
      </c>
      <c r="AE115" s="85" t="str">
        <f t="shared" si="37"/>
        <v>aws s3 cp s3://rtdc.mdm.uploadarchive.raw/RTDC4011/ "%USERPROFILE%\AppData\Local\Temp\OnboardLogs"\RTDC4011\2017-03-01 --exclude "*" --recursive --include "*20170301*" &amp; "%USERPROFILE%\Documents\GitHub\mrs-test-scripts\Headless Mode &amp; Sideloading\WalkAndUnGZ.bat" "%USERPROFILE%\AppData\Local\Temp\OnboardLogs"\RTDC4011\2017-03-01 &amp; aws s3 cp s3://rtdc.mdm.uploadarchive.raw/RTDC4011/ "%USERPROFILE%\AppData\Local\Temp\OnboardLogs"\RTDC4011\2017-03-02 --exclude "*" --recursive --include "*20170302*" &amp; "%USERPROFILE%\Documents\GitHub\mrs-test-scripts\Headless Mode &amp; Sideloading\WalkAndUnGZ.bat" "%USERPROFILE%\AppData\Local\Temp\OnboardLogs"\RTDC4011\2017-03-02</v>
      </c>
      <c r="AF115" s="82" t="str">
        <f t="shared" si="38"/>
        <v>"C:\Program Files (x86)\AstroGrep\AstroGrep.exe" /spath="%USERPROFILE%\AppData\Local\Temp\OnboardLogs" /stypes="app*4011*20170302*" /stext=" 00:.+((SYSTEM_STATE.+slice.+state.+changed )|(ment ac)|(multiple cpu faults)|(system.+state.+changed )|(\[timeout)|(PRM\|1\|D)|(kpr)|(kdp)|(\|lc)|(penalty))" /e /r /s</v>
      </c>
      <c r="AG115" s="1" t="str">
        <f t="shared" si="39"/>
        <v>EC</v>
      </c>
      <c r="AH115" s="86" t="str">
        <f t="shared" si="40"/>
        <v>"%USERPROFILE%\Documents\GitHub\eaglep3\Utilities\RefineRTDCRunTimes.py" --tripid 203-01 --locoid 4011 --swversion DE.1.0.9.0 --startMP 204:451 --initTime 2017-03-01T16:30:23 --startdatetime 2017-03-01T16:32:57 --delay 1 --endMP 204:233278 --enddatetime 2017-03-01T17:11:54 --enforcementcount 0 &gt;&gt;C:\Users\stu\Documents\GitHub\eaglep3-reporting\EC\2017-03-01-refined-times.txt</v>
      </c>
      <c r="AI115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{"issue":{"subject":"","project_id":79,"tracker_id":40,"status_id":1,"priority_id":2,"assigned_to_id":23,"start_date":"2017-03-01","description":"","custom_fields":[{"id":1,"name":"Subdivision","value":"EC"},{"id":4,"name":"Milepost","value":"23.3278"},{"id":17,"name":"Train ID","value":"203-01"},{"id":16,"name":"Locomotive ID","value":"4011"},{"id":130,"name":"Impact","value":""},{"id":150,"name":"Time of Event (Mountain Time)","value":"17:11:54"},{"id":151,"name":"Denver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2"/>
        <v>start /low /b %USERPROFILE%\Documents\GitHub\eaglep3\Utilities\DownloadLogsFromS3.py --loco 4011 --day 2017-03-01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"%USERPROFILE%\AppData\Local\Temp\OnboardLogs"\RTDC4011\*4011*20170301* | grep -SE "(Enforcement Action)|(\[TIMEOUT)|(CHR.+\|PRM\|1\|D.+(SWITCH|SIGNAL).+UNKNOWN)" - &gt;&gt; 2017-03-01-UncaughtWiMAX.txt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613</v>
      </c>
      <c r="B116" s="7">
        <v>4012</v>
      </c>
      <c r="C116" s="21" t="s">
        <v>266</v>
      </c>
      <c r="D116" s="21" t="s">
        <v>318</v>
      </c>
      <c r="E116" s="13">
        <v>42795.724722222221</v>
      </c>
      <c r="F116" s="13">
        <v>42795.7266087963</v>
      </c>
      <c r="G116" s="7">
        <v>1</v>
      </c>
      <c r="H116" s="21" t="s">
        <v>196</v>
      </c>
      <c r="I116" s="13">
        <v>42795.756273148145</v>
      </c>
      <c r="J116" s="7">
        <v>0</v>
      </c>
      <c r="K116" s="98" t="str">
        <f t="shared" si="27"/>
        <v>4011/4012</v>
      </c>
      <c r="L116" s="21" t="str">
        <f>VLOOKUP(A116,'Trips&amp;Operators'!$C$1:$G$99999,5,FALSE)</f>
        <v>DAVIS MICHAEL</v>
      </c>
      <c r="M116" s="6">
        <f t="shared" si="28"/>
        <v>2.9664351844985504E-2</v>
      </c>
      <c r="N116" s="7">
        <f t="shared" si="43"/>
        <v>42.716666656779125</v>
      </c>
      <c r="O116" s="7"/>
      <c r="P116" s="7"/>
      <c r="Q116" s="22"/>
      <c r="R116" s="22"/>
      <c r="S116" s="31">
        <f t="shared" si="29"/>
        <v>1</v>
      </c>
      <c r="T116" s="46" t="str">
        <f t="shared" si="30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31"/>
        <v>https://d0f6bd738d7f1b3e5a7ca70fe4ff75f0.us-east-1.aws.found.io/app/kibana#/discover/Steve-Slow-Train-Analysis-(2080s-and-2083s)?_g=(refreshInterval:(display:Off,pause:!f,section:0,value:0),time:(from:'2017-03-01T16:23:36-0700',mode:absolute,to:'2017-03-01T19:09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6" s="187" t="str">
        <f t="shared" si="32"/>
        <v>N</v>
      </c>
      <c r="X116" s="187">
        <f t="shared" si="44"/>
        <v>1</v>
      </c>
      <c r="Y116" s="62">
        <f t="shared" si="33"/>
        <v>23.297499999999999</v>
      </c>
      <c r="Z116" s="62">
        <f t="shared" si="45"/>
        <v>1.4500000000000001E-2</v>
      </c>
      <c r="AA116" s="62">
        <f t="shared" si="35"/>
        <v>23.282999999999998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6"/>
        <v>0204-01</v>
      </c>
      <c r="AE116" s="85" t="str">
        <f t="shared" si="37"/>
        <v>aws s3 cp s3://rtdc.mdm.uploadarchive.raw/RTDC4012/ "%USERPROFILE%\AppData\Local\Temp\OnboardLogs"\RTDC4012\2017-03-01 --exclude "*" --recursive --include "*20170301*" &amp; "%USERPROFILE%\Documents\GitHub\mrs-test-scripts\Headless Mode &amp; Sideloading\WalkAndUnGZ.bat" "%USERPROFILE%\AppData\Local\Temp\OnboardLogs"\RTDC4012\2017-03-01 &amp; aws s3 cp s3://rtdc.mdm.uploadarchive.raw/RTDC4012/ "%USERPROFILE%\AppData\Local\Temp\OnboardLogs"\RTDC4012\2017-03-02 --exclude "*" --recursive --include "*20170302*" &amp; "%USERPROFILE%\Documents\GitHub\mrs-test-scripts\Headless Mode &amp; Sideloading\WalkAndUnGZ.bat" "%USERPROFILE%\AppData\Local\Temp\OnboardLogs"\RTDC4012\2017-03-02</v>
      </c>
      <c r="AF116" s="82" t="str">
        <f t="shared" si="38"/>
        <v>"C:\Program Files (x86)\AstroGrep\AstroGrep.exe" /spath="%USERPROFILE%\AppData\Local\Temp\OnboardLogs" /stypes="app*4012*20170302*" /stext=" 01:.+((SYSTEM_STATE.+slice.+state.+changed )|(ment ac)|(multiple cpu faults)|(system.+state.+changed )|(\[timeout)|(PRM\|1\|D)|(kpr)|(kdp)|(\|lc)|(penalty))" /e /r /s</v>
      </c>
      <c r="AG116" s="1" t="str">
        <f t="shared" si="39"/>
        <v>EC</v>
      </c>
      <c r="AH116" s="86" t="str">
        <f t="shared" si="40"/>
        <v>"%USERPROFILE%\Documents\GitHub\eaglep3\Utilities\RefineRTDCRunTimes.py" --tripid 204-01 --locoid 4012 --swversion DE.1.0.9.0 --startMP 204:232975 --initTime 2017-03-01T17:23:36 --startdatetime 2017-03-01T17:26:19 --delay 1 --endMP 204:145 --enddatetime 2017-03-01T18:09:02 --enforcementcount 0 &gt;&gt;C:\Users\stu\Documents\GitHub\eaglep3-reporting\EC\2017-03-01-refined-times.txt</v>
      </c>
      <c r="AI116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{"issue":{"subject":"","project_id":79,"tracker_id":40,"status_id":1,"priority_id":2,"assigned_to_id":23,"start_date":"2017-03-01","description":"","custom_fields":[{"id":1,"name":"Subdivision","value":"EC"},{"id":4,"name":"Milepost","value":"0.0145"},{"id":17,"name":"Train ID","value":"204-01"},{"id":16,"name":"Locomotive ID","value":"4012"},{"id":130,"name":"Impact","value":""},{"id":150,"name":"Time of Event (Mountain Time)","value":"18:09:02"},{"id":151,"name":"Denver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2"/>
        <v>start /low /b %USERPROFILE%\Documents\GitHub\eaglep3\Utilities\DownloadLogsFromS3.py --loco 4012 --day 2017-03-01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"%USERPROFILE%\AppData\Local\Temp\OnboardLogs"\RTDC4012\*4012*20170302* | grep -SE "(Enforcement Action)|(\[TIMEOUT)|(CHR.+\|PRM\|1\|D.+(SWITCH|SIGNAL).+UNKNOWN)" - &gt;&gt; 2017-03-01-UncaughtWiMAX.txt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607</v>
      </c>
      <c r="B117" s="7">
        <v>4029</v>
      </c>
      <c r="C117" s="21" t="s">
        <v>266</v>
      </c>
      <c r="D117" s="21" t="s">
        <v>235</v>
      </c>
      <c r="E117" s="13">
        <v>42795.695462962962</v>
      </c>
      <c r="F117" s="13">
        <v>42795.698263888888</v>
      </c>
      <c r="G117" s="7">
        <v>1</v>
      </c>
      <c r="H117" s="21" t="s">
        <v>735</v>
      </c>
      <c r="I117" s="13">
        <v>42795.724363425928</v>
      </c>
      <c r="J117" s="7">
        <v>0</v>
      </c>
      <c r="K117" s="98" t="str">
        <f t="shared" si="27"/>
        <v>4029/4030</v>
      </c>
      <c r="L117" s="21" t="str">
        <f>VLOOKUP(A117,'Trips&amp;Operators'!$C$1:$G$99999,5,FALSE)</f>
        <v>LEVERE CRAIG</v>
      </c>
      <c r="M117" s="6">
        <f t="shared" si="28"/>
        <v>2.6099537040863652E-2</v>
      </c>
      <c r="N117" s="7">
        <f t="shared" si="43"/>
        <v>37.583333338843659</v>
      </c>
      <c r="O117" s="7"/>
      <c r="P117" s="7"/>
      <c r="Q117" s="22"/>
      <c r="R117" s="22"/>
      <c r="S117" s="31">
        <f t="shared" si="29"/>
        <v>1</v>
      </c>
      <c r="T117" s="46" t="str">
        <f t="shared" si="30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31"/>
        <v>https://d0f6bd738d7f1b3e5a7ca70fe4ff75f0.us-east-1.aws.found.io/app/kibana#/discover/Steve-Slow-Train-Analysis-(2080s-and-2083s)?_g=(refreshInterval:(display:Off,pause:!f,section:0,value:0),time:(from:'2017-03-01T15:41:28-0700',mode:absolute,to:'2017-03-01T18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7" s="187" t="str">
        <f t="shared" si="32"/>
        <v>N</v>
      </c>
      <c r="X117" s="187">
        <f t="shared" si="44"/>
        <v>1</v>
      </c>
      <c r="Y117" s="62">
        <f t="shared" si="33"/>
        <v>4.53E-2</v>
      </c>
      <c r="Z117" s="62">
        <f t="shared" si="45"/>
        <v>23.326799999999999</v>
      </c>
      <c r="AA117" s="62">
        <f t="shared" si="35"/>
        <v>23.281499999999998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6"/>
        <v>0205-01</v>
      </c>
      <c r="AE117" s="85" t="str">
        <f t="shared" si="37"/>
        <v>aws s3 cp s3://rtdc.mdm.uploadarchive.raw/RTDC4029/ "%USERPROFILE%\AppData\Local\Temp\OnboardLogs"\RTDC4029\2017-03-01 --exclude "*" --recursive --include "*20170301*" &amp; "%USERPROFILE%\Documents\GitHub\mrs-test-scripts\Headless Mode &amp; Sideloading\WalkAndUnGZ.bat" "%USERPROFILE%\AppData\Local\Temp\OnboardLogs"\RTDC4029\2017-03-01 &amp; aws s3 cp s3://rtdc.mdm.uploadarchive.raw/RTDC4029/ "%USERPROFILE%\AppData\Local\Temp\OnboardLogs"\RTDC4029\2017-03-02 --exclude "*" --recursive --include "*20170302*" &amp; "%USERPROFILE%\Documents\GitHub\mrs-test-scripts\Headless Mode &amp; Sideloading\WalkAndUnGZ.bat" "%USERPROFILE%\AppData\Local\Temp\OnboardLogs"\RTDC4029\2017-03-02</v>
      </c>
      <c r="AF117" s="82" t="str">
        <f t="shared" si="38"/>
        <v>"C:\Program Files (x86)\AstroGrep\AstroGrep.exe" /spath="%USERPROFILE%\AppData\Local\Temp\OnboardLogs" /stypes="app*4029*20170302*" /stext=" 00:.+((SYSTEM_STATE.+slice.+state.+changed )|(ment ac)|(multiple cpu faults)|(system.+state.+changed )|(\[timeout)|(PRM\|1\|D)|(kpr)|(kdp)|(\|lc)|(penalty))" /e /r /s</v>
      </c>
      <c r="AG117" s="1" t="str">
        <f t="shared" si="39"/>
        <v>EC</v>
      </c>
      <c r="AH117" s="86" t="str">
        <f t="shared" si="40"/>
        <v>"%USERPROFILE%\Documents\GitHub\eaglep3\Utilities\RefineRTDCRunTimes.py" --tripid 205-01 --locoid 4029 --swversion DE.1.0.9.0 --startMP 204:453 --initTime 2017-03-01T16:41:28 --startdatetime 2017-03-01T16:45:30 --delay 1 --endMP 204:233268 --enddatetime 2017-03-01T17:23:05 --enforcementcount 0 &gt;&gt;C:\Users\stu\Documents\GitHub\eaglep3-reporting\EC\2017-03-01-refined-times.txt</v>
      </c>
      <c r="AI117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{"issue":{"subject":"","project_id":79,"tracker_id":40,"status_id":1,"priority_id":2,"assigned_to_id":23,"start_date":"2017-03-01","description":"","custom_fields":[{"id":1,"name":"Subdivision","value":"EC"},{"id":4,"name":"Milepost","value":"23.3268"},{"id":17,"name":"Train ID","value":"205-01"},{"id":16,"name":"Locomotive ID","value":"4029"},{"id":130,"name":"Impact","value":""},{"id":150,"name":"Time of Event (Mountain Time)","value":"17:23:05"},{"id":151,"name":"Denver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2"/>
        <v>start /low /b %USERPROFILE%\Documents\GitHub\eaglep3\Utilities\DownloadLogsFromS3.py --loco 4029 --day 2017-03-01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"%USERPROFILE%\AppData\Local\Temp\OnboardLogs"\RTDC4029\*4029*20170302* | grep -SE "(Enforcement Action)|(\[TIMEOUT)|(CHR.+\|PRM\|1\|D.+(SWITCH|SIGNAL).+UNKNOWN)" - &gt;&gt; 2017-03-01-UncaughtWiMAX.txt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615</v>
      </c>
      <c r="B118" s="7">
        <v>4030</v>
      </c>
      <c r="C118" s="21" t="s">
        <v>266</v>
      </c>
      <c r="D118" s="21" t="s">
        <v>736</v>
      </c>
      <c r="E118" s="13">
        <v>42795.730740740742</v>
      </c>
      <c r="F118" s="13">
        <v>42795.73710648148</v>
      </c>
      <c r="G118" s="7">
        <v>1</v>
      </c>
      <c r="H118" s="21" t="s">
        <v>203</v>
      </c>
      <c r="I118" s="13">
        <v>42795.767939814818</v>
      </c>
      <c r="J118" s="7">
        <v>0</v>
      </c>
      <c r="K118" s="98" t="str">
        <f t="shared" si="27"/>
        <v>4029/4030</v>
      </c>
      <c r="L118" s="21" t="str">
        <f>VLOOKUP(A118,'Trips&amp;Operators'!$C$1:$G$99999,5,FALSE)</f>
        <v>LEVERE CRAIG</v>
      </c>
      <c r="M118" s="6">
        <f t="shared" si="28"/>
        <v>3.0833333337795921E-2</v>
      </c>
      <c r="N118" s="7">
        <f t="shared" si="43"/>
        <v>44.400000006426126</v>
      </c>
      <c r="O118" s="7"/>
      <c r="P118" s="7"/>
      <c r="Q118" s="22"/>
      <c r="R118" s="22"/>
      <c r="S118" s="31">
        <f t="shared" si="29"/>
        <v>1</v>
      </c>
      <c r="T118" s="46" t="str">
        <f t="shared" si="30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31"/>
        <v>https://d0f6bd738d7f1b3e5a7ca70fe4ff75f0.us-east-1.aws.found.io/app/kibana#/discover/Steve-Slow-Train-Analysis-(2080s-and-2083s)?_g=(refreshInterval:(display:Off,pause:!f,section:0,value:0),time:(from:'2017-03-01T16:32:16-0700',mode:absolute,to:'2017-03-01T19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8" s="187" t="str">
        <f t="shared" si="32"/>
        <v>N</v>
      </c>
      <c r="X118" s="187">
        <f t="shared" si="44"/>
        <v>1</v>
      </c>
      <c r="Y118" s="62">
        <f t="shared" si="33"/>
        <v>23.2972</v>
      </c>
      <c r="Z118" s="62">
        <f t="shared" si="45"/>
        <v>1.6E-2</v>
      </c>
      <c r="AA118" s="62">
        <f t="shared" si="35"/>
        <v>23.281200000000002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6"/>
        <v>0206-01</v>
      </c>
      <c r="AE118" s="85" t="str">
        <f t="shared" si="37"/>
        <v>aws s3 cp s3://rtdc.mdm.uploadarchive.raw/RTDC4030/ "%USERPROFILE%\AppData\Local\Temp\OnboardLogs"\RTDC4030\2017-03-01 --exclude "*" --recursive --include "*20170301*" &amp; "%USERPROFILE%\Documents\GitHub\mrs-test-scripts\Headless Mode &amp; Sideloading\WalkAndUnGZ.bat" "%USERPROFILE%\AppData\Local\Temp\OnboardLogs"\RTDC4030\2017-03-01 &amp; aws s3 cp s3://rtdc.mdm.uploadarchive.raw/RTDC4030/ "%USERPROFILE%\AppData\Local\Temp\OnboardLogs"\RTDC4030\2017-03-02 --exclude "*" --recursive --include "*20170302*" &amp; "%USERPROFILE%\Documents\GitHub\mrs-test-scripts\Headless Mode &amp; Sideloading\WalkAndUnGZ.bat" "%USERPROFILE%\AppData\Local\Temp\OnboardLogs"\RTDC4030\2017-03-02</v>
      </c>
      <c r="AF118" s="82" t="str">
        <f t="shared" si="38"/>
        <v>"C:\Program Files (x86)\AstroGrep\AstroGrep.exe" /spath="%USERPROFILE%\AppData\Local\Temp\OnboardLogs" /stypes="app*4030*20170302*" /stext=" 01:.+((SYSTEM_STATE.+slice.+state.+changed )|(ment ac)|(multiple cpu faults)|(system.+state.+changed )|(\[timeout)|(PRM\|1\|D)|(kpr)|(kdp)|(\|lc)|(penalty))" /e /r /s</v>
      </c>
      <c r="AG118" s="1" t="str">
        <f t="shared" si="39"/>
        <v>EC</v>
      </c>
      <c r="AH118" s="86" t="str">
        <f t="shared" si="40"/>
        <v>"%USERPROFILE%\Documents\GitHub\eaglep3\Utilities\RefineRTDCRunTimes.py" --tripid 206-01 --locoid 4030 --swversion DE.1.0.9.0 --startMP 204:232972 --initTime 2017-03-01T17:32:16 --startdatetime 2017-03-01T17:41:26 --delay 1 --endMP 204:160 --enddatetime 2017-03-01T18:25:50 --enforcementcount 0 &gt;&gt;C:\Users\stu\Documents\GitHub\eaglep3-reporting\EC\2017-03-01-refined-times.txt</v>
      </c>
      <c r="AI118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{"issue":{"subject":"","project_id":79,"tracker_id":40,"status_id":1,"priority_id":2,"assigned_to_id":23,"start_date":"2017-03-01","description":"","custom_fields":[{"id":1,"name":"Subdivision","value":"EC"},{"id":4,"name":"Milepost","value":"0.016"},{"id":17,"name":"Train ID","value":"206-01"},{"id":16,"name":"Locomotive ID","value":"4030"},{"id":130,"name":"Impact","value":""},{"id":150,"name":"Time of Event (Mountain Time)","value":"18:25:50"},{"id":151,"name":"Denver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2"/>
        <v>start /low /b %USERPROFILE%\Documents\GitHub\eaglep3\Utilities\DownloadLogsFromS3.py --loco 4030 --day 2017-03-01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"%USERPROFILE%\AppData\Local\Temp\OnboardLogs"\RTDC4030\*4030*20170302* | grep -SE "(Enforcement Action)|(\[TIMEOUT)|(CHR.+\|PRM\|1\|D.+(SWITCH|SIGNAL).+UNKNOWN)" - &gt;&gt; 2017-03-01-UncaughtWiMAX.txt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610</v>
      </c>
      <c r="B119" s="7">
        <v>4022</v>
      </c>
      <c r="C119" s="21" t="s">
        <v>266</v>
      </c>
      <c r="D119" s="21" t="s">
        <v>228</v>
      </c>
      <c r="E119" s="13">
        <v>42795.706030092595</v>
      </c>
      <c r="F119" s="13">
        <v>42795.708518518521</v>
      </c>
      <c r="G119" s="7">
        <v>1</v>
      </c>
      <c r="H119" s="21" t="s">
        <v>412</v>
      </c>
      <c r="I119" s="13">
        <v>42795.734768518516</v>
      </c>
      <c r="J119" s="7">
        <v>0</v>
      </c>
      <c r="K119" s="98" t="str">
        <f t="shared" si="27"/>
        <v>4021/4022</v>
      </c>
      <c r="L119" s="21" t="str">
        <f>VLOOKUP(A119,'Trips&amp;Operators'!$C$1:$G$99999,5,FALSE)</f>
        <v>HELVIE ADAM</v>
      </c>
      <c r="M119" s="6">
        <f t="shared" si="28"/>
        <v>2.6249999995343387E-2</v>
      </c>
      <c r="N119" s="7">
        <f t="shared" si="43"/>
        <v>37.799999993294477</v>
      </c>
      <c r="O119" s="7"/>
      <c r="P119" s="7"/>
      <c r="Q119" s="22"/>
      <c r="R119" s="22"/>
      <c r="S119" s="31">
        <f t="shared" si="29"/>
        <v>1</v>
      </c>
      <c r="T119" s="46" t="str">
        <f t="shared" si="30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31"/>
        <v>https://d0f6bd738d7f1b3e5a7ca70fe4ff75f0.us-east-1.aws.found.io/app/kibana#/discover/Steve-Slow-Train-Analysis-(2080s-and-2083s)?_g=(refreshInterval:(display:Off,pause:!f,section:0,value:0),time:(from:'2017-03-01T15:56:41-0700',mode:absolute,to:'2017-03-01T18:38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9" s="187" t="str">
        <f t="shared" si="32"/>
        <v>N</v>
      </c>
      <c r="X119" s="187">
        <f t="shared" si="44"/>
        <v>1</v>
      </c>
      <c r="Y119" s="62">
        <f t="shared" si="33"/>
        <v>4.5999999999999999E-2</v>
      </c>
      <c r="Z119" s="62">
        <f t="shared" si="45"/>
        <v>23.327400000000001</v>
      </c>
      <c r="AA119" s="62">
        <f t="shared" si="35"/>
        <v>23.281400000000001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6"/>
        <v>0207-01</v>
      </c>
      <c r="AE119" s="85" t="str">
        <f t="shared" si="37"/>
        <v>aws s3 cp s3://rtdc.mdm.uploadarchive.raw/RTDC4022/ "%USERPROFILE%\AppData\Local\Temp\OnboardLogs"\RTDC4022\2017-03-01 --exclude "*" --recursive --include "*20170301*" &amp; "%USERPROFILE%\Documents\GitHub\mrs-test-scripts\Headless Mode &amp; Sideloading\WalkAndUnGZ.bat" "%USERPROFILE%\AppData\Local\Temp\OnboardLogs"\RTDC4022\2017-03-01 &amp; 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</v>
      </c>
      <c r="AF119" s="82" t="str">
        <f t="shared" si="38"/>
        <v>"C:\Program Files (x86)\AstroGrep\AstroGrep.exe" /spath="%USERPROFILE%\AppData\Local\Temp\OnboardLogs" /stypes="app*4022*20170302*" /stext=" 00:.+((SYSTEM_STATE.+slice.+state.+changed )|(ment ac)|(multiple cpu faults)|(system.+state.+changed )|(\[timeout)|(PRM\|1\|D)|(kpr)|(kdp)|(\|lc)|(penalty))" /e /r /s</v>
      </c>
      <c r="AG119" s="1" t="str">
        <f t="shared" si="39"/>
        <v>EC</v>
      </c>
      <c r="AH119" s="86" t="str">
        <f t="shared" si="40"/>
        <v>"%USERPROFILE%\Documents\GitHub\eaglep3\Utilities\RefineRTDCRunTimes.py" --tripid 207-01 --locoid 4022 --swversion DE.1.0.9.0 --startMP 204:460 --initTime 2017-03-01T16:56:41 --startdatetime 2017-03-01T17:00:16 --delay 1 --endMP 204:233274 --enddatetime 2017-03-01T17:38:04 --enforcementcount 0 &gt;&gt;C:\Users\stu\Documents\GitHub\eaglep3-reporting\EC\2017-03-01-refined-times.txt</v>
      </c>
      <c r="AI119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{"issue":{"subject":"","project_id":79,"tracker_id":40,"status_id":1,"priority_id":2,"assigned_to_id":23,"start_date":"2017-03-01","description":"","custom_fields":[{"id":1,"name":"Subdivision","value":"EC"},{"id":4,"name":"Milepost","value":"23.3274"},{"id":17,"name":"Train ID","value":"207-01"},{"id":16,"name":"Locomotive ID","value":"4022"},{"id":130,"name":"Impact","value":""},{"id":150,"name":"Time of Event (Mountain Time)","value":"17:38:04"},{"id":151,"name":"Denver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2"/>
        <v>start /low /b %USERPROFILE%\Documents\GitHub\eaglep3\Utilities\DownloadLogsFromS3.py --loco 4022 --day 2017-03-01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"%USERPROFILE%\AppData\Local\Temp\OnboardLogs"\RTDC4022\*4022*20170302* | grep -SE "(Enforcement Action)|(\[TIMEOUT)|(CHR.+\|PRM\|1\|D.+(SWITCH|SIGNAL).+UNKNOWN)" - &gt;&gt; 2017-03-01-UncaughtWiMAX.txt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620</v>
      </c>
      <c r="B120" s="7">
        <v>4021</v>
      </c>
      <c r="C120" s="21" t="s">
        <v>266</v>
      </c>
      <c r="D120" s="21" t="s">
        <v>728</v>
      </c>
      <c r="E120" s="13">
        <v>42795.743368055555</v>
      </c>
      <c r="F120" s="13">
        <v>42795.74790509259</v>
      </c>
      <c r="G120" s="7">
        <v>1</v>
      </c>
      <c r="H120" s="21" t="s">
        <v>207</v>
      </c>
      <c r="I120" s="13">
        <v>42795.775451388887</v>
      </c>
      <c r="J120" s="7">
        <v>0</v>
      </c>
      <c r="K120" s="98" t="str">
        <f t="shared" si="27"/>
        <v>4021/4022</v>
      </c>
      <c r="L120" s="21" t="str">
        <f>VLOOKUP(A120,'Trips&amp;Operators'!$C$1:$G$99999,5,FALSE)</f>
        <v>HELVIE ADAM</v>
      </c>
      <c r="M120" s="6">
        <f t="shared" si="28"/>
        <v>2.7546296296350192E-2</v>
      </c>
      <c r="N120" s="7">
        <f t="shared" si="43"/>
        <v>39.666666666744277</v>
      </c>
      <c r="O120" s="7"/>
      <c r="P120" s="7"/>
      <c r="Q120" s="22"/>
      <c r="R120" s="22"/>
      <c r="S120" s="31">
        <f t="shared" si="29"/>
        <v>1</v>
      </c>
      <c r="T120" s="46" t="str">
        <f t="shared" si="30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31"/>
        <v>https://d0f6bd738d7f1b3e5a7ca70fe4ff75f0.us-east-1.aws.found.io/app/kibana#/discover/Steve-Slow-Train-Analysis-(2080s-and-2083s)?_g=(refreshInterval:(display:Off,pause:!f,section:0,value:0),time:(from:'2017-03-01T16:50:27-0700',mode:absolute,to:'2017-03-01T19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0" s="187" t="str">
        <f t="shared" si="32"/>
        <v>N</v>
      </c>
      <c r="X120" s="187">
        <f t="shared" si="44"/>
        <v>1</v>
      </c>
      <c r="Y120" s="62">
        <f t="shared" si="33"/>
        <v>23.296700000000001</v>
      </c>
      <c r="Z120" s="62">
        <f t="shared" si="45"/>
        <v>1.5800000000000002E-2</v>
      </c>
      <c r="AA120" s="62">
        <f t="shared" si="35"/>
        <v>23.280900000000003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6"/>
        <v>0208-01</v>
      </c>
      <c r="AE120" s="85" t="str">
        <f t="shared" si="37"/>
        <v>aws s3 cp s3://rtdc.mdm.uploadarchive.raw/RTDC4021/ "%USERPROFILE%\AppData\Local\Temp\OnboardLogs"\RTDC4021\2017-03-01 --exclude "*" --recursive --include "*20170301*" &amp; "%USERPROFILE%\Documents\GitHub\mrs-test-scripts\Headless Mode &amp; Sideloading\WalkAndUnGZ.bat" "%USERPROFILE%\AppData\Local\Temp\OnboardLogs"\RTDC4021\2017-03-01 &amp; 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</v>
      </c>
      <c r="AF120" s="82" t="str">
        <f t="shared" si="38"/>
        <v>"C:\Program Files (x86)\AstroGrep\AstroGrep.exe" /spath="%USERPROFILE%\AppData\Local\Temp\OnboardLogs" /stypes="app*4021*20170302*" /stext=" 01:.+((SYSTEM_STATE.+slice.+state.+changed )|(ment ac)|(multiple cpu faults)|(system.+state.+changed )|(\[timeout)|(PRM\|1\|D)|(kpr)|(kdp)|(\|lc)|(penalty))" /e /r /s</v>
      </c>
      <c r="AG120" s="1" t="str">
        <f t="shared" si="39"/>
        <v>EC</v>
      </c>
      <c r="AH120" s="86" t="str">
        <f t="shared" si="40"/>
        <v>"%USERPROFILE%\Documents\GitHub\eaglep3\Utilities\RefineRTDCRunTimes.py" --tripid 208-01 --locoid 4021 --swversion DE.1.0.9.0 --startMP 204:232967 --initTime 2017-03-01T17:50:27 --startdatetime 2017-03-01T17:56:59 --delay 1 --endMP 204:158 --enddatetime 2017-03-01T18:36:39 --enforcementcount 0 &gt;&gt;C:\Users\stu\Documents\GitHub\eaglep3-reporting\EC\2017-03-01-refined-times.txt</v>
      </c>
      <c r="AI120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{"issue":{"subject":"","project_id":79,"tracker_id":40,"status_id":1,"priority_id":2,"assigned_to_id":23,"start_date":"2017-03-01","description":"","custom_fields":[{"id":1,"name":"Subdivision","value":"EC"},{"id":4,"name":"Milepost","value":"0.0158"},{"id":17,"name":"Train ID","value":"208-01"},{"id":16,"name":"Locomotive ID","value":"4021"},{"id":130,"name":"Impact","value":""},{"id":150,"name":"Time of Event (Mountain Time)","value":"18:36:39"},{"id":151,"name":"Denver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2"/>
        <v>start /low /b %USERPROFILE%\Documents\GitHub\eaglep3\Utilities\DownloadLogsFromS3.py --loco 4021 --day 2017-03-01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"%USERPROFILE%\AppData\Local\Temp\OnboardLogs"\RTDC4021\*4021*20170302* | grep -SE "(Enforcement Action)|(\[TIMEOUT)|(CHR.+\|PRM\|1\|D.+(SWITCH|SIGNAL).+UNKNOWN)" - &gt;&gt; 2017-03-01-UncaughtWiMAX.txt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611</v>
      </c>
      <c r="B121" s="7">
        <v>4046</v>
      </c>
      <c r="C121" s="21" t="s">
        <v>266</v>
      </c>
      <c r="D121" s="21" t="s">
        <v>261</v>
      </c>
      <c r="E121" s="13">
        <v>42795.715914351851</v>
      </c>
      <c r="F121" s="13">
        <v>42795.719097222223</v>
      </c>
      <c r="G121" s="7">
        <v>2</v>
      </c>
      <c r="H121" s="21" t="s">
        <v>731</v>
      </c>
      <c r="I121" s="13">
        <v>42795.74622685185</v>
      </c>
      <c r="J121" s="7">
        <v>0</v>
      </c>
      <c r="K121" s="98" t="str">
        <f t="shared" si="27"/>
        <v>4045/4046</v>
      </c>
      <c r="L121" s="21" t="str">
        <f>VLOOKUP(A121,'Trips&amp;Operators'!$C$1:$G$99999,5,FALSE)</f>
        <v>DELGADO DIANAH</v>
      </c>
      <c r="M121" s="6">
        <f t="shared" si="28"/>
        <v>2.7129629626870155E-2</v>
      </c>
      <c r="N121" s="7">
        <f t="shared" si="43"/>
        <v>39.066666662693024</v>
      </c>
      <c r="O121" s="7"/>
      <c r="P121" s="7"/>
      <c r="Q121" s="22"/>
      <c r="R121" s="22"/>
      <c r="S121" s="31">
        <f t="shared" si="29"/>
        <v>1</v>
      </c>
      <c r="T121" s="46" t="str">
        <f t="shared" si="30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31"/>
        <v>https://d0f6bd738d7f1b3e5a7ca70fe4ff75f0.us-east-1.aws.found.io/app/kibana#/discover/Steve-Slow-Train-Analysis-(2080s-and-2083s)?_g=(refreshInterval:(display:Off,pause:!f,section:0,value:0),time:(from:'2017-03-01T16:10:55-0700',mode:absolute,to:'2017-03-01T18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1" s="187" t="str">
        <f t="shared" si="32"/>
        <v>N</v>
      </c>
      <c r="X121" s="187">
        <f t="shared" si="44"/>
        <v>1</v>
      </c>
      <c r="Y121" s="62">
        <f t="shared" si="33"/>
        <v>4.6600000000000003E-2</v>
      </c>
      <c r="Z121" s="62">
        <f t="shared" si="45"/>
        <v>23.332699999999999</v>
      </c>
      <c r="AA121" s="62">
        <f t="shared" si="35"/>
        <v>23.286099999999998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6"/>
        <v>0209-01</v>
      </c>
      <c r="AE121" s="85" t="str">
        <f t="shared" si="37"/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AF121" s="82" t="str">
        <f t="shared" si="38"/>
        <v>"C:\Program Files (x86)\AstroGrep\AstroGrep.exe" /spath="%USERPROFILE%\AppData\Local\Temp\OnboardLogs" /stypes="app*4046*20170302*" /stext=" 00:.+((SYSTEM_STATE.+slice.+state.+changed )|(ment ac)|(multiple cpu faults)|(system.+state.+changed )|(\[timeout)|(PRM\|1\|D)|(kpr)|(kdp)|(\|lc)|(penalty))" /e /r /s</v>
      </c>
      <c r="AG121" s="1" t="str">
        <f t="shared" si="39"/>
        <v>EC</v>
      </c>
      <c r="AH121" s="86" t="str">
        <f t="shared" si="40"/>
        <v>"%USERPROFILE%\Documents\GitHub\eaglep3\Utilities\RefineRTDCRunTimes.py" --tripid 209-01 --locoid 4046 --swversion DE.1.0.9.0 --startMP 204:466 --initTime 2017-03-01T17:10:55 --startdatetime 2017-03-01T17:15:30 --delay 2 --endMP 204:233327 --enddatetime 2017-03-01T17:54:34 --enforcementcount 0 &gt;&gt;C:\Users\stu\Documents\GitHub\eaglep3-reporting\EC\2017-03-01-refined-times.txt</v>
      </c>
      <c r="AI121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{"issue":{"subject":"","project_id":79,"tracker_id":40,"status_id":1,"priority_id":2,"assigned_to_id":23,"start_date":"2017-03-01","description":"","custom_fields":[{"id":1,"name":"Subdivision","value":"EC"},{"id":4,"name":"Milepost","value":"23.3327"},{"id":17,"name":"Train ID","value":"209-01"},{"id":16,"name":"Locomotive ID","value":"4046"},{"id":130,"name":"Impact","value":""},{"id":150,"name":"Time of Event (Mountain Time)","value":"17:54:34"},{"id":151,"name":"Denver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2"/>
        <v>start /low /b %USERPROFILE%\Documents\GitHub\eaglep3\Utilities\DownloadLogsFromS3.py --loco 4046 --day 2017-03-01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"%USERPROFILE%\AppData\Local\Temp\OnboardLogs"\RTDC4046\*4046*20170302* | grep -SE "(Enforcement Action)|(\[TIMEOUT)|(CHR.+\|PRM\|1\|D.+(SWITCH|SIGNAL).+UNKNOWN)" - &gt;&gt; 2017-03-01-UncaughtWiMAX.txt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622</v>
      </c>
      <c r="B122" s="7">
        <v>4045</v>
      </c>
      <c r="C122" s="21" t="s">
        <v>266</v>
      </c>
      <c r="D122" s="21" t="s">
        <v>737</v>
      </c>
      <c r="E122" s="13">
        <v>42795.750787037039</v>
      </c>
      <c r="F122" s="13">
        <v>42795.757986111108</v>
      </c>
      <c r="G122" s="7">
        <v>1</v>
      </c>
      <c r="H122" s="21" t="s">
        <v>352</v>
      </c>
      <c r="I122" s="13">
        <v>42795.786006944443</v>
      </c>
      <c r="J122" s="7">
        <v>0</v>
      </c>
      <c r="K122" s="98" t="str">
        <f t="shared" si="27"/>
        <v>4045/4046</v>
      </c>
      <c r="L122" s="21" t="str">
        <f>VLOOKUP(A122,'Trips&amp;Operators'!$C$1:$G$99999,5,FALSE)</f>
        <v>DELGADO DIANAH</v>
      </c>
      <c r="M122" s="6">
        <f t="shared" si="28"/>
        <v>2.8020833335176576E-2</v>
      </c>
      <c r="N122" s="7">
        <f t="shared" si="43"/>
        <v>40.350000002654269</v>
      </c>
      <c r="O122" s="7"/>
      <c r="P122" s="7"/>
      <c r="Q122" s="22"/>
      <c r="R122" s="22"/>
      <c r="S122" s="31">
        <f t="shared" si="29"/>
        <v>1</v>
      </c>
      <c r="T122" s="46" t="str">
        <f t="shared" si="30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31"/>
        <v>https://d0f6bd738d7f1b3e5a7ca70fe4ff75f0.us-east-1.aws.found.io/app/kibana#/discover/Steve-Slow-Train-Analysis-(2080s-and-2083s)?_g=(refreshInterval:(display:Off,pause:!f,section:0,value:0),time:(from:'2017-03-01T17:01:08-0700',mode:absolute,to:'2017-03-01T19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2" s="187" t="str">
        <f t="shared" si="32"/>
        <v>N</v>
      </c>
      <c r="X122" s="187">
        <f t="shared" si="44"/>
        <v>1</v>
      </c>
      <c r="Y122" s="62">
        <f t="shared" si="33"/>
        <v>23.301300000000001</v>
      </c>
      <c r="Z122" s="62">
        <f t="shared" si="45"/>
        <v>1.32E-2</v>
      </c>
      <c r="AA122" s="62">
        <f t="shared" si="35"/>
        <v>23.2881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6"/>
        <v>0210-01</v>
      </c>
      <c r="AE122" s="85" t="str">
        <f t="shared" si="37"/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AF122" s="82" t="str">
        <f t="shared" si="38"/>
        <v>"C:\Program Files (x86)\AstroGrep\AstroGrep.exe" /spath="%USERPROFILE%\AppData\Local\Temp\OnboardLogs" /stypes="app*4045*20170302*" /stext=" 01:.+((SYSTEM_STATE.+slice.+state.+changed )|(ment ac)|(multiple cpu faults)|(system.+state.+changed )|(\[timeout)|(PRM\|1\|D)|(kpr)|(kdp)|(\|lc)|(penalty))" /e /r /s</v>
      </c>
      <c r="AG122" s="1" t="str">
        <f t="shared" si="39"/>
        <v>EC</v>
      </c>
      <c r="AH122" s="86" t="str">
        <f t="shared" si="40"/>
        <v>"%USERPROFILE%\Documents\GitHub\eaglep3\Utilities\RefineRTDCRunTimes.py" --tripid 210-01 --locoid 4045 --swversion DE.1.0.9.0 --startMP 204:233013 --initTime 2017-03-01T18:01:08 --startdatetime 2017-03-01T18:11:30 --delay 1 --endMP 204:132 --enddatetime 2017-03-01T18:51:51 --enforcementcount 0 &gt;&gt;C:\Users\stu\Documents\GitHub\eaglep3-reporting\EC\2017-03-01-refined-times.txt</v>
      </c>
      <c r="AI122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{"issue":{"subject":"","project_id":79,"tracker_id":40,"status_id":1,"priority_id":2,"assigned_to_id":23,"start_date":"2017-03-01","description":"","custom_fields":[{"id":1,"name":"Subdivision","value":"EC"},{"id":4,"name":"Milepost","value":"0.0132"},{"id":17,"name":"Train ID","value":"210-01"},{"id":16,"name":"Locomotive ID","value":"4045"},{"id":130,"name":"Impact","value":""},{"id":150,"name":"Time of Event (Mountain Time)","value":"18:51:51"},{"id":151,"name":"Denver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2"/>
        <v>start /low /b %USERPROFILE%\Documents\GitHub\eaglep3\Utilities\DownloadLogsFromS3.py --loco 4045 --day 2017-03-01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"%USERPROFILE%\AppData\Local\Temp\OnboardLogs"\RTDC4045\*4045*20170302* | grep -SE "(Enforcement Action)|(\[TIMEOUT)|(CHR.+\|PRM\|1\|D.+(SWITCH|SIGNAL).+UNKNOWN)" - &gt;&gt; 2017-03-01-UncaughtWiMAX.txt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614</v>
      </c>
      <c r="B123" s="7">
        <v>4009</v>
      </c>
      <c r="C123" s="21" t="s">
        <v>266</v>
      </c>
      <c r="D123" s="21" t="s">
        <v>404</v>
      </c>
      <c r="E123" s="13">
        <v>42795.724999999999</v>
      </c>
      <c r="F123" s="13">
        <v>42795.768217592595</v>
      </c>
      <c r="G123" s="7">
        <v>1</v>
      </c>
      <c r="H123" s="21" t="s">
        <v>738</v>
      </c>
      <c r="I123" s="13">
        <v>42795.799398148149</v>
      </c>
      <c r="J123" s="7">
        <v>0</v>
      </c>
      <c r="K123" s="98" t="str">
        <f t="shared" si="27"/>
        <v>4009/4010</v>
      </c>
      <c r="L123" s="21" t="str">
        <f>VLOOKUP(A123,'Trips&amp;Operators'!$C$1:$G$99999,5,FALSE)</f>
        <v>SWANSON BRYCE</v>
      </c>
      <c r="M123" s="6">
        <f t="shared" si="28"/>
        <v>3.1180555553874001E-2</v>
      </c>
      <c r="N123" s="7">
        <f t="shared" si="43"/>
        <v>44.899999997578561</v>
      </c>
      <c r="O123" s="7"/>
      <c r="P123" s="7"/>
      <c r="Q123" s="22"/>
      <c r="R123" s="22"/>
      <c r="S123" s="31">
        <f t="shared" si="29"/>
        <v>1</v>
      </c>
      <c r="T123" s="46" t="str">
        <f t="shared" si="30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31"/>
        <v>https://d0f6bd738d7f1b3e5a7ca70fe4ff75f0.us-east-1.aws.found.io/app/kibana#/discover/Steve-Slow-Train-Analysis-(2080s-and-2083s)?_g=(refreshInterval:(display:Off,pause:!f,section:0,value:0),time:(from:'2017-03-01T16:24:00-0700',mode:absolute,to:'2017-03-01T20:11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187" t="str">
        <f t="shared" si="32"/>
        <v>N</v>
      </c>
      <c r="X123" s="187">
        <f t="shared" si="44"/>
        <v>1</v>
      </c>
      <c r="Y123" s="62">
        <f t="shared" si="33"/>
        <v>4.3299999999999998E-2</v>
      </c>
      <c r="Z123" s="62">
        <f t="shared" si="45"/>
        <v>23.325700000000001</v>
      </c>
      <c r="AA123" s="62">
        <f t="shared" si="35"/>
        <v>23.282400000000003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6"/>
        <v>0211-01</v>
      </c>
      <c r="AE123" s="85" t="str">
        <f t="shared" si="37"/>
        <v>aws s3 cp s3://rtdc.mdm.uploadarchive.raw/RTDC4009/ "%USERPROFILE%\AppData\Local\Temp\OnboardLogs"\RTDC4009\2017-03-01 --exclude "*" --recursive --include "*20170301*" &amp; "%USERPROFILE%\Documents\GitHub\mrs-test-scripts\Headless Mode &amp; Sideloading\WalkAndUnGZ.bat" "%USERPROFILE%\AppData\Local\Temp\OnboardLogs"\RTDC4009\2017-03-01 &amp; aws s3 cp s3://rtdc.mdm.uploadarchive.raw/RTDC4009/ "%USERPROFILE%\AppData\Local\Temp\OnboardLogs"\RTDC4009\2017-03-02 --exclude "*" --recursive --include "*20170302*" &amp; "%USERPROFILE%\Documents\GitHub\mrs-test-scripts\Headless Mode &amp; Sideloading\WalkAndUnGZ.bat" "%USERPROFILE%\AppData\Local\Temp\OnboardLogs"\RTDC4009\2017-03-02</v>
      </c>
      <c r="AF123" s="82" t="str">
        <f t="shared" si="38"/>
        <v>"C:\Program Files (x86)\AstroGrep\AstroGrep.exe" /spath="%USERPROFILE%\AppData\Local\Temp\OnboardLogs" /stypes="app*4009*20170302*" /stext=" 02:.+((SYSTEM_STATE.+slice.+state.+changed )|(ment ac)|(multiple cpu faults)|(system.+state.+changed )|(\[timeout)|(PRM\|1\|D)|(kpr)|(kdp)|(\|lc)|(penalty))" /e /r /s</v>
      </c>
      <c r="AG123" s="1" t="str">
        <f t="shared" si="39"/>
        <v>EC</v>
      </c>
      <c r="AH123" s="86" t="str">
        <f t="shared" si="40"/>
        <v>"%USERPROFILE%\Documents\GitHub\eaglep3\Utilities\RefineRTDCRunTimes.py" --tripid 211-01 --locoid 4009 --swversion DE.1.0.9.0 --startMP 204:433 --initTime 2017-03-01T17:24:00 --startdatetime 2017-03-01T18:26:14 --delay 1 --endMP 204:233257 --enddatetime 2017-03-01T19:11:08 --enforcementcount 0 &gt;&gt;C:\Users\stu\Documents\GitHub\eaglep3-reporting\EC\2017-03-01-refined-times.txt</v>
      </c>
      <c r="AI123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{"issue":{"subject":"","project_id":79,"tracker_id":40,"status_id":1,"priority_id":2,"assigned_to_id":23,"start_date":"2017-03-01","description":"","custom_fields":[{"id":1,"name":"Subdivision","value":"EC"},{"id":4,"name":"Milepost","value":"23.3257"},{"id":17,"name":"Train ID","value":"211-01"},{"id":16,"name":"Locomotive ID","value":"4009"},{"id":130,"name":"Impact","value":""},{"id":150,"name":"Time of Event (Mountain Time)","value":"19:11:08"},{"id":151,"name":"Denver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2"/>
        <v>start /low /b %USERPROFILE%\Documents\GitHub\eaglep3\Utilities\DownloadLogsFromS3.py --loco 4009 --day 2017-03-01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"%USERPROFILE%\AppData\Local\Temp\OnboardLogs"\RTDC4009\*4009*20170302* | grep -SE "(Enforcement Action)|(\[TIMEOUT)|(CHR.+\|PRM\|1\|D.+(SWITCH|SIGNAL).+UNKNOWN)" - &gt;&gt; 2017-03-01-UncaughtWiMAX.txt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626</v>
      </c>
      <c r="B124" s="7">
        <v>4010</v>
      </c>
      <c r="C124" s="21" t="s">
        <v>266</v>
      </c>
      <c r="D124" s="21" t="s">
        <v>739</v>
      </c>
      <c r="E124" s="13">
        <v>42795.758576388886</v>
      </c>
      <c r="F124" s="13">
        <v>42795.768217592595</v>
      </c>
      <c r="G124" s="7">
        <v>2</v>
      </c>
      <c r="H124" s="21" t="s">
        <v>258</v>
      </c>
      <c r="I124" s="13">
        <v>42795.799398148149</v>
      </c>
      <c r="J124" s="7">
        <v>0</v>
      </c>
      <c r="K124" s="98" t="str">
        <f t="shared" si="27"/>
        <v>4009/4010</v>
      </c>
      <c r="L124" s="21" t="str">
        <f>VLOOKUP(A124,'Trips&amp;Operators'!$C$1:$G$99999,5,FALSE)</f>
        <v>SWANSON BRYCE</v>
      </c>
      <c r="M124" s="6">
        <f t="shared" si="28"/>
        <v>3.1180555553874001E-2</v>
      </c>
      <c r="N124" s="7">
        <f t="shared" si="43"/>
        <v>44.899999997578561</v>
      </c>
      <c r="O124" s="7"/>
      <c r="P124" s="7"/>
      <c r="Q124" s="22"/>
      <c r="R124" s="22"/>
      <c r="S124" s="31">
        <f t="shared" si="29"/>
        <v>1</v>
      </c>
      <c r="T124" s="46" t="str">
        <f t="shared" si="30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31"/>
        <v>https://d0f6bd738d7f1b3e5a7ca70fe4ff75f0.us-east-1.aws.found.io/app/kibana#/discover/Steve-Slow-Train-Analysis-(2080s-and-2083s)?_g=(refreshInterval:(display:Off,pause:!f,section:0,value:0),time:(from:'2017-03-01T17:12:21-0700',mode:absolute,to:'2017-03-01T20:11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4" s="187" t="str">
        <f t="shared" si="32"/>
        <v>N</v>
      </c>
      <c r="X124" s="187">
        <f t="shared" si="44"/>
        <v>1</v>
      </c>
      <c r="Y124" s="62">
        <f t="shared" si="33"/>
        <v>23.291899999999998</v>
      </c>
      <c r="Z124" s="62">
        <f t="shared" si="45"/>
        <v>1.6299999999999999E-2</v>
      </c>
      <c r="AA124" s="62">
        <f t="shared" si="35"/>
        <v>23.275599999999997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6"/>
        <v>0212-01</v>
      </c>
      <c r="AE124" s="85" t="str">
        <f t="shared" si="37"/>
        <v>aws s3 cp s3://rtdc.mdm.uploadarchive.raw/RTDC4010/ "%USERPROFILE%\AppData\Local\Temp\OnboardLogs"\RTDC4010\2017-03-01 --exclude "*" --recursive --include "*20170301*" &amp; "%USERPROFILE%\Documents\GitHub\mrs-test-scripts\Headless Mode &amp; Sideloading\WalkAndUnGZ.bat" "%USERPROFILE%\AppData\Local\Temp\OnboardLogs"\RTDC4010\2017-03-01 &amp; aws s3 cp s3://rtdc.mdm.uploadarchive.raw/RTDC4010/ "%USERPROFILE%\AppData\Local\Temp\OnboardLogs"\RTDC4010\2017-03-02 --exclude "*" --recursive --include "*20170302*" &amp; "%USERPROFILE%\Documents\GitHub\mrs-test-scripts\Headless Mode &amp; Sideloading\WalkAndUnGZ.bat" "%USERPROFILE%\AppData\Local\Temp\OnboardLogs"\RTDC4010\2017-03-02</v>
      </c>
      <c r="AF124" s="82" t="str">
        <f t="shared" si="38"/>
        <v>"C:\Program Files (x86)\AstroGrep\AstroGrep.exe" /spath="%USERPROFILE%\AppData\Local\Temp\OnboardLogs" /stypes="app*4010*20170302*" /stext=" 02:.+((SYSTEM_STATE.+slice.+state.+changed )|(ment ac)|(multiple cpu faults)|(system.+state.+changed )|(\[timeout)|(PRM\|1\|D)|(kpr)|(kdp)|(\|lc)|(penalty))" /e /r /s</v>
      </c>
      <c r="AG124" s="1" t="str">
        <f t="shared" si="39"/>
        <v>EC</v>
      </c>
      <c r="AH124" s="86" t="str">
        <f t="shared" si="40"/>
        <v>"%USERPROFILE%\Documents\GitHub\eaglep3\Utilities\RefineRTDCRunTimes.py" --tripid 212-01 --locoid 4010 --swversion DE.1.0.9.0 --startMP 204:232919 --initTime 2017-03-01T18:12:21 --startdatetime 2017-03-01T18:26:14 --delay 2 --endMP 204:163 --enddatetime 2017-03-01T19:11:08 --enforcementcount 0 &gt;&gt;C:\Users\stu\Documents\GitHub\eaglep3-reporting\EC\2017-03-01-refined-times.txt</v>
      </c>
      <c r="AI124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{"issue":{"subject":"","project_id":79,"tracker_id":40,"status_id":1,"priority_id":2,"assigned_to_id":23,"start_date":"2017-03-01","description":"","custom_fields":[{"id":1,"name":"Subdivision","value":"EC"},{"id":4,"name":"Milepost","value":"0.0163"},{"id":17,"name":"Train ID","value":"212-01"},{"id":16,"name":"Locomotive ID","value":"4010"},{"id":130,"name":"Impact","value":""},{"id":150,"name":"Time of Event (Mountain Time)","value":"19:11:08"},{"id":151,"name":"Denver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2"/>
        <v>start /low /b %USERPROFILE%\Documents\GitHub\eaglep3\Utilities\DownloadLogsFromS3.py --loco 4010 --day 2017-03-01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"%USERPROFILE%\AppData\Local\Temp\OnboardLogs"\RTDC4010\*4010*20170302* | grep -SE "(Enforcement Action)|(\[TIMEOUT)|(CHR.+\|PRM\|1\|D.+(SWITCH|SIGNAL).+UNKNOWN)" - &gt;&gt; 2017-03-01-UncaughtWiMAX.txt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618</v>
      </c>
      <c r="B125" s="7">
        <v>4002</v>
      </c>
      <c r="C125" s="21" t="s">
        <v>266</v>
      </c>
      <c r="D125" s="21" t="s">
        <v>261</v>
      </c>
      <c r="E125" s="13">
        <v>42795.737233796295</v>
      </c>
      <c r="F125" s="13">
        <v>42795.740451388891</v>
      </c>
      <c r="G125" s="7">
        <v>2</v>
      </c>
      <c r="H125" s="21" t="s">
        <v>354</v>
      </c>
      <c r="I125" s="13">
        <v>42795.765092592592</v>
      </c>
      <c r="J125" s="7">
        <v>0</v>
      </c>
      <c r="K125" s="98" t="str">
        <f t="shared" si="27"/>
        <v>4001/4002</v>
      </c>
      <c r="L125" s="21" t="str">
        <f>VLOOKUP(A125,'Trips&amp;Operators'!$C$1:$G$99999,5,FALSE)</f>
        <v>STORY SAMANTHA</v>
      </c>
      <c r="M125" s="6">
        <f t="shared" si="28"/>
        <v>2.4641203701321501E-2</v>
      </c>
      <c r="N125" s="7">
        <f t="shared" si="43"/>
        <v>35.483333329902962</v>
      </c>
      <c r="O125" s="7"/>
      <c r="P125" s="7"/>
      <c r="Q125" s="22"/>
      <c r="R125" s="22"/>
      <c r="S125" s="31">
        <f t="shared" si="29"/>
        <v>1</v>
      </c>
      <c r="T125" s="46" t="str">
        <f t="shared" si="30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31"/>
        <v>https://d0f6bd738d7f1b3e5a7ca70fe4ff75f0.us-east-1.aws.found.io/app/kibana#/discover/Steve-Slow-Train-Analysis-(2080s-and-2083s)?_g=(refreshInterval:(display:Off,pause:!f,section:0,value:0),time:(from:'2017-03-01T16:41:37-0700',mode:absolute,to:'2017-03-01T19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5" s="187" t="str">
        <f t="shared" si="32"/>
        <v>N</v>
      </c>
      <c r="X125" s="187">
        <f t="shared" si="44"/>
        <v>1</v>
      </c>
      <c r="Y125" s="62">
        <f t="shared" si="33"/>
        <v>4.6600000000000003E-2</v>
      </c>
      <c r="Z125" s="62">
        <f t="shared" si="45"/>
        <v>23.333100000000002</v>
      </c>
      <c r="AA125" s="62">
        <f t="shared" si="35"/>
        <v>23.2865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6"/>
        <v>0213-01</v>
      </c>
      <c r="AE125" s="85" t="str">
        <f t="shared" si="37"/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AF125" s="82" t="str">
        <f t="shared" si="38"/>
        <v>"C:\Program Files (x86)\AstroGrep\AstroGrep.exe" /spath="%USERPROFILE%\AppData\Local\Temp\OnboardLogs" /stypes="app*4002*20170302*" /stext=" 01:.+((SYSTEM_STATE.+slice.+state.+changed )|(ment ac)|(multiple cpu faults)|(system.+state.+changed )|(\[timeout)|(PRM\|1\|D)|(kpr)|(kdp)|(\|lc)|(penalty))" /e /r /s</v>
      </c>
      <c r="AG125" s="1" t="str">
        <f t="shared" si="39"/>
        <v>EC</v>
      </c>
      <c r="AH125" s="86" t="str">
        <f t="shared" si="40"/>
        <v>"%USERPROFILE%\Documents\GitHub\eaglep3\Utilities\RefineRTDCRunTimes.py" --tripid 213-01 --locoid 4002 --swversion DE.1.0.9.0 --startMP 204:466 --initTime 2017-03-01T17:41:37 --startdatetime 2017-03-01T17:46:15 --delay 2 --endMP 204:233331 --enddatetime 2017-03-01T18:21:44 --enforcementcount 0 &gt;&gt;C:\Users\stu\Documents\GitHub\eaglep3-reporting\EC\2017-03-01-refined-times.txt</v>
      </c>
      <c r="AI125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{"issue":{"subject":"","project_id":79,"tracker_id":40,"status_id":1,"priority_id":2,"assigned_to_id":23,"start_date":"2017-03-01","description":"","custom_fields":[{"id":1,"name":"Subdivision","value":"EC"},{"id":4,"name":"Milepost","value":"23.3331"},{"id":17,"name":"Train ID","value":"213-01"},{"id":16,"name":"Locomotive ID","value":"4002"},{"id":130,"name":"Impact","value":""},{"id":150,"name":"Time of Event (Mountain Time)","value":"18:21:44"},{"id":151,"name":"Denver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2"/>
        <v>start /low /b %USERPROFILE%\Documents\GitHub\eaglep3\Utilities\DownloadLogsFromS3.py --loco 4002 --day 2017-03-01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"%USERPROFILE%\AppData\Local\Temp\OnboardLogs"\RTDC4002\*4002*20170302* | grep -SE "(Enforcement Action)|(\[TIMEOUT)|(CHR.+\|PRM\|1\|D.+(SWITCH|SIGNAL).+UNKNOWN)" - &gt;&gt; 2017-03-01-UncaughtWiMAX.txt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629</v>
      </c>
      <c r="B126" s="7">
        <v>4001</v>
      </c>
      <c r="C126" s="21" t="s">
        <v>266</v>
      </c>
      <c r="D126" s="21" t="s">
        <v>740</v>
      </c>
      <c r="E126" s="13">
        <v>42795.769942129627</v>
      </c>
      <c r="F126" s="13">
        <v>42795.778703703705</v>
      </c>
      <c r="G126" s="7">
        <v>1</v>
      </c>
      <c r="H126" s="21" t="s">
        <v>203</v>
      </c>
      <c r="I126" s="13">
        <v>42795.807337962964</v>
      </c>
      <c r="J126" s="7">
        <v>0</v>
      </c>
      <c r="K126" s="98" t="str">
        <f t="shared" si="27"/>
        <v>4001/4002</v>
      </c>
      <c r="L126" s="21" t="str">
        <f>VLOOKUP(A126,'Trips&amp;Operators'!$C$1:$G$99999,5,FALSE)</f>
        <v>STORY SAMANTHA</v>
      </c>
      <c r="M126" s="6">
        <f t="shared" si="28"/>
        <v>2.8634259258979E-2</v>
      </c>
      <c r="N126" s="7">
        <f t="shared" si="43"/>
        <v>41.23333333292976</v>
      </c>
      <c r="O126" s="7"/>
      <c r="P126" s="7"/>
      <c r="Q126" s="22"/>
      <c r="R126" s="22"/>
      <c r="S126" s="31">
        <f t="shared" si="29"/>
        <v>1</v>
      </c>
      <c r="T126" s="46" t="str">
        <f t="shared" si="30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31"/>
        <v>https://d0f6bd738d7f1b3e5a7ca70fe4ff75f0.us-east-1.aws.found.io/app/kibana#/discover/Steve-Slow-Train-Analysis-(2080s-and-2083s)?_g=(refreshInterval:(display:Off,pause:!f,section:0,value:0),time:(from:'2017-03-01T17:28:43-0700',mode:absolute,to:'2017-03-01T20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6" s="187" t="str">
        <f t="shared" si="32"/>
        <v>N</v>
      </c>
      <c r="X126" s="187">
        <f t="shared" si="44"/>
        <v>1</v>
      </c>
      <c r="Y126" s="62">
        <f t="shared" si="33"/>
        <v>23.300599999999999</v>
      </c>
      <c r="Z126" s="62">
        <f t="shared" si="45"/>
        <v>1.6E-2</v>
      </c>
      <c r="AA126" s="62">
        <f t="shared" si="35"/>
        <v>23.284600000000001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6"/>
        <v>0214-01</v>
      </c>
      <c r="AE126" s="85" t="str">
        <f t="shared" si="37"/>
        <v>aws s3 cp s3://rtdc.mdm.uploadarchive.raw/RTDC4001/ "%USERPROFILE%\AppData\Local\Temp\OnboardLogs"\RTDC4001\2017-03-01 --exclude "*" --recursive --include "*20170301*" &amp; "%USERPROFILE%\Documents\GitHub\mrs-test-scripts\Headless Mode &amp; Sideloading\WalkAndUnGZ.bat" "%USERPROFILE%\AppData\Local\Temp\OnboardLogs"\RTDC4001\2017-03-01 &amp; aws s3 cp s3://rtdc.mdm.uploadarchive.raw/RTDC4001/ "%USERPROFILE%\AppData\Local\Temp\OnboardLogs"\RTDC4001\2017-03-02 --exclude "*" --recursive --include "*20170302*" &amp; "%USERPROFILE%\Documents\GitHub\mrs-test-scripts\Headless Mode &amp; Sideloading\WalkAndUnGZ.bat" "%USERPROFILE%\AppData\Local\Temp\OnboardLogs"\RTDC4001\2017-03-02</v>
      </c>
      <c r="AF126" s="82" t="str">
        <f t="shared" si="38"/>
        <v>"C:\Program Files (x86)\AstroGrep\AstroGrep.exe" /spath="%USERPROFILE%\AppData\Local\Temp\OnboardLogs" /stypes="app*4001*20170302*" /stext=" 02:.+((SYSTEM_STATE.+slice.+state.+changed )|(ment ac)|(multiple cpu faults)|(system.+state.+changed )|(\[timeout)|(PRM\|1\|D)|(kpr)|(kdp)|(\|lc)|(penalty))" /e /r /s</v>
      </c>
      <c r="AG126" s="1" t="str">
        <f t="shared" si="39"/>
        <v>EC</v>
      </c>
      <c r="AH126" s="86" t="str">
        <f t="shared" si="40"/>
        <v>"%USERPROFILE%\Documents\GitHub\eaglep3\Utilities\RefineRTDCRunTimes.py" --tripid 214-01 --locoid 4001 --swversion DE.1.0.9.0 --startMP 204:233006 --initTime 2017-03-01T18:28:43 --startdatetime 2017-03-01T18:41:20 --delay 1 --endMP 204:160 --enddatetime 2017-03-01T19:22:34 --enforcementcount 0 &gt;&gt;C:\Users\stu\Documents\GitHub\eaglep3-reporting\EC\2017-03-01-refined-times.txt</v>
      </c>
      <c r="AI126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{"issue":{"subject":"","project_id":79,"tracker_id":40,"status_id":1,"priority_id":2,"assigned_to_id":23,"start_date":"2017-03-01","description":"","custom_fields":[{"id":1,"name":"Subdivision","value":"EC"},{"id":4,"name":"Milepost","value":"0.016"},{"id":17,"name":"Train ID","value":"214-01"},{"id":16,"name":"Locomotive ID","value":"4001"},{"id":130,"name":"Impact","value":""},{"id":150,"name":"Time of Event (Mountain Time)","value":"19:22:34"},{"id":151,"name":"Denver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2"/>
        <v>start /low /b %USERPROFILE%\Documents\GitHub\eaglep3\Utilities\DownloadLogsFromS3.py --loco 4001 --day 2017-03-01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"%USERPROFILE%\AppData\Local\Temp\OnboardLogs"\RTDC4001\*4001*20170302* | grep -SE "(Enforcement Action)|(\[TIMEOUT)|(CHR.+\|PRM\|1\|D.+(SWITCH|SIGNAL).+UNKNOWN)" - &gt;&gt; 2017-03-01-UncaughtWiMAX.txt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621</v>
      </c>
      <c r="B127" s="7">
        <v>4024</v>
      </c>
      <c r="C127" s="21" t="s">
        <v>266</v>
      </c>
      <c r="D127" s="21" t="s">
        <v>302</v>
      </c>
      <c r="E127" s="13">
        <v>42795.74690972222</v>
      </c>
      <c r="F127" s="13">
        <v>42795.750289351854</v>
      </c>
      <c r="G127" s="7">
        <v>1</v>
      </c>
      <c r="H127" s="21" t="s">
        <v>741</v>
      </c>
      <c r="I127" s="13">
        <v>42795.778263888889</v>
      </c>
      <c r="J127" s="7">
        <v>0</v>
      </c>
      <c r="K127" s="98" t="str">
        <f t="shared" si="27"/>
        <v>4023/4024</v>
      </c>
      <c r="L127" s="21" t="str">
        <f>VLOOKUP(A127,'Trips&amp;Operators'!$C$1:$G$99999,5,FALSE)</f>
        <v>BRANNON JEFFREY</v>
      </c>
      <c r="M127" s="6">
        <f t="shared" si="28"/>
        <v>2.7974537035333924E-2</v>
      </c>
      <c r="N127" s="7">
        <f t="shared" si="43"/>
        <v>40.283333330880851</v>
      </c>
      <c r="O127" s="7"/>
      <c r="P127" s="7"/>
      <c r="Q127" s="22"/>
      <c r="R127" s="22"/>
      <c r="S127" s="31">
        <f t="shared" si="29"/>
        <v>1</v>
      </c>
      <c r="T127" s="46" t="str">
        <f t="shared" si="30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31"/>
        <v>https://d0f6bd738d7f1b3e5a7ca70fe4ff75f0.us-east-1.aws.found.io/app/kibana#/discover/Steve-Slow-Train-Analysis-(2080s-and-2083s)?_g=(refreshInterval:(display:Off,pause:!f,section:0,value:0),time:(from:'2017-03-01T16:55:33-0700',mode:absolute,to:'2017-03-01T19:40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7" s="187" t="str">
        <f t="shared" si="32"/>
        <v>N</v>
      </c>
      <c r="X127" s="187">
        <f t="shared" si="44"/>
        <v>1</v>
      </c>
      <c r="Y127" s="62">
        <f t="shared" si="33"/>
        <v>4.7300000000000002E-2</v>
      </c>
      <c r="Z127" s="62">
        <f t="shared" si="45"/>
        <v>23.3276</v>
      </c>
      <c r="AA127" s="62">
        <f t="shared" si="35"/>
        <v>23.2803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6"/>
        <v>0215-01</v>
      </c>
      <c r="AE127" s="85" t="str">
        <f t="shared" si="37"/>
        <v>aws s3 cp s3://rtdc.mdm.uploadarchive.raw/RTDC4024/ "%USERPROFILE%\AppData\Local\Temp\OnboardLogs"\RTDC4024\2017-03-01 --exclude "*" --recursive --include "*20170301*" &amp; "%USERPROFILE%\Documents\GitHub\mrs-test-scripts\Headless Mode &amp; Sideloading\WalkAndUnGZ.bat" "%USERPROFILE%\AppData\Local\Temp\OnboardLogs"\RTDC4024\2017-03-01 &amp; aws s3 cp s3://rtdc.mdm.uploadarchive.raw/RTDC4024/ "%USERPROFILE%\AppData\Local\Temp\OnboardLogs"\RTDC4024\2017-03-02 --exclude "*" --recursive --include "*20170302*" &amp; "%USERPROFILE%\Documents\GitHub\mrs-test-scripts\Headless Mode &amp; Sideloading\WalkAndUnGZ.bat" "%USERPROFILE%\AppData\Local\Temp\OnboardLogs"\RTDC4024\2017-03-02</v>
      </c>
      <c r="AF127" s="82" t="str">
        <f t="shared" si="38"/>
        <v>"C:\Program Files (x86)\AstroGrep\AstroGrep.exe" /spath="%USERPROFILE%\AppData\Local\Temp\OnboardLogs" /stypes="app*4024*20170302*" /stext=" 01:.+((SYSTEM_STATE.+slice.+state.+changed )|(ment ac)|(multiple cpu faults)|(system.+state.+changed )|(\[timeout)|(PRM\|1\|D)|(kpr)|(kdp)|(\|lc)|(penalty))" /e /r /s</v>
      </c>
      <c r="AG127" s="1" t="str">
        <f t="shared" si="39"/>
        <v>EC</v>
      </c>
      <c r="AH127" s="86" t="str">
        <f t="shared" si="40"/>
        <v>"%USERPROFILE%\Documents\GitHub\eaglep3\Utilities\RefineRTDCRunTimes.py" --tripid 215-01 --locoid 4024 --swversion DE.1.0.9.0 --startMP 204:473 --initTime 2017-03-01T17:55:33 --startdatetime 2017-03-01T18:00:25 --delay 1 --endMP 204:233276 --enddatetime 2017-03-01T18:40:42 --enforcementcount 0 &gt;&gt;C:\Users\stu\Documents\GitHub\eaglep3-reporting\EC\2017-03-01-refined-times.txt</v>
      </c>
      <c r="AI127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{"issue":{"subject":"","project_id":79,"tracker_id":40,"status_id":1,"priority_id":2,"assigned_to_id":23,"start_date":"2017-03-01","description":"","custom_fields":[{"id":1,"name":"Subdivision","value":"EC"},{"id":4,"name":"Milepost","value":"23.3276"},{"id":17,"name":"Train ID","value":"215-01"},{"id":16,"name":"Locomotive ID","value":"4024"},{"id":130,"name":"Impact","value":""},{"id":150,"name":"Time of Event (Mountain Time)","value":"18:40:42"},{"id":151,"name":"Denver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2"/>
        <v>start /low /b %USERPROFILE%\Documents\GitHub\eaglep3\Utilities\DownloadLogsFromS3.py --loco 4024 --day 2017-03-01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"%USERPROFILE%\AppData\Local\Temp\OnboardLogs"\RTDC4024\*4024*20170302* | grep -SE "(Enforcement Action)|(\[TIMEOUT)|(CHR.+\|PRM\|1\|D.+(SWITCH|SIGNAL).+UNKNOWN)" - &gt;&gt; 2017-03-01-UncaughtWiMAX.txt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632</v>
      </c>
      <c r="B128" s="7">
        <v>4023</v>
      </c>
      <c r="C128" s="21" t="s">
        <v>266</v>
      </c>
      <c r="D128" s="21" t="s">
        <v>319</v>
      </c>
      <c r="E128" s="13">
        <v>42795.779537037037</v>
      </c>
      <c r="F128" s="13">
        <v>42795.78974537037</v>
      </c>
      <c r="G128" s="7">
        <v>0</v>
      </c>
      <c r="H128" s="21" t="s">
        <v>184</v>
      </c>
      <c r="I128" s="13">
        <v>42795.817175925928</v>
      </c>
      <c r="J128" s="7">
        <v>0</v>
      </c>
      <c r="K128" s="98" t="str">
        <f t="shared" si="27"/>
        <v>4023/4024</v>
      </c>
      <c r="L128" s="21" t="str">
        <f>VLOOKUP(A128,'Trips&amp;Operators'!$C$1:$G$99999,5,FALSE)</f>
        <v>BRANNON JEFFREY</v>
      </c>
      <c r="M128" s="6">
        <f t="shared" si="28"/>
        <v>2.7430555557657499E-2</v>
      </c>
      <c r="N128" s="7">
        <f t="shared" si="43"/>
        <v>39.500000003026798</v>
      </c>
      <c r="O128" s="7"/>
      <c r="P128" s="7"/>
      <c r="Q128" s="22"/>
      <c r="R128" s="22"/>
      <c r="S128" s="31">
        <f t="shared" si="29"/>
        <v>1</v>
      </c>
      <c r="T128" s="46" t="str">
        <f t="shared" si="30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31"/>
        <v>https://d0f6bd738d7f1b3e5a7ca70fe4ff75f0.us-east-1.aws.found.io/app/kibana#/discover/Steve-Slow-Train-Analysis-(2080s-and-2083s)?_g=(refreshInterval:(display:Off,pause:!f,section:0,value:0),time:(from:'2017-03-01T17:42:32-0700',mode:absolute,to:'2017-03-01T20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8" s="187" t="str">
        <f t="shared" si="32"/>
        <v>N</v>
      </c>
      <c r="X128" s="187">
        <f t="shared" si="44"/>
        <v>1</v>
      </c>
      <c r="Y128" s="62">
        <f t="shared" si="33"/>
        <v>23.297999999999998</v>
      </c>
      <c r="Z128" s="62">
        <f t="shared" si="45"/>
        <v>1.49E-2</v>
      </c>
      <c r="AA128" s="62">
        <f t="shared" si="35"/>
        <v>23.283099999999997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6"/>
        <v>0216-01</v>
      </c>
      <c r="AE128" s="85" t="str">
        <f t="shared" si="37"/>
        <v>aws s3 cp s3://rtdc.mdm.uploadarchive.raw/RTDC4023/ "%USERPROFILE%\AppData\Local\Temp\OnboardLogs"\RTDC4023\2017-03-01 --exclude "*" --recursive --include "*20170301*" &amp; "%USERPROFILE%\Documents\GitHub\mrs-test-scripts\Headless Mode &amp; Sideloading\WalkAndUnGZ.bat" "%USERPROFILE%\AppData\Local\Temp\OnboardLogs"\RTDC4023\2017-03-01 &amp; aws s3 cp s3://rtdc.mdm.uploadarchive.raw/RTDC4023/ "%USERPROFILE%\AppData\Local\Temp\OnboardLogs"\RTDC4023\2017-03-02 --exclude "*" --recursive --include "*20170302*" &amp; "%USERPROFILE%\Documents\GitHub\mrs-test-scripts\Headless Mode &amp; Sideloading\WalkAndUnGZ.bat" "%USERPROFILE%\AppData\Local\Temp\OnboardLogs"\RTDC4023\2017-03-02</v>
      </c>
      <c r="AF128" s="82" t="str">
        <f t="shared" si="38"/>
        <v>"C:\Program Files (x86)\AstroGrep\AstroGrep.exe" /spath="%USERPROFILE%\AppData\Local\Temp\OnboardLogs" /stypes="app*4023*20170302*" /stext=" 02:.+((SYSTEM_STATE.+slice.+state.+changed )|(ment ac)|(multiple cpu faults)|(system.+state.+changed )|(\[timeout)|(PRM\|1\|D)|(kpr)|(kdp)|(\|lc)|(penalty))" /e /r /s</v>
      </c>
      <c r="AG128" s="1" t="str">
        <f t="shared" si="39"/>
        <v>EC</v>
      </c>
      <c r="AH128" s="86" t="str">
        <f t="shared" si="40"/>
        <v>"%USERPROFILE%\Documents\GitHub\eaglep3\Utilities\RefineRTDCRunTimes.py" --tripid 216-01 --locoid 4023 --swversion DE.1.0.9.0 --startMP 204:232980 --initTime 2017-03-01T18:42:32 --startdatetime 2017-03-01T18:57:14 --delay 0 --endMP 204:149 --enddatetime 2017-03-01T19:36:44 --enforcementcount 0 &gt;&gt;C:\Users\stu\Documents\GitHub\eaglep3-reporting\EC\2017-03-01-refined-times.txt</v>
      </c>
      <c r="AI128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{"issue":{"subject":"","project_id":79,"tracker_id":40,"status_id":1,"priority_id":2,"assigned_to_id":23,"start_date":"2017-03-01","description":"","custom_fields":[{"id":1,"name":"Subdivision","value":"EC"},{"id":4,"name":"Milepost","value":"0.0149"},{"id":17,"name":"Train ID","value":"216-01"},{"id":16,"name":"Locomotive ID","value":"4023"},{"id":130,"name":"Impact","value":""},{"id":150,"name":"Time of Event (Mountain Time)","value":"19:36:44"},{"id":151,"name":"Denver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2"/>
        <v>start /low /b %USERPROFILE%\Documents\GitHub\eaglep3\Utilities\DownloadLogsFromS3.py --loco 4023 --day 2017-03-01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"%USERPROFILE%\AppData\Local\Temp\OnboardLogs"\RTDC4023\*4023*20170302* | grep -SE "(Enforcement Action)|(\[TIMEOUT)|(CHR.+\|PRM\|1\|D.+(SWITCH|SIGNAL).+UNKNOWN)" - &gt;&gt; 2017-03-01-UncaughtWiMAX.txt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625</v>
      </c>
      <c r="B129" s="7">
        <v>4011</v>
      </c>
      <c r="C129" s="21" t="s">
        <v>266</v>
      </c>
      <c r="D129" s="21" t="s">
        <v>260</v>
      </c>
      <c r="E129" s="13">
        <v>42795.759328703702</v>
      </c>
      <c r="F129" s="13">
        <v>42795.761099537034</v>
      </c>
      <c r="G129" s="7">
        <v>2</v>
      </c>
      <c r="H129" s="21" t="s">
        <v>726</v>
      </c>
      <c r="I129" s="13">
        <v>42795.787083333336</v>
      </c>
      <c r="J129" s="7">
        <v>0</v>
      </c>
      <c r="K129" s="98" t="str">
        <f t="shared" si="27"/>
        <v>4011/4012</v>
      </c>
      <c r="L129" s="21" t="str">
        <f>VLOOKUP(A129,'Trips&amp;Operators'!$C$1:$G$99999,5,FALSE)</f>
        <v>BROWN JACOB</v>
      </c>
      <c r="M129" s="6">
        <f t="shared" si="28"/>
        <v>2.5983796302170958E-2</v>
      </c>
      <c r="N129" s="7">
        <f t="shared" si="43"/>
        <v>37.41666667512618</v>
      </c>
      <c r="O129" s="7"/>
      <c r="P129" s="7"/>
      <c r="Q129" s="22"/>
      <c r="R129" s="22"/>
      <c r="S129" s="31">
        <f t="shared" si="29"/>
        <v>1</v>
      </c>
      <c r="T129" s="46" t="str">
        <f t="shared" si="30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31"/>
        <v>https://d0f6bd738d7f1b3e5a7ca70fe4ff75f0.us-east-1.aws.found.io/app/kibana#/discover/Steve-Slow-Train-Analysis-(2080s-and-2083s)?_g=(refreshInterval:(display:Off,pause:!f,section:0,value:0),time:(from:'2017-03-01T17:13:26-0700',mode:absolute,to:'2017-03-01T19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9" s="187" t="str">
        <f t="shared" si="32"/>
        <v>N</v>
      </c>
      <c r="X129" s="187">
        <f t="shared" si="44"/>
        <v>1</v>
      </c>
      <c r="Y129" s="62">
        <f t="shared" si="33"/>
        <v>4.4699999999999997E-2</v>
      </c>
      <c r="Z129" s="62">
        <f t="shared" si="45"/>
        <v>23.3291</v>
      </c>
      <c r="AA129" s="62">
        <f t="shared" si="35"/>
        <v>23.284400000000002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6"/>
        <v>0217-01</v>
      </c>
      <c r="AE129" s="85" t="str">
        <f t="shared" si="37"/>
        <v>aws s3 cp s3://rtdc.mdm.uploadarchive.raw/RTDC4011/ "%USERPROFILE%\AppData\Local\Temp\OnboardLogs"\RTDC4011\2017-03-01 --exclude "*" --recursive --include "*20170301*" &amp; "%USERPROFILE%\Documents\GitHub\mrs-test-scripts\Headless Mode &amp; Sideloading\WalkAndUnGZ.bat" "%USERPROFILE%\AppData\Local\Temp\OnboardLogs"\RTDC4011\2017-03-01 &amp; aws s3 cp s3://rtdc.mdm.uploadarchive.raw/RTDC4011/ "%USERPROFILE%\AppData\Local\Temp\OnboardLogs"\RTDC4011\2017-03-02 --exclude "*" --recursive --include "*20170302*" &amp; "%USERPROFILE%\Documents\GitHub\mrs-test-scripts\Headless Mode &amp; Sideloading\WalkAndUnGZ.bat" "%USERPROFILE%\AppData\Local\Temp\OnboardLogs"\RTDC4011\2017-03-02</v>
      </c>
      <c r="AF129" s="82" t="str">
        <f t="shared" si="38"/>
        <v>"C:\Program Files (x86)\AstroGrep\AstroGrep.exe" /spath="%USERPROFILE%\AppData\Local\Temp\OnboardLogs" /stypes="app*4011*20170302*" /stext=" 01:.+((SYSTEM_STATE.+slice.+state.+changed )|(ment ac)|(multiple cpu faults)|(system.+state.+changed )|(\[timeout)|(PRM\|1\|D)|(kpr)|(kdp)|(\|lc)|(penalty))" /e /r /s</v>
      </c>
      <c r="AG129" s="1" t="str">
        <f t="shared" si="39"/>
        <v>EC</v>
      </c>
      <c r="AH129" s="86" t="str">
        <f t="shared" si="40"/>
        <v>"%USERPROFILE%\Documents\GitHub\eaglep3\Utilities\RefineRTDCRunTimes.py" --tripid 217-01 --locoid 4011 --swversion DE.1.0.9.0 --startMP 204:447 --initTime 2017-03-01T18:13:26 --startdatetime 2017-03-01T18:15:59 --delay 2 --endMP 204:233291 --enddatetime 2017-03-01T18:53:24 --enforcementcount 0 &gt;&gt;C:\Users\stu\Documents\GitHub\eaglep3-reporting\EC\2017-03-01-refined-times.txt</v>
      </c>
      <c r="AI129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{"issue":{"subject":"","project_id":79,"tracker_id":40,"status_id":1,"priority_id":2,"assigned_to_id":23,"start_date":"2017-03-01","description":"","custom_fields":[{"id":1,"name":"Subdivision","value":"EC"},{"id":4,"name":"Milepost","value":"23.3291"},{"id":17,"name":"Train ID","value":"217-01"},{"id":16,"name":"Locomotive ID","value":"4011"},{"id":130,"name":"Impact","value":""},{"id":150,"name":"Time of Event (Mountain Time)","value":"18:53:24"},{"id":151,"name":"Denver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2"/>
        <v>start /low /b %USERPROFILE%\Documents\GitHub\eaglep3\Utilities\DownloadLogsFromS3.py --loco 4011 --day 2017-03-01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"%USERPROFILE%\AppData\Local\Temp\OnboardLogs"\RTDC4011\*4011*20170302* | grep -SE "(Enforcement Action)|(\[TIMEOUT)|(CHR.+\|PRM\|1\|D.+(SWITCH|SIGNAL).+UNKNOWN)" - &gt;&gt; 2017-03-01-UncaughtWiMAX.txt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466</v>
      </c>
      <c r="B130" s="7">
        <v>4012</v>
      </c>
      <c r="C130" s="21" t="s">
        <v>266</v>
      </c>
      <c r="D130" s="21" t="s">
        <v>303</v>
      </c>
      <c r="E130" s="13">
        <v>42795.795868055553</v>
      </c>
      <c r="F130" s="13">
        <v>42795.799525462964</v>
      </c>
      <c r="G130" s="7">
        <v>1</v>
      </c>
      <c r="H130" s="21" t="s">
        <v>194</v>
      </c>
      <c r="I130" s="13">
        <v>42795.827233796299</v>
      </c>
      <c r="J130" s="7">
        <v>0</v>
      </c>
      <c r="K130" s="98" t="str">
        <f t="shared" si="27"/>
        <v>4011/4012</v>
      </c>
      <c r="L130" s="21" t="str">
        <f>VLOOKUP(A130,'Trips&amp;Operators'!$C$1:$G$99999,5,FALSE)</f>
        <v>BROWN JACOB</v>
      </c>
      <c r="M130" s="6">
        <f t="shared" si="28"/>
        <v>2.7708333334885538E-2</v>
      </c>
      <c r="N130" s="7">
        <f t="shared" si="43"/>
        <v>39.900000002235174</v>
      </c>
      <c r="O130" s="7"/>
      <c r="P130" s="7"/>
      <c r="Q130" s="22"/>
      <c r="R130" s="22"/>
      <c r="S130" s="31">
        <f t="shared" si="29"/>
        <v>1</v>
      </c>
      <c r="T130" s="46" t="str">
        <f t="shared" si="30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31"/>
        <v>https://d0f6bd738d7f1b3e5a7ca70fe4ff75f0.us-east-1.aws.found.io/app/kibana#/discover/Steve-Slow-Train-Analysis-(2080s-and-2083s)?_g=(refreshInterval:(display:Off,pause:!f,section:0,value:0),time:(from:'2017-03-01T18:06:03-0700',mode:absolute,to:'2017-03-01T20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0" s="187" t="str">
        <f t="shared" si="32"/>
        <v>N</v>
      </c>
      <c r="X130" s="187">
        <f t="shared" si="44"/>
        <v>1</v>
      </c>
      <c r="Y130" s="62">
        <f t="shared" si="33"/>
        <v>23.297599999999999</v>
      </c>
      <c r="Z130" s="62">
        <f t="shared" si="45"/>
        <v>1.4999999999999999E-2</v>
      </c>
      <c r="AA130" s="62">
        <f t="shared" si="35"/>
        <v>23.282599999999999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6"/>
        <v>0218-01</v>
      </c>
      <c r="AE130" s="85" t="str">
        <f t="shared" si="37"/>
        <v>aws s3 cp s3://rtdc.mdm.uploadarchive.raw/RTDC4012/ "%USERPROFILE%\AppData\Local\Temp\OnboardLogs"\RTDC4012\2017-03-01 --exclude "*" --recursive --include "*20170301*" &amp; "%USERPROFILE%\Documents\GitHub\mrs-test-scripts\Headless Mode &amp; Sideloading\WalkAndUnGZ.bat" "%USERPROFILE%\AppData\Local\Temp\OnboardLogs"\RTDC4012\2017-03-01 &amp; aws s3 cp s3://rtdc.mdm.uploadarchive.raw/RTDC4012/ "%USERPROFILE%\AppData\Local\Temp\OnboardLogs"\RTDC4012\2017-03-02 --exclude "*" --recursive --include "*20170302*" &amp; "%USERPROFILE%\Documents\GitHub\mrs-test-scripts\Headless Mode &amp; Sideloading\WalkAndUnGZ.bat" "%USERPROFILE%\AppData\Local\Temp\OnboardLogs"\RTDC4012\2017-03-02</v>
      </c>
      <c r="AF130" s="82" t="str">
        <f t="shared" si="38"/>
        <v>"C:\Program Files (x86)\AstroGrep\AstroGrep.exe" /spath="%USERPROFILE%\AppData\Local\Temp\OnboardLogs" /stypes="app*4012*20170302*" /stext=" 02:.+((SYSTEM_STATE.+slice.+state.+changed )|(ment ac)|(multiple cpu faults)|(system.+state.+changed )|(\[timeout)|(PRM\|1\|D)|(kpr)|(kdp)|(\|lc)|(penalty))" /e /r /s</v>
      </c>
      <c r="AG130" s="1" t="str">
        <f t="shared" si="39"/>
        <v>EC</v>
      </c>
      <c r="AH130" s="86" t="str">
        <f t="shared" si="40"/>
        <v>"%USERPROFILE%\Documents\GitHub\eaglep3\Utilities\RefineRTDCRunTimes.py" --tripid 218-01 --locoid 4012 --swversion DE.1.0.9.0 --startMP 204:232976 --initTime 2017-03-01T19:06:03 --startdatetime 2017-03-01T19:11:19 --delay 1 --endMP 204:150 --enddatetime 2017-03-01T19:51:13 --enforcementcount 0 &gt;&gt;C:\Users\stu\Documents\GitHub\eaglep3-reporting\EC\2017-03-01-refined-times.txt</v>
      </c>
      <c r="AI130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{"issue":{"subject":"","project_id":79,"tracker_id":40,"status_id":1,"priority_id":2,"assigned_to_id":23,"start_date":"2017-03-01","description":"","custom_fields":[{"id":1,"name":"Subdivision","value":"EC"},{"id":4,"name":"Milepost","value":"0.015"},{"id":17,"name":"Train ID","value":"218-01"},{"id":16,"name":"Locomotive ID","value":"4012"},{"id":130,"name":"Impact","value":""},{"id":150,"name":"Time of Event (Mountain Time)","value":"19:51:13"},{"id":151,"name":"Denver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2"/>
        <v>start /low /b %USERPROFILE%\Documents\GitHub\eaglep3\Utilities\DownloadLogsFromS3.py --loco 4012 --day 2017-03-01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"%USERPROFILE%\AppData\Local\Temp\OnboardLogs"\RTDC4012\*4012*20170302* | grep -SE "(Enforcement Action)|(\[TIMEOUT)|(CHR.+\|PRM\|1\|D.+(SWITCH|SIGNAL).+UNKNOWN)" - &gt;&gt; 2017-03-01-UncaughtWiMAX.txt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465</v>
      </c>
      <c r="B131" s="7">
        <v>4029</v>
      </c>
      <c r="C131" s="21" t="s">
        <v>266</v>
      </c>
      <c r="D131" s="21" t="s">
        <v>267</v>
      </c>
      <c r="E131" s="13">
        <v>42795.770972222221</v>
      </c>
      <c r="F131" s="13">
        <v>42795.773078703707</v>
      </c>
      <c r="G131" s="7">
        <v>2</v>
      </c>
      <c r="H131" s="21" t="s">
        <v>272</v>
      </c>
      <c r="I131" s="13">
        <v>42795.798344907409</v>
      </c>
      <c r="J131" s="7">
        <v>0</v>
      </c>
      <c r="K131" s="98" t="str">
        <f t="shared" si="27"/>
        <v>4029/4030</v>
      </c>
      <c r="L131" s="21" t="str">
        <f>VLOOKUP(A131,'Trips&amp;Operators'!$C$1:$G$99999,5,FALSE)</f>
        <v>NEWELL JAMES</v>
      </c>
      <c r="M131" s="6">
        <f t="shared" si="28"/>
        <v>2.5266203701903578E-2</v>
      </c>
      <c r="N131" s="7">
        <f t="shared" si="43"/>
        <v>36.383333330741152</v>
      </c>
      <c r="O131" s="7"/>
      <c r="P131" s="7"/>
      <c r="Q131" s="22"/>
      <c r="R131" s="22"/>
      <c r="S131" s="31">
        <f t="shared" si="29"/>
        <v>1</v>
      </c>
      <c r="T131" s="46" t="str">
        <f t="shared" si="30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31"/>
        <v>https://d0f6bd738d7f1b3e5a7ca70fe4ff75f0.us-east-1.aws.found.io/app/kibana#/discover/Steve-Slow-Train-Analysis-(2080s-and-2083s)?_g=(refreshInterval:(display:Off,pause:!f,section:0,value:0),time:(from:'2017-03-01T17:30:12-0700',mode:absolute,to:'2017-03-01T20:09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1" s="187" t="str">
        <f t="shared" si="32"/>
        <v>N</v>
      </c>
      <c r="X131" s="187">
        <f t="shared" si="44"/>
        <v>1</v>
      </c>
      <c r="Y131" s="62">
        <f t="shared" si="33"/>
        <v>4.58E-2</v>
      </c>
      <c r="Z131" s="62">
        <f t="shared" si="45"/>
        <v>23.328399999999998</v>
      </c>
      <c r="AA131" s="62">
        <f t="shared" si="35"/>
        <v>23.282599999999999</v>
      </c>
      <c r="AB131" s="59" t="str">
        <f>VLOOKUP(A131,Enforcements!$C$7:$K$13,8,0)</f>
        <v>Bulletin (2)</v>
      </c>
      <c r="AC131" s="55" t="str">
        <f>VLOOKUP(A131,Enforcements!$C$7:$E$13,3,0)</f>
        <v>GRADE CROSSING</v>
      </c>
      <c r="AD131" s="56" t="str">
        <f t="shared" si="36"/>
        <v>0219-01</v>
      </c>
      <c r="AE131" s="85" t="str">
        <f t="shared" si="37"/>
        <v>aws s3 cp s3://rtdc.mdm.uploadarchive.raw/RTDC4029/ "%USERPROFILE%\AppData\Local\Temp\OnboardLogs"\RTDC4029\2017-03-01 --exclude "*" --recursive --include "*20170301*" &amp; "%USERPROFILE%\Documents\GitHub\mrs-test-scripts\Headless Mode &amp; Sideloading\WalkAndUnGZ.bat" "%USERPROFILE%\AppData\Local\Temp\OnboardLogs"\RTDC4029\2017-03-01 &amp; aws s3 cp s3://rtdc.mdm.uploadarchive.raw/RTDC4029/ "%USERPROFILE%\AppData\Local\Temp\OnboardLogs"\RTDC4029\2017-03-02 --exclude "*" --recursive --include "*20170302*" &amp; "%USERPROFILE%\Documents\GitHub\mrs-test-scripts\Headless Mode &amp; Sideloading\WalkAndUnGZ.bat" "%USERPROFILE%\AppData\Local\Temp\OnboardLogs"\RTDC4029\2017-03-02</v>
      </c>
      <c r="AF131" s="82" t="str">
        <f t="shared" si="38"/>
        <v>"C:\Program Files (x86)\AstroGrep\AstroGrep.exe" /spath="%USERPROFILE%\AppData\Local\Temp\OnboardLogs" /stypes="app*4029*20170302*" /stext=" 02:.+((SYSTEM_STATE.+slice.+state.+changed )|(ment ac)|(multiple cpu faults)|(system.+state.+changed )|(\[timeout)|(PRM\|1\|D)|(kpr)|(kdp)|(\|lc)|(penalty))" /e /r /s</v>
      </c>
      <c r="AG131" s="1" t="str">
        <f t="shared" si="39"/>
        <v>EC</v>
      </c>
      <c r="AH131" s="86" t="str">
        <f t="shared" si="40"/>
        <v>"%USERPROFILE%\Documents\GitHub\eaglep3\Utilities\RefineRTDCRunTimes.py" --tripid 219-01 --locoid 4029 --swversion DE.1.0.9.0 --startMP 204:458 --initTime 2017-03-01T18:30:12 --startdatetime 2017-03-01T18:33:14 --delay 2 --endMP 204:233284 --enddatetime 2017-03-01T19:09:37 --enforcementcount 0 &gt;&gt;C:\Users\stu\Documents\GitHub\eaglep3-reporting\EC\2017-03-01-refined-times.txt</v>
      </c>
      <c r="AI131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{"issue":{"subject":"","project_id":79,"tracker_id":40,"status_id":1,"priority_id":2,"assigned_to_id":23,"start_date":"2017-03-01","description":"","custom_fields":[{"id":1,"name":"Subdivision","value":"EC"},{"id":4,"name":"Milepost","value":"23.3284"},{"id":17,"name":"Train ID","value":"219-01"},{"id":16,"name":"Locomotive ID","value":"4029"},{"id":130,"name":"Impact","value":""},{"id":150,"name":"Time of Event (Mountain Time)","value":"19:09:37"},{"id":151,"name":"Denver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2"/>
        <v>start /low /b %USERPROFILE%\Documents\GitHub\eaglep3\Utilities\DownloadLogsFromS3.py --loco 4029 --day 2017-03-01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"%USERPROFILE%\AppData\Local\Temp\OnboardLogs"\RTDC4029\*4029*20170302* | grep -SE "(Enforcement Action)|(\[TIMEOUT)|(CHR.+\|PRM\|1\|D.+(SWITCH|SIGNAL).+UNKNOWN)" - &gt;&gt; 2017-03-01-UncaughtWiMAX.txt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636</v>
      </c>
      <c r="B132" s="7">
        <v>4030</v>
      </c>
      <c r="C132" s="21" t="s">
        <v>266</v>
      </c>
      <c r="D132" s="21" t="s">
        <v>350</v>
      </c>
      <c r="E132" s="13">
        <v>42795.801724537036</v>
      </c>
      <c r="F132" s="13">
        <v>42795.809918981482</v>
      </c>
      <c r="G132" s="7">
        <v>1</v>
      </c>
      <c r="H132" s="21" t="s">
        <v>391</v>
      </c>
      <c r="I132" s="13">
        <v>42795.837037037039</v>
      </c>
      <c r="J132" s="7">
        <v>0</v>
      </c>
      <c r="K132" s="98" t="str">
        <f t="shared" si="27"/>
        <v>4029/4030</v>
      </c>
      <c r="L132" s="21" t="str">
        <f>VLOOKUP(A132,'Trips&amp;Operators'!$C$1:$G$99999,5,FALSE)</f>
        <v>NEWELL JAMES</v>
      </c>
      <c r="M132" s="6">
        <f t="shared" si="28"/>
        <v>2.7118055557366461E-2</v>
      </c>
      <c r="N132" s="7">
        <f t="shared" si="43"/>
        <v>39.050000002607703</v>
      </c>
      <c r="O132" s="7"/>
      <c r="P132" s="7"/>
      <c r="Q132" s="22"/>
      <c r="R132" s="22"/>
      <c r="S132" s="31">
        <f t="shared" si="29"/>
        <v>1</v>
      </c>
      <c r="T132" s="46" t="str">
        <f t="shared" si="30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31"/>
        <v>https://d0f6bd738d7f1b3e5a7ca70fe4ff75f0.us-east-1.aws.found.io/app/kibana#/discover/Steve-Slow-Train-Analysis-(2080s-and-2083s)?_g=(refreshInterval:(display:Off,pause:!f,section:0,value:0),time:(from:'2017-03-01T18:14:29-0700',mode:absolute,to:'2017-03-01T21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2" s="187" t="str">
        <f t="shared" si="32"/>
        <v>N</v>
      </c>
      <c r="X132" s="187">
        <f t="shared" si="44"/>
        <v>1</v>
      </c>
      <c r="Y132" s="62">
        <f t="shared" si="33"/>
        <v>23.298999999999999</v>
      </c>
      <c r="Z132" s="62">
        <f t="shared" si="45"/>
        <v>1.2699999999999999E-2</v>
      </c>
      <c r="AA132" s="62">
        <f t="shared" si="35"/>
        <v>23.286300000000001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6"/>
        <v>0220-01</v>
      </c>
      <c r="AE132" s="85" t="str">
        <f t="shared" si="37"/>
        <v>aws s3 cp s3://rtdc.mdm.uploadarchive.raw/RTDC4030/ "%USERPROFILE%\AppData\Local\Temp\OnboardLogs"\RTDC4030\2017-03-01 --exclude "*" --recursive --include "*20170301*" &amp; "%USERPROFILE%\Documents\GitHub\mrs-test-scripts\Headless Mode &amp; Sideloading\WalkAndUnGZ.bat" "%USERPROFILE%\AppData\Local\Temp\OnboardLogs"\RTDC4030\2017-03-01 &amp; aws s3 cp s3://rtdc.mdm.uploadarchive.raw/RTDC4030/ "%USERPROFILE%\AppData\Local\Temp\OnboardLogs"\RTDC4030\2017-03-02 --exclude "*" --recursive --include "*20170302*" &amp; "%USERPROFILE%\Documents\GitHub\mrs-test-scripts\Headless Mode &amp; Sideloading\WalkAndUnGZ.bat" "%USERPROFILE%\AppData\Local\Temp\OnboardLogs"\RTDC4030\2017-03-02</v>
      </c>
      <c r="AF132" s="82" t="str">
        <f t="shared" si="38"/>
        <v>"C:\Program Files (x86)\AstroGrep\AstroGrep.exe" /spath="%USERPROFILE%\AppData\Local\Temp\OnboardLogs" /stypes="app*4030*20170302*" /stext=" 03:.+((SYSTEM_STATE.+slice.+state.+changed )|(ment ac)|(multiple cpu faults)|(system.+state.+changed )|(\[timeout)|(PRM\|1\|D)|(kpr)|(kdp)|(\|lc)|(penalty))" /e /r /s</v>
      </c>
      <c r="AG132" s="1" t="str">
        <f t="shared" si="39"/>
        <v>EC</v>
      </c>
      <c r="AH132" s="86" t="str">
        <f t="shared" si="40"/>
        <v>"%USERPROFILE%\Documents\GitHub\eaglep3\Utilities\RefineRTDCRunTimes.py" --tripid 220-01 --locoid 4030 --swversion DE.1.0.9.0 --startMP 204:232990 --initTime 2017-03-01T19:14:29 --startdatetime 2017-03-01T19:26:17 --delay 1 --endMP 204:127 --enddatetime 2017-03-01T20:05:20 --enforcementcount 0 &gt;&gt;C:\Users\stu\Documents\GitHub\eaglep3-reporting\EC\2017-03-01-refined-times.txt</v>
      </c>
      <c r="AI132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{"issue":{"subject":"","project_id":79,"tracker_id":40,"status_id":1,"priority_id":2,"assigned_to_id":23,"start_date":"2017-03-01","description":"","custom_fields":[{"id":1,"name":"Subdivision","value":"EC"},{"id":4,"name":"Milepost","value":"0.0127"},{"id":17,"name":"Train ID","value":"220-01"},{"id":16,"name":"Locomotive ID","value":"4030"},{"id":130,"name":"Impact","value":""},{"id":150,"name":"Time of Event (Mountain Time)","value":"20:05:20"},{"id":151,"name":"Denver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2"/>
        <v>start /low /b %USERPROFILE%\Documents\GitHub\eaglep3\Utilities\DownloadLogsFromS3.py --loco 4030 --day 2017-03-01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"%USERPROFILE%\AppData\Local\Temp\OnboardLogs"\RTDC4030\*4030*20170302* | grep -SE "(Enforcement Action)|(\[TIMEOUT)|(CHR.+\|PRM\|1\|D.+(SWITCH|SIGNAL).+UNKNOWN)" - &gt;&gt; 2017-03-01-UncaughtWiMAX.txt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633</v>
      </c>
      <c r="B133" s="7">
        <v>4046</v>
      </c>
      <c r="C133" s="21" t="s">
        <v>266</v>
      </c>
      <c r="D133" s="21" t="s">
        <v>405</v>
      </c>
      <c r="E133" s="13">
        <v>42795.787685185183</v>
      </c>
      <c r="F133" s="13">
        <v>42795.791886574072</v>
      </c>
      <c r="G133" s="7">
        <v>1</v>
      </c>
      <c r="H133" s="21" t="s">
        <v>278</v>
      </c>
      <c r="I133" s="13">
        <v>42795.817858796298</v>
      </c>
      <c r="J133" s="7">
        <v>0</v>
      </c>
      <c r="K133" s="98" t="str">
        <f t="shared" si="27"/>
        <v>4045/4046</v>
      </c>
      <c r="L133" s="21" t="str">
        <f>VLOOKUP(A133,'Trips&amp;Operators'!$C$1:$G$99999,5,FALSE)</f>
        <v>WHITED DUSTIN</v>
      </c>
      <c r="M133" s="6">
        <f t="shared" si="28"/>
        <v>2.5972222225391306E-2</v>
      </c>
      <c r="N133" s="7">
        <f t="shared" si="43"/>
        <v>37.400000004563481</v>
      </c>
      <c r="O133" s="7"/>
      <c r="P133" s="7"/>
      <c r="Q133" s="22"/>
      <c r="R133" s="22"/>
      <c r="S133" s="31">
        <f t="shared" si="29"/>
        <v>1</v>
      </c>
      <c r="T133" s="46" t="str">
        <f t="shared" si="30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31"/>
        <v>https://d0f6bd738d7f1b3e5a7ca70fe4ff75f0.us-east-1.aws.found.io/app/kibana#/discover/Steve-Slow-Train-Analysis-(2080s-and-2083s)?_g=(refreshInterval:(display:Off,pause:!f,section:0,value:0),time:(from:'2017-03-01T17:54:16-0700',mode:absolute,to:'2017-03-01T20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3" s="187" t="str">
        <f t="shared" si="32"/>
        <v>N</v>
      </c>
      <c r="X133" s="187">
        <f t="shared" si="44"/>
        <v>1</v>
      </c>
      <c r="Y133" s="62">
        <f t="shared" si="33"/>
        <v>4.4900000000000002E-2</v>
      </c>
      <c r="Z133" s="62">
        <f t="shared" si="45"/>
        <v>23.330400000000001</v>
      </c>
      <c r="AA133" s="62">
        <f t="shared" si="35"/>
        <v>23.285500000000003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6"/>
        <v>0221-01</v>
      </c>
      <c r="AE133" s="85" t="str">
        <f t="shared" si="37"/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AF133" s="82" t="str">
        <f t="shared" si="38"/>
        <v>"C:\Program Files (x86)\AstroGrep\AstroGrep.exe" /spath="%USERPROFILE%\AppData\Local\Temp\OnboardLogs" /stypes="app*4046*20170302*" /stext=" 02:.+((SYSTEM_STATE.+slice.+state.+changed )|(ment ac)|(multiple cpu faults)|(system.+state.+changed )|(\[timeout)|(PRM\|1\|D)|(kpr)|(kdp)|(\|lc)|(penalty))" /e /r /s</v>
      </c>
      <c r="AG133" s="1" t="str">
        <f t="shared" si="39"/>
        <v>EC</v>
      </c>
      <c r="AH133" s="86" t="str">
        <f t="shared" si="40"/>
        <v>"%USERPROFILE%\Documents\GitHub\eaglep3\Utilities\RefineRTDCRunTimes.py" --tripid 221-01 --locoid 4046 --swversion DE.1.0.9.0 --startMP 204:449 --initTime 2017-03-01T18:54:16 --startdatetime 2017-03-01T19:00:19 --delay 1 --endMP 204:233304 --enddatetime 2017-03-01T19:37:43 --enforcementcount 0 &gt;&gt;C:\Users\stu\Documents\GitHub\eaglep3-reporting\EC\2017-03-01-refined-times.txt</v>
      </c>
      <c r="AI133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{"issue":{"subject":"","project_id":79,"tracker_id":40,"status_id":1,"priority_id":2,"assigned_to_id":23,"start_date":"2017-03-01","description":"","custom_fields":[{"id":1,"name":"Subdivision","value":"EC"},{"id":4,"name":"Milepost","value":"23.3304"},{"id":17,"name":"Train ID","value":"221-01"},{"id":16,"name":"Locomotive ID","value":"4046"},{"id":130,"name":"Impact","value":""},{"id":150,"name":"Time of Event (Mountain Time)","value":"19:37:43"},{"id":151,"name":"Denver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2"/>
        <v>start /low /b %USERPROFILE%\Documents\GitHub\eaglep3\Utilities\DownloadLogsFromS3.py --loco 4046 --day 2017-03-01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"%USERPROFILE%\AppData\Local\Temp\OnboardLogs"\RTDC4046\*4046*20170302* | grep -SE "(Enforcement Action)|(\[TIMEOUT)|(CHR.+\|PRM\|1\|D.+(SWITCH|SIGNAL).+UNKNOWN)" - &gt;&gt; 2017-03-01-UncaughtWiMAX.txt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645</v>
      </c>
      <c r="B134" s="7">
        <v>4045</v>
      </c>
      <c r="C134" s="21" t="s">
        <v>266</v>
      </c>
      <c r="D134" s="21" t="s">
        <v>324</v>
      </c>
      <c r="E134" s="13">
        <v>42795.824421296296</v>
      </c>
      <c r="F134" s="13">
        <v>42795.830752314818</v>
      </c>
      <c r="G134" s="7">
        <v>1</v>
      </c>
      <c r="H134" s="21" t="s">
        <v>245</v>
      </c>
      <c r="I134" s="13">
        <v>42795.863125000003</v>
      </c>
      <c r="J134" s="7">
        <v>0</v>
      </c>
      <c r="K134" s="98" t="str">
        <f t="shared" si="27"/>
        <v>4045/4046</v>
      </c>
      <c r="L134" s="21" t="str">
        <f>VLOOKUP(A134,'Trips&amp;Operators'!$C$1:$G$99999,5,FALSE)</f>
        <v>WHITED DUSTIN</v>
      </c>
      <c r="M134" s="6">
        <f t="shared" si="28"/>
        <v>3.2372685185691807E-2</v>
      </c>
      <c r="N134" s="7">
        <f t="shared" si="43"/>
        <v>46.616666667396203</v>
      </c>
      <c r="O134" s="7"/>
      <c r="P134" s="7"/>
      <c r="Q134" s="22"/>
      <c r="R134" s="22"/>
      <c r="S134" s="31">
        <f t="shared" si="29"/>
        <v>1</v>
      </c>
      <c r="T134" s="46" t="str">
        <f t="shared" si="30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31"/>
        <v>https://d0f6bd738d7f1b3e5a7ca70fe4ff75f0.us-east-1.aws.found.io/app/kibana#/discover/Steve-Slow-Train-Analysis-(2080s-and-2083s)?_g=(refreshInterval:(display:Off,pause:!f,section:0,value:0),time:(from:'2017-03-01T18:47:10-0700',mode:absolute,to:'2017-03-01T21:42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4" s="187" t="str">
        <f t="shared" si="32"/>
        <v>N</v>
      </c>
      <c r="X134" s="187">
        <f t="shared" si="44"/>
        <v>1</v>
      </c>
      <c r="Y134" s="62">
        <f t="shared" si="33"/>
        <v>23.2989</v>
      </c>
      <c r="Z134" s="62">
        <f t="shared" si="45"/>
        <v>1.41E-2</v>
      </c>
      <c r="AA134" s="62">
        <f t="shared" si="35"/>
        <v>23.284800000000001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6"/>
        <v>0222-01</v>
      </c>
      <c r="AE134" s="85" t="str">
        <f t="shared" si="37"/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AF134" s="82" t="str">
        <f t="shared" si="38"/>
        <v>"C:\Program Files (x86)\AstroGrep\AstroGrep.exe" /spath="%USERPROFILE%\AppData\Local\Temp\OnboardLogs" /stypes="app*4045*20170302*" /stext=" 03:.+((SYSTEM_STATE.+slice.+state.+changed )|(ment ac)|(multiple cpu faults)|(system.+state.+changed )|(\[timeout)|(PRM\|1\|D)|(kpr)|(kdp)|(\|lc)|(penalty))" /e /r /s</v>
      </c>
      <c r="AG134" s="1" t="str">
        <f t="shared" si="39"/>
        <v>EC</v>
      </c>
      <c r="AH134" s="86" t="str">
        <f t="shared" si="40"/>
        <v>"%USERPROFILE%\Documents\GitHub\eaglep3\Utilities\RefineRTDCRunTimes.py" --tripid 222-01 --locoid 4045 --swversion DE.1.0.9.0 --startMP 204:232989 --initTime 2017-03-01T19:47:10 --startdatetime 2017-03-01T19:56:17 --delay 1 --endMP 204:141 --enddatetime 2017-03-01T20:42:54 --enforcementcount 0 &gt;&gt;C:\Users\stu\Documents\GitHub\eaglep3-reporting\EC\2017-03-01-refined-times.txt</v>
      </c>
      <c r="AI134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{"issue":{"subject":"","project_id":79,"tracker_id":40,"status_id":1,"priority_id":2,"assigned_to_id":23,"start_date":"2017-03-01","description":"","custom_fields":[{"id":1,"name":"Subdivision","value":"EC"},{"id":4,"name":"Milepost","value":"0.0141"},{"id":17,"name":"Train ID","value":"222-01"},{"id":16,"name":"Locomotive ID","value":"4045"},{"id":130,"name":"Impact","value":""},{"id":150,"name":"Time of Event (Mountain Time)","value":"20:42:54"},{"id":151,"name":"Denver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2"/>
        <v>start /low /b %USERPROFILE%\Documents\GitHub\eaglep3\Utilities\DownloadLogsFromS3.py --loco 4045 --day 2017-03-01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"%USERPROFILE%\AppData\Local\Temp\OnboardLogs"\RTDC4045\*4045*20170302* | grep -SE "(Enforcement Action)|(\[TIMEOUT)|(CHR.+\|PRM\|1\|D.+(SWITCH|SIGNAL).+UNKNOWN)" - &gt;&gt; 2017-03-01-UncaughtWiMAX.txt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x14ac:dyDescent="0.25">
      <c r="A135" s="33" t="s">
        <v>467</v>
      </c>
      <c r="B135" s="7">
        <v>4002</v>
      </c>
      <c r="C135" s="21" t="s">
        <v>266</v>
      </c>
      <c r="D135" s="21" t="s">
        <v>204</v>
      </c>
      <c r="E135" s="13">
        <v>42795.809895833336</v>
      </c>
      <c r="F135" s="13">
        <v>42795.813090277778</v>
      </c>
      <c r="G135" s="7">
        <v>2</v>
      </c>
      <c r="H135" s="21" t="s">
        <v>685</v>
      </c>
      <c r="I135" s="13">
        <v>42795.841828703706</v>
      </c>
      <c r="J135" s="7">
        <v>0</v>
      </c>
      <c r="K135" s="98" t="str">
        <f t="shared" si="27"/>
        <v>4001/4002</v>
      </c>
      <c r="L135" s="21" t="str">
        <f>VLOOKUP(A135,'Trips&amp;Operators'!$C$1:$G$99999,5,FALSE)</f>
        <v>JACKSON WILLIAM</v>
      </c>
      <c r="M135" s="6">
        <f t="shared" si="28"/>
        <v>2.8738425928167999E-2</v>
      </c>
      <c r="N135" s="7">
        <f t="shared" si="43"/>
        <v>41.383333336561918</v>
      </c>
      <c r="O135" s="7"/>
      <c r="P135" s="7"/>
      <c r="Q135" s="22"/>
      <c r="R135" s="22"/>
      <c r="S135" s="31">
        <f t="shared" si="29"/>
        <v>1</v>
      </c>
      <c r="T135" s="46" t="str">
        <f t="shared" si="30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31"/>
        <v>https://d0f6bd738d7f1b3e5a7ca70fe4ff75f0.us-east-1.aws.found.io/app/kibana#/discover/Steve-Slow-Train-Analysis-(2080s-and-2083s)?_g=(refreshInterval:(display:Off,pause:!f,section:0,value:0),time:(from:'2017-03-01T18:26:15-0700',mode:absolute,to:'2017-03-01T21:12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5" s="187" t="str">
        <f t="shared" si="32"/>
        <v>N</v>
      </c>
      <c r="X135" s="187">
        <f t="shared" si="44"/>
        <v>1</v>
      </c>
      <c r="Y135" s="62">
        <f t="shared" si="33"/>
        <v>4.6199999999999998E-2</v>
      </c>
      <c r="Z135" s="62">
        <f t="shared" si="45"/>
        <v>23.328700000000001</v>
      </c>
      <c r="AA135" s="62">
        <f t="shared" si="35"/>
        <v>23.282500000000002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6"/>
        <v>0223-01</v>
      </c>
      <c r="AE135" s="85" t="str">
        <f t="shared" si="37"/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AF135" s="82" t="str">
        <f t="shared" si="38"/>
        <v>"C:\Program Files (x86)\AstroGrep\AstroGrep.exe" /spath="%USERPROFILE%\AppData\Local\Temp\OnboardLogs" /stypes="app*4002*20170302*" /stext=" 03:.+((SYSTEM_STATE.+slice.+state.+changed )|(ment ac)|(multiple cpu faults)|(system.+state.+changed )|(\[timeout)|(PRM\|1\|D)|(kpr)|(kdp)|(\|lc)|(penalty))" /e /r /s</v>
      </c>
      <c r="AG135" s="1" t="str">
        <f t="shared" si="39"/>
        <v>EC</v>
      </c>
      <c r="AH135" s="86" t="str">
        <f t="shared" si="40"/>
        <v>"%USERPROFILE%\Documents\GitHub\eaglep3\Utilities\RefineRTDCRunTimes.py" --tripid 223-01 --locoid 4002 --swversion DE.1.0.9.0 --startMP 204:462 --initTime 2017-03-01T19:26:15 --startdatetime 2017-03-01T19:30:51 --delay 2 --endMP 204:233287 --enddatetime 2017-03-01T20:12:14 --enforcementcount 0 &gt;&gt;C:\Users\stu\Documents\GitHub\eaglep3-reporting\EC\2017-03-01-refined-times.txt</v>
      </c>
      <c r="AI135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{"issue":{"subject":"","project_id":79,"tracker_id":40,"status_id":1,"priority_id":2,"assigned_to_id":23,"start_date":"2017-03-01","description":"","custom_fields":[{"id":1,"name":"Subdivision","value":"EC"},{"id":4,"name":"Milepost","value":"23.3287"},{"id":17,"name":"Train ID","value":"223-01"},{"id":16,"name":"Locomotive ID","value":"4002"},{"id":130,"name":"Impact","value":""},{"id":150,"name":"Time of Event (Mountain Time)","value":"20:12:14"},{"id":151,"name":"Denver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2"/>
        <v>start /low /b %USERPROFILE%\Documents\GitHub\eaglep3\Utilities\DownloadLogsFromS3.py --loco 4002 --day 2017-03-01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"%USERPROFILE%\AppData\Local\Temp\OnboardLogs"\RTDC4002\*4002*20170302* | grep -SE "(Enforcement Action)|(\[TIMEOUT)|(CHR.+\|PRM\|1\|D.+(SWITCH|SIGNAL).+UNKNOWN)" - &gt;&gt; 2017-03-01-UncaughtWiMAX.txt</v>
      </c>
    </row>
    <row r="136" spans="1:91" s="20" customFormat="1" x14ac:dyDescent="0.25">
      <c r="A136" s="33" t="s">
        <v>469</v>
      </c>
      <c r="B136" s="7">
        <v>4001</v>
      </c>
      <c r="C136" s="21" t="s">
        <v>266</v>
      </c>
      <c r="D136" s="21" t="s">
        <v>410</v>
      </c>
      <c r="E136" s="13">
        <v>42795.846921296295</v>
      </c>
      <c r="F136" s="13">
        <v>42795.851875</v>
      </c>
      <c r="G136" s="7">
        <v>1</v>
      </c>
      <c r="H136" s="21" t="s">
        <v>213</v>
      </c>
      <c r="I136" s="13">
        <v>42795.882743055554</v>
      </c>
      <c r="J136" s="7">
        <v>0</v>
      </c>
      <c r="K136" s="98" t="str">
        <f t="shared" si="27"/>
        <v>4001/4002</v>
      </c>
      <c r="L136" s="21" t="str">
        <f>VLOOKUP(A136,'Trips&amp;Operators'!$C$1:$G$99999,5,FALSE)</f>
        <v>JACKSON WILLIAM</v>
      </c>
      <c r="M136" s="6">
        <f t="shared" si="28"/>
        <v>3.0868055553582963E-2</v>
      </c>
      <c r="N136" s="7">
        <f t="shared" si="43"/>
        <v>44.449999997159466</v>
      </c>
      <c r="O136" s="7"/>
      <c r="P136" s="7"/>
      <c r="Q136" s="22"/>
      <c r="R136" s="22"/>
      <c r="S136" s="31">
        <f t="shared" si="29"/>
        <v>1</v>
      </c>
      <c r="T136" s="46" t="str">
        <f t="shared" si="30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31"/>
        <v>https://d0f6bd738d7f1b3e5a7ca70fe4ff75f0.us-east-1.aws.found.io/app/kibana#/discover/Steve-Slow-Train-Analysis-(2080s-and-2083s)?_g=(refreshInterval:(display:Off,pause:!f,section:0,value:0),time:(from:'2017-03-01T19:19:34-0700',mode:absolute,to:'2017-03-01T22:11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6" s="187" t="str">
        <f t="shared" si="32"/>
        <v>N</v>
      </c>
      <c r="X136" s="187">
        <f t="shared" ref="X136:X167" si="46">VALUE(LEFT(AD136,4))-VALUE(LEFT(AD135,4))</f>
        <v>1</v>
      </c>
      <c r="Y136" s="62">
        <f t="shared" si="33"/>
        <v>23.295999999999999</v>
      </c>
      <c r="Z136" s="62">
        <f t="shared" si="45"/>
        <v>1.54E-2</v>
      </c>
      <c r="AA136" s="62">
        <f t="shared" si="35"/>
        <v>23.2806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6"/>
        <v>0224-01</v>
      </c>
      <c r="AE136" s="85" t="str">
        <f t="shared" si="37"/>
        <v>aws s3 cp s3://rtdc.mdm.uploadarchive.raw/RTDC4001/ "%USERPROFILE%\AppData\Local\Temp\OnboardLogs"\RTDC4001\2017-03-01 --exclude "*" --recursive --include "*20170301*" &amp; "%USERPROFILE%\Documents\GitHub\mrs-test-scripts\Headless Mode &amp; Sideloading\WalkAndUnGZ.bat" "%USERPROFILE%\AppData\Local\Temp\OnboardLogs"\RTDC4001\2017-03-01 &amp; aws s3 cp s3://rtdc.mdm.uploadarchive.raw/RTDC4001/ "%USERPROFILE%\AppData\Local\Temp\OnboardLogs"\RTDC4001\2017-03-02 --exclude "*" --recursive --include "*20170302*" &amp; "%USERPROFILE%\Documents\GitHub\mrs-test-scripts\Headless Mode &amp; Sideloading\WalkAndUnGZ.bat" "%USERPROFILE%\AppData\Local\Temp\OnboardLogs"\RTDC4001\2017-03-02</v>
      </c>
      <c r="AF136" s="82" t="str">
        <f t="shared" si="38"/>
        <v>"C:\Program Files (x86)\AstroGrep\AstroGrep.exe" /spath="%USERPROFILE%\AppData\Local\Temp\OnboardLogs" /stypes="app*4001*20170302*" /stext=" 04:.+((SYSTEM_STATE.+slice.+state.+changed )|(ment ac)|(multiple cpu faults)|(system.+state.+changed )|(\[timeout)|(PRM\|1\|D)|(kpr)|(kdp)|(\|lc)|(penalty))" /e /r /s</v>
      </c>
      <c r="AG136" s="1" t="str">
        <f t="shared" si="39"/>
        <v>EC</v>
      </c>
      <c r="AH136" s="86" t="str">
        <f t="shared" si="40"/>
        <v>"%USERPROFILE%\Documents\GitHub\eaglep3\Utilities\RefineRTDCRunTimes.py" --tripid 224-01 --locoid 4001 --swversion DE.1.0.9.0 --startMP 204:232960 --initTime 2017-03-01T20:19:34 --startdatetime 2017-03-01T20:26:42 --delay 1 --endMP 204:154 --enddatetime 2017-03-01T21:11:09 --enforcementcount 0 &gt;&gt;C:\Users\stu\Documents\GitHub\eaglep3-reporting\EC\2017-03-01-refined-times.txt</v>
      </c>
      <c r="AI136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{"issue":{"subject":"","project_id":79,"tracker_id":40,"status_id":1,"priority_id":2,"assigned_to_id":23,"start_date":"2017-03-01","description":"","custom_fields":[{"id":1,"name":"Subdivision","value":"EC"},{"id":4,"name":"Milepost","value":"0.0154"},{"id":17,"name":"Train ID","value":"224-01"},{"id":16,"name":"Locomotive ID","value":"4001"},{"id":130,"name":"Impact","value":""},{"id":150,"name":"Time of Event (Mountain Time)","value":"21:11:09"},{"id":151,"name":"Denver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2"/>
        <v>start /low /b %USERPROFILE%\Documents\GitHub\eaglep3\Utilities\DownloadLogsFromS3.py --loco 4001 --day 2017-03-01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"%USERPROFILE%\AppData\Local\Temp\OnboardLogs"\RTDC4001\*4001*20170302* | grep -SE "(Enforcement Action)|(\[TIMEOUT)|(CHR.+\|PRM\|1\|D.+(SWITCH|SIGNAL).+UNKNOWN)" - &gt;&gt; 2017-03-01-UncaughtWiMAX.txt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646</v>
      </c>
      <c r="B137" s="7">
        <v>4011</v>
      </c>
      <c r="C137" s="21" t="s">
        <v>266</v>
      </c>
      <c r="D137" s="21" t="s">
        <v>225</v>
      </c>
      <c r="E137" s="13">
        <v>42795.828368055554</v>
      </c>
      <c r="F137" s="13">
        <v>42795.833506944444</v>
      </c>
      <c r="G137" s="7">
        <v>1</v>
      </c>
      <c r="H137" s="21" t="s">
        <v>412</v>
      </c>
      <c r="I137" s="13">
        <v>42795.859780092593</v>
      </c>
      <c r="J137" s="7">
        <v>0</v>
      </c>
      <c r="K137" s="98" t="str">
        <f t="shared" si="27"/>
        <v>4011/4012</v>
      </c>
      <c r="L137" s="21" t="str">
        <f>VLOOKUP(A137,'Trips&amp;Operators'!$C$1:$G$99999,5,FALSE)</f>
        <v>BROWN JACOB</v>
      </c>
      <c r="M137" s="6">
        <f t="shared" si="28"/>
        <v>2.6273148148902692E-2</v>
      </c>
      <c r="N137" s="7">
        <f t="shared" si="43"/>
        <v>37.833333334419876</v>
      </c>
      <c r="O137" s="7"/>
      <c r="P137" s="7"/>
      <c r="Q137" s="22"/>
      <c r="R137" s="22"/>
      <c r="S137" s="31">
        <f t="shared" si="29"/>
        <v>1</v>
      </c>
      <c r="T137" s="46" t="str">
        <f t="shared" si="30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31"/>
        <v>https://d0f6bd738d7f1b3e5a7ca70fe4ff75f0.us-east-1.aws.found.io/app/kibana#/discover/Steve-Slow-Train-Analysis-(2080s-and-2083s)?_g=(refreshInterval:(display:Off,pause:!f,section:0,value:0),time:(from:'2017-03-01T18:52:51-0700',mode:absolute,to:'2017-03-01T21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7" s="187" t="str">
        <f t="shared" si="32"/>
        <v>N</v>
      </c>
      <c r="X137" s="187">
        <f t="shared" si="46"/>
        <v>1</v>
      </c>
      <c r="Y137" s="62">
        <f t="shared" si="33"/>
        <v>4.5699999999999998E-2</v>
      </c>
      <c r="Z137" s="62">
        <f t="shared" si="45"/>
        <v>23.327400000000001</v>
      </c>
      <c r="AA137" s="62">
        <f t="shared" si="35"/>
        <v>23.281700000000001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6"/>
        <v>0225-01</v>
      </c>
      <c r="AE137" s="85" t="str">
        <f t="shared" si="37"/>
        <v>aws s3 cp s3://rtdc.mdm.uploadarchive.raw/RTDC4011/ "%USERPROFILE%\AppData\Local\Temp\OnboardLogs"\RTDC4011\2017-03-01 --exclude "*" --recursive --include "*20170301*" &amp; "%USERPROFILE%\Documents\GitHub\mrs-test-scripts\Headless Mode &amp; Sideloading\WalkAndUnGZ.bat" "%USERPROFILE%\AppData\Local\Temp\OnboardLogs"\RTDC4011\2017-03-01 &amp; aws s3 cp s3://rtdc.mdm.uploadarchive.raw/RTDC4011/ "%USERPROFILE%\AppData\Local\Temp\OnboardLogs"\RTDC4011\2017-03-02 --exclude "*" --recursive --include "*20170302*" &amp; "%USERPROFILE%\Documents\GitHub\mrs-test-scripts\Headless Mode &amp; Sideloading\WalkAndUnGZ.bat" "%USERPROFILE%\AppData\Local\Temp\OnboardLogs"\RTDC4011\2017-03-02</v>
      </c>
      <c r="AF137" s="82" t="str">
        <f t="shared" si="38"/>
        <v>"C:\Program Files (x86)\AstroGrep\AstroGrep.exe" /spath="%USERPROFILE%\AppData\Local\Temp\OnboardLogs" /stypes="app*4011*20170302*" /stext=" 03:.+((SYSTEM_STATE.+slice.+state.+changed )|(ment ac)|(multiple cpu faults)|(system.+state.+changed )|(\[timeout)|(PRM\|1\|D)|(kpr)|(kdp)|(\|lc)|(penalty))" /e /r /s</v>
      </c>
      <c r="AG137" s="1" t="str">
        <f t="shared" si="39"/>
        <v>EC</v>
      </c>
      <c r="AH137" s="86" t="str">
        <f t="shared" si="40"/>
        <v>"%USERPROFILE%\Documents\GitHub\eaglep3\Utilities\RefineRTDCRunTimes.py" --tripid 225-01 --locoid 4011 --swversion DE.1.0.9.0 --startMP 204:457 --initTime 2017-03-01T19:52:51 --startdatetime 2017-03-01T20:00:15 --delay 1 --endMP 204:233274 --enddatetime 2017-03-01T20:38:05 --enforcementcount 0 &gt;&gt;C:\Users\stu\Documents\GitHub\eaglep3-reporting\EC\2017-03-01-refined-times.txt</v>
      </c>
      <c r="AI137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{"issue":{"subject":"","project_id":79,"tracker_id":40,"status_id":1,"priority_id":2,"assigned_to_id":23,"start_date":"2017-03-01","description":"","custom_fields":[{"id":1,"name":"Subdivision","value":"EC"},{"id":4,"name":"Milepost","value":"23.3274"},{"id":17,"name":"Train ID","value":"225-01"},{"id":16,"name":"Locomotive ID","value":"4011"},{"id":130,"name":"Impact","value":""},{"id":150,"name":"Time of Event (Mountain Time)","value":"20:38:05"},{"id":151,"name":"Denver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2"/>
        <v>start /low /b %USERPROFILE%\Documents\GitHub\eaglep3\Utilities\DownloadLogsFromS3.py --loco 4011 --day 2017-03-01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"%USERPROFILE%\AppData\Local\Temp\OnboardLogs"\RTDC4011\*4011*20170302* | grep -SE "(Enforcement Action)|(\[TIMEOUT)|(CHR.+\|PRM\|1\|D.+(SWITCH|SIGNAL).+UNKNOWN)" - &gt;&gt; 2017-03-01-UncaughtWiMAX.txt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470</v>
      </c>
      <c r="B138" s="7">
        <v>4012</v>
      </c>
      <c r="C138" s="21" t="s">
        <v>266</v>
      </c>
      <c r="D138" s="21" t="s">
        <v>411</v>
      </c>
      <c r="E138" s="13">
        <v>42795.867349537039</v>
      </c>
      <c r="F138" s="13">
        <v>42795.872384259259</v>
      </c>
      <c r="G138" s="7">
        <v>5</v>
      </c>
      <c r="H138" s="21">
        <v>8.5270833333333336</v>
      </c>
      <c r="I138" s="13">
        <v>42795.901678240742</v>
      </c>
      <c r="J138" s="7">
        <v>0</v>
      </c>
      <c r="K138" s="98" t="str">
        <f t="shared" si="27"/>
        <v>4011/4012</v>
      </c>
      <c r="L138" s="21" t="str">
        <f>VLOOKUP(A138,'Trips&amp;Operators'!$C$1:$G$99999,5,FALSE)</f>
        <v>BROWN JACOB</v>
      </c>
      <c r="M138" s="6">
        <f t="shared" si="28"/>
        <v>2.9293981482624076E-2</v>
      </c>
      <c r="N138" s="7">
        <f t="shared" si="43"/>
        <v>42.18333333497867</v>
      </c>
      <c r="O138" s="7"/>
      <c r="P138" s="7"/>
      <c r="Q138" s="22"/>
      <c r="R138" s="22" t="s">
        <v>865</v>
      </c>
      <c r="S138" s="31">
        <f t="shared" si="29"/>
        <v>1</v>
      </c>
      <c r="T138" s="46" t="str">
        <f t="shared" si="30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31"/>
        <v>https://d0f6bd738d7f1b3e5a7ca70fe4ff75f0.us-east-1.aws.found.io/app/kibana#/discover/Steve-Slow-Train-Analysis-(2080s-and-2083s)?_g=(refreshInterval:(display:Off,pause:!f,section:0,value:0),time:(from:'2017-03-01T19:48:59-0700',mode:absolute,to:'2017-03-01T22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8" s="187" t="str">
        <f t="shared" si="32"/>
        <v>N</v>
      </c>
      <c r="X138" s="187">
        <f t="shared" si="46"/>
        <v>1</v>
      </c>
      <c r="Y138" s="62">
        <f t="shared" si="33"/>
        <v>23.298100000000002</v>
      </c>
      <c r="Z138" s="62">
        <v>3.8999999999999998E-3</v>
      </c>
      <c r="AA138" s="62">
        <f t="shared" si="35"/>
        <v>23.2942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6"/>
        <v>0226-01</v>
      </c>
      <c r="AE138" s="85" t="str">
        <f t="shared" si="37"/>
        <v>aws s3 cp s3://rtdc.mdm.uploadarchive.raw/RTDC4012/ "%USERPROFILE%\AppData\Local\Temp\OnboardLogs"\RTDC4012\2017-03-01 --exclude "*" --recursive --include "*20170301*" &amp; "%USERPROFILE%\Documents\GitHub\mrs-test-scripts\Headless Mode &amp; Sideloading\WalkAndUnGZ.bat" "%USERPROFILE%\AppData\Local\Temp\OnboardLogs"\RTDC4012\2017-03-01 &amp; aws s3 cp s3://rtdc.mdm.uploadarchive.raw/RTDC4012/ "%USERPROFILE%\AppData\Local\Temp\OnboardLogs"\RTDC4012\2017-03-02 --exclude "*" --recursive --include "*20170302*" &amp; "%USERPROFILE%\Documents\GitHub\mrs-test-scripts\Headless Mode &amp; Sideloading\WalkAndUnGZ.bat" "%USERPROFILE%\AppData\Local\Temp\OnboardLogs"\RTDC4012\2017-03-02</v>
      </c>
      <c r="AF138" s="82" t="str">
        <f t="shared" si="38"/>
        <v>"C:\Program Files (x86)\AstroGrep\AstroGrep.exe" /spath="%USERPROFILE%\AppData\Local\Temp\OnboardLogs" /stypes="app*4012*20170302*" /stext=" 04:.+((SYSTEM_STATE.+slice.+state.+changed )|(ment ac)|(multiple cpu faults)|(system.+state.+changed )|(\[timeout)|(PRM\|1\|D)|(kpr)|(kdp)|(\|lc)|(penalty))" /e /r /s</v>
      </c>
      <c r="AG138" s="1" t="str">
        <f t="shared" si="39"/>
        <v>EC</v>
      </c>
      <c r="AH138" s="86" t="str">
        <f t="shared" si="40"/>
        <v>"%USERPROFILE%\Documents\GitHub\eaglep3\Utilities\RefineRTDCRunTimes.py" --tripid 226-01 --locoid 4012 --swversion DE.1.0.9.0 --startMP 204:232981 --initTime 2017-03-01T20:48:59 --startdatetime 2017-03-01T20:56:14 --delay 5 --endMP 8.52708333333333 --enddatetime 2017-03-01T21:38:25 --enforcementcount 0 &gt;&gt;C:\Users\stu\Documents\GitHub\eaglep3-reporting\EC\2017-03-01-refined-times.txt</v>
      </c>
      <c r="AI138" s="108" t="str">
        <f t="shared" si="41"/>
        <v>echo {"issue":{"subject":"CPU-1 commanded penalty, then voted out, resulted in no enforcement","project_id":79,"tracker_id":40,"status_id":1,"priority_id":2,"assigned_to_id":23,"start_date":"2017-03-01","description":"","custom_fields":[{"id":1,"name":"Subdivision","value":"EC"},{"id":4,"name":"Milepost","value":"0.0039"},{"id":17,"name":"Train ID","value":"226-01"},{"id":16,"name":"Locomotive ID","value":"4012"},{"id":130,"name":"Impact","value":""},{"id":150,"name":"Time of Event (Mountain Time)","value":"21:38:25"},{"id":151,"name":"Denver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2"/>
        <v>start /low /b %USERPROFILE%\Documents\GitHub\eaglep3\Utilities\DownloadLogsFromS3.py --loco 4012 --day 2017-03-01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"%USERPROFILE%\AppData\Local\Temp\OnboardLogs"\RTDC4012\*4012*20170302* | grep -SE "(Enforcement Action)|(\[TIMEOUT)|(CHR.+\|PRM\|1\|D.+(SWITCH|SIGNAL).+UNKNOWN)" - &gt;&gt; 2017-03-01-UncaughtWiMAX.txt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468</v>
      </c>
      <c r="B139" s="7">
        <v>4029</v>
      </c>
      <c r="C139" s="21" t="s">
        <v>266</v>
      </c>
      <c r="D139" s="21" t="s">
        <v>238</v>
      </c>
      <c r="E139" s="13">
        <v>42795.851597222223</v>
      </c>
      <c r="F139" s="13">
        <v>42795.854351851849</v>
      </c>
      <c r="G139" s="7">
        <v>1</v>
      </c>
      <c r="H139" s="21" t="s">
        <v>274</v>
      </c>
      <c r="I139" s="13">
        <v>42795.881736111114</v>
      </c>
      <c r="J139" s="7">
        <v>0</v>
      </c>
      <c r="K139" s="98" t="str">
        <f t="shared" si="27"/>
        <v>4029/4030</v>
      </c>
      <c r="L139" s="21" t="str">
        <f>VLOOKUP(A139,'Trips&amp;Operators'!$C$1:$G$99999,5,FALSE)</f>
        <v>NEWELL JAMES</v>
      </c>
      <c r="M139" s="6">
        <f t="shared" si="28"/>
        <v>2.7384259265090805E-2</v>
      </c>
      <c r="N139" s="7">
        <f t="shared" si="43"/>
        <v>39.433333341730759</v>
      </c>
      <c r="O139" s="7"/>
      <c r="P139" s="7"/>
      <c r="Q139" s="22"/>
      <c r="R139" s="22"/>
      <c r="S139" s="31">
        <f t="shared" si="29"/>
        <v>1</v>
      </c>
      <c r="T139" s="46" t="str">
        <f t="shared" si="30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31"/>
        <v>https://d0f6bd738d7f1b3e5a7ca70fe4ff75f0.us-east-1.aws.found.io/app/kibana#/discover/Steve-Slow-Train-Analysis-(2080s-and-2083s)?_g=(refreshInterval:(display:Off,pause:!f,section:0,value:0),time:(from:'2017-03-01T19:26:18-0700',mode:absolute,to:'2017-03-01T22:09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9" s="187" t="str">
        <f t="shared" si="32"/>
        <v>N</v>
      </c>
      <c r="X139" s="187">
        <f t="shared" si="46"/>
        <v>1</v>
      </c>
      <c r="Y139" s="62">
        <f t="shared" si="33"/>
        <v>4.4600000000000001E-2</v>
      </c>
      <c r="Z139" s="62">
        <f t="shared" ref="Z139:Z170" si="47">RIGHT(H139,LEN(H139)-4)/10000</f>
        <v>23.331399999999999</v>
      </c>
      <c r="AA139" s="62">
        <f t="shared" si="35"/>
        <v>23.286799999999999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6"/>
        <v>0227-01</v>
      </c>
      <c r="AE139" s="85" t="str">
        <f t="shared" si="37"/>
        <v>aws s3 cp s3://rtdc.mdm.uploadarchive.raw/RTDC4029/ "%USERPROFILE%\AppData\Local\Temp\OnboardLogs"\RTDC4029\2017-03-01 --exclude "*" --recursive --include "*20170301*" &amp; "%USERPROFILE%\Documents\GitHub\mrs-test-scripts\Headless Mode &amp; Sideloading\WalkAndUnGZ.bat" "%USERPROFILE%\AppData\Local\Temp\OnboardLogs"\RTDC4029\2017-03-01 &amp; aws s3 cp s3://rtdc.mdm.uploadarchive.raw/RTDC4029/ "%USERPROFILE%\AppData\Local\Temp\OnboardLogs"\RTDC4029\2017-03-02 --exclude "*" --recursive --include "*20170302*" &amp; "%USERPROFILE%\Documents\GitHub\mrs-test-scripts\Headless Mode &amp; Sideloading\WalkAndUnGZ.bat" "%USERPROFILE%\AppData\Local\Temp\OnboardLogs"\RTDC4029\2017-03-02</v>
      </c>
      <c r="AF139" s="82" t="str">
        <f t="shared" si="38"/>
        <v>"C:\Program Files (x86)\AstroGrep\AstroGrep.exe" /spath="%USERPROFILE%\AppData\Local\Temp\OnboardLogs" /stypes="app*4029*20170302*" /stext=" 04:.+((SYSTEM_STATE.+slice.+state.+changed )|(ment ac)|(multiple cpu faults)|(system.+state.+changed )|(\[timeout)|(PRM\|1\|D)|(kpr)|(kdp)|(\|lc)|(penalty))" /e /r /s</v>
      </c>
      <c r="AG139" s="1" t="str">
        <f t="shared" si="39"/>
        <v>EC</v>
      </c>
      <c r="AH139" s="86" t="str">
        <f t="shared" si="40"/>
        <v>"%USERPROFILE%\Documents\GitHub\eaglep3\Utilities\RefineRTDCRunTimes.py" --tripid 227-01 --locoid 4029 --swversion DE.1.0.9.0 --startMP 204:446 --initTime 2017-03-01T20:26:18 --startdatetime 2017-03-01T20:30:16 --delay 1 --endMP 204:233314 --enddatetime 2017-03-01T21:09:42 --enforcementcount 0 &gt;&gt;C:\Users\stu\Documents\GitHub\eaglep3-reporting\EC\2017-03-01-refined-times.txt</v>
      </c>
      <c r="AI139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{"issue":{"subject":"","project_id":79,"tracker_id":40,"status_id":1,"priority_id":2,"assigned_to_id":23,"start_date":"2017-03-01","description":"","custom_fields":[{"id":1,"name":"Subdivision","value":"EC"},{"id":4,"name":"Milepost","value":"23.3314"},{"id":17,"name":"Train ID","value":"227-01"},{"id":16,"name":"Locomotive ID","value":"4029"},{"id":130,"name":"Impact","value":""},{"id":150,"name":"Time of Event (Mountain Time)","value":"21:09:42"},{"id":151,"name":"Denver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2"/>
        <v>start /low /b %USERPROFILE%\Documents\GitHub\eaglep3\Utilities\DownloadLogsFromS3.py --loco 4029 --day 2017-03-01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"%USERPROFILE%\AppData\Local\Temp\OnboardLogs"\RTDC4029\*4029*20170302* | grep -SE "(Enforcement Action)|(\[TIMEOUT)|(CHR.+\|PRM\|1\|D.+(SWITCH|SIGNAL).+UNKNOWN)" - &gt;&gt; 2017-03-01-UncaughtWiMAX.txt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654</v>
      </c>
      <c r="B140" s="7">
        <v>4030</v>
      </c>
      <c r="C140" s="21" t="s">
        <v>266</v>
      </c>
      <c r="D140" s="21" t="s">
        <v>403</v>
      </c>
      <c r="E140" s="13">
        <v>42795.883599537039</v>
      </c>
      <c r="F140" s="13">
        <v>42795.893333333333</v>
      </c>
      <c r="G140" s="7">
        <v>1</v>
      </c>
      <c r="H140" s="21" t="s">
        <v>277</v>
      </c>
      <c r="I140" s="13">
        <v>42795.921435185184</v>
      </c>
      <c r="J140" s="7">
        <v>0</v>
      </c>
      <c r="K140" s="98" t="str">
        <f t="shared" si="27"/>
        <v>4029/4030</v>
      </c>
      <c r="L140" s="21" t="str">
        <f>VLOOKUP(A140,'Trips&amp;Operators'!$C$1:$G$99999,5,FALSE)</f>
        <v>NEWELL JAMES</v>
      </c>
      <c r="M140" s="6">
        <f t="shared" si="28"/>
        <v>2.810185185080627E-2</v>
      </c>
      <c r="N140" s="7">
        <f t="shared" si="43"/>
        <v>40.466666665161029</v>
      </c>
      <c r="O140" s="7"/>
      <c r="P140" s="7"/>
      <c r="Q140" s="22"/>
      <c r="R140" s="22"/>
      <c r="S140" s="31">
        <f t="shared" si="29"/>
        <v>1</v>
      </c>
      <c r="T140" s="46" t="str">
        <f t="shared" si="30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31"/>
        <v>https://d0f6bd738d7f1b3e5a7ca70fe4ff75f0.us-east-1.aws.found.io/app/kibana#/discover/Steve-Slow-Train-Analysis-(2080s-and-2083s)?_g=(refreshInterval:(display:Off,pause:!f,section:0,value:0),time:(from:'2017-03-01T20:12:23-0700',mode:absolute,to:'2017-03-01T23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0" s="187" t="str">
        <f t="shared" si="32"/>
        <v>N</v>
      </c>
      <c r="X140" s="187">
        <f t="shared" si="46"/>
        <v>1</v>
      </c>
      <c r="Y140" s="62">
        <f t="shared" si="33"/>
        <v>23.299099999999999</v>
      </c>
      <c r="Z140" s="62">
        <f t="shared" si="47"/>
        <v>1.6500000000000001E-2</v>
      </c>
      <c r="AA140" s="62">
        <f t="shared" si="35"/>
        <v>23.282599999999999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6"/>
        <v>0228-01</v>
      </c>
      <c r="AE140" s="85" t="str">
        <f t="shared" si="37"/>
        <v>aws s3 cp s3://rtdc.mdm.uploadarchive.raw/RTDC4030/ "%USERPROFILE%\AppData\Local\Temp\OnboardLogs"\RTDC4030\2017-03-01 --exclude "*" --recursive --include "*20170301*" &amp; "%USERPROFILE%\Documents\GitHub\mrs-test-scripts\Headless Mode &amp; Sideloading\WalkAndUnGZ.bat" "%USERPROFILE%\AppData\Local\Temp\OnboardLogs"\RTDC4030\2017-03-01 &amp; aws s3 cp s3://rtdc.mdm.uploadarchive.raw/RTDC4030/ "%USERPROFILE%\AppData\Local\Temp\OnboardLogs"\RTDC4030\2017-03-02 --exclude "*" --recursive --include "*20170302*" &amp; "%USERPROFILE%\Documents\GitHub\mrs-test-scripts\Headless Mode &amp; Sideloading\WalkAndUnGZ.bat" "%USERPROFILE%\AppData\Local\Temp\OnboardLogs"\RTDC4030\2017-03-02</v>
      </c>
      <c r="AF140" s="82" t="str">
        <f t="shared" si="38"/>
        <v>"C:\Program Files (x86)\AstroGrep\AstroGrep.exe" /spath="%USERPROFILE%\AppData\Local\Temp\OnboardLogs" /stypes="app*4030*20170302*" /stext=" 05:.+((SYSTEM_STATE.+slice.+state.+changed )|(ment ac)|(multiple cpu faults)|(system.+state.+changed )|(\[timeout)|(PRM\|1\|D)|(kpr)|(kdp)|(\|lc)|(penalty))" /e /r /s</v>
      </c>
      <c r="AG140" s="1" t="str">
        <f t="shared" si="39"/>
        <v>EC</v>
      </c>
      <c r="AH140" s="86" t="str">
        <f t="shared" si="40"/>
        <v>"%USERPROFILE%\Documents\GitHub\eaglep3\Utilities\RefineRTDCRunTimes.py" --tripid 228-01 --locoid 4030 --swversion DE.1.0.9.0 --startMP 204:232991 --initTime 2017-03-01T21:12:23 --startdatetime 2017-03-01T21:26:24 --delay 1 --endMP 204:165 --enddatetime 2017-03-01T22:06:52 --enforcementcount 0 &gt;&gt;C:\Users\stu\Documents\GitHub\eaglep3-reporting\EC\2017-03-01-refined-times.txt</v>
      </c>
      <c r="AI140" s="108" t="str">
        <f t="shared" si="41"/>
        <v>echo {"issue":{"subject":"","project_id":79,"tracker_id":40,"status_id":1,"priority_id":2,"assigned_to_id":23,"start_date":"2017-03-01","description":"","custom_fields":[{"id":1,"name":"Subdivision","value":"EC"},{"id":4,"name":"Milepost","value":"0.0165"},{"id":17,"name":"Train ID","value":"228-01"},{"id":16,"name":"Locomotive ID","value":"4030"},{"id":130,"name":"Impact","value":""},{"id":150,"name":"Time of Event (Mountain Time)","value":"22:06:52"},{"id":151,"name":"Denver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2"/>
        <v>start /low /b %USERPROFILE%\Documents\GitHub\eaglep3\Utilities\DownloadLogsFromS3.py --loco 4030 --day 2017-03-01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"%USERPROFILE%\AppData\Local\Temp\OnboardLogs"\RTDC4030\*4030*20170302* | grep -SE "(Enforcement Action)|(\[TIMEOUT)|(CHR.+\|PRM\|1\|D.+(SWITCH|SIGNAL).+UNKNOWN)" - &gt;&gt; 2017-03-01-UncaughtWiMAX.txt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3" t="s">
        <v>653</v>
      </c>
      <c r="B141" s="7">
        <v>4046</v>
      </c>
      <c r="C141" s="21" t="s">
        <v>266</v>
      </c>
      <c r="D141" s="21" t="s">
        <v>224</v>
      </c>
      <c r="E141" s="13">
        <v>42795.865949074076</v>
      </c>
      <c r="F141" s="13">
        <v>42795.875185185185</v>
      </c>
      <c r="G141" s="7">
        <v>8</v>
      </c>
      <c r="H141" s="21" t="s">
        <v>742</v>
      </c>
      <c r="I141" s="13">
        <v>42795.900451388887</v>
      </c>
      <c r="J141" s="7">
        <v>0</v>
      </c>
      <c r="K141" s="98" t="str">
        <f t="shared" ref="K141:K204" si="48">IF(ISEVEN(B141),(B141-1)&amp;"/"&amp;B141,B141&amp;"/"&amp;(B141+1))</f>
        <v>4045/4046</v>
      </c>
      <c r="L141" s="21" t="str">
        <f>VLOOKUP(A141,'Trips&amp;Operators'!$C$1:$G$99999,5,FALSE)</f>
        <v>DELGADO DIANAH</v>
      </c>
      <c r="M141" s="6">
        <f t="shared" ref="M141:M204" si="49">I141-F141</f>
        <v>2.5266203701903578E-2</v>
      </c>
      <c r="N141" s="7">
        <f t="shared" si="43"/>
        <v>36.383333330741152</v>
      </c>
      <c r="O141" s="7"/>
      <c r="P141" s="7"/>
      <c r="Q141" s="22"/>
      <c r="R141" s="22"/>
      <c r="S141" s="31">
        <f t="shared" ref="S141:S204" si="50">SUM(U141:U141)/IF(AG141="EC",12,1)</f>
        <v>1</v>
      </c>
      <c r="T141" s="46" t="str">
        <f t="shared" ref="T141:T204" si="51">IF(ISEVEN(LEFT(AD141,4)),"Southbound","NorthBound")</f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-01T19:46:58-0700',mode:absolute,to:'2017-03-01T22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1" s="187" t="str">
        <f t="shared" ref="W141:W204" si="53">IF(AA141&lt;IF(AG141="EC",23,5.65),"Y","N")</f>
        <v>N</v>
      </c>
      <c r="X141" s="187">
        <f t="shared" si="46"/>
        <v>1</v>
      </c>
      <c r="Y141" s="62">
        <f t="shared" ref="Y141:Y204" si="54">RIGHT(D141,LEN(D141)-4)/10000</f>
        <v>4.5100000000000001E-2</v>
      </c>
      <c r="Z141" s="62">
        <f t="shared" si="47"/>
        <v>23.332899999999999</v>
      </c>
      <c r="AA141" s="62">
        <f t="shared" ref="AA141:AA204" si="55">ABS(Z141-Y141)</f>
        <v>23.287799999999997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6">IF(LEN(A141)=6,"0"&amp;A141,A141)</f>
        <v>0229-01</v>
      </c>
      <c r="AE141" s="85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AF141" s="82" t="str">
        <f t="shared" ref="AF141:AF204" si="5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/stypes="app*4046*20170302*" /stext=" 04:.+((SYSTEM_STATE.+slice.+state.+changed )|(ment ac)|(multiple cpu faults)|(system.+state.+changed )|(\[timeout)|(PRM\|1\|D)|(kpr)|(kdp)|(\|lc)|(penalty))" /e /r /s</v>
      </c>
      <c r="AG141" s="1" t="str">
        <f t="shared" ref="AG141:AG204" si="59">IFERROR(IF(VALUE(LEFT(AD141,2))&lt;=2,"EC",IF(OR(VALUE(LEFT(AD141,2))=8,VALUE(LEFT(AD141,2))=18),"NW","Other")),"Other")</f>
        <v>EC</v>
      </c>
      <c r="AH141" s="86" t="str">
        <f t="shared" ref="AH141:AH204" si="6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229-01 --locoid 4046 --swversion DE.1.0.9.0 --startMP 204:451 --initTime 2017-03-01T20:46:58 --startdatetime 2017-03-01T21:00:16 --delay 8 --endMP 204:233329 --enddatetime 2017-03-01T21:36:39 --enforcementcount 0 &gt;&gt;C:\Users\stu\Documents\GitHub\eaglep3-reporting\EC\2017-03-01-refined-times.txt</v>
      </c>
      <c r="AI141" s="108" t="str">
        <f t="shared" ref="AI141:AI204" si="6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{"issue":{"subject":"","project_id":79,"tracker_id":40,"status_id":1,"priority_id":2,"assigned_to_id":23,"start_date":"2017-03-01","description":"","custom_fields":[{"id":1,"name":"Subdivision","value":"EC"},{"id":4,"name":"Milepost","value":"23.3329"},{"id":17,"name":"Train ID","value":"229-01"},{"id":16,"name":"Locomotive ID","value":"4046"},{"id":130,"name":"Impact","value":""},{"id":150,"name":"Time of Event (Mountain Time)","value":"21:36:39"},{"id":151,"name":"Denver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ref="AM141:AM204" si="62">"start /low /b "&amp;dls3logs&amp;" --loco "&amp;B141&amp;" --day "&amp;TEXT(F141,"YYYY-MM-DD")</f>
        <v>start /low /b %USERPROFILE%\Documents\GitHub\eaglep3\Utilities\DownloadLogsFromS3.py --loco 4046 --day 2017-03-01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"%USERPROFILE%\AppData\Local\Temp\OnboardLogs"\RTDC4046\*4046*20170302* | grep -SE "(Enforcement Action)|(\[TIMEOUT)|(CHR.+\|PRM\|1\|D.+(SWITCH|SIGNAL).+UNKNOWN)" - &gt;&gt; 2017-03-01-UncaughtWiMAX.txt</v>
      </c>
    </row>
    <row r="142" spans="1:91" s="20" customFormat="1" x14ac:dyDescent="0.25">
      <c r="A142" s="33" t="s">
        <v>658</v>
      </c>
      <c r="B142" s="7">
        <v>4045</v>
      </c>
      <c r="C142" s="21" t="s">
        <v>266</v>
      </c>
      <c r="D142" s="21" t="s">
        <v>316</v>
      </c>
      <c r="E142" s="13">
        <v>42795.902754629627</v>
      </c>
      <c r="F142" s="13">
        <v>42795.914074074077</v>
      </c>
      <c r="G142" s="7">
        <v>12</v>
      </c>
      <c r="H142" s="21" t="s">
        <v>342</v>
      </c>
      <c r="I142" s="13">
        <v>42795.941689814812</v>
      </c>
      <c r="J142" s="7">
        <v>0</v>
      </c>
      <c r="K142" s="98" t="str">
        <f t="shared" si="48"/>
        <v>4045/4046</v>
      </c>
      <c r="L142" s="21" t="str">
        <f>VLOOKUP(A142,'Trips&amp;Operators'!$C$1:$G$99999,5,FALSE)</f>
        <v>DELGADO DIANAH</v>
      </c>
      <c r="M142" s="6">
        <f t="shared" si="49"/>
        <v>2.7615740735200234E-2</v>
      </c>
      <c r="N142" s="7">
        <f t="shared" si="43"/>
        <v>39.766666658688337</v>
      </c>
      <c r="O142" s="7"/>
      <c r="P142" s="7"/>
      <c r="Q142" s="22"/>
      <c r="R142" s="22"/>
      <c r="S142" s="31">
        <f t="shared" si="50"/>
        <v>1</v>
      </c>
      <c r="T142" s="46" t="str">
        <f t="shared" si="51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2"/>
        <v>https://d0f6bd738d7f1b3e5a7ca70fe4ff75f0.us-east-1.aws.found.io/app/kibana#/discover/Steve-Slow-Train-Analysis-(2080s-and-2083s)?_g=(refreshInterval:(display:Off,pause:!f,section:0,value:0),time:(from:'2017-03-01T20:39:58-0700',mode:absolute,to:'2017-03-01T23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2" s="187" t="str">
        <f t="shared" si="53"/>
        <v>N</v>
      </c>
      <c r="X142" s="187">
        <f t="shared" si="46"/>
        <v>1</v>
      </c>
      <c r="Y142" s="62">
        <f t="shared" si="54"/>
        <v>23.299800000000001</v>
      </c>
      <c r="Z142" s="62">
        <f t="shared" si="47"/>
        <v>1.34E-2</v>
      </c>
      <c r="AA142" s="62">
        <f t="shared" si="55"/>
        <v>23.2864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6"/>
        <v>0230-01</v>
      </c>
      <c r="AE142" s="85" t="str">
        <f t="shared" si="57"/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AF142" s="82" t="str">
        <f t="shared" si="58"/>
        <v>"C:\Program Files (x86)\AstroGrep\AstroGrep.exe" /spath="%USERPROFILE%\AppData\Local\Temp\OnboardLogs" /stypes="app*4045*20170302*" /stext=" 05:.+((SYSTEM_STATE.+slice.+state.+changed )|(ment ac)|(multiple cpu faults)|(system.+state.+changed )|(\[timeout)|(PRM\|1\|D)|(kpr)|(kdp)|(\|lc)|(penalty))" /e /r /s</v>
      </c>
      <c r="AG142" s="1" t="str">
        <f t="shared" si="59"/>
        <v>EC</v>
      </c>
      <c r="AH142" s="86" t="str">
        <f t="shared" si="60"/>
        <v>"%USERPROFILE%\Documents\GitHub\eaglep3\Utilities\RefineRTDCRunTimes.py" --tripid 230-01 --locoid 4045 --swversion DE.1.0.9.0 --startMP 204:232998 --initTime 2017-03-01T21:39:58 --startdatetime 2017-03-01T21:56:16 --delay 12 --endMP 204:134 --enddatetime 2017-03-01T22:36:02 --enforcementcount 0 &gt;&gt;C:\Users\stu\Documents\GitHub\eaglep3-reporting\EC\2017-03-01-refined-times.txt</v>
      </c>
      <c r="AI142" s="108" t="str">
        <f t="shared" si="61"/>
        <v>echo {"issue":{"subject":"","project_id":79,"tracker_id":40,"status_id":1,"priority_id":2,"assigned_to_id":23,"start_date":"2017-03-01","description":"","custom_fields":[{"id":1,"name":"Subdivision","value":"EC"},{"id":4,"name":"Milepost","value":"0.0134"},{"id":17,"name":"Train ID","value":"230-01"},{"id":16,"name":"Locomotive ID","value":"4045"},{"id":130,"name":"Impact","value":""},{"id":150,"name":"Time of Event (Mountain Time)","value":"22:36:02"},{"id":151,"name":"Denver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62"/>
        <v>start /low /b %USERPROFILE%\Documents\GitHub\eaglep3\Utilities\DownloadLogsFromS3.py --loco 4045 --day 2017-03-01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"%USERPROFILE%\AppData\Local\Temp\OnboardLogs"\RTDC4045\*4045*20170302* | grep -SE "(Enforcement Action)|(\[TIMEOUT)|(CHR.+\|PRM\|1\|D.+(SWITCH|SIGNAL).+UNKNOWN)" - &gt;&gt; 2017-03-01-UncaughtWiMAX.txt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656</v>
      </c>
      <c r="B143" s="7">
        <v>4002</v>
      </c>
      <c r="C143" s="21" t="s">
        <v>266</v>
      </c>
      <c r="D143" s="21" t="s">
        <v>225</v>
      </c>
      <c r="E143" s="13">
        <v>42795.891076388885</v>
      </c>
      <c r="F143" s="13">
        <v>42795.896180555559</v>
      </c>
      <c r="G143" s="7">
        <v>2</v>
      </c>
      <c r="H143" s="21" t="s">
        <v>743</v>
      </c>
      <c r="I143" s="13">
        <v>42795.921666666669</v>
      </c>
      <c r="J143" s="7">
        <v>0</v>
      </c>
      <c r="K143" s="98" t="str">
        <f t="shared" si="48"/>
        <v>4001/4002</v>
      </c>
      <c r="L143" s="21" t="str">
        <f>VLOOKUP(A143,'Trips&amp;Operators'!$C$1:$G$99999,5,FALSE)</f>
        <v>STORY SAMANTHA</v>
      </c>
      <c r="M143" s="6">
        <f t="shared" si="49"/>
        <v>2.548611110978527E-2</v>
      </c>
      <c r="N143" s="7">
        <f t="shared" si="43"/>
        <v>36.699999998090789</v>
      </c>
      <c r="O143" s="7"/>
      <c r="P143" s="7"/>
      <c r="Q143" s="22"/>
      <c r="R143" s="22"/>
      <c r="S143" s="31">
        <f t="shared" si="50"/>
        <v>1</v>
      </c>
      <c r="T143" s="46" t="str">
        <f t="shared" si="51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2"/>
        <v>https://d0f6bd738d7f1b3e5a7ca70fe4ff75f0.us-east-1.aws.found.io/app/kibana#/discover/Steve-Slow-Train-Analysis-(2080s-and-2083s)?_g=(refreshInterval:(display:Off,pause:!f,section:0,value:0),time:(from:'2017-03-01T20:23:09-0700',mode:absolute,to:'2017-03-01T23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3" s="187" t="str">
        <f t="shared" si="53"/>
        <v>N</v>
      </c>
      <c r="X143" s="187">
        <f t="shared" si="46"/>
        <v>1</v>
      </c>
      <c r="Y143" s="62">
        <f t="shared" si="54"/>
        <v>4.5699999999999998E-2</v>
      </c>
      <c r="Z143" s="62">
        <f t="shared" si="47"/>
        <v>23.3355</v>
      </c>
      <c r="AA143" s="62">
        <f t="shared" si="55"/>
        <v>23.2898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6"/>
        <v>0231-01</v>
      </c>
      <c r="AE143" s="85" t="str">
        <f t="shared" si="57"/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AF143" s="82" t="str">
        <f t="shared" si="58"/>
        <v>"C:\Program Files (x86)\AstroGrep\AstroGrep.exe" /spath="%USERPROFILE%\AppData\Local\Temp\OnboardLogs" /stypes="app*4002*20170302*" /stext=" 05:.+((SYSTEM_STATE.+slice.+state.+changed )|(ment ac)|(multiple cpu faults)|(system.+state.+changed )|(\[timeout)|(PRM\|1\|D)|(kpr)|(kdp)|(\|lc)|(penalty))" /e /r /s</v>
      </c>
      <c r="AG143" s="1" t="str">
        <f t="shared" si="59"/>
        <v>EC</v>
      </c>
      <c r="AH143" s="86" t="str">
        <f t="shared" si="60"/>
        <v>"%USERPROFILE%\Documents\GitHub\eaglep3\Utilities\RefineRTDCRunTimes.py" --tripid 231-01 --locoid 4002 --swversion DE.1.0.9.0 --startMP 204:457 --initTime 2017-03-01T21:23:09 --startdatetime 2017-03-01T21:30:30 --delay 2 --endMP 204:233355 --enddatetime 2017-03-01T22:07:12 --enforcementcount 0 &gt;&gt;C:\Users\stu\Documents\GitHub\eaglep3-reporting\EC\2017-03-01-refined-times.txt</v>
      </c>
      <c r="AI143" s="108" t="str">
        <f t="shared" si="61"/>
        <v>echo {"issue":{"subject":"","project_id":79,"tracker_id":40,"status_id":1,"priority_id":2,"assigned_to_id":23,"start_date":"2017-03-01","description":"","custom_fields":[{"id":1,"name":"Subdivision","value":"EC"},{"id":4,"name":"Milepost","value":"23.3355"},{"id":17,"name":"Train ID","value":"231-01"},{"id":16,"name":"Locomotive ID","value":"4002"},{"id":130,"name":"Impact","value":""},{"id":150,"name":"Time of Event (Mountain Time)","value":"22:07:12"},{"id":151,"name":"Denver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2"/>
        <v>start /low /b %USERPROFILE%\Documents\GitHub\eaglep3\Utilities\DownloadLogsFromS3.py --loco 4002 --day 2017-03-01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"%USERPROFILE%\AppData\Local\Temp\OnboardLogs"\RTDC4002\*4002*20170302* | grep -SE "(Enforcement Action)|(\[TIMEOUT)|(CHR.+\|PRM\|1\|D.+(SWITCH|SIGNAL).+UNKNOWN)" - &gt;&gt; 2017-03-01-UncaughtWiMAX.txt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661</v>
      </c>
      <c r="B144" s="7">
        <v>4001</v>
      </c>
      <c r="C144" s="21" t="s">
        <v>266</v>
      </c>
      <c r="D144" s="21" t="s">
        <v>722</v>
      </c>
      <c r="E144" s="13">
        <v>42795.931574074071</v>
      </c>
      <c r="F144" s="13">
        <v>42795.934687499997</v>
      </c>
      <c r="G144" s="7">
        <v>1</v>
      </c>
      <c r="H144" s="21" t="s">
        <v>240</v>
      </c>
      <c r="I144" s="13">
        <v>42795.963750000003</v>
      </c>
      <c r="J144" s="7">
        <v>0</v>
      </c>
      <c r="K144" s="98" t="str">
        <f t="shared" si="48"/>
        <v>4001/4002</v>
      </c>
      <c r="L144" s="21" t="str">
        <f>VLOOKUP(A144,'Trips&amp;Operators'!$C$1:$G$99999,5,FALSE)</f>
        <v>STORY SAMANTHA</v>
      </c>
      <c r="M144" s="6">
        <f t="shared" si="49"/>
        <v>2.9062500005238689E-2</v>
      </c>
      <c r="N144" s="7">
        <f t="shared" si="43"/>
        <v>41.850000007543713</v>
      </c>
      <c r="O144" s="7"/>
      <c r="P144" s="7"/>
      <c r="Q144" s="22"/>
      <c r="R144" s="22"/>
      <c r="S144" s="31">
        <f t="shared" si="50"/>
        <v>1</v>
      </c>
      <c r="T144" s="46" t="str">
        <f t="shared" si="51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52"/>
        <v>https://d0f6bd738d7f1b3e5a7ca70fe4ff75f0.us-east-1.aws.found.io/app/kibana#/discover/Steve-Slow-Train-Analysis-(2080s-and-2083s)?_g=(refreshInterval:(display:Off,pause:!f,section:0,value:0),time:(from:'2017-03-01T21:21:28-0700',mode:absolute,to:'2017-03-02T00:07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4" s="187" t="str">
        <f t="shared" si="53"/>
        <v>N</v>
      </c>
      <c r="X144" s="187">
        <f t="shared" si="46"/>
        <v>1</v>
      </c>
      <c r="Y144" s="62">
        <f t="shared" si="54"/>
        <v>23.302499999999998</v>
      </c>
      <c r="Z144" s="62">
        <f t="shared" si="47"/>
        <v>1.3899999999999999E-2</v>
      </c>
      <c r="AA144" s="62">
        <f t="shared" si="55"/>
        <v>23.288599999999999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6"/>
        <v>0232-01</v>
      </c>
      <c r="AE144" s="85" t="str">
        <f t="shared" si="57"/>
        <v>aws s3 cp s3://rtdc.mdm.uploadarchive.raw/RTDC4001/ "%USERPROFILE%\AppData\Local\Temp\OnboardLogs"\RTDC4001\2017-03-01 --exclude "*" --recursive --include "*20170301*" &amp; "%USERPROFILE%\Documents\GitHub\mrs-test-scripts\Headless Mode &amp; Sideloading\WalkAndUnGZ.bat" "%USERPROFILE%\AppData\Local\Temp\OnboardLogs"\RTDC4001\2017-03-01 &amp; aws s3 cp s3://rtdc.mdm.uploadarchive.raw/RTDC4001/ "%USERPROFILE%\AppData\Local\Temp\OnboardLogs"\RTDC4001\2017-03-02 --exclude "*" --recursive --include "*20170302*" &amp; "%USERPROFILE%\Documents\GitHub\mrs-test-scripts\Headless Mode &amp; Sideloading\WalkAndUnGZ.bat" "%USERPROFILE%\AppData\Local\Temp\OnboardLogs"\RTDC4001\2017-03-02</v>
      </c>
      <c r="AF144" s="82" t="str">
        <f t="shared" si="58"/>
        <v>"C:\Program Files (x86)\AstroGrep\AstroGrep.exe" /spath="%USERPROFILE%\AppData\Local\Temp\OnboardLogs" /stypes="app*4001*20170302*" /stext=" 06:.+((SYSTEM_STATE.+slice.+state.+changed )|(ment ac)|(multiple cpu faults)|(system.+state.+changed )|(\[timeout)|(PRM\|1\|D)|(kpr)|(kdp)|(\|lc)|(penalty))" /e /r /s</v>
      </c>
      <c r="AG144" s="1" t="str">
        <f t="shared" si="59"/>
        <v>EC</v>
      </c>
      <c r="AH144" s="86" t="str">
        <f t="shared" si="60"/>
        <v>"%USERPROFILE%\Documents\GitHub\eaglep3\Utilities\RefineRTDCRunTimes.py" --tripid 232-01 --locoid 4001 --swversion DE.1.0.9.0 --startMP 204:233025 --initTime 2017-03-01T22:21:28 --startdatetime 2017-03-01T22:25:57 --delay 1 --endMP 204:139 --enddatetime 2017-03-01T23:07:48 --enforcementcount 0 &gt;&gt;C:\Users\stu\Documents\GitHub\eaglep3-reporting\EC\2017-03-01-refined-times.txt</v>
      </c>
      <c r="AI144" s="108" t="str">
        <f t="shared" si="61"/>
        <v>echo {"issue":{"subject":"","project_id":79,"tracker_id":40,"status_id":1,"priority_id":2,"assigned_to_id":23,"start_date":"2017-03-01","description":"","custom_fields":[{"id":1,"name":"Subdivision","value":"EC"},{"id":4,"name":"Milepost","value":"0.0139"},{"id":17,"name":"Train ID","value":"232-01"},{"id":16,"name":"Locomotive ID","value":"4001"},{"id":130,"name":"Impact","value":""},{"id":150,"name":"Time of Event (Mountain Time)","value":"23:07:48"},{"id":151,"name":"Denver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2"/>
        <v>start /low /b %USERPROFILE%\Documents\GitHub\eaglep3\Utilities\DownloadLogsFromS3.py --loco 4001 --day 2017-03-01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"%USERPROFILE%\AppData\Local\Temp\OnboardLogs"\RTDC4001\*4001*20170302* | grep -SE "(Enforcement Action)|(\[TIMEOUT)|(CHR.+\|PRM\|1\|D.+(SWITCH|SIGNAL).+UNKNOWN)" - &gt;&gt; 2017-03-01-UncaughtWiMAX.txt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659</v>
      </c>
      <c r="B145" s="7">
        <v>4044</v>
      </c>
      <c r="C145" s="21" t="s">
        <v>266</v>
      </c>
      <c r="D145" s="21" t="s">
        <v>744</v>
      </c>
      <c r="E145" s="13">
        <v>42795.920381944445</v>
      </c>
      <c r="F145" s="13">
        <v>42795.921446759261</v>
      </c>
      <c r="G145" s="7">
        <v>1</v>
      </c>
      <c r="H145" s="21" t="s">
        <v>745</v>
      </c>
      <c r="I145" s="13">
        <v>42795.943368055552</v>
      </c>
      <c r="J145" s="7">
        <v>0</v>
      </c>
      <c r="K145" s="98" t="str">
        <f t="shared" si="48"/>
        <v>4043/4044</v>
      </c>
      <c r="L145" s="21" t="str">
        <f>VLOOKUP(A145,'Trips&amp;Operators'!$C$1:$G$99999,5,FALSE)</f>
        <v>BROWN JACOB</v>
      </c>
      <c r="M145" s="6">
        <f t="shared" si="49"/>
        <v>2.1921296291111503E-2</v>
      </c>
      <c r="N145" s="7"/>
      <c r="O145" s="7"/>
      <c r="P145" s="7">
        <f>24*60*SUM($M145:$M145)</f>
        <v>31.566666659200564</v>
      </c>
      <c r="Q145" s="22"/>
      <c r="R145" s="22" t="s">
        <v>866</v>
      </c>
      <c r="S145" s="31">
        <f t="shared" si="50"/>
        <v>1</v>
      </c>
      <c r="T145" s="46" t="str">
        <f t="shared" si="51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2"/>
        <v>https://d0f6bd738d7f1b3e5a7ca70fe4ff75f0.us-east-1.aws.found.io/app/kibana#/discover/Steve-Slow-Train-Analysis-(2080s-and-2083s)?_g=(refreshInterval:(display:Off,pause:!f,section:0,value:0),time:(from:'2017-03-01T21:05:21-0700',mode:absolute,to:'2017-03-01T23:38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5" s="187" t="str">
        <f t="shared" si="53"/>
        <v>Y</v>
      </c>
      <c r="X145" s="187">
        <f t="shared" si="46"/>
        <v>1</v>
      </c>
      <c r="Y145" s="62">
        <f t="shared" si="54"/>
        <v>1.9132</v>
      </c>
      <c r="Z145" s="62">
        <f t="shared" si="47"/>
        <v>23.334499999999998</v>
      </c>
      <c r="AA145" s="62">
        <f t="shared" si="55"/>
        <v>21.421299999999999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6"/>
        <v>0233-01</v>
      </c>
      <c r="AE145" s="85" t="str">
        <f t="shared" si="57"/>
        <v>aws s3 cp s3://rtdc.mdm.uploadarchive.raw/RTDC4044/ "%USERPROFILE%\AppData\Local\Temp\OnboardLogs"\RTDC4044\2017-03-01 --exclude "*" --recursive --include "*20170301*" &amp; "%USERPROFILE%\Documents\GitHub\mrs-test-scripts\Headless Mode &amp; Sideloading\WalkAndUnGZ.bat" "%USERPROFILE%\AppData\Local\Temp\OnboardLogs"\RTDC4044\2017-03-01 &amp; aws s3 cp s3://rtdc.mdm.uploadarchive.raw/RTDC4044/ "%USERPROFILE%\AppData\Local\Temp\OnboardLogs"\RTDC4044\2017-03-02 --exclude "*" --recursive --include "*20170302*" &amp; "%USERPROFILE%\Documents\GitHub\mrs-test-scripts\Headless Mode &amp; Sideloading\WalkAndUnGZ.bat" "%USERPROFILE%\AppData\Local\Temp\OnboardLogs"\RTDC4044\2017-03-02</v>
      </c>
      <c r="AF145" s="82" t="str">
        <f t="shared" si="58"/>
        <v>"C:\Program Files (x86)\AstroGrep\AstroGrep.exe" /spath="%USERPROFILE%\AppData\Local\Temp\OnboardLogs" /stypes="app*4044*20170302*" /stext=" 05:.+((SYSTEM_STATE.+slice.+state.+changed )|(ment ac)|(multiple cpu faults)|(system.+state.+changed )|(\[timeout)|(PRM\|1\|D)|(kpr)|(kdp)|(\|lc)|(penalty))" /e /r /s</v>
      </c>
      <c r="AG145" s="1" t="str">
        <f t="shared" si="59"/>
        <v>EC</v>
      </c>
      <c r="AH145" s="86" t="str">
        <f t="shared" si="60"/>
        <v>"%USERPROFILE%\Documents\GitHub\eaglep3\Utilities\RefineRTDCRunTimes.py" --tripid 233-01 --locoid 4044 --swversion DE.1.0.9.0 --startMP 204:19132 --initTime 2017-03-01T22:05:21 --startdatetime 2017-03-01T22:06:53 --delay 1 --endMP 204:233345 --enddatetime 2017-03-01T22:38:27 --enforcementcount 0 &gt;&gt;C:\Users\stu\Documents\GitHub\eaglep3-reporting\EC\2017-03-01-refined-times.txt</v>
      </c>
      <c r="AI145" s="108" t="str">
        <f t="shared" si="61"/>
        <v>echo {"issue":{"subject":"Selected wrong track (train was on Main 1, selected Main 2)","project_id":79,"tracker_id":40,"status_id":1,"priority_id":2,"assigned_to_id":23,"start_date":"2017-03-01","description":"","custom_fields":[{"id":1,"name":"Subdivision","value":"EC"},{"id":4,"name":"Milepost","value":"23.3345"},{"id":17,"name":"Train ID","value":"233-01"},{"id":16,"name":"Locomotive ID","value":"4044"},{"id":130,"name":"Impact","value":""},{"id":150,"name":"Time of Event (Mountain Time)","value":"22:38:27"},{"id":151,"name":"Denver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2"/>
        <v>start /low /b %USERPROFILE%\Documents\GitHub\eaglep3\Utilities\DownloadLogsFromS3.py --loco 4044 --day 2017-03-01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"%USERPROFILE%\AppData\Local\Temp\OnboardLogs"\RTDC4044\*4044*20170302* | grep -SE "(Enforcement Action)|(\[TIMEOUT)|(CHR.+\|PRM\|1\|D.+(SWITCH|SIGNAL).+UNKNOWN)" - &gt;&gt; 2017-03-01-UncaughtWiMAX.txt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659</v>
      </c>
      <c r="B146" s="7">
        <v>4044</v>
      </c>
      <c r="C146" s="21" t="s">
        <v>266</v>
      </c>
      <c r="D146" s="21" t="s">
        <v>204</v>
      </c>
      <c r="E146" s="13">
        <v>42795.914259259262</v>
      </c>
      <c r="F146" s="13">
        <v>42795.921446759261</v>
      </c>
      <c r="G146" s="7">
        <v>1</v>
      </c>
      <c r="H146" s="21" t="s">
        <v>746</v>
      </c>
      <c r="I146" s="13">
        <v>42795.943368055552</v>
      </c>
      <c r="J146" s="7">
        <v>0</v>
      </c>
      <c r="K146" s="98" t="str">
        <f t="shared" si="48"/>
        <v>4043/4044</v>
      </c>
      <c r="L146" s="21" t="str">
        <f>VLOOKUP(A146,'Trips&amp;Operators'!$C$1:$G$99999,5,FALSE)</f>
        <v>BROWN JACOB</v>
      </c>
      <c r="M146" s="6">
        <f t="shared" si="49"/>
        <v>2.1921296291111503E-2</v>
      </c>
      <c r="N146" s="7"/>
      <c r="O146" s="7"/>
      <c r="P146" s="7"/>
      <c r="Q146" s="22"/>
      <c r="R146" s="22"/>
      <c r="S146" s="31"/>
      <c r="T146" s="46" t="str">
        <f t="shared" si="51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186" t="str">
        <f t="shared" si="52"/>
        <v>https://d0f6bd738d7f1b3e5a7ca70fe4ff75f0.us-east-1.aws.found.io/app/kibana#/discover/Steve-Slow-Train-Analysis-(2080s-and-2083s)?_g=(refreshInterval:(display:Off,pause:!f,section:0,value:0),time:(from:'2017-03-01T20:56:32-0700',mode:absolute,to:'2017-03-01T23:38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6" s="187" t="str">
        <f t="shared" si="53"/>
        <v>Y</v>
      </c>
      <c r="X146" s="187">
        <f t="shared" si="46"/>
        <v>0</v>
      </c>
      <c r="Y146" s="62">
        <f t="shared" si="54"/>
        <v>4.6199999999999998E-2</v>
      </c>
      <c r="Z146" s="62">
        <f t="shared" si="47"/>
        <v>0.12130000000000001</v>
      </c>
      <c r="AA146" s="62">
        <f t="shared" si="55"/>
        <v>7.51E-2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6"/>
        <v>0233-01</v>
      </c>
      <c r="AE146" s="85" t="str">
        <f t="shared" si="57"/>
        <v>aws s3 cp s3://rtdc.mdm.uploadarchive.raw/RTDC4044/ "%USERPROFILE%\AppData\Local\Temp\OnboardLogs"\RTDC4044\2017-03-01 --exclude "*" --recursive --include "*20170301*" &amp; "%USERPROFILE%\Documents\GitHub\mrs-test-scripts\Headless Mode &amp; Sideloading\WalkAndUnGZ.bat" "%USERPROFILE%\AppData\Local\Temp\OnboardLogs"\RTDC4044\2017-03-01 &amp; aws s3 cp s3://rtdc.mdm.uploadarchive.raw/RTDC4044/ "%USERPROFILE%\AppData\Local\Temp\OnboardLogs"\RTDC4044\2017-03-02 --exclude "*" --recursive --include "*20170302*" &amp; "%USERPROFILE%\Documents\GitHub\mrs-test-scripts\Headless Mode &amp; Sideloading\WalkAndUnGZ.bat" "%USERPROFILE%\AppData\Local\Temp\OnboardLogs"\RTDC4044\2017-03-02</v>
      </c>
      <c r="AF146" s="82" t="str">
        <f t="shared" si="58"/>
        <v>"C:\Program Files (x86)\AstroGrep\AstroGrep.exe" /spath="%USERPROFILE%\AppData\Local\Temp\OnboardLogs" /stypes="app*4044*20170302*" /stext=" 05:.+((SYSTEM_STATE.+slice.+state.+changed )|(ment ac)|(multiple cpu faults)|(system.+state.+changed )|(\[timeout)|(PRM\|1\|D)|(kpr)|(kdp)|(\|lc)|(penalty))" /e /r /s</v>
      </c>
      <c r="AG146" s="1" t="str">
        <f t="shared" si="59"/>
        <v>EC</v>
      </c>
      <c r="AH146" s="86" t="str">
        <f t="shared" si="60"/>
        <v>"%USERPROFILE%\Documents\GitHub\eaglep3\Utilities\RefineRTDCRunTimes.py" --tripid 233-01 --locoid 4044 --swversion DE.1.0.9.0 --startMP 204:462 --initTime 2017-03-01T21:56:32 --startdatetime 2017-03-01T22:06:53 --delay 1 --endMP 204:1213 --enddatetime 2017-03-01T22:38:27 --enforcementcount 0 &gt;&gt;C:\Users\stu\Documents\GitHub\eaglep3-reporting\EC\2017-03-01-refined-times.txt</v>
      </c>
      <c r="AI146" s="108" t="str">
        <f t="shared" si="61"/>
        <v>echo {"issue":{"subject":"","project_id":79,"tracker_id":40,"status_id":1,"priority_id":2,"assigned_to_id":23,"start_date":"2017-03-01","description":"","custom_fields":[{"id":1,"name":"Subdivision","value":"EC"},{"id":4,"name":"Milepost","value":"0.1213"},{"id":17,"name":"Train ID","value":"233-01"},{"id":16,"name":"Locomotive ID","value":"4044"},{"id":130,"name":"Impact","value":""},{"id":150,"name":"Time of Event (Mountain Time)","value":"22:38:27"},{"id":151,"name":"Denver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2"/>
        <v>start /low /b %USERPROFILE%\Documents\GitHub\eaglep3\Utilities\DownloadLogsFromS3.py --loco 4044 --day 2017-03-01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"%USERPROFILE%\AppData\Local\Temp\OnboardLogs"\RTDC4044\*4044*20170302* | grep -SE "(Enforcement Action)|(\[TIMEOUT)|(CHR.+\|PRM\|1\|D.+(SWITCH|SIGNAL).+UNKNOWN)" - &gt;&gt; 2017-03-01-UncaughtWiMAX.txt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3" t="s">
        <v>473</v>
      </c>
      <c r="B147" s="7">
        <v>4043</v>
      </c>
      <c r="C147" s="21" t="s">
        <v>266</v>
      </c>
      <c r="D147" s="21" t="s">
        <v>747</v>
      </c>
      <c r="E147" s="13">
        <v>42795.948842592596</v>
      </c>
      <c r="F147" s="13">
        <v>42795.955810185187</v>
      </c>
      <c r="G147" s="7">
        <v>2</v>
      </c>
      <c r="H147" s="21" t="s">
        <v>213</v>
      </c>
      <c r="I147" s="13">
        <v>42795.983738425923</v>
      </c>
      <c r="J147" s="7">
        <v>0</v>
      </c>
      <c r="K147" s="98" t="str">
        <f t="shared" si="48"/>
        <v>4043/4044</v>
      </c>
      <c r="L147" s="21" t="str">
        <f>VLOOKUP(A147,'Trips&amp;Operators'!$C$1:$G$99999,5,FALSE)</f>
        <v>BROWN JACOB</v>
      </c>
      <c r="M147" s="6">
        <f t="shared" si="49"/>
        <v>2.7928240735491272E-2</v>
      </c>
      <c r="N147" s="7">
        <f t="shared" ref="N147:N155" si="63">24*60*SUM($M147:$M147)</f>
        <v>40.216666659107432</v>
      </c>
      <c r="O147" s="7"/>
      <c r="P147" s="7"/>
      <c r="Q147" s="22"/>
      <c r="R147" s="22"/>
      <c r="S147" s="31">
        <f t="shared" si="50"/>
        <v>1</v>
      </c>
      <c r="T147" s="46" t="str">
        <f t="shared" si="51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2"/>
        <v>https://d0f6bd738d7f1b3e5a7ca70fe4ff75f0.us-east-1.aws.found.io/app/kibana#/discover/Steve-Slow-Train-Analysis-(2080s-and-2083s)?_g=(refreshInterval:(display:Off,pause:!f,section:0,value:0),time:(from:'2017-03-01T21:46:20-0700',mode:absolute,to:'2017-03-02T00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7" s="187" t="str">
        <f t="shared" si="53"/>
        <v>N</v>
      </c>
      <c r="X147" s="187">
        <f t="shared" si="46"/>
        <v>1</v>
      </c>
      <c r="Y147" s="62">
        <f t="shared" si="54"/>
        <v>23.3032</v>
      </c>
      <c r="Z147" s="62">
        <f t="shared" si="47"/>
        <v>1.54E-2</v>
      </c>
      <c r="AA147" s="62">
        <f t="shared" si="55"/>
        <v>23.287800000000001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6"/>
        <v>0234-01</v>
      </c>
      <c r="AE147" s="85" t="str">
        <f t="shared" si="57"/>
        <v>aws s3 cp s3://rtdc.mdm.uploadarchive.raw/RTDC4043/ "%USERPROFILE%\AppData\Local\Temp\OnboardLogs"\RTDC4043\2017-03-01 --exclude "*" --recursive --include "*20170301*" &amp; "%USERPROFILE%\Documents\GitHub\mrs-test-scripts\Headless Mode &amp; Sideloading\WalkAndUnGZ.bat" "%USERPROFILE%\AppData\Local\Temp\OnboardLogs"\RTDC4043\2017-03-01 &amp; 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</v>
      </c>
      <c r="AF147" s="82" t="str">
        <f t="shared" si="58"/>
        <v>"C:\Program Files (x86)\AstroGrep\AstroGrep.exe" /spath="%USERPROFILE%\AppData\Local\Temp\OnboardLogs" /stypes="app*4043*20170302*" /stext=" 06:.+((SYSTEM_STATE.+slice.+state.+changed )|(ment ac)|(multiple cpu faults)|(system.+state.+changed )|(\[timeout)|(PRM\|1\|D)|(kpr)|(kdp)|(\|lc)|(penalty))" /e /r /s</v>
      </c>
      <c r="AG147" s="1" t="str">
        <f t="shared" si="59"/>
        <v>EC</v>
      </c>
      <c r="AH147" s="86" t="str">
        <f t="shared" si="60"/>
        <v>"%USERPROFILE%\Documents\GitHub\eaglep3\Utilities\RefineRTDCRunTimes.py" --tripid 234-01 --locoid 4043 --swversion DE.1.0.9.0 --startMP 204:233032 --initTime 2017-03-01T22:46:20 --startdatetime 2017-03-01T22:56:22 --delay 2 --endMP 204:154 --enddatetime 2017-03-01T23:36:35 --enforcementcount 0 &gt;&gt;C:\Users\stu\Documents\GitHub\eaglep3-reporting\EC\2017-03-01-refined-times.txt</v>
      </c>
      <c r="AI147" s="108" t="str">
        <f t="shared" si="61"/>
        <v>echo {"issue":{"subject":"","project_id":79,"tracker_id":40,"status_id":1,"priority_id":2,"assigned_to_id":23,"start_date":"2017-03-01","description":"","custom_fields":[{"id":1,"name":"Subdivision","value":"EC"},{"id":4,"name":"Milepost","value":"0.0154"},{"id":17,"name":"Train ID","value":"234-01"},{"id":16,"name":"Locomotive ID","value":"4043"},{"id":130,"name":"Impact","value":""},{"id":150,"name":"Time of Event (Mountain Time)","value":"23:36:35"},{"id":151,"name":"Denver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2"/>
        <v>start /low /b %USERPROFILE%\Documents\GitHub\eaglep3\Utilities\DownloadLogsFromS3.py --loco 4043 --day 2017-03-01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"%USERPROFILE%\AppData\Local\Temp\OnboardLogs"\RTDC4043\*4043*20170302* | grep -SE "(Enforcement Action)|(\[TIMEOUT)|(CHR.+\|PRM\|1\|D.+(SWITCH|SIGNAL).+UNKNOWN)" - &gt;&gt; 2017-03-01-UncaughtWiMAX.txt</v>
      </c>
    </row>
    <row r="148" spans="1:91" x14ac:dyDescent="0.25">
      <c r="A148" s="33" t="s">
        <v>660</v>
      </c>
      <c r="B148" s="7">
        <v>4029</v>
      </c>
      <c r="C148" s="21" t="s">
        <v>266</v>
      </c>
      <c r="D148" s="21" t="s">
        <v>259</v>
      </c>
      <c r="E148" s="13">
        <v>42795.927060185182</v>
      </c>
      <c r="F148" s="13">
        <v>42795.937662037039</v>
      </c>
      <c r="G148" s="7">
        <v>1</v>
      </c>
      <c r="H148" s="21" t="s">
        <v>279</v>
      </c>
      <c r="I148" s="13">
        <v>42795.961967592593</v>
      </c>
      <c r="J148" s="7">
        <v>0</v>
      </c>
      <c r="K148" s="98" t="str">
        <f t="shared" si="48"/>
        <v>4029/4030</v>
      </c>
      <c r="L148" s="21" t="str">
        <f>VLOOKUP(A148,'Trips&amp;Operators'!$C$1:$G$99999,5,FALSE)</f>
        <v>NEWELL JAMES</v>
      </c>
      <c r="M148" s="6">
        <f t="shared" si="49"/>
        <v>2.4305555554747116E-2</v>
      </c>
      <c r="N148" s="7">
        <f t="shared" si="63"/>
        <v>34.999999998835847</v>
      </c>
      <c r="O148" s="7"/>
      <c r="P148" s="7"/>
      <c r="Q148" s="22"/>
      <c r="R148" s="22"/>
      <c r="S148" s="31">
        <f t="shared" si="50"/>
        <v>1</v>
      </c>
      <c r="T148" s="46" t="str">
        <f t="shared" si="51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2"/>
        <v>https://d0f6bd738d7f1b3e5a7ca70fe4ff75f0.us-east-1.aws.found.io/app/kibana#/discover/Steve-Slow-Train-Analysis-(2080s-and-2083s)?_g=(refreshInterval:(display:Off,pause:!f,section:0,value:0),time:(from:'2017-03-01T21:14:58-0700',mode:absolute,to:'2017-03-02T00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8" s="187" t="str">
        <f t="shared" si="53"/>
        <v>N</v>
      </c>
      <c r="X148" s="187">
        <f t="shared" si="46"/>
        <v>1</v>
      </c>
      <c r="Y148" s="62">
        <f t="shared" si="54"/>
        <v>4.7500000000000001E-2</v>
      </c>
      <c r="Z148" s="62">
        <f t="shared" si="47"/>
        <v>23.329899999999999</v>
      </c>
      <c r="AA148" s="62">
        <f t="shared" si="55"/>
        <v>23.282399999999999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6"/>
        <v>0235-01</v>
      </c>
      <c r="AE148" s="85" t="str">
        <f t="shared" si="57"/>
        <v>aws s3 cp s3://rtdc.mdm.uploadarchive.raw/RTDC4029/ "%USERPROFILE%\AppData\Local\Temp\OnboardLogs"\RTDC4029\2017-03-01 --exclude "*" --recursive --include "*20170301*" &amp; "%USERPROFILE%\Documents\GitHub\mrs-test-scripts\Headless Mode &amp; Sideloading\WalkAndUnGZ.bat" "%USERPROFILE%\AppData\Local\Temp\OnboardLogs"\RTDC4029\2017-03-01 &amp; aws s3 cp s3://rtdc.mdm.uploadarchive.raw/RTDC4029/ "%USERPROFILE%\AppData\Local\Temp\OnboardLogs"\RTDC4029\2017-03-02 --exclude "*" --recursive --include "*20170302*" &amp; "%USERPROFILE%\Documents\GitHub\mrs-test-scripts\Headless Mode &amp; Sideloading\WalkAndUnGZ.bat" "%USERPROFILE%\AppData\Local\Temp\OnboardLogs"\RTDC4029\2017-03-02</v>
      </c>
      <c r="AF148" s="82" t="str">
        <f t="shared" si="58"/>
        <v>"C:\Program Files (x86)\AstroGrep\AstroGrep.exe" /spath="%USERPROFILE%\AppData\Local\Temp\OnboardLogs" /stypes="app*4029*20170302*" /stext=" 06:.+((SYSTEM_STATE.+slice.+state.+changed )|(ment ac)|(multiple cpu faults)|(system.+state.+changed )|(\[timeout)|(PRM\|1\|D)|(kpr)|(kdp)|(\|lc)|(penalty))" /e /r /s</v>
      </c>
      <c r="AG148" s="1" t="str">
        <f t="shared" si="59"/>
        <v>EC</v>
      </c>
      <c r="AH148" s="86" t="str">
        <f t="shared" si="60"/>
        <v>"%USERPROFILE%\Documents\GitHub\eaglep3\Utilities\RefineRTDCRunTimes.py" --tripid 235-01 --locoid 4029 --swversion DE.1.0.9.0 --startMP 204:475 --initTime 2017-03-01T22:14:58 --startdatetime 2017-03-01T22:30:14 --delay 1 --endMP 204:233299 --enddatetime 2017-03-01T23:05:14 --enforcementcount 0 &gt;&gt;C:\Users\stu\Documents\GitHub\eaglep3-reporting\EC\2017-03-01-refined-times.txt</v>
      </c>
      <c r="AI148" s="108" t="str">
        <f t="shared" si="61"/>
        <v>echo {"issue":{"subject":"","project_id":79,"tracker_id":40,"status_id":1,"priority_id":2,"assigned_to_id":23,"start_date":"2017-03-01","description":"","custom_fields":[{"id":1,"name":"Subdivision","value":"EC"},{"id":4,"name":"Milepost","value":"23.3299"},{"id":17,"name":"Train ID","value":"235-01"},{"id":16,"name":"Locomotive ID","value":"4029"},{"id":130,"name":"Impact","value":""},{"id":150,"name":"Time of Event (Mountain Time)","value":"23:05:14"},{"id":151,"name":"Denver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2"/>
        <v>start /low /b %USERPROFILE%\Documents\GitHub\eaglep3\Utilities\DownloadLogsFromS3.py --loco 4029 --day 2017-03-01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"%USERPROFILE%\AppData\Local\Temp\OnboardLogs"\RTDC4029\*4029*20170302* | grep -SE "(Enforcement Action)|(\[TIMEOUT)|(CHR.+\|PRM\|1\|D.+(SWITCH|SIGNAL).+UNKNOWN)" - &gt;&gt; 2017-03-01-UncaughtWiMAX.txt</v>
      </c>
    </row>
    <row r="149" spans="1:91" x14ac:dyDescent="0.25">
      <c r="A149" s="33" t="s">
        <v>664</v>
      </c>
      <c r="B149" s="7">
        <v>4030</v>
      </c>
      <c r="C149" s="21" t="s">
        <v>266</v>
      </c>
      <c r="D149" s="21" t="s">
        <v>350</v>
      </c>
      <c r="E149" s="13">
        <v>42795.973969907405</v>
      </c>
      <c r="F149" s="13">
        <v>42795.976759259262</v>
      </c>
      <c r="G149" s="7">
        <v>0</v>
      </c>
      <c r="H149" s="21" t="s">
        <v>253</v>
      </c>
      <c r="I149" s="13">
        <v>42796.005798611113</v>
      </c>
      <c r="J149" s="7">
        <v>0</v>
      </c>
      <c r="K149" s="98" t="str">
        <f t="shared" si="48"/>
        <v>4029/4030</v>
      </c>
      <c r="L149" s="21" t="str">
        <f>VLOOKUP(A149,'Trips&amp;Operators'!$C$1:$G$99999,5,FALSE)</f>
        <v>NEWELL JAMES</v>
      </c>
      <c r="M149" s="6">
        <f t="shared" si="49"/>
        <v>2.9039351851679385E-2</v>
      </c>
      <c r="N149" s="7">
        <f t="shared" si="63"/>
        <v>41.816666666418314</v>
      </c>
      <c r="O149" s="7"/>
      <c r="P149" s="7"/>
      <c r="Q149" s="22"/>
      <c r="R149" s="22"/>
      <c r="S149" s="31">
        <f t="shared" si="50"/>
        <v>1</v>
      </c>
      <c r="T149" s="46" t="str">
        <f t="shared" si="51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2"/>
        <v>https://d0f6bd738d7f1b3e5a7ca70fe4ff75f0.us-east-1.aws.found.io/app/kibana#/discover/Steve-Slow-Train-Analysis-(2080s-and-2083s)?_g=(refreshInterval:(display:Off,pause:!f,section:0,value:0),time:(from:'2017-03-01T22:22:31-0700',mode:absolute,to:'2017-03-02T01:08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9" s="187" t="str">
        <f t="shared" si="53"/>
        <v>N</v>
      </c>
      <c r="X149" s="187">
        <f t="shared" si="46"/>
        <v>1</v>
      </c>
      <c r="Y149" s="62">
        <f t="shared" si="54"/>
        <v>23.298999999999999</v>
      </c>
      <c r="Z149" s="62">
        <f t="shared" si="47"/>
        <v>1.5599999999999999E-2</v>
      </c>
      <c r="AA149" s="62">
        <f t="shared" si="55"/>
        <v>23.2834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6"/>
        <v>0236-01</v>
      </c>
      <c r="AE149" s="85" t="str">
        <f t="shared" si="57"/>
        <v>aws s3 cp s3://rtdc.mdm.uploadarchive.raw/RTDC4030/ "%USERPROFILE%\AppData\Local\Temp\OnboardLogs"\RTDC4030\2017-03-01 --exclude "*" --recursive --include "*20170301*" &amp; "%USERPROFILE%\Documents\GitHub\mrs-test-scripts\Headless Mode &amp; Sideloading\WalkAndUnGZ.bat" "%USERPROFILE%\AppData\Local\Temp\OnboardLogs"\RTDC4030\2017-03-01 &amp; aws s3 cp s3://rtdc.mdm.uploadarchive.raw/RTDC4030/ "%USERPROFILE%\AppData\Local\Temp\OnboardLogs"\RTDC4030\2017-03-02 --exclude "*" --recursive --include "*20170302*" &amp; "%USERPROFILE%\Documents\GitHub\mrs-test-scripts\Headless Mode &amp; Sideloading\WalkAndUnGZ.bat" "%USERPROFILE%\AppData\Local\Temp\OnboardLogs"\RTDC4030\2017-03-02</v>
      </c>
      <c r="AF149" s="82" t="str">
        <f t="shared" si="58"/>
        <v>"C:\Program Files (x86)\AstroGrep\AstroGrep.exe" /spath="%USERPROFILE%\AppData\Local\Temp\OnboardLogs" /stypes="app*4030*20170302*" /stext=" 07:.+((SYSTEM_STATE.+slice.+state.+changed )|(ment ac)|(multiple cpu faults)|(system.+state.+changed )|(\[timeout)|(PRM\|1\|D)|(kpr)|(kdp)|(\|lc)|(penalty))" /e /r /s</v>
      </c>
      <c r="AG149" s="1" t="str">
        <f t="shared" si="59"/>
        <v>EC</v>
      </c>
      <c r="AH149" s="86" t="str">
        <f t="shared" si="60"/>
        <v>"%USERPROFILE%\Documents\GitHub\eaglep3\Utilities\RefineRTDCRunTimes.py" --tripid 236-01 --locoid 4030 --swversion DE.1.0.9.0 --startMP 204:232990 --initTime 2017-03-01T23:22:31 --startdatetime 2017-03-01T23:26:32 --delay 0 --endMP 204:156 --enddatetime 2017-03-02T00:08:21 --enforcementcount 0 &gt;&gt;C:\Users\stu\Documents\GitHub\eaglep3-reporting\EC\2017-03-01-refined-times.txt</v>
      </c>
      <c r="AI149" s="108" t="str">
        <f t="shared" si="61"/>
        <v>echo {"issue":{"subject":"","project_id":79,"tracker_id":40,"status_id":1,"priority_id":2,"assigned_to_id":23,"start_date":"2017-03-02","description":"","custom_fields":[{"id":1,"name":"Subdivision","value":"EC"},{"id":4,"name":"Milepost","value":"0.0156"},{"id":17,"name":"Train ID","value":"236-01"},{"id":16,"name":"Locomotive ID","value":"4030"},{"id":130,"name":"Impact","value":""},{"id":150,"name":"Time of Event (Mountain Time)","value":"00:08:21"},{"id":151,"name":"Denver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2"/>
        <v>start /low /b %USERPROFILE%\Documents\GitHub\eaglep3\Utilities\DownloadLogsFromS3.py --loco 4030 --day 2017-03-01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"%USERPROFILE%\AppData\Local\Temp\OnboardLogs"\RTDC4030\*4030*20170302* | grep -SE "(Enforcement Action)|(\[TIMEOUT)|(CHR.+\|PRM\|1\|D.+(SWITCH|SIGNAL).+UNKNOWN)" - &gt;&gt; 2017-03-01-UncaughtWiMAX.txt</v>
      </c>
    </row>
    <row r="150" spans="1:91" x14ac:dyDescent="0.25">
      <c r="A150" s="33" t="s">
        <v>472</v>
      </c>
      <c r="B150" s="7">
        <v>4046</v>
      </c>
      <c r="C150" s="21" t="s">
        <v>266</v>
      </c>
      <c r="D150" s="21" t="s">
        <v>238</v>
      </c>
      <c r="E150" s="13">
        <v>42795.944733796299</v>
      </c>
      <c r="F150" s="13">
        <v>42795.95857638889</v>
      </c>
      <c r="G150" s="7">
        <v>1</v>
      </c>
      <c r="H150" s="21" t="s">
        <v>395</v>
      </c>
      <c r="I150" s="13">
        <v>42795.984166666669</v>
      </c>
      <c r="J150" s="7">
        <v>0</v>
      </c>
      <c r="K150" s="98" t="str">
        <f t="shared" si="48"/>
        <v>4045/4046</v>
      </c>
      <c r="L150" s="21" t="str">
        <f>VLOOKUP(A150,'Trips&amp;Operators'!$C$1:$G$99999,5,FALSE)</f>
        <v>DELGADO DIANAH</v>
      </c>
      <c r="M150" s="6">
        <f t="shared" si="49"/>
        <v>2.5590277778974269E-2</v>
      </c>
      <c r="N150" s="7">
        <f t="shared" si="63"/>
        <v>36.850000001722947</v>
      </c>
      <c r="O150" s="7"/>
      <c r="P150" s="7"/>
      <c r="Q150" s="22"/>
      <c r="R150" s="22"/>
      <c r="S150" s="31">
        <f t="shared" si="50"/>
        <v>1</v>
      </c>
      <c r="T150" s="46" t="str">
        <f t="shared" si="51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2"/>
        <v>https://d0f6bd738d7f1b3e5a7ca70fe4ff75f0.us-east-1.aws.found.io/app/kibana#/discover/Steve-Slow-Train-Analysis-(2080s-and-2083s)?_g=(refreshInterval:(display:Off,pause:!f,section:0,value:0),time:(from:'2017-03-01T21:40:25-0700',mode:absolute,to:'2017-03-02T00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0" s="187" t="str">
        <f t="shared" si="53"/>
        <v>N</v>
      </c>
      <c r="X150" s="187">
        <f t="shared" si="46"/>
        <v>1</v>
      </c>
      <c r="Y150" s="62">
        <f t="shared" si="54"/>
        <v>4.4600000000000001E-2</v>
      </c>
      <c r="Z150" s="62">
        <f t="shared" si="47"/>
        <v>23.329499999999999</v>
      </c>
      <c r="AA150" s="62">
        <f t="shared" si="55"/>
        <v>23.2849</v>
      </c>
      <c r="AB150" s="59" t="str">
        <f>VLOOKUP(A150,Enforcements!$C$7:$K$13,8,0)</f>
        <v>Bulletin (2)</v>
      </c>
      <c r="AC150" s="55" t="str">
        <f>VLOOKUP(A150,Enforcements!$C$7:$E$13,3,0)</f>
        <v>GRADE CROSSING</v>
      </c>
      <c r="AD150" s="56" t="str">
        <f t="shared" si="56"/>
        <v>0237-01</v>
      </c>
      <c r="AE150" s="85" t="str">
        <f t="shared" si="57"/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AF150" s="82" t="str">
        <f t="shared" si="58"/>
        <v>"C:\Program Files (x86)\AstroGrep\AstroGrep.exe" /spath="%USERPROFILE%\AppData\Local\Temp\OnboardLogs" /stypes="app*4046*20170302*" /stext=" 06:.+((SYSTEM_STATE.+slice.+state.+changed )|(ment ac)|(multiple cpu faults)|(system.+state.+changed )|(\[timeout)|(PRM\|1\|D)|(kpr)|(kdp)|(\|lc)|(penalty))" /e /r /s</v>
      </c>
      <c r="AG150" s="1" t="str">
        <f t="shared" si="59"/>
        <v>EC</v>
      </c>
      <c r="AH150" s="86" t="str">
        <f t="shared" si="60"/>
        <v>"%USERPROFILE%\Documents\GitHub\eaglep3\Utilities\RefineRTDCRunTimes.py" --tripid 237-01 --locoid 4046 --swversion DE.1.0.9.0 --startMP 204:446 --initTime 2017-03-01T22:40:25 --startdatetime 2017-03-01T23:00:21 --delay 1 --endMP 204:233295 --enddatetime 2017-03-01T23:37:12 --enforcementcount 0 &gt;&gt;C:\Users\stu\Documents\GitHub\eaglep3-reporting\EC\2017-03-01-refined-times.txt</v>
      </c>
      <c r="AI150" s="108" t="str">
        <f t="shared" si="61"/>
        <v>echo {"issue":{"subject":"","project_id":79,"tracker_id":40,"status_id":1,"priority_id":2,"assigned_to_id":23,"start_date":"2017-03-01","description":"","custom_fields":[{"id":1,"name":"Subdivision","value":"EC"},{"id":4,"name":"Milepost","value":"23.3295"},{"id":17,"name":"Train ID","value":"237-01"},{"id":16,"name":"Locomotive ID","value":"4046"},{"id":130,"name":"Impact","value":""},{"id":150,"name":"Time of Event (Mountain Time)","value":"23:37:12"},{"id":151,"name":"Denver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2"/>
        <v>start /low /b %USERPROFILE%\Documents\GitHub\eaglep3\Utilities\DownloadLogsFromS3.py --loco 4046 --day 2017-03-01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"%USERPROFILE%\AppData\Local\Temp\OnboardLogs"\RTDC4046\*4046*20170302* | grep -SE "(Enforcement Action)|(\[TIMEOUT)|(CHR.+\|PRM\|1\|D.+(SWITCH|SIGNAL).+UNKNOWN)" - &gt;&gt; 2017-03-01-UncaughtWiMAX.txt</v>
      </c>
    </row>
    <row r="151" spans="1:91" x14ac:dyDescent="0.25">
      <c r="A151" s="33" t="s">
        <v>666</v>
      </c>
      <c r="B151" s="7">
        <v>4045</v>
      </c>
      <c r="C151" s="21" t="s">
        <v>266</v>
      </c>
      <c r="D151" s="21" t="s">
        <v>398</v>
      </c>
      <c r="E151" s="13">
        <v>42795.991030092591</v>
      </c>
      <c r="F151" s="13">
        <v>42795.997476851851</v>
      </c>
      <c r="G151" s="7">
        <v>1</v>
      </c>
      <c r="H151" s="21" t="s">
        <v>203</v>
      </c>
      <c r="I151" s="13">
        <v>42796.024861111109</v>
      </c>
      <c r="J151" s="7">
        <v>0</v>
      </c>
      <c r="K151" s="98" t="str">
        <f t="shared" si="48"/>
        <v>4045/4046</v>
      </c>
      <c r="L151" s="21" t="str">
        <f>VLOOKUP(A151,'Trips&amp;Operators'!$C$1:$G$99999,5,FALSE)</f>
        <v>DELGADO DIANAH</v>
      </c>
      <c r="M151" s="6">
        <f t="shared" si="49"/>
        <v>2.7384259257814847E-2</v>
      </c>
      <c r="N151" s="7">
        <f t="shared" si="63"/>
        <v>39.43333333125338</v>
      </c>
      <c r="O151" s="7"/>
      <c r="P151" s="7"/>
      <c r="Q151" s="22"/>
      <c r="R151" s="22"/>
      <c r="S151" s="31">
        <f t="shared" si="50"/>
        <v>1</v>
      </c>
      <c r="T151" s="46" t="str">
        <f t="shared" si="51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2"/>
        <v>https://d0f6bd738d7f1b3e5a7ca70fe4ff75f0.us-east-1.aws.found.io/app/kibana#/discover/Steve-Slow-Train-Analysis-(2080s-and-2083s)?_g=(refreshInterval:(display:Off,pause:!f,section:0,value:0),time:(from:'2017-03-01T22:47:05-0700',mode:absolute,to:'2017-03-02T01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1" s="187" t="str">
        <f t="shared" si="53"/>
        <v>N</v>
      </c>
      <c r="X151" s="187">
        <f t="shared" si="46"/>
        <v>1</v>
      </c>
      <c r="Y151" s="62">
        <f t="shared" si="54"/>
        <v>23.302099999999999</v>
      </c>
      <c r="Z151" s="62">
        <f t="shared" si="47"/>
        <v>1.6E-2</v>
      </c>
      <c r="AA151" s="62">
        <f t="shared" si="55"/>
        <v>23.286100000000001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6"/>
        <v>0238-01</v>
      </c>
      <c r="AE151" s="85" t="str">
        <f t="shared" si="57"/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AF151" s="82" t="str">
        <f t="shared" si="58"/>
        <v>"C:\Program Files (x86)\AstroGrep\AstroGrep.exe" /spath="%USERPROFILE%\AppData\Local\Temp\OnboardLogs" /stypes="app*4045*20170302*" /stext=" 07:.+((SYSTEM_STATE.+slice.+state.+changed )|(ment ac)|(multiple cpu faults)|(system.+state.+changed )|(\[timeout)|(PRM\|1\|D)|(kpr)|(kdp)|(\|lc)|(penalty))" /e /r /s</v>
      </c>
      <c r="AG151" s="1" t="str">
        <f t="shared" si="59"/>
        <v>EC</v>
      </c>
      <c r="AH151" s="86" t="str">
        <f t="shared" si="60"/>
        <v>"%USERPROFILE%\Documents\GitHub\eaglep3\Utilities\RefineRTDCRunTimes.py" --tripid 238-01 --locoid 4045 --swversion DE.1.0.9.0 --startMP 204:233021 --initTime 2017-03-01T23:47:05 --startdatetime 2017-03-01T23:56:22 --delay 1 --endMP 204:160 --enddatetime 2017-03-02T00:35:48 --enforcementcount 0 &gt;&gt;C:\Users\stu\Documents\GitHub\eaglep3-reporting\EC\2017-03-01-refined-times.txt</v>
      </c>
      <c r="AI151" s="108" t="str">
        <f t="shared" si="61"/>
        <v>echo {"issue":{"subject":"","project_id":79,"tracker_id":40,"status_id":1,"priority_id":2,"assigned_to_id":23,"start_date":"2017-03-02","description":"","custom_fields":[{"id":1,"name":"Subdivision","value":"EC"},{"id":4,"name":"Milepost","value":"0.016"},{"id":17,"name":"Train ID","value":"238-01"},{"id":16,"name":"Locomotive ID","value":"4045"},{"id":130,"name":"Impact","value":""},{"id":150,"name":"Time of Event (Mountain Time)","value":"00:35:48"},{"id":151,"name":"Denver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2"/>
        <v>start /low /b %USERPROFILE%\Documents\GitHub\eaglep3\Utilities\DownloadLogsFromS3.py --loco 4045 --day 2017-03-01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"%USERPROFILE%\AppData\Local\Temp\OnboardLogs"\RTDC4045\*4045*20170302* | grep -SE "(Enforcement Action)|(\[TIMEOUT)|(CHR.+\|PRM\|1\|D.+(SWITCH|SIGNAL).+UNKNOWN)" - &gt;&gt; 2017-03-01-UncaughtWiMAX.txt</v>
      </c>
    </row>
    <row r="152" spans="1:91" x14ac:dyDescent="0.25">
      <c r="A152" s="33" t="s">
        <v>663</v>
      </c>
      <c r="B152" s="7">
        <v>4002</v>
      </c>
      <c r="C152" s="21" t="s">
        <v>266</v>
      </c>
      <c r="D152" s="21" t="s">
        <v>709</v>
      </c>
      <c r="E152" s="13">
        <v>42795.96875</v>
      </c>
      <c r="F152" s="13">
        <v>42795.979548611111</v>
      </c>
      <c r="G152" s="7">
        <v>3</v>
      </c>
      <c r="H152" s="21" t="s">
        <v>748</v>
      </c>
      <c r="I152" s="13">
        <v>42796.004317129627</v>
      </c>
      <c r="J152" s="7">
        <v>0</v>
      </c>
      <c r="K152" s="98" t="str">
        <f t="shared" si="48"/>
        <v>4001/4002</v>
      </c>
      <c r="L152" s="21" t="str">
        <f>VLOOKUP(A152,'Trips&amp;Operators'!$C$1:$G$99999,5,FALSE)</f>
        <v>STORY SAMANTHA</v>
      </c>
      <c r="M152" s="6">
        <f t="shared" si="49"/>
        <v>2.4768518516793847E-2</v>
      </c>
      <c r="N152" s="7">
        <f t="shared" si="63"/>
        <v>35.66666666418314</v>
      </c>
      <c r="O152" s="7"/>
      <c r="P152" s="7"/>
      <c r="Q152" s="22"/>
      <c r="R152" s="22"/>
      <c r="S152" s="31">
        <f t="shared" si="50"/>
        <v>1</v>
      </c>
      <c r="T152" s="46" t="str">
        <f t="shared" si="51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2"/>
        <v>https://d0f6bd738d7f1b3e5a7ca70fe4ff75f0.us-east-1.aws.found.io/app/kibana#/discover/Steve-Slow-Train-Analysis-(2080s-and-2083s)?_g=(refreshInterval:(display:Off,pause:!f,section:0,value:0),time:(from:'2017-03-01T22:15:00-0700',mode:absolute,to:'2017-03-02T01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2" s="187" t="str">
        <f t="shared" si="53"/>
        <v>N</v>
      </c>
      <c r="X152" s="187">
        <f t="shared" si="46"/>
        <v>1</v>
      </c>
      <c r="Y152" s="62">
        <f t="shared" si="54"/>
        <v>4.6899999999999997E-2</v>
      </c>
      <c r="Z152" s="62">
        <f t="shared" si="47"/>
        <v>23.332999999999998</v>
      </c>
      <c r="AA152" s="62">
        <f t="shared" si="55"/>
        <v>23.286099999999998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6"/>
        <v>0239-01</v>
      </c>
      <c r="AE152" s="85" t="str">
        <f t="shared" si="57"/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AF152" s="82" t="str">
        <f t="shared" si="58"/>
        <v>"C:\Program Files (x86)\AstroGrep\AstroGrep.exe" /spath="%USERPROFILE%\AppData\Local\Temp\OnboardLogs" /stypes="app*4002*20170302*" /stext=" 07:.+((SYSTEM_STATE.+slice.+state.+changed )|(ment ac)|(multiple cpu faults)|(system.+state.+changed )|(\[timeout)|(PRM\|1\|D)|(kpr)|(kdp)|(\|lc)|(penalty))" /e /r /s</v>
      </c>
      <c r="AG152" s="1" t="str">
        <f t="shared" si="59"/>
        <v>EC</v>
      </c>
      <c r="AH152" s="86" t="str">
        <f t="shared" si="60"/>
        <v>"%USERPROFILE%\Documents\GitHub\eaglep3\Utilities\RefineRTDCRunTimes.py" --tripid 239-01 --locoid 4002 --swversion DE.1.0.9.0 --startMP 204:469 --initTime 2017-03-01T23:15:00 --startdatetime 2017-03-01T23:30:33 --delay 3 --endMP 204:233330 --enddatetime 2017-03-02T00:06:13 --enforcementcount 0 &gt;&gt;C:\Users\stu\Documents\GitHub\eaglep3-reporting\EC\2017-03-01-refined-times.txt</v>
      </c>
      <c r="AI152" s="108" t="str">
        <f t="shared" si="61"/>
        <v>echo {"issue":{"subject":"","project_id":79,"tracker_id":40,"status_id":1,"priority_id":2,"assigned_to_id":23,"start_date":"2017-03-02","description":"","custom_fields":[{"id":1,"name":"Subdivision","value":"EC"},{"id":4,"name":"Milepost","value":"23.333"},{"id":17,"name":"Train ID","value":"239-01"},{"id":16,"name":"Locomotive ID","value":"4002"},{"id":130,"name":"Impact","value":""},{"id":150,"name":"Time of Event (Mountain Time)","value":"00:06:13"},{"id":151,"name":"Denver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2"/>
        <v>start /low /b %USERPROFILE%\Documents\GitHub\eaglep3\Utilities\DownloadLogsFromS3.py --loco 4002 --day 2017-03-01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"%USERPROFILE%\AppData\Local\Temp\OnboardLogs"\RTDC4002\*4002*20170302* | grep -SE "(Enforcement Action)|(\[TIMEOUT)|(CHR.+\|PRM\|1\|D.+(SWITCH|SIGNAL).+UNKNOWN)" - &gt;&gt; 2017-03-01-UncaughtWiMAX.txt</v>
      </c>
    </row>
    <row r="153" spans="1:91" x14ac:dyDescent="0.25">
      <c r="A153" s="33" t="s">
        <v>668</v>
      </c>
      <c r="B153" s="7">
        <v>4001</v>
      </c>
      <c r="C153" s="21" t="s">
        <v>266</v>
      </c>
      <c r="D153" s="21" t="s">
        <v>737</v>
      </c>
      <c r="E153" s="13">
        <v>42796.011504629627</v>
      </c>
      <c r="F153" s="13">
        <v>42796.018599537034</v>
      </c>
      <c r="G153" s="7">
        <v>1</v>
      </c>
      <c r="H153" s="21" t="s">
        <v>256</v>
      </c>
      <c r="I153" s="13">
        <v>42796.048298611109</v>
      </c>
      <c r="J153" s="7">
        <v>0</v>
      </c>
      <c r="K153" s="98" t="str">
        <f t="shared" si="48"/>
        <v>4001/4002</v>
      </c>
      <c r="L153" s="21" t="str">
        <f>VLOOKUP(A153,'Trips&amp;Operators'!$C$1:$G$99999,5,FALSE)</f>
        <v>STORY SAMANTHA</v>
      </c>
      <c r="M153" s="6">
        <f t="shared" si="49"/>
        <v>2.9699074075324461E-2</v>
      </c>
      <c r="N153" s="7">
        <f t="shared" si="63"/>
        <v>42.766666668467224</v>
      </c>
      <c r="O153" s="7"/>
      <c r="P153" s="7"/>
      <c r="Q153" s="22"/>
      <c r="R153" s="22"/>
      <c r="S153" s="31">
        <f t="shared" si="50"/>
        <v>1</v>
      </c>
      <c r="T153" s="46" t="str">
        <f t="shared" si="51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2"/>
        <v>https://d0f6bd738d7f1b3e5a7ca70fe4ff75f0.us-east-1.aws.found.io/app/kibana#/discover/Steve-Slow-Train-Analysis-(2080s-and-2083s)?_g=(refreshInterval:(display:Off,pause:!f,section:0,value:0),time:(from:'2017-03-01T23:16:34-0700',mode:absolute,to:'2017-03-02T02:09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3" s="187" t="str">
        <f t="shared" si="53"/>
        <v>N</v>
      </c>
      <c r="X153" s="187">
        <f t="shared" si="46"/>
        <v>1</v>
      </c>
      <c r="Y153" s="62">
        <f t="shared" si="54"/>
        <v>23.301300000000001</v>
      </c>
      <c r="Z153" s="62">
        <f t="shared" si="47"/>
        <v>1.47E-2</v>
      </c>
      <c r="AA153" s="62">
        <f t="shared" si="55"/>
        <v>23.2866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6"/>
        <v>0240-01</v>
      </c>
      <c r="AE153" s="85" t="str">
        <f t="shared" si="57"/>
        <v>aws s3 cp s3://rtdc.mdm.uploadarchive.raw/RTDC4001/ "%USERPROFILE%\AppData\Local\Temp\OnboardLogs"\RTDC4001\2017-03-02 --exclude "*" --recursive --include "*20170302*" &amp; "%USERPROFILE%\Documents\GitHub\mrs-test-scripts\Headless Mode &amp; Sideloading\WalkAndUnGZ.bat" "%USERPROFILE%\AppData\Local\Temp\OnboardLogs"\RTDC4001\2017-03-02 &amp; aws s3 cp s3://rtdc.mdm.uploadarchive.raw/RTDC4001/ "%USERPROFILE%\AppData\Local\Temp\OnboardLogs"\RTDC4001\2017-03-03 --exclude "*" --recursive --include "*20170303*" &amp; "%USERPROFILE%\Documents\GitHub\mrs-test-scripts\Headless Mode &amp; Sideloading\WalkAndUnGZ.bat" "%USERPROFILE%\AppData\Local\Temp\OnboardLogs"\RTDC4001\2017-03-03</v>
      </c>
      <c r="AF153" s="82" t="str">
        <f t="shared" si="58"/>
        <v>"C:\Program Files (x86)\AstroGrep\AstroGrep.exe" /spath="%USERPROFILE%\AppData\Local\Temp\OnboardLogs" /stypes="app*4001*20170302*" /stext=" 08:.+((SYSTEM_STATE.+slice.+state.+changed )|(ment ac)|(multiple cpu faults)|(system.+state.+changed )|(\[timeout)|(PRM\|1\|D)|(kpr)|(kdp)|(\|lc)|(penalty))" /e /r /s</v>
      </c>
      <c r="AG153" s="1" t="str">
        <f t="shared" si="59"/>
        <v>EC</v>
      </c>
      <c r="AH153" s="86" t="str">
        <f t="shared" si="60"/>
        <v>"%USERPROFILE%\Documents\GitHub\eaglep3\Utilities\RefineRTDCRunTimes.py" --tripid 240-01 --locoid 4001 --swversion DE.1.0.9.0 --startMP 204:233013 --initTime 2017-03-02T00:16:34 --startdatetime 2017-03-02T00:26:47 --delay 1 --endMP 204:147 --enddatetime 2017-03-02T01:09:33 --enforcementcount 0 &gt;&gt;C:\Users\stu\Documents\GitHub\eaglep3-reporting\EC\2017-03-01-refined-times.txt</v>
      </c>
      <c r="AI153" s="108" t="str">
        <f t="shared" si="61"/>
        <v>echo {"issue":{"subject":"","project_id":79,"tracker_id":40,"status_id":1,"priority_id":2,"assigned_to_id":23,"start_date":"2017-03-02","description":"","custom_fields":[{"id":1,"name":"Subdivision","value":"EC"},{"id":4,"name":"Milepost","value":"0.0147"},{"id":17,"name":"Train ID","value":"240-01"},{"id":16,"name":"Locomotive ID","value":"4001"},{"id":130,"name":"Impact","value":""},{"id":150,"name":"Time of Event (Mountain Time)","value":"01:09:33"},{"id":151,"name":"Denver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2"/>
        <v>start /low /b %USERPROFILE%\Documents\GitHub\eaglep3\Utilities\DownloadLogsFromS3.py --loco 4001 --day 2017-03-02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"%USERPROFILE%\AppData\Local\Temp\OnboardLogs"\RTDC4001\*4001*20170302* | grep -SE "(Enforcement Action)|(\[TIMEOUT)|(CHR.+\|PRM\|1\|D.+(SWITCH|SIGNAL).+UNKNOWN)" - &gt;&gt; 2017-03-01-UncaughtWiMAX.txt</v>
      </c>
    </row>
    <row r="154" spans="1:91" x14ac:dyDescent="0.25">
      <c r="A154" s="33" t="s">
        <v>474</v>
      </c>
      <c r="B154" s="7">
        <v>4011</v>
      </c>
      <c r="C154" s="21" t="s">
        <v>266</v>
      </c>
      <c r="D154" s="21" t="s">
        <v>243</v>
      </c>
      <c r="E154" s="13">
        <v>42795.990474537037</v>
      </c>
      <c r="F154" s="13">
        <v>42796.000324074077</v>
      </c>
      <c r="G154" s="7">
        <v>7</v>
      </c>
      <c r="H154" s="21" t="s">
        <v>749</v>
      </c>
      <c r="I154" s="13">
        <v>42796.027326388888</v>
      </c>
      <c r="J154" s="7">
        <v>0</v>
      </c>
      <c r="K154" s="98" t="str">
        <f t="shared" si="48"/>
        <v>4011/4012</v>
      </c>
      <c r="L154" s="21" t="str">
        <f>VLOOKUP(A154,'Trips&amp;Operators'!$C$1:$G$99999,5,FALSE)</f>
        <v>BROWN JACOB</v>
      </c>
      <c r="M154" s="6">
        <f t="shared" si="49"/>
        <v>2.700231481139781E-2</v>
      </c>
      <c r="N154" s="7">
        <f t="shared" si="63"/>
        <v>38.883333328412846</v>
      </c>
      <c r="O154" s="7"/>
      <c r="P154" s="7"/>
      <c r="Q154" s="22"/>
      <c r="R154" s="22"/>
      <c r="S154" s="31">
        <f t="shared" si="50"/>
        <v>1</v>
      </c>
      <c r="T154" s="46" t="str">
        <f t="shared" si="51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2"/>
        <v>https://d0f6bd738d7f1b3e5a7ca70fe4ff75f0.us-east-1.aws.found.io/app/kibana#/discover/Steve-Slow-Train-Analysis-(2080s-and-2083s)?_g=(refreshInterval:(display:Off,pause:!f,section:0,value:0),time:(from:'2017-03-01T22:46:17-0700',mode:absolute,to:'2017-03-02T01:39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4" s="187" t="str">
        <f t="shared" si="53"/>
        <v>N</v>
      </c>
      <c r="X154" s="187">
        <f t="shared" si="46"/>
        <v>1</v>
      </c>
      <c r="Y154" s="62">
        <f t="shared" si="54"/>
        <v>4.6399999999999997E-2</v>
      </c>
      <c r="Z154" s="62">
        <f t="shared" si="47"/>
        <v>23.334</v>
      </c>
      <c r="AA154" s="62">
        <f t="shared" si="55"/>
        <v>23.287600000000001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6"/>
        <v>0241-01</v>
      </c>
      <c r="AE154" s="85" t="str">
        <f t="shared" si="57"/>
        <v>aws s3 cp s3://rtdc.mdm.uploadarchive.raw/RTDC4011/ "%USERPROFILE%\AppData\Local\Temp\OnboardLogs"\RTDC4011\2017-03-02 --exclude "*" --recursive --include "*20170302*" &amp; "%USERPROFILE%\Documents\GitHub\mrs-test-scripts\Headless Mode &amp; Sideloading\WalkAndUnGZ.bat" "%USERPROFILE%\AppData\Local\Temp\OnboardLogs"\RTDC4011\2017-03-02 &amp; aws s3 cp s3://rtdc.mdm.uploadarchive.raw/RTDC4011/ "%USERPROFILE%\AppData\Local\Temp\OnboardLogs"\RTDC4011\2017-03-03 --exclude "*" --recursive --include "*20170303*" &amp; "%USERPROFILE%\Documents\GitHub\mrs-test-scripts\Headless Mode &amp; Sideloading\WalkAndUnGZ.bat" "%USERPROFILE%\AppData\Local\Temp\OnboardLogs"\RTDC4011\2017-03-03</v>
      </c>
      <c r="AF154" s="82" t="str">
        <f t="shared" si="58"/>
        <v>"C:\Program Files (x86)\AstroGrep\AstroGrep.exe" /spath="%USERPROFILE%\AppData\Local\Temp\OnboardLogs" /stypes="app*4011*20170302*" /stext=" 07:.+((SYSTEM_STATE.+slice.+state.+changed )|(ment ac)|(multiple cpu faults)|(system.+state.+changed )|(\[timeout)|(PRM\|1\|D)|(kpr)|(kdp)|(\|lc)|(penalty))" /e /r /s</v>
      </c>
      <c r="AG154" s="1" t="str">
        <f t="shared" si="59"/>
        <v>EC</v>
      </c>
      <c r="AH154" s="86" t="str">
        <f t="shared" si="60"/>
        <v>"%USERPROFILE%\Documents\GitHub\eaglep3\Utilities\RefineRTDCRunTimes.py" --tripid 241-01 --locoid 4011 --swversion DE.1.0.9.0 --startMP 204:464 --initTime 2017-03-01T23:46:17 --startdatetime 2017-03-02T00:00:28 --delay 7 --endMP 204:233340 --enddatetime 2017-03-02T00:39:21 --enforcementcount 0 &gt;&gt;C:\Users\stu\Documents\GitHub\eaglep3-reporting\EC\2017-03-01-refined-times.txt</v>
      </c>
      <c r="AI154" s="108" t="str">
        <f t="shared" si="61"/>
        <v>echo {"issue":{"subject":"","project_id":79,"tracker_id":40,"status_id":1,"priority_id":2,"assigned_to_id":23,"start_date":"2017-03-02","description":"","custom_fields":[{"id":1,"name":"Subdivision","value":"EC"},{"id":4,"name":"Milepost","value":"23.334"},{"id":17,"name":"Train ID","value":"241-01"},{"id":16,"name":"Locomotive ID","value":"4011"},{"id":130,"name":"Impact","value":""},{"id":150,"name":"Time of Event (Mountain Time)","value":"00:39:21"},{"id":151,"name":"Denver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2"/>
        <v>start /low /b %USERPROFILE%\Documents\GitHub\eaglep3\Utilities\DownloadLogsFromS3.py --loco 4011 --day 2017-03-02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"%USERPROFILE%\AppData\Local\Temp\OnboardLogs"\RTDC4011\*4011*20170302* | grep -SE "(Enforcement Action)|(\[TIMEOUT)|(CHR.+\|PRM\|1\|D.+(SWITCH|SIGNAL).+UNKNOWN)" - &gt;&gt; 2017-03-01-UncaughtWiMAX.txt</v>
      </c>
    </row>
    <row r="155" spans="1:91" s="20" customFormat="1" x14ac:dyDescent="0.25">
      <c r="A155" s="33" t="s">
        <v>671</v>
      </c>
      <c r="B155" s="7">
        <v>4012</v>
      </c>
      <c r="C155" s="21" t="s">
        <v>266</v>
      </c>
      <c r="D155" s="21" t="s">
        <v>750</v>
      </c>
      <c r="E155" s="13">
        <v>42796.035266203704</v>
      </c>
      <c r="F155" s="13">
        <v>42796.0390162037</v>
      </c>
      <c r="G155" s="7">
        <v>1</v>
      </c>
      <c r="H155" s="21" t="s">
        <v>342</v>
      </c>
      <c r="I155" s="13">
        <v>42796.066192129627</v>
      </c>
      <c r="J155" s="7">
        <v>0</v>
      </c>
      <c r="K155" s="98" t="str">
        <f t="shared" si="48"/>
        <v>4011/4012</v>
      </c>
      <c r="L155" s="21" t="str">
        <f>VLOOKUP(A155,'Trips&amp;Operators'!$C$1:$G$99999,5,FALSE)</f>
        <v>BROWN JACOB</v>
      </c>
      <c r="M155" s="6">
        <f t="shared" si="49"/>
        <v>2.7175925926712807E-2</v>
      </c>
      <c r="N155" s="7">
        <f t="shared" si="63"/>
        <v>39.133333334466442</v>
      </c>
      <c r="O155" s="7"/>
      <c r="P155" s="7"/>
      <c r="Q155" s="22"/>
      <c r="R155" s="22"/>
      <c r="S155" s="31">
        <f t="shared" si="50"/>
        <v>1</v>
      </c>
      <c r="T155" s="46" t="str">
        <f t="shared" si="51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2"/>
        <v>https://d0f6bd738d7f1b3e5a7ca70fe4ff75f0.us-east-1.aws.found.io/app/kibana#/discover/Steve-Slow-Train-Analysis-(2080s-and-2083s)?_g=(refreshInterval:(display:Off,pause:!f,section:0,value:0),time:(from:'2017-03-01T23:50:47-0700',mode:absolute,to:'2017-03-02T02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5" s="187" t="str">
        <f t="shared" si="53"/>
        <v>N</v>
      </c>
      <c r="X155" s="187">
        <f t="shared" si="46"/>
        <v>1</v>
      </c>
      <c r="Y155" s="62">
        <f t="shared" si="54"/>
        <v>23.303999999999998</v>
      </c>
      <c r="Z155" s="62">
        <f t="shared" si="47"/>
        <v>1.34E-2</v>
      </c>
      <c r="AA155" s="62">
        <f t="shared" si="55"/>
        <v>23.290599999999998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6"/>
        <v>0242-01</v>
      </c>
      <c r="AE155" s="85" t="str">
        <f t="shared" si="57"/>
        <v>aws s3 cp s3://rtdc.mdm.uploadarchive.raw/RTDC4012/ "%USERPROFILE%\AppData\Local\Temp\OnboardLogs"\RTDC4012\2017-03-02 --exclude "*" --recursive --include "*20170302*" &amp; "%USERPROFILE%\Documents\GitHub\mrs-test-scripts\Headless Mode &amp; Sideloading\WalkAndUnGZ.bat" "%USERPROFILE%\AppData\Local\Temp\OnboardLogs"\RTDC4012\2017-03-02 &amp; aws s3 cp s3://rtdc.mdm.uploadarchive.raw/RTDC4012/ "%USERPROFILE%\AppData\Local\Temp\OnboardLogs"\RTDC4012\2017-03-03 --exclude "*" --recursive --include "*20170303*" &amp; "%USERPROFILE%\Documents\GitHub\mrs-test-scripts\Headless Mode &amp; Sideloading\WalkAndUnGZ.bat" "%USERPROFILE%\AppData\Local\Temp\OnboardLogs"\RTDC4012\2017-03-03</v>
      </c>
      <c r="AF155" s="82" t="str">
        <f t="shared" si="58"/>
        <v>"C:\Program Files (x86)\AstroGrep\AstroGrep.exe" /spath="%USERPROFILE%\AppData\Local\Temp\OnboardLogs" /stypes="app*4012*20170302*" /stext=" 08:.+((SYSTEM_STATE.+slice.+state.+changed )|(ment ac)|(multiple cpu faults)|(system.+state.+changed )|(\[timeout)|(PRM\|1\|D)|(kpr)|(kdp)|(\|lc)|(penalty))" /e /r /s</v>
      </c>
      <c r="AG155" s="1" t="str">
        <f t="shared" si="59"/>
        <v>EC</v>
      </c>
      <c r="AH155" s="86" t="str">
        <f t="shared" si="60"/>
        <v>"%USERPROFILE%\Documents\GitHub\eaglep3\Utilities\RefineRTDCRunTimes.py" --tripid 242-01 --locoid 4012 --swversion DE.1.0.9.0 --startMP 204:233040 --initTime 2017-03-02T00:50:47 --startdatetime 2017-03-02T00:56:11 --delay 1 --endMP 204:134 --enddatetime 2017-03-02T01:35:19 --enforcementcount 0 &gt;&gt;C:\Users\stu\Documents\GitHub\eaglep3-reporting\EC\2017-03-01-refined-times.txt</v>
      </c>
      <c r="AI155" s="108" t="str">
        <f t="shared" si="61"/>
        <v>echo {"issue":{"subject":"","project_id":79,"tracker_id":40,"status_id":1,"priority_id":2,"assigned_to_id":23,"start_date":"2017-03-02","description":"","custom_fields":[{"id":1,"name":"Subdivision","value":"EC"},{"id":4,"name":"Milepost","value":"0.0134"},{"id":17,"name":"Train ID","value":"242-01"},{"id":16,"name":"Locomotive ID","value":"4012"},{"id":130,"name":"Impact","value":""},{"id":150,"name":"Time of Event (Mountain Time)","value":"01:35:19"},{"id":151,"name":"Denver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2"/>
        <v>start /low /b %USERPROFILE%\Documents\GitHub\eaglep3\Utilities\DownloadLogsFromS3.py --loco 4012 --day 2017-03-02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"%USERPROFILE%\AppData\Local\Temp\OnboardLogs"\RTDC4012\*4012*20170302* | grep -SE "(Enforcement Action)|(\[TIMEOUT)|(CHR.+\|PRM\|1\|D.+(SWITCH|SIGNAL).+UNKNOWN)" - &gt;&gt; 2017-03-01-UncaughtWiMAX.txt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667</v>
      </c>
      <c r="B156" s="7">
        <v>4029</v>
      </c>
      <c r="C156" s="21" t="s">
        <v>266</v>
      </c>
      <c r="D156" s="21" t="s">
        <v>235</v>
      </c>
      <c r="E156" s="13">
        <v>42796.009212962963</v>
      </c>
      <c r="F156" s="13">
        <v>42796.020983796298</v>
      </c>
      <c r="G156" s="7">
        <v>1</v>
      </c>
      <c r="H156" s="21" t="s">
        <v>751</v>
      </c>
      <c r="I156" s="13">
        <v>42796.043819444443</v>
      </c>
      <c r="J156" s="7">
        <v>0</v>
      </c>
      <c r="K156" s="98" t="str">
        <f t="shared" si="48"/>
        <v>4029/4030</v>
      </c>
      <c r="L156" s="21" t="str">
        <f>VLOOKUP(A156,'Trips&amp;Operators'!$C$1:$G$99999,5,FALSE)</f>
        <v>NEWELL JAMES</v>
      </c>
      <c r="M156" s="6">
        <f t="shared" si="49"/>
        <v>2.2835648145701271E-2</v>
      </c>
      <c r="N156" s="7"/>
      <c r="O156" s="7"/>
      <c r="P156" s="7">
        <f>24*60*SUM($M156:$M156)</f>
        <v>32.88333332980983</v>
      </c>
      <c r="Q156" s="22"/>
      <c r="R156" s="22" t="s">
        <v>998</v>
      </c>
      <c r="S156" s="31">
        <f t="shared" si="50"/>
        <v>1</v>
      </c>
      <c r="T156" s="46" t="str">
        <f t="shared" si="51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2"/>
        <v>https://d0f6bd738d7f1b3e5a7ca70fe4ff75f0.us-east-1.aws.found.io/app/kibana#/discover/Steve-Slow-Train-Analysis-(2080s-and-2083s)?_g=(refreshInterval:(display:Off,pause:!f,section:0,value:0),time:(from:'2017-03-01T23:13:16-0700',mode:absolute,to:'2017-03-02T02:03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6" s="187" t="str">
        <f t="shared" si="53"/>
        <v>Y</v>
      </c>
      <c r="X156" s="187">
        <f t="shared" si="46"/>
        <v>1</v>
      </c>
      <c r="Y156" s="62">
        <f t="shared" si="54"/>
        <v>4.53E-2</v>
      </c>
      <c r="Z156" s="62">
        <f t="shared" si="47"/>
        <v>21.612300000000001</v>
      </c>
      <c r="AA156" s="62">
        <f t="shared" si="55"/>
        <v>21.567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6"/>
        <v>0243-01</v>
      </c>
      <c r="AE156" s="85" t="str">
        <f t="shared" si="57"/>
        <v>aws s3 cp s3://rtdc.mdm.uploadarchive.raw/RTDC4029/ "%USERPROFILE%\AppData\Local\Temp\OnboardLogs"\RTDC4029\2017-03-02 --exclude "*" --recursive --include "*20170302*" &amp; "%USERPROFILE%\Documents\GitHub\mrs-test-scripts\Headless Mode &amp; Sideloading\WalkAndUnGZ.bat" "%USERPROFILE%\AppData\Local\Temp\OnboardLogs"\RTDC4029\2017-03-02 &amp; aws s3 cp s3://rtdc.mdm.uploadarchive.raw/RTDC4029/ "%USERPROFILE%\AppData\Local\Temp\OnboardLogs"\RTDC4029\2017-03-03 --exclude "*" --recursive --include "*20170303*" &amp; "%USERPROFILE%\Documents\GitHub\mrs-test-scripts\Headless Mode &amp; Sideloading\WalkAndUnGZ.bat" "%USERPROFILE%\AppData\Local\Temp\OnboardLogs"\RTDC4029\2017-03-03</v>
      </c>
      <c r="AF156" s="82" t="str">
        <f t="shared" si="58"/>
        <v>"C:\Program Files (x86)\AstroGrep\AstroGrep.exe" /spath="%USERPROFILE%\AppData\Local\Temp\OnboardLogs" /stypes="app*4029*20170302*" /stext=" 08:.+((SYSTEM_STATE.+slice.+state.+changed )|(ment ac)|(multiple cpu faults)|(system.+state.+changed )|(\[timeout)|(PRM\|1\|D)|(kpr)|(kdp)|(\|lc)|(penalty))" /e /r /s</v>
      </c>
      <c r="AG156" s="1" t="str">
        <f t="shared" si="59"/>
        <v>EC</v>
      </c>
      <c r="AH156" s="86" t="str">
        <f t="shared" si="60"/>
        <v>"%USERPROFILE%\Documents\GitHub\eaglep3\Utilities\RefineRTDCRunTimes.py" --tripid 243-01 --locoid 4029 --swversion DE.1.0.9.0 --startMP 204:453 --initTime 2017-03-02T00:13:16 --startdatetime 2017-03-02T00:30:13 --delay 1 --endMP 204:216123 --enddatetime 2017-03-02T01:03:06 --enforcementcount 0 &gt;&gt;C:\Users\stu\Documents\GitHub\eaglep3-reporting\EC\2017-03-01-refined-times.txt</v>
      </c>
      <c r="AI156" s="108" t="str">
        <f t="shared" si="61"/>
        <v>echo {"issue":{"subject":"Locomotive mechanical issues (alerter)","project_id":79,"tracker_id":40,"status_id":1,"priority_id":2,"assigned_to_id":23,"start_date":"2017-03-02","description":"","custom_fields":[{"id":1,"name":"Subdivision","value":"EC"},{"id":4,"name":"Milepost","value":"21.6123"},{"id":17,"name":"Train ID","value":"243-01"},{"id":16,"name":"Locomotive ID","value":"4029"},{"id":130,"name":"Impact","value":""},{"id":150,"name":"Time of Event (Mountain Time)","value":"01:03:06"},{"id":151,"name":"Denver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2"/>
        <v>start /low /b %USERPROFILE%\Documents\GitHub\eaglep3\Utilities\DownloadLogsFromS3.py --loco 4029 --day 2017-03-02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"%USERPROFILE%\AppData\Local\Temp\OnboardLogs"\RTDC4029\*4029*20170302* | grep -SE "(Enforcement Action)|(\[TIMEOUT)|(CHR.+\|PRM\|1\|D.+(SWITCH|SIGNAL).+UNKNOWN)" - &gt;&gt; 2017-03-01-UncaughtWiMAX.txt</v>
      </c>
    </row>
    <row r="157" spans="1:91" x14ac:dyDescent="0.25">
      <c r="A157" s="33" t="s">
        <v>673</v>
      </c>
      <c r="B157" s="7">
        <v>4030</v>
      </c>
      <c r="C157" s="21" t="s">
        <v>266</v>
      </c>
      <c r="D157" s="21" t="s">
        <v>708</v>
      </c>
      <c r="E157" s="13">
        <v>42796.059629629628</v>
      </c>
      <c r="F157" s="13">
        <v>42796.061354166668</v>
      </c>
      <c r="G157" s="7">
        <v>1</v>
      </c>
      <c r="H157" s="21" t="s">
        <v>203</v>
      </c>
      <c r="I157" s="13">
        <v>42796.090821759259</v>
      </c>
      <c r="J157" s="7">
        <v>0</v>
      </c>
      <c r="K157" s="98" t="str">
        <f t="shared" si="48"/>
        <v>4029/4030</v>
      </c>
      <c r="L157" s="21" t="str">
        <f>VLOOKUP(A157,'Trips&amp;Operators'!$C$1:$G$99999,5,FALSE)</f>
        <v>NEWELL JAMES</v>
      </c>
      <c r="M157" s="6">
        <f t="shared" si="49"/>
        <v>2.9467592590663116E-2</v>
      </c>
      <c r="N157" s="7">
        <f t="shared" ref="N157:N193" si="64">24*60*SUM($M157:$M157)</f>
        <v>42.433333330554888</v>
      </c>
      <c r="O157" s="7"/>
      <c r="P157" s="7"/>
      <c r="Q157" s="22"/>
      <c r="R157" s="22"/>
      <c r="S157" s="31">
        <f t="shared" si="50"/>
        <v>1</v>
      </c>
      <c r="T157" s="46" t="str">
        <f t="shared" si="51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2"/>
        <v>https://d0f6bd738d7f1b3e5a7ca70fe4ff75f0.us-east-1.aws.found.io/app/kibana#/discover/Steve-Slow-Train-Analysis-(2080s-and-2083s)?_g=(refreshInterval:(display:Off,pause:!f,section:0,value:0),time:(from:'2017-03-02T00:25:52-0700',mode:absolute,to:'2017-03-02T03:10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7" s="187" t="str">
        <f t="shared" si="53"/>
        <v>N</v>
      </c>
      <c r="X157" s="187">
        <f t="shared" si="46"/>
        <v>1</v>
      </c>
      <c r="Y157" s="62">
        <f t="shared" si="54"/>
        <v>23.298400000000001</v>
      </c>
      <c r="Z157" s="62">
        <f t="shared" si="47"/>
        <v>1.6E-2</v>
      </c>
      <c r="AA157" s="62">
        <f t="shared" si="55"/>
        <v>23.282400000000003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6"/>
        <v>0244-01</v>
      </c>
      <c r="AE157" s="85" t="str">
        <f t="shared" si="57"/>
        <v>aws s3 cp s3://rtdc.mdm.uploadarchive.raw/RTDC4030/ "%USERPROFILE%\AppData\Local\Temp\OnboardLogs"\RTDC4030\2017-03-02 --exclude "*" --recursive --include "*20170302*" &amp; "%USERPROFILE%\Documents\GitHub\mrs-test-scripts\Headless Mode &amp; Sideloading\WalkAndUnGZ.bat" "%USERPROFILE%\AppData\Local\Temp\OnboardLogs"\RTDC4030\2017-03-02 &amp; aws s3 cp s3://rtdc.mdm.uploadarchive.raw/RTDC4030/ "%USERPROFILE%\AppData\Local\Temp\OnboardLogs"\RTDC4030\2017-03-03 --exclude "*" --recursive --include "*20170303*" &amp; "%USERPROFILE%\Documents\GitHub\mrs-test-scripts\Headless Mode &amp; Sideloading\WalkAndUnGZ.bat" "%USERPROFILE%\AppData\Local\Temp\OnboardLogs"\RTDC4030\2017-03-03</v>
      </c>
      <c r="AF157" s="82" t="str">
        <f t="shared" si="58"/>
        <v>"C:\Program Files (x86)\AstroGrep\AstroGrep.exe" /spath="%USERPROFILE%\AppData\Local\Temp\OnboardLogs" /stypes="app*4030*20170302*" /stext=" 09:.+((SYSTEM_STATE.+slice.+state.+changed )|(ment ac)|(multiple cpu faults)|(system.+state.+changed )|(\[timeout)|(PRM\|1\|D)|(kpr)|(kdp)|(\|lc)|(penalty))" /e /r /s</v>
      </c>
      <c r="AG157" s="1" t="str">
        <f t="shared" si="59"/>
        <v>EC</v>
      </c>
      <c r="AH157" s="86" t="str">
        <f t="shared" si="60"/>
        <v>"%USERPROFILE%\Documents\GitHub\eaglep3\Utilities\RefineRTDCRunTimes.py" --tripid 244-01 --locoid 4030 --swversion DE.1.0.9.0 --startMP 204:232984 --initTime 2017-03-02T01:25:52 --startdatetime 2017-03-02T01:28:21 --delay 1 --endMP 204:160 --enddatetime 2017-03-02T02:10:47 --enforcementcount 0 &gt;&gt;C:\Users\stu\Documents\GitHub\eaglep3-reporting\EC\2017-03-01-refined-times.txt</v>
      </c>
      <c r="AI157" s="108" t="str">
        <f t="shared" si="61"/>
        <v>echo {"issue":{"subject":"","project_id":79,"tracker_id":40,"status_id":1,"priority_id":2,"assigned_to_id":23,"start_date":"2017-03-02","description":"","custom_fields":[{"id":1,"name":"Subdivision","value":"EC"},{"id":4,"name":"Milepost","value":"0.016"},{"id":17,"name":"Train ID","value":"244-01"},{"id":16,"name":"Locomotive ID","value":"4030"},{"id":130,"name":"Impact","value":""},{"id":150,"name":"Time of Event (Mountain Time)","value":"02:10:47"},{"id":151,"name":"Denver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2"/>
        <v>start /low /b %USERPROFILE%\Documents\GitHub\eaglep3\Utilities\DownloadLogsFromS3.py --loco 4030 --day 2017-03-02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"%USERPROFILE%\AppData\Local\Temp\OnboardLogs"\RTDC4030\*4030*20170302* | grep -SE "(Enforcement Action)|(\[TIMEOUT)|(CHR.+\|PRM\|1\|D.+(SWITCH|SIGNAL).+UNKNOWN)" - &gt;&gt; 2017-03-01-UncaughtWiMAX.txt</v>
      </c>
    </row>
    <row r="158" spans="1:91" x14ac:dyDescent="0.25">
      <c r="A158" s="33" t="s">
        <v>497</v>
      </c>
      <c r="B158" s="7">
        <v>4013</v>
      </c>
      <c r="C158" s="21" t="s">
        <v>266</v>
      </c>
      <c r="D158" s="21" t="s">
        <v>773</v>
      </c>
      <c r="E158" s="13">
        <v>42795.214490740742</v>
      </c>
      <c r="F158" s="13">
        <v>42795.216168981482</v>
      </c>
      <c r="G158" s="7">
        <v>1</v>
      </c>
      <c r="H158" s="21" t="s">
        <v>774</v>
      </c>
      <c r="I158" s="13">
        <v>42795.225034722222</v>
      </c>
      <c r="J158" s="7">
        <v>0</v>
      </c>
      <c r="K158" s="98" t="str">
        <f t="shared" si="48"/>
        <v>4013/4014</v>
      </c>
      <c r="L158" s="21" t="str">
        <f>VLOOKUP(A158,'Trips&amp;Operators'!$C$1:$G$99999,5,FALSE)</f>
        <v>YORK EDGAR</v>
      </c>
      <c r="M158" s="6">
        <f t="shared" si="49"/>
        <v>8.8657407395658083E-3</v>
      </c>
      <c r="N158" s="7">
        <f t="shared" si="64"/>
        <v>12.766666664974764</v>
      </c>
      <c r="O158" s="7"/>
      <c r="P158" s="7"/>
      <c r="Q158" s="22"/>
      <c r="R158" s="22"/>
      <c r="S158" s="31">
        <f t="shared" si="50"/>
        <v>1</v>
      </c>
      <c r="T158" s="46" t="str">
        <f t="shared" si="51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52"/>
        <v>https://d0f6bd738d7f1b3e5a7ca70fe4ff75f0.us-east-1.aws.found.io/app/kibana#/discover/Steve-Slow-Train-Analysis-(2080s-and-2083s)?_g=(refreshInterval:(display:Off,pause:!f,section:0,value:0),time:(from:'2017-03-01T04:08:52-0700',mode:absolute,to:'2017-03-01T06:24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8" s="187" t="str">
        <f t="shared" si="53"/>
        <v>N</v>
      </c>
      <c r="X158" s="187">
        <f t="shared" si="46"/>
        <v>556</v>
      </c>
      <c r="Y158" s="62">
        <f t="shared" si="54"/>
        <v>5.8616999999999999</v>
      </c>
      <c r="Z158" s="62">
        <f t="shared" si="47"/>
        <v>7.4700000000000003E-2</v>
      </c>
      <c r="AA158" s="62">
        <f t="shared" si="55"/>
        <v>5.7869999999999999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6"/>
        <v>0800-01</v>
      </c>
      <c r="AE158" s="85" t="str">
        <f t="shared" si="57"/>
        <v>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 &amp; 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</v>
      </c>
      <c r="AF158" s="82" t="str">
        <f t="shared" si="58"/>
        <v>"C:\Program Files (x86)\AstroGrep\AstroGrep.exe" /spath="%USERPROFILE%\AppData\Local\Temp\OnboardLogs" /stypes="app*4013*20170301*" /stext=" 12:.+((SYSTEM_STATE.+slice.+state.+changed )|(ment ac)|(multiple cpu faults)|(system.+state.+changed )|(\[timeout)|(PRM\|1\|D)|(kpr)|(kdp)|(\|lc)|(penalty))" /e /r /s</v>
      </c>
      <c r="AG158" s="1" t="str">
        <f t="shared" si="59"/>
        <v>NW</v>
      </c>
      <c r="AH158" s="86" t="str">
        <f t="shared" si="60"/>
        <v>"%USERPROFILE%\Documents\GitHub\eaglep3\Utilities\RefineRTDCRunTimes.py" --tripid 800-01 --locoid 4013 --swversion DE.1.0.9.0 --startMP 300:58617 --initTime 2017-03-01T05:08:52 --startdatetime 2017-03-01T05:11:17 --delay 1 --endMP 204:747 --enddatetime 2017-03-01T05:24:03 --enforcementcount 0 &gt;&gt;C:\Users\stu\Documents\GitHub\eaglep3-reporting\EC\2017-03-01-refined-times.txt</v>
      </c>
      <c r="AI158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{"issue":{"subject":"","project_id":79,"tracker_id":40,"status_id":1,"priority_id":2,"assigned_to_id":23,"start_date":"2017-03-01","description":"","custom_fields":[{"id":1,"name":"Subdivision","value":"NW"},{"id":4,"name":"Milepost","value":"0.0747"},{"id":17,"name":"Train ID","value":"800-01"},{"id":16,"name":"Locomotive ID","value":"4013"},{"id":130,"name":"Impact","value":""},{"id":150,"name":"Time of Event (Mountain Time)","value":"05:24:03"},{"id":151,"name":"Denver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2"/>
        <v>start /low /b %USERPROFILE%\Documents\GitHub\eaglep3\Utilities\DownloadLogsFromS3.py --loco 4013 --day 2017-03-01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"%USERPROFILE%\AppData\Local\Temp\OnboardLogs"\RTDC4013\*4013*20170301* | grep -SE "(Enforcement Action)|(\[TIMEOUT)|(CHR.+\|PRM\|1\|D.+(SWITCH|SIGNAL).+UNKNOWN)" - &gt;&gt; 2017-03-01-UncaughtWiMAX.txt</v>
      </c>
    </row>
    <row r="159" spans="1:91" s="20" customFormat="1" x14ac:dyDescent="0.25">
      <c r="A159" s="33" t="s">
        <v>500</v>
      </c>
      <c r="B159" s="7">
        <v>4014</v>
      </c>
      <c r="C159" s="21" t="s">
        <v>266</v>
      </c>
      <c r="D159" s="21" t="s">
        <v>775</v>
      </c>
      <c r="E159" s="13">
        <v>42795.226701388892</v>
      </c>
      <c r="F159" s="13">
        <v>42795.244050925925</v>
      </c>
      <c r="G159" s="7">
        <v>1</v>
      </c>
      <c r="H159" s="21" t="s">
        <v>776</v>
      </c>
      <c r="I159" s="13">
        <v>42795.25273148148</v>
      </c>
      <c r="J159" s="7">
        <v>0</v>
      </c>
      <c r="K159" s="98" t="str">
        <f t="shared" si="48"/>
        <v>4013/4014</v>
      </c>
      <c r="L159" s="21" t="str">
        <f>VLOOKUP(A159,'Trips&amp;Operators'!$C$1:$G$99999,5,FALSE)</f>
        <v>YORK EDGAR</v>
      </c>
      <c r="M159" s="6">
        <f t="shared" si="49"/>
        <v>8.6805555547471158E-3</v>
      </c>
      <c r="N159" s="7">
        <f t="shared" si="64"/>
        <v>12.499999998835847</v>
      </c>
      <c r="O159" s="7"/>
      <c r="P159" s="7"/>
      <c r="Q159" s="22"/>
      <c r="R159" s="22"/>
      <c r="S159" s="31">
        <f t="shared" si="50"/>
        <v>1</v>
      </c>
      <c r="T159" s="46" t="str">
        <f t="shared" si="51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52"/>
        <v>https://d0f6bd738d7f1b3e5a7ca70fe4ff75f0.us-east-1.aws.found.io/app/kibana#/discover/Steve-Slow-Train-Analysis-(2080s-and-2083s)?_g=(refreshInterval:(display:Off,pause:!f,section:0,value:0),time:(from:'2017-03-01T04:26:27-0700',mode:absolute,to:'2017-03-01T07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9" s="187" t="str">
        <f t="shared" si="53"/>
        <v>N</v>
      </c>
      <c r="X159" s="187">
        <f t="shared" si="46"/>
        <v>1</v>
      </c>
      <c r="Y159" s="62">
        <f t="shared" si="54"/>
        <v>0.1037</v>
      </c>
      <c r="Z159" s="62">
        <f t="shared" si="47"/>
        <v>5.8926999999999996</v>
      </c>
      <c r="AA159" s="62">
        <f t="shared" si="55"/>
        <v>5.7889999999999997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6"/>
        <v>0801-01</v>
      </c>
      <c r="AE159" s="85" t="str">
        <f t="shared" si="57"/>
        <v>aws s3 cp s3://rtdc.mdm.uploadarchive.raw/RTDC4014/ "%USERPROFILE%\AppData\Local\Temp\OnboardLogs"\RTDC4014\2017-03-01 --exclude "*" --recursive --include "*20170301*" &amp; "%USERPROFILE%\Documents\GitHub\mrs-test-scripts\Headless Mode &amp; Sideloading\WalkAndUnGZ.bat" "%USERPROFILE%\AppData\Local\Temp\OnboardLogs"\RTDC4014\2017-03-01 &amp; 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</v>
      </c>
      <c r="AF159" s="82" t="str">
        <f t="shared" si="58"/>
        <v>"C:\Program Files (x86)\AstroGrep\AstroGrep.exe" /spath="%USERPROFILE%\AppData\Local\Temp\OnboardLogs" /stypes="app*4014*20170301*" /stext=" 13:.+((SYSTEM_STATE.+slice.+state.+changed )|(ment ac)|(multiple cpu faults)|(system.+state.+changed )|(\[timeout)|(PRM\|1\|D)|(kpr)|(kdp)|(\|lc)|(penalty))" /e /r /s</v>
      </c>
      <c r="AG159" s="1" t="str">
        <f t="shared" si="59"/>
        <v>NW</v>
      </c>
      <c r="AH159" s="86" t="str">
        <f t="shared" si="60"/>
        <v>"%USERPROFILE%\Documents\GitHub\eaglep3\Utilities\RefineRTDCRunTimes.py" --tripid 801-01 --locoid 4014 --swversion DE.1.0.9.0 --startMP 204:1037 --initTime 2017-03-01T05:26:27 --startdatetime 2017-03-01T05:51:26 --delay 1 --endMP 300:58927 --enddatetime 2017-03-01T06:03:56 --enforcementcount 0 &gt;&gt;C:\Users\stu\Documents\GitHub\eaglep3-reporting\EC\2017-03-01-refined-times.txt</v>
      </c>
      <c r="AI159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{"issue":{"subject":"","project_id":79,"tracker_id":40,"status_id":1,"priority_id":2,"assigned_to_id":23,"start_date":"2017-03-01","description":"","custom_fields":[{"id":1,"name":"Subdivision","value":"NW"},{"id":4,"name":"Milepost","value":"5.8927"},{"id":17,"name":"Train ID","value":"801-01"},{"id":16,"name":"Locomotive ID","value":"4014"},{"id":130,"name":"Impact","value":""},{"id":150,"name":"Time of Event (Mountain Time)","value":"06:03:56"},{"id":151,"name":"Denver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2"/>
        <v>start /low /b %USERPROFILE%\Documents\GitHub\eaglep3\Utilities\DownloadLogsFromS3.py --loco 4014 --day 2017-03-01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"%USERPROFILE%\AppData\Local\Temp\OnboardLogs"\RTDC4014\*4014*20170301* | grep -SE "(Enforcement Action)|(\[TIMEOUT)|(CHR.+\|PRM\|1\|D.+(SWITCH|SIGNAL).+UNKNOWN)" - &gt;&gt; 2017-03-01-UncaughtWiMAX.txt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434</v>
      </c>
      <c r="B160" s="7">
        <v>4013</v>
      </c>
      <c r="C160" s="21" t="s">
        <v>266</v>
      </c>
      <c r="D160" s="21" t="s">
        <v>777</v>
      </c>
      <c r="E160" s="13">
        <v>42795.25403935185</v>
      </c>
      <c r="F160" s="13">
        <v>42795.2578125</v>
      </c>
      <c r="G160" s="7">
        <v>1</v>
      </c>
      <c r="H160" s="21" t="s">
        <v>778</v>
      </c>
      <c r="I160" s="13">
        <v>42795.267731481479</v>
      </c>
      <c r="J160" s="7">
        <v>0</v>
      </c>
      <c r="K160" s="98" t="str">
        <f t="shared" si="48"/>
        <v>4013/4014</v>
      </c>
      <c r="L160" s="21" t="str">
        <f>VLOOKUP(A160,'Trips&amp;Operators'!$C$1:$G$99999,5,FALSE)</f>
        <v>YORK EDGAR</v>
      </c>
      <c r="M160" s="6">
        <f t="shared" si="49"/>
        <v>9.9189814791316167E-3</v>
      </c>
      <c r="N160" s="7">
        <f t="shared" si="64"/>
        <v>14.283333329949528</v>
      </c>
      <c r="O160" s="7"/>
      <c r="P160" s="7"/>
      <c r="Q160" s="22"/>
      <c r="R160" s="22"/>
      <c r="S160" s="31">
        <f t="shared" si="50"/>
        <v>1</v>
      </c>
      <c r="T160" s="46" t="str">
        <f t="shared" si="51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52"/>
        <v>https://d0f6bd738d7f1b3e5a7ca70fe4ff75f0.us-east-1.aws.found.io/app/kibana#/discover/Steve-Slow-Train-Analysis-(2080s-and-2083s)?_g=(refreshInterval:(display:Off,pause:!f,section:0,value:0),time:(from:'2017-03-01T05:05:49-0700',mode:absolute,to:'2017-03-01T07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0" s="187" t="str">
        <f t="shared" si="53"/>
        <v>N</v>
      </c>
      <c r="X160" s="187">
        <f t="shared" si="46"/>
        <v>1</v>
      </c>
      <c r="Y160" s="62">
        <f t="shared" si="54"/>
        <v>5.8615000000000004</v>
      </c>
      <c r="Z160" s="62">
        <f t="shared" si="47"/>
        <v>7.6399999999999996E-2</v>
      </c>
      <c r="AA160" s="62">
        <f t="shared" si="55"/>
        <v>5.7851000000000008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6"/>
        <v>0802-01</v>
      </c>
      <c r="AE160" s="85" t="str">
        <f t="shared" si="57"/>
        <v>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 &amp; 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</v>
      </c>
      <c r="AF160" s="82" t="str">
        <f t="shared" si="58"/>
        <v>"C:\Program Files (x86)\AstroGrep\AstroGrep.exe" /spath="%USERPROFILE%\AppData\Local\Temp\OnboardLogs" /stypes="app*4013*20170301*" /stext=" 13:.+((SYSTEM_STATE.+slice.+state.+changed )|(ment ac)|(multiple cpu faults)|(system.+state.+changed )|(\[timeout)|(PRM\|1\|D)|(kpr)|(kdp)|(\|lc)|(penalty))" /e /r /s</v>
      </c>
      <c r="AG160" s="1" t="str">
        <f t="shared" si="59"/>
        <v>NW</v>
      </c>
      <c r="AH160" s="86" t="str">
        <f t="shared" si="60"/>
        <v>"%USERPROFILE%\Documents\GitHub\eaglep3\Utilities\RefineRTDCRunTimes.py" --tripid 802-01 --locoid 4013 --swversion DE.1.0.9.0 --startMP 300:58615 --initTime 2017-03-01T06:05:49 --startdatetime 2017-03-01T06:11:15 --delay 1 --endMP 204:764 --enddatetime 2017-03-01T06:25:32 --enforcementcount 0 &gt;&gt;C:\Users\stu\Documents\GitHub\eaglep3-reporting\EC\2017-03-01-refined-times.txt</v>
      </c>
      <c r="AI160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{"issue":{"subject":"","project_id":79,"tracker_id":40,"status_id":1,"priority_id":2,"assigned_to_id":23,"start_date":"2017-03-01","description":"","custom_fields":[{"id":1,"name":"Subdivision","value":"NW"},{"id":4,"name":"Milepost","value":"0.0764"},{"id":17,"name":"Train ID","value":"802-01"},{"id":16,"name":"Locomotive ID","value":"4013"},{"id":130,"name":"Impact","value":""},{"id":150,"name":"Time of Event (Mountain Time)","value":"06:25:32"},{"id":151,"name":"Denver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2"/>
        <v>start /low /b %USERPROFILE%\Documents\GitHub\eaglep3\Utilities\DownloadLogsFromS3.py --loco 4013 --day 2017-03-01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"%USERPROFILE%\AppData\Local\Temp\OnboardLogs"\RTDC4013\*4013*20170301* | grep -SE "(Enforcement Action)|(\[TIMEOUT)|(CHR.+\|PRM\|1\|D.+(SWITCH|SIGNAL).+UNKNOWN)" - &gt;&gt; 2017-03-01-UncaughtWiMAX.txt</v>
      </c>
    </row>
    <row r="161" spans="1:91" x14ac:dyDescent="0.25">
      <c r="A161" s="33" t="s">
        <v>508</v>
      </c>
      <c r="B161" s="7">
        <v>4025</v>
      </c>
      <c r="C161" s="21" t="s">
        <v>266</v>
      </c>
      <c r="D161" s="21" t="s">
        <v>423</v>
      </c>
      <c r="E161" s="13">
        <v>42795.263356481482</v>
      </c>
      <c r="F161" s="13">
        <v>42795.265219907407</v>
      </c>
      <c r="G161" s="7">
        <v>1</v>
      </c>
      <c r="H161" s="21" t="s">
        <v>368</v>
      </c>
      <c r="I161" s="13">
        <v>42795.274421296293</v>
      </c>
      <c r="J161" s="7">
        <v>0</v>
      </c>
      <c r="K161" s="98" t="str">
        <f t="shared" si="48"/>
        <v>4025/4026</v>
      </c>
      <c r="L161" s="21" t="str">
        <f>VLOOKUP(A161,'Trips&amp;Operators'!$C$1:$G$99999,5,FALSE)</f>
        <v>LOZA FIDEL</v>
      </c>
      <c r="M161" s="6">
        <f t="shared" si="49"/>
        <v>9.2013888861401938E-3</v>
      </c>
      <c r="N161" s="7">
        <f t="shared" si="64"/>
        <v>13.249999996041879</v>
      </c>
      <c r="O161" s="7"/>
      <c r="P161" s="7"/>
      <c r="Q161" s="22"/>
      <c r="R161" s="22"/>
      <c r="S161" s="31">
        <f t="shared" si="50"/>
        <v>1</v>
      </c>
      <c r="T161" s="46" t="str">
        <f t="shared" si="51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2"/>
        <v>https://d0f6bd738d7f1b3e5a7ca70fe4ff75f0.us-east-1.aws.found.io/app/kibana#/discover/Steve-Slow-Train-Analysis-(2080s-and-2083s)?_g=(refreshInterval:(display:Off,pause:!f,section:0,value:0),time:(from:'2017-03-01T05:19:14-0700',mode:absolute,to:'2017-03-01T07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1" s="187" t="str">
        <f t="shared" si="53"/>
        <v>N</v>
      </c>
      <c r="X161" s="187">
        <f t="shared" si="46"/>
        <v>1</v>
      </c>
      <c r="Y161" s="62">
        <f t="shared" si="54"/>
        <v>9.74E-2</v>
      </c>
      <c r="Z161" s="62">
        <f t="shared" si="47"/>
        <v>5.8959999999999999</v>
      </c>
      <c r="AA161" s="62">
        <f t="shared" si="55"/>
        <v>5.7985999999999995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6"/>
        <v>0803-01</v>
      </c>
      <c r="AE161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161" s="82" t="str">
        <f t="shared" si="58"/>
        <v>"C:\Program Files (x86)\AstroGrep\AstroGrep.exe" /spath="%USERPROFILE%\AppData\Local\Temp\OnboardLogs" /stypes="app*4025*20170301*" /stext=" 13:.+((SYSTEM_STATE.+slice.+state.+changed )|(ment ac)|(multiple cpu faults)|(system.+state.+changed )|(\[timeout)|(PRM\|1\|D)|(kpr)|(kdp)|(\|lc)|(penalty))" /e /r /s</v>
      </c>
      <c r="AG161" s="1" t="str">
        <f t="shared" si="59"/>
        <v>NW</v>
      </c>
      <c r="AH161" s="86" t="str">
        <f t="shared" si="60"/>
        <v>"%USERPROFILE%\Documents\GitHub\eaglep3\Utilities\RefineRTDCRunTimes.py" --tripid 803-01 --locoid 4025 --swversion DE.1.0.9.0 --startMP 204:974 --initTime 2017-03-01T06:19:14 --startdatetime 2017-03-01T06:21:55 --delay 1 --endMP 300:58960 --enddatetime 2017-03-01T06:35:10 --enforcementcount 0 &gt;&gt;C:\Users\stu\Documents\GitHub\eaglep3-reporting\EC\2017-03-01-refined-times.txt</v>
      </c>
      <c r="AI161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{"issue":{"subject":"","project_id":79,"tracker_id":40,"status_id":1,"priority_id":2,"assigned_to_id":23,"start_date":"2017-03-01","description":"","custom_fields":[{"id":1,"name":"Subdivision","value":"NW"},{"id":4,"name":"Milepost","value":"5.896"},{"id":17,"name":"Train ID","value":"803-01"},{"id":16,"name":"Locomotive ID","value":"4025"},{"id":130,"name":"Impact","value":""},{"id":150,"name":"Time of Event (Mountain Time)","value":"06:35:10"},{"id":151,"name":"Denver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2"/>
        <v>start /low /b %USERPROFILE%\Documents\GitHub\eaglep3\Utilities\DownloadLogsFromS3.py --loco 4025 --day 2017-03-01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"%USERPROFILE%\AppData\Local\Temp\OnboardLogs"\RTDC4025\*4025*20170301* | grep -SE "(Enforcement Action)|(\[TIMEOUT)|(CHR.+\|PRM\|1\|D.+(SWITCH|SIGNAL).+UNKNOWN)" - &gt;&gt; 2017-03-01-UncaughtWiMAX.txt</v>
      </c>
    </row>
    <row r="162" spans="1:91" s="20" customFormat="1" x14ac:dyDescent="0.25">
      <c r="A162" s="33" t="s">
        <v>511</v>
      </c>
      <c r="B162" s="7">
        <v>4026</v>
      </c>
      <c r="C162" s="21" t="s">
        <v>266</v>
      </c>
      <c r="D162" s="21" t="s">
        <v>779</v>
      </c>
      <c r="E162" s="13">
        <v>42795.275787037041</v>
      </c>
      <c r="F162" s="13">
        <v>42795.277268518519</v>
      </c>
      <c r="G162" s="7">
        <v>1</v>
      </c>
      <c r="H162" s="21" t="s">
        <v>780</v>
      </c>
      <c r="I162" s="13">
        <v>42795.288622685184</v>
      </c>
      <c r="J162" s="7">
        <v>0</v>
      </c>
      <c r="K162" s="98" t="str">
        <f t="shared" si="48"/>
        <v>4025/4026</v>
      </c>
      <c r="L162" s="21" t="str">
        <f>VLOOKUP(A162,'Trips&amp;Operators'!$C$1:$G$99999,5,FALSE)</f>
        <v>LOZA FIDEL</v>
      </c>
      <c r="M162" s="6">
        <f t="shared" si="49"/>
        <v>1.1354166665114462E-2</v>
      </c>
      <c r="N162" s="7">
        <f t="shared" si="64"/>
        <v>16.349999997764826</v>
      </c>
      <c r="O162" s="7"/>
      <c r="P162" s="7"/>
      <c r="Q162" s="22"/>
      <c r="R162" s="22"/>
      <c r="S162" s="31">
        <f t="shared" si="50"/>
        <v>1</v>
      </c>
      <c r="T162" s="46" t="str">
        <f t="shared" si="51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2"/>
        <v>https://d0f6bd738d7f1b3e5a7ca70fe4ff75f0.us-east-1.aws.found.io/app/kibana#/discover/Steve-Slow-Train-Analysis-(2080s-and-2083s)?_g=(refreshInterval:(display:Off,pause:!f,section:0,value:0),time:(from:'2017-03-01T05:37:08-0700',mode:absolute,to:'2017-03-01T07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2" s="187" t="str">
        <f t="shared" si="53"/>
        <v>N</v>
      </c>
      <c r="X162" s="187">
        <f t="shared" si="46"/>
        <v>1</v>
      </c>
      <c r="Y162" s="62">
        <f t="shared" si="54"/>
        <v>5.8647</v>
      </c>
      <c r="Z162" s="62">
        <f t="shared" si="47"/>
        <v>6.8400000000000002E-2</v>
      </c>
      <c r="AA162" s="62">
        <f t="shared" si="55"/>
        <v>5.7963000000000005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6"/>
        <v>0804-01</v>
      </c>
      <c r="AE162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162" s="82" t="str">
        <f t="shared" si="58"/>
        <v>"C:\Program Files (x86)\AstroGrep\AstroGrep.exe" /spath="%USERPROFILE%\AppData\Local\Temp\OnboardLogs" /stypes="app*4026*20170301*" /stext=" 13:.+((SYSTEM_STATE.+slice.+state.+changed )|(ment ac)|(multiple cpu faults)|(system.+state.+changed )|(\[timeout)|(PRM\|1\|D)|(kpr)|(kdp)|(\|lc)|(penalty))" /e /r /s</v>
      </c>
      <c r="AG162" s="1" t="str">
        <f t="shared" si="59"/>
        <v>NW</v>
      </c>
      <c r="AH162" s="86" t="str">
        <f t="shared" si="60"/>
        <v>"%USERPROFILE%\Documents\GitHub\eaglep3\Utilities\RefineRTDCRunTimes.py" --tripid 804-01 --locoid 4026 --swversion DE.1.0.9.0 --startMP 300:58647 --initTime 2017-03-01T06:37:08 --startdatetime 2017-03-01T06:39:16 --delay 1 --endMP 204:684 --enddatetime 2017-03-01T06:55:37 --enforcementcount 0 &gt;&gt;C:\Users\stu\Documents\GitHub\eaglep3-reporting\EC\2017-03-01-refined-times.txt</v>
      </c>
      <c r="AI162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{"issue":{"subject":"","project_id":79,"tracker_id":40,"status_id":1,"priority_id":2,"assigned_to_id":23,"start_date":"2017-03-01","description":"","custom_fields":[{"id":1,"name":"Subdivision","value":"NW"},{"id":4,"name":"Milepost","value":"0.0684"},{"id":17,"name":"Train ID","value":"804-01"},{"id":16,"name":"Locomotive ID","value":"4026"},{"id":130,"name":"Impact","value":""},{"id":150,"name":"Time of Event (Mountain Time)","value":"06:55:37"},{"id":151,"name":"Denver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2"/>
        <v>start /low /b %USERPROFILE%\Documents\GitHub\eaglep3\Utilities\DownloadLogsFromS3.py --loco 4026 --day 2017-03-01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"%USERPROFILE%\AppData\Local\Temp\OnboardLogs"\RTDC4026\*4026*20170301* | grep -SE "(Enforcement Action)|(\[TIMEOUT)|(CHR.+\|PRM\|1\|D.+(SWITCH|SIGNAL).+UNKNOWN)" - &gt;&gt; 2017-03-01-UncaughtWiMAX.txt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3" t="s">
        <v>510</v>
      </c>
      <c r="B163" s="7">
        <v>4014</v>
      </c>
      <c r="C163" s="21" t="s">
        <v>266</v>
      </c>
      <c r="D163" s="21" t="s">
        <v>781</v>
      </c>
      <c r="E163" s="13">
        <v>42795.269699074073</v>
      </c>
      <c r="F163" s="13">
        <v>42795.286111111112</v>
      </c>
      <c r="G163" s="7">
        <v>0</v>
      </c>
      <c r="H163" s="21" t="s">
        <v>782</v>
      </c>
      <c r="I163" s="13">
        <v>42795.294618055559</v>
      </c>
      <c r="J163" s="7">
        <v>0</v>
      </c>
      <c r="K163" s="98" t="str">
        <f t="shared" si="48"/>
        <v>4013/4014</v>
      </c>
      <c r="L163" s="21" t="str">
        <f>VLOOKUP(A163,'Trips&amp;Operators'!$C$1:$G$99999,5,FALSE)</f>
        <v>YORK EDGAR</v>
      </c>
      <c r="M163" s="6">
        <f t="shared" si="49"/>
        <v>8.5069444467080757E-3</v>
      </c>
      <c r="N163" s="7">
        <f t="shared" si="64"/>
        <v>12.250000003259629</v>
      </c>
      <c r="O163" s="7"/>
      <c r="P163" s="7"/>
      <c r="Q163" s="22"/>
      <c r="R163" s="22"/>
      <c r="S163" s="31">
        <f t="shared" si="50"/>
        <v>1</v>
      </c>
      <c r="T163" s="46" t="str">
        <f t="shared" si="51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2"/>
        <v>https://d0f6bd738d7f1b3e5a7ca70fe4ff75f0.us-east-1.aws.found.io/app/kibana#/discover/Steve-Slow-Train-Analysis-(2080s-and-2083s)?_g=(refreshInterval:(display:Off,pause:!f,section:0,value:0),time:(from:'2017-03-01T05:28:22-0700',mode:absolute,to:'2017-03-01T08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3" s="187" t="str">
        <f t="shared" si="53"/>
        <v>N</v>
      </c>
      <c r="X163" s="187">
        <f t="shared" si="46"/>
        <v>1</v>
      </c>
      <c r="Y163" s="62">
        <f t="shared" si="54"/>
        <v>0.10440000000000001</v>
      </c>
      <c r="Z163" s="62">
        <f t="shared" si="47"/>
        <v>5.8939000000000004</v>
      </c>
      <c r="AA163" s="62">
        <f t="shared" si="55"/>
        <v>5.7895000000000003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6"/>
        <v>0805-01</v>
      </c>
      <c r="AE163" s="85" t="str">
        <f t="shared" si="57"/>
        <v>aws s3 cp s3://rtdc.mdm.uploadarchive.raw/RTDC4014/ "%USERPROFILE%\AppData\Local\Temp\OnboardLogs"\RTDC4014\2017-03-01 --exclude "*" --recursive --include "*20170301*" &amp; "%USERPROFILE%\Documents\GitHub\mrs-test-scripts\Headless Mode &amp; Sideloading\WalkAndUnGZ.bat" "%USERPROFILE%\AppData\Local\Temp\OnboardLogs"\RTDC4014\2017-03-01 &amp; 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</v>
      </c>
      <c r="AF163" s="82" t="str">
        <f t="shared" si="58"/>
        <v>"C:\Program Files (x86)\AstroGrep\AstroGrep.exe" /spath="%USERPROFILE%\AppData\Local\Temp\OnboardLogs" /stypes="app*4014*20170301*" /stext=" 14:.+((SYSTEM_STATE.+slice.+state.+changed )|(ment ac)|(multiple cpu faults)|(system.+state.+changed )|(\[timeout)|(PRM\|1\|D)|(kpr)|(kdp)|(\|lc)|(penalty))" /e /r /s</v>
      </c>
      <c r="AG163" s="1" t="str">
        <f t="shared" si="59"/>
        <v>NW</v>
      </c>
      <c r="AH163" s="86" t="str">
        <f t="shared" si="60"/>
        <v>"%USERPROFILE%\Documents\GitHub\eaglep3\Utilities\RefineRTDCRunTimes.py" --tripid 805-01 --locoid 4014 --swversion DE.1.0.9.0 --startMP 204:1044 --initTime 2017-03-01T06:28:22 --startdatetime 2017-03-01T06:52:00 --delay 0 --endMP 300:58939 --enddatetime 2017-03-01T07:04:15 --enforcementcount 0 &gt;&gt;C:\Users\stu\Documents\GitHub\eaglep3-reporting\EC\2017-03-01-refined-times.txt</v>
      </c>
      <c r="AI163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{"issue":{"subject":"","project_id":79,"tracker_id":40,"status_id":1,"priority_id":2,"assigned_to_id":23,"start_date":"2017-03-01","description":"","custom_fields":[{"id":1,"name":"Subdivision","value":"NW"},{"id":4,"name":"Milepost","value":"5.8939"},{"id":17,"name":"Train ID","value":"805-01"},{"id":16,"name":"Locomotive ID","value":"4014"},{"id":130,"name":"Impact","value":""},{"id":150,"name":"Time of Event (Mountain Time)","value":"07:04:15"},{"id":151,"name":"Denver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2"/>
        <v>start /low /b %USERPROFILE%\Documents\GitHub\eaglep3\Utilities\DownloadLogsFromS3.py --loco 4014 --day 2017-03-01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"%USERPROFILE%\AppData\Local\Temp\OnboardLogs"\RTDC4014\*4014*20170301* | grep -SE "(Enforcement Action)|(\[TIMEOUT)|(CHR.+\|PRM\|1\|D.+(SWITCH|SIGNAL).+UNKNOWN)" - &gt;&gt; 2017-03-01-UncaughtWiMAX.txt</v>
      </c>
    </row>
    <row r="164" spans="1:91" s="20" customFormat="1" x14ac:dyDescent="0.25">
      <c r="A164" s="33" t="s">
        <v>515</v>
      </c>
      <c r="B164" s="7">
        <v>4013</v>
      </c>
      <c r="C164" s="21" t="s">
        <v>266</v>
      </c>
      <c r="D164" s="21" t="s">
        <v>365</v>
      </c>
      <c r="E164" s="13">
        <v>42795.296979166669</v>
      </c>
      <c r="F164" s="13">
        <v>42795.298784722225</v>
      </c>
      <c r="G164" s="7">
        <v>1</v>
      </c>
      <c r="H164" s="21" t="s">
        <v>783</v>
      </c>
      <c r="I164" s="13">
        <v>42795.308946759258</v>
      </c>
      <c r="J164" s="7">
        <v>0</v>
      </c>
      <c r="K164" s="98" t="str">
        <f t="shared" si="48"/>
        <v>4013/4014</v>
      </c>
      <c r="L164" s="21" t="str">
        <f>VLOOKUP(A164,'Trips&amp;Operators'!$C$1:$G$99999,5,FALSE)</f>
        <v>YORK EDGAR</v>
      </c>
      <c r="M164" s="6">
        <f t="shared" si="49"/>
        <v>1.0162037033296656E-2</v>
      </c>
      <c r="N164" s="7">
        <f t="shared" si="64"/>
        <v>14.633333327947184</v>
      </c>
      <c r="O164" s="7"/>
      <c r="P164" s="7"/>
      <c r="Q164" s="22"/>
      <c r="R164" s="22"/>
      <c r="S164" s="31">
        <f t="shared" si="50"/>
        <v>1</v>
      </c>
      <c r="T164" s="46" t="str">
        <f t="shared" si="51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2"/>
        <v>https://d0f6bd738d7f1b3e5a7ca70fe4ff75f0.us-east-1.aws.found.io/app/kibana#/discover/Steve-Slow-Train-Analysis-(2080s-and-2083s)?_g=(refreshInterval:(display:Off,pause:!f,section:0,value:0),time:(from:'2017-03-01T06:07:39-0700',mode:absolute,to:'2017-03-01T08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4" s="187" t="str">
        <f t="shared" si="53"/>
        <v>N</v>
      </c>
      <c r="X164" s="187">
        <f t="shared" si="46"/>
        <v>1</v>
      </c>
      <c r="Y164" s="62">
        <f t="shared" si="54"/>
        <v>5.8613</v>
      </c>
      <c r="Z164" s="62">
        <f t="shared" si="47"/>
        <v>7.3300000000000004E-2</v>
      </c>
      <c r="AA164" s="62">
        <f t="shared" si="55"/>
        <v>5.7880000000000003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6"/>
        <v>0806-01</v>
      </c>
      <c r="AE164" s="85" t="str">
        <f t="shared" si="57"/>
        <v>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 &amp; 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</v>
      </c>
      <c r="AF164" s="82" t="str">
        <f t="shared" si="58"/>
        <v>"C:\Program Files (x86)\AstroGrep\AstroGrep.exe" /spath="%USERPROFILE%\AppData\Local\Temp\OnboardLogs" /stypes="app*4013*20170301*" /stext=" 14:.+((SYSTEM_STATE.+slice.+state.+changed )|(ment ac)|(multiple cpu faults)|(system.+state.+changed )|(\[timeout)|(PRM\|1\|D)|(kpr)|(kdp)|(\|lc)|(penalty))" /e /r /s</v>
      </c>
      <c r="AG164" s="1" t="str">
        <f t="shared" si="59"/>
        <v>NW</v>
      </c>
      <c r="AH164" s="86" t="str">
        <f t="shared" si="60"/>
        <v>"%USERPROFILE%\Documents\GitHub\eaglep3\Utilities\RefineRTDCRunTimes.py" --tripid 806-01 --locoid 4013 --swversion DE.1.0.9.0 --startMP 300:58613 --initTime 2017-03-01T07:07:39 --startdatetime 2017-03-01T07:10:15 --delay 1 --endMP 204:733 --enddatetime 2017-03-01T07:24:53 --enforcementcount 0 &gt;&gt;C:\Users\stu\Documents\GitHub\eaglep3-reporting\EC\2017-03-01-refined-times.txt</v>
      </c>
      <c r="AI164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{"issue":{"subject":"","project_id":79,"tracker_id":40,"status_id":1,"priority_id":2,"assigned_to_id":23,"start_date":"2017-03-01","description":"","custom_fields":[{"id":1,"name":"Subdivision","value":"NW"},{"id":4,"name":"Milepost","value":"0.0733"},{"id":17,"name":"Train ID","value":"806-01"},{"id":16,"name":"Locomotive ID","value":"4013"},{"id":130,"name":"Impact","value":""},{"id":150,"name":"Time of Event (Mountain Time)","value":"07:24:53"},{"id":151,"name":"Denver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2"/>
        <v>start /low /b %USERPROFILE%\Documents\GitHub\eaglep3\Utilities\DownloadLogsFromS3.py --loco 4013 --day 2017-03-01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"%USERPROFILE%\AppData\Local\Temp\OnboardLogs"\RTDC4013\*4013*20170301* | grep -SE "(Enforcement Action)|(\[TIMEOUT)|(CHR.+\|PRM\|1\|D.+(SWITCH|SIGNAL).+UNKNOWN)" - &gt;&gt; 2017-03-01-UncaughtWiMAX.txt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518</v>
      </c>
      <c r="B165" s="7">
        <v>4025</v>
      </c>
      <c r="C165" s="21" t="s">
        <v>266</v>
      </c>
      <c r="D165" s="21" t="s">
        <v>784</v>
      </c>
      <c r="E165" s="13">
        <v>42795.303310185183</v>
      </c>
      <c r="F165" s="13">
        <v>42795.306446759256</v>
      </c>
      <c r="G165" s="7">
        <v>1</v>
      </c>
      <c r="H165" s="21" t="s">
        <v>785</v>
      </c>
      <c r="I165" s="13">
        <v>42795.315324074072</v>
      </c>
      <c r="J165" s="7">
        <v>0</v>
      </c>
      <c r="K165" s="98" t="str">
        <f t="shared" si="48"/>
        <v>4025/4026</v>
      </c>
      <c r="L165" s="21" t="str">
        <f>VLOOKUP(A165,'Trips&amp;Operators'!$C$1:$G$99999,5,FALSE)</f>
        <v>LOZA FIDEL</v>
      </c>
      <c r="M165" s="6">
        <f t="shared" si="49"/>
        <v>8.8773148163454607E-3</v>
      </c>
      <c r="N165" s="7">
        <f t="shared" si="64"/>
        <v>12.783333335537463</v>
      </c>
      <c r="O165" s="7"/>
      <c r="P165" s="7"/>
      <c r="Q165" s="22"/>
      <c r="R165" s="22"/>
      <c r="S165" s="31">
        <f t="shared" si="50"/>
        <v>1</v>
      </c>
      <c r="T165" s="46" t="str">
        <f t="shared" si="51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2"/>
        <v>https://d0f6bd738d7f1b3e5a7ca70fe4ff75f0.us-east-1.aws.found.io/app/kibana#/discover/Steve-Slow-Train-Analysis-(2080s-and-2083s)?_g=(refreshInterval:(display:Off,pause:!f,section:0,value:0),time:(from:'2017-03-01T06:16:46-0700',mode:absolute,to:'2017-03-01T08:34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5" s="187" t="str">
        <f t="shared" si="53"/>
        <v>N</v>
      </c>
      <c r="X165" s="187">
        <f t="shared" si="46"/>
        <v>1</v>
      </c>
      <c r="Y165" s="62">
        <f t="shared" si="54"/>
        <v>9.7100000000000006E-2</v>
      </c>
      <c r="Z165" s="62">
        <f t="shared" si="47"/>
        <v>5.8960999999999997</v>
      </c>
      <c r="AA165" s="62">
        <f t="shared" si="55"/>
        <v>5.7989999999999995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6"/>
        <v>0807-01</v>
      </c>
      <c r="AE165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165" s="82" t="str">
        <f t="shared" si="58"/>
        <v>"C:\Program Files (x86)\AstroGrep\AstroGrep.exe" /spath="%USERPROFILE%\AppData\Local\Temp\OnboardLogs" /stypes="app*4025*20170301*" /stext=" 14:.+((SYSTEM_STATE.+slice.+state.+changed )|(ment ac)|(multiple cpu faults)|(system.+state.+changed )|(\[timeout)|(PRM\|1\|D)|(kpr)|(kdp)|(\|lc)|(penalty))" /e /r /s</v>
      </c>
      <c r="AG165" s="1" t="str">
        <f t="shared" si="59"/>
        <v>NW</v>
      </c>
      <c r="AH165" s="86" t="str">
        <f t="shared" si="60"/>
        <v>"%USERPROFILE%\Documents\GitHub\eaglep3\Utilities\RefineRTDCRunTimes.py" --tripid 807-01 --locoid 4025 --swversion DE.1.0.9.0 --startMP 204:971 --initTime 2017-03-01T07:16:46 --startdatetime 2017-03-01T07:21:17 --delay 1 --endMP 300:58961 --enddatetime 2017-03-01T07:34:04 --enforcementcount 0 &gt;&gt;C:\Users\stu\Documents\GitHub\eaglep3-reporting\EC\2017-03-01-refined-times.txt</v>
      </c>
      <c r="AI165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{"issue":{"subject":"","project_id":79,"tracker_id":40,"status_id":1,"priority_id":2,"assigned_to_id":23,"start_date":"2017-03-01","description":"","custom_fields":[{"id":1,"name":"Subdivision","value":"NW"},{"id":4,"name":"Milepost","value":"5.8961"},{"id":17,"name":"Train ID","value":"807-01"},{"id":16,"name":"Locomotive ID","value":"4025"},{"id":130,"name":"Impact","value":""},{"id":150,"name":"Time of Event (Mountain Time)","value":"07:34:04"},{"id":151,"name":"Denver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2"/>
        <v>start /low /b %USERPROFILE%\Documents\GitHub\eaglep3\Utilities\DownloadLogsFromS3.py --loco 4025 --day 2017-03-01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"%USERPROFILE%\AppData\Local\Temp\OnboardLogs"\RTDC4025\*4025*20170301* | grep -SE "(Enforcement Action)|(\[TIMEOUT)|(CHR.+\|PRM\|1\|D.+(SWITCH|SIGNAL).+UNKNOWN)" - &gt;&gt; 2017-03-01-UncaughtWiMAX.txt</v>
      </c>
    </row>
    <row r="166" spans="1:91" s="20" customFormat="1" x14ac:dyDescent="0.25">
      <c r="A166" s="33" t="s">
        <v>520</v>
      </c>
      <c r="B166" s="7">
        <v>4026</v>
      </c>
      <c r="C166" s="21" t="s">
        <v>266</v>
      </c>
      <c r="D166" s="21" t="s">
        <v>786</v>
      </c>
      <c r="E166" s="13">
        <v>42795.316678240742</v>
      </c>
      <c r="F166" s="13">
        <v>42795.318472222221</v>
      </c>
      <c r="G166" s="7">
        <v>1</v>
      </c>
      <c r="H166" s="21" t="s">
        <v>787</v>
      </c>
      <c r="I166" s="13">
        <v>42795.330231481479</v>
      </c>
      <c r="J166" s="7">
        <v>0</v>
      </c>
      <c r="K166" s="98" t="str">
        <f t="shared" si="48"/>
        <v>4025/4026</v>
      </c>
      <c r="L166" s="21" t="str">
        <f>VLOOKUP(A166,'Trips&amp;Operators'!$C$1:$G$99999,5,FALSE)</f>
        <v>LOZA FIDEL</v>
      </c>
      <c r="M166" s="6">
        <f t="shared" si="49"/>
        <v>1.1759259257814847E-2</v>
      </c>
      <c r="N166" s="7">
        <f t="shared" si="64"/>
        <v>16.93333333125338</v>
      </c>
      <c r="O166" s="7"/>
      <c r="P166" s="7"/>
      <c r="Q166" s="22"/>
      <c r="R166" s="22"/>
      <c r="S166" s="31">
        <f t="shared" si="50"/>
        <v>1</v>
      </c>
      <c r="T166" s="46" t="str">
        <f t="shared" si="51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2"/>
        <v>https://d0f6bd738d7f1b3e5a7ca70fe4ff75f0.us-east-1.aws.found.io/app/kibana#/discover/Steve-Slow-Train-Analysis-(2080s-and-2083s)?_g=(refreshInterval:(display:Off,pause:!f,section:0,value:0),time:(from:'2017-03-01T06:36:01-0700',mode:absolute,to:'2017-03-01T08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6" s="187" t="str">
        <f t="shared" si="53"/>
        <v>N</v>
      </c>
      <c r="X166" s="187">
        <f t="shared" si="46"/>
        <v>1</v>
      </c>
      <c r="Y166" s="62">
        <f t="shared" si="54"/>
        <v>5.8651</v>
      </c>
      <c r="Z166" s="62">
        <f t="shared" si="47"/>
        <v>6.9900000000000004E-2</v>
      </c>
      <c r="AA166" s="62">
        <f t="shared" si="55"/>
        <v>5.7952000000000004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6"/>
        <v>0808-01</v>
      </c>
      <c r="AE166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166" s="82" t="str">
        <f t="shared" si="58"/>
        <v>"C:\Program Files (x86)\AstroGrep\AstroGrep.exe" /spath="%USERPROFILE%\AppData\Local\Temp\OnboardLogs" /stypes="app*4026*20170301*" /stext=" 14:.+((SYSTEM_STATE.+slice.+state.+changed )|(ment ac)|(multiple cpu faults)|(system.+state.+changed )|(\[timeout)|(PRM\|1\|D)|(kpr)|(kdp)|(\|lc)|(penalty))" /e /r /s</v>
      </c>
      <c r="AG166" s="1" t="str">
        <f t="shared" si="59"/>
        <v>NW</v>
      </c>
      <c r="AH166" s="86" t="str">
        <f t="shared" si="60"/>
        <v>"%USERPROFILE%\Documents\GitHub\eaglep3\Utilities\RefineRTDCRunTimes.py" --tripid 808-01 --locoid 4026 --swversion DE.1.0.9.0 --startMP 300:58651 --initTime 2017-03-01T07:36:01 --startdatetime 2017-03-01T07:38:36 --delay 1 --endMP 204:699 --enddatetime 2017-03-01T07:55:32 --enforcementcount 0 &gt;&gt;C:\Users\stu\Documents\GitHub\eaglep3-reporting\EC\2017-03-01-refined-times.txt</v>
      </c>
      <c r="AI166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{"issue":{"subject":"","project_id":79,"tracker_id":40,"status_id":1,"priority_id":2,"assigned_to_id":23,"start_date":"2017-03-01","description":"","custom_fields":[{"id":1,"name":"Subdivision","value":"NW"},{"id":4,"name":"Milepost","value":"0.0699"},{"id":17,"name":"Train ID","value":"808-01"},{"id":16,"name":"Locomotive ID","value":"4026"},{"id":130,"name":"Impact","value":""},{"id":150,"name":"Time of Event (Mountain Time)","value":"07:55:32"},{"id":151,"name":"Denver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2"/>
        <v>start /low /b %USERPROFILE%\Documents\GitHub\eaglep3\Utilities\DownloadLogsFromS3.py --loco 4026 --day 2017-03-01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"%USERPROFILE%\AppData\Local\Temp\OnboardLogs"\RTDC4026\*4026*20170301* | grep -SE "(Enforcement Action)|(\[TIMEOUT)|(CHR.+\|PRM\|1\|D.+(SWITCH|SIGNAL).+UNKNOWN)" - &gt;&gt; 2017-03-01-UncaughtWiMAX.txt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441</v>
      </c>
      <c r="B167" s="7">
        <v>4014</v>
      </c>
      <c r="C167" s="21" t="s">
        <v>266</v>
      </c>
      <c r="D167" s="21" t="s">
        <v>788</v>
      </c>
      <c r="E167" s="13">
        <v>42795.31013888889</v>
      </c>
      <c r="F167" s="13">
        <v>42795.327696759261</v>
      </c>
      <c r="G167" s="7">
        <v>1</v>
      </c>
      <c r="H167" s="21" t="s">
        <v>361</v>
      </c>
      <c r="I167" s="13">
        <v>42795.336192129631</v>
      </c>
      <c r="J167" s="7">
        <v>0</v>
      </c>
      <c r="K167" s="98" t="str">
        <f t="shared" si="48"/>
        <v>4013/4014</v>
      </c>
      <c r="L167" s="21" t="str">
        <f>VLOOKUP(A167,'Trips&amp;Operators'!$C$1:$G$99999,5,FALSE)</f>
        <v>YORK EDGAR</v>
      </c>
      <c r="M167" s="6">
        <f t="shared" si="49"/>
        <v>8.4953703699284233E-3</v>
      </c>
      <c r="N167" s="7">
        <f t="shared" si="64"/>
        <v>12.23333333269693</v>
      </c>
      <c r="O167" s="7"/>
      <c r="P167" s="7"/>
      <c r="Q167" s="22"/>
      <c r="R167" s="22"/>
      <c r="S167" s="31">
        <f t="shared" si="50"/>
        <v>1</v>
      </c>
      <c r="T167" s="46" t="str">
        <f t="shared" si="51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2"/>
        <v>https://d0f6bd738d7f1b3e5a7ca70fe4ff75f0.us-east-1.aws.found.io/app/kibana#/discover/Steve-Slow-Train-Analysis-(2080s-and-2083s)?_g=(refreshInterval:(display:Off,pause:!f,section:0,value:0),time:(from:'2017-03-01T06:26:36-0700',mode:absolute,to:'2017-03-01T09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7" s="187" t="str">
        <f t="shared" si="53"/>
        <v>N</v>
      </c>
      <c r="X167" s="187">
        <f t="shared" si="46"/>
        <v>1</v>
      </c>
      <c r="Y167" s="62">
        <f t="shared" si="54"/>
        <v>0.1028</v>
      </c>
      <c r="Z167" s="62">
        <f t="shared" si="47"/>
        <v>5.8949999999999996</v>
      </c>
      <c r="AA167" s="62">
        <f t="shared" si="55"/>
        <v>5.7921999999999993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6"/>
        <v>0809-01</v>
      </c>
      <c r="AE167" s="85" t="str">
        <f t="shared" si="57"/>
        <v>aws s3 cp s3://rtdc.mdm.uploadarchive.raw/RTDC4014/ "%USERPROFILE%\AppData\Local\Temp\OnboardLogs"\RTDC4014\2017-03-01 --exclude "*" --recursive --include "*20170301*" &amp; "%USERPROFILE%\Documents\GitHub\mrs-test-scripts\Headless Mode &amp; Sideloading\WalkAndUnGZ.bat" "%USERPROFILE%\AppData\Local\Temp\OnboardLogs"\RTDC4014\2017-03-01 &amp; 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</v>
      </c>
      <c r="AF167" s="82" t="str">
        <f t="shared" si="58"/>
        <v>"C:\Program Files (x86)\AstroGrep\AstroGrep.exe" /spath="%USERPROFILE%\AppData\Local\Temp\OnboardLogs" /stypes="app*4014*20170301*" /stext=" 15:.+((SYSTEM_STATE.+slice.+state.+changed )|(ment ac)|(multiple cpu faults)|(system.+state.+changed )|(\[timeout)|(PRM\|1\|D)|(kpr)|(kdp)|(\|lc)|(penalty))" /e /r /s</v>
      </c>
      <c r="AG167" s="1" t="str">
        <f t="shared" si="59"/>
        <v>NW</v>
      </c>
      <c r="AH167" s="86" t="str">
        <f t="shared" si="60"/>
        <v>"%USERPROFILE%\Documents\GitHub\eaglep3\Utilities\RefineRTDCRunTimes.py" --tripid 809-01 --locoid 4014 --swversion DE.1.0.9.0 --startMP 204:1028 --initTime 2017-03-01T07:26:36 --startdatetime 2017-03-01T07:51:53 --delay 1 --endMP 300:58950 --enddatetime 2017-03-01T08:04:07 --enforcementcount 0 &gt;&gt;C:\Users\stu\Documents\GitHub\eaglep3-reporting\EC\2017-03-01-refined-times.txt</v>
      </c>
      <c r="AI167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{"issue":{"subject":"","project_id":79,"tracker_id":40,"status_id":1,"priority_id":2,"assigned_to_id":23,"start_date":"2017-03-01","description":"","custom_fields":[{"id":1,"name":"Subdivision","value":"NW"},{"id":4,"name":"Milepost","value":"5.895"},{"id":17,"name":"Train ID","value":"809-01"},{"id":16,"name":"Locomotive ID","value":"4014"},{"id":130,"name":"Impact","value":""},{"id":150,"name":"Time of Event (Mountain Time)","value":"08:04:07"},{"id":151,"name":"Denver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2"/>
        <v>start /low /b %USERPROFILE%\Documents\GitHub\eaglep3\Utilities\DownloadLogsFromS3.py --loco 4014 --day 2017-03-01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"%USERPROFILE%\AppData\Local\Temp\OnboardLogs"\RTDC4014\*4014*20170301* | grep -SE "(Enforcement Action)|(\[TIMEOUT)|(CHR.+\|PRM\|1\|D.+(SWITCH|SIGNAL).+UNKNOWN)" - &gt;&gt; 2017-03-01-UncaughtWiMAX.txt</v>
      </c>
    </row>
    <row r="168" spans="1:91" s="20" customFormat="1" x14ac:dyDescent="0.25">
      <c r="A168" s="33" t="s">
        <v>525</v>
      </c>
      <c r="B168" s="7">
        <v>4013</v>
      </c>
      <c r="C168" s="21" t="s">
        <v>266</v>
      </c>
      <c r="D168" s="21" t="s">
        <v>321</v>
      </c>
      <c r="E168" s="13">
        <v>42795.337673611109</v>
      </c>
      <c r="F168" s="13">
        <v>42795.34</v>
      </c>
      <c r="G168" s="7">
        <v>0</v>
      </c>
      <c r="H168" s="21" t="s">
        <v>789</v>
      </c>
      <c r="I168" s="13">
        <v>42795.351851851854</v>
      </c>
      <c r="J168" s="7">
        <v>0</v>
      </c>
      <c r="K168" s="98" t="str">
        <f t="shared" si="48"/>
        <v>4013/4014</v>
      </c>
      <c r="L168" s="21" t="str">
        <f>VLOOKUP(A168,'Trips&amp;Operators'!$C$1:$G$99999,5,FALSE)</f>
        <v>YORK EDGAR</v>
      </c>
      <c r="M168" s="6">
        <f t="shared" si="49"/>
        <v>1.1851851857500151E-2</v>
      </c>
      <c r="N168" s="7">
        <f t="shared" si="64"/>
        <v>17.066666674800217</v>
      </c>
      <c r="O168" s="7"/>
      <c r="P168" s="7"/>
      <c r="Q168" s="22"/>
      <c r="R168" s="22"/>
      <c r="S168" s="31">
        <f t="shared" si="50"/>
        <v>1</v>
      </c>
      <c r="T168" s="46" t="str">
        <f t="shared" si="51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2"/>
        <v>https://d0f6bd738d7f1b3e5a7ca70fe4ff75f0.us-east-1.aws.found.io/app/kibana#/discover/Steve-Slow-Train-Analysis-(2080s-and-2083s)?_g=(refreshInterval:(display:Off,pause:!f,section:0,value:0),time:(from:'2017-03-01T07:06:15-0700',mode:absolute,to:'2017-03-01T09:26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8" s="187" t="str">
        <f t="shared" si="53"/>
        <v>N</v>
      </c>
      <c r="X168" s="187">
        <f t="shared" ref="X168:X199" si="65">VALUE(LEFT(AD168,4))-VALUE(LEFT(AD167,4))</f>
        <v>1</v>
      </c>
      <c r="Y168" s="62">
        <f t="shared" si="54"/>
        <v>5.8623000000000003</v>
      </c>
      <c r="Z168" s="62">
        <f t="shared" si="47"/>
        <v>1.5100000000000001E-2</v>
      </c>
      <c r="AA168" s="62">
        <f t="shared" si="55"/>
        <v>5.8472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6"/>
        <v>0810-01</v>
      </c>
      <c r="AE168" s="85" t="str">
        <f t="shared" si="57"/>
        <v>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 &amp; 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</v>
      </c>
      <c r="AF168" s="82" t="str">
        <f t="shared" si="58"/>
        <v>"C:\Program Files (x86)\AstroGrep\AstroGrep.exe" /spath="%USERPROFILE%\AppData\Local\Temp\OnboardLogs" /stypes="app*4013*20170301*" /stext=" 15:.+((SYSTEM_STATE.+slice.+state.+changed )|(ment ac)|(multiple cpu faults)|(system.+state.+changed )|(\[timeout)|(PRM\|1\|D)|(kpr)|(kdp)|(\|lc)|(penalty))" /e /r /s</v>
      </c>
      <c r="AG168" s="1" t="str">
        <f t="shared" si="59"/>
        <v>NW</v>
      </c>
      <c r="AH168" s="86" t="str">
        <f t="shared" si="60"/>
        <v>"%USERPROFILE%\Documents\GitHub\eaglep3\Utilities\RefineRTDCRunTimes.py" --tripid 810-01 --locoid 4013 --swversion DE.1.0.9.0 --startMP 300:58623 --initTime 2017-03-01T08:06:15 --startdatetime 2017-03-01T08:09:36 --delay 0 --endMP 204:151 --enddatetime 2017-03-01T08:26:40 --enforcementcount 0 &gt;&gt;C:\Users\stu\Documents\GitHub\eaglep3-reporting\EC\2017-03-01-refined-times.txt</v>
      </c>
      <c r="AI168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{"issue":{"subject":"","project_id":79,"tracker_id":40,"status_id":1,"priority_id":2,"assigned_to_id":23,"start_date":"2017-03-01","description":"","custom_fields":[{"id":1,"name":"Subdivision","value":"NW"},{"id":4,"name":"Milepost","value":"0.0151"},{"id":17,"name":"Train ID","value":"810-01"},{"id":16,"name":"Locomotive ID","value":"4013"},{"id":130,"name":"Impact","value":""},{"id":150,"name":"Time of Event (Mountain Time)","value":"08:26:40"},{"id":151,"name":"Denver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2"/>
        <v>start /low /b %USERPROFILE%\Documents\GitHub\eaglep3\Utilities\DownloadLogsFromS3.py --loco 4013 --day 2017-03-01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"%USERPROFILE%\AppData\Local\Temp\OnboardLogs"\RTDC4013\*4013*20170301* | grep -SE "(Enforcement Action)|(\[TIMEOUT)|(CHR.+\|PRM\|1\|D.+(SWITCH|SIGNAL).+UNKNOWN)" - &gt;&gt; 2017-03-01-UncaughtWiMAX.txt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527</v>
      </c>
      <c r="B169" s="7">
        <v>4025</v>
      </c>
      <c r="C169" s="21" t="s">
        <v>266</v>
      </c>
      <c r="D169" s="21" t="s">
        <v>790</v>
      </c>
      <c r="E169" s="13">
        <v>42795.345717592594</v>
      </c>
      <c r="F169" s="13">
        <v>42795.352060185185</v>
      </c>
      <c r="G169" s="7">
        <v>1</v>
      </c>
      <c r="H169" s="21" t="s">
        <v>782</v>
      </c>
      <c r="I169" s="13">
        <v>42795.360625000001</v>
      </c>
      <c r="J169" s="7">
        <v>0</v>
      </c>
      <c r="K169" s="98" t="str">
        <f t="shared" si="48"/>
        <v>4025/4026</v>
      </c>
      <c r="L169" s="21" t="str">
        <f>VLOOKUP(A169,'Trips&amp;Operators'!$C$1:$G$99999,5,FALSE)</f>
        <v>LOZA FIDEL</v>
      </c>
      <c r="M169" s="6">
        <f t="shared" si="49"/>
        <v>8.5648148160544224E-3</v>
      </c>
      <c r="N169" s="7">
        <f t="shared" si="64"/>
        <v>12.333333335118368</v>
      </c>
      <c r="O169" s="7"/>
      <c r="P169" s="7"/>
      <c r="Q169" s="22"/>
      <c r="R169" s="22"/>
      <c r="S169" s="31">
        <f t="shared" si="50"/>
        <v>1</v>
      </c>
      <c r="T169" s="46" t="str">
        <f t="shared" si="51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2"/>
        <v>https://d0f6bd738d7f1b3e5a7ca70fe4ff75f0.us-east-1.aws.found.io/app/kibana#/discover/Steve-Slow-Train-Analysis-(2080s-and-2083s)?_g=(refreshInterval:(display:Off,pause:!f,section:0,value:0),time:(from:'2017-03-01T07:17:50-0700',mode:absolute,to:'2017-03-01T09:39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9" s="187" t="str">
        <f t="shared" si="53"/>
        <v>N</v>
      </c>
      <c r="X169" s="187">
        <f t="shared" si="65"/>
        <v>1</v>
      </c>
      <c r="Y169" s="62">
        <f t="shared" si="54"/>
        <v>9.8100000000000007E-2</v>
      </c>
      <c r="Z169" s="62">
        <f t="shared" si="47"/>
        <v>5.8939000000000004</v>
      </c>
      <c r="AA169" s="62">
        <f t="shared" si="55"/>
        <v>5.7958000000000007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6"/>
        <v>0811-01</v>
      </c>
      <c r="AE169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169" s="82" t="str">
        <f t="shared" si="58"/>
        <v>"C:\Program Files (x86)\AstroGrep\AstroGrep.exe" /spath="%USERPROFILE%\AppData\Local\Temp\OnboardLogs" /stypes="app*4025*20170301*" /stext=" 15:.+((SYSTEM_STATE.+slice.+state.+changed )|(ment ac)|(multiple cpu faults)|(system.+state.+changed )|(\[timeout)|(PRM\|1\|D)|(kpr)|(kdp)|(\|lc)|(penalty))" /e /r /s</v>
      </c>
      <c r="AG169" s="1" t="str">
        <f t="shared" si="59"/>
        <v>NW</v>
      </c>
      <c r="AH169" s="86" t="str">
        <f t="shared" si="60"/>
        <v>"%USERPROFILE%\Documents\GitHub\eaglep3\Utilities\RefineRTDCRunTimes.py" --tripid 811-01 --locoid 4025 --swversion DE.1.0.9.0 --startMP 204:981 --initTime 2017-03-01T08:17:50 --startdatetime 2017-03-01T08:26:58 --delay 1 --endMP 300:58939 --enddatetime 2017-03-01T08:39:18 --enforcementcount 0 &gt;&gt;C:\Users\stu\Documents\GitHub\eaglep3-reporting\EC\2017-03-01-refined-times.txt</v>
      </c>
      <c r="AI169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{"issue":{"subject":"","project_id":79,"tracker_id":40,"status_id":1,"priority_id":2,"assigned_to_id":23,"start_date":"2017-03-01","description":"","custom_fields":[{"id":1,"name":"Subdivision","value":"NW"},{"id":4,"name":"Milepost","value":"5.8939"},{"id":17,"name":"Train ID","value":"811-01"},{"id":16,"name":"Locomotive ID","value":"4025"},{"id":130,"name":"Impact","value":""},{"id":150,"name":"Time of Event (Mountain Time)","value":"08:39:18"},{"id":151,"name":"Denver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2"/>
        <v>start /low /b %USERPROFILE%\Documents\GitHub\eaglep3\Utilities\DownloadLogsFromS3.py --loco 4025 --day 2017-03-01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"%USERPROFILE%\AppData\Local\Temp\OnboardLogs"\RTDC4025\*4025*20170301* | grep -SE "(Enforcement Action)|(\[TIMEOUT)|(CHR.+\|PRM\|1\|D.+(SWITCH|SIGNAL).+UNKNOWN)" - &gt;&gt; 2017-03-01-UncaughtWiMAX.txt</v>
      </c>
    </row>
    <row r="170" spans="1:91" x14ac:dyDescent="0.25">
      <c r="A170" s="33" t="s">
        <v>532</v>
      </c>
      <c r="B170" s="7">
        <v>4026</v>
      </c>
      <c r="C170" s="21" t="s">
        <v>266</v>
      </c>
      <c r="D170" s="21" t="s">
        <v>777</v>
      </c>
      <c r="E170" s="13">
        <v>42795.361701388887</v>
      </c>
      <c r="F170" s="13">
        <v>42795.363240740742</v>
      </c>
      <c r="G170" s="7">
        <v>1</v>
      </c>
      <c r="H170" s="21" t="s">
        <v>780</v>
      </c>
      <c r="I170" s="13">
        <v>42795.371979166666</v>
      </c>
      <c r="J170" s="7">
        <v>0</v>
      </c>
      <c r="K170" s="98" t="str">
        <f t="shared" si="48"/>
        <v>4025/4026</v>
      </c>
      <c r="L170" s="21" t="str">
        <f>VLOOKUP(A170,'Trips&amp;Operators'!$C$1:$G$99999,5,FALSE)</f>
        <v>LOZA FIDEL</v>
      </c>
      <c r="M170" s="6">
        <f t="shared" si="49"/>
        <v>8.7384259240934625E-3</v>
      </c>
      <c r="N170" s="7">
        <f t="shared" si="64"/>
        <v>12.583333330694586</v>
      </c>
      <c r="O170" s="7"/>
      <c r="P170" s="7"/>
      <c r="Q170" s="22"/>
      <c r="R170" s="22"/>
      <c r="S170" s="31">
        <f t="shared" si="50"/>
        <v>1</v>
      </c>
      <c r="T170" s="46" t="str">
        <f t="shared" si="51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2"/>
        <v>https://d0f6bd738d7f1b3e5a7ca70fe4ff75f0.us-east-1.aws.found.io/app/kibana#/discover/Steve-Slow-Train-Analysis-(2080s-and-2083s)?_g=(refreshInterval:(display:Off,pause:!f,section:0,value:0),time:(from:'2017-03-01T07:40:51-0700',mode:absolute,to:'2017-03-01T09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0" s="187" t="str">
        <f t="shared" si="53"/>
        <v>N</v>
      </c>
      <c r="X170" s="187">
        <f t="shared" si="65"/>
        <v>1</v>
      </c>
      <c r="Y170" s="62">
        <f t="shared" si="54"/>
        <v>5.8615000000000004</v>
      </c>
      <c r="Z170" s="62">
        <f t="shared" si="47"/>
        <v>6.8400000000000002E-2</v>
      </c>
      <c r="AA170" s="62">
        <f t="shared" si="55"/>
        <v>5.7931000000000008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6"/>
        <v>0812-01</v>
      </c>
      <c r="AE170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170" s="82" t="str">
        <f t="shared" si="58"/>
        <v>"C:\Program Files (x86)\AstroGrep\AstroGrep.exe" /spath="%USERPROFILE%\AppData\Local\Temp\OnboardLogs" /stypes="app*4026*20170301*" /stext=" 15:.+((SYSTEM_STATE.+slice.+state.+changed )|(ment ac)|(multiple cpu faults)|(system.+state.+changed )|(\[timeout)|(PRM\|1\|D)|(kpr)|(kdp)|(\|lc)|(penalty))" /e /r /s</v>
      </c>
      <c r="AG170" s="1" t="str">
        <f t="shared" si="59"/>
        <v>NW</v>
      </c>
      <c r="AH170" s="86" t="str">
        <f t="shared" si="60"/>
        <v>"%USERPROFILE%\Documents\GitHub\eaglep3\Utilities\RefineRTDCRunTimes.py" --tripid 812-01 --locoid 4026 --swversion DE.1.0.9.0 --startMP 300:58615 --initTime 2017-03-01T08:40:51 --startdatetime 2017-03-01T08:43:04 --delay 1 --endMP 204:684 --enddatetime 2017-03-01T08:55:39 --enforcementcount 0 &gt;&gt;C:\Users\stu\Documents\GitHub\eaglep3-reporting\EC\2017-03-01-refined-times.txt</v>
      </c>
      <c r="AI170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{"issue":{"subject":"","project_id":79,"tracker_id":40,"status_id":1,"priority_id":2,"assigned_to_id":23,"start_date":"2017-03-01","description":"","custom_fields":[{"id":1,"name":"Subdivision","value":"NW"},{"id":4,"name":"Milepost","value":"0.0684"},{"id":17,"name":"Train ID","value":"812-01"},{"id":16,"name":"Locomotive ID","value":"4026"},{"id":130,"name":"Impact","value":""},{"id":150,"name":"Time of Event (Mountain Time)","value":"08:55:39"},{"id":151,"name":"Denver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2"/>
        <v>start /low /b %USERPROFILE%\Documents\GitHub\eaglep3\Utilities\DownloadLogsFromS3.py --loco 4026 --day 2017-03-01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"%USERPROFILE%\AppData\Local\Temp\OnboardLogs"\RTDC4026\*4026*20170301* | grep -SE "(Enforcement Action)|(\[TIMEOUT)|(CHR.+\|PRM\|1\|D.+(SWITCH|SIGNAL).+UNKNOWN)" - &gt;&gt; 2017-03-01-UncaughtWiMAX.txt</v>
      </c>
    </row>
    <row r="171" spans="1:91" x14ac:dyDescent="0.25">
      <c r="A171" s="33" t="s">
        <v>443</v>
      </c>
      <c r="B171" s="7">
        <v>4025</v>
      </c>
      <c r="C171" s="21" t="s">
        <v>266</v>
      </c>
      <c r="D171" s="21" t="s">
        <v>791</v>
      </c>
      <c r="E171" s="13">
        <v>42795.385370370372</v>
      </c>
      <c r="F171" s="13">
        <v>42795.389861111114</v>
      </c>
      <c r="G171" s="7">
        <v>1</v>
      </c>
      <c r="H171" s="21" t="s">
        <v>361</v>
      </c>
      <c r="I171" s="13">
        <v>42795.398587962962</v>
      </c>
      <c r="J171" s="7">
        <v>0</v>
      </c>
      <c r="K171" s="98" t="str">
        <f t="shared" si="48"/>
        <v>4025/4026</v>
      </c>
      <c r="L171" s="21" t="str">
        <f>VLOOKUP(A171,'Trips&amp;Operators'!$C$1:$G$99999,5,FALSE)</f>
        <v>LOZA FIDEL</v>
      </c>
      <c r="M171" s="6">
        <f t="shared" si="49"/>
        <v>8.7268518473138101E-3</v>
      </c>
      <c r="N171" s="7">
        <f t="shared" si="64"/>
        <v>12.566666660131887</v>
      </c>
      <c r="O171" s="7"/>
      <c r="P171" s="7"/>
      <c r="Q171" s="22"/>
      <c r="R171" s="22"/>
      <c r="S171" s="31">
        <f t="shared" si="50"/>
        <v>1</v>
      </c>
      <c r="T171" s="46" t="str">
        <f t="shared" si="51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2"/>
        <v>https://d0f6bd738d7f1b3e5a7ca70fe4ff75f0.us-east-1.aws.found.io/app/kibana#/discover/Steve-Slow-Train-Analysis-(2080s-and-2083s)?_g=(refreshInterval:(display:Off,pause:!f,section:0,value:0),time:(from:'2017-03-01T08:14:56-0700',mode:absolute,to:'2017-03-01T10:33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1" s="187" t="str">
        <f t="shared" si="53"/>
        <v>N</v>
      </c>
      <c r="X171" s="187">
        <f t="shared" si="65"/>
        <v>1</v>
      </c>
      <c r="Y171" s="62">
        <f t="shared" si="54"/>
        <v>9.6699999999999994E-2</v>
      </c>
      <c r="Z171" s="62">
        <f t="shared" ref="Z171:Z202" si="66">RIGHT(H171,LEN(H171)-4)/10000</f>
        <v>5.8949999999999996</v>
      </c>
      <c r="AA171" s="62">
        <f t="shared" si="55"/>
        <v>5.7982999999999993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6"/>
        <v>0813-01</v>
      </c>
      <c r="AE171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171" s="82" t="str">
        <f t="shared" si="58"/>
        <v>"C:\Program Files (x86)\AstroGrep\AstroGrep.exe" /spath="%USERPROFILE%\AppData\Local\Temp\OnboardLogs" /stypes="app*4025*20170301*" /stext=" 16:.+((SYSTEM_STATE.+slice.+state.+changed )|(ment ac)|(multiple cpu faults)|(system.+state.+changed )|(\[timeout)|(PRM\|1\|D)|(kpr)|(kdp)|(\|lc)|(penalty))" /e /r /s</v>
      </c>
      <c r="AG171" s="1" t="str">
        <f t="shared" si="59"/>
        <v>NW</v>
      </c>
      <c r="AH171" s="86" t="str">
        <f t="shared" si="60"/>
        <v>"%USERPROFILE%\Documents\GitHub\eaglep3\Utilities\RefineRTDCRunTimes.py" --tripid 813-01 --locoid 4025 --swversion DE.1.0.9.0 --startMP 204:967 --initTime 2017-03-01T09:14:56 --startdatetime 2017-03-01T09:21:24 --delay 1 --endMP 300:58950 --enddatetime 2017-03-01T09:33:58 --enforcementcount 0 &gt;&gt;C:\Users\stu\Documents\GitHub\eaglep3-reporting\EC\2017-03-01-refined-times.txt</v>
      </c>
      <c r="AI171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{"issue":{"subject":"","project_id":79,"tracker_id":40,"status_id":1,"priority_id":2,"assigned_to_id":23,"start_date":"2017-03-01","description":"","custom_fields":[{"id":1,"name":"Subdivision","value":"NW"},{"id":4,"name":"Milepost","value":"5.895"},{"id":17,"name":"Train ID","value":"813-01"},{"id":16,"name":"Locomotive ID","value":"4025"},{"id":130,"name":"Impact","value":""},{"id":150,"name":"Time of Event (Mountain Time)","value":"09:33:58"},{"id":151,"name":"Denver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2"/>
        <v>start /low /b %USERPROFILE%\Documents\GitHub\eaglep3\Utilities\DownloadLogsFromS3.py --loco 4025 --day 2017-03-01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"%USERPROFILE%\AppData\Local\Temp\OnboardLogs"\RTDC4025\*4025*20170301* | grep -SE "(Enforcement Action)|(\[TIMEOUT)|(CHR.+\|PRM\|1\|D.+(SWITCH|SIGNAL).+UNKNOWN)" - &gt;&gt; 2017-03-01-UncaughtWiMAX.txt</v>
      </c>
    </row>
    <row r="172" spans="1:91" s="20" customFormat="1" x14ac:dyDescent="0.25">
      <c r="A172" s="33" t="s">
        <v>540</v>
      </c>
      <c r="B172" s="7">
        <v>4026</v>
      </c>
      <c r="C172" s="21" t="s">
        <v>266</v>
      </c>
      <c r="D172" s="21" t="s">
        <v>359</v>
      </c>
      <c r="E172" s="13">
        <v>42795.399722222224</v>
      </c>
      <c r="F172" s="13">
        <v>42795.401284722226</v>
      </c>
      <c r="G172" s="7">
        <v>1</v>
      </c>
      <c r="H172" s="21" t="s">
        <v>792</v>
      </c>
      <c r="I172" s="13">
        <v>42795.412847222222</v>
      </c>
      <c r="J172" s="7">
        <v>0</v>
      </c>
      <c r="K172" s="98" t="str">
        <f t="shared" si="48"/>
        <v>4025/4026</v>
      </c>
      <c r="L172" s="21" t="str">
        <f>VLOOKUP(A172,'Trips&amp;Operators'!$C$1:$G$99999,5,FALSE)</f>
        <v>LOZA FIDEL</v>
      </c>
      <c r="M172" s="6">
        <f t="shared" si="49"/>
        <v>1.1562499996216502E-2</v>
      </c>
      <c r="N172" s="7">
        <f t="shared" si="64"/>
        <v>16.649999994551763</v>
      </c>
      <c r="O172" s="7"/>
      <c r="P172" s="7"/>
      <c r="Q172" s="22"/>
      <c r="R172" s="22"/>
      <c r="S172" s="31">
        <f t="shared" si="50"/>
        <v>1</v>
      </c>
      <c r="T172" s="46" t="str">
        <f t="shared" si="51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2"/>
        <v>https://d0f6bd738d7f1b3e5a7ca70fe4ff75f0.us-east-1.aws.found.io/app/kibana#/discover/Steve-Slow-Train-Analysis-(2080s-and-2083s)?_g=(refreshInterval:(display:Off,pause:!f,section:0,value:0),time:(from:'2017-03-01T08:35:36-0700',mode:absolute,to:'2017-03-01T10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2" s="187" t="str">
        <f t="shared" si="53"/>
        <v>N</v>
      </c>
      <c r="X172" s="187">
        <f t="shared" si="65"/>
        <v>1</v>
      </c>
      <c r="Y172" s="62">
        <f t="shared" si="54"/>
        <v>5.8640999999999996</v>
      </c>
      <c r="Z172" s="62">
        <f t="shared" si="66"/>
        <v>6.7799999999999999E-2</v>
      </c>
      <c r="AA172" s="62">
        <f t="shared" si="55"/>
        <v>5.7962999999999996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6"/>
        <v>0814-01</v>
      </c>
      <c r="AE172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172" s="82" t="str">
        <f t="shared" si="58"/>
        <v>"C:\Program Files (x86)\AstroGrep\AstroGrep.exe" /spath="%USERPROFILE%\AppData\Local\Temp\OnboardLogs" /stypes="app*4026*20170301*" /stext=" 16:.+((SYSTEM_STATE.+slice.+state.+changed )|(ment ac)|(multiple cpu faults)|(system.+state.+changed )|(\[timeout)|(PRM\|1\|D)|(kpr)|(kdp)|(\|lc)|(penalty))" /e /r /s</v>
      </c>
      <c r="AG172" s="1" t="str">
        <f t="shared" si="59"/>
        <v>NW</v>
      </c>
      <c r="AH172" s="86" t="str">
        <f t="shared" si="60"/>
        <v>"%USERPROFILE%\Documents\GitHub\eaglep3\Utilities\RefineRTDCRunTimes.py" --tripid 814-01 --locoid 4026 --swversion DE.1.0.9.0 --startMP 300:58641 --initTime 2017-03-01T09:35:36 --startdatetime 2017-03-01T09:37:51 --delay 1 --endMP 204:678 --enddatetime 2017-03-01T09:54:30 --enforcementcount 0 &gt;&gt;C:\Users\stu\Documents\GitHub\eaglep3-reporting\EC\2017-03-01-refined-times.txt</v>
      </c>
      <c r="AI172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{"issue":{"subject":"","project_id":79,"tracker_id":40,"status_id":1,"priority_id":2,"assigned_to_id":23,"start_date":"2017-03-01","description":"","custom_fields":[{"id":1,"name":"Subdivision","value":"NW"},{"id":4,"name":"Milepost","value":"0.0678"},{"id":17,"name":"Train ID","value":"814-01"},{"id":16,"name":"Locomotive ID","value":"4026"},{"id":130,"name":"Impact","value":""},{"id":150,"name":"Time of Event (Mountain Time)","value":"09:54:30"},{"id":151,"name":"Denver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2"/>
        <v>start /low /b %USERPROFILE%\Documents\GitHub\eaglep3\Utilities\DownloadLogsFromS3.py --loco 4026 --day 2017-03-01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"%USERPROFILE%\AppData\Local\Temp\OnboardLogs"\RTDC4026\*4026*20170301* | grep -SE "(Enforcement Action)|(\[TIMEOUT)|(CHR.+\|PRM\|1\|D.+(SWITCH|SIGNAL).+UNKNOWN)" - &gt;&gt; 2017-03-01-UncaughtWiMAX.txt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444</v>
      </c>
      <c r="B173" s="7">
        <v>4025</v>
      </c>
      <c r="C173" s="21" t="s">
        <v>266</v>
      </c>
      <c r="D173" s="21" t="s">
        <v>425</v>
      </c>
      <c r="E173" s="13">
        <v>42795.42864583333</v>
      </c>
      <c r="F173" s="13">
        <v>42795.431493055556</v>
      </c>
      <c r="G173" s="7">
        <v>1</v>
      </c>
      <c r="H173" s="21" t="s">
        <v>793</v>
      </c>
      <c r="I173" s="13">
        <v>42795.441087962965</v>
      </c>
      <c r="J173" s="7">
        <v>0</v>
      </c>
      <c r="K173" s="98" t="str">
        <f t="shared" si="48"/>
        <v>4025/4026</v>
      </c>
      <c r="L173" s="21" t="str">
        <f>VLOOKUP(A173,'Trips&amp;Operators'!$C$1:$G$99999,5,FALSE)</f>
        <v>LOZA FIDEL</v>
      </c>
      <c r="M173" s="6">
        <f t="shared" si="49"/>
        <v>9.5949074093368836E-3</v>
      </c>
      <c r="N173" s="7">
        <f t="shared" si="64"/>
        <v>13.816666669445112</v>
      </c>
      <c r="O173" s="7"/>
      <c r="P173" s="7"/>
      <c r="Q173" s="22"/>
      <c r="R173" s="22"/>
      <c r="S173" s="31">
        <f t="shared" si="50"/>
        <v>1</v>
      </c>
      <c r="T173" s="46" t="str">
        <f t="shared" si="51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2"/>
        <v>https://d0f6bd738d7f1b3e5a7ca70fe4ff75f0.us-east-1.aws.found.io/app/kibana#/discover/Steve-Slow-Train-Analysis-(2080s-and-2083s)?_g=(refreshInterval:(display:Off,pause:!f,section:0,value:0),time:(from:'2017-03-01T09:17:15-0700',mode:absolute,to:'2017-03-01T11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3" s="187" t="str">
        <f t="shared" si="53"/>
        <v>N</v>
      </c>
      <c r="X173" s="187">
        <f t="shared" si="65"/>
        <v>1</v>
      </c>
      <c r="Y173" s="62">
        <f t="shared" si="54"/>
        <v>9.69E-2</v>
      </c>
      <c r="Z173" s="62">
        <f t="shared" si="66"/>
        <v>5.8952</v>
      </c>
      <c r="AA173" s="62">
        <f t="shared" si="55"/>
        <v>5.7983000000000002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6"/>
        <v>0815-01</v>
      </c>
      <c r="AE173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173" s="82" t="str">
        <f t="shared" si="58"/>
        <v>"C:\Program Files (x86)\AstroGrep\AstroGrep.exe" /spath="%USERPROFILE%\AppData\Local\Temp\OnboardLogs" /stypes="app*4025*20170301*" /stext=" 17:.+((SYSTEM_STATE.+slice.+state.+changed )|(ment ac)|(multiple cpu faults)|(system.+state.+changed )|(\[timeout)|(PRM\|1\|D)|(kpr)|(kdp)|(\|lc)|(penalty))" /e /r /s</v>
      </c>
      <c r="AG173" s="1" t="str">
        <f t="shared" si="59"/>
        <v>NW</v>
      </c>
      <c r="AH173" s="86" t="str">
        <f t="shared" si="60"/>
        <v>"%USERPROFILE%\Documents\GitHub\eaglep3\Utilities\RefineRTDCRunTimes.py" --tripid 815-01 --locoid 4025 --swversion DE.1.0.9.0 --startMP 204:969 --initTime 2017-03-01T10:17:15 --startdatetime 2017-03-01T10:21:21 --delay 1 --endMP 300:58952 --enddatetime 2017-03-01T10:35:10 --enforcementcount 0 &gt;&gt;C:\Users\stu\Documents\GitHub\eaglep3-reporting\EC\2017-03-01-refined-times.txt</v>
      </c>
      <c r="AI173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{"issue":{"subject":"","project_id":79,"tracker_id":40,"status_id":1,"priority_id":2,"assigned_to_id":23,"start_date":"2017-03-01","description":"","custom_fields":[{"id":1,"name":"Subdivision","value":"NW"},{"id":4,"name":"Milepost","value":"5.8952"},{"id":17,"name":"Train ID","value":"815-01"},{"id":16,"name":"Locomotive ID","value":"4025"},{"id":130,"name":"Impact","value":""},{"id":150,"name":"Time of Event (Mountain Time)","value":"10:35:10"},{"id":151,"name":"Denver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2"/>
        <v>start /low /b %USERPROFILE%\Documents\GitHub\eaglep3\Utilities\DownloadLogsFromS3.py --loco 4025 --day 2017-03-01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"%USERPROFILE%\AppData\Local\Temp\OnboardLogs"\RTDC4025\*4025*20170301* | grep -SE "(Enforcement Action)|(\[TIMEOUT)|(CHR.+\|PRM\|1\|D.+(SWITCH|SIGNAL).+UNKNOWN)" - &gt;&gt; 2017-03-01-UncaughtWiMAX.txt</v>
      </c>
    </row>
    <row r="174" spans="1:91" s="20" customFormat="1" x14ac:dyDescent="0.25">
      <c r="A174" s="33" t="s">
        <v>446</v>
      </c>
      <c r="B174" s="7">
        <v>4026</v>
      </c>
      <c r="C174" s="21" t="s">
        <v>266</v>
      </c>
      <c r="D174" s="21" t="s">
        <v>360</v>
      </c>
      <c r="E174" s="13">
        <v>42795.442766203705</v>
      </c>
      <c r="F174" s="13">
        <v>42795.444236111114</v>
      </c>
      <c r="G174" s="7">
        <v>1</v>
      </c>
      <c r="H174" s="21" t="s">
        <v>787</v>
      </c>
      <c r="I174" s="13">
        <v>42795.45511574074</v>
      </c>
      <c r="J174" s="7">
        <v>0</v>
      </c>
      <c r="K174" s="98" t="str">
        <f t="shared" si="48"/>
        <v>4025/4026</v>
      </c>
      <c r="L174" s="21" t="str">
        <f>VLOOKUP(A174,'Trips&amp;Operators'!$C$1:$G$99999,5,FALSE)</f>
        <v>LOZA FIDEL</v>
      </c>
      <c r="M174" s="6">
        <f t="shared" si="49"/>
        <v>1.0879629626288079E-2</v>
      </c>
      <c r="N174" s="7">
        <f t="shared" si="64"/>
        <v>15.666666661854833</v>
      </c>
      <c r="O174" s="7"/>
      <c r="P174" s="7"/>
      <c r="Q174" s="22"/>
      <c r="R174" s="22"/>
      <c r="S174" s="31">
        <f t="shared" si="50"/>
        <v>1</v>
      </c>
      <c r="T174" s="46" t="str">
        <f t="shared" si="51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2"/>
        <v>https://d0f6bd738d7f1b3e5a7ca70fe4ff75f0.us-east-1.aws.found.io/app/kibana#/discover/Steve-Slow-Train-Analysis-(2080s-and-2083s)?_g=(refreshInterval:(display:Off,pause:!f,section:0,value:0),time:(from:'2017-03-01T09:37:35-0700',mode:absolute,to:'2017-03-01T11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4" s="187" t="str">
        <f t="shared" si="53"/>
        <v>N</v>
      </c>
      <c r="X174" s="187">
        <f t="shared" si="65"/>
        <v>1</v>
      </c>
      <c r="Y174" s="62">
        <f t="shared" si="54"/>
        <v>5.8635999999999999</v>
      </c>
      <c r="Z174" s="62">
        <f t="shared" si="66"/>
        <v>6.9900000000000004E-2</v>
      </c>
      <c r="AA174" s="62">
        <f t="shared" si="55"/>
        <v>5.7937000000000003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6"/>
        <v>0816-01</v>
      </c>
      <c r="AE174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174" s="82" t="str">
        <f t="shared" si="58"/>
        <v>"C:\Program Files (x86)\AstroGrep\AstroGrep.exe" /spath="%USERPROFILE%\AppData\Local\Temp\OnboardLogs" /stypes="app*4026*20170301*" /stext=" 17:.+((SYSTEM_STATE.+slice.+state.+changed )|(ment ac)|(multiple cpu faults)|(system.+state.+changed )|(\[timeout)|(PRM\|1\|D)|(kpr)|(kdp)|(\|lc)|(penalty))" /e /r /s</v>
      </c>
      <c r="AG174" s="1" t="str">
        <f t="shared" si="59"/>
        <v>NW</v>
      </c>
      <c r="AH174" s="86" t="str">
        <f t="shared" si="60"/>
        <v>"%USERPROFILE%\Documents\GitHub\eaglep3\Utilities\RefineRTDCRunTimes.py" --tripid 816-01 --locoid 4026 --swversion DE.1.0.9.0 --startMP 300:58636 --initTime 2017-03-01T10:37:35 --startdatetime 2017-03-01T10:39:42 --delay 1 --endMP 204:699 --enddatetime 2017-03-01T10:55:22 --enforcementcount 0 &gt;&gt;C:\Users\stu\Documents\GitHub\eaglep3-reporting\EC\2017-03-01-refined-times.txt</v>
      </c>
      <c r="AI174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{"issue":{"subject":"","project_id":79,"tracker_id":40,"status_id":1,"priority_id":2,"assigned_to_id":23,"start_date":"2017-03-01","description":"","custom_fields":[{"id":1,"name":"Subdivision","value":"NW"},{"id":4,"name":"Milepost","value":"0.0699"},{"id":17,"name":"Train ID","value":"816-01"},{"id":16,"name":"Locomotive ID","value":"4026"},{"id":130,"name":"Impact","value":""},{"id":150,"name":"Time of Event (Mountain Time)","value":"10:55:22"},{"id":151,"name":"Denver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2"/>
        <v>start /low /b %USERPROFILE%\Documents\GitHub\eaglep3\Utilities\DownloadLogsFromS3.py --loco 4026 --day 2017-03-01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"%USERPROFILE%\AppData\Local\Temp\OnboardLogs"\RTDC4026\*4026*20170301* | grep -SE "(Enforcement Action)|(\[TIMEOUT)|(CHR.+\|PRM\|1\|D.+(SWITCH|SIGNAL).+UNKNOWN)" - &gt;&gt; 2017-03-01-UncaughtWiMAX.txt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449</v>
      </c>
      <c r="B175" s="7">
        <v>4025</v>
      </c>
      <c r="C175" s="21" t="s">
        <v>266</v>
      </c>
      <c r="D175" s="21" t="s">
        <v>794</v>
      </c>
      <c r="E175" s="13">
        <v>42795.470439814817</v>
      </c>
      <c r="F175" s="13">
        <v>42795.473379629628</v>
      </c>
      <c r="G175" s="7">
        <v>1</v>
      </c>
      <c r="H175" s="21" t="s">
        <v>795</v>
      </c>
      <c r="I175" s="13">
        <v>42795.482222222221</v>
      </c>
      <c r="J175" s="7">
        <v>0</v>
      </c>
      <c r="K175" s="98" t="str">
        <f t="shared" si="48"/>
        <v>4025/4026</v>
      </c>
      <c r="L175" s="21" t="str">
        <f>VLOOKUP(A175,'Trips&amp;Operators'!$C$1:$G$99999,5,FALSE)</f>
        <v>LOZA FIDEL</v>
      </c>
      <c r="M175" s="6">
        <f t="shared" si="49"/>
        <v>8.8425925932824612E-3</v>
      </c>
      <c r="N175" s="7">
        <f t="shared" si="64"/>
        <v>12.733333334326744</v>
      </c>
      <c r="O175" s="7"/>
      <c r="P175" s="7"/>
      <c r="Q175" s="22"/>
      <c r="R175" s="22"/>
      <c r="S175" s="31">
        <f t="shared" si="50"/>
        <v>1</v>
      </c>
      <c r="T175" s="46" t="str">
        <f t="shared" si="51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2"/>
        <v>https://d0f6bd738d7f1b3e5a7ca70fe4ff75f0.us-east-1.aws.found.io/app/kibana#/discover/Steve-Slow-Train-Analysis-(2080s-and-2083s)?_g=(refreshInterval:(display:Off,pause:!f,section:0,value:0),time:(from:'2017-03-01T10:17:26-0700',mode:absolute,to:'2017-03-01T12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5" s="187" t="str">
        <f t="shared" si="53"/>
        <v>N</v>
      </c>
      <c r="X175" s="187">
        <f t="shared" si="65"/>
        <v>1</v>
      </c>
      <c r="Y175" s="62">
        <f t="shared" si="54"/>
        <v>9.7900000000000001E-2</v>
      </c>
      <c r="Z175" s="62">
        <f t="shared" si="66"/>
        <v>5.8920000000000003</v>
      </c>
      <c r="AA175" s="62">
        <f t="shared" si="55"/>
        <v>5.7941000000000003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6"/>
        <v>0817-01</v>
      </c>
      <c r="AE175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175" s="82" t="str">
        <f t="shared" si="58"/>
        <v>"C:\Program Files (x86)\AstroGrep\AstroGrep.exe" /spath="%USERPROFILE%\AppData\Local\Temp\OnboardLogs" /stypes="app*4025*20170301*" /stext=" 18:.+((SYSTEM_STATE.+slice.+state.+changed )|(ment ac)|(multiple cpu faults)|(system.+state.+changed )|(\[timeout)|(PRM\|1\|D)|(kpr)|(kdp)|(\|lc)|(penalty))" /e /r /s</v>
      </c>
      <c r="AG175" s="1" t="str">
        <f t="shared" si="59"/>
        <v>NW</v>
      </c>
      <c r="AH175" s="86" t="str">
        <f t="shared" si="60"/>
        <v>"%USERPROFILE%\Documents\GitHub\eaglep3\Utilities\RefineRTDCRunTimes.py" --tripid 817-01 --locoid 4025 --swversion DE.1.0.9.0 --startMP 204:979 --initTime 2017-03-01T11:17:26 --startdatetime 2017-03-01T11:21:40 --delay 1 --endMP 300:58920 --enddatetime 2017-03-01T11:34:24 --enforcementcount 0 &gt;&gt;C:\Users\stu\Documents\GitHub\eaglep3-reporting\EC\2017-03-01-refined-times.txt</v>
      </c>
      <c r="AI175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{"issue":{"subject":"","project_id":79,"tracker_id":40,"status_id":1,"priority_id":2,"assigned_to_id":23,"start_date":"2017-03-01","description":"","custom_fields":[{"id":1,"name":"Subdivision","value":"NW"},{"id":4,"name":"Milepost","value":"5.892"},{"id":17,"name":"Train ID","value":"817-01"},{"id":16,"name":"Locomotive ID","value":"4025"},{"id":130,"name":"Impact","value":""},{"id":150,"name":"Time of Event (Mountain Time)","value":"11:34:24"},{"id":151,"name":"Denver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2"/>
        <v>start /low /b %USERPROFILE%\Documents\GitHub\eaglep3\Utilities\DownloadLogsFromS3.py --loco 4025 --day 2017-03-01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"%USERPROFILE%\AppData\Local\Temp\OnboardLogs"\RTDC4025\*4025*20170301* | grep -SE "(Enforcement Action)|(\[TIMEOUT)|(CHR.+\|PRM\|1\|D.+(SWITCH|SIGNAL).+UNKNOWN)" - &gt;&gt; 2017-03-01-UncaughtWiMAX.txt</v>
      </c>
    </row>
    <row r="176" spans="1:91" x14ac:dyDescent="0.25">
      <c r="A176" s="33" t="s">
        <v>554</v>
      </c>
      <c r="B176" s="7">
        <v>4026</v>
      </c>
      <c r="C176" s="21" t="s">
        <v>266</v>
      </c>
      <c r="D176" s="21" t="s">
        <v>796</v>
      </c>
      <c r="E176" s="13">
        <v>42795.484131944446</v>
      </c>
      <c r="F176" s="13">
        <v>42795.485902777778</v>
      </c>
      <c r="G176" s="7">
        <v>1</v>
      </c>
      <c r="H176" s="21" t="s">
        <v>797</v>
      </c>
      <c r="I176" s="13">
        <v>42795.496458333335</v>
      </c>
      <c r="J176" s="7">
        <v>0</v>
      </c>
      <c r="K176" s="98" t="str">
        <f t="shared" si="48"/>
        <v>4025/4026</v>
      </c>
      <c r="L176" s="21" t="str">
        <f>VLOOKUP(A176,'Trips&amp;Operators'!$C$1:$G$99999,5,FALSE)</f>
        <v>LOZA FIDEL</v>
      </c>
      <c r="M176" s="6">
        <f t="shared" si="49"/>
        <v>1.0555555556493346E-2</v>
      </c>
      <c r="N176" s="7">
        <f t="shared" si="64"/>
        <v>15.200000001350418</v>
      </c>
      <c r="O176" s="7"/>
      <c r="P176" s="7"/>
      <c r="Q176" s="22"/>
      <c r="R176" s="22"/>
      <c r="S176" s="31">
        <f t="shared" si="50"/>
        <v>1</v>
      </c>
      <c r="T176" s="46" t="str">
        <f t="shared" si="51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2"/>
        <v>https://d0f6bd738d7f1b3e5a7ca70fe4ff75f0.us-east-1.aws.found.io/app/kibana#/discover/Steve-Slow-Train-Analysis-(2080s-and-2083s)?_g=(refreshInterval:(display:Off,pause:!f,section:0,value:0),time:(from:'2017-03-01T10:37:09-0700',mode:absolute,to:'2017-03-01T12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6" s="187" t="str">
        <f t="shared" si="53"/>
        <v>N</v>
      </c>
      <c r="X176" s="187">
        <f t="shared" si="65"/>
        <v>1</v>
      </c>
      <c r="Y176" s="62">
        <f t="shared" si="54"/>
        <v>5.8596000000000004</v>
      </c>
      <c r="Z176" s="62">
        <f t="shared" si="66"/>
        <v>6.7500000000000004E-2</v>
      </c>
      <c r="AA176" s="62">
        <f t="shared" si="55"/>
        <v>5.7921000000000005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6"/>
        <v>0818-01</v>
      </c>
      <c r="AE176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176" s="82" t="str">
        <f t="shared" si="58"/>
        <v>"C:\Program Files (x86)\AstroGrep\AstroGrep.exe" /spath="%USERPROFILE%\AppData\Local\Temp\OnboardLogs" /stypes="app*4026*20170301*" /stext=" 18:.+((SYSTEM_STATE.+slice.+state.+changed )|(ment ac)|(multiple cpu faults)|(system.+state.+changed )|(\[timeout)|(PRM\|1\|D)|(kpr)|(kdp)|(\|lc)|(penalty))" /e /r /s</v>
      </c>
      <c r="AG176" s="1" t="str">
        <f t="shared" si="59"/>
        <v>NW</v>
      </c>
      <c r="AH176" s="86" t="str">
        <f t="shared" si="60"/>
        <v>"%USERPROFILE%\Documents\GitHub\eaglep3\Utilities\RefineRTDCRunTimes.py" --tripid 818-01 --locoid 4026 --swversion DE.1.0.9.0 --startMP 300:58596 --initTime 2017-03-01T11:37:09 --startdatetime 2017-03-01T11:39:42 --delay 1 --endMP 204:675 --enddatetime 2017-03-01T11:54:54 --enforcementcount 0 &gt;&gt;C:\Users\stu\Documents\GitHub\eaglep3-reporting\EC\2017-03-01-refined-times.txt</v>
      </c>
      <c r="AI176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{"issue":{"subject":"","project_id":79,"tracker_id":40,"status_id":1,"priority_id":2,"assigned_to_id":23,"start_date":"2017-03-01","description":"","custom_fields":[{"id":1,"name":"Subdivision","value":"NW"},{"id":4,"name":"Milepost","value":"0.0675"},{"id":17,"name":"Train ID","value":"818-01"},{"id":16,"name":"Locomotive ID","value":"4026"},{"id":130,"name":"Impact","value":""},{"id":150,"name":"Time of Event (Mountain Time)","value":"11:54:54"},{"id":151,"name":"Denver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2"/>
        <v>start /low /b %USERPROFILE%\Documents\GitHub\eaglep3\Utilities\DownloadLogsFromS3.py --loco 4026 --day 2017-03-01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"%USERPROFILE%\AppData\Local\Temp\OnboardLogs"\RTDC4026\*4026*20170301* | grep -SE "(Enforcement Action)|(\[TIMEOUT)|(CHR.+\|PRM\|1\|D.+(SWITCH|SIGNAL).+UNKNOWN)" - &gt;&gt; 2017-03-01-UncaughtWiMAX.txt</v>
      </c>
    </row>
    <row r="177" spans="1:40" x14ac:dyDescent="0.25">
      <c r="A177" s="33" t="s">
        <v>561</v>
      </c>
      <c r="B177" s="7">
        <v>4025</v>
      </c>
      <c r="C177" s="21" t="s">
        <v>266</v>
      </c>
      <c r="D177" s="21" t="s">
        <v>425</v>
      </c>
      <c r="E177" s="13">
        <v>42795.500335648147</v>
      </c>
      <c r="F177" s="13">
        <v>42795.515393518515</v>
      </c>
      <c r="G177" s="7">
        <v>1</v>
      </c>
      <c r="H177" s="21" t="s">
        <v>361</v>
      </c>
      <c r="I177" s="13">
        <v>42795.524525462963</v>
      </c>
      <c r="J177" s="7">
        <v>0</v>
      </c>
      <c r="K177" s="98" t="str">
        <f t="shared" si="48"/>
        <v>4025/4026</v>
      </c>
      <c r="L177" s="21" t="str">
        <f>VLOOKUP(A177,'Trips&amp;Operators'!$C$1:$G$99999,5,FALSE)</f>
        <v>LOZA FIDEL</v>
      </c>
      <c r="M177" s="6">
        <f t="shared" si="49"/>
        <v>9.1319444472901523E-3</v>
      </c>
      <c r="N177" s="7">
        <f t="shared" si="64"/>
        <v>13.150000004097819</v>
      </c>
      <c r="O177" s="7"/>
      <c r="P177" s="7"/>
      <c r="Q177" s="22"/>
      <c r="R177" s="22"/>
      <c r="S177" s="31">
        <f t="shared" si="50"/>
        <v>1</v>
      </c>
      <c r="T177" s="46" t="str">
        <f t="shared" si="51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2"/>
        <v>https://d0f6bd738d7f1b3e5a7ca70fe4ff75f0.us-east-1.aws.found.io/app/kibana#/discover/Steve-Slow-Train-Analysis-(2080s-and-2083s)?_g=(refreshInterval:(display:Off,pause:!f,section:0,value:0),time:(from:'2017-03-01T11:00:29-0700',mode:absolute,to:'2017-03-01T13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7" s="187" t="str">
        <f t="shared" si="53"/>
        <v>N</v>
      </c>
      <c r="X177" s="187">
        <f t="shared" si="65"/>
        <v>1</v>
      </c>
      <c r="Y177" s="62">
        <f t="shared" si="54"/>
        <v>9.69E-2</v>
      </c>
      <c r="Z177" s="62">
        <f t="shared" si="66"/>
        <v>5.8949999999999996</v>
      </c>
      <c r="AA177" s="62">
        <f t="shared" si="55"/>
        <v>5.7980999999999998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6"/>
        <v>0819-01</v>
      </c>
      <c r="AE177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177" s="82" t="str">
        <f t="shared" si="58"/>
        <v>"C:\Program Files (x86)\AstroGrep\AstroGrep.exe" /spath="%USERPROFILE%\AppData\Local\Temp\OnboardLogs" /stypes="app*4025*20170301*" /stext=" 19:.+((SYSTEM_STATE.+slice.+state.+changed )|(ment ac)|(multiple cpu faults)|(system.+state.+changed )|(\[timeout)|(PRM\|1\|D)|(kpr)|(kdp)|(\|lc)|(penalty))" /e /r /s</v>
      </c>
      <c r="AG177" s="1" t="str">
        <f t="shared" si="59"/>
        <v>NW</v>
      </c>
      <c r="AH177" s="86" t="str">
        <f t="shared" si="60"/>
        <v>"%USERPROFILE%\Documents\GitHub\eaglep3\Utilities\RefineRTDCRunTimes.py" --tripid 819-01 --locoid 4025 --swversion DE.1.0.9.0 --startMP 204:969 --initTime 2017-03-01T12:00:29 --startdatetime 2017-03-01T12:22:10 --delay 1 --endMP 300:58950 --enddatetime 2017-03-01T12:35:19 --enforcementcount 0 &gt;&gt;C:\Users\stu\Documents\GitHub\eaglep3-reporting\EC\2017-03-01-refined-times.txt</v>
      </c>
      <c r="AI177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{"issue":{"subject":"","project_id":79,"tracker_id":40,"status_id":1,"priority_id":2,"assigned_to_id":23,"start_date":"2017-03-01","description":"","custom_fields":[{"id":1,"name":"Subdivision","value":"NW"},{"id":4,"name":"Milepost","value":"5.895"},{"id":17,"name":"Train ID","value":"819-01"},{"id":16,"name":"Locomotive ID","value":"4025"},{"id":130,"name":"Impact","value":""},{"id":150,"name":"Time of Event (Mountain Time)","value":"12:35:19"},{"id":151,"name":"Denver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2"/>
        <v>start /low /b %USERPROFILE%\Documents\GitHub\eaglep3\Utilities\DownloadLogsFromS3.py --loco 4025 --day 2017-03-01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"%USERPROFILE%\AppData\Local\Temp\OnboardLogs"\RTDC4025\*4025*20170301* | grep -SE "(Enforcement Action)|(\[TIMEOUT)|(CHR.+\|PRM\|1\|D.+(SWITCH|SIGNAL).+UNKNOWN)" - &gt;&gt; 2017-03-01-UncaughtWiMAX.txt</v>
      </c>
    </row>
    <row r="178" spans="1:40" x14ac:dyDescent="0.25">
      <c r="A178" s="33" t="s">
        <v>567</v>
      </c>
      <c r="B178" s="7">
        <v>4026</v>
      </c>
      <c r="C178" s="21" t="s">
        <v>266</v>
      </c>
      <c r="D178" s="21" t="s">
        <v>360</v>
      </c>
      <c r="E178" s="13">
        <v>42795.526643518519</v>
      </c>
      <c r="F178" s="13">
        <v>42795.528854166667</v>
      </c>
      <c r="G178" s="7">
        <v>1</v>
      </c>
      <c r="H178" s="21" t="s">
        <v>424</v>
      </c>
      <c r="I178" s="13">
        <v>42795.537719907406</v>
      </c>
      <c r="J178" s="7">
        <v>0</v>
      </c>
      <c r="K178" s="98" t="str">
        <f t="shared" si="48"/>
        <v>4025/4026</v>
      </c>
      <c r="L178" s="21" t="str">
        <f>VLOOKUP(A178,'Trips&amp;Operators'!$C$1:$G$99999,5,FALSE)</f>
        <v>LOZA FIDEL</v>
      </c>
      <c r="M178" s="6">
        <f t="shared" si="49"/>
        <v>8.8657407395658083E-3</v>
      </c>
      <c r="N178" s="7">
        <f t="shared" si="64"/>
        <v>12.766666664974764</v>
      </c>
      <c r="O178" s="7"/>
      <c r="P178" s="7"/>
      <c r="Q178" s="22"/>
      <c r="R178" s="22"/>
      <c r="S178" s="31">
        <f t="shared" si="50"/>
        <v>1</v>
      </c>
      <c r="T178" s="46" t="str">
        <f t="shared" si="51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2"/>
        <v>https://d0f6bd738d7f1b3e5a7ca70fe4ff75f0.us-east-1.aws.found.io/app/kibana#/discover/Steve-Slow-Train-Analysis-(2080s-and-2083s)?_g=(refreshInterval:(display:Off,pause:!f,section:0,value:0),time:(from:'2017-03-01T11:38:22-0700',mode:absolute,to:'2017-03-01T13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8" s="187" t="str">
        <f t="shared" si="53"/>
        <v>N</v>
      </c>
      <c r="X178" s="187">
        <f t="shared" si="65"/>
        <v>1</v>
      </c>
      <c r="Y178" s="62">
        <f t="shared" si="54"/>
        <v>5.8635999999999999</v>
      </c>
      <c r="Z178" s="62">
        <f t="shared" si="66"/>
        <v>6.8199999999999997E-2</v>
      </c>
      <c r="AA178" s="62">
        <f t="shared" si="55"/>
        <v>5.7953999999999999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6"/>
        <v>0820-01</v>
      </c>
      <c r="AE178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178" s="82" t="str">
        <f t="shared" si="58"/>
        <v>"C:\Program Files (x86)\AstroGrep\AstroGrep.exe" /spath="%USERPROFILE%\AppData\Local\Temp\OnboardLogs" /stypes="app*4026*20170301*" /stext=" 19:.+((SYSTEM_STATE.+slice.+state.+changed )|(ment ac)|(multiple cpu faults)|(system.+state.+changed )|(\[timeout)|(PRM\|1\|D)|(kpr)|(kdp)|(\|lc)|(penalty))" /e /r /s</v>
      </c>
      <c r="AG178" s="1" t="str">
        <f t="shared" si="59"/>
        <v>NW</v>
      </c>
      <c r="AH178" s="86" t="str">
        <f t="shared" si="60"/>
        <v>"%USERPROFILE%\Documents\GitHub\eaglep3\Utilities\RefineRTDCRunTimes.py" --tripid 820-01 --locoid 4026 --swversion DE.1.0.9.0 --startMP 300:58636 --initTime 2017-03-01T12:38:22 --startdatetime 2017-03-01T12:41:33 --delay 1 --endMP 204:682 --enddatetime 2017-03-01T12:54:19 --enforcementcount 0 &gt;&gt;C:\Users\stu\Documents\GitHub\eaglep3-reporting\EC\2017-03-01-refined-times.txt</v>
      </c>
      <c r="AI178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{"issue":{"subject":"","project_id":79,"tracker_id":40,"status_id":1,"priority_id":2,"assigned_to_id":23,"start_date":"2017-03-01","description":"","custom_fields":[{"id":1,"name":"Subdivision","value":"NW"},{"id":4,"name":"Milepost","value":"0.0682"},{"id":17,"name":"Train ID","value":"820-01"},{"id":16,"name":"Locomotive ID","value":"4026"},{"id":130,"name":"Impact","value":""},{"id":150,"name":"Time of Event (Mountain Time)","value":"12:54:19"},{"id":151,"name":"Denver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2"/>
        <v>start /low /b %USERPROFILE%\Documents\GitHub\eaglep3\Utilities\DownloadLogsFromS3.py --loco 4026 --day 2017-03-01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"%USERPROFILE%\AppData\Local\Temp\OnboardLogs"\RTDC4026\*4026*20170301* | grep -SE "(Enforcement Action)|(\[TIMEOUT)|(CHR.+\|PRM\|1\|D.+(SWITCH|SIGNAL).+UNKNOWN)" - &gt;&gt; 2017-03-01-UncaughtWiMAX.txt</v>
      </c>
    </row>
    <row r="179" spans="1:40" x14ac:dyDescent="0.25">
      <c r="A179" s="33" t="s">
        <v>571</v>
      </c>
      <c r="B179" s="7">
        <v>4025</v>
      </c>
      <c r="C179" s="21" t="s">
        <v>266</v>
      </c>
      <c r="D179" s="21" t="s">
        <v>425</v>
      </c>
      <c r="E179" s="13">
        <v>42795.548935185187</v>
      </c>
      <c r="F179" s="13">
        <v>42795.556469907409</v>
      </c>
      <c r="G179" s="7">
        <v>2</v>
      </c>
      <c r="H179" s="21" t="s">
        <v>361</v>
      </c>
      <c r="I179" s="13">
        <v>42795.565949074073</v>
      </c>
      <c r="J179" s="7">
        <v>0</v>
      </c>
      <c r="K179" s="98" t="str">
        <f t="shared" si="48"/>
        <v>4025/4026</v>
      </c>
      <c r="L179" s="21" t="str">
        <f>VLOOKUP(A179,'Trips&amp;Operators'!$C$1:$G$99999,5,FALSE)</f>
        <v>BRUDER RICHARD</v>
      </c>
      <c r="M179" s="6">
        <f t="shared" si="49"/>
        <v>9.4791666633682325E-3</v>
      </c>
      <c r="N179" s="7">
        <f t="shared" si="64"/>
        <v>13.649999995250255</v>
      </c>
      <c r="O179" s="7"/>
      <c r="P179" s="7"/>
      <c r="Q179" s="22"/>
      <c r="R179" s="22"/>
      <c r="S179" s="31">
        <f t="shared" si="50"/>
        <v>1</v>
      </c>
      <c r="T179" s="46" t="str">
        <f t="shared" si="51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2"/>
        <v>https://d0f6bd738d7f1b3e5a7ca70fe4ff75f0.us-east-1.aws.found.io/app/kibana#/discover/Steve-Slow-Train-Analysis-(2080s-and-2083s)?_g=(refreshInterval:(display:Off,pause:!f,section:0,value:0),time:(from:'2017-03-01T12:10:28-0700',mode:absolute,to:'2017-03-01T14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9" s="187" t="str">
        <f t="shared" si="53"/>
        <v>N</v>
      </c>
      <c r="X179" s="187">
        <f t="shared" si="65"/>
        <v>1</v>
      </c>
      <c r="Y179" s="62">
        <f t="shared" si="54"/>
        <v>9.69E-2</v>
      </c>
      <c r="Z179" s="62">
        <f t="shared" si="66"/>
        <v>5.8949999999999996</v>
      </c>
      <c r="AA179" s="62">
        <f t="shared" si="55"/>
        <v>5.7980999999999998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6"/>
        <v>0821-01</v>
      </c>
      <c r="AE179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179" s="82" t="str">
        <f t="shared" si="58"/>
        <v>"C:\Program Files (x86)\AstroGrep\AstroGrep.exe" /spath="%USERPROFILE%\AppData\Local\Temp\OnboardLogs" /stypes="app*4025*20170301*" /stext=" 20:.+((SYSTEM_STATE.+slice.+state.+changed )|(ment ac)|(multiple cpu faults)|(system.+state.+changed )|(\[timeout)|(PRM\|1\|D)|(kpr)|(kdp)|(\|lc)|(penalty))" /e /r /s</v>
      </c>
      <c r="AG179" s="1" t="str">
        <f t="shared" si="59"/>
        <v>NW</v>
      </c>
      <c r="AH179" s="86" t="str">
        <f t="shared" si="60"/>
        <v>"%USERPROFILE%\Documents\GitHub\eaglep3\Utilities\RefineRTDCRunTimes.py" --tripid 821-01 --locoid 4025 --swversion DE.1.0.9.0 --startMP 204:969 --initTime 2017-03-01T13:10:28 --startdatetime 2017-03-01T13:21:19 --delay 2 --endMP 300:58950 --enddatetime 2017-03-01T13:34:58 --enforcementcount 0 &gt;&gt;C:\Users\stu\Documents\GitHub\eaglep3-reporting\EC\2017-03-01-refined-times.txt</v>
      </c>
      <c r="AI179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{"issue":{"subject":"","project_id":79,"tracker_id":40,"status_id":1,"priority_id":2,"assigned_to_id":23,"start_date":"2017-03-01","description":"","custom_fields":[{"id":1,"name":"Subdivision","value":"NW"},{"id":4,"name":"Milepost","value":"5.895"},{"id":17,"name":"Train ID","value":"821-01"},{"id":16,"name":"Locomotive ID","value":"4025"},{"id":130,"name":"Impact","value":""},{"id":150,"name":"Time of Event (Mountain Time)","value":"13:34:58"},{"id":151,"name":"Denver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2"/>
        <v>start /low /b %USERPROFILE%\Documents\GitHub\eaglep3\Utilities\DownloadLogsFromS3.py --loco 4025 --day 2017-03-01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"%USERPROFILE%\AppData\Local\Temp\OnboardLogs"\RTDC4025\*4025*20170301* | grep -SE "(Enforcement Action)|(\[TIMEOUT)|(CHR.+\|PRM\|1\|D.+(SWITCH|SIGNAL).+UNKNOWN)" - &gt;&gt; 2017-03-01-UncaughtWiMAX.txt</v>
      </c>
    </row>
    <row r="180" spans="1:40" x14ac:dyDescent="0.25">
      <c r="A180" s="33" t="s">
        <v>577</v>
      </c>
      <c r="B180" s="7">
        <v>4026</v>
      </c>
      <c r="C180" s="21" t="s">
        <v>266</v>
      </c>
      <c r="D180" s="21" t="s">
        <v>798</v>
      </c>
      <c r="E180" s="13">
        <v>42795.567835648151</v>
      </c>
      <c r="F180" s="13">
        <v>42795.570127314815</v>
      </c>
      <c r="G180" s="7">
        <v>1</v>
      </c>
      <c r="H180" s="21" t="s">
        <v>799</v>
      </c>
      <c r="I180" s="13">
        <v>42795.579907407409</v>
      </c>
      <c r="J180" s="7">
        <v>0</v>
      </c>
      <c r="K180" s="98" t="str">
        <f t="shared" si="48"/>
        <v>4025/4026</v>
      </c>
      <c r="L180" s="21" t="str">
        <f>VLOOKUP(A180,'Trips&amp;Operators'!$C$1:$G$99999,5,FALSE)</f>
        <v>BRUDER RICHARD</v>
      </c>
      <c r="M180" s="6">
        <f t="shared" si="49"/>
        <v>9.7800925941555761E-3</v>
      </c>
      <c r="N180" s="7">
        <f t="shared" si="64"/>
        <v>14.08333333558403</v>
      </c>
      <c r="O180" s="7"/>
      <c r="P180" s="7"/>
      <c r="Q180" s="22"/>
      <c r="R180" s="22"/>
      <c r="S180" s="31">
        <f t="shared" si="50"/>
        <v>1</v>
      </c>
      <c r="T180" s="46" t="str">
        <f t="shared" si="51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2"/>
        <v>https://d0f6bd738d7f1b3e5a7ca70fe4ff75f0.us-east-1.aws.found.io/app/kibana#/discover/Steve-Slow-Train-Analysis-(2080s-and-2083s)?_g=(refreshInterval:(display:Off,pause:!f,section:0,value:0),time:(from:'2017-03-01T12:37:41-0700',mode:absolute,to:'2017-03-01T14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0" s="187" t="str">
        <f t="shared" si="53"/>
        <v>N</v>
      </c>
      <c r="X180" s="187">
        <f t="shared" si="65"/>
        <v>1</v>
      </c>
      <c r="Y180" s="62">
        <f t="shared" si="54"/>
        <v>5.8632</v>
      </c>
      <c r="Z180" s="62">
        <f t="shared" si="66"/>
        <v>6.6799999999999998E-2</v>
      </c>
      <c r="AA180" s="62">
        <f t="shared" si="55"/>
        <v>5.7964000000000002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6"/>
        <v>0822-01</v>
      </c>
      <c r="AE180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180" s="82" t="str">
        <f t="shared" si="58"/>
        <v>"C:\Program Files (x86)\AstroGrep\AstroGrep.exe" /spath="%USERPROFILE%\AppData\Local\Temp\OnboardLogs" /stypes="app*4026*20170301*" /stext=" 20:.+((SYSTEM_STATE.+slice.+state.+changed )|(ment ac)|(multiple cpu faults)|(system.+state.+changed )|(\[timeout)|(PRM\|1\|D)|(kpr)|(kdp)|(\|lc)|(penalty))" /e /r /s</v>
      </c>
      <c r="AG180" s="1" t="str">
        <f t="shared" si="59"/>
        <v>NW</v>
      </c>
      <c r="AH180" s="86" t="str">
        <f t="shared" si="60"/>
        <v>"%USERPROFILE%\Documents\GitHub\eaglep3\Utilities\RefineRTDCRunTimes.py" --tripid 822-01 --locoid 4026 --swversion DE.1.0.9.0 --startMP 300:58632 --initTime 2017-03-01T13:37:41 --startdatetime 2017-03-01T13:40:59 --delay 1 --endMP 204:668 --enddatetime 2017-03-01T13:55:04 --enforcementcount 0 &gt;&gt;C:\Users\stu\Documents\GitHub\eaglep3-reporting\EC\2017-03-01-refined-times.txt</v>
      </c>
      <c r="AI180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{"issue":{"subject":"","project_id":79,"tracker_id":40,"status_id":1,"priority_id":2,"assigned_to_id":23,"start_date":"2017-03-01","description":"","custom_fields":[{"id":1,"name":"Subdivision","value":"NW"},{"id":4,"name":"Milepost","value":"0.0668"},{"id":17,"name":"Train ID","value":"822-01"},{"id":16,"name":"Locomotive ID","value":"4026"},{"id":130,"name":"Impact","value":""},{"id":150,"name":"Time of Event (Mountain Time)","value":"13:55:04"},{"id":151,"name":"Denver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2"/>
        <v>start /low /b %USERPROFILE%\Documents\GitHub\eaglep3\Utilities\DownloadLogsFromS3.py --loco 4026 --day 2017-03-01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"%USERPROFILE%\AppData\Local\Temp\OnboardLogs"\RTDC4026\*4026*20170301* | grep -SE "(Enforcement Action)|(\[TIMEOUT)|(CHR.+\|PRM\|1\|D.+(SWITCH|SIGNAL).+UNKNOWN)" - &gt;&gt; 2017-03-01-UncaughtWiMAX.txt</v>
      </c>
    </row>
    <row r="181" spans="1:40" x14ac:dyDescent="0.25">
      <c r="A181" s="33" t="s">
        <v>584</v>
      </c>
      <c r="B181" s="7">
        <v>4025</v>
      </c>
      <c r="C181" s="21" t="s">
        <v>266</v>
      </c>
      <c r="D181" s="21" t="s">
        <v>791</v>
      </c>
      <c r="E181" s="13">
        <v>42795.594317129631</v>
      </c>
      <c r="F181" s="13">
        <v>42795.598263888889</v>
      </c>
      <c r="G181" s="7">
        <v>1</v>
      </c>
      <c r="H181" s="21" t="s">
        <v>322</v>
      </c>
      <c r="I181" s="13">
        <v>42795.607824074075</v>
      </c>
      <c r="J181" s="7">
        <v>0</v>
      </c>
      <c r="K181" s="98" t="str">
        <f t="shared" si="48"/>
        <v>4025/4026</v>
      </c>
      <c r="L181" s="21" t="str">
        <f>VLOOKUP(A181,'Trips&amp;Operators'!$C$1:$G$99999,5,FALSE)</f>
        <v>BRUDER RICHARD</v>
      </c>
      <c r="M181" s="6">
        <f t="shared" si="49"/>
        <v>9.560185186273884E-3</v>
      </c>
      <c r="N181" s="7">
        <f t="shared" si="64"/>
        <v>13.766666668234393</v>
      </c>
      <c r="O181" s="7"/>
      <c r="P181" s="7"/>
      <c r="Q181" s="22"/>
      <c r="R181" s="22"/>
      <c r="S181" s="31">
        <f t="shared" si="50"/>
        <v>1</v>
      </c>
      <c r="T181" s="46" t="str">
        <f t="shared" si="51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2"/>
        <v>https://d0f6bd738d7f1b3e5a7ca70fe4ff75f0.us-east-1.aws.found.io/app/kibana#/discover/Steve-Slow-Train-Analysis-(2080s-and-2083s)?_g=(refreshInterval:(display:Off,pause:!f,section:0,value:0),time:(from:'2017-03-01T13:15:49-0700',mode:absolute,to:'2017-03-01T15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1" s="187" t="str">
        <f t="shared" si="53"/>
        <v>N</v>
      </c>
      <c r="X181" s="187">
        <f t="shared" si="65"/>
        <v>1</v>
      </c>
      <c r="Y181" s="62">
        <f t="shared" si="54"/>
        <v>9.6699999999999994E-2</v>
      </c>
      <c r="Z181" s="62">
        <f t="shared" si="66"/>
        <v>5.8958000000000004</v>
      </c>
      <c r="AA181" s="62">
        <f t="shared" si="55"/>
        <v>5.7991000000000001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6"/>
        <v>0823-01</v>
      </c>
      <c r="AE181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181" s="82" t="str">
        <f t="shared" si="58"/>
        <v>"C:\Program Files (x86)\AstroGrep\AstroGrep.exe" /spath="%USERPROFILE%\AppData\Local\Temp\OnboardLogs" /stypes="app*4025*20170301*" /stext=" 21:.+((SYSTEM_STATE.+slice.+state.+changed )|(ment ac)|(multiple cpu faults)|(system.+state.+changed )|(\[timeout)|(PRM\|1\|D)|(kpr)|(kdp)|(\|lc)|(penalty))" /e /r /s</v>
      </c>
      <c r="AG181" s="1" t="str">
        <f t="shared" si="59"/>
        <v>NW</v>
      </c>
      <c r="AH181" s="86" t="str">
        <f t="shared" si="60"/>
        <v>"%USERPROFILE%\Documents\GitHub\eaglep3\Utilities\RefineRTDCRunTimes.py" --tripid 823-01 --locoid 4025 --swversion DE.1.0.9.0 --startMP 204:967 --initTime 2017-03-01T14:15:49 --startdatetime 2017-03-01T14:21:30 --delay 1 --endMP 300:58958 --enddatetime 2017-03-01T14:35:16 --enforcementcount 0 &gt;&gt;C:\Users\stu\Documents\GitHub\eaglep3-reporting\EC\2017-03-01-refined-times.txt</v>
      </c>
      <c r="AI181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{"issue":{"subject":"","project_id":79,"tracker_id":40,"status_id":1,"priority_id":2,"assigned_to_id":23,"start_date":"2017-03-01","description":"","custom_fields":[{"id":1,"name":"Subdivision","value":"NW"},{"id":4,"name":"Milepost","value":"5.8958"},{"id":17,"name":"Train ID","value":"823-01"},{"id":16,"name":"Locomotive ID","value":"4025"},{"id":130,"name":"Impact","value":""},{"id":150,"name":"Time of Event (Mountain Time)","value":"14:35:16"},{"id":151,"name":"Denver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2"/>
        <v>start /low /b %USERPROFILE%\Documents\GitHub\eaglep3\Utilities\DownloadLogsFromS3.py --loco 4025 --day 2017-03-01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"%USERPROFILE%\AppData\Local\Temp\OnboardLogs"\RTDC4025\*4025*20170301* | grep -SE "(Enforcement Action)|(\[TIMEOUT)|(CHR.+\|PRM\|1\|D.+(SWITCH|SIGNAL).+UNKNOWN)" - &gt;&gt; 2017-03-01-UncaughtWiMAX.txt</v>
      </c>
    </row>
    <row r="182" spans="1:40" x14ac:dyDescent="0.25">
      <c r="A182" s="33" t="s">
        <v>591</v>
      </c>
      <c r="B182" s="7">
        <v>4026</v>
      </c>
      <c r="C182" s="21" t="s">
        <v>266</v>
      </c>
      <c r="D182" s="21" t="s">
        <v>800</v>
      </c>
      <c r="E182" s="13">
        <v>42795.6090625</v>
      </c>
      <c r="F182" s="13">
        <v>42795.611226851855</v>
      </c>
      <c r="G182" s="7">
        <v>1</v>
      </c>
      <c r="H182" s="21" t="s">
        <v>801</v>
      </c>
      <c r="I182" s="13">
        <v>42795.621331018519</v>
      </c>
      <c r="J182" s="7">
        <v>0</v>
      </c>
      <c r="K182" s="98" t="str">
        <f t="shared" si="48"/>
        <v>4025/4026</v>
      </c>
      <c r="L182" s="21" t="str">
        <f>VLOOKUP(A182,'Trips&amp;Operators'!$C$1:$G$99999,5,FALSE)</f>
        <v>BRUDER RICHARD</v>
      </c>
      <c r="M182" s="6">
        <f t="shared" si="49"/>
        <v>1.0104166663950309E-2</v>
      </c>
      <c r="N182" s="7">
        <f t="shared" si="64"/>
        <v>14.549999996088445</v>
      </c>
      <c r="O182" s="7"/>
      <c r="P182" s="7"/>
      <c r="Q182" s="22"/>
      <c r="R182" s="22"/>
      <c r="S182" s="31">
        <f t="shared" si="50"/>
        <v>1</v>
      </c>
      <c r="T182" s="46" t="str">
        <f t="shared" si="51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2"/>
        <v>https://d0f6bd738d7f1b3e5a7ca70fe4ff75f0.us-east-1.aws.found.io/app/kibana#/discover/Steve-Slow-Train-Analysis-(2080s-and-2083s)?_g=(refreshInterval:(display:Off,pause:!f,section:0,value:0),time:(from:'2017-03-01T13:37:03-0700',mode:absolute,to:'2017-03-01T15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2" s="187" t="str">
        <f t="shared" si="53"/>
        <v>N</v>
      </c>
      <c r="X182" s="187">
        <f t="shared" si="65"/>
        <v>1</v>
      </c>
      <c r="Y182" s="62">
        <f t="shared" si="54"/>
        <v>5.8639999999999999</v>
      </c>
      <c r="Z182" s="62">
        <f t="shared" si="66"/>
        <v>6.9099999999999995E-2</v>
      </c>
      <c r="AA182" s="62">
        <f t="shared" si="55"/>
        <v>5.7949000000000002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6"/>
        <v>0824-01</v>
      </c>
      <c r="AE182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182" s="82" t="str">
        <f t="shared" si="58"/>
        <v>"C:\Program Files (x86)\AstroGrep\AstroGrep.exe" /spath="%USERPROFILE%\AppData\Local\Temp\OnboardLogs" /stypes="app*4026*20170301*" /stext=" 21:.+((SYSTEM_STATE.+slice.+state.+changed )|(ment ac)|(multiple cpu faults)|(system.+state.+changed )|(\[timeout)|(PRM\|1\|D)|(kpr)|(kdp)|(\|lc)|(penalty))" /e /r /s</v>
      </c>
      <c r="AG182" s="1" t="str">
        <f t="shared" si="59"/>
        <v>NW</v>
      </c>
      <c r="AH182" s="86" t="str">
        <f t="shared" si="60"/>
        <v>"%USERPROFILE%\Documents\GitHub\eaglep3\Utilities\RefineRTDCRunTimes.py" --tripid 824-01 --locoid 4026 --swversion DE.1.0.9.0 --startMP 300:58640 --initTime 2017-03-01T14:37:03 --startdatetime 2017-03-01T14:40:10 --delay 1 --endMP 204:691 --enddatetime 2017-03-01T14:54:43 --enforcementcount 0 &gt;&gt;C:\Users\stu\Documents\GitHub\eaglep3-reporting\EC\2017-03-01-refined-times.txt</v>
      </c>
      <c r="AI182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{"issue":{"subject":"","project_id":79,"tracker_id":40,"status_id":1,"priority_id":2,"assigned_to_id":23,"start_date":"2017-03-01","description":"","custom_fields":[{"id":1,"name":"Subdivision","value":"NW"},{"id":4,"name":"Milepost","value":"0.0691"},{"id":17,"name":"Train ID","value":"824-01"},{"id":16,"name":"Locomotive ID","value":"4026"},{"id":130,"name":"Impact","value":""},{"id":150,"name":"Time of Event (Mountain Time)","value":"14:54:43"},{"id":151,"name":"Denver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2"/>
        <v>start /low /b %USERPROFILE%\Documents\GitHub\eaglep3\Utilities\DownloadLogsFromS3.py --loco 4026 --day 2017-03-01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"%USERPROFILE%\AppData\Local\Temp\OnboardLogs"\RTDC4026\*4026*20170301* | grep -SE "(Enforcement Action)|(\[TIMEOUT)|(CHR.+\|PRM\|1\|D.+(SWITCH|SIGNAL).+UNKNOWN)" - &gt;&gt; 2017-03-01-UncaughtWiMAX.txt</v>
      </c>
    </row>
    <row r="183" spans="1:40" x14ac:dyDescent="0.25">
      <c r="A183" s="33" t="s">
        <v>594</v>
      </c>
      <c r="B183" s="7">
        <v>4025</v>
      </c>
      <c r="C183" s="21" t="s">
        <v>266</v>
      </c>
      <c r="D183" s="21" t="s">
        <v>423</v>
      </c>
      <c r="E183" s="13">
        <v>42795.636979166666</v>
      </c>
      <c r="F183" s="13">
        <v>42795.639768518522</v>
      </c>
      <c r="G183" s="7">
        <v>1</v>
      </c>
      <c r="H183" s="21" t="s">
        <v>322</v>
      </c>
      <c r="I183" s="13">
        <v>42795.649097222224</v>
      </c>
      <c r="J183" s="7">
        <v>0</v>
      </c>
      <c r="K183" s="98" t="str">
        <f t="shared" si="48"/>
        <v>4025/4026</v>
      </c>
      <c r="L183" s="21" t="str">
        <f>VLOOKUP(A183,'Trips&amp;Operators'!$C$1:$G$99999,5,FALSE)</f>
        <v>BRUDER RICHARD</v>
      </c>
      <c r="M183" s="6">
        <f t="shared" si="49"/>
        <v>9.3287037016125396E-3</v>
      </c>
      <c r="N183" s="7">
        <f t="shared" si="64"/>
        <v>13.433333330322057</v>
      </c>
      <c r="O183" s="7"/>
      <c r="P183" s="7"/>
      <c r="Q183" s="22"/>
      <c r="R183" s="22"/>
      <c r="S183" s="31">
        <f t="shared" si="50"/>
        <v>1</v>
      </c>
      <c r="T183" s="46" t="str">
        <f t="shared" si="51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2"/>
        <v>https://d0f6bd738d7f1b3e5a7ca70fe4ff75f0.us-east-1.aws.found.io/app/kibana#/discover/Steve-Slow-Train-Analysis-(2080s-and-2083s)?_g=(refreshInterval:(display:Off,pause:!f,section:0,value:0),time:(from:'2017-03-01T14:17:15-0700',mode:absolute,to:'2017-03-01T16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3" s="187" t="str">
        <f t="shared" si="53"/>
        <v>N</v>
      </c>
      <c r="X183" s="187">
        <f t="shared" si="65"/>
        <v>1</v>
      </c>
      <c r="Y183" s="62">
        <f t="shared" si="54"/>
        <v>9.74E-2</v>
      </c>
      <c r="Z183" s="62">
        <f t="shared" si="66"/>
        <v>5.8958000000000004</v>
      </c>
      <c r="AA183" s="62">
        <f t="shared" si="55"/>
        <v>5.7984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6"/>
        <v>0825-01</v>
      </c>
      <c r="AE183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183" s="82" t="str">
        <f t="shared" si="58"/>
        <v>"C:\Program Files (x86)\AstroGrep\AstroGrep.exe" /spath="%USERPROFILE%\AppData\Local\Temp\OnboardLogs" /stypes="app*4025*20170301*" /stext=" 22:.+((SYSTEM_STATE.+slice.+state.+changed )|(ment ac)|(multiple cpu faults)|(system.+state.+changed )|(\[timeout)|(PRM\|1\|D)|(kpr)|(kdp)|(\|lc)|(penalty))" /e /r /s</v>
      </c>
      <c r="AG183" s="1" t="str">
        <f t="shared" si="59"/>
        <v>NW</v>
      </c>
      <c r="AH183" s="86" t="str">
        <f t="shared" si="60"/>
        <v>"%USERPROFILE%\Documents\GitHub\eaglep3\Utilities\RefineRTDCRunTimes.py" --tripid 825-01 --locoid 4025 --swversion DE.1.0.9.0 --startMP 204:974 --initTime 2017-03-01T15:17:15 --startdatetime 2017-03-01T15:21:16 --delay 1 --endMP 300:58958 --enddatetime 2017-03-01T15:34:42 --enforcementcount 0 &gt;&gt;C:\Users\stu\Documents\GitHub\eaglep3-reporting\EC\2017-03-01-refined-times.txt</v>
      </c>
      <c r="AI183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{"issue":{"subject":"","project_id":79,"tracker_id":40,"status_id":1,"priority_id":2,"assigned_to_id":23,"start_date":"2017-03-01","description":"","custom_fields":[{"id":1,"name":"Subdivision","value":"NW"},{"id":4,"name":"Milepost","value":"5.8958"},{"id":17,"name":"Train ID","value":"825-01"},{"id":16,"name":"Locomotive ID","value":"4025"},{"id":130,"name":"Impact","value":""},{"id":150,"name":"Time of Event (Mountain Time)","value":"15:34:42"},{"id":151,"name":"Denver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2"/>
        <v>start /low /b %USERPROFILE%\Documents\GitHub\eaglep3\Utilities\DownloadLogsFromS3.py --loco 4025 --day 2017-03-01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"%USERPROFILE%\AppData\Local\Temp\OnboardLogs"\RTDC4025\*4025*20170301* | grep -SE "(Enforcement Action)|(\[TIMEOUT)|(CHR.+\|PRM\|1\|D.+(SWITCH|SIGNAL).+UNKNOWN)" - &gt;&gt; 2017-03-01-UncaughtWiMAX.txt</v>
      </c>
    </row>
    <row r="184" spans="1:40" x14ac:dyDescent="0.25">
      <c r="A184" s="33" t="s">
        <v>597</v>
      </c>
      <c r="B184" s="7">
        <v>4026</v>
      </c>
      <c r="C184" s="21" t="s">
        <v>266</v>
      </c>
      <c r="D184" s="21" t="s">
        <v>802</v>
      </c>
      <c r="E184" s="13">
        <v>42795.650347222225</v>
      </c>
      <c r="F184" s="13">
        <v>42795.652280092596</v>
      </c>
      <c r="G184" s="7">
        <v>1</v>
      </c>
      <c r="H184" s="21" t="s">
        <v>803</v>
      </c>
      <c r="I184" s="13">
        <v>42795.663275462961</v>
      </c>
      <c r="J184" s="7">
        <v>0</v>
      </c>
      <c r="K184" s="98" t="str">
        <f t="shared" si="48"/>
        <v>4025/4026</v>
      </c>
      <c r="L184" s="21" t="str">
        <f>VLOOKUP(A184,'Trips&amp;Operators'!$C$1:$G$99999,5,FALSE)</f>
        <v>BRUDER RICHARD</v>
      </c>
      <c r="M184" s="6">
        <f t="shared" si="49"/>
        <v>1.0995370364980772E-2</v>
      </c>
      <c r="N184" s="7">
        <f t="shared" si="64"/>
        <v>15.833333325572312</v>
      </c>
      <c r="O184" s="7"/>
      <c r="P184" s="7"/>
      <c r="Q184" s="22"/>
      <c r="R184" s="22"/>
      <c r="S184" s="31">
        <f t="shared" si="50"/>
        <v>1</v>
      </c>
      <c r="T184" s="46" t="str">
        <f t="shared" si="51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2"/>
        <v>https://d0f6bd738d7f1b3e5a7ca70fe4ff75f0.us-east-1.aws.found.io/app/kibana#/discover/Steve-Slow-Train-Analysis-(2080s-and-2083s)?_g=(refreshInterval:(display:Off,pause:!f,section:0,value:0),time:(from:'2017-03-01T14:36:30-0700',mode:absolute,to:'2017-03-01T16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4" s="187" t="str">
        <f t="shared" si="53"/>
        <v>N</v>
      </c>
      <c r="X184" s="187">
        <f t="shared" si="65"/>
        <v>1</v>
      </c>
      <c r="Y184" s="62">
        <f t="shared" si="54"/>
        <v>5.8638000000000003</v>
      </c>
      <c r="Z184" s="62">
        <f t="shared" si="66"/>
        <v>6.6100000000000006E-2</v>
      </c>
      <c r="AA184" s="62">
        <f t="shared" si="55"/>
        <v>5.7977000000000007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6"/>
        <v>0826-01</v>
      </c>
      <c r="AE184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184" s="82" t="str">
        <f t="shared" si="58"/>
        <v>"C:\Program Files (x86)\AstroGrep\AstroGrep.exe" /spath="%USERPROFILE%\AppData\Local\Temp\OnboardLogs" /stypes="app*4026*20170301*" /stext=" 22:.+((SYSTEM_STATE.+slice.+state.+changed )|(ment ac)|(multiple cpu faults)|(system.+state.+changed )|(\[timeout)|(PRM\|1\|D)|(kpr)|(kdp)|(\|lc)|(penalty))" /e /r /s</v>
      </c>
      <c r="AG184" s="1" t="str">
        <f t="shared" si="59"/>
        <v>NW</v>
      </c>
      <c r="AH184" s="86" t="str">
        <f t="shared" si="60"/>
        <v>"%USERPROFILE%\Documents\GitHub\eaglep3\Utilities\RefineRTDCRunTimes.py" --tripid 826-01 --locoid 4026 --swversion DE.1.0.9.0 --startMP 300:58638 --initTime 2017-03-01T15:36:30 --startdatetime 2017-03-01T15:39:17 --delay 1 --endMP 204:661 --enddatetime 2017-03-01T15:55:07 --enforcementcount 0 &gt;&gt;C:\Users\stu\Documents\GitHub\eaglep3-reporting\EC\2017-03-01-refined-times.txt</v>
      </c>
      <c r="AI184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{"issue":{"subject":"","project_id":79,"tracker_id":40,"status_id":1,"priority_id":2,"assigned_to_id":23,"start_date":"2017-03-01","description":"","custom_fields":[{"id":1,"name":"Subdivision","value":"NW"},{"id":4,"name":"Milepost","value":"0.0661"},{"id":17,"name":"Train ID","value":"826-01"},{"id":16,"name":"Locomotive ID","value":"4026"},{"id":130,"name":"Impact","value":""},{"id":150,"name":"Time of Event (Mountain Time)","value":"15:55:07"},{"id":151,"name":"Denver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2"/>
        <v>start /low /b %USERPROFILE%\Documents\GitHub\eaglep3\Utilities\DownloadLogsFromS3.py --loco 4026 --day 2017-03-01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"%USERPROFILE%\AppData\Local\Temp\OnboardLogs"\RTDC4026\*4026*20170301* | grep -SE "(Enforcement Action)|(\[TIMEOUT)|(CHR.+\|PRM\|1\|D.+(SWITCH|SIGNAL).+UNKNOWN)" - &gt;&gt; 2017-03-01-UncaughtWiMAX.txt</v>
      </c>
    </row>
    <row r="185" spans="1:40" x14ac:dyDescent="0.25">
      <c r="A185" s="33" t="s">
        <v>600</v>
      </c>
      <c r="B185" s="7">
        <v>4014</v>
      </c>
      <c r="C185" s="21" t="s">
        <v>266</v>
      </c>
      <c r="D185" s="21" t="s">
        <v>804</v>
      </c>
      <c r="E185" s="13">
        <v>42795.659085648149</v>
      </c>
      <c r="F185" s="13">
        <v>42795.66065972222</v>
      </c>
      <c r="G185" s="7">
        <v>1</v>
      </c>
      <c r="H185" s="21" t="s">
        <v>805</v>
      </c>
      <c r="I185" s="13">
        <v>42795.67046296296</v>
      </c>
      <c r="J185" s="7">
        <v>0</v>
      </c>
      <c r="K185" s="98" t="str">
        <f t="shared" si="48"/>
        <v>4013/4014</v>
      </c>
      <c r="L185" s="21" t="str">
        <f>VLOOKUP(A185,'Trips&amp;Operators'!$C$1:$G$99999,5,FALSE)</f>
        <v>CHANDLER KELVIN</v>
      </c>
      <c r="M185" s="6">
        <f t="shared" si="49"/>
        <v>9.8032407404389232E-3</v>
      </c>
      <c r="N185" s="7">
        <f t="shared" si="64"/>
        <v>14.116666666232049</v>
      </c>
      <c r="O185" s="7"/>
      <c r="P185" s="7"/>
      <c r="Q185" s="22"/>
      <c r="R185" s="22"/>
      <c r="S185" s="31">
        <f t="shared" si="50"/>
        <v>1</v>
      </c>
      <c r="T185" s="46" t="str">
        <f t="shared" si="51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2"/>
        <v>https://d0f6bd738d7f1b3e5a7ca70fe4ff75f0.us-east-1.aws.found.io/app/kibana#/discover/Steve-Slow-Train-Analysis-(2080s-and-2083s)?_g=(refreshInterval:(display:Off,pause:!f,section:0,value:0),time:(from:'2017-03-01T14:49:05-0700',mode:absolute,to:'2017-03-01T17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5" s="187" t="str">
        <f t="shared" si="53"/>
        <v>N</v>
      </c>
      <c r="X185" s="187">
        <f t="shared" si="65"/>
        <v>1</v>
      </c>
      <c r="Y185" s="62">
        <f t="shared" si="54"/>
        <v>9.0899999999999995E-2</v>
      </c>
      <c r="Z185" s="62">
        <f t="shared" si="66"/>
        <v>5.8914</v>
      </c>
      <c r="AA185" s="62">
        <f t="shared" si="55"/>
        <v>5.8004999999999995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6"/>
        <v>0827-01</v>
      </c>
      <c r="AE185" s="85" t="str">
        <f t="shared" si="57"/>
        <v>aws s3 cp s3://rtdc.mdm.uploadarchive.raw/RTDC4014/ "%USERPROFILE%\AppData\Local\Temp\OnboardLogs"\RTDC4014\2017-03-01 --exclude "*" --recursive --include "*20170301*" &amp; "%USERPROFILE%\Documents\GitHub\mrs-test-scripts\Headless Mode &amp; Sideloading\WalkAndUnGZ.bat" "%USERPROFILE%\AppData\Local\Temp\OnboardLogs"\RTDC4014\2017-03-01 &amp; 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</v>
      </c>
      <c r="AF185" s="82" t="str">
        <f t="shared" si="58"/>
        <v>"C:\Program Files (x86)\AstroGrep\AstroGrep.exe" /spath="%USERPROFILE%\AppData\Local\Temp\OnboardLogs" /stypes="app*4014*20170301*" /stext=" 23:.+((SYSTEM_STATE.+slice.+state.+changed )|(ment ac)|(multiple cpu faults)|(system.+state.+changed )|(\[timeout)|(PRM\|1\|D)|(kpr)|(kdp)|(\|lc)|(penalty))" /e /r /s</v>
      </c>
      <c r="AG185" s="1" t="str">
        <f t="shared" si="59"/>
        <v>NW</v>
      </c>
      <c r="AH185" s="86" t="str">
        <f t="shared" si="60"/>
        <v>"%USERPROFILE%\Documents\GitHub\eaglep3\Utilities\RefineRTDCRunTimes.py" --tripid 827-01 --locoid 4014 --swversion DE.1.0.9.0 --startMP 204:909 --initTime 2017-03-01T15:49:05 --startdatetime 2017-03-01T15:51:21 --delay 1 --endMP 300:58914 --enddatetime 2017-03-01T16:05:28 --enforcementcount 0 &gt;&gt;C:\Users\stu\Documents\GitHub\eaglep3-reporting\EC\2017-03-01-refined-times.txt</v>
      </c>
      <c r="AI185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{"issue":{"subject":"","project_id":79,"tracker_id":40,"status_id":1,"priority_id":2,"assigned_to_id":23,"start_date":"2017-03-01","description":"","custom_fields":[{"id":1,"name":"Subdivision","value":"NW"},{"id":4,"name":"Milepost","value":"5.8914"},{"id":17,"name":"Train ID","value":"827-01"},{"id":16,"name":"Locomotive ID","value":"4014"},{"id":130,"name":"Impact","value":""},{"id":150,"name":"Time of Event (Mountain Time)","value":"16:05:28"},{"id":151,"name":"Denver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2"/>
        <v>start /low /b %USERPROFILE%\Documents\GitHub\eaglep3\Utilities\DownloadLogsFromS3.py --loco 4014 --day 2017-03-01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"%USERPROFILE%\AppData\Local\Temp\OnboardLogs"\RTDC4014\*4014*20170301* | grep -SE "(Enforcement Action)|(\[TIMEOUT)|(CHR.+\|PRM\|1\|D.+(SWITCH|SIGNAL).+UNKNOWN)" - &gt;&gt; 2017-03-01-UncaughtWiMAX.txt</v>
      </c>
    </row>
    <row r="186" spans="1:40" x14ac:dyDescent="0.25">
      <c r="A186" s="33" t="s">
        <v>458</v>
      </c>
      <c r="B186" s="7">
        <v>4013</v>
      </c>
      <c r="C186" s="21" t="s">
        <v>266</v>
      </c>
      <c r="D186" s="21" t="s">
        <v>806</v>
      </c>
      <c r="E186" s="13">
        <v>42795.672372685185</v>
      </c>
      <c r="F186" s="13">
        <v>42795.673344907409</v>
      </c>
      <c r="G186" s="7">
        <v>1</v>
      </c>
      <c r="H186" s="21" t="s">
        <v>364</v>
      </c>
      <c r="I186" s="13">
        <v>42795.68482638889</v>
      </c>
      <c r="J186" s="7">
        <v>0</v>
      </c>
      <c r="K186" s="98" t="str">
        <f t="shared" si="48"/>
        <v>4013/4014</v>
      </c>
      <c r="L186" s="21" t="str">
        <f>VLOOKUP(A186,'Trips&amp;Operators'!$C$1:$G$99999,5,FALSE)</f>
        <v>CHANDLER KELVIN</v>
      </c>
      <c r="M186" s="6">
        <f t="shared" si="49"/>
        <v>1.1481481480586808E-2</v>
      </c>
      <c r="N186" s="7">
        <f t="shared" si="64"/>
        <v>16.533333332045004</v>
      </c>
      <c r="O186" s="7"/>
      <c r="P186" s="7"/>
      <c r="Q186" s="22"/>
      <c r="R186" s="22"/>
      <c r="S186" s="31">
        <f t="shared" si="50"/>
        <v>1</v>
      </c>
      <c r="T186" s="46" t="str">
        <f t="shared" si="51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2"/>
        <v>https://d0f6bd738d7f1b3e5a7ca70fe4ff75f0.us-east-1.aws.found.io/app/kibana#/discover/Steve-Slow-Train-Analysis-(2080s-and-2083s)?_g=(refreshInterval:(display:Off,pause:!f,section:0,value:0),time:(from:'2017-03-01T15:08:13-0700',mode:absolute,to:'2017-03-01T17:26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6" s="187" t="str">
        <f t="shared" si="53"/>
        <v>N</v>
      </c>
      <c r="X186" s="187">
        <f t="shared" si="65"/>
        <v>1</v>
      </c>
      <c r="Y186" s="62">
        <f t="shared" si="54"/>
        <v>5.8592000000000004</v>
      </c>
      <c r="Z186" s="62">
        <f t="shared" si="66"/>
        <v>6.5699999999999995E-2</v>
      </c>
      <c r="AA186" s="62">
        <f t="shared" si="55"/>
        <v>5.7935000000000008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6"/>
        <v>0828-01</v>
      </c>
      <c r="AE186" s="85" t="str">
        <f t="shared" si="57"/>
        <v>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 &amp; 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</v>
      </c>
      <c r="AF186" s="82" t="str">
        <f t="shared" si="58"/>
        <v>"C:\Program Files (x86)\AstroGrep\AstroGrep.exe" /spath="%USERPROFILE%\AppData\Local\Temp\OnboardLogs" /stypes="app*4013*20170301*" /stext=" 23:.+((SYSTEM_STATE.+slice.+state.+changed )|(ment ac)|(multiple cpu faults)|(system.+state.+changed )|(\[timeout)|(PRM\|1\|D)|(kpr)|(kdp)|(\|lc)|(penalty))" /e /r /s</v>
      </c>
      <c r="AG186" s="1" t="str">
        <f t="shared" si="59"/>
        <v>NW</v>
      </c>
      <c r="AH186" s="86" t="str">
        <f t="shared" si="60"/>
        <v>"%USERPROFILE%\Documents\GitHub\eaglep3\Utilities\RefineRTDCRunTimes.py" --tripid 828-01 --locoid 4013 --swversion DE.1.0.9.0 --startMP 300:58592 --initTime 2017-03-01T16:08:13 --startdatetime 2017-03-01T16:09:37 --delay 1 --endMP 204:657 --enddatetime 2017-03-01T16:26:09 --enforcementcount 0 &gt;&gt;C:\Users\stu\Documents\GitHub\eaglep3-reporting\EC\2017-03-01-refined-times.txt</v>
      </c>
      <c r="AI186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{"issue":{"subject":"","project_id":79,"tracker_id":40,"status_id":1,"priority_id":2,"assigned_to_id":23,"start_date":"2017-03-01","description":"","custom_fields":[{"id":1,"name":"Subdivision","value":"NW"},{"id":4,"name":"Milepost","value":"0.0657"},{"id":17,"name":"Train ID","value":"828-01"},{"id":16,"name":"Locomotive ID","value":"4013"},{"id":130,"name":"Impact","value":""},{"id":150,"name":"Time of Event (Mountain Time)","value":"16:26:09"},{"id":151,"name":"Denver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2"/>
        <v>start /low /b %USERPROFILE%\Documents\GitHub\eaglep3\Utilities\DownloadLogsFromS3.py --loco 4013 --day 2017-03-01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"%USERPROFILE%\AppData\Local\Temp\OnboardLogs"\RTDC4013\*4013*20170301* | grep -SE "(Enforcement Action)|(\[TIMEOUT)|(CHR.+\|PRM\|1\|D.+(SWITCH|SIGNAL).+UNKNOWN)" - &gt;&gt; 2017-03-01-UncaughtWiMAX.txt</v>
      </c>
    </row>
    <row r="187" spans="1:40" x14ac:dyDescent="0.25">
      <c r="A187" s="33" t="s">
        <v>459</v>
      </c>
      <c r="B187" s="7">
        <v>4025</v>
      </c>
      <c r="C187" s="21" t="s">
        <v>266</v>
      </c>
      <c r="D187" s="21" t="s">
        <v>784</v>
      </c>
      <c r="E187" s="13">
        <v>42795.677187499998</v>
      </c>
      <c r="F187" s="13">
        <v>42795.681458333333</v>
      </c>
      <c r="G187" s="7">
        <v>1</v>
      </c>
      <c r="H187" s="21" t="s">
        <v>304</v>
      </c>
      <c r="I187" s="13">
        <v>42795.690636574072</v>
      </c>
      <c r="J187" s="7">
        <v>0</v>
      </c>
      <c r="K187" s="98" t="str">
        <f t="shared" si="48"/>
        <v>4025/4026</v>
      </c>
      <c r="L187" s="21" t="str">
        <f>VLOOKUP(A187,'Trips&amp;Operators'!$C$1:$G$99999,5,FALSE)</f>
        <v>BRUDER RICHARD</v>
      </c>
      <c r="M187" s="6">
        <f t="shared" si="49"/>
        <v>9.1782407398568466E-3</v>
      </c>
      <c r="N187" s="7">
        <f t="shared" si="64"/>
        <v>13.216666665393859</v>
      </c>
      <c r="O187" s="7"/>
      <c r="P187" s="7"/>
      <c r="Q187" s="22"/>
      <c r="R187" s="22"/>
      <c r="S187" s="31">
        <f t="shared" si="50"/>
        <v>1</v>
      </c>
      <c r="T187" s="46" t="str">
        <f t="shared" si="51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2"/>
        <v>https://d0f6bd738d7f1b3e5a7ca70fe4ff75f0.us-east-1.aws.found.io/app/kibana#/discover/Steve-Slow-Train-Analysis-(2080s-and-2083s)?_g=(refreshInterval:(display:Off,pause:!f,section:0,value:0),time:(from:'2017-03-01T15:15:09-0700',mode:absolute,to:'2017-03-01T17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7" s="187" t="str">
        <f t="shared" si="53"/>
        <v>N</v>
      </c>
      <c r="X187" s="187">
        <f t="shared" si="65"/>
        <v>1</v>
      </c>
      <c r="Y187" s="62">
        <f t="shared" si="54"/>
        <v>9.7100000000000006E-2</v>
      </c>
      <c r="Z187" s="62">
        <f t="shared" si="66"/>
        <v>5.8935000000000004</v>
      </c>
      <c r="AA187" s="62">
        <f t="shared" si="55"/>
        <v>5.7964000000000002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6"/>
        <v>0829-01</v>
      </c>
      <c r="AE187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187" s="82" t="str">
        <f t="shared" si="58"/>
        <v>"C:\Program Files (x86)\AstroGrep\AstroGrep.exe" /spath="%USERPROFILE%\AppData\Local\Temp\OnboardLogs" /stypes="app*4025*20170301*" /stext=" 23:.+((SYSTEM_STATE.+slice.+state.+changed )|(ment ac)|(multiple cpu faults)|(system.+state.+changed )|(\[timeout)|(PRM\|1\|D)|(kpr)|(kdp)|(\|lc)|(penalty))" /e /r /s</v>
      </c>
      <c r="AG187" s="1" t="str">
        <f t="shared" si="59"/>
        <v>NW</v>
      </c>
      <c r="AH187" s="86" t="str">
        <f t="shared" si="60"/>
        <v>"%USERPROFILE%\Documents\GitHub\eaglep3\Utilities\RefineRTDCRunTimes.py" --tripid 829-01 --locoid 4025 --swversion DE.1.0.9.0 --startMP 204:971 --initTime 2017-03-01T16:15:09 --startdatetime 2017-03-01T16:21:18 --delay 1 --endMP 300:58935 --enddatetime 2017-03-01T16:34:31 --enforcementcount 0 &gt;&gt;C:\Users\stu\Documents\GitHub\eaglep3-reporting\EC\2017-03-01-refined-times.txt</v>
      </c>
      <c r="AI187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{"issue":{"subject":"","project_id":79,"tracker_id":40,"status_id":1,"priority_id":2,"assigned_to_id":23,"start_date":"2017-03-01","description":"","custom_fields":[{"id":1,"name":"Subdivision","value":"NW"},{"id":4,"name":"Milepost","value":"5.8935"},{"id":17,"name":"Train ID","value":"829-01"},{"id":16,"name":"Locomotive ID","value":"4025"},{"id":130,"name":"Impact","value":""},{"id":150,"name":"Time of Event (Mountain Time)","value":"16:34:31"},{"id":151,"name":"Denver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2"/>
        <v>start /low /b %USERPROFILE%\Documents\GitHub\eaglep3\Utilities\DownloadLogsFromS3.py --loco 4025 --day 2017-03-01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"%USERPROFILE%\AppData\Local\Temp\OnboardLogs"\RTDC4025\*4025*20170301* | grep -SE "(Enforcement Action)|(\[TIMEOUT)|(CHR.+\|PRM\|1\|D.+(SWITCH|SIGNAL).+UNKNOWN)" - &gt;&gt; 2017-03-01-UncaughtWiMAX.txt</v>
      </c>
    </row>
    <row r="188" spans="1:40" x14ac:dyDescent="0.25">
      <c r="A188" s="33" t="s">
        <v>605</v>
      </c>
      <c r="B188" s="7">
        <v>4026</v>
      </c>
      <c r="C188" s="21" t="s">
        <v>266</v>
      </c>
      <c r="D188" s="21" t="s">
        <v>807</v>
      </c>
      <c r="E188" s="13">
        <v>42795.692175925928</v>
      </c>
      <c r="F188" s="13">
        <v>42795.694178240738</v>
      </c>
      <c r="G188" s="7">
        <v>1</v>
      </c>
      <c r="H188" s="21" t="s">
        <v>792</v>
      </c>
      <c r="I188" s="13">
        <v>42795.705104166664</v>
      </c>
      <c r="J188" s="7">
        <v>0</v>
      </c>
      <c r="K188" s="98" t="str">
        <f t="shared" si="48"/>
        <v>4025/4026</v>
      </c>
      <c r="L188" s="21" t="str">
        <f>VLOOKUP(A188,'Trips&amp;Operators'!$C$1:$G$99999,5,FALSE)</f>
        <v>BRUDER RICHARD</v>
      </c>
      <c r="M188" s="6">
        <f t="shared" si="49"/>
        <v>1.0925925926130731E-2</v>
      </c>
      <c r="N188" s="7">
        <f t="shared" si="64"/>
        <v>15.733333333628252</v>
      </c>
      <c r="O188" s="7"/>
      <c r="P188" s="7"/>
      <c r="Q188" s="22"/>
      <c r="R188" s="22"/>
      <c r="S188" s="31">
        <f t="shared" si="50"/>
        <v>1</v>
      </c>
      <c r="T188" s="46" t="str">
        <f t="shared" si="51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2"/>
        <v>https://d0f6bd738d7f1b3e5a7ca70fe4ff75f0.us-east-1.aws.found.io/app/kibana#/discover/Steve-Slow-Train-Analysis-(2080s-and-2083s)?_g=(refreshInterval:(display:Off,pause:!f,section:0,value:0),time:(from:'2017-03-01T15:36:44-0700',mode:absolute,to:'2017-03-01T17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8" s="187" t="str">
        <f t="shared" si="53"/>
        <v>N</v>
      </c>
      <c r="X188" s="187">
        <f t="shared" si="65"/>
        <v>1</v>
      </c>
      <c r="Y188" s="62">
        <f t="shared" si="54"/>
        <v>5.8625999999999996</v>
      </c>
      <c r="Z188" s="62">
        <f t="shared" si="66"/>
        <v>6.7799999999999999E-2</v>
      </c>
      <c r="AA188" s="62">
        <f t="shared" si="55"/>
        <v>5.7947999999999995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6"/>
        <v>0830-01</v>
      </c>
      <c r="AE188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188" s="82" t="str">
        <f t="shared" si="58"/>
        <v>"C:\Program Files (x86)\AstroGrep\AstroGrep.exe" /spath="%USERPROFILE%\AppData\Local\Temp\OnboardLogs" /stypes="app*4026*20170301*" /stext=" 23:.+((SYSTEM_STATE.+slice.+state.+changed )|(ment ac)|(multiple cpu faults)|(system.+state.+changed )|(\[timeout)|(PRM\|1\|D)|(kpr)|(kdp)|(\|lc)|(penalty))" /e /r /s</v>
      </c>
      <c r="AG188" s="1" t="str">
        <f t="shared" si="59"/>
        <v>NW</v>
      </c>
      <c r="AH188" s="86" t="str">
        <f t="shared" si="60"/>
        <v>"%USERPROFILE%\Documents\GitHub\eaglep3\Utilities\RefineRTDCRunTimes.py" --tripid 830-01 --locoid 4026 --swversion DE.1.0.9.0 --startMP 300:58626 --initTime 2017-03-01T16:36:44 --startdatetime 2017-03-01T16:39:37 --delay 1 --endMP 204:678 --enddatetime 2017-03-01T16:55:21 --enforcementcount 0 &gt;&gt;C:\Users\stu\Documents\GitHub\eaglep3-reporting\EC\2017-03-01-refined-times.txt</v>
      </c>
      <c r="AI188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{"issue":{"subject":"","project_id":79,"tracker_id":40,"status_id":1,"priority_id":2,"assigned_to_id":23,"start_date":"2017-03-01","description":"","custom_fields":[{"id":1,"name":"Subdivision","value":"NW"},{"id":4,"name":"Milepost","value":"0.0678"},{"id":17,"name":"Train ID","value":"830-01"},{"id":16,"name":"Locomotive ID","value":"4026"},{"id":130,"name":"Impact","value":""},{"id":150,"name":"Time of Event (Mountain Time)","value":"16:55:21"},{"id":151,"name":"Denver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2"/>
        <v>start /low /b %USERPROFILE%\Documents\GitHub\eaglep3\Utilities\DownloadLogsFromS3.py --loco 4026 --day 2017-03-01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"%USERPROFILE%\AppData\Local\Temp\OnboardLogs"\RTDC4026\*4026*20170301* | grep -SE "(Enforcement Action)|(\[TIMEOUT)|(CHR.+\|PRM\|1\|D.+(SWITCH|SIGNAL).+UNKNOWN)" - &gt;&gt; 2017-03-01-UncaughtWiMAX.txt</v>
      </c>
    </row>
    <row r="189" spans="1:40" x14ac:dyDescent="0.25">
      <c r="A189" s="33" t="s">
        <v>608</v>
      </c>
      <c r="B189" s="7">
        <v>4014</v>
      </c>
      <c r="C189" s="21" t="s">
        <v>266</v>
      </c>
      <c r="D189" s="21" t="s">
        <v>808</v>
      </c>
      <c r="E189" s="13">
        <v>42795.70008101852</v>
      </c>
      <c r="F189" s="13">
        <v>42795.702384259261</v>
      </c>
      <c r="G189" s="7">
        <v>1</v>
      </c>
      <c r="H189" s="21" t="s">
        <v>809</v>
      </c>
      <c r="I189" s="13">
        <v>42795.712210648147</v>
      </c>
      <c r="J189" s="7">
        <v>0</v>
      </c>
      <c r="K189" s="98" t="str">
        <f t="shared" si="48"/>
        <v>4013/4014</v>
      </c>
      <c r="L189" s="21" t="str">
        <f>VLOOKUP(A189,'Trips&amp;Operators'!$C$1:$G$99999,5,FALSE)</f>
        <v>CHANDLER KELVIN</v>
      </c>
      <c r="M189" s="6">
        <f t="shared" si="49"/>
        <v>9.8263888867222704E-3</v>
      </c>
      <c r="N189" s="7">
        <f t="shared" si="64"/>
        <v>14.149999996880069</v>
      </c>
      <c r="O189" s="7"/>
      <c r="P189" s="7"/>
      <c r="Q189" s="22"/>
      <c r="R189" s="22"/>
      <c r="S189" s="31">
        <f t="shared" si="50"/>
        <v>1</v>
      </c>
      <c r="T189" s="46" t="str">
        <f t="shared" si="51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2"/>
        <v>https://d0f6bd738d7f1b3e5a7ca70fe4ff75f0.us-east-1.aws.found.io/app/kibana#/discover/Steve-Slow-Train-Analysis-(2080s-and-2083s)?_g=(refreshInterval:(display:Off,pause:!f,section:0,value:0),time:(from:'2017-03-01T15:48:07-0700',mode:absolute,to:'2017-03-01T18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9" s="187" t="str">
        <f t="shared" si="53"/>
        <v>N</v>
      </c>
      <c r="X189" s="187">
        <f t="shared" si="65"/>
        <v>1</v>
      </c>
      <c r="Y189" s="62">
        <f t="shared" si="54"/>
        <v>9.4399999999999998E-2</v>
      </c>
      <c r="Z189" s="62">
        <f t="shared" si="66"/>
        <v>5.8909000000000002</v>
      </c>
      <c r="AA189" s="62">
        <f t="shared" si="55"/>
        <v>5.7965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6"/>
        <v>0831-01</v>
      </c>
      <c r="AE189" s="85" t="str">
        <f t="shared" si="57"/>
        <v>aws s3 cp s3://rtdc.mdm.uploadarchive.raw/RTDC4014/ "%USERPROFILE%\AppData\Local\Temp\OnboardLogs"\RTDC4014\2017-03-01 --exclude "*" --recursive --include "*20170301*" &amp; "%USERPROFILE%\Documents\GitHub\mrs-test-scripts\Headless Mode &amp; Sideloading\WalkAndUnGZ.bat" "%USERPROFILE%\AppData\Local\Temp\OnboardLogs"\RTDC4014\2017-03-01 &amp; 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</v>
      </c>
      <c r="AF189" s="82" t="str">
        <f t="shared" si="58"/>
        <v>"C:\Program Files (x86)\AstroGrep\AstroGrep.exe" /spath="%USERPROFILE%\AppData\Local\Temp\OnboardLogs" /stypes="app*4014*20170302*" /stext=" 00:.+((SYSTEM_STATE.+slice.+state.+changed )|(ment ac)|(multiple cpu faults)|(system.+state.+changed )|(\[timeout)|(PRM\|1\|D)|(kpr)|(kdp)|(\|lc)|(penalty))" /e /r /s</v>
      </c>
      <c r="AG189" s="1" t="str">
        <f t="shared" si="59"/>
        <v>NW</v>
      </c>
      <c r="AH189" s="86" t="str">
        <f t="shared" si="60"/>
        <v>"%USERPROFILE%\Documents\GitHub\eaglep3\Utilities\RefineRTDCRunTimes.py" --tripid 831-01 --locoid 4014 --swversion DE.1.0.9.0 --startMP 204:944 --initTime 2017-03-01T16:48:07 --startdatetime 2017-03-01T16:51:26 --delay 1 --endMP 300:58909 --enddatetime 2017-03-01T17:05:35 --enforcementcount 0 &gt;&gt;C:\Users\stu\Documents\GitHub\eaglep3-reporting\EC\2017-03-01-refined-times.txt</v>
      </c>
      <c r="AI189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{"issue":{"subject":"","project_id":79,"tracker_id":40,"status_id":1,"priority_id":2,"assigned_to_id":23,"start_date":"2017-03-01","description":"","custom_fields":[{"id":1,"name":"Subdivision","value":"NW"},{"id":4,"name":"Milepost","value":"5.8909"},{"id":17,"name":"Train ID","value":"831-01"},{"id":16,"name":"Locomotive ID","value":"4014"},{"id":130,"name":"Impact","value":""},{"id":150,"name":"Time of Event (Mountain Time)","value":"17:05:35"},{"id":151,"name":"Denver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2"/>
        <v>start /low /b %USERPROFILE%\Documents\GitHub\eaglep3\Utilities\DownloadLogsFromS3.py --loco 4014 --day 2017-03-01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"%USERPROFILE%\AppData\Local\Temp\OnboardLogs"\RTDC4014\*4014*20170301* | grep -SE "(Enforcement Action)|(\[TIMEOUT)|(CHR.+\|PRM\|1\|D.+(SWITCH|SIGNAL).+UNKNOWN)" - &gt;&gt; 2017-03-01-UncaughtWiMAX.txt</v>
      </c>
    </row>
    <row r="190" spans="1:40" x14ac:dyDescent="0.25">
      <c r="A190" s="33" t="s">
        <v>462</v>
      </c>
      <c r="B190" s="7">
        <v>4013</v>
      </c>
      <c r="C190" s="21" t="s">
        <v>266</v>
      </c>
      <c r="D190" s="21" t="s">
        <v>810</v>
      </c>
      <c r="E190" s="13">
        <v>42795.714062500003</v>
      </c>
      <c r="F190" s="13">
        <v>42795.715057870373</v>
      </c>
      <c r="G190" s="7">
        <v>1</v>
      </c>
      <c r="H190" s="21" t="s">
        <v>367</v>
      </c>
      <c r="I190" s="13">
        <v>42795.727048611108</v>
      </c>
      <c r="J190" s="7">
        <v>0</v>
      </c>
      <c r="K190" s="98" t="str">
        <f t="shared" si="48"/>
        <v>4013/4014</v>
      </c>
      <c r="L190" s="21" t="str">
        <f>VLOOKUP(A190,'Trips&amp;Operators'!$C$1:$G$99999,5,FALSE)</f>
        <v>CHANDLER KELVIN</v>
      </c>
      <c r="M190" s="6">
        <f t="shared" si="49"/>
        <v>1.1990740735200234E-2</v>
      </c>
      <c r="N190" s="7">
        <f t="shared" si="64"/>
        <v>17.266666658688337</v>
      </c>
      <c r="O190" s="7"/>
      <c r="P190" s="7"/>
      <c r="Q190" s="22"/>
      <c r="R190" s="22"/>
      <c r="S190" s="31">
        <f t="shared" si="50"/>
        <v>1</v>
      </c>
      <c r="T190" s="46" t="str">
        <f t="shared" si="51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2"/>
        <v>https://d0f6bd738d7f1b3e5a7ca70fe4ff75f0.us-east-1.aws.found.io/app/kibana#/discover/Steve-Slow-Train-Analysis-(2080s-and-2083s)?_g=(refreshInterval:(display:Off,pause:!f,section:0,value:0),time:(from:'2017-03-01T16:08:15-0700',mode:absolute,to:'2017-03-01T18:26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0" s="187" t="str">
        <f t="shared" si="53"/>
        <v>N</v>
      </c>
      <c r="X190" s="187">
        <f t="shared" si="65"/>
        <v>1</v>
      </c>
      <c r="Y190" s="62">
        <f t="shared" si="54"/>
        <v>5.8593999999999999</v>
      </c>
      <c r="Z190" s="62">
        <f t="shared" si="66"/>
        <v>6.4500000000000002E-2</v>
      </c>
      <c r="AA190" s="62">
        <f t="shared" si="55"/>
        <v>5.7949000000000002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6"/>
        <v>0832-01</v>
      </c>
      <c r="AE190" s="85" t="str">
        <f t="shared" si="57"/>
        <v>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 &amp; 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</v>
      </c>
      <c r="AF190" s="82" t="str">
        <f t="shared" si="58"/>
        <v>"C:\Program Files (x86)\AstroGrep\AstroGrep.exe" /spath="%USERPROFILE%\AppData\Local\Temp\OnboardLogs" /stypes="app*4013*20170302*" /stext=" 00:.+((SYSTEM_STATE.+slice.+state.+changed )|(ment ac)|(multiple cpu faults)|(system.+state.+changed )|(\[timeout)|(PRM\|1\|D)|(kpr)|(kdp)|(\|lc)|(penalty))" /e /r /s</v>
      </c>
      <c r="AG190" s="1" t="str">
        <f t="shared" si="59"/>
        <v>NW</v>
      </c>
      <c r="AH190" s="86" t="str">
        <f t="shared" si="60"/>
        <v>"%USERPROFILE%\Documents\GitHub\eaglep3\Utilities\RefineRTDCRunTimes.py" --tripid 832-01 --locoid 4013 --swversion DE.1.0.9.0 --startMP 300:58594 --initTime 2017-03-01T17:08:15 --startdatetime 2017-03-01T17:09:41 --delay 1 --endMP 204:645 --enddatetime 2017-03-01T17:26:57 --enforcementcount 0 &gt;&gt;C:\Users\stu\Documents\GitHub\eaglep3-reporting\EC\2017-03-01-refined-times.txt</v>
      </c>
      <c r="AI190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{"issue":{"subject":"","project_id":79,"tracker_id":40,"status_id":1,"priority_id":2,"assigned_to_id":23,"start_date":"2017-03-01","description":"","custom_fields":[{"id":1,"name":"Subdivision","value":"NW"},{"id":4,"name":"Milepost","value":"0.0645"},{"id":17,"name":"Train ID","value":"832-01"},{"id":16,"name":"Locomotive ID","value":"4013"},{"id":130,"name":"Impact","value":""},{"id":150,"name":"Time of Event (Mountain Time)","value":"17:26:57"},{"id":151,"name":"Denver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2"/>
        <v>start /low /b %USERPROFILE%\Documents\GitHub\eaglep3\Utilities\DownloadLogsFromS3.py --loco 4013 --day 2017-03-01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"%USERPROFILE%\AppData\Local\Temp\OnboardLogs"\RTDC4013\*4013*20170302* | grep -SE "(Enforcement Action)|(\[TIMEOUT)|(CHR.+\|PRM\|1\|D.+(SWITCH|SIGNAL).+UNKNOWN)" - &gt;&gt; 2017-03-01-UncaughtWiMAX.txt</v>
      </c>
    </row>
    <row r="191" spans="1:40" x14ac:dyDescent="0.25">
      <c r="A191" s="33" t="s">
        <v>612</v>
      </c>
      <c r="B191" s="7">
        <v>4025</v>
      </c>
      <c r="C191" s="21" t="s">
        <v>266</v>
      </c>
      <c r="D191" s="21" t="s">
        <v>811</v>
      </c>
      <c r="E191" s="13">
        <v>42795.718530092592</v>
      </c>
      <c r="F191" s="13">
        <v>42795.723229166666</v>
      </c>
      <c r="G191" s="7">
        <v>1</v>
      </c>
      <c r="H191" s="21" t="s">
        <v>782</v>
      </c>
      <c r="I191" s="13">
        <v>42795.732812499999</v>
      </c>
      <c r="J191" s="7">
        <v>0</v>
      </c>
      <c r="K191" s="98" t="str">
        <f t="shared" si="48"/>
        <v>4025/4026</v>
      </c>
      <c r="L191" s="21" t="str">
        <f>VLOOKUP(A191,'Trips&amp;Operators'!$C$1:$G$99999,5,FALSE)</f>
        <v>BRUDER RICHARD</v>
      </c>
      <c r="M191" s="6">
        <f t="shared" si="49"/>
        <v>9.5833333325572312E-3</v>
      </c>
      <c r="N191" s="7">
        <f t="shared" si="64"/>
        <v>13.799999998882413</v>
      </c>
      <c r="O191" s="7"/>
      <c r="P191" s="7"/>
      <c r="Q191" s="22"/>
      <c r="R191" s="22"/>
      <c r="S191" s="31">
        <f t="shared" si="50"/>
        <v>1</v>
      </c>
      <c r="T191" s="46" t="str">
        <f t="shared" si="51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2"/>
        <v>https://d0f6bd738d7f1b3e5a7ca70fe4ff75f0.us-east-1.aws.found.io/app/kibana#/discover/Steve-Slow-Train-Analysis-(2080s-and-2083s)?_g=(refreshInterval:(display:Off,pause:!f,section:0,value:0),time:(from:'2017-03-01T16:14:41-0700',mode:absolute,to:'2017-03-01T18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1" s="187" t="str">
        <f t="shared" si="53"/>
        <v>N</v>
      </c>
      <c r="X191" s="187">
        <f t="shared" si="65"/>
        <v>1</v>
      </c>
      <c r="Y191" s="62">
        <f t="shared" si="54"/>
        <v>9.6500000000000002E-2</v>
      </c>
      <c r="Z191" s="62">
        <f t="shared" si="66"/>
        <v>5.8939000000000004</v>
      </c>
      <c r="AA191" s="62">
        <f t="shared" si="55"/>
        <v>5.7974000000000006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6"/>
        <v>0833-01</v>
      </c>
      <c r="AE191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191" s="82" t="str">
        <f t="shared" si="58"/>
        <v>"C:\Program Files (x86)\AstroGrep\AstroGrep.exe" /spath="%USERPROFILE%\AppData\Local\Temp\OnboardLogs" /stypes="app*4025*20170302*" /stext=" 00:.+((SYSTEM_STATE.+slice.+state.+changed )|(ment ac)|(multiple cpu faults)|(system.+state.+changed )|(\[timeout)|(PRM\|1\|D)|(kpr)|(kdp)|(\|lc)|(penalty))" /e /r /s</v>
      </c>
      <c r="AG191" s="1" t="str">
        <f t="shared" si="59"/>
        <v>NW</v>
      </c>
      <c r="AH191" s="86" t="str">
        <f t="shared" si="60"/>
        <v>"%USERPROFILE%\Documents\GitHub\eaglep3\Utilities\RefineRTDCRunTimes.py" --tripid 833-01 --locoid 4025 --swversion DE.1.0.9.0 --startMP 204:965 --initTime 2017-03-01T17:14:41 --startdatetime 2017-03-01T17:21:27 --delay 1 --endMP 300:58939 --enddatetime 2017-03-01T17:35:15 --enforcementcount 0 &gt;&gt;C:\Users\stu\Documents\GitHub\eaglep3-reporting\EC\2017-03-01-refined-times.txt</v>
      </c>
      <c r="AI191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{"issue":{"subject":"","project_id":79,"tracker_id":40,"status_id":1,"priority_id":2,"assigned_to_id":23,"start_date":"2017-03-01","description":"","custom_fields":[{"id":1,"name":"Subdivision","value":"NW"},{"id":4,"name":"Milepost","value":"5.8939"},{"id":17,"name":"Train ID","value":"833-01"},{"id":16,"name":"Locomotive ID","value":"4025"},{"id":130,"name":"Impact","value":""},{"id":150,"name":"Time of Event (Mountain Time)","value":"17:35:15"},{"id":151,"name":"Denver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2"/>
        <v>start /low /b %USERPROFILE%\Documents\GitHub\eaglep3\Utilities\DownloadLogsFromS3.py --loco 4025 --day 2017-03-01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"%USERPROFILE%\AppData\Local\Temp\OnboardLogs"\RTDC4025\*4025*20170302* | grep -SE "(Enforcement Action)|(\[TIMEOUT)|(CHR.+\|PRM\|1\|D.+(SWITCH|SIGNAL).+UNKNOWN)" - &gt;&gt; 2017-03-01-UncaughtWiMAX.txt</v>
      </c>
    </row>
    <row r="192" spans="1:40" x14ac:dyDescent="0.25">
      <c r="A192" s="33" t="s">
        <v>617</v>
      </c>
      <c r="B192" s="7">
        <v>4026</v>
      </c>
      <c r="C192" s="21" t="s">
        <v>266</v>
      </c>
      <c r="D192" s="21" t="s">
        <v>773</v>
      </c>
      <c r="E192" s="13">
        <v>42795.734016203707</v>
      </c>
      <c r="F192" s="13">
        <v>42795.736157407409</v>
      </c>
      <c r="G192" s="7">
        <v>1</v>
      </c>
      <c r="H192" s="21" t="s">
        <v>421</v>
      </c>
      <c r="I192" s="13">
        <v>42795.746828703705</v>
      </c>
      <c r="J192" s="7">
        <v>0</v>
      </c>
      <c r="K192" s="98" t="str">
        <f t="shared" si="48"/>
        <v>4025/4026</v>
      </c>
      <c r="L192" s="21" t="str">
        <f>VLOOKUP(A192,'Trips&amp;Operators'!$C$1:$G$99999,5,FALSE)</f>
        <v>BRUDER RICHARD</v>
      </c>
      <c r="M192" s="6">
        <f t="shared" si="49"/>
        <v>1.0671296295186039E-2</v>
      </c>
      <c r="N192" s="7">
        <f t="shared" si="64"/>
        <v>15.366666665067896</v>
      </c>
      <c r="O192" s="7"/>
      <c r="P192" s="7"/>
      <c r="Q192" s="22"/>
      <c r="R192" s="22"/>
      <c r="S192" s="31">
        <f t="shared" si="50"/>
        <v>1</v>
      </c>
      <c r="T192" s="46" t="str">
        <f t="shared" si="51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2"/>
        <v>https://d0f6bd738d7f1b3e5a7ca70fe4ff75f0.us-east-1.aws.found.io/app/kibana#/discover/Steve-Slow-Train-Analysis-(2080s-and-2083s)?_g=(refreshInterval:(display:Off,pause:!f,section:0,value:0),time:(from:'2017-03-01T16:36:59-0700',mode:absolute,to:'2017-03-01T18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2" s="187" t="str">
        <f t="shared" si="53"/>
        <v>N</v>
      </c>
      <c r="X192" s="187">
        <f t="shared" si="65"/>
        <v>1</v>
      </c>
      <c r="Y192" s="62">
        <f t="shared" si="54"/>
        <v>5.8616999999999999</v>
      </c>
      <c r="Z192" s="62">
        <f t="shared" si="66"/>
        <v>6.8699999999999997E-2</v>
      </c>
      <c r="AA192" s="62">
        <f t="shared" si="55"/>
        <v>5.7930000000000001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6"/>
        <v>0834-01</v>
      </c>
      <c r="AE192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192" s="82" t="str">
        <f t="shared" si="58"/>
        <v>"C:\Program Files (x86)\AstroGrep\AstroGrep.exe" /spath="%USERPROFILE%\AppData\Local\Temp\OnboardLogs" /stypes="app*4026*20170302*" /stext=" 00:.+((SYSTEM_STATE.+slice.+state.+changed )|(ment ac)|(multiple cpu faults)|(system.+state.+changed )|(\[timeout)|(PRM\|1\|D)|(kpr)|(kdp)|(\|lc)|(penalty))" /e /r /s</v>
      </c>
      <c r="AG192" s="1" t="str">
        <f t="shared" si="59"/>
        <v>NW</v>
      </c>
      <c r="AH192" s="86" t="str">
        <f t="shared" si="60"/>
        <v>"%USERPROFILE%\Documents\GitHub\eaglep3\Utilities\RefineRTDCRunTimes.py" --tripid 834-01 --locoid 4026 --swversion DE.1.0.9.0 --startMP 300:58617 --initTime 2017-03-01T17:36:59 --startdatetime 2017-03-01T17:40:04 --delay 1 --endMP 204:687 --enddatetime 2017-03-01T17:55:26 --enforcementcount 0 &gt;&gt;C:\Users\stu\Documents\GitHub\eaglep3-reporting\EC\2017-03-01-refined-times.txt</v>
      </c>
      <c r="AI192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{"issue":{"subject":"","project_id":79,"tracker_id":40,"status_id":1,"priority_id":2,"assigned_to_id":23,"start_date":"2017-03-01","description":"","custom_fields":[{"id":1,"name":"Subdivision","value":"NW"},{"id":4,"name":"Milepost","value":"0.0687"},{"id":17,"name":"Train ID","value":"834-01"},{"id":16,"name":"Locomotive ID","value":"4026"},{"id":130,"name":"Impact","value":""},{"id":150,"name":"Time of Event (Mountain Time)","value":"17:55:26"},{"id":151,"name":"Denver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2"/>
        <v>start /low /b %USERPROFILE%\Documents\GitHub\eaglep3\Utilities\DownloadLogsFromS3.py --loco 4026 --day 2017-03-01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"%USERPROFILE%\AppData\Local\Temp\OnboardLogs"\RTDC4026\*4026*20170302* | grep -SE "(Enforcement Action)|(\[TIMEOUT)|(CHR.+\|PRM\|1\|D.+(SWITCH|SIGNAL).+UNKNOWN)" - &gt;&gt; 2017-03-01-UncaughtWiMAX.txt</v>
      </c>
    </row>
    <row r="193" spans="1:40" x14ac:dyDescent="0.25">
      <c r="A193" s="33" t="s">
        <v>619</v>
      </c>
      <c r="B193" s="7">
        <v>4014</v>
      </c>
      <c r="C193" s="21" t="s">
        <v>266</v>
      </c>
      <c r="D193" s="21" t="s">
        <v>812</v>
      </c>
      <c r="E193" s="13">
        <v>42795.741354166668</v>
      </c>
      <c r="F193" s="13">
        <v>42795.744004629632</v>
      </c>
      <c r="G193" s="7">
        <v>1</v>
      </c>
      <c r="H193" s="21" t="s">
        <v>813</v>
      </c>
      <c r="I193" s="13">
        <v>42795.754305555558</v>
      </c>
      <c r="J193" s="7">
        <v>0</v>
      </c>
      <c r="K193" s="98" t="str">
        <f t="shared" si="48"/>
        <v>4013/4014</v>
      </c>
      <c r="L193" s="21" t="str">
        <f>VLOOKUP(A193,'Trips&amp;Operators'!$C$1:$G$99999,5,FALSE)</f>
        <v>CHANDLER KELVIN</v>
      </c>
      <c r="M193" s="6">
        <f t="shared" si="49"/>
        <v>1.0300925925548654E-2</v>
      </c>
      <c r="N193" s="7">
        <f t="shared" si="64"/>
        <v>14.833333332790062</v>
      </c>
      <c r="O193" s="7"/>
      <c r="P193" s="7"/>
      <c r="Q193" s="22"/>
      <c r="R193" s="22"/>
      <c r="S193" s="31">
        <f t="shared" si="50"/>
        <v>1</v>
      </c>
      <c r="T193" s="46" t="str">
        <f t="shared" si="51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2"/>
        <v>https://d0f6bd738d7f1b3e5a7ca70fe4ff75f0.us-east-1.aws.found.io/app/kibana#/discover/Steve-Slow-Train-Analysis-(2080s-and-2083s)?_g=(refreshInterval:(display:Off,pause:!f,section:0,value:0),time:(from:'2017-03-01T16:47:33-0700',mode:absolute,to:'2017-03-01T19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3" s="187" t="str">
        <f t="shared" si="53"/>
        <v>N</v>
      </c>
      <c r="X193" s="187">
        <f t="shared" si="65"/>
        <v>1</v>
      </c>
      <c r="Y193" s="62">
        <f t="shared" si="54"/>
        <v>9.2700000000000005E-2</v>
      </c>
      <c r="Z193" s="62">
        <f t="shared" si="66"/>
        <v>5.8905000000000003</v>
      </c>
      <c r="AA193" s="62">
        <f t="shared" si="55"/>
        <v>5.7978000000000005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6"/>
        <v>0835-01</v>
      </c>
      <c r="AE193" s="85" t="str">
        <f t="shared" si="57"/>
        <v>aws s3 cp s3://rtdc.mdm.uploadarchive.raw/RTDC4014/ "%USERPROFILE%\AppData\Local\Temp\OnboardLogs"\RTDC4014\2017-03-01 --exclude "*" --recursive --include "*20170301*" &amp; "%USERPROFILE%\Documents\GitHub\mrs-test-scripts\Headless Mode &amp; Sideloading\WalkAndUnGZ.bat" "%USERPROFILE%\AppData\Local\Temp\OnboardLogs"\RTDC4014\2017-03-01 &amp; 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</v>
      </c>
      <c r="AF193" s="82" t="str">
        <f t="shared" si="58"/>
        <v>"C:\Program Files (x86)\AstroGrep\AstroGrep.exe" /spath="%USERPROFILE%\AppData\Local\Temp\OnboardLogs" /stypes="app*4014*20170302*" /stext=" 01:.+((SYSTEM_STATE.+slice.+state.+changed )|(ment ac)|(multiple cpu faults)|(system.+state.+changed )|(\[timeout)|(PRM\|1\|D)|(kpr)|(kdp)|(\|lc)|(penalty))" /e /r /s</v>
      </c>
      <c r="AG193" s="1" t="str">
        <f t="shared" si="59"/>
        <v>NW</v>
      </c>
      <c r="AH193" s="86" t="str">
        <f t="shared" si="60"/>
        <v>"%USERPROFILE%\Documents\GitHub\eaglep3\Utilities\RefineRTDCRunTimes.py" --tripid 835-01 --locoid 4014 --swversion DE.1.0.9.0 --startMP 204:927 --initTime 2017-03-01T17:47:33 --startdatetime 2017-03-01T17:51:22 --delay 1 --endMP 300:58905 --enddatetime 2017-03-01T18:06:12 --enforcementcount 0 &gt;&gt;C:\Users\stu\Documents\GitHub\eaglep3-reporting\EC\2017-03-01-refined-times.txt</v>
      </c>
      <c r="AI193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{"issue":{"subject":"","project_id":79,"tracker_id":40,"status_id":1,"priority_id":2,"assigned_to_id":23,"start_date":"2017-03-01","description":"","custom_fields":[{"id":1,"name":"Subdivision","value":"NW"},{"id":4,"name":"Milepost","value":"5.8905"},{"id":17,"name":"Train ID","value":"835-01"},{"id":16,"name":"Locomotive ID","value":"4014"},{"id":130,"name":"Impact","value":""},{"id":150,"name":"Time of Event (Mountain Time)","value":"18:06:12"},{"id":151,"name":"Denver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2"/>
        <v>start /low /b %USERPROFILE%\Documents\GitHub\eaglep3\Utilities\DownloadLogsFromS3.py --loco 4014 --day 2017-03-01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"%USERPROFILE%\AppData\Local\Temp\OnboardLogs"\RTDC4014\*4014*20170302* | grep -SE "(Enforcement Action)|(\[TIMEOUT)|(CHR.+\|PRM\|1\|D.+(SWITCH|SIGNAL).+UNKNOWN)" - &gt;&gt; 2017-03-01-UncaughtWiMAX.txt</v>
      </c>
    </row>
    <row r="194" spans="1:40" x14ac:dyDescent="0.25">
      <c r="A194" s="33" t="s">
        <v>464</v>
      </c>
      <c r="B194" s="7">
        <v>4013</v>
      </c>
      <c r="C194" s="21" t="s">
        <v>266</v>
      </c>
      <c r="D194" s="21" t="s">
        <v>814</v>
      </c>
      <c r="E194" s="13">
        <v>42795.764108796298</v>
      </c>
      <c r="F194" s="13">
        <v>42795.764641203707</v>
      </c>
      <c r="G194" s="7">
        <v>0</v>
      </c>
      <c r="H194" s="21" t="s">
        <v>797</v>
      </c>
      <c r="I194" s="13">
        <v>42795.772326388891</v>
      </c>
      <c r="J194" s="7">
        <v>1</v>
      </c>
      <c r="K194" s="98" t="str">
        <f t="shared" si="48"/>
        <v>4013/4014</v>
      </c>
      <c r="L194" s="21" t="str">
        <f>VLOOKUP(A194,'Trips&amp;Operators'!$C$1:$G$99999,5,FALSE)</f>
        <v>CHANDLER KELVIN</v>
      </c>
      <c r="M194" s="6">
        <f t="shared" si="49"/>
        <v>7.6851851845276542E-3</v>
      </c>
      <c r="N194" s="7"/>
      <c r="O194" s="7"/>
      <c r="P194" s="7">
        <f>24*60*SUM($M194:$M195)</f>
        <v>13.316666667815298</v>
      </c>
      <c r="Q194" s="22"/>
      <c r="R194" s="22" t="s">
        <v>427</v>
      </c>
      <c r="S194" s="31">
        <f t="shared" si="50"/>
        <v>1</v>
      </c>
      <c r="T194" s="46" t="str">
        <f t="shared" si="51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2"/>
        <v>https://d0f6bd738d7f1b3e5a7ca70fe4ff75f0.us-east-1.aws.found.io/app/kibana#/discover/Steve-Slow-Train-Analysis-(2080s-and-2083s)?_g=(refreshInterval:(display:Off,pause:!f,section:0,value:0),time:(from:'2017-03-01T17:20:19-0700',mode:absolute,to:'2017-03-01T19:32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4" s="187" t="str">
        <f t="shared" si="53"/>
        <v>Y</v>
      </c>
      <c r="X194" s="187">
        <f t="shared" si="65"/>
        <v>1</v>
      </c>
      <c r="Y194" s="62">
        <f t="shared" si="54"/>
        <v>4.0110000000000001</v>
      </c>
      <c r="Z194" s="62">
        <f t="shared" si="66"/>
        <v>6.7500000000000004E-2</v>
      </c>
      <c r="AA194" s="62">
        <f t="shared" si="55"/>
        <v>3.9435000000000002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6"/>
        <v>0836-01</v>
      </c>
      <c r="AE194" s="85" t="str">
        <f t="shared" si="57"/>
        <v>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 &amp; 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</v>
      </c>
      <c r="AF194" s="82" t="str">
        <f t="shared" si="58"/>
        <v>"C:\Program Files (x86)\AstroGrep\AstroGrep.exe" /spath="%USERPROFILE%\AppData\Local\Temp\OnboardLogs" /stypes="app*4013*20170302*" /stext=" 01:.+((SYSTEM_STATE.+slice.+state.+changed )|(ment ac)|(multiple cpu faults)|(system.+state.+changed )|(\[timeout)|(PRM\|1\|D)|(kpr)|(kdp)|(\|lc)|(penalty))" /e /r /s</v>
      </c>
      <c r="AG194" s="1" t="str">
        <f t="shared" si="59"/>
        <v>NW</v>
      </c>
      <c r="AH194" s="86" t="str">
        <f t="shared" si="60"/>
        <v>"%USERPROFILE%\Documents\GitHub\eaglep3\Utilities\RefineRTDCRunTimes.py" --tripid 836-01 --locoid 4013 --swversion DE.1.0.9.0 --startMP 300:40110 --initTime 2017-03-01T18:20:19 --startdatetime 2017-03-01T18:21:05 --delay 0 --endMP 204:675 --enddatetime 2017-03-01T18:32:09 --enforcementcount 1 &gt;&gt;C:\Users\stu\Documents\GitHub\eaglep3-reporting\EC\2017-03-01-refined-times.txt</v>
      </c>
      <c r="AI194" s="108" t="str">
        <f t="shared" si="61"/>
        <v>echo {"issue":{"subject":"Onboard in-route failure","project_id":79,"tracker_id":40,"status_id":1,"priority_id":2,"assigned_to_id":23,"start_date":"2017-03-01","description":"","custom_fields":[{"id":1,"name":"Subdivision","value":"NW"},{"id":4,"name":"Milepost","value":"0.0675"},{"id":17,"name":"Train ID","value":"836-01"},{"id":16,"name":"Locomotive ID","value":"4013"},{"id":130,"name":"Impact","value":""},{"id":150,"name":"Time of Event (Mountain Time)","value":"18:32:09"},{"id":151,"name":"Denver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2"/>
        <v>start /low /b %USERPROFILE%\Documents\GitHub\eaglep3\Utilities\DownloadLogsFromS3.py --loco 4013 --day 2017-03-01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"%USERPROFILE%\AppData\Local\Temp\OnboardLogs"\RTDC4013\*4013*20170302* | grep -SE "(Enforcement Action)|(\[TIMEOUT)|(CHR.+\|PRM\|1\|D.+(SWITCH|SIGNAL).+UNKNOWN)" - &gt;&gt; 2017-03-01-UncaughtWiMAX.txt</v>
      </c>
    </row>
    <row r="195" spans="1:40" x14ac:dyDescent="0.25">
      <c r="A195" s="33" t="s">
        <v>464</v>
      </c>
      <c r="B195" s="7">
        <v>4013</v>
      </c>
      <c r="C195" s="21" t="s">
        <v>266</v>
      </c>
      <c r="D195" s="21" t="s">
        <v>810</v>
      </c>
      <c r="E195" s="13">
        <v>42795.757835648146</v>
      </c>
      <c r="F195" s="13">
        <v>42795.75886574074</v>
      </c>
      <c r="G195" s="7">
        <v>1</v>
      </c>
      <c r="H195" s="21" t="s">
        <v>815</v>
      </c>
      <c r="I195" s="13">
        <v>42795.760428240741</v>
      </c>
      <c r="J195" s="7">
        <v>3</v>
      </c>
      <c r="K195" s="98" t="str">
        <f t="shared" si="48"/>
        <v>4013/4014</v>
      </c>
      <c r="L195" s="21" t="str">
        <f>VLOOKUP(A195,'Trips&amp;Operators'!$C$1:$G$99999,5,FALSE)</f>
        <v>CHANDLER KELVIN</v>
      </c>
      <c r="M195" s="6">
        <f t="shared" si="49"/>
        <v>1.5625000014551915E-3</v>
      </c>
      <c r="N195" s="7"/>
      <c r="O195" s="7"/>
      <c r="P195" s="7"/>
      <c r="Q195" s="22"/>
      <c r="R195" s="22"/>
      <c r="S195" s="31"/>
      <c r="T195" s="46" t="str">
        <f t="shared" si="51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186" t="str">
        <f t="shared" si="52"/>
        <v>https://d0f6bd738d7f1b3e5a7ca70fe4ff75f0.us-east-1.aws.found.io/app/kibana#/discover/Steve-Slow-Train-Analysis-(2080s-and-2083s)?_g=(refreshInterval:(display:Off,pause:!f,section:0,value:0),time:(from:'2017-03-01T17:11:17-0700',mode:absolute,to:'2017-03-01T19:15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5" s="187" t="str">
        <f t="shared" si="53"/>
        <v>Y</v>
      </c>
      <c r="X195" s="187">
        <f t="shared" si="65"/>
        <v>0</v>
      </c>
      <c r="Y195" s="62">
        <f t="shared" si="54"/>
        <v>5.8593999999999999</v>
      </c>
      <c r="Z195" s="62">
        <f t="shared" si="66"/>
        <v>5.7815000000000003</v>
      </c>
      <c r="AA195" s="62">
        <f t="shared" si="55"/>
        <v>7.7899999999999636E-2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6"/>
        <v>0836-01</v>
      </c>
      <c r="AE195" s="85" t="str">
        <f t="shared" si="57"/>
        <v>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 &amp; 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</v>
      </c>
      <c r="AF195" s="82" t="str">
        <f t="shared" si="58"/>
        <v>"C:\Program Files (x86)\AstroGrep\AstroGrep.exe" /spath="%USERPROFILE%\AppData\Local\Temp\OnboardLogs" /stypes="app*4013*20170302*" /stext=" 01:.+((SYSTEM_STATE.+slice.+state.+changed )|(ment ac)|(multiple cpu faults)|(system.+state.+changed )|(\[timeout)|(PRM\|1\|D)|(kpr)|(kdp)|(\|lc)|(penalty))" /e /r /s</v>
      </c>
      <c r="AG195" s="1" t="str">
        <f t="shared" si="59"/>
        <v>NW</v>
      </c>
      <c r="AH195" s="86" t="str">
        <f t="shared" si="60"/>
        <v>"%USERPROFILE%\Documents\GitHub\eaglep3\Utilities\RefineRTDCRunTimes.py" --tripid 836-01 --locoid 4013 --swversion DE.1.0.9.0 --startMP 300:58594 --initTime 2017-03-01T18:11:17 --startdatetime 2017-03-01T18:12:46 --delay 1 --endMP 300:57815 --enddatetime 2017-03-01T18:15:01 --enforcementcount 3 &gt;&gt;C:\Users\stu\Documents\GitHub\eaglep3-reporting\EC\2017-03-01-refined-times.txt</v>
      </c>
      <c r="AI195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{"issue":{"subject":"","project_id":79,"tracker_id":40,"status_id":1,"priority_id":2,"assigned_to_id":23,"start_date":"2017-03-01","description":"","custom_fields":[{"id":1,"name":"Subdivision","value":"NW"},{"id":4,"name":"Milepost","value":"5.7815"},{"id":17,"name":"Train ID","value":"836-01"},{"id":16,"name":"Locomotive ID","value":"4013"},{"id":130,"name":"Impact","value":""},{"id":150,"name":"Time of Event (Mountain Time)","value":"18:15:01"},{"id":151,"name":"Denver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2"/>
        <v>start /low /b %USERPROFILE%\Documents\GitHub\eaglep3\Utilities\DownloadLogsFromS3.py --loco 4013 --day 2017-03-01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"%USERPROFILE%\AppData\Local\Temp\OnboardLogs"\RTDC4013\*4013*20170302* | grep -SE "(Enforcement Action)|(\[TIMEOUT)|(CHR.+\|PRM\|1\|D.+(SWITCH|SIGNAL).+UNKNOWN)" - &gt;&gt; 2017-03-01-UncaughtWiMAX.txt</v>
      </c>
    </row>
    <row r="196" spans="1:40" x14ac:dyDescent="0.25">
      <c r="A196" s="33" t="s">
        <v>627</v>
      </c>
      <c r="B196" s="7">
        <v>4025</v>
      </c>
      <c r="C196" s="21" t="s">
        <v>266</v>
      </c>
      <c r="D196" s="21" t="s">
        <v>816</v>
      </c>
      <c r="E196" s="13">
        <v>42795.762002314812</v>
      </c>
      <c r="F196" s="13">
        <v>42795.764768518522</v>
      </c>
      <c r="G196" s="7">
        <v>1</v>
      </c>
      <c r="H196" s="21" t="s">
        <v>320</v>
      </c>
      <c r="I196" s="13">
        <v>42795.77443287037</v>
      </c>
      <c r="J196" s="7">
        <v>0</v>
      </c>
      <c r="K196" s="98" t="str">
        <f t="shared" si="48"/>
        <v>4025/4026</v>
      </c>
      <c r="L196" s="21" t="str">
        <f>VLOOKUP(A196,'Trips&amp;Operators'!$C$1:$G$99999,5,FALSE)</f>
        <v>BRUDER RICHARD</v>
      </c>
      <c r="M196" s="6">
        <f t="shared" si="49"/>
        <v>9.6643518481869251E-3</v>
      </c>
      <c r="N196" s="7">
        <f t="shared" ref="N196:N238" si="67">24*60*SUM($M196:$M196)</f>
        <v>13.916666661389172</v>
      </c>
      <c r="O196" s="7"/>
      <c r="P196" s="7"/>
      <c r="Q196" s="22"/>
      <c r="R196" s="22"/>
      <c r="S196" s="31">
        <f t="shared" si="50"/>
        <v>1</v>
      </c>
      <c r="T196" s="46" t="str">
        <f t="shared" si="51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2"/>
        <v>https://d0f6bd738d7f1b3e5a7ca70fe4ff75f0.us-east-1.aws.found.io/app/kibana#/discover/Steve-Slow-Train-Analysis-(2080s-and-2083s)?_g=(refreshInterval:(display:Off,pause:!f,section:0,value:0),time:(from:'2017-03-01T17:17:17-0700',mode:absolute,to:'2017-03-01T19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6" s="187" t="str">
        <f t="shared" si="53"/>
        <v>N</v>
      </c>
      <c r="X196" s="187">
        <f t="shared" si="65"/>
        <v>1</v>
      </c>
      <c r="Y196" s="62">
        <f t="shared" si="54"/>
        <v>9.7799999999999998E-2</v>
      </c>
      <c r="Z196" s="62">
        <f t="shared" si="66"/>
        <v>5.8933</v>
      </c>
      <c r="AA196" s="62">
        <f t="shared" si="55"/>
        <v>5.7954999999999997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6"/>
        <v>0837-01</v>
      </c>
      <c r="AE196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196" s="82" t="str">
        <f t="shared" si="58"/>
        <v>"C:\Program Files (x86)\AstroGrep\AstroGrep.exe" /spath="%USERPROFILE%\AppData\Local\Temp\OnboardLogs" /stypes="app*4025*20170302*" /stext=" 01:.+((SYSTEM_STATE.+slice.+state.+changed )|(ment ac)|(multiple cpu faults)|(system.+state.+changed )|(\[timeout)|(PRM\|1\|D)|(kpr)|(kdp)|(\|lc)|(penalty))" /e /r /s</v>
      </c>
      <c r="AG196" s="1" t="str">
        <f t="shared" si="59"/>
        <v>NW</v>
      </c>
      <c r="AH196" s="86" t="str">
        <f t="shared" si="60"/>
        <v>"%USERPROFILE%\Documents\GitHub\eaglep3\Utilities\RefineRTDCRunTimes.py" --tripid 837-01 --locoid 4025 --swversion DE.1.0.9.0 --startMP 204:978 --initTime 2017-03-01T18:17:17 --startdatetime 2017-03-01T18:21:16 --delay 1 --endMP 300:58933 --enddatetime 2017-03-01T18:35:11 --enforcementcount 0 &gt;&gt;C:\Users\stu\Documents\GitHub\eaglep3-reporting\EC\2017-03-01-refined-times.txt</v>
      </c>
      <c r="AI196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{"issue":{"subject":"","project_id":79,"tracker_id":40,"status_id":1,"priority_id":2,"assigned_to_id":23,"start_date":"2017-03-01","description":"","custom_fields":[{"id":1,"name":"Subdivision","value":"NW"},{"id":4,"name":"Milepost","value":"5.8933"},{"id":17,"name":"Train ID","value":"837-01"},{"id":16,"name":"Locomotive ID","value":"4025"},{"id":130,"name":"Impact","value":""},{"id":150,"name":"Time of Event (Mountain Time)","value":"18:35:11"},{"id":151,"name":"Denver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2"/>
        <v>start /low /b %USERPROFILE%\Documents\GitHub\eaglep3\Utilities\DownloadLogsFromS3.py --loco 4025 --day 2017-03-01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"%USERPROFILE%\AppData\Local\Temp\OnboardLogs"\RTDC4025\*4025*20170302* | grep -SE "(Enforcement Action)|(\[TIMEOUT)|(CHR.+\|PRM\|1\|D.+(SWITCH|SIGNAL).+UNKNOWN)" - &gt;&gt; 2017-03-01-UncaughtWiMAX.txt</v>
      </c>
    </row>
    <row r="197" spans="1:40" x14ac:dyDescent="0.25">
      <c r="A197" s="33" t="s">
        <v>630</v>
      </c>
      <c r="B197" s="7">
        <v>4026</v>
      </c>
      <c r="C197" s="21" t="s">
        <v>266</v>
      </c>
      <c r="D197" s="21" t="s">
        <v>321</v>
      </c>
      <c r="E197" s="13">
        <v>42795.77579861111</v>
      </c>
      <c r="F197" s="13">
        <v>42795.778252314813</v>
      </c>
      <c r="G197" s="7">
        <v>1</v>
      </c>
      <c r="H197" s="21" t="s">
        <v>797</v>
      </c>
      <c r="I197" s="13">
        <v>42795.789722222224</v>
      </c>
      <c r="J197" s="7">
        <v>0</v>
      </c>
      <c r="K197" s="98" t="str">
        <f t="shared" si="48"/>
        <v>4025/4026</v>
      </c>
      <c r="L197" s="21" t="str">
        <f>VLOOKUP(A197,'Trips&amp;Operators'!$C$1:$G$99999,5,FALSE)</f>
        <v>BRUDER RICHARD</v>
      </c>
      <c r="M197" s="6">
        <f t="shared" si="49"/>
        <v>1.1469907411083113E-2</v>
      </c>
      <c r="N197" s="7">
        <f t="shared" si="67"/>
        <v>16.516666671959683</v>
      </c>
      <c r="O197" s="7"/>
      <c r="P197" s="7"/>
      <c r="Q197" s="22"/>
      <c r="R197" s="22"/>
      <c r="S197" s="31">
        <f t="shared" si="50"/>
        <v>1</v>
      </c>
      <c r="T197" s="46" t="str">
        <f t="shared" si="51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2"/>
        <v>https://d0f6bd738d7f1b3e5a7ca70fe4ff75f0.us-east-1.aws.found.io/app/kibana#/discover/Steve-Slow-Train-Analysis-(2080s-and-2083s)?_g=(refreshInterval:(display:Off,pause:!f,section:0,value:0),time:(from:'2017-03-01T17:37:09-0700',mode:absolute,to:'2017-03-01T19:57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7" s="187" t="str">
        <f t="shared" si="53"/>
        <v>N</v>
      </c>
      <c r="X197" s="187">
        <f t="shared" si="65"/>
        <v>1</v>
      </c>
      <c r="Y197" s="62">
        <f t="shared" si="54"/>
        <v>5.8623000000000003</v>
      </c>
      <c r="Z197" s="62">
        <f t="shared" si="66"/>
        <v>6.7500000000000004E-2</v>
      </c>
      <c r="AA197" s="62">
        <f t="shared" si="55"/>
        <v>5.7948000000000004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6"/>
        <v>0838-01</v>
      </c>
      <c r="AE197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197" s="82" t="str">
        <f t="shared" si="58"/>
        <v>"C:\Program Files (x86)\AstroGrep\AstroGrep.exe" /spath="%USERPROFILE%\AppData\Local\Temp\OnboardLogs" /stypes="app*4026*20170302*" /stext=" 01:.+((SYSTEM_STATE.+slice.+state.+changed )|(ment ac)|(multiple cpu faults)|(system.+state.+changed )|(\[timeout)|(PRM\|1\|D)|(kpr)|(kdp)|(\|lc)|(penalty))" /e /r /s</v>
      </c>
      <c r="AG197" s="1" t="str">
        <f t="shared" si="59"/>
        <v>NW</v>
      </c>
      <c r="AH197" s="86" t="str">
        <f t="shared" si="60"/>
        <v>"%USERPROFILE%\Documents\GitHub\eaglep3\Utilities\RefineRTDCRunTimes.py" --tripid 838-01 --locoid 4026 --swversion DE.1.0.9.0 --startMP 300:58623 --initTime 2017-03-01T18:37:09 --startdatetime 2017-03-01T18:40:41 --delay 1 --endMP 204:675 --enddatetime 2017-03-01T18:57:12 --enforcementcount 0 &gt;&gt;C:\Users\stu\Documents\GitHub\eaglep3-reporting\EC\2017-03-01-refined-times.txt</v>
      </c>
      <c r="AI197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{"issue":{"subject":"","project_id":79,"tracker_id":40,"status_id":1,"priority_id":2,"assigned_to_id":23,"start_date":"2017-03-01","description":"","custom_fields":[{"id":1,"name":"Subdivision","value":"NW"},{"id":4,"name":"Milepost","value":"0.0675"},{"id":17,"name":"Train ID","value":"838-01"},{"id":16,"name":"Locomotive ID","value":"4026"},{"id":130,"name":"Impact","value":""},{"id":150,"name":"Time of Event (Mountain Time)","value":"18:57:12"},{"id":151,"name":"Denver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2"/>
        <v>start /low /b %USERPROFILE%\Documents\GitHub\eaglep3\Utilities\DownloadLogsFromS3.py --loco 4026 --day 2017-03-01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"%USERPROFILE%\AppData\Local\Temp\OnboardLogs"\RTDC4026\*4026*20170302* | grep -SE "(Enforcement Action)|(\[TIMEOUT)|(CHR.+\|PRM\|1\|D.+(SWITCH|SIGNAL).+UNKNOWN)" - &gt;&gt; 2017-03-01-UncaughtWiMAX.txt</v>
      </c>
    </row>
    <row r="198" spans="1:40" x14ac:dyDescent="0.25">
      <c r="A198" s="33" t="s">
        <v>624</v>
      </c>
      <c r="B198" s="7">
        <v>4014</v>
      </c>
      <c r="C198" s="21" t="s">
        <v>266</v>
      </c>
      <c r="D198" s="21" t="s">
        <v>817</v>
      </c>
      <c r="E198" s="13">
        <v>42795.782986111109</v>
      </c>
      <c r="F198" s="13">
        <v>42795.785833333335</v>
      </c>
      <c r="G198" s="7">
        <v>0</v>
      </c>
      <c r="H198" s="21" t="s">
        <v>818</v>
      </c>
      <c r="I198" s="13">
        <v>42795.795428240737</v>
      </c>
      <c r="J198" s="7">
        <v>0</v>
      </c>
      <c r="K198" s="98" t="str">
        <f t="shared" si="48"/>
        <v>4013/4014</v>
      </c>
      <c r="L198" s="21" t="str">
        <f>VLOOKUP(A198,'Trips&amp;Operators'!$C$1:$G$99999,5,FALSE)</f>
        <v>CHANDLER KELVIN</v>
      </c>
      <c r="M198" s="6">
        <f t="shared" si="49"/>
        <v>9.594907402060926E-3</v>
      </c>
      <c r="N198" s="7">
        <f t="shared" si="67"/>
        <v>13.816666658967733</v>
      </c>
      <c r="O198" s="7"/>
      <c r="P198" s="7"/>
      <c r="Q198" s="22"/>
      <c r="R198" s="22"/>
      <c r="S198" s="31">
        <f t="shared" si="50"/>
        <v>1</v>
      </c>
      <c r="T198" s="46" t="str">
        <f t="shared" si="51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2"/>
        <v>https://d0f6bd738d7f1b3e5a7ca70fe4ff75f0.us-east-1.aws.found.io/app/kibana#/discover/Steve-Slow-Train-Analysis-(2080s-and-2083s)?_g=(refreshInterval:(display:Off,pause:!f,section:0,value:0),time:(from:'2017-03-01T17:47:30-0700',mode:absolute,to:'2017-03-01T20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8" s="187" t="str">
        <f t="shared" si="53"/>
        <v>N</v>
      </c>
      <c r="X198" s="187">
        <f t="shared" si="65"/>
        <v>1</v>
      </c>
      <c r="Y198" s="62">
        <f t="shared" si="54"/>
        <v>9.5299999999999996E-2</v>
      </c>
      <c r="Z198" s="62">
        <f t="shared" si="66"/>
        <v>5.8917999999999999</v>
      </c>
      <c r="AA198" s="62">
        <f t="shared" si="55"/>
        <v>5.7965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6"/>
        <v>0839-01</v>
      </c>
      <c r="AE198" s="85" t="str">
        <f t="shared" si="57"/>
        <v>aws s3 cp s3://rtdc.mdm.uploadarchive.raw/RTDC4014/ "%USERPROFILE%\AppData\Local\Temp\OnboardLogs"\RTDC4014\2017-03-01 --exclude "*" --recursive --include "*20170301*" &amp; "%USERPROFILE%\Documents\GitHub\mrs-test-scripts\Headless Mode &amp; Sideloading\WalkAndUnGZ.bat" "%USERPROFILE%\AppData\Local\Temp\OnboardLogs"\RTDC4014\2017-03-01 &amp; 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</v>
      </c>
      <c r="AF198" s="82" t="str">
        <f t="shared" si="58"/>
        <v>"C:\Program Files (x86)\AstroGrep\AstroGrep.exe" /spath="%USERPROFILE%\AppData\Local\Temp\OnboardLogs" /stypes="app*4014*20170302*" /stext=" 02:.+((SYSTEM_STATE.+slice.+state.+changed )|(ment ac)|(multiple cpu faults)|(system.+state.+changed )|(\[timeout)|(PRM\|1\|D)|(kpr)|(kdp)|(\|lc)|(penalty))" /e /r /s</v>
      </c>
      <c r="AG198" s="1" t="str">
        <f t="shared" si="59"/>
        <v>NW</v>
      </c>
      <c r="AH198" s="86" t="str">
        <f t="shared" si="60"/>
        <v>"%USERPROFILE%\Documents\GitHub\eaglep3\Utilities\RefineRTDCRunTimes.py" --tripid 839-01 --locoid 4014 --swversion DE.1.0.9.0 --startMP 204:953 --initTime 2017-03-01T18:47:30 --startdatetime 2017-03-01T18:51:36 --delay 0 --endMP 300:58918 --enddatetime 2017-03-01T19:05:25 --enforcementcount 0 &gt;&gt;C:\Users\stu\Documents\GitHub\eaglep3-reporting\EC\2017-03-01-refined-times.txt</v>
      </c>
      <c r="AI198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{"issue":{"subject":"","project_id":79,"tracker_id":40,"status_id":1,"priority_id":2,"assigned_to_id":23,"start_date":"2017-03-01","description":"","custom_fields":[{"id":1,"name":"Subdivision","value":"NW"},{"id":4,"name":"Milepost","value":"5.8918"},{"id":17,"name":"Train ID","value":"839-01"},{"id":16,"name":"Locomotive ID","value":"4014"},{"id":130,"name":"Impact","value":""},{"id":150,"name":"Time of Event (Mountain Time)","value":"19:05:25"},{"id":151,"name":"Denver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2"/>
        <v>start /low /b %USERPROFILE%\Documents\GitHub\eaglep3\Utilities\DownloadLogsFromS3.py --loco 4014 --day 2017-03-01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"%USERPROFILE%\AppData\Local\Temp\OnboardLogs"\RTDC4014\*4014*20170302* | grep -SE "(Enforcement Action)|(\[TIMEOUT)|(CHR.+\|PRM\|1\|D.+(SWITCH|SIGNAL).+UNKNOWN)" - &gt;&gt; 2017-03-01-UncaughtWiMAX.txt</v>
      </c>
    </row>
    <row r="199" spans="1:40" x14ac:dyDescent="0.25">
      <c r="A199" s="33" t="s">
        <v>644</v>
      </c>
      <c r="B199" s="7">
        <v>4026</v>
      </c>
      <c r="C199" s="21" t="s">
        <v>266</v>
      </c>
      <c r="D199" s="21" t="s">
        <v>800</v>
      </c>
      <c r="E199" s="13">
        <v>42795.81931712963</v>
      </c>
      <c r="F199" s="13">
        <v>42795.821342592593</v>
      </c>
      <c r="G199" s="7">
        <v>2</v>
      </c>
      <c r="H199" s="21" t="s">
        <v>366</v>
      </c>
      <c r="I199" s="13">
        <v>42795.832048611112</v>
      </c>
      <c r="J199" s="7">
        <v>0</v>
      </c>
      <c r="K199" s="98" t="str">
        <f t="shared" si="48"/>
        <v>4025/4026</v>
      </c>
      <c r="L199" s="21" t="str">
        <f>VLOOKUP(A199,'Trips&amp;Operators'!$C$1:$G$99999,5,FALSE)</f>
        <v>NELSON ARIANE</v>
      </c>
      <c r="M199" s="6">
        <f t="shared" si="49"/>
        <v>1.0706018518249039E-2</v>
      </c>
      <c r="N199" s="7">
        <f t="shared" si="67"/>
        <v>15.416666666278616</v>
      </c>
      <c r="O199" s="7"/>
      <c r="P199" s="7"/>
      <c r="Q199" s="22"/>
      <c r="R199" s="22"/>
      <c r="S199" s="31">
        <f t="shared" si="50"/>
        <v>1</v>
      </c>
      <c r="T199" s="46" t="str">
        <f t="shared" si="51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2"/>
        <v>https://d0f6bd738d7f1b3e5a7ca70fe4ff75f0.us-east-1.aws.found.io/app/kibana#/discover/Steve-Slow-Train-Analysis-(2080s-and-2083s)?_g=(refreshInterval:(display:Off,pause:!f,section:0,value:0),time:(from:'2017-03-01T18:39:49-0700',mode:absolute,to:'2017-03-01T20:58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9" s="187" t="str">
        <f t="shared" si="53"/>
        <v>N</v>
      </c>
      <c r="X199" s="187">
        <f t="shared" si="65"/>
        <v>1</v>
      </c>
      <c r="Y199" s="62">
        <f t="shared" si="54"/>
        <v>5.8639999999999999</v>
      </c>
      <c r="Z199" s="62">
        <f t="shared" si="66"/>
        <v>6.6400000000000001E-2</v>
      </c>
      <c r="AA199" s="62">
        <f t="shared" si="55"/>
        <v>5.7976000000000001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6"/>
        <v>0840-01</v>
      </c>
      <c r="AE199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199" s="82" t="str">
        <f t="shared" si="58"/>
        <v>"C:\Program Files (x86)\AstroGrep\AstroGrep.exe" /spath="%USERPROFILE%\AppData\Local\Temp\OnboardLogs" /stypes="app*4026*20170302*" /stext=" 02:.+((SYSTEM_STATE.+slice.+state.+changed )|(ment ac)|(multiple cpu faults)|(system.+state.+changed )|(\[timeout)|(PRM\|1\|D)|(kpr)|(kdp)|(\|lc)|(penalty))" /e /r /s</v>
      </c>
      <c r="AG199" s="1" t="str">
        <f t="shared" si="59"/>
        <v>NW</v>
      </c>
      <c r="AH199" s="86" t="str">
        <f t="shared" si="60"/>
        <v>"%USERPROFILE%\Documents\GitHub\eaglep3\Utilities\RefineRTDCRunTimes.py" --tripid 840-01 --locoid 4026 --swversion DE.1.0.9.0 --startMP 300:58640 --initTime 2017-03-01T19:39:49 --startdatetime 2017-03-01T19:42:44 --delay 2 --endMP 204:664 --enddatetime 2017-03-01T19:58:09 --enforcementcount 0 &gt;&gt;C:\Users\stu\Documents\GitHub\eaglep3-reporting\EC\2017-03-01-refined-times.txt</v>
      </c>
      <c r="AI199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{"issue":{"subject":"","project_id":79,"tracker_id":40,"status_id":1,"priority_id":2,"assigned_to_id":23,"start_date":"2017-03-01","description":"","custom_fields":[{"id":1,"name":"Subdivision","value":"NW"},{"id":4,"name":"Milepost","value":"0.0664"},{"id":17,"name":"Train ID","value":"840-01"},{"id":16,"name":"Locomotive ID","value":"4026"},{"id":130,"name":"Impact","value":""},{"id":150,"name":"Time of Event (Mountain Time)","value":"19:58:09"},{"id":151,"name":"Denver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2"/>
        <v>start /low /b %USERPROFILE%\Documents\GitHub\eaglep3\Utilities\DownloadLogsFromS3.py --loco 4026 --day 2017-03-01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"%USERPROFILE%\AppData\Local\Temp\OnboardLogs"\RTDC4026\*4026*20170302* | grep -SE "(Enforcement Action)|(\[TIMEOUT)|(CHR.+\|PRM\|1\|D.+(SWITCH|SIGNAL).+UNKNOWN)" - &gt;&gt; 2017-03-01-UncaughtWiMAX.txt</v>
      </c>
    </row>
    <row r="200" spans="1:40" x14ac:dyDescent="0.25">
      <c r="A200" s="33" t="s">
        <v>638</v>
      </c>
      <c r="B200" s="7">
        <v>4025</v>
      </c>
      <c r="C200" s="21" t="s">
        <v>266</v>
      </c>
      <c r="D200" s="21" t="s">
        <v>816</v>
      </c>
      <c r="E200" s="13">
        <v>42795.802152777775</v>
      </c>
      <c r="F200" s="13">
        <v>42795.80673611111</v>
      </c>
      <c r="G200" s="7">
        <v>2</v>
      </c>
      <c r="H200" s="21" t="s">
        <v>793</v>
      </c>
      <c r="I200" s="13">
        <v>42795.817499999997</v>
      </c>
      <c r="J200" s="7">
        <v>0</v>
      </c>
      <c r="K200" s="98" t="str">
        <f t="shared" si="48"/>
        <v>4025/4026</v>
      </c>
      <c r="L200" s="21" t="str">
        <f>VLOOKUP(A200,'Trips&amp;Operators'!$C$1:$G$99999,5,FALSE)</f>
        <v>NELSON ARIANE</v>
      </c>
      <c r="M200" s="6">
        <f t="shared" si="49"/>
        <v>1.0763888887595385E-2</v>
      </c>
      <c r="N200" s="7">
        <f t="shared" si="67"/>
        <v>15.499999998137355</v>
      </c>
      <c r="O200" s="7"/>
      <c r="P200" s="7"/>
      <c r="Q200" s="22"/>
      <c r="R200" s="22"/>
      <c r="S200" s="31">
        <f t="shared" si="50"/>
        <v>1</v>
      </c>
      <c r="T200" s="46" t="str">
        <f t="shared" si="51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2"/>
        <v>https://d0f6bd738d7f1b3e5a7ca70fe4ff75f0.us-east-1.aws.found.io/app/kibana#/discover/Steve-Slow-Train-Analysis-(2080s-and-2083s)?_g=(refreshInterval:(display:Off,pause:!f,section:0,value:0),time:(from:'2017-03-01T18:15:06-0700',mode:absolute,to:'2017-03-01T20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0" s="187" t="str">
        <f t="shared" si="53"/>
        <v>N</v>
      </c>
      <c r="X200" s="187">
        <f t="shared" ref="X200:X231" si="68">VALUE(LEFT(AD200,4))-VALUE(LEFT(AD199,4))</f>
        <v>1</v>
      </c>
      <c r="Y200" s="62">
        <f t="shared" si="54"/>
        <v>9.7799999999999998E-2</v>
      </c>
      <c r="Z200" s="62">
        <f t="shared" si="66"/>
        <v>5.8952</v>
      </c>
      <c r="AA200" s="62">
        <f t="shared" si="55"/>
        <v>5.7973999999999997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6"/>
        <v>0841-01</v>
      </c>
      <c r="AE200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200" s="82" t="str">
        <f t="shared" si="58"/>
        <v>"C:\Program Files (x86)\AstroGrep\AstroGrep.exe" /spath="%USERPROFILE%\AppData\Local\Temp\OnboardLogs" /stypes="app*4025*20170302*" /stext=" 02:.+((SYSTEM_STATE.+slice.+state.+changed )|(ment ac)|(multiple cpu faults)|(system.+state.+changed )|(\[timeout)|(PRM\|1\|D)|(kpr)|(kdp)|(\|lc)|(penalty))" /e /r /s</v>
      </c>
      <c r="AG200" s="1" t="str">
        <f t="shared" si="59"/>
        <v>NW</v>
      </c>
      <c r="AH200" s="86" t="str">
        <f t="shared" si="60"/>
        <v>"%USERPROFILE%\Documents\GitHub\eaglep3\Utilities\RefineRTDCRunTimes.py" --tripid 841-01 --locoid 4025 --swversion DE.1.0.9.0 --startMP 204:978 --initTime 2017-03-01T19:15:06 --startdatetime 2017-03-01T19:21:42 --delay 2 --endMP 300:58952 --enddatetime 2017-03-01T19:37:12 --enforcementcount 0 &gt;&gt;C:\Users\stu\Documents\GitHub\eaglep3-reporting\EC\2017-03-01-refined-times.txt</v>
      </c>
      <c r="AI200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{"issue":{"subject":"","project_id":79,"tracker_id":40,"status_id":1,"priority_id":2,"assigned_to_id":23,"start_date":"2017-03-01","description":"","custom_fields":[{"id":1,"name":"Subdivision","value":"NW"},{"id":4,"name":"Milepost","value":"5.8952"},{"id":17,"name":"Train ID","value":"841-01"},{"id":16,"name":"Locomotive ID","value":"4025"},{"id":130,"name":"Impact","value":""},{"id":150,"name":"Time of Event (Mountain Time)","value":"19:37:12"},{"id":151,"name":"Denver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2"/>
        <v>start /low /b %USERPROFILE%\Documents\GitHub\eaglep3\Utilities\DownloadLogsFromS3.py --loco 4025 --day 2017-03-01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"%USERPROFILE%\AppData\Local\Temp\OnboardLogs"\RTDC4025\*4025*20170302* | grep -SE "(Enforcement Action)|(\[TIMEOUT)|(CHR.+\|PRM\|1\|D.+(SWITCH|SIGNAL).+UNKNOWN)" - &gt;&gt; 2017-03-01-UncaughtWiMAX.txt</v>
      </c>
    </row>
    <row r="201" spans="1:40" x14ac:dyDescent="0.25">
      <c r="A201" s="33" t="s">
        <v>652</v>
      </c>
      <c r="B201" s="7">
        <v>4026</v>
      </c>
      <c r="C201" s="21" t="s">
        <v>266</v>
      </c>
      <c r="D201" s="21" t="s">
        <v>786</v>
      </c>
      <c r="E201" s="13">
        <v>42795.864710648151</v>
      </c>
      <c r="F201" s="13">
        <v>42795.865983796299</v>
      </c>
      <c r="G201" s="7">
        <v>1</v>
      </c>
      <c r="H201" s="21" t="s">
        <v>792</v>
      </c>
      <c r="I201" s="13">
        <v>42795.875543981485</v>
      </c>
      <c r="J201" s="7">
        <v>0</v>
      </c>
      <c r="K201" s="98" t="str">
        <f t="shared" si="48"/>
        <v>4025/4026</v>
      </c>
      <c r="L201" s="21" t="str">
        <f>VLOOKUP(A201,'Trips&amp;Operators'!$C$1:$G$99999,5,FALSE)</f>
        <v>NELSON ARIANE</v>
      </c>
      <c r="M201" s="6">
        <f t="shared" si="49"/>
        <v>9.560185186273884E-3</v>
      </c>
      <c r="N201" s="7">
        <f t="shared" si="67"/>
        <v>13.766666668234393</v>
      </c>
      <c r="O201" s="7"/>
      <c r="P201" s="7"/>
      <c r="Q201" s="22"/>
      <c r="R201" s="22"/>
      <c r="S201" s="31">
        <f t="shared" si="50"/>
        <v>1</v>
      </c>
      <c r="T201" s="46" t="str">
        <f t="shared" si="51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2"/>
        <v>https://d0f6bd738d7f1b3e5a7ca70fe4ff75f0.us-east-1.aws.found.io/app/kibana#/discover/Steve-Slow-Train-Analysis-(2080s-and-2083s)?_g=(refreshInterval:(display:Off,pause:!f,section:0,value:0),time:(from:'2017-03-01T19:45:11-0700',mode:absolute,to:'2017-03-01T22:00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1" s="187" t="str">
        <f t="shared" si="53"/>
        <v>N</v>
      </c>
      <c r="X201" s="187">
        <f t="shared" si="68"/>
        <v>1</v>
      </c>
      <c r="Y201" s="62">
        <f t="shared" si="54"/>
        <v>5.8651</v>
      </c>
      <c r="Z201" s="62">
        <f t="shared" si="66"/>
        <v>6.7799999999999999E-2</v>
      </c>
      <c r="AA201" s="62">
        <f t="shared" si="55"/>
        <v>5.7972999999999999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6"/>
        <v>0842-01</v>
      </c>
      <c r="AE201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201" s="82" t="str">
        <f t="shared" si="58"/>
        <v>"C:\Program Files (x86)\AstroGrep\AstroGrep.exe" /spath="%USERPROFILE%\AppData\Local\Temp\OnboardLogs" /stypes="app*4026*20170302*" /stext=" 04:.+((SYSTEM_STATE.+slice.+state.+changed )|(ment ac)|(multiple cpu faults)|(system.+state.+changed )|(\[timeout)|(PRM\|1\|D)|(kpr)|(kdp)|(\|lc)|(penalty))" /e /r /s</v>
      </c>
      <c r="AG201" s="1" t="str">
        <f t="shared" si="59"/>
        <v>NW</v>
      </c>
      <c r="AH201" s="86" t="str">
        <f t="shared" si="60"/>
        <v>"%USERPROFILE%\Documents\GitHub\eaglep3\Utilities\RefineRTDCRunTimes.py" --tripid 842-01 --locoid 4026 --swversion DE.1.0.9.0 --startMP 300:58651 --initTime 2017-03-01T20:45:11 --startdatetime 2017-03-01T20:47:01 --delay 1 --endMP 204:678 --enddatetime 2017-03-01T21:00:47 --enforcementcount 0 &gt;&gt;C:\Users\stu\Documents\GitHub\eaglep3-reporting\EC\2017-03-01-refined-times.txt</v>
      </c>
      <c r="AI201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{"issue":{"subject":"","project_id":79,"tracker_id":40,"status_id":1,"priority_id":2,"assigned_to_id":23,"start_date":"2017-03-01","description":"","custom_fields":[{"id":1,"name":"Subdivision","value":"NW"},{"id":4,"name":"Milepost","value":"0.0678"},{"id":17,"name":"Train ID","value":"842-01"},{"id":16,"name":"Locomotive ID","value":"4026"},{"id":130,"name":"Impact","value":""},{"id":150,"name":"Time of Event (Mountain Time)","value":"21:00:47"},{"id":151,"name":"Denver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2"/>
        <v>start /low /b %USERPROFILE%\Documents\GitHub\eaglep3\Utilities\DownloadLogsFromS3.py --loco 4026 --day 2017-03-01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"%USERPROFILE%\AppData\Local\Temp\OnboardLogs"\RTDC4026\*4026*20170302* | grep -SE "(Enforcement Action)|(\[TIMEOUT)|(CHR.+\|PRM\|1\|D.+(SWITCH|SIGNAL).+UNKNOWN)" - &gt;&gt; 2017-03-01-UncaughtWiMAX.txt</v>
      </c>
    </row>
    <row r="202" spans="1:40" x14ac:dyDescent="0.25">
      <c r="A202" s="33" t="s">
        <v>649</v>
      </c>
      <c r="B202" s="7">
        <v>4025</v>
      </c>
      <c r="C202" s="21" t="s">
        <v>266</v>
      </c>
      <c r="D202" s="21" t="s">
        <v>811</v>
      </c>
      <c r="E202" s="13">
        <v>42795.845833333333</v>
      </c>
      <c r="F202" s="13">
        <v>42795.848263888889</v>
      </c>
      <c r="G202" s="7">
        <v>1</v>
      </c>
      <c r="H202" s="21" t="s">
        <v>363</v>
      </c>
      <c r="I202" s="13">
        <v>42795.863402777781</v>
      </c>
      <c r="J202" s="7">
        <v>0</v>
      </c>
      <c r="K202" s="98" t="str">
        <f t="shared" si="48"/>
        <v>4025/4026</v>
      </c>
      <c r="L202" s="21" t="str">
        <f>VLOOKUP(A202,'Trips&amp;Operators'!$C$1:$G$99999,5,FALSE)</f>
        <v>NELSON ARIANE</v>
      </c>
      <c r="M202" s="6">
        <f t="shared" si="49"/>
        <v>1.5138888891669922E-2</v>
      </c>
      <c r="N202" s="7">
        <f t="shared" si="67"/>
        <v>21.800000004004687</v>
      </c>
      <c r="O202" s="7"/>
      <c r="P202" s="7"/>
      <c r="Q202" s="22"/>
      <c r="R202" s="22"/>
      <c r="S202" s="31">
        <f t="shared" si="50"/>
        <v>1</v>
      </c>
      <c r="T202" s="46" t="str">
        <f t="shared" si="51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2"/>
        <v>https://d0f6bd738d7f1b3e5a7ca70fe4ff75f0.us-east-1.aws.found.io/app/kibana#/discover/Steve-Slow-Train-Analysis-(2080s-and-2083s)?_g=(refreshInterval:(display:Off,pause:!f,section:0,value:0),time:(from:'2017-03-01T19:18:00-0700',mode:absolute,to:'2017-03-01T21:43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2" s="187" t="str">
        <f t="shared" si="53"/>
        <v>N</v>
      </c>
      <c r="X202" s="187">
        <f t="shared" si="68"/>
        <v>1</v>
      </c>
      <c r="Y202" s="62">
        <f t="shared" si="54"/>
        <v>9.6500000000000002E-2</v>
      </c>
      <c r="Z202" s="62">
        <f t="shared" si="66"/>
        <v>5.8971</v>
      </c>
      <c r="AA202" s="62">
        <f t="shared" si="55"/>
        <v>5.8006000000000002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6"/>
        <v>0843-01</v>
      </c>
      <c r="AE202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202" s="82" t="str">
        <f t="shared" si="58"/>
        <v>"C:\Program Files (x86)\AstroGrep\AstroGrep.exe" /spath="%USERPROFILE%\AppData\Local\Temp\OnboardLogs" /stypes="app*4025*20170302*" /stext=" 03:.+((SYSTEM_STATE.+slice.+state.+changed )|(ment ac)|(multiple cpu faults)|(system.+state.+changed )|(\[timeout)|(PRM\|1\|D)|(kpr)|(kdp)|(\|lc)|(penalty))" /e /r /s</v>
      </c>
      <c r="AG202" s="1" t="str">
        <f t="shared" si="59"/>
        <v>NW</v>
      </c>
      <c r="AH202" s="86" t="str">
        <f t="shared" si="60"/>
        <v>"%USERPROFILE%\Documents\GitHub\eaglep3\Utilities\RefineRTDCRunTimes.py" --tripid 843-01 --locoid 4025 --swversion DE.1.0.9.0 --startMP 204:965 --initTime 2017-03-01T20:18:00 --startdatetime 2017-03-01T20:21:30 --delay 1 --endMP 300:58971 --enddatetime 2017-03-01T20:43:18 --enforcementcount 0 &gt;&gt;C:\Users\stu\Documents\GitHub\eaglep3-reporting\EC\2017-03-01-refined-times.txt</v>
      </c>
      <c r="AI202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{"issue":{"subject":"","project_id":79,"tracker_id":40,"status_id":1,"priority_id":2,"assigned_to_id":23,"start_date":"2017-03-01","description":"","custom_fields":[{"id":1,"name":"Subdivision","value":"NW"},{"id":4,"name":"Milepost","value":"5.8971"},{"id":17,"name":"Train ID","value":"843-01"},{"id":16,"name":"Locomotive ID","value":"4025"},{"id":130,"name":"Impact","value":""},{"id":150,"name":"Time of Event (Mountain Time)","value":"20:43:18"},{"id":151,"name":"Denver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2"/>
        <v>start /low /b %USERPROFILE%\Documents\GitHub\eaglep3\Utilities\DownloadLogsFromS3.py --loco 4025 --day 2017-03-01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"%USERPROFILE%\AppData\Local\Temp\OnboardLogs"\RTDC4025\*4025*20170302* | grep -SE "(Enforcement Action)|(\[TIMEOUT)|(CHR.+\|PRM\|1\|D.+(SWITCH|SIGNAL).+UNKNOWN)" - &gt;&gt; 2017-03-01-UncaughtWiMAX.txt</v>
      </c>
    </row>
    <row r="203" spans="1:40" x14ac:dyDescent="0.25">
      <c r="A203" s="33" t="s">
        <v>657</v>
      </c>
      <c r="B203" s="7">
        <v>4026</v>
      </c>
      <c r="C203" s="21" t="s">
        <v>266</v>
      </c>
      <c r="D203" s="21" t="s">
        <v>810</v>
      </c>
      <c r="E203" s="13">
        <v>42795.901446759257</v>
      </c>
      <c r="F203" s="13">
        <v>42795.90283564815</v>
      </c>
      <c r="G203" s="7">
        <v>1</v>
      </c>
      <c r="H203" s="21" t="s">
        <v>819</v>
      </c>
      <c r="I203" s="13">
        <v>42795.914097222223</v>
      </c>
      <c r="J203" s="7">
        <v>0</v>
      </c>
      <c r="K203" s="98" t="str">
        <f t="shared" si="48"/>
        <v>4025/4026</v>
      </c>
      <c r="L203" s="21" t="str">
        <f>VLOOKUP(A203,'Trips&amp;Operators'!$C$1:$G$99999,5,FALSE)</f>
        <v>CHANDLER KELVIN</v>
      </c>
      <c r="M203" s="6">
        <f t="shared" si="49"/>
        <v>1.1261574072705116E-2</v>
      </c>
      <c r="N203" s="7">
        <f t="shared" si="67"/>
        <v>16.216666664695367</v>
      </c>
      <c r="O203" s="7"/>
      <c r="P203" s="7"/>
      <c r="Q203" s="22"/>
      <c r="R203" s="22"/>
      <c r="S203" s="31">
        <f t="shared" si="50"/>
        <v>1</v>
      </c>
      <c r="T203" s="46" t="str">
        <f t="shared" si="51"/>
        <v>Southbound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2"/>
        <v>https://d0f6bd738d7f1b3e5a7ca70fe4ff75f0.us-east-1.aws.found.io/app/kibana#/discover/Steve-Slow-Train-Analysis-(2080s-and-2083s)?_g=(refreshInterval:(display:Off,pause:!f,section:0,value:0),time:(from:'2017-03-01T20:38:05-0700',mode:absolute,to:'2017-03-01T22:56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3" s="187" t="str">
        <f t="shared" si="53"/>
        <v>N</v>
      </c>
      <c r="X203" s="187">
        <f t="shared" si="68"/>
        <v>1</v>
      </c>
      <c r="Y203" s="62">
        <f t="shared" si="54"/>
        <v>5.8593999999999999</v>
      </c>
      <c r="Z203" s="62">
        <f t="shared" ref="Z203:Z238" si="69">RIGHT(H203,LEN(H203)-4)/10000</f>
        <v>6.1699999999999998E-2</v>
      </c>
      <c r="AA203" s="62">
        <f t="shared" si="55"/>
        <v>5.7976999999999999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6"/>
        <v>0844-01</v>
      </c>
      <c r="AE203" s="85" t="str">
        <f t="shared" si="57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203" s="82" t="str">
        <f t="shared" si="58"/>
        <v>"C:\Program Files (x86)\AstroGrep\AstroGrep.exe" /spath="%USERPROFILE%\AppData\Local\Temp\OnboardLogs" /stypes="app*4026*20170302*" /stext=" 04:.+((SYSTEM_STATE.+slice.+state.+changed )|(ment ac)|(multiple cpu faults)|(system.+state.+changed )|(\[timeout)|(PRM\|1\|D)|(kpr)|(kdp)|(\|lc)|(penalty))" /e /r /s</v>
      </c>
      <c r="AG203" s="1" t="str">
        <f t="shared" si="59"/>
        <v>NW</v>
      </c>
      <c r="AH203" s="86" t="str">
        <f t="shared" si="60"/>
        <v>"%USERPROFILE%\Documents\GitHub\eaglep3\Utilities\RefineRTDCRunTimes.py" --tripid 844-01 --locoid 4026 --swversion DE.1.0.9.0 --startMP 300:58594 --initTime 2017-03-01T21:38:05 --startdatetime 2017-03-01T21:40:05 --delay 1 --endMP 204:617 --enddatetime 2017-03-01T21:56:18 --enforcementcount 0 &gt;&gt;C:\Users\stu\Documents\GitHub\eaglep3-reporting\EC\2017-03-01-refined-times.txt</v>
      </c>
      <c r="AI203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{"issue":{"subject":"","project_id":79,"tracker_id":40,"status_id":1,"priority_id":2,"assigned_to_id":23,"start_date":"2017-03-01","description":"","custom_fields":[{"id":1,"name":"Subdivision","value":"NW"},{"id":4,"name":"Milepost","value":"0.0617"},{"id":17,"name":"Train ID","value":"844-01"},{"id":16,"name":"Locomotive ID","value":"4026"},{"id":130,"name":"Impact","value":""},{"id":150,"name":"Time of Event (Mountain Time)","value":"21:56:18"},{"id":151,"name":"Denver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2"/>
        <v>start /low /b %USERPROFILE%\Documents\GitHub\eaglep3\Utilities\DownloadLogsFromS3.py --loco 4026 --day 2017-03-01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"%USERPROFILE%\AppData\Local\Temp\OnboardLogs"\RTDC4026\*4026*20170302* | grep -SE "(Enforcement Action)|(\[TIMEOUT)|(CHR.+\|PRM\|1\|D.+(SWITCH|SIGNAL).+UNKNOWN)" - &gt;&gt; 2017-03-01-UncaughtWiMAX.txt</v>
      </c>
    </row>
    <row r="204" spans="1:40" x14ac:dyDescent="0.25">
      <c r="A204" s="33" t="s">
        <v>655</v>
      </c>
      <c r="B204" s="7">
        <v>4025</v>
      </c>
      <c r="C204" s="21" t="s">
        <v>266</v>
      </c>
      <c r="D204" s="21" t="s">
        <v>820</v>
      </c>
      <c r="E204" s="13">
        <v>42795.885844907411</v>
      </c>
      <c r="F204" s="13">
        <v>42795.88989583333</v>
      </c>
      <c r="G204" s="7">
        <v>1</v>
      </c>
      <c r="H204" s="21" t="s">
        <v>821</v>
      </c>
      <c r="I204" s="13">
        <v>42795.899513888886</v>
      </c>
      <c r="J204" s="7">
        <v>0</v>
      </c>
      <c r="K204" s="98" t="str">
        <f t="shared" si="48"/>
        <v>4025/4026</v>
      </c>
      <c r="L204" s="21" t="str">
        <f>VLOOKUP(A204,'Trips&amp;Operators'!$C$1:$G$99999,5,FALSE)</f>
        <v>CHANDLER KELVIN</v>
      </c>
      <c r="M204" s="6">
        <f t="shared" si="49"/>
        <v>9.6180555556202307E-3</v>
      </c>
      <c r="N204" s="7">
        <f t="shared" si="67"/>
        <v>13.850000000093132</v>
      </c>
      <c r="O204" s="7"/>
      <c r="P204" s="7"/>
      <c r="Q204" s="22"/>
      <c r="R204" s="22"/>
      <c r="S204" s="31">
        <f t="shared" si="50"/>
        <v>1</v>
      </c>
      <c r="T204" s="46" t="str">
        <f t="shared" si="51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2"/>
        <v>https://d0f6bd738d7f1b3e5a7ca70fe4ff75f0.us-east-1.aws.found.io/app/kibana#/discover/Steve-Slow-Train-Analysis-(2080s-and-2083s)?_g=(refreshInterval:(display:Off,pause:!f,section:0,value:0),time:(from:'2017-03-01T20:15:37-0700',mode:absolute,to:'2017-03-01T22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4" s="187" t="str">
        <f t="shared" si="53"/>
        <v>N</v>
      </c>
      <c r="X204" s="187">
        <f t="shared" si="68"/>
        <v>1</v>
      </c>
      <c r="Y204" s="62">
        <f t="shared" si="54"/>
        <v>9.8299999999999998E-2</v>
      </c>
      <c r="Z204" s="62">
        <f t="shared" si="69"/>
        <v>5.8921999999999999</v>
      </c>
      <c r="AA204" s="62">
        <f t="shared" si="55"/>
        <v>5.7938999999999998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6"/>
        <v>0845-01</v>
      </c>
      <c r="AE204" s="85" t="str">
        <f t="shared" si="57"/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204" s="82" t="str">
        <f t="shared" si="58"/>
        <v>"C:\Program Files (x86)\AstroGrep\AstroGrep.exe" /spath="%USERPROFILE%\AppData\Local\Temp\OnboardLogs" /stypes="app*4025*20170302*" /stext=" 04:.+((SYSTEM_STATE.+slice.+state.+changed )|(ment ac)|(multiple cpu faults)|(system.+state.+changed )|(\[timeout)|(PRM\|1\|D)|(kpr)|(kdp)|(\|lc)|(penalty))" /e /r /s</v>
      </c>
      <c r="AG204" s="1" t="str">
        <f t="shared" si="59"/>
        <v>NW</v>
      </c>
      <c r="AH204" s="86" t="str">
        <f t="shared" si="60"/>
        <v>"%USERPROFILE%\Documents\GitHub\eaglep3\Utilities\RefineRTDCRunTimes.py" --tripid 845-01 --locoid 4025 --swversion DE.1.0.9.0 --startMP 204:983 --initTime 2017-03-01T21:15:37 --startdatetime 2017-03-01T21:21:27 --delay 1 --endMP 300:58922 --enddatetime 2017-03-01T21:35:18 --enforcementcount 0 &gt;&gt;C:\Users\stu\Documents\GitHub\eaglep3-reporting\EC\2017-03-01-refined-times.txt</v>
      </c>
      <c r="AI204" s="108" t="str">
        <f t="shared" si="61"/>
        <v>echo {"issue":{"subject":"","project_id":79,"tracker_id":40,"status_id":1,"priority_id":2,"assigned_to_id":23,"start_date":"2017-03-01","description":"","custom_fields":[{"id":1,"name":"Subdivision","value":"NW"},{"id":4,"name":"Milepost","value":"5.8922"},{"id":17,"name":"Train ID","value":"845-01"},{"id":16,"name":"Locomotive ID","value":"4025"},{"id":130,"name":"Impact","value":""},{"id":150,"name":"Time of Event (Mountain Time)","value":"21:35:18"},{"id":151,"name":"Denver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2"/>
        <v>start /low /b %USERPROFILE%\Documents\GitHub\eaglep3\Utilities\DownloadLogsFromS3.py --loco 4025 --day 2017-03-01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"%USERPROFILE%\AppData\Local\Temp\OnboardLogs"\RTDC4025\*4025*20170302* | grep -SE "(Enforcement Action)|(\[TIMEOUT)|(CHR.+\|PRM\|1\|D.+(SWITCH|SIGNAL).+UNKNOWN)" - &gt;&gt; 2017-03-01-UncaughtWiMAX.txt</v>
      </c>
    </row>
    <row r="205" spans="1:40" x14ac:dyDescent="0.25">
      <c r="A205" s="33" t="s">
        <v>471</v>
      </c>
      <c r="B205" s="7">
        <v>4025</v>
      </c>
      <c r="C205" s="21" t="s">
        <v>266</v>
      </c>
      <c r="D205" s="21" t="s">
        <v>422</v>
      </c>
      <c r="E205" s="13">
        <v>42795.927164351851</v>
      </c>
      <c r="F205" s="13">
        <v>42795.931504629632</v>
      </c>
      <c r="G205" s="7">
        <v>1</v>
      </c>
      <c r="H205" s="21" t="s">
        <v>822</v>
      </c>
      <c r="I205" s="13">
        <v>42795.941666666666</v>
      </c>
      <c r="J205" s="7">
        <v>0</v>
      </c>
      <c r="K205" s="98" t="str">
        <f t="shared" ref="K205:K238" si="70">IF(ISEVEN(B205),(B205-1)&amp;"/"&amp;B205,B205&amp;"/"&amp;(B205+1))</f>
        <v>4025/4026</v>
      </c>
      <c r="L205" s="21" t="str">
        <f>VLOOKUP(A205,'Trips&amp;Operators'!$C$1:$G$99999,5,FALSE)</f>
        <v>CHANDLER KELVIN</v>
      </c>
      <c r="M205" s="6">
        <f t="shared" ref="M205:M238" si="71">I205-F205</f>
        <v>1.0162037033296656E-2</v>
      </c>
      <c r="N205" s="7">
        <f t="shared" si="67"/>
        <v>14.633333327947184</v>
      </c>
      <c r="O205" s="7"/>
      <c r="P205" s="7"/>
      <c r="Q205" s="22"/>
      <c r="R205" s="22"/>
      <c r="S205" s="31">
        <f t="shared" ref="S205:S238" si="72">SUM(U205:U205)/IF(AG205="EC",12,1)</f>
        <v>1</v>
      </c>
      <c r="T205" s="46" t="str">
        <f t="shared" ref="T205:T238" si="73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38" si="7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-01T21:15:07-0700',mode:absolute,to:'2017-03-01T23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5" s="187" t="str">
        <f t="shared" ref="W205:W238" si="75">IF(AA205&lt;IF(AG205="EC",23,5.65),"Y","N")</f>
        <v>N</v>
      </c>
      <c r="X205" s="187">
        <f t="shared" si="68"/>
        <v>2</v>
      </c>
      <c r="Y205" s="62">
        <f t="shared" ref="Y205:Y238" si="76">RIGHT(D205,LEN(D205)-4)/10000</f>
        <v>9.11E-2</v>
      </c>
      <c r="Z205" s="62">
        <f t="shared" si="69"/>
        <v>5.8910999999999998</v>
      </c>
      <c r="AA205" s="62">
        <f t="shared" ref="AA205:AA268" si="77">ABS(Z205-Y205)</f>
        <v>5.8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8" si="78">IF(LEN(A205)=6,"0"&amp;A205,A205)</f>
        <v>0847-01</v>
      </c>
      <c r="AE205" s="85" t="str">
        <f t="shared" ref="AE205:AE238" si="7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AF205" s="82" t="str">
        <f t="shared" ref="AF205:AF238" si="8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/stypes="app*4025*20170302*" /stext=" 05:.+((SYSTEM_STATE.+slice.+state.+changed )|(ment ac)|(multiple cpu faults)|(system.+state.+changed )|(\[timeout)|(PRM\|1\|D)|(kpr)|(kdp)|(\|lc)|(penalty))" /e /r /s</v>
      </c>
      <c r="AG205" s="1" t="str">
        <f t="shared" ref="AG205:AG238" si="81">IFERROR(IF(VALUE(LEFT(AD205,2))&lt;=2,"EC",IF(OR(VALUE(LEFT(AD205,2))=8,VALUE(LEFT(AD205,2))=18),"NW","Other")),"Other")</f>
        <v>NW</v>
      </c>
      <c r="AH205" s="86" t="str">
        <f t="shared" ref="AH205:AH238" si="8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847-01 --locoid 4025 --swversion DE.1.0.9.0 --startMP 204:911 --initTime 2017-03-01T22:15:07 --startdatetime 2017-03-01T22:21:22 --delay 1 --endMP 300:58911 --enddatetime 2017-03-01T22:36:00 --enforcementcount 0 &gt;&gt;C:\Users\stu\Documents\GitHub\eaglep3-reporting\EC\2017-03-01-refined-times.txt</v>
      </c>
      <c r="AI205" s="108" t="str">
        <f t="shared" ref="AI205:AI238" si="8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{"issue":{"subject":"","project_id":79,"tracker_id":40,"status_id":1,"priority_id":2,"assigned_to_id":23,"start_date":"2017-03-01","description":"","custom_fields":[{"id":1,"name":"Subdivision","value":"NW"},{"id":4,"name":"Milepost","value":"5.8911"},{"id":17,"name":"Train ID","value":"847-01"},{"id":16,"name":"Locomotive ID","value":"4025"},{"id":130,"name":"Impact","value":""},{"id":150,"name":"Time of Event (Mountain Time)","value":"22:36:00"},{"id":151,"name":"Denver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ref="AM205:AM238" si="84">"start /low /b "&amp;dls3logs&amp;" --loco "&amp;B205&amp;" --day "&amp;TEXT(F205,"YYYY-MM-DD")</f>
        <v>start /low /b %USERPROFILE%\Documents\GitHub\eaglep3\Utilities\DownloadLogsFromS3.py --loco 4025 --day 2017-03-01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"%USERPROFILE%\AppData\Local\Temp\OnboardLogs"\RTDC4025\*4025*20170302* | grep -SE "(Enforcement Action)|(\[TIMEOUT)|(CHR.+\|PRM\|1\|D.+(SWITCH|SIGNAL).+UNKNOWN)" - &gt;&gt; 2017-03-01-UncaughtWiMAX.txt</v>
      </c>
    </row>
    <row r="206" spans="1:40" x14ac:dyDescent="0.25">
      <c r="A206" s="33" t="s">
        <v>475</v>
      </c>
      <c r="B206" s="7">
        <v>4010</v>
      </c>
      <c r="C206" s="21" t="s">
        <v>266</v>
      </c>
      <c r="D206" s="21" t="s">
        <v>752</v>
      </c>
      <c r="E206" s="13">
        <v>42795.11986111111</v>
      </c>
      <c r="F206" s="13">
        <v>42795.121458333335</v>
      </c>
      <c r="G206" s="7">
        <v>1</v>
      </c>
      <c r="H206" s="21" t="s">
        <v>196</v>
      </c>
      <c r="I206" s="13">
        <v>42795.127476851849</v>
      </c>
      <c r="J206" s="7">
        <v>0</v>
      </c>
      <c r="K206" s="98" t="str">
        <f t="shared" si="70"/>
        <v>4009/4010</v>
      </c>
      <c r="L206" s="21" t="str">
        <f>VLOOKUP(A206,'Trips&amp;Operators'!$C$1:$G$99999,5,FALSE)</f>
        <v>BADERTSCHER DIANE</v>
      </c>
      <c r="M206" s="6">
        <f t="shared" si="71"/>
        <v>6.018518513883464E-3</v>
      </c>
      <c r="N206" s="7">
        <f t="shared" si="67"/>
        <v>8.6666666599921882</v>
      </c>
      <c r="O206" s="7"/>
      <c r="P206" s="7"/>
      <c r="Q206" s="22"/>
      <c r="R206" s="22"/>
      <c r="S206" s="31">
        <f t="shared" si="72"/>
        <v>1</v>
      </c>
      <c r="T206" s="46" t="str">
        <f t="shared" si="73"/>
        <v>Southbound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74"/>
        <v>https://d0f6bd738d7f1b3e5a7ca70fe4ff75f0.us-east-1.aws.found.io/app/kibana#/discover/Steve-Slow-Train-Analysis-(2080s-and-2083s)?_g=(refreshInterval:(display:Off,pause:!f,section:0,value:0),time:(from:'2017-03-01T01:52:36-0700',mode:absolute,to:'2017-03-01T04:03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6" s="187" t="str">
        <f t="shared" si="75"/>
        <v>Y</v>
      </c>
      <c r="X206" s="187">
        <f t="shared" si="68"/>
        <v>-545</v>
      </c>
      <c r="Y206" s="62">
        <f t="shared" si="76"/>
        <v>2.2810999999999999</v>
      </c>
      <c r="Z206" s="62">
        <f t="shared" si="69"/>
        <v>1.4500000000000001E-2</v>
      </c>
      <c r="AA206" s="62">
        <f t="shared" si="77"/>
        <v>2.2665999999999999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8"/>
        <v>0302-01</v>
      </c>
      <c r="AE206" s="85" t="str">
        <f t="shared" si="79"/>
        <v>aws s3 cp s3://rtdc.mdm.uploadarchive.raw/RTDC4010/ "%USERPROFILE%\AppData\Local\Temp\OnboardLogs"\RTDC4010\2017-03-01 --exclude "*" --recursive --include "*20170301*" &amp; "%USERPROFILE%\Documents\GitHub\mrs-test-scripts\Headless Mode &amp; Sideloading\WalkAndUnGZ.bat" "%USERPROFILE%\AppData\Local\Temp\OnboardLogs"\RTDC4010\2017-03-01 &amp; aws s3 cp s3://rtdc.mdm.uploadarchive.raw/RTDC4010/ "%USERPROFILE%\AppData\Local\Temp\OnboardLogs"\RTDC4010\2017-03-02 --exclude "*" --recursive --include "*20170302*" &amp; "%USERPROFILE%\Documents\GitHub\mrs-test-scripts\Headless Mode &amp; Sideloading\WalkAndUnGZ.bat" "%USERPROFILE%\AppData\Local\Temp\OnboardLogs"\RTDC4010\2017-03-02</v>
      </c>
      <c r="AF206" s="82" t="str">
        <f t="shared" si="80"/>
        <v>"C:\Program Files (x86)\AstroGrep\AstroGrep.exe" /spath="%USERPROFILE%\AppData\Local\Temp\OnboardLogs" /stypes="app*4010*20170301*" /stext=" 10:.+((SYSTEM_STATE.+slice.+state.+changed )|(ment ac)|(multiple cpu faults)|(system.+state.+changed )|(\[timeout)|(PRM\|1\|D)|(kpr)|(kdp)|(\|lc)|(penalty))" /e /r /s</v>
      </c>
      <c r="AG206" s="1" t="str">
        <f t="shared" si="81"/>
        <v>Other</v>
      </c>
      <c r="AH206" s="86" t="str">
        <f t="shared" si="82"/>
        <v>"%USERPROFILE%\Documents\GitHub\eaglep3\Utilities\RefineRTDCRunTimes.py" --tripid 302-01 --locoid 4010 --swversion DE.1.0.9.0 --startMP 300:22811 --initTime 2017-03-01T02:52:36 --startdatetime 2017-03-01T02:54:54 --delay 1 --endMP 204:145 --enddatetime 2017-03-01T03:03:34 --enforcementcount 0 &gt;&gt;C:\Users\stu\Documents\GitHub\eaglep3-reporting\EC\2017-03-01-refined-times.txt</v>
      </c>
      <c r="AI206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{"issue":{"subject":"","project_id":79,"tracker_id":40,"status_id":1,"priority_id":2,"assigned_to_id":23,"start_date":"2017-03-01","description":"","custom_fields":[{"id":1,"name":"Subdivision","value":"Other"},{"id":4,"name":"Milepost","value":"0.0145"},{"id":17,"name":"Train ID","value":"302-01"},{"id":16,"name":"Locomotive ID","value":"4010"},{"id":130,"name":"Impact","value":""},{"id":150,"name":"Time of Event (Mountain Time)","value":"03:03:34"},{"id":151,"name":"Denver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84"/>
        <v>start /low /b %USERPROFILE%\Documents\GitHub\eaglep3\Utilities\DownloadLogsFromS3.py --loco 4010 --day 2017-03-01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"%USERPROFILE%\AppData\Local\Temp\OnboardLogs"\RTDC4010\*4010*20170301* | grep -SE "(Enforcement Action)|(\[TIMEOUT)|(CHR.+\|PRM\|1\|D.+(SWITCH|SIGNAL).+UNKNOWN)" - &gt;&gt; 2017-03-01-UncaughtWiMAX.txt</v>
      </c>
    </row>
    <row r="207" spans="1:40" x14ac:dyDescent="0.25">
      <c r="A207" s="33" t="s">
        <v>480</v>
      </c>
      <c r="B207" s="7">
        <v>4023</v>
      </c>
      <c r="C207" s="21" t="s">
        <v>681</v>
      </c>
      <c r="D207" s="21" t="s">
        <v>753</v>
      </c>
      <c r="E207" s="13">
        <v>42795.141099537039</v>
      </c>
      <c r="F207" s="13">
        <v>42795.144849537035</v>
      </c>
      <c r="G207" s="7">
        <v>5</v>
      </c>
      <c r="H207" s="21" t="s">
        <v>253</v>
      </c>
      <c r="I207" s="13">
        <v>42795.149930555555</v>
      </c>
      <c r="J207" s="7">
        <v>0</v>
      </c>
      <c r="K207" s="98" t="str">
        <f t="shared" si="70"/>
        <v>4023/4024</v>
      </c>
      <c r="L207" s="21" t="str">
        <f>VLOOKUP(A207,'Trips&amp;Operators'!$C$1:$G$99999,5,FALSE)</f>
        <v>MAELZER KURT</v>
      </c>
      <c r="M207" s="6">
        <f t="shared" si="71"/>
        <v>5.0810185202863067E-3</v>
      </c>
      <c r="N207" s="7">
        <f t="shared" si="67"/>
        <v>7.3166666692122817</v>
      </c>
      <c r="O207" s="7"/>
      <c r="P207" s="7"/>
      <c r="Q207" s="22"/>
      <c r="R207" s="22"/>
      <c r="S207" s="31">
        <f t="shared" si="72"/>
        <v>1</v>
      </c>
      <c r="T207" s="46" t="str">
        <f t="shared" si="73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74"/>
        <v>https://d0f6bd738d7f1b3e5a7ca70fe4ff75f0.us-east-1.aws.found.io/app/kibana#/discover/Steve-Slow-Train-Analysis-(2080s-and-2083s)?_g=(refreshInterval:(display:Off,pause:!f,section:0,value:0),time:(from:'2017-03-01T02:23:11-0700',mode:absolute,to:'2017-03-01T04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7" s="187" t="str">
        <f t="shared" si="75"/>
        <v>Y</v>
      </c>
      <c r="X207" s="187">
        <f t="shared" si="68"/>
        <v>2</v>
      </c>
      <c r="Y207" s="62">
        <f t="shared" si="76"/>
        <v>2.0579000000000001</v>
      </c>
      <c r="Z207" s="62">
        <f t="shared" si="69"/>
        <v>1.5599999999999999E-2</v>
      </c>
      <c r="AA207" s="62">
        <f t="shared" si="77"/>
        <v>2.0423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8"/>
        <v>0304-01</v>
      </c>
      <c r="AE207" s="85" t="str">
        <f t="shared" si="79"/>
        <v>aws s3 cp s3://rtdc.mdm.uploadarchive.raw/RTDC4023/ "%USERPROFILE%\AppData\Local\Temp\OnboardLogs"\RTDC4023\2017-03-01 --exclude "*" --recursive --include "*20170301*" &amp; "%USERPROFILE%\Documents\GitHub\mrs-test-scripts\Headless Mode &amp; Sideloading\WalkAndUnGZ.bat" "%USERPROFILE%\AppData\Local\Temp\OnboardLogs"\RTDC4023\2017-03-01 &amp; aws s3 cp s3://rtdc.mdm.uploadarchive.raw/RTDC4023/ "%USERPROFILE%\AppData\Local\Temp\OnboardLogs"\RTDC4023\2017-03-02 --exclude "*" --recursive --include "*20170302*" &amp; "%USERPROFILE%\Documents\GitHub\mrs-test-scripts\Headless Mode &amp; Sideloading\WalkAndUnGZ.bat" "%USERPROFILE%\AppData\Local\Temp\OnboardLogs"\RTDC4023\2017-03-02</v>
      </c>
      <c r="AF207" s="82" t="str">
        <f t="shared" si="80"/>
        <v>"C:\Program Files (x86)\AstroGrep\AstroGrep.exe" /spath="%USERPROFILE%\AppData\Local\Temp\OnboardLogs" /stypes="app*4023*20170301*" /stext=" 10:.+((SYSTEM_STATE.+slice.+state.+changed )|(ment ac)|(multiple cpu faults)|(system.+state.+changed )|(\[timeout)|(PRM\|1\|D)|(kpr)|(kdp)|(\|lc)|(penalty))" /e /r /s</v>
      </c>
      <c r="AG207" s="1" t="str">
        <f t="shared" si="81"/>
        <v>Other</v>
      </c>
      <c r="AH207" s="86" t="str">
        <f t="shared" si="82"/>
        <v>"%USERPROFILE%\Documents\GitHub\eaglep3\Utilities\RefineRTDCRunTimes.py" --tripid 304-01 --locoid 4023 --swversion DE.1.0.8.0 --startMP 300:20579 --initTime 2017-03-01T03:23:11 --startdatetime 2017-03-01T03:28:35 --delay 5 --endMP 204:156 --enddatetime 2017-03-01T03:35:54 --enforcementcount 0 &gt;&gt;C:\Users\stu\Documents\GitHub\eaglep3-reporting\EC\2017-03-01-refined-times.txt</v>
      </c>
      <c r="AI207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{"issue":{"subject":"","project_id":79,"tracker_id":40,"status_id":1,"priority_id":2,"assigned_to_id":23,"start_date":"2017-03-01","description":"","custom_fields":[{"id":1,"name":"Subdivision","value":"Other"},{"id":4,"name":"Milepost","value":"0.0156"},{"id":17,"name":"Train ID","value":"304-01"},{"id":16,"name":"Locomotive ID","value":"4023"},{"id":130,"name":"Impact","value":""},{"id":150,"name":"Time of Event (Mountain Time)","value":"03:35:54"},{"id":151,"name":"Denver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4"/>
        <v>start /low /b %USERPROFILE%\Documents\GitHub\eaglep3\Utilities\DownloadLogsFromS3.py --loco 4023 --day 2017-03-01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"%USERPROFILE%\AppData\Local\Temp\OnboardLogs"\RTDC4023\*4023*20170301* | grep -SE "(Enforcement Action)|(\[TIMEOUT)|(CHR.+\|PRM\|1\|D.+(SWITCH|SIGNAL).+UNKNOWN)" - &gt;&gt; 2017-03-01-UncaughtWiMAX.txt</v>
      </c>
    </row>
    <row r="208" spans="1:40" x14ac:dyDescent="0.25">
      <c r="A208" s="33" t="s">
        <v>637</v>
      </c>
      <c r="B208" s="7">
        <v>4009</v>
      </c>
      <c r="C208" s="21" t="s">
        <v>266</v>
      </c>
      <c r="D208" s="21" t="s">
        <v>228</v>
      </c>
      <c r="E208" s="13">
        <v>42795.801944444444</v>
      </c>
      <c r="F208" s="13">
        <v>25568.708333333332</v>
      </c>
      <c r="G208" s="7">
        <v>1</v>
      </c>
      <c r="H208" s="21" t="s">
        <v>754</v>
      </c>
      <c r="I208" s="13">
        <v>25568.708333333332</v>
      </c>
      <c r="J208" s="7">
        <v>0</v>
      </c>
      <c r="K208" s="98" t="str">
        <f t="shared" si="70"/>
        <v>4009/4010</v>
      </c>
      <c r="L208" s="21" t="str">
        <f>VLOOKUP(A208,'Trips&amp;Operators'!$C$1:$G$99999,5,FALSE)</f>
        <v>SWANSON BRYCE</v>
      </c>
      <c r="M208" s="6">
        <f t="shared" si="71"/>
        <v>0</v>
      </c>
      <c r="N208" s="7">
        <f t="shared" si="67"/>
        <v>0</v>
      </c>
      <c r="O208" s="7"/>
      <c r="P208" s="7"/>
      <c r="Q208" s="22"/>
      <c r="R208" s="22"/>
      <c r="S208" s="31">
        <f t="shared" si="72"/>
        <v>1</v>
      </c>
      <c r="T208" s="46" t="str">
        <f t="shared" si="73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74"/>
        <v>https://d0f6bd738d7f1b3e5a7ca70fe4ff75f0.us-east-1.aws.found.io/app/kibana#/discover/Steve-Slow-Train-Analysis-(2080s-and-2083s)?_g=(refreshInterval:(display:Off,pause:!f,section:0,value:0),time:(from:'2017-03-01T18:14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8" s="187" t="str">
        <f t="shared" si="75"/>
        <v>Y</v>
      </c>
      <c r="X208" s="187">
        <f t="shared" si="68"/>
        <v>1</v>
      </c>
      <c r="Y208" s="62">
        <f t="shared" si="76"/>
        <v>4.5999999999999999E-2</v>
      </c>
      <c r="Z208" s="62">
        <f t="shared" si="69"/>
        <v>2.3346</v>
      </c>
      <c r="AA208" s="62">
        <f t="shared" si="77"/>
        <v>2.2886000000000002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8"/>
        <v>0305-01</v>
      </c>
      <c r="AE208" s="85" t="str">
        <f t="shared" si="79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8" s="82" t="str">
        <f t="shared" si="80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08" s="1" t="str">
        <f t="shared" si="81"/>
        <v>Other</v>
      </c>
      <c r="AH208" s="86" t="str">
        <f t="shared" si="82"/>
        <v>"%USERPROFILE%\Documents\GitHub\eaglep3\Utilities\RefineRTDCRunTimes.py" --tripid 305-01 --locoid 4009 --swversion DE.1.0.9.0 --startMP 204:460 --initTime 2017-03-01T19:14:48 --startdatetime 1969-12-31T17:00:00 --delay 1 --endMP 300:23346 --enddatetime 1969-12-31T17:00:00 --enforcementcount 0 &gt;&gt;C:\Users\stu\Documents\GitHub\eaglep3-reporting\EC\2017-03-01-refined-times.txt</v>
      </c>
      <c r="AI208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ID","value":"305-01"},{"id":16,"name":"Locomotive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4"/>
        <v>start /low /b %USERPROFILE%\Documents\GitHub\eaglep3\Utilities\DownloadLogsFromS3.py --loco 4009 --day 1969-12-31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2017-03-01-UncaughtWiMAX.txt</v>
      </c>
    </row>
    <row r="209" spans="1:40" x14ac:dyDescent="0.25">
      <c r="A209" s="33" t="s">
        <v>637</v>
      </c>
      <c r="B209" s="7">
        <v>4009</v>
      </c>
      <c r="C209" s="21" t="s">
        <v>266</v>
      </c>
      <c r="D209" s="21" t="s">
        <v>754</v>
      </c>
      <c r="E209" s="13">
        <v>42795.801944444444</v>
      </c>
      <c r="F209" s="13">
        <v>25568.708333333332</v>
      </c>
      <c r="G209" s="7">
        <v>10</v>
      </c>
      <c r="H209" s="21" t="s">
        <v>754</v>
      </c>
      <c r="I209" s="13">
        <v>25568.708333333332</v>
      </c>
      <c r="J209" s="7">
        <v>0</v>
      </c>
      <c r="K209" s="98" t="str">
        <f t="shared" si="70"/>
        <v>4009/4010</v>
      </c>
      <c r="L209" s="21" t="str">
        <f>VLOOKUP(A209,'Trips&amp;Operators'!$C$1:$G$99999,5,FALSE)</f>
        <v>SWANSON BRYCE</v>
      </c>
      <c r="M209" s="6">
        <f t="shared" si="71"/>
        <v>0</v>
      </c>
      <c r="N209" s="7">
        <f t="shared" si="67"/>
        <v>0</v>
      </c>
      <c r="O209" s="7"/>
      <c r="P209" s="7"/>
      <c r="Q209" s="22"/>
      <c r="R209" s="22"/>
      <c r="S209" s="31">
        <f t="shared" si="72"/>
        <v>0</v>
      </c>
      <c r="T209" s="46" t="str">
        <f t="shared" si="73"/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 t="shared" si="74"/>
        <v>https://d0f6bd738d7f1b3e5a7ca70fe4ff75f0.us-east-1.aws.found.io/app/kibana#/discover/Steve-Slow-Train-Analysis-(2080s-and-2083s)?_g=(refreshInterval:(display:Off,pause:!f,section:0,value:0),time:(from:'2017-03-01T18:14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187" t="str">
        <f t="shared" si="75"/>
        <v>Y</v>
      </c>
      <c r="X209" s="187">
        <f t="shared" si="68"/>
        <v>0</v>
      </c>
      <c r="Y209" s="62">
        <f t="shared" si="76"/>
        <v>2.3346</v>
      </c>
      <c r="Z209" s="62">
        <f t="shared" si="69"/>
        <v>2.3346</v>
      </c>
      <c r="AA209" s="62">
        <f t="shared" si="77"/>
        <v>0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8"/>
        <v>0305-01</v>
      </c>
      <c r="AE209" s="85" t="str">
        <f t="shared" si="79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9" s="82" t="str">
        <f t="shared" si="80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09" s="1" t="str">
        <f t="shared" si="81"/>
        <v>Other</v>
      </c>
      <c r="AH209" s="86" t="str">
        <f t="shared" si="82"/>
        <v>"%USERPROFILE%\Documents\GitHub\eaglep3\Utilities\RefineRTDCRunTimes.py" --tripid 305-01 --locoid 4009 --swversion DE.1.0.9.0 --startMP 300:23346 --initTime 2017-03-01T19:14:48 --startdatetime 1969-12-31T17:00:00 --delay 10 --endMP 300:23346 --enddatetime 1969-12-31T17:00:00 --enforcementcount 0 &gt;&gt;C:\Users\stu\Documents\GitHub\eaglep3-reporting\EC\2017-03-01-refined-times.txt</v>
      </c>
      <c r="AI209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ID","value":"305-01"},{"id":16,"name":"Locomotive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4"/>
        <v>start /low /b %USERPROFILE%\Documents\GitHub\eaglep3\Utilities\DownloadLogsFromS3.py --loco 4009 --day 1969-12-31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2017-03-01-UncaughtWiMAX.txt</v>
      </c>
    </row>
    <row r="210" spans="1:40" x14ac:dyDescent="0.25">
      <c r="A210" s="33" t="s">
        <v>428</v>
      </c>
      <c r="B210" s="7">
        <v>4012</v>
      </c>
      <c r="C210" s="21" t="s">
        <v>266</v>
      </c>
      <c r="D210" s="21" t="s">
        <v>755</v>
      </c>
      <c r="E210" s="13">
        <v>42795.161516203705</v>
      </c>
      <c r="F210" s="13">
        <v>42795.163888888892</v>
      </c>
      <c r="G210" s="7">
        <v>3</v>
      </c>
      <c r="H210" s="21" t="s">
        <v>207</v>
      </c>
      <c r="I210" s="13">
        <v>42795.169016203705</v>
      </c>
      <c r="J210" s="7">
        <v>0</v>
      </c>
      <c r="K210" s="98" t="str">
        <f t="shared" si="70"/>
        <v>4011/4012</v>
      </c>
      <c r="L210" s="21" t="str">
        <f>VLOOKUP(A210,'Trips&amp;Operators'!$C$1:$G$99999,5,FALSE)</f>
        <v>GEBRETEKLE DAGNEW</v>
      </c>
      <c r="M210" s="6">
        <f t="shared" si="71"/>
        <v>5.1273148128530011E-3</v>
      </c>
      <c r="N210" s="7">
        <f t="shared" si="67"/>
        <v>7.3833333305083215</v>
      </c>
      <c r="O210" s="7"/>
      <c r="P210" s="7"/>
      <c r="Q210" s="22"/>
      <c r="R210" s="22"/>
      <c r="S210" s="31">
        <f t="shared" si="72"/>
        <v>1</v>
      </c>
      <c r="T210" s="46" t="str">
        <f t="shared" si="73"/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74"/>
        <v>https://d0f6bd738d7f1b3e5a7ca70fe4ff75f0.us-east-1.aws.found.io/app/kibana#/discover/Steve-Slow-Train-Analysis-(2080s-and-2083s)?_g=(refreshInterval:(display:Off,pause:!f,section:0,value:0),time:(from:'2017-03-01T02:52:35-0700',mode:absolute,to:'2017-03-01T05:03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0" s="187" t="str">
        <f t="shared" si="75"/>
        <v>Y</v>
      </c>
      <c r="X210" s="187">
        <f t="shared" si="68"/>
        <v>1</v>
      </c>
      <c r="Y210" s="62">
        <f t="shared" si="76"/>
        <v>2.3441999999999998</v>
      </c>
      <c r="Z210" s="62">
        <f t="shared" si="69"/>
        <v>1.5800000000000002E-2</v>
      </c>
      <c r="AA210" s="62">
        <f t="shared" si="77"/>
        <v>2.3283999999999998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8"/>
        <v>0306-01</v>
      </c>
      <c r="AE210" s="85" t="str">
        <f t="shared" si="79"/>
        <v>aws s3 cp s3://rtdc.mdm.uploadarchive.raw/RTDC4012/ "%USERPROFILE%\AppData\Local\Temp\OnboardLogs"\RTDC4012\2017-03-01 --exclude "*" --recursive --include "*20170301*" &amp; "%USERPROFILE%\Documents\GitHub\mrs-test-scripts\Headless Mode &amp; Sideloading\WalkAndUnGZ.bat" "%USERPROFILE%\AppData\Local\Temp\OnboardLogs"\RTDC4012\2017-03-01 &amp; aws s3 cp s3://rtdc.mdm.uploadarchive.raw/RTDC4012/ "%USERPROFILE%\AppData\Local\Temp\OnboardLogs"\RTDC4012\2017-03-02 --exclude "*" --recursive --include "*20170302*" &amp; "%USERPROFILE%\Documents\GitHub\mrs-test-scripts\Headless Mode &amp; Sideloading\WalkAndUnGZ.bat" "%USERPROFILE%\AppData\Local\Temp\OnboardLogs"\RTDC4012\2017-03-02</v>
      </c>
      <c r="AF210" s="82" t="str">
        <f t="shared" si="80"/>
        <v>"C:\Program Files (x86)\AstroGrep\AstroGrep.exe" /spath="%USERPROFILE%\AppData\Local\Temp\OnboardLogs" /stypes="app*4012*20170301*" /stext=" 11:.+((SYSTEM_STATE.+slice.+state.+changed )|(ment ac)|(multiple cpu faults)|(system.+state.+changed )|(\[timeout)|(PRM\|1\|D)|(kpr)|(kdp)|(\|lc)|(penalty))" /e /r /s</v>
      </c>
      <c r="AG210" s="1" t="str">
        <f t="shared" si="81"/>
        <v>Other</v>
      </c>
      <c r="AH210" s="86" t="str">
        <f t="shared" si="82"/>
        <v>"%USERPROFILE%\Documents\GitHub\eaglep3\Utilities\RefineRTDCRunTimes.py" --tripid 306-01 --locoid 4012 --swversion DE.1.0.9.0 --startMP 300:23442 --initTime 2017-03-01T03:52:35 --startdatetime 2017-03-01T03:56:00 --delay 3 --endMP 204:158 --enddatetime 2017-03-01T04:03:23 --enforcementcount 0 &gt;&gt;C:\Users\stu\Documents\GitHub\eaglep3-reporting\EC\2017-03-01-refined-times.txt</v>
      </c>
      <c r="AI210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{"issue":{"subject":"","project_id":79,"tracker_id":40,"status_id":1,"priority_id":2,"assigned_to_id":23,"start_date":"2017-03-01","description":"","custom_fields":[{"id":1,"name":"Subdivision","value":"Other"},{"id":4,"name":"Milepost","value":"0.0158"},{"id":17,"name":"Train ID","value":"306-01"},{"id":16,"name":"Locomotive ID","value":"4012"},{"id":130,"name":"Impact","value":""},{"id":150,"name":"Time of Event (Mountain Time)","value":"04:03:23"},{"id":151,"name":"Denver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4"/>
        <v>start /low /b %USERPROFILE%\Documents\GitHub\eaglep3\Utilities\DownloadLogsFromS3.py --loco 4012 --day 2017-03-01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"%USERPROFILE%\AppData\Local\Temp\OnboardLogs"\RTDC4012\*4012*20170301* | grep -SE "(Enforcement Action)|(\[TIMEOUT)|(CHR.+\|PRM\|1\|D.+(SWITCH|SIGNAL).+UNKNOWN)" - &gt;&gt; 2017-03-01-UncaughtWiMAX.txt</v>
      </c>
    </row>
    <row r="211" spans="1:40" x14ac:dyDescent="0.25">
      <c r="A211" s="33" t="s">
        <v>643</v>
      </c>
      <c r="B211" s="7">
        <v>4024</v>
      </c>
      <c r="C211" s="21" t="s">
        <v>266</v>
      </c>
      <c r="D211" s="21" t="s">
        <v>228</v>
      </c>
      <c r="E211" s="13">
        <v>42795.819155092591</v>
      </c>
      <c r="F211" s="13">
        <v>25568.708333333332</v>
      </c>
      <c r="G211" s="7">
        <v>1</v>
      </c>
      <c r="H211" s="21" t="s">
        <v>754</v>
      </c>
      <c r="I211" s="13">
        <v>25568.708333333332</v>
      </c>
      <c r="J211" s="7">
        <v>0</v>
      </c>
      <c r="K211" s="98" t="str">
        <f t="shared" si="70"/>
        <v>4023/4024</v>
      </c>
      <c r="L211" s="21" t="str">
        <f>VLOOKUP(A211,'Trips&amp;Operators'!$C$1:$G$99999,5,FALSE)</f>
        <v>BRANNON JEFFREY</v>
      </c>
      <c r="M211" s="6">
        <f t="shared" si="71"/>
        <v>0</v>
      </c>
      <c r="N211" s="7">
        <f t="shared" si="67"/>
        <v>0</v>
      </c>
      <c r="O211" s="7"/>
      <c r="P211" s="7"/>
      <c r="Q211" s="22"/>
      <c r="R211" s="22"/>
      <c r="S211" s="31">
        <f t="shared" si="72"/>
        <v>1</v>
      </c>
      <c r="T211" s="46" t="str">
        <f t="shared" si="73"/>
        <v>NorthBound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74"/>
        <v>https://d0f6bd738d7f1b3e5a7ca70fe4ff75f0.us-east-1.aws.found.io/app/kibana#/discover/Steve-Slow-Train-Analysis-(2080s-and-2083s)?_g=(refreshInterval:(display:Off,pause:!f,section:0,value:0),time:(from:'2017-03-01T18:39:35-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1" s="187" t="str">
        <f t="shared" si="75"/>
        <v>Y</v>
      </c>
      <c r="X211" s="187">
        <f t="shared" si="68"/>
        <v>1</v>
      </c>
      <c r="Y211" s="62">
        <f t="shared" si="76"/>
        <v>4.5999999999999999E-2</v>
      </c>
      <c r="Z211" s="62">
        <f t="shared" si="69"/>
        <v>2.3346</v>
      </c>
      <c r="AA211" s="62">
        <f t="shared" si="77"/>
        <v>2.2886000000000002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8"/>
        <v>0307-01</v>
      </c>
      <c r="AE211" s="85" t="str">
        <f t="shared" si="79"/>
        <v>aws s3 cp s3://rtdc.mdm.uploadarchive.raw/RTDC4024/ "%USERPROFILE%\AppData\Local\Temp\OnboardLogs"\RTDC4024\1969-12-31 --exclude "*" --recursive --include "*19691231*" &amp; "%USERPROFILE%\Documents\GitHub\mrs-test-scripts\Headless Mode &amp; Sideloading\WalkAndUnGZ.bat" "%USERPROFILE%\AppData\Local\Temp\OnboardLogs"\RTDC4024\1969-12-31 &amp; aws s3 cp s3://rtdc.mdm.uploadarchive.raw/RTDC4024/ "%USERPROFILE%\AppData\Local\Temp\OnboardLogs"\RTDC4024\1970-01-01 --exclude "*" --recursive --include "*19700101*" &amp; "%USERPROFILE%\Documents\GitHub\mrs-test-scripts\Headless Mode &amp; Sideloading\WalkAndUnGZ.bat" "%USERPROFILE%\AppData\Local\Temp\OnboardLogs"\RTDC4024\1970-01-01</v>
      </c>
      <c r="AF211" s="82" t="str">
        <f t="shared" si="80"/>
        <v>"C:\Program Files (x86)\AstroGrep\AstroGrep.exe" /spath="%USERPROFILE%\AppData\Local\Temp\OnboardLogs" /stypes="app*4024*19700101*" /stext=" 00:.+((SYSTEM_STATE.+slice.+state.+changed )|(ment ac)|(multiple cpu faults)|(system.+state.+changed )|(\[timeout)|(PRM\|1\|D)|(kpr)|(kdp)|(\|lc)|(penalty))" /e /r /s</v>
      </c>
      <c r="AG211" s="1" t="str">
        <f t="shared" si="81"/>
        <v>Other</v>
      </c>
      <c r="AH211" s="86" t="str">
        <f t="shared" si="82"/>
        <v>"%USERPROFILE%\Documents\GitHub\eaglep3\Utilities\RefineRTDCRunTimes.py" --tripid 307-01 --locoid 4024 --swversion DE.1.0.9.0 --startMP 204:460 --initTime 2017-03-01T19:39:35 --startdatetime 1969-12-31T17:00:00 --delay 1 --endMP 300:23346 --enddatetime 1969-12-31T17:00:00 --enforcementcount 0 &gt;&gt;C:\Users\stu\Documents\GitHub\eaglep3-reporting\EC\2017-03-01-refined-times.txt</v>
      </c>
      <c r="AI211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ID","value":"307-01"},{"id":16,"name":"Locomotive ID","value":"4024"},{"id":130,"name":"Impact","value":""},{"id":150,"name":"Time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4"/>
        <v>start /low /b %USERPROFILE%\Documents\GitHub\eaglep3\Utilities\DownloadLogsFromS3.py --loco 4024 --day 1969-12-31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"%USERPROFILE%\AppData\Local\Temp\OnboardLogs"\RTDC4024\*4024*19700101* | grep -SE "(Enforcement Action)|(\[TIMEOUT)|(CHR.+\|PRM\|1\|D.+(SWITCH|SIGNAL).+UNKNOWN)" - &gt;&gt; 2017-03-01-UncaughtWiMAX.txt</v>
      </c>
    </row>
    <row r="212" spans="1:40" x14ac:dyDescent="0.25">
      <c r="A212" s="33" t="s">
        <v>672</v>
      </c>
      <c r="B212" s="7">
        <v>4002</v>
      </c>
      <c r="C212" s="21" t="s">
        <v>266</v>
      </c>
      <c r="D212" s="21" t="s">
        <v>228</v>
      </c>
      <c r="E212" s="13">
        <v>42796.050046296295</v>
      </c>
      <c r="F212" s="13">
        <v>25568.708333333332</v>
      </c>
      <c r="G212" s="7">
        <v>3</v>
      </c>
      <c r="H212" s="21" t="s">
        <v>756</v>
      </c>
      <c r="I212" s="13">
        <v>25568.708333333332</v>
      </c>
      <c r="J212" s="7">
        <v>0</v>
      </c>
      <c r="K212" s="98" t="str">
        <f t="shared" si="70"/>
        <v>4001/4002</v>
      </c>
      <c r="L212" s="21" t="str">
        <f>VLOOKUP(A212,'Trips&amp;Operators'!$C$1:$G$99999,5,FALSE)</f>
        <v>STORY SAMANTHA</v>
      </c>
      <c r="M212" s="6">
        <f t="shared" si="71"/>
        <v>0</v>
      </c>
      <c r="N212" s="7">
        <f t="shared" si="67"/>
        <v>0</v>
      </c>
      <c r="O212" s="7"/>
      <c r="P212" s="7"/>
      <c r="Q212" s="22"/>
      <c r="R212" s="22"/>
      <c r="S212" s="31">
        <f t="shared" si="72"/>
        <v>1</v>
      </c>
      <c r="T212" s="46" t="str">
        <f t="shared" si="73"/>
        <v>NorthBound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74"/>
        <v>https://d0f6bd738d7f1b3e5a7ca70fe4ff75f0.us-east-1.aws.found.io/app/kibana#/discover/Steve-Slow-Train-Analysis-(2080s-and-2083s)?_g=(refreshInterval:(display:Off,pause:!f,section:0,value:0),time:(from:'2017-03-02T00:12:04-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2" s="187" t="str">
        <f t="shared" si="75"/>
        <v>Y</v>
      </c>
      <c r="X212" s="187">
        <f t="shared" si="68"/>
        <v>2</v>
      </c>
      <c r="Y212" s="62">
        <f t="shared" si="76"/>
        <v>4.5999999999999999E-2</v>
      </c>
      <c r="Z212" s="62">
        <f t="shared" si="69"/>
        <v>2.3319999999999999</v>
      </c>
      <c r="AA212" s="62">
        <f t="shared" si="77"/>
        <v>2.286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8"/>
        <v>0309-01</v>
      </c>
      <c r="AE212" s="85" t="str">
        <f t="shared" si="79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2" s="82" t="str">
        <f t="shared" si="80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12" s="1" t="str">
        <f t="shared" si="81"/>
        <v>Other</v>
      </c>
      <c r="AH212" s="86" t="str">
        <f t="shared" si="82"/>
        <v>"%USERPROFILE%\Documents\GitHub\eaglep3\Utilities\RefineRTDCRunTimes.py" --tripid 309-01 --locoid 4002 --swversion DE.1.0.9.0 --startMP 204:460 --initTime 2017-03-02T01:12:04 --startdatetime 1969-12-31T17:00:00 --delay 3 --endMP 300:23320 --enddatetime 1969-12-31T17:00:00 --enforcementcount 0 &gt;&gt;C:\Users\stu\Documents\GitHub\eaglep3-reporting\EC\2017-03-01-refined-times.txt</v>
      </c>
      <c r="AI212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{"issue":{"subject":"","project_id":79,"tracker_id":40,"status_id":1,"priority_id":2,"assigned_to_id":23,"start_date":"1969-12-31","description":"","custom_fields":[{"id":1,"name":"Subdivision","value":"Other"},{"id":4,"name":"Milepost","value":"2.332"},{"id":17,"name":"Train ID","value":"309-01"},{"id":16,"name":"Locomotive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4"/>
        <v>start /low /b %USERPROFILE%\Documents\GitHub\eaglep3\Utilities\DownloadLogsFromS3.py --loco 4002 --day 1969-12-31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"%USERPROFILE%\AppData\Local\Temp\OnboardLogs"\RTDC4002\*4002*19700101* | grep -SE "(Enforcement Action)|(\[TIMEOUT)|(CHR.+\|PRM\|1\|D.+(SWITCH|SIGNAL).+UNKNOWN)" - &gt;&gt; 2017-03-01-UncaughtWiMAX.txt</v>
      </c>
    </row>
    <row r="213" spans="1:40" x14ac:dyDescent="0.25">
      <c r="A213" s="33" t="s">
        <v>490</v>
      </c>
      <c r="B213" s="7">
        <v>4021</v>
      </c>
      <c r="C213" s="21" t="s">
        <v>266</v>
      </c>
      <c r="D213" s="21" t="s">
        <v>757</v>
      </c>
      <c r="E213" s="13">
        <v>42795.180821759262</v>
      </c>
      <c r="F213" s="13">
        <v>42795.183877314812</v>
      </c>
      <c r="G213" s="7">
        <v>4</v>
      </c>
      <c r="H213" s="21" t="s">
        <v>256</v>
      </c>
      <c r="I213" s="13">
        <v>42795.188159722224</v>
      </c>
      <c r="J213" s="7">
        <v>0</v>
      </c>
      <c r="K213" s="98" t="str">
        <f t="shared" si="70"/>
        <v>4021/4022</v>
      </c>
      <c r="L213" s="21" t="str">
        <f>VLOOKUP(A213,'Trips&amp;Operators'!$C$1:$G$99999,5,FALSE)</f>
        <v>SANTIZO D. EDY</v>
      </c>
      <c r="M213" s="6">
        <f t="shared" si="71"/>
        <v>4.28240741166519E-3</v>
      </c>
      <c r="N213" s="7">
        <f t="shared" si="67"/>
        <v>6.1666666727978736</v>
      </c>
      <c r="O213" s="7"/>
      <c r="P213" s="7"/>
      <c r="Q213" s="22"/>
      <c r="R213" s="22"/>
      <c r="S213" s="31">
        <f t="shared" si="72"/>
        <v>1</v>
      </c>
      <c r="T213" s="46" t="str">
        <f t="shared" si="73"/>
        <v>Southbound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74"/>
        <v>https://d0f6bd738d7f1b3e5a7ca70fe4ff75f0.us-east-1.aws.found.io/app/kibana#/discover/Steve-Slow-Train-Analysis-(2080s-and-2083s)?_g=(refreshInterval:(display:Off,pause:!f,section:0,value:0),time:(from:'2017-03-01T03:20:23-0700',mode:absolute,to:'2017-03-01T05:30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3" s="187" t="str">
        <f t="shared" si="75"/>
        <v>Y</v>
      </c>
      <c r="X213" s="187">
        <f t="shared" si="68"/>
        <v>1</v>
      </c>
      <c r="Y213" s="62">
        <f t="shared" si="76"/>
        <v>1.9639</v>
      </c>
      <c r="Z213" s="62">
        <f t="shared" si="69"/>
        <v>1.47E-2</v>
      </c>
      <c r="AA213" s="62">
        <f t="shared" si="77"/>
        <v>1.9492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8"/>
        <v>0310-01</v>
      </c>
      <c r="AE213" s="85" t="str">
        <f t="shared" si="79"/>
        <v>aws s3 cp s3://rtdc.mdm.uploadarchive.raw/RTDC4021/ "%USERPROFILE%\AppData\Local\Temp\OnboardLogs"\RTDC4021\2017-03-01 --exclude "*" --recursive --include "*20170301*" &amp; "%USERPROFILE%\Documents\GitHub\mrs-test-scripts\Headless Mode &amp; Sideloading\WalkAndUnGZ.bat" "%USERPROFILE%\AppData\Local\Temp\OnboardLogs"\RTDC4021\2017-03-01 &amp; 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</v>
      </c>
      <c r="AF213" s="82" t="str">
        <f t="shared" si="80"/>
        <v>"C:\Program Files (x86)\AstroGrep\AstroGrep.exe" /spath="%USERPROFILE%\AppData\Local\Temp\OnboardLogs" /stypes="app*4021*20170301*" /stext=" 11:.+((SYSTEM_STATE.+slice.+state.+changed )|(ment ac)|(multiple cpu faults)|(system.+state.+changed )|(\[timeout)|(PRM\|1\|D)|(kpr)|(kdp)|(\|lc)|(penalty))" /e /r /s</v>
      </c>
      <c r="AG213" s="1" t="str">
        <f t="shared" si="81"/>
        <v>Other</v>
      </c>
      <c r="AH213" s="86" t="str">
        <f t="shared" si="82"/>
        <v>"%USERPROFILE%\Documents\GitHub\eaglep3\Utilities\RefineRTDCRunTimes.py" --tripid 310-01 --locoid 4021 --swversion DE.1.0.9.0 --startMP 300:19639 --initTime 2017-03-01T04:20:23 --startdatetime 2017-03-01T04:24:47 --delay 4 --endMP 204:147 --enddatetime 2017-03-01T04:30:57 --enforcementcount 0 &gt;&gt;C:\Users\stu\Documents\GitHub\eaglep3-reporting\EC\2017-03-01-refined-times.txt</v>
      </c>
      <c r="AI213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{"issue":{"subject":"","project_id":79,"tracker_id":40,"status_id":1,"priority_id":2,"assigned_to_id":23,"start_date":"2017-03-01","description":"","custom_fields":[{"id":1,"name":"Subdivision","value":"Other"},{"id":4,"name":"Milepost","value":"0.0147"},{"id":17,"name":"Train ID","value":"310-01"},{"id":16,"name":"Locomotive ID","value":"4021"},{"id":130,"name":"Impact","value":""},{"id":150,"name":"Time of Event (Mountain Time)","value":"04:30:57"},{"id":151,"name":"Denver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4"/>
        <v>start /low /b %USERPROFILE%\Documents\GitHub\eaglep3\Utilities\DownloadLogsFromS3.py --loco 4021 --day 2017-03-01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"%USERPROFILE%\AppData\Local\Temp\OnboardLogs"\RTDC4021\*4021*20170301* | grep -SE "(Enforcement Action)|(\[TIMEOUT)|(CHR.+\|PRM\|1\|D.+(SWITCH|SIGNAL).+UNKNOWN)" - &gt;&gt; 2017-03-01-UncaughtWiMAX.txt</v>
      </c>
    </row>
    <row r="214" spans="1:40" x14ac:dyDescent="0.25">
      <c r="A214" s="33" t="s">
        <v>674</v>
      </c>
      <c r="B214" s="7">
        <v>4011</v>
      </c>
      <c r="C214" s="21" t="s">
        <v>266</v>
      </c>
      <c r="D214" s="21" t="s">
        <v>255</v>
      </c>
      <c r="E214" s="13">
        <v>42796.067696759259</v>
      </c>
      <c r="F214" s="13">
        <v>25568.708333333332</v>
      </c>
      <c r="G214" s="7">
        <v>1</v>
      </c>
      <c r="H214" s="21" t="s">
        <v>758</v>
      </c>
      <c r="I214" s="13">
        <v>25568.708333333332</v>
      </c>
      <c r="J214" s="7">
        <v>0</v>
      </c>
      <c r="K214" s="98" t="str">
        <f t="shared" si="70"/>
        <v>4011/4012</v>
      </c>
      <c r="L214" s="21" t="str">
        <f>VLOOKUP(A214,'Trips&amp;Operators'!$C$1:$G$99999,5,FALSE)</f>
        <v>BROWN JACOB</v>
      </c>
      <c r="M214" s="6">
        <f t="shared" si="71"/>
        <v>0</v>
      </c>
      <c r="N214" s="7">
        <f t="shared" si="67"/>
        <v>0</v>
      </c>
      <c r="O214" s="7"/>
      <c r="P214" s="7"/>
      <c r="Q214" s="22"/>
      <c r="R214" s="22"/>
      <c r="S214" s="31">
        <f t="shared" si="72"/>
        <v>1</v>
      </c>
      <c r="T214" s="46" t="str">
        <f t="shared" si="73"/>
        <v>NorthBound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74"/>
        <v>https://d0f6bd738d7f1b3e5a7ca70fe4ff75f0.us-east-1.aws.found.io/app/kibana#/discover/Steve-Slow-Train-Analysis-(2080s-and-2083s)?_g=(refreshInterval:(display:Off,pause:!f,section:0,value:0),time:(from:'2017-03-02T00:37:29-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4" s="187" t="str">
        <f t="shared" si="75"/>
        <v>Y</v>
      </c>
      <c r="X214" s="187">
        <f t="shared" si="68"/>
        <v>1</v>
      </c>
      <c r="Y214" s="62">
        <f t="shared" si="76"/>
        <v>4.4400000000000002E-2</v>
      </c>
      <c r="Z214" s="62">
        <f t="shared" si="69"/>
        <v>2.331</v>
      </c>
      <c r="AA214" s="62">
        <f t="shared" si="77"/>
        <v>2.2866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8"/>
        <v>0311-01</v>
      </c>
      <c r="AE214" s="85" t="str">
        <f t="shared" si="79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4" s="82" t="str">
        <f t="shared" si="80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14" s="1" t="str">
        <f t="shared" si="81"/>
        <v>Other</v>
      </c>
      <c r="AH214" s="86" t="str">
        <f t="shared" si="82"/>
        <v>"%USERPROFILE%\Documents\GitHub\eaglep3\Utilities\RefineRTDCRunTimes.py" --tripid 311-01 --locoid 4011 --swversion DE.1.0.9.0 --startMP 204:444 --initTime 2017-03-02T01:37:29 --startdatetime 1969-12-31T17:00:00 --delay 1 --endMP 300:23310 --enddatetime 1969-12-31T17:00:00 --enforcementcount 0 &gt;&gt;C:\Users\stu\Documents\GitHub\eaglep3-reporting\EC\2017-03-01-refined-times.txt</v>
      </c>
      <c r="AI214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ID","value":"311-01"},{"id":16,"name":"Locomotive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4"/>
        <v>start /low /b %USERPROFILE%\Documents\GitHub\eaglep3\Utilities\DownloadLogsFromS3.py --loco 4011 --day 1969-12-31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2017-03-01-UncaughtWiMAX.txt</v>
      </c>
    </row>
    <row r="215" spans="1:40" x14ac:dyDescent="0.25">
      <c r="A215" s="33" t="s">
        <v>385</v>
      </c>
      <c r="B215" s="7">
        <v>4007</v>
      </c>
      <c r="C215" s="21" t="s">
        <v>266</v>
      </c>
      <c r="D215" s="21" t="s">
        <v>402</v>
      </c>
      <c r="E215" s="13">
        <v>42795.074988425928</v>
      </c>
      <c r="F215" s="13">
        <v>25568.708333333332</v>
      </c>
      <c r="G215" s="7">
        <v>1</v>
      </c>
      <c r="H215" s="21" t="s">
        <v>416</v>
      </c>
      <c r="I215" s="13">
        <v>25568.708333333332</v>
      </c>
      <c r="J215" s="7">
        <v>0</v>
      </c>
      <c r="K215" s="98" t="str">
        <f t="shared" si="70"/>
        <v>4007/4008</v>
      </c>
      <c r="L215" s="21" t="str">
        <f>VLOOKUP(A215,'Trips&amp;Operators'!$C$1:$G$99999,5,FALSE)</f>
        <v>STORY SAMANTHA</v>
      </c>
      <c r="M215" s="6">
        <f t="shared" si="71"/>
        <v>0</v>
      </c>
      <c r="N215" s="7">
        <f t="shared" si="67"/>
        <v>0</v>
      </c>
      <c r="O215" s="7"/>
      <c r="P215" s="7"/>
      <c r="Q215" s="22"/>
      <c r="R215" s="22"/>
      <c r="S215" s="31">
        <f t="shared" si="72"/>
        <v>1</v>
      </c>
      <c r="T215" s="46" t="str">
        <f t="shared" si="73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74"/>
        <v>https://d0f6bd738d7f1b3e5a7ca70fe4ff75f0.us-east-1.aws.found.io/app/kibana#/discover/Steve-Slow-Train-Analysis-(2080s-and-2083s)?_g=(refreshInterval:(display:Off,pause:!f,section:0,value:0),time:(from:'2017-03-01T00:47:59-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5" s="187" t="str">
        <f t="shared" si="75"/>
        <v>Y</v>
      </c>
      <c r="X215" s="187">
        <f t="shared" si="68"/>
        <v>0</v>
      </c>
      <c r="Y215" s="62">
        <f t="shared" si="76"/>
        <v>0.1169</v>
      </c>
      <c r="Z215" s="62">
        <f t="shared" si="69"/>
        <v>2.4214000000000002</v>
      </c>
      <c r="AA215" s="62">
        <f t="shared" si="77"/>
        <v>2.3045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8"/>
        <v>0311-28</v>
      </c>
      <c r="AE215" s="85" t="str">
        <f t="shared" si="79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5" s="82" t="str">
        <f t="shared" si="80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5" s="1" t="str">
        <f t="shared" si="81"/>
        <v>Other</v>
      </c>
      <c r="AH215" s="86" t="str">
        <f t="shared" si="82"/>
        <v>"%USERPROFILE%\Documents\GitHub\eaglep3\Utilities\RefineRTDCRunTimes.py" --tripid 311-28 --locoid 4007 --swversion DE.1.0.9.0 --startMP 204:1169 --initTime 2017-03-01T01:47:59 --startdatetime 1969-12-31T17:00:00 --delay 1 --endMP 300:24214 --enddatetime 1969-12-31T17:00:00 --enforcementcount 0 &gt;&gt;C:\Users\stu\Documents\GitHub\eaglep3-reporting\EC\2017-03-01-refined-times.txt</v>
      </c>
      <c r="AI215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ID","value":"311-28"},{"id":16,"name":"Locomotive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4"/>
        <v>start /low /b %USERPROFILE%\Documents\GitHub\eaglep3\Utilities\DownloadLogsFromS3.py --loco 4007 --day 1969-12-31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2017-03-01-UncaughtWiMAX.txt</v>
      </c>
    </row>
    <row r="216" spans="1:40" x14ac:dyDescent="0.25">
      <c r="A216" s="33" t="s">
        <v>387</v>
      </c>
      <c r="B216" s="7">
        <v>4018</v>
      </c>
      <c r="C216" s="21" t="s">
        <v>266</v>
      </c>
      <c r="D216" s="21" t="s">
        <v>417</v>
      </c>
      <c r="E216" s="13">
        <v>42795.08935185185</v>
      </c>
      <c r="F216" s="13">
        <v>42795.090624999997</v>
      </c>
      <c r="G216" s="7">
        <v>1</v>
      </c>
      <c r="H216" s="21" t="s">
        <v>418</v>
      </c>
      <c r="I216" s="13">
        <v>42795.097361111111</v>
      </c>
      <c r="J216" s="7">
        <v>0</v>
      </c>
      <c r="K216" s="98" t="str">
        <f t="shared" si="70"/>
        <v>4017/4018</v>
      </c>
      <c r="L216" s="21" t="str">
        <f>VLOOKUP(A216,'Trips&amp;Operators'!$C$1:$G$99999,5,FALSE)</f>
        <v>STAMBAUGH JAMES</v>
      </c>
      <c r="M216" s="6">
        <f t="shared" si="71"/>
        <v>6.7361111141508445E-3</v>
      </c>
      <c r="N216" s="7">
        <f t="shared" si="67"/>
        <v>9.7000000043772161</v>
      </c>
      <c r="O216" s="7"/>
      <c r="P216" s="7"/>
      <c r="Q216" s="22"/>
      <c r="R216" s="22"/>
      <c r="S216" s="31">
        <f t="shared" si="72"/>
        <v>1</v>
      </c>
      <c r="T216" s="46" t="str">
        <f t="shared" si="73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74"/>
        <v>https://d0f6bd738d7f1b3e5a7ca70fe4ff75f0.us-east-1.aws.found.io/app/kibana#/discover/Steve-Slow-Train-Analysis-(2080s-and-2083s)?_g=(refreshInterval:(display:Off,pause:!f,section:0,value:0),time:(from:'2017-03-01T01:08:40-0700',mode:absolute,to:'2017-03-01T03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187" t="str">
        <f t="shared" si="75"/>
        <v>Y</v>
      </c>
      <c r="X216" s="187">
        <f t="shared" si="68"/>
        <v>2</v>
      </c>
      <c r="Y216" s="62">
        <f t="shared" si="76"/>
        <v>7.5200000000000003E-2</v>
      </c>
      <c r="Z216" s="62">
        <f t="shared" si="69"/>
        <v>2.4192999999999998</v>
      </c>
      <c r="AA216" s="62">
        <f t="shared" si="77"/>
        <v>2.3440999999999996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8"/>
        <v>0313-28</v>
      </c>
      <c r="AE216" s="85" t="str">
        <f t="shared" si="79"/>
        <v>aws s3 cp s3://rtdc.mdm.uploadarchive.raw/RTDC4018/ "%USERPROFILE%\AppData\Local\Temp\OnboardLogs"\RTDC4018\2017-03-01 --exclude "*" --recursive --include "*20170301*" &amp; "%USERPROFILE%\Documents\GitHub\mrs-test-scripts\Headless Mode &amp; Sideloading\WalkAndUnGZ.bat" "%USERPROFILE%\AppData\Local\Temp\OnboardLogs"\RTDC4018\2017-03-01 &amp; aws s3 cp s3://rtdc.mdm.uploadarchive.raw/RTDC4018/ "%USERPROFILE%\AppData\Local\Temp\OnboardLogs"\RTDC4018\2017-03-02 --exclude "*" --recursive --include "*20170302*" &amp; "%USERPROFILE%\Documents\GitHub\mrs-test-scripts\Headless Mode &amp; Sideloading\WalkAndUnGZ.bat" "%USERPROFILE%\AppData\Local\Temp\OnboardLogs"\RTDC4018\2017-03-02</v>
      </c>
      <c r="AF216" s="82" t="str">
        <f t="shared" si="80"/>
        <v>"C:\Program Files (x86)\AstroGrep\AstroGrep.exe" /spath="%USERPROFILE%\AppData\Local\Temp\OnboardLogs" /stypes="app*4018*20170301*" /stext=" 09:.+((SYSTEM_STATE.+slice.+state.+changed )|(ment ac)|(multiple cpu faults)|(system.+state.+changed )|(\[timeout)|(PRM\|1\|D)|(kpr)|(kdp)|(\|lc)|(penalty))" /e /r /s</v>
      </c>
      <c r="AG216" s="1" t="str">
        <f t="shared" si="81"/>
        <v>Other</v>
      </c>
      <c r="AH216" s="86" t="str">
        <f t="shared" si="82"/>
        <v>"%USERPROFILE%\Documents\GitHub\eaglep3\Utilities\RefineRTDCRunTimes.py" --tripid 313-28 --locoid 4018 --swversion DE.1.0.9.0 --startMP 204:752 --initTime 2017-03-01T02:08:40 --startdatetime 2017-03-01T02:10:30 --delay 1 --endMP 300:24193 --enddatetime 2017-03-01T02:20:12 --enforcementcount 0 &gt;&gt;C:\Users\stu\Documents\GitHub\eaglep3-reporting\EC\2017-03-01-refined-times.txt</v>
      </c>
      <c r="AI216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{"issue":{"subject":"","project_id":79,"tracker_id":40,"status_id":1,"priority_id":2,"assigned_to_id":23,"start_date":"2017-03-01","description":"","custom_fields":[{"id":1,"name":"Subdivision","value":"Other"},{"id":4,"name":"Milepost","value":"2.4193"},{"id":17,"name":"Train ID","value":"313-28"},{"id":16,"name":"Locomotive ID","value":"4018"},{"id":130,"name":"Impact","value":""},{"id":150,"name":"Time of Event (Mountain Time)","value":"02:20:12"},{"id":151,"name":"Denver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4"/>
        <v>start /low /b %USERPROFILE%\Documents\GitHub\eaglep3\Utilities\DownloadLogsFromS3.py --loco 4018 --day 2017-03-01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"%USERPROFILE%\AppData\Local\Temp\OnboardLogs"\RTDC4018\*4018*20170301* | grep -SE "(Enforcement Action)|(\[TIMEOUT)|(CHR.+\|PRM\|1\|D.+(SWITCH|SIGNAL).+UNKNOWN)" - &gt;&gt; 2017-03-01-UncaughtWiMAX.txt</v>
      </c>
    </row>
    <row r="217" spans="1:40" x14ac:dyDescent="0.25">
      <c r="A217" s="33" t="s">
        <v>495</v>
      </c>
      <c r="B217" s="7">
        <v>4014</v>
      </c>
      <c r="C217" s="21" t="s">
        <v>266</v>
      </c>
      <c r="D217" s="21" t="s">
        <v>823</v>
      </c>
      <c r="E217" s="13">
        <v>42795.202800925923</v>
      </c>
      <c r="F217" s="13">
        <v>42795.206435185188</v>
      </c>
      <c r="G217" s="7">
        <v>5</v>
      </c>
      <c r="H217" s="21" t="s">
        <v>304</v>
      </c>
      <c r="I217" s="13">
        <v>42795.21193287037</v>
      </c>
      <c r="J217" s="7">
        <v>0</v>
      </c>
      <c r="K217" s="98" t="str">
        <f t="shared" si="70"/>
        <v>4013/4014</v>
      </c>
      <c r="L217" s="21" t="str">
        <f>VLOOKUP(A217,'Trips&amp;Operators'!$C$1:$G$99999,5,FALSE)</f>
        <v>YORK EDGAR</v>
      </c>
      <c r="M217" s="6">
        <f t="shared" si="71"/>
        <v>5.4976851824903861E-3</v>
      </c>
      <c r="N217" s="7">
        <f t="shared" si="67"/>
        <v>7.9166666627861559</v>
      </c>
      <c r="O217" s="7"/>
      <c r="P217" s="7"/>
      <c r="Q217" s="22"/>
      <c r="R217" s="22"/>
      <c r="S217" s="31">
        <f t="shared" si="72"/>
        <v>0</v>
      </c>
      <c r="T217" s="46" t="str">
        <f t="shared" si="73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74"/>
        <v>https://d0f6bd738d7f1b3e5a7ca70fe4ff75f0.us-east-1.aws.found.io/app/kibana#/discover/Steve-Slow-Train-Analysis-(2080s-and-2083s)?_g=(refreshInterval:(display:Off,pause:!f,section:0,value:0),time:(from:'2017-03-01T03:52:02-0700',mode:absolute,to:'2017-03-01T06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7" s="187" t="str">
        <f t="shared" si="75"/>
        <v>Y</v>
      </c>
      <c r="X217" s="187">
        <f t="shared" si="68"/>
        <v>588</v>
      </c>
      <c r="Y217" s="62">
        <f t="shared" si="76"/>
        <v>3.0379</v>
      </c>
      <c r="Z217" s="62">
        <f t="shared" si="69"/>
        <v>5.8935000000000004</v>
      </c>
      <c r="AA217" s="62">
        <f t="shared" si="77"/>
        <v>2.8556000000000004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8"/>
        <v>0901-01</v>
      </c>
      <c r="AE217" s="85" t="str">
        <f t="shared" si="79"/>
        <v>aws s3 cp s3://rtdc.mdm.uploadarchive.raw/RTDC4014/ "%USERPROFILE%\AppData\Local\Temp\OnboardLogs"\RTDC4014\2017-03-01 --exclude "*" --recursive --include "*20170301*" &amp; "%USERPROFILE%\Documents\GitHub\mrs-test-scripts\Headless Mode &amp; Sideloading\WalkAndUnGZ.bat" "%USERPROFILE%\AppData\Local\Temp\OnboardLogs"\RTDC4014\2017-03-01 &amp; 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</v>
      </c>
      <c r="AF217" s="82" t="str">
        <f t="shared" si="80"/>
        <v>"C:\Program Files (x86)\AstroGrep\AstroGrep.exe" /spath="%USERPROFILE%\AppData\Local\Temp\OnboardLogs" /stypes="app*4014*20170301*" /stext=" 12:.+((SYSTEM_STATE.+slice.+state.+changed )|(ment ac)|(multiple cpu faults)|(system.+state.+changed )|(\[timeout)|(PRM\|1\|D)|(kpr)|(kdp)|(\|lc)|(penalty))" /e /r /s</v>
      </c>
      <c r="AG217" s="1" t="str">
        <f t="shared" si="81"/>
        <v>Other</v>
      </c>
      <c r="AH217" s="86" t="str">
        <f t="shared" si="82"/>
        <v>"%USERPROFILE%\Documents\GitHub\eaglep3\Utilities\RefineRTDCRunTimes.py" --tripid 901-01 --locoid 4014 --swversion DE.1.0.9.0 --startMP 300:30379 --initTime 2017-03-01T04:52:02 --startdatetime 2017-03-01T04:57:16 --delay 5 --endMP 300:58935 --enddatetime 2017-03-01T05:05:11 --enforcementcount 0 &gt;&gt;C:\Users\stu\Documents\GitHub\eaglep3-reporting\EC\2017-03-01-refined-times.txt</v>
      </c>
      <c r="AI217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{"issue":{"subject":"","project_id":79,"tracker_id":40,"status_id":1,"priority_id":2,"assigned_to_id":23,"start_date":"2017-03-01","description":"","custom_fields":[{"id":1,"name":"Subdivision","value":"Other"},{"id":4,"name":"Milepost","value":"5.8935"},{"id":17,"name":"Train ID","value":"901-01"},{"id":16,"name":"Locomotive ID","value":"4014"},{"id":130,"name":"Impact","value":""},{"id":150,"name":"Time of Event (Mountain Time)","value":"05:05:11"},{"id":151,"name":"Denver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4"/>
        <v>start /low /b %USERPROFILE%\Documents\GitHub\eaglep3\Utilities\DownloadLogsFromS3.py --loco 4014 --day 2017-03-01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"%USERPROFILE%\AppData\Local\Temp\OnboardLogs"\RTDC4014\*4014*20170301* | grep -SE "(Enforcement Action)|(\[TIMEOUT)|(CHR.+\|PRM\|1\|D.+(SWITCH|SIGNAL).+UNKNOWN)" - &gt;&gt; 2017-03-01-UncaughtWiMAX.txt</v>
      </c>
    </row>
    <row r="218" spans="1:40" x14ac:dyDescent="0.25">
      <c r="A218" s="33" t="s">
        <v>506</v>
      </c>
      <c r="B218" s="7">
        <v>4026</v>
      </c>
      <c r="C218" s="21" t="s">
        <v>266</v>
      </c>
      <c r="D218" s="21" t="s">
        <v>824</v>
      </c>
      <c r="E218" s="13">
        <v>42795.248124999998</v>
      </c>
      <c r="F218" s="13">
        <v>42795.254895833335</v>
      </c>
      <c r="G218" s="7">
        <v>9</v>
      </c>
      <c r="H218" s="21" t="s">
        <v>797</v>
      </c>
      <c r="I218" s="13">
        <v>42795.259525462963</v>
      </c>
      <c r="J218" s="7">
        <v>0</v>
      </c>
      <c r="K218" s="98" t="str">
        <f t="shared" si="70"/>
        <v>4025/4026</v>
      </c>
      <c r="L218" s="21" t="str">
        <f>VLOOKUP(A218,'Trips&amp;Operators'!$C$1:$G$99999,5,FALSE)</f>
        <v>LOZA FIDEL</v>
      </c>
      <c r="M218" s="6">
        <f t="shared" si="71"/>
        <v>4.6296296277432702E-3</v>
      </c>
      <c r="N218" s="7">
        <f t="shared" si="67"/>
        <v>6.6666666639503092</v>
      </c>
      <c r="O218" s="7"/>
      <c r="P218" s="7"/>
      <c r="Q218" s="22"/>
      <c r="R218" s="22"/>
      <c r="S218" s="31">
        <f t="shared" si="72"/>
        <v>1</v>
      </c>
      <c r="T218" s="46" t="str">
        <f t="shared" si="73"/>
        <v>Southbound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74"/>
        <v>https://d0f6bd738d7f1b3e5a7ca70fe4ff75f0.us-east-1.aws.found.io/app/kibana#/discover/Steve-Slow-Train-Analysis-(2080s-and-2083s)?_g=(refreshInterval:(display:Off,pause:!f,section:0,value:0),time:(from:'2017-03-01T04:57:18-0700',mode:absolute,to:'2017-03-01T07:13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8" s="187" t="str">
        <f t="shared" si="75"/>
        <v>Y</v>
      </c>
      <c r="X218" s="187">
        <f t="shared" si="68"/>
        <v>1</v>
      </c>
      <c r="Y218" s="62">
        <f t="shared" si="76"/>
        <v>2.2031999999999998</v>
      </c>
      <c r="Z218" s="62">
        <f t="shared" si="69"/>
        <v>6.7500000000000004E-2</v>
      </c>
      <c r="AA218" s="62">
        <f t="shared" si="77"/>
        <v>2.1356999999999999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8"/>
        <v>0902-01</v>
      </c>
      <c r="AE218" s="85" t="str">
        <f t="shared" si="79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218" s="82" t="str">
        <f t="shared" si="80"/>
        <v>"C:\Program Files (x86)\AstroGrep\AstroGrep.exe" /spath="%USERPROFILE%\AppData\Local\Temp\OnboardLogs" /stypes="app*4026*20170301*" /stext=" 13:.+((SYSTEM_STATE.+slice.+state.+changed )|(ment ac)|(multiple cpu faults)|(system.+state.+changed )|(\[timeout)|(PRM\|1\|D)|(kpr)|(kdp)|(\|lc)|(penalty))" /e /r /s</v>
      </c>
      <c r="AG218" s="1" t="str">
        <f t="shared" si="81"/>
        <v>Other</v>
      </c>
      <c r="AH218" s="86" t="str">
        <f t="shared" si="82"/>
        <v>"%USERPROFILE%\Documents\GitHub\eaglep3\Utilities\RefineRTDCRunTimes.py" --tripid 902-01 --locoid 4026 --swversion DE.1.0.9.0 --startMP 300:22032 --initTime 2017-03-01T05:57:18 --startdatetime 2017-03-01T06:07:03 --delay 9 --endMP 204:675 --enddatetime 2017-03-01T06:13:43 --enforcementcount 0 &gt;&gt;C:\Users\stu\Documents\GitHub\eaglep3-reporting\EC\2017-03-01-refined-times.txt</v>
      </c>
      <c r="AI218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{"issue":{"subject":"","project_id":79,"tracker_id":40,"status_id":1,"priority_id":2,"assigned_to_id":23,"start_date":"2017-03-01","description":"","custom_fields":[{"id":1,"name":"Subdivision","value":"Other"},{"id":4,"name":"Milepost","value":"0.0675"},{"id":17,"name":"Train ID","value":"902-01"},{"id":16,"name":"Locomotive ID","value":"4026"},{"id":130,"name":"Impact","value":""},{"id":150,"name":"Time of Event (Mountain Time)","value":"06:13:43"},{"id":151,"name":"Denver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4"/>
        <v>start /low /b %USERPROFILE%\Documents\GitHub\eaglep3\Utilities\DownloadLogsFromS3.py --loco 4026 --day 2017-03-01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"%USERPROFILE%\AppData\Local\Temp\OnboardLogs"\RTDC4026\*4026*20170301* | grep -SE "(Enforcement Action)|(\[TIMEOUT)|(CHR.+\|PRM\|1\|D.+(SWITCH|SIGNAL).+UNKNOWN)" - &gt;&gt; 2017-03-01-UncaughtWiMAX.txt</v>
      </c>
    </row>
    <row r="219" spans="1:40" x14ac:dyDescent="0.25">
      <c r="A219" s="33" t="s">
        <v>530</v>
      </c>
      <c r="B219" s="7">
        <v>4014</v>
      </c>
      <c r="C219" s="21" t="s">
        <v>266</v>
      </c>
      <c r="D219" s="21" t="s">
        <v>825</v>
      </c>
      <c r="E219" s="13">
        <v>42795.353055555555</v>
      </c>
      <c r="F219" s="13">
        <v>25568.708333333332</v>
      </c>
      <c r="G219" s="7">
        <v>1</v>
      </c>
      <c r="H219" s="21" t="s">
        <v>826</v>
      </c>
      <c r="I219" s="13">
        <v>25568.708333333332</v>
      </c>
      <c r="J219" s="7">
        <v>0</v>
      </c>
      <c r="K219" s="98" t="str">
        <f t="shared" si="70"/>
        <v>4013/4014</v>
      </c>
      <c r="L219" s="21" t="str">
        <f>VLOOKUP(A219,'Trips&amp;Operators'!$C$1:$G$99999,5,FALSE)</f>
        <v>YORK EDGAR</v>
      </c>
      <c r="M219" s="6">
        <f t="shared" si="71"/>
        <v>0</v>
      </c>
      <c r="N219" s="7">
        <f t="shared" si="67"/>
        <v>0</v>
      </c>
      <c r="O219" s="7"/>
      <c r="P219" s="7"/>
      <c r="Q219" s="22"/>
      <c r="R219" s="22"/>
      <c r="S219" s="31">
        <f t="shared" si="72"/>
        <v>1</v>
      </c>
      <c r="T219" s="46" t="str">
        <f t="shared" si="73"/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 t="shared" si="74"/>
        <v>https://d0f6bd738d7f1b3e5a7ca70fe4ff75f0.us-east-1.aws.found.io/app/kibana#/discover/Steve-Slow-Train-Analysis-(2080s-and-2083s)?_g=(refreshInterval:(display:Off,pause:!f,section:0,value:0),time:(from:'2017-03-01T07:28:24-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9" s="187" t="str">
        <f t="shared" si="75"/>
        <v>Y</v>
      </c>
      <c r="X219" s="187">
        <f t="shared" si="68"/>
        <v>1</v>
      </c>
      <c r="Y219" s="62">
        <f t="shared" si="76"/>
        <v>4.41E-2</v>
      </c>
      <c r="Z219" s="62">
        <f t="shared" si="69"/>
        <v>2.4258000000000002</v>
      </c>
      <c r="AA219" s="62">
        <f t="shared" si="77"/>
        <v>2.3817000000000004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8"/>
        <v>0903-01</v>
      </c>
      <c r="AE219" s="85" t="str">
        <f t="shared" si="79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9" s="82" t="str">
        <f t="shared" si="80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9" s="1" t="str">
        <f t="shared" si="81"/>
        <v>Other</v>
      </c>
      <c r="AH219" s="86" t="str">
        <f t="shared" si="82"/>
        <v>"%USERPROFILE%\Documents\GitHub\eaglep3\Utilities\RefineRTDCRunTimes.py" --tripid 903-01 --locoid 4014 --swversion DE.1.0.9.0 --startMP 204:441 --initTime 2017-03-01T08:28:24 --startdatetime 1969-12-31T17:00:00 --delay 1 --endMP 300:24258 --enddatetime 1969-12-31T17:00:00 --enforcementcount 0 &gt;&gt;C:\Users\stu\Documents\GitHub\eaglep3-reporting\EC\2017-03-01-refined-times.txt</v>
      </c>
      <c r="AI219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{"issue":{"subject":"","project_id":79,"tracker_id":40,"status_id":1,"priority_id":2,"assigned_to_id":23,"start_date":"1969-12-31","description":"","custom_fields":[{"id":1,"name":"Subdivision","value":"Other"},{"id":4,"name":"Milepost","value":"2.4258"},{"id":17,"name":"Train ID","value":"903-01"},{"id":16,"name":"Locomotive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4"/>
        <v>start /low /b %USERPROFILE%\Documents\GitHub\eaglep3\Utilities\DownloadLogsFromS3.py --loco 4014 --day 1969-12-31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"%USERPROFILE%\AppData\Local\Temp\OnboardLogs"\RTDC4014\*4014*19700101* | grep -SE "(Enforcement Action)|(\[TIMEOUT)|(CHR.+\|PRM\|1\|D.+(SWITCH|SIGNAL).+UNKNOWN)" - &gt;&gt; 2017-03-01-UncaughtWiMAX.txt</v>
      </c>
    </row>
    <row r="220" spans="1:40" x14ac:dyDescent="0.25">
      <c r="A220" s="33" t="s">
        <v>455</v>
      </c>
      <c r="B220" s="7">
        <v>4013</v>
      </c>
      <c r="C220" s="21" t="s">
        <v>266</v>
      </c>
      <c r="D220" s="21" t="s">
        <v>827</v>
      </c>
      <c r="E220" s="13">
        <v>42795.644166666665</v>
      </c>
      <c r="F220" s="13">
        <v>42795.645324074074</v>
      </c>
      <c r="G220" s="7">
        <v>1</v>
      </c>
      <c r="H220" s="21" t="s">
        <v>828</v>
      </c>
      <c r="I220" s="13">
        <v>42795.651423611111</v>
      </c>
      <c r="J220" s="7">
        <v>0</v>
      </c>
      <c r="K220" s="98" t="str">
        <f t="shared" si="70"/>
        <v>4013/4014</v>
      </c>
      <c r="L220" s="21" t="str">
        <f>VLOOKUP(A220,'Trips&amp;Operators'!$C$1:$G$99999,5,FALSE)</f>
        <v>CHANDLER KELVIN</v>
      </c>
      <c r="M220" s="6">
        <f t="shared" si="71"/>
        <v>6.0995370367891155E-3</v>
      </c>
      <c r="N220" s="7">
        <f t="shared" si="67"/>
        <v>8.7833333329763263</v>
      </c>
      <c r="O220" s="7"/>
      <c r="P220" s="7"/>
      <c r="Q220" s="22"/>
      <c r="R220" s="22"/>
      <c r="S220" s="31">
        <f t="shared" si="72"/>
        <v>1</v>
      </c>
      <c r="T220" s="46" t="str">
        <f t="shared" si="73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 t="shared" si="74"/>
        <v>https://d0f6bd738d7f1b3e5a7ca70fe4ff75f0.us-east-1.aws.found.io/app/kibana#/discover/Steve-Slow-Train-Analysis-(2080s-and-2083s)?_g=(refreshInterval:(display:Off,pause:!f,section:0,value:0),time:(from:'2017-03-01T14:27:36-0700',mode:absolute,to:'2017-03-01T16:38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0" s="187" t="str">
        <f t="shared" si="75"/>
        <v>Y</v>
      </c>
      <c r="X220" s="187">
        <f t="shared" si="68"/>
        <v>1</v>
      </c>
      <c r="Y220" s="62">
        <f t="shared" si="76"/>
        <v>2.3125</v>
      </c>
      <c r="Z220" s="62">
        <f t="shared" si="69"/>
        <v>6.3299999999999995E-2</v>
      </c>
      <c r="AA220" s="62">
        <f t="shared" si="77"/>
        <v>2.2492000000000001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8"/>
        <v>0904-01</v>
      </c>
      <c r="AE220" s="85" t="str">
        <f t="shared" si="79"/>
        <v>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 &amp; 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</v>
      </c>
      <c r="AF220" s="82" t="str">
        <f t="shared" si="80"/>
        <v>"C:\Program Files (x86)\AstroGrep\AstroGrep.exe" /spath="%USERPROFILE%\AppData\Local\Temp\OnboardLogs" /stypes="app*4013*20170301*" /stext=" 22:.+((SYSTEM_STATE.+slice.+state.+changed )|(ment ac)|(multiple cpu faults)|(system.+state.+changed )|(\[timeout)|(PRM\|1\|D)|(kpr)|(kdp)|(\|lc)|(penalty))" /e /r /s</v>
      </c>
      <c r="AG220" s="1" t="str">
        <f t="shared" si="81"/>
        <v>Other</v>
      </c>
      <c r="AH220" s="86" t="str">
        <f t="shared" si="82"/>
        <v>"%USERPROFILE%\Documents\GitHub\eaglep3\Utilities\RefineRTDCRunTimes.py" --tripid 904-01 --locoid 4013 --swversion DE.1.0.9.0 --startMP 300:23125 --initTime 2017-03-01T15:27:36 --startdatetime 2017-03-01T15:29:16 --delay 1 --endMP 204:633 --enddatetime 2017-03-01T15:38:03 --enforcementcount 0 &gt;&gt;C:\Users\stu\Documents\GitHub\eaglep3-reporting\EC\2017-03-01-refined-times.txt</v>
      </c>
      <c r="AI220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{"issue":{"subject":"","project_id":79,"tracker_id":40,"status_id":1,"priority_id":2,"assigned_to_id":23,"start_date":"2017-03-01","description":"","custom_fields":[{"id":1,"name":"Subdivision","value":"Other"},{"id":4,"name":"Milepost","value":"0.0633"},{"id":17,"name":"Train ID","value":"904-01"},{"id":16,"name":"Locomotive ID","value":"4013"},{"id":130,"name":"Impact","value":""},{"id":150,"name":"Time of Event (Mountain Time)","value":"15:38:03"},{"id":151,"name":"Denver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4"/>
        <v>start /low /b %USERPROFILE%\Documents\GitHub\eaglep3\Utilities\DownloadLogsFromS3.py --loco 4013 --day 2017-03-01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"%USERPROFILE%\AppData\Local\Temp\OnboardLogs"\RTDC4013\*4013*20170301* | grep -SE "(Enforcement Action)|(\[TIMEOUT)|(CHR.+\|PRM\|1\|D.+(SWITCH|SIGNAL).+UNKNOWN)" - &gt;&gt; 2017-03-01-UncaughtWiMAX.txt</v>
      </c>
    </row>
    <row r="221" spans="1:40" x14ac:dyDescent="0.25">
      <c r="A221" s="33" t="s">
        <v>635</v>
      </c>
      <c r="B221" s="7">
        <v>4013</v>
      </c>
      <c r="C221" s="21" t="s">
        <v>266</v>
      </c>
      <c r="D221" s="21" t="s">
        <v>829</v>
      </c>
      <c r="E221" s="13">
        <v>42795.796944444446</v>
      </c>
      <c r="F221" s="13">
        <v>25568.708333333332</v>
      </c>
      <c r="G221" s="7">
        <v>0</v>
      </c>
      <c r="H221" s="21" t="s">
        <v>830</v>
      </c>
      <c r="I221" s="13">
        <v>25568.708333333332</v>
      </c>
      <c r="J221" s="7">
        <v>0</v>
      </c>
      <c r="K221" s="98" t="str">
        <f t="shared" si="70"/>
        <v>4013/4014</v>
      </c>
      <c r="L221" s="21" t="str">
        <f>VLOOKUP(A221,'Trips&amp;Operators'!$C$1:$G$99999,5,FALSE)</f>
        <v>CHANDLER KELVIN</v>
      </c>
      <c r="M221" s="6">
        <f t="shared" si="71"/>
        <v>0</v>
      </c>
      <c r="N221" s="7">
        <f t="shared" si="67"/>
        <v>0</v>
      </c>
      <c r="O221" s="7"/>
      <c r="P221" s="7"/>
      <c r="Q221" s="22"/>
      <c r="R221" s="22"/>
      <c r="S221" s="31">
        <f t="shared" si="72"/>
        <v>0</v>
      </c>
      <c r="T221" s="46" t="str">
        <f t="shared" si="73"/>
        <v>Southbound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74"/>
        <v>https://d0f6bd738d7f1b3e5a7ca70fe4ff75f0.us-east-1.aws.found.io/app/kibana#/discover/Steve-Slow-Train-Analysis-(2080s-and-2083s)?_g=(refreshInterval:(display:Off,pause:!f,section:0,value:0),time:(from:'2017-03-01T18:07:36-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1" s="187" t="str">
        <f t="shared" si="75"/>
        <v>Y</v>
      </c>
      <c r="X221" s="187">
        <f t="shared" si="68"/>
        <v>2</v>
      </c>
      <c r="Y221" s="62">
        <f t="shared" si="76"/>
        <v>5.8605999999999998</v>
      </c>
      <c r="Z221" s="62">
        <f t="shared" si="69"/>
        <v>2.8793000000000002</v>
      </c>
      <c r="AA221" s="62">
        <f t="shared" si="77"/>
        <v>2.9812999999999996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8"/>
        <v>0906-01</v>
      </c>
      <c r="AE221" s="85" t="str">
        <f t="shared" si="79"/>
        <v>aws s3 cp s3://rtdc.mdm.uploadarchive.raw/RTDC4013/ "%USERPROFILE%\AppData\Local\Temp\OnboardLogs"\RTDC4013\1969-12-31 --exclude "*" --recursive --include "*19691231*" &amp; "%USERPROFILE%\Documents\GitHub\mrs-test-scripts\Headless Mode &amp; Sideloading\WalkAndUnGZ.bat" "%USERPROFILE%\AppData\Local\Temp\OnboardLogs"\RTDC4013\1969-12-31 &amp; aws s3 cp s3://rtdc.mdm.uploadarchive.raw/RTDC4013/ "%USERPROFILE%\AppData\Local\Temp\OnboardLogs"\RTDC4013\1970-01-01 --exclude "*" --recursive --include "*19700101*" &amp; "%USERPROFILE%\Documents\GitHub\mrs-test-scripts\Headless Mode &amp; Sideloading\WalkAndUnGZ.bat" "%USERPROFILE%\AppData\Local\Temp\OnboardLogs"\RTDC4013\1970-01-01</v>
      </c>
      <c r="AF221" s="82" t="str">
        <f t="shared" si="80"/>
        <v>"C:\Program Files (x86)\AstroGrep\AstroGrep.exe" /spath="%USERPROFILE%\AppData\Local\Temp\OnboardLogs" /stypes="app*4013*19700101*" /stext=" 00:.+((SYSTEM_STATE.+slice.+state.+changed )|(ment ac)|(multiple cpu faults)|(system.+state.+changed )|(\[timeout)|(PRM\|1\|D)|(kpr)|(kdp)|(\|lc)|(penalty))" /e /r /s</v>
      </c>
      <c r="AG221" s="1" t="str">
        <f t="shared" si="81"/>
        <v>Other</v>
      </c>
      <c r="AH221" s="86" t="str">
        <f t="shared" si="82"/>
        <v>"%USERPROFILE%\Documents\GitHub\eaglep3\Utilities\RefineRTDCRunTimes.py" --tripid 906-01 --locoid 4013 --swversion DE.1.0.9.0 --startMP 300:58606 --initTime 2017-03-01T19:07:36 --startdatetime 1969-12-31T17:00:00 --delay 0 --endMP 300:28793 --enddatetime 1969-12-31T17:00:00 --enforcementcount 0 &gt;&gt;C:\Users\stu\Documents\GitHub\eaglep3-reporting\EC\2017-03-01-refined-times.txt</v>
      </c>
      <c r="AI221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{"issue":{"subject":"","project_id":79,"tracker_id":40,"status_id":1,"priority_id":2,"assigned_to_id":23,"start_date":"1969-12-31","description":"","custom_fields":[{"id":1,"name":"Subdivision","value":"Other"},{"id":4,"name":"Milepost","value":"2.8793"},{"id":17,"name":"Train ID","value":"906-01"},{"id":16,"name":"Locomotive ID","value":"4013"},{"id":130,"name":"Impact","value":""},{"id":150,"name":"Time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4"/>
        <v>start /low /b %USERPROFILE%\Documents\GitHub\eaglep3\Utilities\DownloadLogsFromS3.py --loco 4013 --day 1969-12-31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"%USERPROFILE%\AppData\Local\Temp\OnboardLogs"\RTDC4013\*4013*19700101* | grep -SE "(Enforcement Action)|(\[TIMEOUT)|(CHR.+\|PRM\|1\|D.+(SWITCH|SIGNAL).+UNKNOWN)" - &gt;&gt; 2017-03-01-UncaughtWiMAX.txt</v>
      </c>
    </row>
    <row r="222" spans="1:40" x14ac:dyDescent="0.25">
      <c r="A222" s="33" t="s">
        <v>662</v>
      </c>
      <c r="B222" s="7">
        <v>4026</v>
      </c>
      <c r="C222" s="21" t="s">
        <v>266</v>
      </c>
      <c r="D222" s="21" t="s">
        <v>831</v>
      </c>
      <c r="E222" s="13">
        <v>42795.94326388889</v>
      </c>
      <c r="F222" s="13">
        <v>42795.944340277776</v>
      </c>
      <c r="G222" s="7">
        <v>1</v>
      </c>
      <c r="H222" s="21" t="s">
        <v>832</v>
      </c>
      <c r="I222" s="13">
        <v>42795.949548611112</v>
      </c>
      <c r="J222" s="7">
        <v>0</v>
      </c>
      <c r="K222" s="98" t="str">
        <f t="shared" si="70"/>
        <v>4025/4026</v>
      </c>
      <c r="L222" s="21" t="str">
        <f>VLOOKUP(A222,'Trips&amp;Operators'!$C$1:$G$99999,5,FALSE)</f>
        <v>CHANDLER KELVIN</v>
      </c>
      <c r="M222" s="6">
        <f t="shared" si="71"/>
        <v>5.2083333357586525E-3</v>
      </c>
      <c r="N222" s="7">
        <f t="shared" si="67"/>
        <v>7.5000000034924597</v>
      </c>
      <c r="O222" s="7"/>
      <c r="P222" s="7"/>
      <c r="Q222" s="22"/>
      <c r="R222" s="22"/>
      <c r="S222" s="31">
        <f t="shared" si="72"/>
        <v>0</v>
      </c>
      <c r="T222" s="46" t="str">
        <f t="shared" si="73"/>
        <v>Southbound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74"/>
        <v>https://d0f6bd738d7f1b3e5a7ca70fe4ff75f0.us-east-1.aws.found.io/app/kibana#/discover/Steve-Slow-Train-Analysis-(2080s-and-2083s)?_g=(refreshInterval:(display:Off,pause:!f,section:0,value:0),time:(from:'2017-03-01T21:38:18-0700',mode:absolute,to:'2017-03-01T23:47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2" s="187" t="str">
        <f t="shared" si="75"/>
        <v>Y</v>
      </c>
      <c r="X222" s="187">
        <f t="shared" si="68"/>
        <v>2</v>
      </c>
      <c r="Y222" s="62">
        <f t="shared" si="76"/>
        <v>5.8182999999999998</v>
      </c>
      <c r="Z222" s="62">
        <f t="shared" si="69"/>
        <v>2.1379999999999999</v>
      </c>
      <c r="AA222" s="62">
        <f t="shared" si="77"/>
        <v>3.6802999999999999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8"/>
        <v>0908-01</v>
      </c>
      <c r="AE222" s="85" t="str">
        <f t="shared" si="79"/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AF222" s="82" t="str">
        <f t="shared" si="80"/>
        <v>"C:\Program Files (x86)\AstroGrep\AstroGrep.exe" /spath="%USERPROFILE%\AppData\Local\Temp\OnboardLogs" /stypes="app*4026*20170302*" /stext=" 05:.+((SYSTEM_STATE.+slice.+state.+changed )|(ment ac)|(multiple cpu faults)|(system.+state.+changed )|(\[timeout)|(PRM\|1\|D)|(kpr)|(kdp)|(\|lc)|(penalty))" /e /r /s</v>
      </c>
      <c r="AG222" s="1" t="str">
        <f t="shared" si="81"/>
        <v>Other</v>
      </c>
      <c r="AH222" s="86" t="str">
        <f t="shared" si="82"/>
        <v>"%USERPROFILE%\Documents\GitHub\eaglep3\Utilities\RefineRTDCRunTimes.py" --tripid 908-01 --locoid 4026 --swversion DE.1.0.9.0 --startMP 300:58183 --initTime 2017-03-01T22:38:18 --startdatetime 2017-03-01T22:39:51 --delay 1 --endMP 300:21380 --enddatetime 2017-03-01T22:47:21 --enforcementcount 0 &gt;&gt;C:\Users\stu\Documents\GitHub\eaglep3-reporting\EC\2017-03-01-refined-times.txt</v>
      </c>
      <c r="AI222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{"issue":{"subject":"","project_id":79,"tracker_id":40,"status_id":1,"priority_id":2,"assigned_to_id":23,"start_date":"2017-03-01","description":"","custom_fields":[{"id":1,"name":"Subdivision","value":"Other"},{"id":4,"name":"Milepost","value":"2.138"},{"id":17,"name":"Train ID","value":"908-01"},{"id":16,"name":"Locomotive ID","value":"4026"},{"id":130,"name":"Impact","value":""},{"id":150,"name":"Time of Event (Mountain Time)","value":"22:47:21"},{"id":151,"name":"Denver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4"/>
        <v>start /low /b %USERPROFILE%\Documents\GitHub\eaglep3\Utilities\DownloadLogsFromS3.py --loco 4026 --day 2017-03-01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"%USERPROFILE%\AppData\Local\Temp\OnboardLogs"\RTDC4026\*4026*20170302* | grep -SE "(Enforcement Action)|(\[TIMEOUT)|(CHR.+\|PRM\|1\|D.+(SWITCH|SIGNAL).+UNKNOWN)" - &gt;&gt; 2017-03-01-UncaughtWiMAX.txt</v>
      </c>
    </row>
    <row r="223" spans="1:40" x14ac:dyDescent="0.25">
      <c r="A223" s="33" t="s">
        <v>665</v>
      </c>
      <c r="B223" s="7">
        <v>4065</v>
      </c>
      <c r="C223" s="21" t="s">
        <v>266</v>
      </c>
      <c r="D223" s="21" t="s">
        <v>246</v>
      </c>
      <c r="E223" s="13">
        <v>42796.061377314814</v>
      </c>
      <c r="F223" s="13">
        <v>42796.093854166669</v>
      </c>
      <c r="G223" s="7">
        <v>1</v>
      </c>
      <c r="H223" s="21" t="s">
        <v>759</v>
      </c>
      <c r="I223" s="13">
        <v>42796.103668981479</v>
      </c>
      <c r="J223" s="7">
        <v>0</v>
      </c>
      <c r="K223" s="98" t="str">
        <f t="shared" si="70"/>
        <v>4065/4066</v>
      </c>
      <c r="L223" s="21" t="str">
        <f>VLOOKUP(A223,'Trips&amp;Operators'!$C$1:$G$99999,5,FALSE)</f>
        <v>YANG JAN</v>
      </c>
      <c r="M223" s="6">
        <f t="shared" si="71"/>
        <v>9.814814809942618E-3</v>
      </c>
      <c r="N223" s="7">
        <f t="shared" si="67"/>
        <v>14.13333332631737</v>
      </c>
      <c r="O223" s="7"/>
      <c r="P223" s="7"/>
      <c r="Q223" s="22"/>
      <c r="R223" s="22"/>
      <c r="S223" s="31">
        <f t="shared" si="72"/>
        <v>0</v>
      </c>
      <c r="T223" s="46" t="str">
        <f t="shared" si="73"/>
        <v>NorthBound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74"/>
        <v>https://d0f6bd738d7f1b3e5a7ca70fe4ff75f0.us-east-1.aws.found.io/app/kibana#/discover/Steve-Slow-Train-Analysis-(2080s-and-2083s)?_g=(refreshInterval:(display:Off,pause:!f,section:0,value:0),time:(from:'2017-03-02T00:28:23-0700',mode:absolute,to:'2017-03-02T03:29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3" s="187" t="str">
        <f t="shared" si="75"/>
        <v>N</v>
      </c>
      <c r="X223" s="187">
        <f t="shared" si="68"/>
        <v>3157</v>
      </c>
      <c r="Y223" s="62">
        <f t="shared" si="76"/>
        <v>23.299600000000002</v>
      </c>
      <c r="Z223" s="62">
        <f t="shared" si="69"/>
        <v>12.5718</v>
      </c>
      <c r="AA223" s="62">
        <f t="shared" si="77"/>
        <v>10.727800000000002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8"/>
        <v>4065-01</v>
      </c>
      <c r="AE223" s="85" t="str">
        <f t="shared" si="79"/>
        <v>aws s3 cp s3://rtdc.mdm.uploadarchive.raw/RTDC4065/ "%USERPROFILE%\AppData\Local\Temp\OnboardLogs"\RTDC4065\2017-03-02 --exclude "*" --recursive --include "*20170302*" &amp; "%USERPROFILE%\Documents\GitHub\mrs-test-scripts\Headless Mode &amp; Sideloading\WalkAndUnGZ.bat" "%USERPROFILE%\AppData\Local\Temp\OnboardLogs"\RTDC4065\2017-03-02 &amp; 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</v>
      </c>
      <c r="AF223" s="82" t="str">
        <f t="shared" si="80"/>
        <v>"C:\Program Files (x86)\AstroGrep\AstroGrep.exe" /spath="%USERPROFILE%\AppData\Local\Temp\OnboardLogs" /stypes="app*4065*20170302*" /stext=" 09:.+((SYSTEM_STATE.+slice.+state.+changed )|(ment ac)|(multiple cpu faults)|(system.+state.+changed )|(\[timeout)|(PRM\|1\|D)|(kpr)|(kdp)|(\|lc)|(penalty))" /e /r /s</v>
      </c>
      <c r="AG223" s="1" t="str">
        <f t="shared" si="81"/>
        <v>Other</v>
      </c>
      <c r="AH223" s="86" t="str">
        <f t="shared" si="82"/>
        <v>"%USERPROFILE%\Documents\GitHub\eaglep3\Utilities\RefineRTDCRunTimes.py" --tripid 4065-01 --locoid 4065 --swversion DE.1.0.9.0 --startMP 204:232996 --initTime 2017-03-02T01:28:23 --startdatetime 2017-03-02T02:15:09 --delay 1 --endMP 204:125718 --enddatetime 2017-03-02T02:29:17 --enforcementcount 0 &gt;&gt;C:\Users\stu\Documents\GitHub\eaglep3-reporting\EC\2017-03-01-refined-times.txt</v>
      </c>
      <c r="AI223" s="108" t="str">
        <f t="shared" si="83"/>
        <v>echo {"issue":{"subject":"","project_id":79,"tracker_id":40,"status_id":1,"priority_id":2,"assigned_to_id":23,"start_date":"2017-03-02","description":"","custom_fields":[{"id":1,"name":"Subdivision","value":"Other"},{"id":4,"name":"Milepost","value":"12.5718"},{"id":17,"name":"Train ID","value":"4065-01"},{"id":16,"name":"Locomotive ID","value":"4065"},{"id":130,"name":"Impact","value":""},{"id":150,"name":"Time of Event (Mountain Time)","value":"02:29:17"},{"id":151,"name":"Denver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4"/>
        <v>start /low /b %USERPROFILE%\Documents\GitHub\eaglep3\Utilities\DownloadLogsFromS3.py --loco 4065 --day 2017-03-02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"%USERPROFILE%\AppData\Local\Temp\OnboardLogs"\RTDC4065\*4065*20170302* | grep -SE "(Enforcement Action)|(\[TIMEOUT)|(CHR.+\|PRM\|1\|D.+(SWITCH|SIGNAL).+UNKNOWN)" - &gt;&gt; 2017-03-01-UncaughtWiMAX.txt</v>
      </c>
    </row>
    <row r="224" spans="1:40" x14ac:dyDescent="0.25">
      <c r="A224" s="33" t="s">
        <v>665</v>
      </c>
      <c r="B224" s="7">
        <v>4065</v>
      </c>
      <c r="C224" s="21" t="s">
        <v>266</v>
      </c>
      <c r="D224" s="21" t="s">
        <v>316</v>
      </c>
      <c r="E224" s="13">
        <v>42796.092326388891</v>
      </c>
      <c r="F224" s="13">
        <v>25568.708333333332</v>
      </c>
      <c r="G224" s="7">
        <v>1</v>
      </c>
      <c r="H224" s="21" t="s">
        <v>760</v>
      </c>
      <c r="I224" s="13">
        <v>25568.708333333332</v>
      </c>
      <c r="J224" s="7">
        <v>0</v>
      </c>
      <c r="K224" s="98" t="str">
        <f t="shared" si="70"/>
        <v>4065/4066</v>
      </c>
      <c r="L224" s="21" t="str">
        <f>VLOOKUP(A224,'Trips&amp;Operators'!$C$1:$G$99999,5,FALSE)</f>
        <v>YANG JAN</v>
      </c>
      <c r="M224" s="6">
        <f t="shared" si="71"/>
        <v>0</v>
      </c>
      <c r="N224" s="7">
        <f t="shared" si="67"/>
        <v>0</v>
      </c>
      <c r="O224" s="7"/>
      <c r="P224" s="7"/>
      <c r="Q224" s="22"/>
      <c r="R224" s="22"/>
      <c r="S224" s="31">
        <f t="shared" si="72"/>
        <v>0</v>
      </c>
      <c r="T224" s="46" t="str">
        <f t="shared" si="73"/>
        <v>NorthBound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74"/>
        <v>https://d0f6bd738d7f1b3e5a7ca70fe4ff75f0.us-east-1.aws.found.io/app/kibana#/discover/Steve-Slow-Train-Analysis-(2080s-and-2083s)?_g=(refreshInterval:(display:Off,pause:!f,section:0,value:0),time:(from:'2017-03-02T01:12:57-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4" s="187" t="str">
        <f t="shared" si="75"/>
        <v>N</v>
      </c>
      <c r="X224" s="187">
        <f t="shared" si="68"/>
        <v>0</v>
      </c>
      <c r="Y224" s="62">
        <f t="shared" si="76"/>
        <v>23.299800000000001</v>
      </c>
      <c r="Z224" s="62">
        <f t="shared" si="69"/>
        <v>12.567299999999999</v>
      </c>
      <c r="AA224" s="62">
        <f t="shared" si="77"/>
        <v>10.732500000000002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8"/>
        <v>4065-01</v>
      </c>
      <c r="AE224" s="85" t="str">
        <f t="shared" si="79"/>
        <v>aws s3 cp s3://rtdc.mdm.uploadarchive.raw/RTDC4065/ "%USERPROFILE%\AppData\Local\Temp\OnboardLogs"\RTDC4065\1969-12-31 --exclude "*" --recursive --include "*19691231*" &amp; "%USERPROFILE%\Documents\GitHub\mrs-test-scripts\Headless Mode &amp; Sideloading\WalkAndUnGZ.bat" "%USERPROFILE%\AppData\Local\Temp\OnboardLogs"\RTDC4065\1969-12-31 &amp; aws s3 cp s3://rtdc.mdm.uploadarchive.raw/RTDC4065/ "%USERPROFILE%\AppData\Local\Temp\OnboardLogs"\RTDC4065\1970-01-01 --exclude "*" --recursive --include "*19700101*" &amp; "%USERPROFILE%\Documents\GitHub\mrs-test-scripts\Headless Mode &amp; Sideloading\WalkAndUnGZ.bat" "%USERPROFILE%\AppData\Local\Temp\OnboardLogs"\RTDC4065\1970-01-01</v>
      </c>
      <c r="AF224" s="82" t="str">
        <f t="shared" si="80"/>
        <v>"C:\Program Files (x86)\AstroGrep\AstroGrep.exe" /spath="%USERPROFILE%\AppData\Local\Temp\OnboardLogs" /stypes="app*4065*19700101*" /stext=" 00:.+((SYSTEM_STATE.+slice.+state.+changed )|(ment ac)|(multiple cpu faults)|(system.+state.+changed )|(\[timeout)|(PRM\|1\|D)|(kpr)|(kdp)|(\|lc)|(penalty))" /e /r /s</v>
      </c>
      <c r="AG224" s="1" t="str">
        <f t="shared" si="81"/>
        <v>Other</v>
      </c>
      <c r="AH224" s="86" t="str">
        <f t="shared" si="82"/>
        <v>"%USERPROFILE%\Documents\GitHub\eaglep3\Utilities\RefineRTDCRunTimes.py" --tripid 4065-01 --locoid 4065 --swversion DE.1.0.9.0 --startMP 204:232998 --initTime 2017-03-02T02:12:57 --startdatetime 1969-12-31T17:00:00 --delay 1 --endMP 204:125673 --enddatetime 1969-12-31T17:00:00 --enforcementcount 0 &gt;&gt;C:\Users\stu\Documents\GitHub\eaglep3-reporting\EC\2017-03-01-refined-times.txt</v>
      </c>
      <c r="AI224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{"issue":{"subject":"","project_id":79,"tracker_id":40,"status_id":1,"priority_id":2,"assigned_to_id":23,"start_date":"1969-12-31","description":"","custom_fields":[{"id":1,"name":"Subdivision","value":"Other"},{"id":4,"name":"Milepost","value":"12.5673"},{"id":17,"name":"Train ID","value":"4065-01"},{"id":16,"name":"Locomotive ID","value":"4065"},{"id":130,"name":"Impact","value":""},{"id":150,"name":"Time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4"/>
        <v>start /low /b %USERPROFILE%\Documents\GitHub\eaglep3\Utilities\DownloadLogsFromS3.py --loco 4065 --day 1969-12-31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"%USERPROFILE%\AppData\Local\Temp\OnboardLogs"\RTDC4065\*4065*19700101* | grep -SE "(Enforcement Action)|(\[TIMEOUT)|(CHR.+\|PRM\|1\|D.+(SWITCH|SIGNAL).+UNKNOWN)" - &gt;&gt; 2017-03-01-UncaughtWiMAX.txt</v>
      </c>
    </row>
    <row r="225" spans="1:40" x14ac:dyDescent="0.25">
      <c r="A225" s="33" t="s">
        <v>665</v>
      </c>
      <c r="B225" s="7">
        <v>4065</v>
      </c>
      <c r="C225" s="21" t="s">
        <v>266</v>
      </c>
      <c r="D225" s="21" t="s">
        <v>345</v>
      </c>
      <c r="E225" s="13">
        <v>42795.989386574074</v>
      </c>
      <c r="F225" s="13">
        <v>42795.991585648146</v>
      </c>
      <c r="G225" s="7">
        <v>1</v>
      </c>
      <c r="H225" s="21" t="s">
        <v>761</v>
      </c>
      <c r="I225" s="13">
        <v>42796.027175925927</v>
      </c>
      <c r="J225" s="7">
        <v>0</v>
      </c>
      <c r="K225" s="98" t="str">
        <f t="shared" si="70"/>
        <v>4065/4066</v>
      </c>
      <c r="L225" s="21" t="str">
        <f>VLOOKUP(A225,'Trips&amp;Operators'!$C$1:$G$99999,5,FALSE)</f>
        <v>YANG JAN</v>
      </c>
      <c r="M225" s="6">
        <f t="shared" si="71"/>
        <v>3.5590277781011537E-2</v>
      </c>
      <c r="N225" s="7">
        <f t="shared" si="67"/>
        <v>51.250000004656613</v>
      </c>
      <c r="O225" s="7"/>
      <c r="P225" s="7"/>
      <c r="Q225" s="22"/>
      <c r="R225" s="22"/>
      <c r="S225" s="31">
        <f t="shared" si="72"/>
        <v>0</v>
      </c>
      <c r="T225" s="46" t="str">
        <f t="shared" si="73"/>
        <v>NorthBound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74"/>
        <v>https://d0f6bd738d7f1b3e5a7ca70fe4ff75f0.us-east-1.aws.found.io/app/kibana#/discover/Steve-Slow-Train-Analysis-(2080s-and-2083s)?_g=(refreshInterval:(display:Off,pause:!f,section:0,value:0),time:(from:'2017-03-01T22:44:43-0700',mode:absolute,to:'2017-03-02T01:39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5" s="187" t="str">
        <f t="shared" si="75"/>
        <v>N</v>
      </c>
      <c r="X225" s="187">
        <f t="shared" si="68"/>
        <v>0</v>
      </c>
      <c r="Y225" s="62">
        <f t="shared" si="76"/>
        <v>23.3004</v>
      </c>
      <c r="Z225" s="62">
        <f t="shared" si="69"/>
        <v>0.9244</v>
      </c>
      <c r="AA225" s="62">
        <f t="shared" si="77"/>
        <v>22.376000000000001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8"/>
        <v>4065-01</v>
      </c>
      <c r="AE225" s="85" t="str">
        <f t="shared" si="79"/>
        <v>aws s3 cp s3://rtdc.mdm.uploadarchive.raw/RTDC4065/ "%USERPROFILE%\AppData\Local\Temp\OnboardLogs"\RTDC4065\2017-03-01 --exclude "*" --recursive --include "*20170301*" &amp; "%USERPROFILE%\Documents\GitHub\mrs-test-scripts\Headless Mode &amp; Sideloading\WalkAndUnGZ.bat" "%USERPROFILE%\AppData\Local\Temp\OnboardLogs"\RTDC4065\2017-03-01 &amp; aws s3 cp s3://rtdc.mdm.uploadarchive.raw/RTDC4065/ "%USERPROFILE%\AppData\Local\Temp\OnboardLogs"\RTDC4065\2017-03-02 --exclude "*" --recursive --include "*20170302*" &amp; "%USERPROFILE%\Documents\GitHub\mrs-test-scripts\Headless Mode &amp; Sideloading\WalkAndUnGZ.bat" "%USERPROFILE%\AppData\Local\Temp\OnboardLogs"\RTDC4065\2017-03-02</v>
      </c>
      <c r="AF225" s="82" t="str">
        <f t="shared" si="80"/>
        <v>"C:\Program Files (x86)\AstroGrep\AstroGrep.exe" /spath="%USERPROFILE%\AppData\Local\Temp\OnboardLogs" /stypes="app*4065*20170302*" /stext=" 07:.+((SYSTEM_STATE.+slice.+state.+changed )|(ment ac)|(multiple cpu faults)|(system.+state.+changed )|(\[timeout)|(PRM\|1\|D)|(kpr)|(kdp)|(\|lc)|(penalty))" /e /r /s</v>
      </c>
      <c r="AG225" s="1" t="str">
        <f t="shared" si="81"/>
        <v>Other</v>
      </c>
      <c r="AH225" s="86" t="str">
        <f t="shared" si="82"/>
        <v>"%USERPROFILE%\Documents\GitHub\eaglep3\Utilities\RefineRTDCRunTimes.py" --tripid 4065-01 --locoid 4065 --swversion DE.1.0.9.0 --startMP 204:233004 --initTime 2017-03-01T23:44:43 --startdatetime 2017-03-01T23:47:53 --delay 1 --endMP 204:9244 --enddatetime 2017-03-02T00:39:08 --enforcementcount 0 &gt;&gt;C:\Users\stu\Documents\GitHub\eaglep3-reporting\EC\2017-03-01-refined-times.txt</v>
      </c>
      <c r="AI225" s="108" t="str">
        <f t="shared" si="83"/>
        <v>echo {"issue":{"subject":"","project_id":79,"tracker_id":40,"status_id":1,"priority_id":2,"assigned_to_id":23,"start_date":"2017-03-02","description":"","custom_fields":[{"id":1,"name":"Subdivision","value":"Other"},{"id":4,"name":"Milepost","value":"0.9244"},{"id":17,"name":"Train ID","value":"4065-01"},{"id":16,"name":"Locomotive ID","value":"4065"},{"id":130,"name":"Impact","value":""},{"id":150,"name":"Time of Event (Mountain Time)","value":"00:39:08"},{"id":151,"name":"Denver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4"/>
        <v>start /low /b %USERPROFILE%\Documents\GitHub\eaglep3\Utilities\DownloadLogsFromS3.py --loco 4065 --day 2017-03-01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"%USERPROFILE%\AppData\Local\Temp\OnboardLogs"\RTDC4065\*4065*20170302* | grep -SE "(Enforcement Action)|(\[TIMEOUT)|(CHR.+\|PRM\|1\|D.+(SWITCH|SIGNAL).+UNKNOWN)" - &gt;&gt; 2017-03-01-UncaughtWiMAX.txt</v>
      </c>
    </row>
    <row r="226" spans="1:40" x14ac:dyDescent="0.25">
      <c r="A226" s="33" t="s">
        <v>670</v>
      </c>
      <c r="B226" s="7">
        <v>4066</v>
      </c>
      <c r="C226" s="21" t="s">
        <v>266</v>
      </c>
      <c r="D226" s="21" t="s">
        <v>762</v>
      </c>
      <c r="E226" s="13">
        <v>42796.104618055557</v>
      </c>
      <c r="F226" s="13">
        <v>42796.106122685182</v>
      </c>
      <c r="G226" s="7">
        <v>1</v>
      </c>
      <c r="H226" s="21" t="s">
        <v>763</v>
      </c>
      <c r="I226" s="13">
        <v>42796.116527777776</v>
      </c>
      <c r="J226" s="7">
        <v>0</v>
      </c>
      <c r="K226" s="98" t="str">
        <f t="shared" si="70"/>
        <v>4065/4066</v>
      </c>
      <c r="L226" s="21" t="str">
        <f>VLOOKUP(A226,'Trips&amp;Operators'!$C$1:$G$99999,5,FALSE)</f>
        <v>YANG JAN</v>
      </c>
      <c r="M226" s="6">
        <f t="shared" si="71"/>
        <v>1.0405092594737653E-2</v>
      </c>
      <c r="N226" s="7">
        <f t="shared" si="67"/>
        <v>14.98333333642222</v>
      </c>
      <c r="O226" s="7"/>
      <c r="P226" s="7"/>
      <c r="Q226" s="22"/>
      <c r="R226" s="22"/>
      <c r="S226" s="31">
        <f t="shared" si="72"/>
        <v>0</v>
      </c>
      <c r="T226" s="46" t="str">
        <f t="shared" si="73"/>
        <v>Southbound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74"/>
        <v>https://d0f6bd738d7f1b3e5a7ca70fe4ff75f0.us-east-1.aws.found.io/app/kibana#/discover/Steve-Slow-Train-Analysis-(2080s-and-2083s)?_g=(refreshInterval:(display:Off,pause:!f,section:0,value:0),time:(from:'2017-03-02T01:30:39-0700',mode:absolute,to:'2017-03-02T03:47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6" s="187" t="str">
        <f t="shared" si="75"/>
        <v>N</v>
      </c>
      <c r="X226" s="187">
        <f t="shared" si="68"/>
        <v>1</v>
      </c>
      <c r="Y226" s="62">
        <f t="shared" si="76"/>
        <v>12.5991</v>
      </c>
      <c r="Z226" s="62">
        <f t="shared" si="69"/>
        <v>23.3322</v>
      </c>
      <c r="AA226" s="62">
        <f t="shared" si="77"/>
        <v>10.7331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8"/>
        <v>4066-01</v>
      </c>
      <c r="AE226" s="85" t="str">
        <f t="shared" si="79"/>
        <v>aws s3 cp s3://rtdc.mdm.uploadarchive.raw/RTDC4066/ "%USERPROFILE%\AppData\Local\Temp\OnboardLogs"\RTDC4066\2017-03-02 --exclude "*" --recursive --include "*20170302*" &amp; "%USERPROFILE%\Documents\GitHub\mrs-test-scripts\Headless Mode &amp; Sideloading\WalkAndUnGZ.bat" "%USERPROFILE%\AppData\Local\Temp\OnboardLogs"\RTDC4066\2017-03-02 &amp; 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</v>
      </c>
      <c r="AF226" s="82" t="str">
        <f t="shared" si="80"/>
        <v>"C:\Program Files (x86)\AstroGrep\AstroGrep.exe" /spath="%USERPROFILE%\AppData\Local\Temp\OnboardLogs" /stypes="app*4066*20170302*" /stext=" 09:.+((SYSTEM_STATE.+slice.+state.+changed )|(ment ac)|(multiple cpu faults)|(system.+state.+changed )|(\[timeout)|(PRM\|1\|D)|(kpr)|(kdp)|(\|lc)|(penalty))" /e /r /s</v>
      </c>
      <c r="AG226" s="1" t="str">
        <f t="shared" si="81"/>
        <v>Other</v>
      </c>
      <c r="AH226" s="86" t="str">
        <f t="shared" si="82"/>
        <v>"%USERPROFILE%\Documents\GitHub\eaglep3\Utilities\RefineRTDCRunTimes.py" --tripid 4066-01 --locoid 4066 --swversion DE.1.0.9.0 --startMP 204:125991 --initTime 2017-03-02T02:30:39 --startdatetime 2017-03-02T02:32:49 --delay 1 --endMP 204:233322 --enddatetime 2017-03-02T02:47:48 --enforcementcount 0 &gt;&gt;C:\Users\stu\Documents\GitHub\eaglep3-reporting\EC\2017-03-01-refined-times.txt</v>
      </c>
      <c r="AI226" s="108" t="str">
        <f t="shared" si="83"/>
        <v>echo {"issue":{"subject":"","project_id":79,"tracker_id":40,"status_id":1,"priority_id":2,"assigned_to_id":23,"start_date":"2017-03-02","description":"","custom_fields":[{"id":1,"name":"Subdivision","value":"Other"},{"id":4,"name":"Milepost","value":"23.3322"},{"id":17,"name":"Train ID","value":"4066-01"},{"id":16,"name":"Locomotive ID","value":"4066"},{"id":130,"name":"Impact","value":""},{"id":150,"name":"Time of Event (Mountain Time)","value":"02:47:48"},{"id":151,"name":"Denver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4"/>
        <v>start /low /b %USERPROFILE%\Documents\GitHub\eaglep3\Utilities\DownloadLogsFromS3.py --loco 4066 --day 2017-03-02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"%USERPROFILE%\AppData\Local\Temp\OnboardLogs"\RTDC4066\*4066*20170302* | grep -SE "(Enforcement Action)|(\[TIMEOUT)|(CHR.+\|PRM\|1\|D.+(SWITCH|SIGNAL).+UNKNOWN)" - &gt;&gt; 2017-03-01-UncaughtWiMAX.txt</v>
      </c>
    </row>
    <row r="227" spans="1:40" x14ac:dyDescent="0.25">
      <c r="A227" s="33" t="s">
        <v>670</v>
      </c>
      <c r="B227" s="7">
        <v>4066</v>
      </c>
      <c r="C227" s="21" t="s">
        <v>266</v>
      </c>
      <c r="D227" s="21" t="s">
        <v>764</v>
      </c>
      <c r="E227" s="13">
        <v>42796.077418981484</v>
      </c>
      <c r="F227" s="13">
        <v>42796.106122685182</v>
      </c>
      <c r="G227" s="7">
        <v>1</v>
      </c>
      <c r="H227" s="21" t="s">
        <v>392</v>
      </c>
      <c r="I227" s="13">
        <v>42796.116527777776</v>
      </c>
      <c r="J227" s="7">
        <v>0</v>
      </c>
      <c r="K227" s="98" t="str">
        <f t="shared" si="70"/>
        <v>4065/4066</v>
      </c>
      <c r="L227" s="21" t="str">
        <f>VLOOKUP(A227,'Trips&amp;Operators'!$C$1:$G$99999,5,FALSE)</f>
        <v>YANG JAN</v>
      </c>
      <c r="M227" s="6">
        <f t="shared" si="71"/>
        <v>1.0405092594737653E-2</v>
      </c>
      <c r="N227" s="7">
        <f t="shared" si="67"/>
        <v>14.98333333642222</v>
      </c>
      <c r="O227" s="7"/>
      <c r="P227" s="7"/>
      <c r="Q227" s="22"/>
      <c r="R227" s="22"/>
      <c r="S227" s="31">
        <f t="shared" si="72"/>
        <v>0</v>
      </c>
      <c r="T227" s="46" t="str">
        <f t="shared" si="73"/>
        <v>Southbound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74"/>
        <v>https://d0f6bd738d7f1b3e5a7ca70fe4ff75f0.us-east-1.aws.found.io/app/kibana#/discover/Steve-Slow-Train-Analysis-(2080s-and-2083s)?_g=(refreshInterval:(display:Off,pause:!f,section:0,value:0),time:(from:'2017-03-02T00:51:29-0700',mode:absolute,to:'2017-03-02T03:47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7" s="187" t="str">
        <f t="shared" si="75"/>
        <v>N</v>
      </c>
      <c r="X227" s="187">
        <f t="shared" si="68"/>
        <v>0</v>
      </c>
      <c r="Y227" s="62">
        <f t="shared" si="76"/>
        <v>12.6029</v>
      </c>
      <c r="Z227" s="62">
        <f t="shared" si="69"/>
        <v>23.3307</v>
      </c>
      <c r="AA227" s="62">
        <f t="shared" si="77"/>
        <v>10.7278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8"/>
        <v>4066-01</v>
      </c>
      <c r="AE227" s="85" t="str">
        <f t="shared" si="79"/>
        <v>aws s3 cp s3://rtdc.mdm.uploadarchive.raw/RTDC4066/ "%USERPROFILE%\AppData\Local\Temp\OnboardLogs"\RTDC4066\2017-03-02 --exclude "*" --recursive --include "*20170302*" &amp; "%USERPROFILE%\Documents\GitHub\mrs-test-scripts\Headless Mode &amp; Sideloading\WalkAndUnGZ.bat" "%USERPROFILE%\AppData\Local\Temp\OnboardLogs"\RTDC4066\2017-03-02 &amp; 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</v>
      </c>
      <c r="AF227" s="82" t="str">
        <f t="shared" si="80"/>
        <v>"C:\Program Files (x86)\AstroGrep\AstroGrep.exe" /spath="%USERPROFILE%\AppData\Local\Temp\OnboardLogs" /stypes="app*4066*20170302*" /stext=" 09:.+((SYSTEM_STATE.+slice.+state.+changed )|(ment ac)|(multiple cpu faults)|(system.+state.+changed )|(\[timeout)|(PRM\|1\|D)|(kpr)|(kdp)|(\|lc)|(penalty))" /e /r /s</v>
      </c>
      <c r="AG227" s="1" t="str">
        <f t="shared" si="81"/>
        <v>Other</v>
      </c>
      <c r="AH227" s="86" t="str">
        <f t="shared" si="82"/>
        <v>"%USERPROFILE%\Documents\GitHub\eaglep3\Utilities\RefineRTDCRunTimes.py" --tripid 4066-01 --locoid 4066 --swversion DE.1.0.9.0 --startMP 204:126029 --initTime 2017-03-02T01:51:29 --startdatetime 2017-03-02T02:32:49 --delay 1 --endMP 204:233307 --enddatetime 2017-03-02T02:47:48 --enforcementcount 0 &gt;&gt;C:\Users\stu\Documents\GitHub\eaglep3-reporting\EC\2017-03-01-refined-times.txt</v>
      </c>
      <c r="AI227" s="108" t="str">
        <f t="shared" si="83"/>
        <v>echo {"issue":{"subject":"","project_id":79,"tracker_id":40,"status_id":1,"priority_id":2,"assigned_to_id":23,"start_date":"2017-03-02","description":"","custom_fields":[{"id":1,"name":"Subdivision","value":"Other"},{"id":4,"name":"Milepost","value":"23.3307"},{"id":17,"name":"Train ID","value":"4066-01"},{"id":16,"name":"Locomotive ID","value":"4066"},{"id":130,"name":"Impact","value":""},{"id":150,"name":"Time of Event (Mountain Time)","value":"02:47:48"},{"id":151,"name":"Denver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84"/>
        <v>start /low /b %USERPROFILE%\Documents\GitHub\eaglep3\Utilities\DownloadLogsFromS3.py --loco 4066 --day 2017-03-02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"%USERPROFILE%\AppData\Local\Temp\OnboardLogs"\RTDC4066\*4066*20170302* | grep -SE "(Enforcement Action)|(\[TIMEOUT)|(CHR.+\|PRM\|1\|D.+(SWITCH|SIGNAL).+UNKNOWN)" - &gt;&gt; 2017-03-01-UncaughtWiMAX.txt</v>
      </c>
    </row>
    <row r="228" spans="1:40" x14ac:dyDescent="0.25">
      <c r="A228" s="33" t="s">
        <v>670</v>
      </c>
      <c r="B228" s="7">
        <v>4066</v>
      </c>
      <c r="C228" s="21" t="s">
        <v>266</v>
      </c>
      <c r="D228" s="21" t="s">
        <v>765</v>
      </c>
      <c r="E228" s="13">
        <v>42796.029594907406</v>
      </c>
      <c r="F228" s="13">
        <v>42796.031030092592</v>
      </c>
      <c r="G228" s="7">
        <v>1</v>
      </c>
      <c r="H228" s="21" t="s">
        <v>317</v>
      </c>
      <c r="I228" s="13">
        <v>42796.05641203704</v>
      </c>
      <c r="J228" s="7">
        <v>0</v>
      </c>
      <c r="K228" s="98" t="str">
        <f t="shared" si="70"/>
        <v>4065/4066</v>
      </c>
      <c r="L228" s="21" t="str">
        <f>VLOOKUP(A228,'Trips&amp;Operators'!$C$1:$G$99999,5,FALSE)</f>
        <v>YANG JAN</v>
      </c>
      <c r="M228" s="6">
        <f t="shared" si="71"/>
        <v>2.5381944447872229E-2</v>
      </c>
      <c r="N228" s="7">
        <f t="shared" si="67"/>
        <v>36.55000000493601</v>
      </c>
      <c r="O228" s="7"/>
      <c r="P228" s="7"/>
      <c r="Q228" s="22"/>
      <c r="R228" s="22"/>
      <c r="S228" s="31">
        <f t="shared" si="72"/>
        <v>0</v>
      </c>
      <c r="T228" s="46" t="str">
        <f t="shared" si="73"/>
        <v>Southbound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74"/>
        <v>https://d0f6bd738d7f1b3e5a7ca70fe4ff75f0.us-east-1.aws.found.io/app/kibana#/discover/Steve-Slow-Train-Analysis-(2080s-and-2083s)?_g=(refreshInterval:(display:Off,pause:!f,section:0,value:0),time:(from:'2017-03-01T23:42:37-0700',mode:absolute,to:'2017-03-02T02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8" s="187" t="str">
        <f t="shared" si="75"/>
        <v>N</v>
      </c>
      <c r="X228" s="187">
        <f t="shared" si="68"/>
        <v>0</v>
      </c>
      <c r="Y228" s="62">
        <f t="shared" si="76"/>
        <v>0.95779999999999998</v>
      </c>
      <c r="Z228" s="62">
        <f t="shared" si="69"/>
        <v>23.331499999999998</v>
      </c>
      <c r="AA228" s="62">
        <f t="shared" si="77"/>
        <v>22.373699999999999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8"/>
        <v>4066-01</v>
      </c>
      <c r="AE228" s="85" t="str">
        <f t="shared" si="79"/>
        <v>aws s3 cp s3://rtdc.mdm.uploadarchive.raw/RTDC4066/ "%USERPROFILE%\AppData\Local\Temp\OnboardLogs"\RTDC4066\2017-03-02 --exclude "*" --recursive --include "*20170302*" &amp; "%USERPROFILE%\Documents\GitHub\mrs-test-scripts\Headless Mode &amp; Sideloading\WalkAndUnGZ.bat" "%USERPROFILE%\AppData\Local\Temp\OnboardLogs"\RTDC4066\2017-03-02 &amp; 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</v>
      </c>
      <c r="AF228" s="82" t="str">
        <f t="shared" si="80"/>
        <v>"C:\Program Files (x86)\AstroGrep\AstroGrep.exe" /spath="%USERPROFILE%\AppData\Local\Temp\OnboardLogs" /stypes="app*4066*20170302*" /stext=" 08:.+((SYSTEM_STATE.+slice.+state.+changed )|(ment ac)|(multiple cpu faults)|(system.+state.+changed )|(\[timeout)|(PRM\|1\|D)|(kpr)|(kdp)|(\|lc)|(penalty))" /e /r /s</v>
      </c>
      <c r="AG228" s="1" t="str">
        <f t="shared" si="81"/>
        <v>Other</v>
      </c>
      <c r="AH228" s="86" t="str">
        <f t="shared" si="82"/>
        <v>"%USERPROFILE%\Documents\GitHub\eaglep3\Utilities\RefineRTDCRunTimes.py" --tripid 4066-01 --locoid 4066 --swversion DE.1.0.9.0 --startMP 204:9578 --initTime 2017-03-02T00:42:37 --startdatetime 2017-03-02T00:44:41 --delay 1 --endMP 204:233315 --enddatetime 2017-03-02T01:21:14 --enforcementcount 0 &gt;&gt;C:\Users\stu\Documents\GitHub\eaglep3-reporting\EC\2017-03-01-refined-times.txt</v>
      </c>
      <c r="AI228" s="108" t="str">
        <f t="shared" si="83"/>
        <v>echo {"issue":{"subject":"","project_id":79,"tracker_id":40,"status_id":1,"priority_id":2,"assigned_to_id":23,"start_date":"2017-03-02","description":"","custom_fields":[{"id":1,"name":"Subdivision","value":"Other"},{"id":4,"name":"Milepost","value":"23.3315"},{"id":17,"name":"Train ID","value":"4066-01"},{"id":16,"name":"Locomotive ID","value":"4066"},{"id":130,"name":"Impact","value":""},{"id":150,"name":"Time of Event (Mountain Time)","value":"01:21:14"},{"id":151,"name":"Denver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84"/>
        <v>start /low /b %USERPROFILE%\Documents\GitHub\eaglep3\Utilities\DownloadLogsFromS3.py --loco 4066 --day 2017-03-02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"%USERPROFILE%\AppData\Local\Temp\OnboardLogs"\RTDC4066\*4066*20170302* | grep -SE "(Enforcement Action)|(\[TIMEOUT)|(CHR.+\|PRM\|1\|D.+(SWITCH|SIGNAL).+UNKNOWN)" - &gt;&gt; 2017-03-01-UncaughtWiMAX.txt</v>
      </c>
    </row>
    <row r="229" spans="1:40" x14ac:dyDescent="0.25">
      <c r="A229" s="33" t="s">
        <v>388</v>
      </c>
      <c r="B229" s="7">
        <v>4045</v>
      </c>
      <c r="C229" s="21" t="s">
        <v>266</v>
      </c>
      <c r="D229" s="21" t="s">
        <v>419</v>
      </c>
      <c r="E229" s="13">
        <v>42795.097372685188</v>
      </c>
      <c r="F229" s="13">
        <v>42795.099120370367</v>
      </c>
      <c r="G229" s="7">
        <v>1</v>
      </c>
      <c r="H229" s="21" t="s">
        <v>362</v>
      </c>
      <c r="I229" s="13">
        <v>42795.11818287037</v>
      </c>
      <c r="J229" s="7">
        <v>0</v>
      </c>
      <c r="K229" s="98" t="str">
        <f t="shared" si="70"/>
        <v>4045/4046</v>
      </c>
      <c r="L229" s="21" t="str">
        <f>VLOOKUP(A229,'Trips&amp;Operators'!$C$1:$G$99999,5,FALSE)</f>
        <v>YANG JAN</v>
      </c>
      <c r="M229" s="6">
        <f t="shared" si="71"/>
        <v>1.9062500003201421E-2</v>
      </c>
      <c r="N229" s="7">
        <f t="shared" si="67"/>
        <v>27.450000004610047</v>
      </c>
      <c r="O229" s="7"/>
      <c r="P229" s="7"/>
      <c r="Q229" s="22"/>
      <c r="R229" s="22"/>
      <c r="S229" s="31">
        <f t="shared" si="72"/>
        <v>0</v>
      </c>
      <c r="T229" s="46" t="e">
        <f t="shared" si="73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74"/>
        <v>https://d0f6bd738d7f1b3e5a7ca70fe4ff75f0.us-east-1.aws.found.io/app/kibana#/discover/Steve-Slow-Train-Analysis-(2080s-and-2083s)?_g=(refreshInterval:(display:Off,pause:!f,section:0,value:0),time:(from:'2017-03-01T01:20:13-0700',mode:absolute,to:'2017-03-01T03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9" s="187" t="str">
        <f t="shared" si="75"/>
        <v>N</v>
      </c>
      <c r="X229" s="187" t="e">
        <f t="shared" si="68"/>
        <v>#VALUE!</v>
      </c>
      <c r="Y229" s="62">
        <f t="shared" si="76"/>
        <v>11.1759</v>
      </c>
      <c r="Z229" s="62">
        <f t="shared" si="69"/>
        <v>9.9900000000000003E-2</v>
      </c>
      <c r="AA229" s="62">
        <f t="shared" si="77"/>
        <v>11.076000000000001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8"/>
        <v>50-01</v>
      </c>
      <c r="AE229" s="85" t="str">
        <f t="shared" si="79"/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AF229" s="82" t="str">
        <f t="shared" si="80"/>
        <v>"C:\Program Files (x86)\AstroGrep\AstroGrep.exe" /spath="%USERPROFILE%\AppData\Local\Temp\OnboardLogs" /stypes="app*4045*20170301*" /stext=" 09:.+((SYSTEM_STATE.+slice.+state.+changed )|(ment ac)|(multiple cpu faults)|(system.+state.+changed )|(\[timeout)|(PRM\|1\|D)|(kpr)|(kdp)|(\|lc)|(penalty))" /e /r /s</v>
      </c>
      <c r="AG229" s="1" t="str">
        <f t="shared" si="81"/>
        <v>Other</v>
      </c>
      <c r="AH229" s="86" t="str">
        <f t="shared" si="82"/>
        <v>"%USERPROFILE%\Documents\GitHub\eaglep3\Utilities\RefineRTDCRunTimes.py" --tripid 50-01 --locoid 4045 --swversion DE.1.0.9.0 --startMP 204:111759 --initTime 2017-03-01T02:20:13 --startdatetime 2017-03-01T02:22:44 --delay 1 --endMP 204:999 --enddatetime 2017-03-01T02:50:11 --enforcementcount 0 &gt;&gt;C:\Users\stu\Documents\GitHub\eaglep3-reporting\EC\2017-03-01-refined-times.txt</v>
      </c>
      <c r="AI229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{"issue":{"subject":"","project_id":79,"tracker_id":40,"status_id":1,"priority_id":2,"assigned_to_id":23,"start_date":"2017-03-01","description":"","custom_fields":[{"id":1,"name":"Subdivision","value":"Other"},{"id":4,"name":"Milepost","value":"0.0999"},{"id":17,"name":"Train ID","value":"50-01"},{"id":16,"name":"Locomotive ID","value":"4045"},{"id":130,"name":"Impact","value":""},{"id":150,"name":"Time of Event (Mountain Time)","value":"02:50:11"},{"id":151,"name":"Denver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84"/>
        <v>start /low /b %USERPROFILE%\Documents\GitHub\eaglep3\Utilities\DownloadLogsFromS3.py --loco 4045 --day 2017-03-01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"%USERPROFILE%\AppData\Local\Temp\OnboardLogs"\RTDC4045\*4045*20170301* | grep -SE "(Enforcement Action)|(\[TIMEOUT)|(CHR.+\|PRM\|1\|D.+(SWITCH|SIGNAL).+UNKNOWN)" - &gt;&gt; 2017-03-01-UncaughtWiMAX.txt</v>
      </c>
    </row>
    <row r="230" spans="1:40" x14ac:dyDescent="0.25">
      <c r="A230" s="33" t="s">
        <v>386</v>
      </c>
      <c r="B230" s="7">
        <v>4046</v>
      </c>
      <c r="C230" s="21" t="s">
        <v>266</v>
      </c>
      <c r="D230" s="21" t="s">
        <v>355</v>
      </c>
      <c r="E230" s="13">
        <v>42795.075787037036</v>
      </c>
      <c r="F230" s="13">
        <v>42795.078344907408</v>
      </c>
      <c r="G230" s="7">
        <v>2</v>
      </c>
      <c r="H230" s="21" t="s">
        <v>420</v>
      </c>
      <c r="I230" s="13">
        <v>42795.096018518518</v>
      </c>
      <c r="J230" s="7">
        <v>0</v>
      </c>
      <c r="K230" s="98" t="str">
        <f t="shared" si="70"/>
        <v>4045/4046</v>
      </c>
      <c r="L230" s="21" t="str">
        <f>VLOOKUP(A230,'Trips&amp;Operators'!$C$1:$G$99999,5,FALSE)</f>
        <v>YANG JAN</v>
      </c>
      <c r="M230" s="6">
        <f t="shared" si="71"/>
        <v>1.767361110978527E-2</v>
      </c>
      <c r="N230" s="7">
        <f t="shared" si="67"/>
        <v>25.449999998090789</v>
      </c>
      <c r="O230" s="7"/>
      <c r="P230" s="7"/>
      <c r="Q230" s="22"/>
      <c r="R230" s="22"/>
      <c r="S230" s="31">
        <f t="shared" si="72"/>
        <v>0</v>
      </c>
      <c r="T230" s="46" t="e">
        <f t="shared" si="73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74"/>
        <v>https://d0f6bd738d7f1b3e5a7ca70fe4ff75f0.us-east-1.aws.found.io/app/kibana#/discover/Steve-Slow-Train-Analysis-(2080s-and-2083s)?_g=(refreshInterval:(display:Off,pause:!f,section:0,value:0),time:(from:'2017-03-01T00:49:08-0700',mode:absolute,to:'2017-03-01T03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0" s="187" t="str">
        <f t="shared" si="75"/>
        <v>N</v>
      </c>
      <c r="X230" s="187" t="e">
        <f t="shared" si="68"/>
        <v>#VALUE!</v>
      </c>
      <c r="Y230" s="62">
        <f t="shared" si="76"/>
        <v>4.0599999999999997E-2</v>
      </c>
      <c r="Z230" s="62">
        <f t="shared" si="69"/>
        <v>11.208500000000001</v>
      </c>
      <c r="AA230" s="62">
        <f t="shared" si="77"/>
        <v>11.167900000000001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8"/>
        <v>51-01</v>
      </c>
      <c r="AE230" s="85" t="str">
        <f t="shared" si="79"/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AF230" s="82" t="str">
        <f t="shared" si="80"/>
        <v>"C:\Program Files (x86)\AstroGrep\AstroGrep.exe" /spath="%USERPROFILE%\AppData\Local\Temp\OnboardLogs" /stypes="app*4046*20170301*" /stext=" 09:.+((SYSTEM_STATE.+slice.+state.+changed )|(ment ac)|(multiple cpu faults)|(system.+state.+changed )|(\[timeout)|(PRM\|1\|D)|(kpr)|(kdp)|(\|lc)|(penalty))" /e /r /s</v>
      </c>
      <c r="AG230" s="1" t="str">
        <f t="shared" si="81"/>
        <v>Other</v>
      </c>
      <c r="AH230" s="86" t="str">
        <f t="shared" si="82"/>
        <v>"%USERPROFILE%\Documents\GitHub\eaglep3\Utilities\RefineRTDCRunTimes.py" --tripid 51-01 --locoid 4046 --swversion DE.1.0.9.0 --startMP 204:406 --initTime 2017-03-01T01:49:08 --startdatetime 2017-03-01T01:52:49 --delay 2 --endMP 204:112085 --enddatetime 2017-03-01T02:18:16 --enforcementcount 0 &gt;&gt;C:\Users\stu\Documents\GitHub\eaglep3-reporting\EC\2017-03-01-refined-times.txt</v>
      </c>
      <c r="AI230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{"issue":{"subject":"","project_id":79,"tracker_id":40,"status_id":1,"priority_id":2,"assigned_to_id":23,"start_date":"2017-03-01","description":"","custom_fields":[{"id":1,"name":"Subdivision","value":"Other"},{"id":4,"name":"Milepost","value":"11.2085"},{"id":17,"name":"Train ID","value":"51-01"},{"id":16,"name":"Locomotive ID","value":"4046"},{"id":130,"name":"Impact","value":""},{"id":150,"name":"Time of Event (Mountain Time)","value":"02:18:16"},{"id":151,"name":"Denver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84"/>
        <v>start /low /b %USERPROFILE%\Documents\GitHub\eaglep3\Utilities\DownloadLogsFromS3.py --loco 4046 --day 2017-03-01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"%USERPROFILE%\AppData\Local\Temp\OnboardLogs"\RTDC4046\*4046*20170301* | grep -SE "(Enforcement Action)|(\[TIMEOUT)|(CHR.+\|PRM\|1\|D.+(SWITCH|SIGNAL).+UNKNOWN)" - &gt;&gt; 2017-03-01-UncaughtWiMAX.txt</v>
      </c>
    </row>
    <row r="231" spans="1:40" x14ac:dyDescent="0.25">
      <c r="A231" s="33" t="s">
        <v>461</v>
      </c>
      <c r="B231" s="7">
        <v>4015</v>
      </c>
      <c r="C231" s="21" t="s">
        <v>266</v>
      </c>
      <c r="D231" s="21" t="s">
        <v>766</v>
      </c>
      <c r="E231" s="13">
        <v>42795.71634259259</v>
      </c>
      <c r="F231" s="13">
        <v>42795.717523148145</v>
      </c>
      <c r="G231" s="7">
        <v>1</v>
      </c>
      <c r="H231" s="21" t="s">
        <v>767</v>
      </c>
      <c r="I231" s="13">
        <v>42795.723067129627</v>
      </c>
      <c r="J231" s="7">
        <v>0</v>
      </c>
      <c r="K231" s="98" t="str">
        <f t="shared" si="70"/>
        <v>4015/4016</v>
      </c>
      <c r="L231" s="21" t="str">
        <f>VLOOKUP(A231,'Trips&amp;Operators'!$C$1:$G$99999,5,FALSE)</f>
        <v>STORY SAMANTHA</v>
      </c>
      <c r="M231" s="6">
        <f t="shared" si="71"/>
        <v>5.543981482333038E-3</v>
      </c>
      <c r="N231" s="7">
        <f t="shared" si="67"/>
        <v>7.9833333345595747</v>
      </c>
      <c r="O231" s="7"/>
      <c r="P231" s="7"/>
      <c r="Q231" s="22"/>
      <c r="R231" s="22"/>
      <c r="S231" s="31">
        <f t="shared" si="72"/>
        <v>0</v>
      </c>
      <c r="T231" s="46" t="e">
        <f t="shared" si="73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74"/>
        <v>https://d0f6bd738d7f1b3e5a7ca70fe4ff75f0.us-east-1.aws.found.io/app/kibana#/discover/Steve-Slow-Train-Analysis-(2080s-and-2083s)?_g=(refreshInterval:(display:Off,pause:!f,section:0,value:0),time:(from:'2017-03-01T16:11:32-0700',mode:absolute,to:'2017-03-01T18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1" s="187" t="str">
        <f t="shared" si="75"/>
        <v>Y</v>
      </c>
      <c r="X231" s="187" t="e">
        <f t="shared" si="68"/>
        <v>#VALUE!</v>
      </c>
      <c r="Y231" s="62">
        <f t="shared" si="76"/>
        <v>2.3209</v>
      </c>
      <c r="Z231" s="62">
        <f t="shared" si="69"/>
        <v>6.6E-3</v>
      </c>
      <c r="AA231" s="62">
        <f t="shared" si="77"/>
        <v>2.3142999999999998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8"/>
        <v>70-01</v>
      </c>
      <c r="AE231" s="85" t="str">
        <f t="shared" si="79"/>
        <v>aws s3 cp s3://rtdc.mdm.uploadarchive.raw/RTDC4015/ "%USERPROFILE%\AppData\Local\Temp\OnboardLogs"\RTDC4015\2017-03-01 --exclude "*" --recursive --include "*20170301*" &amp; "%USERPROFILE%\Documents\GitHub\mrs-test-scripts\Headless Mode &amp; Sideloading\WalkAndUnGZ.bat" "%USERPROFILE%\AppData\Local\Temp\OnboardLogs"\RTDC4015\2017-03-01 &amp; aws s3 cp s3://rtdc.mdm.uploadarchive.raw/RTDC4015/ "%USERPROFILE%\AppData\Local\Temp\OnboardLogs"\RTDC4015\2017-03-02 --exclude "*" --recursive --include "*20170302*" &amp; "%USERPROFILE%\Documents\GitHub\mrs-test-scripts\Headless Mode &amp; Sideloading\WalkAndUnGZ.bat" "%USERPROFILE%\AppData\Local\Temp\OnboardLogs"\RTDC4015\2017-03-02</v>
      </c>
      <c r="AF231" s="82" t="str">
        <f t="shared" si="80"/>
        <v>"C:\Program Files (x86)\AstroGrep\AstroGrep.exe" /spath="%USERPROFILE%\AppData\Local\Temp\OnboardLogs" /stypes="app*4015*20170302*" /stext=" 00:.+((SYSTEM_STATE.+slice.+state.+changed )|(ment ac)|(multiple cpu faults)|(system.+state.+changed )|(\[timeout)|(PRM\|1\|D)|(kpr)|(kdp)|(\|lc)|(penalty))" /e /r /s</v>
      </c>
      <c r="AG231" s="1" t="str">
        <f t="shared" si="81"/>
        <v>Other</v>
      </c>
      <c r="AH231" s="86" t="str">
        <f t="shared" si="82"/>
        <v>"%USERPROFILE%\Documents\GitHub\eaglep3\Utilities\RefineRTDCRunTimes.py" --tripid 70-01 --locoid 4015 --swversion DE.1.0.9.0 --startMP 300:23209 --initTime 2017-03-01T17:11:32 --startdatetime 2017-03-01T17:13:14 --delay 1 --endMP 204:66 --enddatetime 2017-03-01T17:21:13 --enforcementcount 0 &gt;&gt;C:\Users\stu\Documents\GitHub\eaglep3-reporting\EC\2017-03-01-refined-times.txt</v>
      </c>
      <c r="AI231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{"issue":{"subject":"","project_id":79,"tracker_id":40,"status_id":1,"priority_id":2,"assigned_to_id":23,"start_date":"2017-03-01","description":"","custom_fields":[{"id":1,"name":"Subdivision","value":"Other"},{"id":4,"name":"Milepost","value":"0.0066"},{"id":17,"name":"Train ID","value":"70-01"},{"id":16,"name":"Locomotive ID","value":"4015"},{"id":130,"name":"Impact","value":""},{"id":150,"name":"Time of Event (Mountain Time)","value":"17:21:13"},{"id":151,"name":"Denver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84"/>
        <v>start /low /b %USERPROFILE%\Documents\GitHub\eaglep3\Utilities\DownloadLogsFromS3.py --loco 4015 --day 2017-03-01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"%USERPROFILE%\AppData\Local\Temp\OnboardLogs"\RTDC4015\*4015*20170302* | grep -SE "(Enforcement Action)|(\[TIMEOUT)|(CHR.+\|PRM\|1\|D.+(SWITCH|SIGNAL).+UNKNOWN)" - &gt;&gt; 2017-03-01-UncaughtWiMAX.txt</v>
      </c>
    </row>
    <row r="232" spans="1:40" x14ac:dyDescent="0.25">
      <c r="A232" s="33" t="s">
        <v>623</v>
      </c>
      <c r="B232" s="7">
        <v>4016</v>
      </c>
      <c r="C232" s="21" t="s">
        <v>266</v>
      </c>
      <c r="D232" s="21" t="s">
        <v>768</v>
      </c>
      <c r="E232" s="13">
        <v>42795.753368055557</v>
      </c>
      <c r="F232" s="13">
        <v>25568.708333333332</v>
      </c>
      <c r="G232" s="7">
        <v>1</v>
      </c>
      <c r="H232" s="21" t="s">
        <v>769</v>
      </c>
      <c r="I232" s="13">
        <v>25568.708333333332</v>
      </c>
      <c r="J232" s="7">
        <v>0</v>
      </c>
      <c r="K232" s="98" t="str">
        <f t="shared" si="70"/>
        <v>4015/4016</v>
      </c>
      <c r="L232" s="21" t="str">
        <f>VLOOKUP(A232,'Trips&amp;Operators'!$C$1:$G$99999,5,FALSE)</f>
        <v>CLARK KATHLEEN</v>
      </c>
      <c r="M232" s="6">
        <f t="shared" si="71"/>
        <v>0</v>
      </c>
      <c r="N232" s="7">
        <f t="shared" si="67"/>
        <v>0</v>
      </c>
      <c r="O232" s="7"/>
      <c r="P232" s="7"/>
      <c r="Q232" s="22"/>
      <c r="R232" s="22"/>
      <c r="S232" s="31">
        <f t="shared" si="72"/>
        <v>0</v>
      </c>
      <c r="T232" s="46" t="e">
        <f t="shared" si="73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74"/>
        <v>https://d0f6bd738d7f1b3e5a7ca70fe4ff75f0.us-east-1.aws.found.io/app/kibana#/discover/Steve-Slow-Train-Analysis-(2080s-and-2083s)?_g=(refreshInterval:(display:Off,pause:!f,section:0,value:0),time:(from:'2017-03-01T17:04:51-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2" s="187" t="str">
        <f t="shared" si="75"/>
        <v>Y</v>
      </c>
      <c r="X232" s="187" t="e">
        <f t="shared" ref="X232:X238" si="85">VALUE(LEFT(AD232,4))-VALUE(LEFT(AD231,4))</f>
        <v>#VALUE!</v>
      </c>
      <c r="Y232" s="62">
        <f t="shared" si="76"/>
        <v>3.5900000000000001E-2</v>
      </c>
      <c r="Z232" s="62">
        <f t="shared" si="69"/>
        <v>2.3306</v>
      </c>
      <c r="AA232" s="62">
        <f t="shared" si="77"/>
        <v>2.2947000000000002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8"/>
        <v>71-01</v>
      </c>
      <c r="AE232" s="85" t="str">
        <f t="shared" si="79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32" s="82" t="str">
        <f t="shared" si="80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32" s="1" t="str">
        <f t="shared" si="81"/>
        <v>Other</v>
      </c>
      <c r="AH232" s="86" t="str">
        <f t="shared" si="82"/>
        <v>"%USERPROFILE%\Documents\GitHub\eaglep3\Utilities\RefineRTDCRunTimes.py" --tripid 71-01 --locoid 4016 --swversion DE.1.0.9.0 --startMP 204:359 --initTime 2017-03-01T18:04:51 --startdatetime 1969-12-31T17:00:00 --delay 1 --endMP 300:23306 --enddatetime 1969-12-31T17:00:00 --enforcementcount 0 &gt;&gt;C:\Users\stu\Documents\GitHub\eaglep3-reporting\EC\2017-03-01-refined-times.txt</v>
      </c>
      <c r="AI232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ID","value":"71-01"},{"id":16,"name":"Locomotive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84"/>
        <v>start /low /b %USERPROFILE%\Documents\GitHub\eaglep3\Utilities\DownloadLogsFromS3.py --loco 4016 --day 1969-12-31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2017-03-01-UncaughtWiMAX.txt</v>
      </c>
    </row>
    <row r="233" spans="1:40" x14ac:dyDescent="0.25">
      <c r="A233" s="33" t="s">
        <v>628</v>
      </c>
      <c r="B233" s="7">
        <v>4043</v>
      </c>
      <c r="C233" s="21" t="s">
        <v>266</v>
      </c>
      <c r="D233" s="21" t="s">
        <v>770</v>
      </c>
      <c r="E233" s="13">
        <v>42795.766631944447</v>
      </c>
      <c r="F233" s="13">
        <v>42795.768368055556</v>
      </c>
      <c r="G233" s="7">
        <v>2</v>
      </c>
      <c r="H233" s="21" t="s">
        <v>771</v>
      </c>
      <c r="I233" s="13">
        <v>42795.776469907411</v>
      </c>
      <c r="J233" s="7">
        <v>0</v>
      </c>
      <c r="K233" s="98" t="str">
        <f t="shared" si="70"/>
        <v>4043/4044</v>
      </c>
      <c r="L233" s="21" t="str">
        <f>VLOOKUP(A233,'Trips&amp;Operators'!$C$1:$G$99999,5,FALSE)</f>
        <v>LALONDE GREGORY</v>
      </c>
      <c r="M233" s="6">
        <f t="shared" si="71"/>
        <v>8.1018518540076911E-3</v>
      </c>
      <c r="N233" s="7">
        <f t="shared" si="67"/>
        <v>11.666666669771075</v>
      </c>
      <c r="O233" s="7"/>
      <c r="P233" s="7"/>
      <c r="Q233" s="22"/>
      <c r="R233" s="22"/>
      <c r="S233" s="31">
        <f t="shared" si="72"/>
        <v>0</v>
      </c>
      <c r="T233" s="46" t="e">
        <f t="shared" si="73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74"/>
        <v>https://d0f6bd738d7f1b3e5a7ca70fe4ff75f0.us-east-1.aws.found.io/app/kibana#/discover/Steve-Slow-Train-Analysis-(2080s-and-2083s)?_g=(refreshInterval:(display:Off,pause:!f,section:0,value:0),time:(from:'2017-03-01T17:23:57-0700',mode:absolute,to:'2017-03-01T19:38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3" s="187" t="str">
        <f t="shared" si="75"/>
        <v>Y</v>
      </c>
      <c r="X233" s="187" t="e">
        <f t="shared" si="85"/>
        <v>#VALUE!</v>
      </c>
      <c r="Y233" s="62">
        <f t="shared" si="76"/>
        <v>2.3449</v>
      </c>
      <c r="Z233" s="62">
        <f t="shared" si="69"/>
        <v>0.18540000000000001</v>
      </c>
      <c r="AA233" s="62">
        <f t="shared" si="77"/>
        <v>2.1595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8"/>
        <v>72-01</v>
      </c>
      <c r="AE233" s="85" t="str">
        <f t="shared" si="79"/>
        <v>aws s3 cp s3://rtdc.mdm.uploadarchive.raw/RTDC4043/ "%USERPROFILE%\AppData\Local\Temp\OnboardLogs"\RTDC4043\2017-03-01 --exclude "*" --recursive --include "*20170301*" &amp; "%USERPROFILE%\Documents\GitHub\mrs-test-scripts\Headless Mode &amp; Sideloading\WalkAndUnGZ.bat" "%USERPROFILE%\AppData\Local\Temp\OnboardLogs"\RTDC4043\2017-03-01 &amp; 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</v>
      </c>
      <c r="AF233" s="82" t="str">
        <f t="shared" si="80"/>
        <v>"C:\Program Files (x86)\AstroGrep\AstroGrep.exe" /spath="%USERPROFILE%\AppData\Local\Temp\OnboardLogs" /stypes="app*4043*20170302*" /stext=" 01:.+((SYSTEM_STATE.+slice.+state.+changed )|(ment ac)|(multiple cpu faults)|(system.+state.+changed )|(\[timeout)|(PRM\|1\|D)|(kpr)|(kdp)|(\|lc)|(penalty))" /e /r /s</v>
      </c>
      <c r="AG233" s="1" t="str">
        <f t="shared" si="81"/>
        <v>Other</v>
      </c>
      <c r="AH233" s="86" t="str">
        <f t="shared" si="82"/>
        <v>"%USERPROFILE%\Documents\GitHub\eaglep3\Utilities\RefineRTDCRunTimes.py" --tripid 72-01 --locoid 4043 --swversion DE.1.0.9.0 --startMP 300:23449 --initTime 2017-03-01T18:23:57 --startdatetime 2017-03-01T18:26:27 --delay 2 --endMP 204:1854 --enddatetime 2017-03-01T18:38:07 --enforcementcount 0 &gt;&gt;C:\Users\stu\Documents\GitHub\eaglep3-reporting\EC\2017-03-01-refined-times.txt</v>
      </c>
      <c r="AI233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{"issue":{"subject":"","project_id":79,"tracker_id":40,"status_id":1,"priority_id":2,"assigned_to_id":23,"start_date":"2017-03-01","description":"","custom_fields":[{"id":1,"name":"Subdivision","value":"Other"},{"id":4,"name":"Milepost","value":"0.1854"},{"id":17,"name":"Train ID","value":"72-01"},{"id":16,"name":"Locomotive ID","value":"4043"},{"id":130,"name":"Impact","value":""},{"id":150,"name":"Time of Event (Mountain Time)","value":"18:38:07"},{"id":151,"name":"Denver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84"/>
        <v>start /low /b %USERPROFILE%\Documents\GitHub\eaglep3\Utilities\DownloadLogsFromS3.py --loco 4043 --day 2017-03-01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"%USERPROFILE%\AppData\Local\Temp\OnboardLogs"\RTDC4043\*4043*20170302* | grep -SE "(Enforcement Action)|(\[TIMEOUT)|(CHR.+\|PRM\|1\|D.+(SWITCH|SIGNAL).+UNKNOWN)" - &gt;&gt; 2017-03-01-UncaughtWiMAX.txt</v>
      </c>
    </row>
    <row r="234" spans="1:40" x14ac:dyDescent="0.25">
      <c r="A234" s="33" t="s">
        <v>616</v>
      </c>
      <c r="B234" s="7">
        <v>4031</v>
      </c>
      <c r="C234" s="21" t="s">
        <v>266</v>
      </c>
      <c r="D234" s="21" t="s">
        <v>358</v>
      </c>
      <c r="E234" s="13">
        <v>42795.733217592591</v>
      </c>
      <c r="F234" s="13">
        <v>25568.708333333332</v>
      </c>
      <c r="G234" s="7">
        <v>1</v>
      </c>
      <c r="H234" s="21" t="s">
        <v>754</v>
      </c>
      <c r="I234" s="13">
        <v>25568.708333333332</v>
      </c>
      <c r="J234" s="7">
        <v>0</v>
      </c>
      <c r="K234" s="98" t="str">
        <f t="shared" si="70"/>
        <v>4031/4032</v>
      </c>
      <c r="L234" s="21" t="str">
        <f>VLOOKUP(A234,'Trips&amp;Operators'!$C$1:$G$99999,5,FALSE)</f>
        <v>STRICKLAND EVAN</v>
      </c>
      <c r="M234" s="6">
        <f t="shared" si="71"/>
        <v>0</v>
      </c>
      <c r="N234" s="7">
        <f t="shared" si="67"/>
        <v>0</v>
      </c>
      <c r="O234" s="7"/>
      <c r="P234" s="7"/>
      <c r="Q234" s="22"/>
      <c r="R234" s="22"/>
      <c r="S234" s="31">
        <f t="shared" si="72"/>
        <v>0</v>
      </c>
      <c r="T234" s="46" t="e">
        <f t="shared" si="73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74"/>
        <v>https://d0f6bd738d7f1b3e5a7ca70fe4ff75f0.us-east-1.aws.found.io/app/kibana#/discover/Steve-Slow-Train-Analysis-(2080s-and-2083s)?_g=(refreshInterval:(display:Off,pause:!f,section:0,value:0),time:(from:'2017-03-01T16:35:50-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4" s="187" t="str">
        <f t="shared" si="75"/>
        <v>Y</v>
      </c>
      <c r="X234" s="187" t="e">
        <f t="shared" si="85"/>
        <v>#VALUE!</v>
      </c>
      <c r="Y234" s="62">
        <f t="shared" si="76"/>
        <v>0.14660000000000001</v>
      </c>
      <c r="Z234" s="62">
        <f t="shared" si="69"/>
        <v>2.3346</v>
      </c>
      <c r="AA234" s="62">
        <f t="shared" si="77"/>
        <v>2.1880000000000002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78"/>
        <v>73-01</v>
      </c>
      <c r="AE234" s="85" t="str">
        <f t="shared" si="79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34" s="82" t="str">
        <f t="shared" si="80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34" s="1" t="str">
        <f t="shared" si="81"/>
        <v>Other</v>
      </c>
      <c r="AH234" s="86" t="str">
        <f t="shared" si="82"/>
        <v>"%USERPROFILE%\Documents\GitHub\eaglep3\Utilities\RefineRTDCRunTimes.py" --tripid 73-01 --locoid 4031 --swversion DE.1.0.9.0 --startMP 204:1466 --initTime 2017-03-01T17:35:50 --startdatetime 1969-12-31T17:00:00 --delay 1 --endMP 300:23346 --enddatetime 1969-12-31T17:00:00 --enforcementcount 0 &gt;&gt;C:\Users\stu\Documents\GitHub\eaglep3-reporting\EC\2017-03-01-refined-times.txt</v>
      </c>
      <c r="AI234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ID","value":"73-01"},{"id":16,"name":"Locomotive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84"/>
        <v>start /low /b %USERPROFILE%\Documents\GitHub\eaglep3\Utilities\DownloadLogsFromS3.py --loco 4031 --day 1969-12-31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"%USERPROFILE%\AppData\Local\Temp\OnboardLogs"\RTDC4031\*4031*19700101* | grep -SE "(Enforcement Action)|(\[TIMEOUT)|(CHR.+\|PRM\|1\|D.+(SWITCH|SIGNAL).+UNKNOWN)" - &gt;&gt; 2017-03-01-UncaughtWiMAX.txt</v>
      </c>
    </row>
    <row r="235" spans="1:40" x14ac:dyDescent="0.25">
      <c r="A235" s="33" t="s">
        <v>648</v>
      </c>
      <c r="B235" s="7">
        <v>4065</v>
      </c>
      <c r="C235" s="21" t="s">
        <v>266</v>
      </c>
      <c r="D235" s="21" t="s">
        <v>701</v>
      </c>
      <c r="E235" s="13">
        <v>42795.881736111114</v>
      </c>
      <c r="F235" s="13">
        <v>42795.883796296293</v>
      </c>
      <c r="G235" s="7">
        <v>1</v>
      </c>
      <c r="H235" s="21" t="s">
        <v>184</v>
      </c>
      <c r="I235" s="13">
        <v>42795.914710648147</v>
      </c>
      <c r="J235" s="7">
        <v>0</v>
      </c>
      <c r="K235" s="98" t="str">
        <f t="shared" si="70"/>
        <v>4065/4066</v>
      </c>
      <c r="L235" s="21" t="str">
        <f>VLOOKUP(A235,'Trips&amp;Operators'!$C$1:$G$99999,5,FALSE)</f>
        <v>YANG JAN</v>
      </c>
      <c r="M235" s="6">
        <f t="shared" si="71"/>
        <v>3.0914351853425615E-2</v>
      </c>
      <c r="N235" s="7">
        <f t="shared" si="67"/>
        <v>44.516666668932885</v>
      </c>
      <c r="O235" s="7"/>
      <c r="P235" s="7"/>
      <c r="Q235" s="22"/>
      <c r="R235" s="22"/>
      <c r="S235" s="31">
        <f t="shared" si="72"/>
        <v>0</v>
      </c>
      <c r="T235" s="46" t="e">
        <f t="shared" si="73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74"/>
        <v>https://d0f6bd738d7f1b3e5a7ca70fe4ff75f0.us-east-1.aws.found.io/app/kibana#/discover/Steve-Slow-Train-Analysis-(2080s-and-2083s)?_g=(refreshInterval:(display:Off,pause:!f,section:0,value:0),time:(from:'2017-03-01T20:09:42-0700',mode:absolute,to:'2017-03-01T22:57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5" s="187" t="str">
        <f t="shared" si="75"/>
        <v>N</v>
      </c>
      <c r="X235" s="187" t="e">
        <f t="shared" si="85"/>
        <v>#VALUE!</v>
      </c>
      <c r="Y235" s="62">
        <f t="shared" si="76"/>
        <v>23.297799999999999</v>
      </c>
      <c r="Z235" s="62">
        <f t="shared" si="69"/>
        <v>1.49E-2</v>
      </c>
      <c r="AA235" s="62">
        <f t="shared" si="77"/>
        <v>23.282899999999998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78"/>
        <v>80-01</v>
      </c>
      <c r="AE235" s="85" t="str">
        <f t="shared" si="79"/>
        <v>aws s3 cp s3://rtdc.mdm.uploadarchive.raw/RTDC4065/ "%USERPROFILE%\AppData\Local\Temp\OnboardLogs"\RTDC4065\2017-03-01 --exclude "*" --recursive --include "*20170301*" &amp; "%USERPROFILE%\Documents\GitHub\mrs-test-scripts\Headless Mode &amp; Sideloading\WalkAndUnGZ.bat" "%USERPROFILE%\AppData\Local\Temp\OnboardLogs"\RTDC4065\2017-03-01 &amp; aws s3 cp s3://rtdc.mdm.uploadarchive.raw/RTDC4065/ "%USERPROFILE%\AppData\Local\Temp\OnboardLogs"\RTDC4065\2017-03-02 --exclude "*" --recursive --include "*20170302*" &amp; "%USERPROFILE%\Documents\GitHub\mrs-test-scripts\Headless Mode &amp; Sideloading\WalkAndUnGZ.bat" "%USERPROFILE%\AppData\Local\Temp\OnboardLogs"\RTDC4065\2017-03-02</v>
      </c>
      <c r="AF235" s="82" t="str">
        <f t="shared" si="80"/>
        <v>"C:\Program Files (x86)\AstroGrep\AstroGrep.exe" /spath="%USERPROFILE%\AppData\Local\Temp\OnboardLogs" /stypes="app*4065*20170302*" /stext=" 04:.+((SYSTEM_STATE.+slice.+state.+changed )|(ment ac)|(multiple cpu faults)|(system.+state.+changed )|(\[timeout)|(PRM\|1\|D)|(kpr)|(kdp)|(\|lc)|(penalty))" /e /r /s</v>
      </c>
      <c r="AG235" s="1" t="str">
        <f t="shared" si="81"/>
        <v>Other</v>
      </c>
      <c r="AH235" s="86" t="str">
        <f t="shared" si="82"/>
        <v>"%USERPROFILE%\Documents\GitHub\eaglep3\Utilities\RefineRTDCRunTimes.py" --tripid 80-01 --locoid 4065 --swversion DE.1.0.9.0 --startMP 204:232978 --initTime 2017-03-01T21:09:42 --startdatetime 2017-03-01T21:12:40 --delay 1 --endMP 204:149 --enddatetime 2017-03-01T21:57:11 --enforcementcount 0 &gt;&gt;C:\Users\stu\Documents\GitHub\eaglep3-reporting\EC\2017-03-01-refined-times.txt</v>
      </c>
      <c r="AI235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{"issue":{"subject":"","project_id":79,"tracker_id":40,"status_id":1,"priority_id":2,"assigned_to_id":23,"start_date":"2017-03-01","description":"","custom_fields":[{"id":1,"name":"Subdivision","value":"Other"},{"id":4,"name":"Milepost","value":"0.0149"},{"id":17,"name":"Train ID","value":"80-01"},{"id":16,"name":"Locomotive ID","value":"4065"},{"id":130,"name":"Impact","value":""},{"id":150,"name":"Time of Event (Mountain Time)","value":"21:57:11"},{"id":151,"name":"Denver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84"/>
        <v>start /low /b %USERPROFILE%\Documents\GitHub\eaglep3\Utilities\DownloadLogsFromS3.py --loco 4065 --day 2017-03-01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"%USERPROFILE%\AppData\Local\Temp\OnboardLogs"\RTDC4065\*4065*20170302* | grep -SE "(Enforcement Action)|(\[TIMEOUT)|(CHR.+\|PRM\|1\|D.+(SWITCH|SIGNAL).+UNKNOWN)" - &gt;&gt; 2017-03-01-UncaughtWiMAX.txt</v>
      </c>
    </row>
    <row r="236" spans="1:40" x14ac:dyDescent="0.25">
      <c r="A236" s="33" t="s">
        <v>648</v>
      </c>
      <c r="B236" s="7">
        <v>4065</v>
      </c>
      <c r="C236" s="21" t="s">
        <v>266</v>
      </c>
      <c r="D236" s="21" t="s">
        <v>772</v>
      </c>
      <c r="E236" s="13">
        <v>42795.836712962962</v>
      </c>
      <c r="F236" s="13">
        <v>42795.838310185187</v>
      </c>
      <c r="G236" s="7">
        <v>1</v>
      </c>
      <c r="H236" s="21" t="s">
        <v>206</v>
      </c>
      <c r="I236" s="13">
        <v>42795.84574074074</v>
      </c>
      <c r="J236" s="7">
        <v>0</v>
      </c>
      <c r="K236" s="98" t="str">
        <f t="shared" si="70"/>
        <v>4065/4066</v>
      </c>
      <c r="L236" s="21" t="str">
        <f>VLOOKUP(A236,'Trips&amp;Operators'!$C$1:$G$99999,5,FALSE)</f>
        <v>YANG JAN</v>
      </c>
      <c r="M236" s="6">
        <f t="shared" si="71"/>
        <v>7.4305555535829626E-3</v>
      </c>
      <c r="N236" s="7">
        <f t="shared" si="67"/>
        <v>10.699999997159466</v>
      </c>
      <c r="O236" s="7"/>
      <c r="P236" s="7"/>
      <c r="Q236" s="22"/>
      <c r="R236" s="22"/>
      <c r="S236" s="31">
        <f t="shared" si="72"/>
        <v>0</v>
      </c>
      <c r="T236" s="46" t="e">
        <f t="shared" si="73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74"/>
        <v>https://d0f6bd738d7f1b3e5a7ca70fe4ff75f0.us-east-1.aws.found.io/app/kibana#/discover/Steve-Slow-Train-Analysis-(2080s-and-2083s)?_g=(refreshInterval:(display:Off,pause:!f,section:0,value:0),time:(from:'2017-03-01T19:04:52-0700',mode:absolute,to:'2017-03-01T21:17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6" s="187" t="str">
        <f t="shared" si="75"/>
        <v>Y</v>
      </c>
      <c r="X236" s="187" t="e">
        <f t="shared" si="85"/>
        <v>#VALUE!</v>
      </c>
      <c r="Y236" s="62">
        <f t="shared" si="76"/>
        <v>2.3210999999999999</v>
      </c>
      <c r="Z236" s="62">
        <f t="shared" si="69"/>
        <v>1.52E-2</v>
      </c>
      <c r="AA236" s="62">
        <f t="shared" si="77"/>
        <v>2.3058999999999998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78"/>
        <v>80-01</v>
      </c>
      <c r="AE236" s="85" t="str">
        <f t="shared" si="79"/>
        <v>aws s3 cp s3://rtdc.mdm.uploadarchive.raw/RTDC4065/ "%USERPROFILE%\AppData\Local\Temp\OnboardLogs"\RTDC4065\2017-03-01 --exclude "*" --recursive --include "*20170301*" &amp; "%USERPROFILE%\Documents\GitHub\mrs-test-scripts\Headless Mode &amp; Sideloading\WalkAndUnGZ.bat" "%USERPROFILE%\AppData\Local\Temp\OnboardLogs"\RTDC4065\2017-03-01 &amp; aws s3 cp s3://rtdc.mdm.uploadarchive.raw/RTDC4065/ "%USERPROFILE%\AppData\Local\Temp\OnboardLogs"\RTDC4065\2017-03-02 --exclude "*" --recursive --include "*20170302*" &amp; "%USERPROFILE%\Documents\GitHub\mrs-test-scripts\Headless Mode &amp; Sideloading\WalkAndUnGZ.bat" "%USERPROFILE%\AppData\Local\Temp\OnboardLogs"\RTDC4065\2017-03-02</v>
      </c>
      <c r="AF236" s="82" t="str">
        <f t="shared" si="80"/>
        <v>"C:\Program Files (x86)\AstroGrep\AstroGrep.exe" /spath="%USERPROFILE%\AppData\Local\Temp\OnboardLogs" /stypes="app*4065*20170302*" /stext=" 03:.+((SYSTEM_STATE.+slice.+state.+changed )|(ment ac)|(multiple cpu faults)|(system.+state.+changed )|(\[timeout)|(PRM\|1\|D)|(kpr)|(kdp)|(\|lc)|(penalty))" /e /r /s</v>
      </c>
      <c r="AG236" s="1" t="str">
        <f t="shared" si="81"/>
        <v>Other</v>
      </c>
      <c r="AH236" s="86" t="str">
        <f t="shared" si="82"/>
        <v>"%USERPROFILE%\Documents\GitHub\eaglep3\Utilities\RefineRTDCRunTimes.py" --tripid 80-01 --locoid 4065 --swversion DE.1.0.9.0 --startMP 300:23211 --initTime 2017-03-01T20:04:52 --startdatetime 2017-03-01T20:07:10 --delay 1 --endMP 204:152 --enddatetime 2017-03-01T20:17:52 --enforcementcount 0 &gt;&gt;C:\Users\stu\Documents\GitHub\eaglep3-reporting\EC\2017-03-01-refined-times.txt</v>
      </c>
      <c r="AI236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{"issue":{"subject":"","project_id":79,"tracker_id":40,"status_id":1,"priority_id":2,"assigned_to_id":23,"start_date":"2017-03-01","description":"","custom_fields":[{"id":1,"name":"Subdivision","value":"Other"},{"id":4,"name":"Milepost","value":"0.0152"},{"id":17,"name":"Train ID","value":"80-01"},{"id":16,"name":"Locomotive ID","value":"4065"},{"id":130,"name":"Impact","value":""},{"id":150,"name":"Time of Event (Mountain Time)","value":"20:17:52"},{"id":151,"name":"Denver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84"/>
        <v>start /low /b %USERPROFILE%\Documents\GitHub\eaglep3\Utilities\DownloadLogsFromS3.py --loco 4065 --day 2017-03-01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"%USERPROFILE%\AppData\Local\Temp\OnboardLogs"\RTDC4065\*4065*20170302* | grep -SE "(Enforcement Action)|(\[TIMEOUT)|(CHR.+\|PRM\|1\|D.+(SWITCH|SIGNAL).+UNKNOWN)" - &gt;&gt; 2017-03-01-UncaughtWiMAX.txt</v>
      </c>
    </row>
    <row r="237" spans="1:40" x14ac:dyDescent="0.25">
      <c r="A237" s="33" t="s">
        <v>651</v>
      </c>
      <c r="B237" s="7">
        <v>4066</v>
      </c>
      <c r="C237" s="21" t="s">
        <v>266</v>
      </c>
      <c r="D237" s="21" t="s">
        <v>346</v>
      </c>
      <c r="E237" s="13">
        <v>42795.846712962964</v>
      </c>
      <c r="F237" s="13">
        <v>42795.849409722221</v>
      </c>
      <c r="G237" s="7">
        <v>2</v>
      </c>
      <c r="H237" s="21" t="s">
        <v>738</v>
      </c>
      <c r="I237" s="13">
        <v>42795.880358796298</v>
      </c>
      <c r="J237" s="7">
        <v>0</v>
      </c>
      <c r="K237" s="98" t="str">
        <f t="shared" si="70"/>
        <v>4065/4066</v>
      </c>
      <c r="L237" s="21" t="str">
        <f>VLOOKUP(A237,'Trips&amp;Operators'!$C$1:$G$99999,5,FALSE)</f>
        <v>YANG JAN</v>
      </c>
      <c r="M237" s="6">
        <f t="shared" si="71"/>
        <v>3.0949074076488614E-2</v>
      </c>
      <c r="N237" s="7">
        <f t="shared" si="67"/>
        <v>44.566666670143604</v>
      </c>
      <c r="O237" s="7"/>
      <c r="P237" s="7"/>
      <c r="Q237" s="22"/>
      <c r="R237" s="22"/>
      <c r="S237" s="31">
        <f t="shared" si="72"/>
        <v>0</v>
      </c>
      <c r="T237" s="46" t="e">
        <f t="shared" si="73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74"/>
        <v>https://d0f6bd738d7f1b3e5a7ca70fe4ff75f0.us-east-1.aws.found.io/app/kibana#/discover/Steve-Slow-Train-Analysis-(2080s-and-2083s)?_g=(refreshInterval:(display:Off,pause:!f,section:0,value:0),time:(from:'2017-03-01T19:19:16-0700',mode:absolute,to:'2017-03-01T22:07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7" s="187" t="str">
        <f t="shared" si="75"/>
        <v>N</v>
      </c>
      <c r="X237" s="187" t="e">
        <f t="shared" si="85"/>
        <v>#VALUE!</v>
      </c>
      <c r="Y237" s="62">
        <f t="shared" si="76"/>
        <v>4.4200000000000003E-2</v>
      </c>
      <c r="Z237" s="62">
        <f t="shared" si="69"/>
        <v>23.325700000000001</v>
      </c>
      <c r="AA237" s="62">
        <f t="shared" si="77"/>
        <v>23.281500000000001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78"/>
        <v>81-01</v>
      </c>
      <c r="AE237" s="85" t="str">
        <f t="shared" si="79"/>
        <v>aws s3 cp s3://rtdc.mdm.uploadarchive.raw/RTDC4066/ "%USERPROFILE%\AppData\Local\Temp\OnboardLogs"\RTDC4066\2017-03-01 --exclude "*" --recursive --include "*20170301*" &amp; "%USERPROFILE%\Documents\GitHub\mrs-test-scripts\Headless Mode &amp; Sideloading\WalkAndUnGZ.bat" "%USERPROFILE%\AppData\Local\Temp\OnboardLogs"\RTDC4066\2017-03-01 &amp; aws s3 cp s3://rtdc.mdm.uploadarchive.raw/RTDC4066/ "%USERPROFILE%\AppData\Local\Temp\OnboardLogs"\RTDC4066\2017-03-02 --exclude "*" --recursive --include "*20170302*" &amp; "%USERPROFILE%\Documents\GitHub\mrs-test-scripts\Headless Mode &amp; Sideloading\WalkAndUnGZ.bat" "%USERPROFILE%\AppData\Local\Temp\OnboardLogs"\RTDC4066\2017-03-02</v>
      </c>
      <c r="AF237" s="82" t="str">
        <f t="shared" si="80"/>
        <v>"C:\Program Files (x86)\AstroGrep\AstroGrep.exe" /spath="%USERPROFILE%\AppData\Local\Temp\OnboardLogs" /stypes="app*4066*20170302*" /stext=" 04:.+((SYSTEM_STATE.+slice.+state.+changed )|(ment ac)|(multiple cpu faults)|(system.+state.+changed )|(\[timeout)|(PRM\|1\|D)|(kpr)|(kdp)|(\|lc)|(penalty))" /e /r /s</v>
      </c>
      <c r="AG237" s="1" t="str">
        <f t="shared" si="81"/>
        <v>Other</v>
      </c>
      <c r="AH237" s="86" t="str">
        <f t="shared" si="82"/>
        <v>"%USERPROFILE%\Documents\GitHub\eaglep3\Utilities\RefineRTDCRunTimes.py" --tripid 81-01 --locoid 4066 --swversion DE.1.0.9.0 --startMP 204:442 --initTime 2017-03-01T20:19:16 --startdatetime 2017-03-01T20:23:09 --delay 2 --endMP 204:233257 --enddatetime 2017-03-01T21:07:43 --enforcementcount 0 &gt;&gt;C:\Users\stu\Documents\GitHub\eaglep3-reporting\EC\2017-03-01-refined-times.txt</v>
      </c>
      <c r="AI237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{"issue":{"subject":"","project_id":79,"tracker_id":40,"status_id":1,"priority_id":2,"assigned_to_id":23,"start_date":"2017-03-01","description":"","custom_fields":[{"id":1,"name":"Subdivision","value":"Other"},{"id":4,"name":"Milepost","value":"23.3257"},{"id":17,"name":"Train ID","value":"81-01"},{"id":16,"name":"Locomotive ID","value":"4066"},{"id":130,"name":"Impact","value":""},{"id":150,"name":"Time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84"/>
        <v>start /low /b %USERPROFILE%\Documents\GitHub\eaglep3\Utilities\DownloadLogsFromS3.py --loco 4066 --day 2017-03-01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"%USERPROFILE%\AppData\Local\Temp\OnboardLogs"\RTDC4066\*4066*20170302* | grep -SE "(Enforcement Action)|(\[TIMEOUT)|(CHR.+\|PRM\|1\|D.+(SWITCH|SIGNAL).+UNKNOWN)" - &gt;&gt; 2017-03-01-UncaughtWiMAX.txt</v>
      </c>
    </row>
    <row r="238" spans="1:40" x14ac:dyDescent="0.25">
      <c r="A238" s="33" t="s">
        <v>651</v>
      </c>
      <c r="B238" s="7">
        <v>4066</v>
      </c>
      <c r="C238" s="21" t="s">
        <v>266</v>
      </c>
      <c r="D238" s="21" t="s">
        <v>228</v>
      </c>
      <c r="E238" s="13">
        <v>42795.916655092595</v>
      </c>
      <c r="F238" s="13">
        <v>42795.921585648146</v>
      </c>
      <c r="G238" s="7">
        <v>1</v>
      </c>
      <c r="H238" s="21" t="s">
        <v>299</v>
      </c>
      <c r="I238" s="13">
        <v>42795.950821759259</v>
      </c>
      <c r="J238" s="7">
        <v>0</v>
      </c>
      <c r="K238" s="98" t="str">
        <f t="shared" si="70"/>
        <v>4065/4066</v>
      </c>
      <c r="L238" s="21" t="str">
        <f>VLOOKUP(A238,'Trips&amp;Operators'!$C$1:$G$99999,5,FALSE)</f>
        <v>YANG JAN</v>
      </c>
      <c r="M238" s="6">
        <f t="shared" si="71"/>
        <v>2.923611111327773E-2</v>
      </c>
      <c r="N238" s="7">
        <f t="shared" si="67"/>
        <v>42.100000003119931</v>
      </c>
      <c r="O238" s="7"/>
      <c r="P238" s="7"/>
      <c r="Q238" s="22"/>
      <c r="R238" s="22"/>
      <c r="S238" s="31">
        <f t="shared" si="72"/>
        <v>0</v>
      </c>
      <c r="T238" s="46" t="e">
        <f t="shared" si="73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74"/>
        <v>https://d0f6bd738d7f1b3e5a7ca70fe4ff75f0.us-east-1.aws.found.io/app/kibana#/discover/Steve-Slow-Train-Analysis-(2080s-and-2083s)?_g=(refreshInterval:(display:Off,pause:!f,section:0,value:0),time:(from:'2017-03-01T20:59:59-0700',mode:absolute,to:'2017-03-01T23:49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8" s="187" t="str">
        <f t="shared" si="75"/>
        <v>N</v>
      </c>
      <c r="X238" s="187" t="e">
        <f t="shared" si="85"/>
        <v>#VALUE!</v>
      </c>
      <c r="Y238" s="62">
        <f t="shared" si="76"/>
        <v>4.5999999999999999E-2</v>
      </c>
      <c r="Z238" s="62">
        <f t="shared" si="69"/>
        <v>23.3308</v>
      </c>
      <c r="AA238" s="62">
        <f t="shared" si="77"/>
        <v>23.284800000000001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78"/>
        <v>81-01</v>
      </c>
      <c r="AE238" s="85" t="str">
        <f t="shared" si="79"/>
        <v>aws s3 cp s3://rtdc.mdm.uploadarchive.raw/RTDC4066/ "%USERPROFILE%\AppData\Local\Temp\OnboardLogs"\RTDC4066\2017-03-01 --exclude "*" --recursive --include "*20170301*" &amp; "%USERPROFILE%\Documents\GitHub\mrs-test-scripts\Headless Mode &amp; Sideloading\WalkAndUnGZ.bat" "%USERPROFILE%\AppData\Local\Temp\OnboardLogs"\RTDC4066\2017-03-01 &amp; aws s3 cp s3://rtdc.mdm.uploadarchive.raw/RTDC4066/ "%USERPROFILE%\AppData\Local\Temp\OnboardLogs"\RTDC4066\2017-03-02 --exclude "*" --recursive --include "*20170302*" &amp; "%USERPROFILE%\Documents\GitHub\mrs-test-scripts\Headless Mode &amp; Sideloading\WalkAndUnGZ.bat" "%USERPROFILE%\AppData\Local\Temp\OnboardLogs"\RTDC4066\2017-03-02</v>
      </c>
      <c r="AF238" s="82" t="str">
        <f t="shared" si="80"/>
        <v>"C:\Program Files (x86)\AstroGrep\AstroGrep.exe" /spath="%USERPROFILE%\AppData\Local\Temp\OnboardLogs" /stypes="app*4066*20170302*" /stext=" 05:.+((SYSTEM_STATE.+slice.+state.+changed )|(ment ac)|(multiple cpu faults)|(system.+state.+changed )|(\[timeout)|(PRM\|1\|D)|(kpr)|(kdp)|(\|lc)|(penalty))" /e /r /s</v>
      </c>
      <c r="AG238" s="1" t="str">
        <f t="shared" si="81"/>
        <v>Other</v>
      </c>
      <c r="AH238" s="86" t="str">
        <f t="shared" si="82"/>
        <v>"%USERPROFILE%\Documents\GitHub\eaglep3\Utilities\RefineRTDCRunTimes.py" --tripid 81-01 --locoid 4066 --swversion DE.1.0.9.0 --startMP 204:460 --initTime 2017-03-01T21:59:59 --startdatetime 2017-03-01T22:07:05 --delay 1 --endMP 204:233308 --enddatetime 2017-03-01T22:49:11 --enforcementcount 0 &gt;&gt;C:\Users\stu\Documents\GitHub\eaglep3-reporting\EC\2017-03-01-refined-times.txt</v>
      </c>
      <c r="AI238" s="108" t="str">
        <f t="shared" si="83"/>
        <v>echo {"issue":{"subject":"","project_id":79,"tracker_id":40,"status_id":1,"priority_id":2,"assigned_to_id":23,"start_date":"2017-03-01","description":"","custom_fields":[{"id":1,"name":"Subdivision","value":"Other"},{"id":4,"name":"Milepost","value":"23.3308"},{"id":17,"name":"Train ID","value":"81-01"},{"id":16,"name":"Locomotive ID","value":"4066"},{"id":130,"name":"Impact","value":""},{"id":150,"name":"Time of Event (Mountain Time)","value":"22:49:11"},{"id":151,"name":"Denver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84"/>
        <v>start /low /b %USERPROFILE%\Documents\GitHub\eaglep3\Utilities\DownloadLogsFromS3.py --loco 4066 --day 2017-03-01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"%USERPROFILE%\AppData\Local\Temp\OnboardLogs"\RTDC4066\*4066*20170302* | grep -SE "(Enforcement Action)|(\[TIMEOUT)|(CHR.+\|PRM\|1\|D.+(SWITCH|SIGNAL).+UNKNOWN)" - &gt;&gt; 2017-03-01-UncaughtWiMAX.txt</v>
      </c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</sheetData>
  <autoFilter ref="A12:AG250">
    <sortState ref="A13:AG251">
      <sortCondition ref="AG13:AG239"/>
      <sortCondition ref="AD13:AD239"/>
    </sortState>
  </autoFilter>
  <sortState ref="A13:AH200">
    <sortCondition ref="AG13:AG200"/>
    <sortCondition ref="AD13:AD200"/>
  </sortState>
  <mergeCells count="1">
    <mergeCell ref="A11:P11"/>
  </mergeCells>
  <conditionalFormatting sqref="W11:W12 W269:X1048576 W13:X238">
    <cfRule type="cellIs" dxfId="10" priority="356" operator="equal">
      <formula>"Y"</formula>
    </cfRule>
  </conditionalFormatting>
  <conditionalFormatting sqref="X269:X1048576 X13:X238">
    <cfRule type="cellIs" dxfId="9" priority="339" operator="greaterThan">
      <formula>1</formula>
    </cfRule>
  </conditionalFormatting>
  <conditionalFormatting sqref="X269:X1048576 X12:X238">
    <cfRule type="cellIs" dxfId="8" priority="336" operator="equal">
      <formula>0</formula>
    </cfRule>
  </conditionalFormatting>
  <conditionalFormatting sqref="A13:S238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AK13:AK238</xm:sqref>
        </x14:dataValidation>
        <x14:dataValidation type="list" allowBlank="1" showInputMessage="1" showErrorMessage="1">
          <x14:formula1>
            <xm:f>'Redmine List Values'!$C$2:$C$15</xm:f>
          </x14:formula1>
          <xm:sqref>AL13:AL238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N17" sqref="N1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3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50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- 2017-03-01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209</v>
      </c>
    </row>
    <row r="7" spans="1:32" s="1" customFormat="1" x14ac:dyDescent="0.25">
      <c r="A7" s="32">
        <v>42795.290995370371</v>
      </c>
      <c r="B7" s="30" t="s">
        <v>216</v>
      </c>
      <c r="C7" s="30" t="s">
        <v>435</v>
      </c>
      <c r="D7" s="30" t="s">
        <v>98</v>
      </c>
      <c r="E7" s="30" t="s">
        <v>197</v>
      </c>
      <c r="F7" s="43">
        <v>0</v>
      </c>
      <c r="G7" s="43">
        <v>129</v>
      </c>
      <c r="H7" s="43">
        <v>27065</v>
      </c>
      <c r="I7" s="43">
        <v>27163</v>
      </c>
      <c r="J7" s="30" t="s">
        <v>198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-58.08</v>
      </c>
      <c r="N7" s="145" t="str">
        <f>VLOOKUP(C7,'Trips&amp;Operators'!$C$1:$G$99999,5,FALSE)</f>
        <v>MAYBERRY BILL</v>
      </c>
      <c r="O7" s="194" t="s">
        <v>185</v>
      </c>
      <c r="P7" s="146" t="s">
        <v>326</v>
      </c>
      <c r="Q7" s="30"/>
      <c r="R7" s="89" t="str">
        <f>VLOOKUP(C7,'Train Runs'!$A$13:$AE$9938,31,0)</f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S7" s="92" t="str">
        <f>VLOOKUP(C7,'Train Runs'!$A$13:$AE$9938,22,0)</f>
        <v>https://d0f6bd738d7f1b3e5a7ca70fe4ff75f0.us-east-1.aws.found.io/app/kibana#/discover/Steve-Slow-Train-Analysis-(2080s-and-2083s)?_g=(refreshInterval:(display:Off,pause:!f,section:0,value:0),time:(from:'2017-03-01T05:43:33-0700',mode:absolute,to:'2017-03-01T08:32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7" s="94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/stypes="*4046*201703011*" /stext=" 13:.+((SYSTEM_STATE.+slice.+state.+changed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4046</v>
      </c>
      <c r="V7" s="32">
        <f t="shared" ref="V7:V38" si="3">A7-utc_offset/24</f>
        <v>42795.582662037035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arrival","project_id":79,"tracker_id":40,"status_id":1,"priority_id":2,"assigned_to_id":23,"start_date":"2017-03-01","description":"","custom_fields":[{"id":1,"name":"Subdivision","value":"EC"},{"id":4,"name":"Milepost","value":"2.7053"},{"id":17,"name":"Train ID","value":"125-01"},{"id":16,"name":"Locomotive ID","value":"4046"},{"id":130,"name":"Impact","value":""},{"id":150,"name":"Time of Event (Mountain Time)","value":"06:59:02"},{"id":151,"name":"Denver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28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"%USERPROFILE%\AppData\Local\Temp\OnboardLogs"\RTDC4046\*4046*201703011*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"%USERPROFILE%\AppData\Local\Temp\OnboardLogs"\RTDC4046\*4046*201703011* &gt;&gt; 2017-03-01-SliceDisagreementCheck.txt</v>
      </c>
      <c r="AE7" s="157" t="str">
        <f t="shared" ref="AE7:AE38" si="8">"start /low /b "&amp;dls3logs&amp;" --loco "&amp;U7&amp;" --day "&amp;TEXT(V7,"YYYY-MM-DD")</f>
        <v>start /low /b %USERPROFILE%\Documents\GitHub\eaglep3\Utilities\DownloadLogsFromS3.py --loco 4046 --day 2017-03-01</v>
      </c>
    </row>
    <row r="8" spans="1:32" s="1" customFormat="1" x14ac:dyDescent="0.25">
      <c r="A8" s="32">
        <v>42795.452407407407</v>
      </c>
      <c r="B8" s="30" t="s">
        <v>431</v>
      </c>
      <c r="C8" s="30" t="s">
        <v>445</v>
      </c>
      <c r="D8" s="30" t="s">
        <v>49</v>
      </c>
      <c r="E8" s="30" t="s">
        <v>197</v>
      </c>
      <c r="F8" s="43">
        <v>0</v>
      </c>
      <c r="G8" s="43">
        <v>187</v>
      </c>
      <c r="H8" s="43">
        <v>26909</v>
      </c>
      <c r="I8" s="43">
        <v>27155</v>
      </c>
      <c r="J8" s="30" t="s">
        <v>198</v>
      </c>
      <c r="K8" s="43">
        <v>27053</v>
      </c>
      <c r="L8" s="143" t="s">
        <v>50</v>
      </c>
      <c r="M8" s="144">
        <f t="shared" si="0"/>
        <v>-53.856000000000002</v>
      </c>
      <c r="N8" s="145" t="str">
        <f>VLOOKUP(C8,'Trips&amp;Operators'!$C$1:$G$99999,5,FALSE)</f>
        <v>STARKS ANGELINA</v>
      </c>
      <c r="O8" s="194" t="s">
        <v>185</v>
      </c>
      <c r="P8" s="146" t="s">
        <v>326</v>
      </c>
      <c r="Q8" s="30"/>
      <c r="R8" s="89" t="str">
        <f>VLOOKUP(C8,'Train Runs'!$A$13:$AE$9938,31,0)</f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S8" s="92" t="str">
        <f>VLOOKUP(C8,'Train Runs'!$A$13:$AE$9938,22,0)</f>
        <v>https://d0f6bd738d7f1b3e5a7ca70fe4ff75f0.us-east-1.aws.found.io/app/kibana#/discover/Steve-Slow-Train-Analysis-(2080s-and-2083s)?_g=(refreshInterval:(display:Off,pause:!f,section:0,value:0),time:(from:'2017-03-01T09:39:15-0700',mode:absolute,to:'2017-03-01T12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8" s="94" t="str">
        <f t="shared" si="1"/>
        <v>"C:\Program Files (x86)\AstroGrep\AstroGrep.exe" /spath="%USERPROFILE%\AppData\Local\Temp\OnboardLogs" /stypes="*4002*201703011*" /stext=" 17:.+((SYSTEM_STATE.+slice.+state.+changed )|(ment ac)|(multiple cpu faults)|(system.+state.+changed )|(\[timeout)|(PRM\|1\|D)|(kpr)|(kdp)|(\|lc)|(penalty))" /e /r /s</v>
      </c>
      <c r="U8" s="9" t="str">
        <f t="shared" si="2"/>
        <v>4002</v>
      </c>
      <c r="V8" s="32">
        <f t="shared" si="3"/>
        <v>42795.744074074071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arrival","project_id":79,"tracker_id":40,"status_id":1,"priority_id":2,"assigned_to_id":23,"start_date":"2017-03-01","description":"","custom_fields":[{"id":1,"name":"Subdivision","value":"EC"},{"id":4,"name":"Milepost","value":"2.7053"},{"id":17,"name":"Train ID","value":"157-01"},{"id":16,"name":"Locomotive ID","value":"4002"},{"id":130,"name":"Impact","value":""},{"id":150,"name":"Time of Event (Mountain Time)","value":"10:51:28"},{"id":151,"name":"Denver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"%USERPROFILE%\AppData\Local\Temp\OnboardLogs"\RTDC4002\*4002*201703011*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"%USERPROFILE%\AppData\Local\Temp\OnboardLogs"\RTDC4002\*4002*201703011* &gt;&gt; 2017-03-01-SliceDisagreementCheck.txt</v>
      </c>
      <c r="AE8" s="157" t="str">
        <f t="shared" si="8"/>
        <v>start /low /b %USERPROFILE%\Documents\GitHub\eaglep3\Utilities\DownloadLogsFromS3.py --loco 4002 --day 2017-03-01</v>
      </c>
    </row>
    <row r="9" spans="1:32" s="1" customFormat="1" x14ac:dyDescent="0.25">
      <c r="A9" s="32">
        <v>42795.662152777775</v>
      </c>
      <c r="B9" s="30" t="s">
        <v>381</v>
      </c>
      <c r="C9" s="30" t="s">
        <v>457</v>
      </c>
      <c r="D9" s="30" t="s">
        <v>49</v>
      </c>
      <c r="E9" s="30" t="s">
        <v>197</v>
      </c>
      <c r="F9" s="43">
        <v>0</v>
      </c>
      <c r="G9" s="43">
        <v>200</v>
      </c>
      <c r="H9" s="43">
        <v>26985</v>
      </c>
      <c r="I9" s="43">
        <v>27226</v>
      </c>
      <c r="J9" s="30" t="s">
        <v>198</v>
      </c>
      <c r="K9" s="43">
        <v>27053</v>
      </c>
      <c r="L9" s="143" t="s">
        <v>50</v>
      </c>
      <c r="M9" s="144">
        <f t="shared" si="0"/>
        <v>-91.343999999999994</v>
      </c>
      <c r="N9" s="145" t="str">
        <f>VLOOKUP(C9,'Trips&amp;Operators'!$C$1:$G$99999,5,FALSE)</f>
        <v>LEVIN SCOTT</v>
      </c>
      <c r="O9" s="194" t="s">
        <v>185</v>
      </c>
      <c r="P9" s="146" t="s">
        <v>326</v>
      </c>
      <c r="Q9" s="30"/>
      <c r="R9" s="89" t="str">
        <f>VLOOKUP(C9,'Train Runs'!$A$13:$AE$9938,31,0)</f>
        <v>aws s3 cp s3://rtdc.mdm.uploadarchive.raw/RTDC4009/ "%USERPROFILE%\AppData\Local\Temp\OnboardLogs"\RTDC4009\2017-03-01 --exclude "*" --recursive --include "*20170301*" &amp; "%USERPROFILE%\Documents\GitHub\mrs-test-scripts\Headless Mode &amp; Sideloading\WalkAndUnGZ.bat" "%USERPROFILE%\AppData\Local\Temp\OnboardLogs"\RTDC4009\2017-03-01 &amp; aws s3 cp s3://rtdc.mdm.uploadarchive.raw/RTDC4009/ "%USERPROFILE%\AppData\Local\Temp\OnboardLogs"\RTDC4009\2017-03-02 --exclude "*" --recursive --include "*20170302*" &amp; "%USERPROFILE%\Documents\GitHub\mrs-test-scripts\Headless Mode &amp; Sideloading\WalkAndUnGZ.bat" "%USERPROFILE%\AppData\Local\Temp\OnboardLogs"\RTDC4009\2017-03-02</v>
      </c>
      <c r="S9" s="92" t="str">
        <f>VLOOKUP(C9,'Train Runs'!$A$13:$AE$9938,22,0)</f>
        <v>https://d0f6bd738d7f1b3e5a7ca70fe4ff75f0.us-east-1.aws.found.io/app/kibana#/discover/Steve-Slow-Train-Analysis-(2080s-and-2083s)?_g=(refreshInterval:(display:Off,pause:!f,section:0,value:0),time:(from:'2017-03-01T14:45:02-0700',mode:absolute,to:'2017-03-01T17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9" s="94" t="str">
        <f t="shared" si="1"/>
        <v>"C:\Program Files (x86)\AstroGrep\AstroGrep.exe" /spath="%USERPROFILE%\AppData\Local\Temp\OnboardLogs" /stypes="*4009*201703012*" /stext=" 22:.+((SYSTEM_STATE.+slice.+state.+changed )|(ment ac)|(multiple cpu faults)|(system.+state.+changed )|(\[timeout)|(PRM\|1\|D)|(kpr)|(kdp)|(\|lc)|(penalty))" /e /r /s</v>
      </c>
      <c r="U9" s="9" t="str">
        <f t="shared" si="2"/>
        <v>4009</v>
      </c>
      <c r="V9" s="32">
        <f t="shared" si="3"/>
        <v>42795.953819444439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arrival","project_id":79,"tracker_id":40,"status_id":1,"priority_id":2,"assigned_to_id":23,"start_date":"2017-03-01","description":"","custom_fields":[{"id":1,"name":"Subdivision","value":"EC"},{"id":4,"name":"Milepost","value":"2.7053"},{"id":17,"name":"Train ID","value":"197-01"},{"id":16,"name":"Locomotive ID","value":"4009"},{"id":130,"name":"Impact","value":""},{"id":150,"name":"Time of Event (Mountain Time)","value":"15:53:30"},{"id":151,"name":"Denver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"%USERPROFILE%\AppData\Local\Temp\OnboardLogs"\RTDC4009\*4009*201703012*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"%USERPROFILE%\AppData\Local\Temp\OnboardLogs"\RTDC4009\*4009*201703012* &gt;&gt; 2017-03-01-SliceDisagreementCheck.txt</v>
      </c>
      <c r="AE9" s="157" t="str">
        <f t="shared" si="8"/>
        <v>start /low /b %USERPROFILE%\Documents\GitHub\eaglep3\Utilities\DownloadLogsFromS3.py --loco 4009 --day 2017-03-01</v>
      </c>
    </row>
    <row r="10" spans="1:32" s="1" customFormat="1" x14ac:dyDescent="0.25">
      <c r="A10" s="32">
        <v>42795.777499999997</v>
      </c>
      <c r="B10" s="30" t="s">
        <v>223</v>
      </c>
      <c r="C10" s="30" t="s">
        <v>465</v>
      </c>
      <c r="D10" s="30" t="s">
        <v>49</v>
      </c>
      <c r="E10" s="30" t="s">
        <v>197</v>
      </c>
      <c r="F10" s="43">
        <v>0</v>
      </c>
      <c r="G10" s="43">
        <v>186</v>
      </c>
      <c r="H10" s="43">
        <v>27021</v>
      </c>
      <c r="I10" s="43">
        <v>27187</v>
      </c>
      <c r="J10" s="30" t="s">
        <v>198</v>
      </c>
      <c r="K10" s="43">
        <v>27053</v>
      </c>
      <c r="L10" s="143" t="s">
        <v>50</v>
      </c>
      <c r="M10" s="144">
        <f t="shared" si="0"/>
        <v>-70.751999999999995</v>
      </c>
      <c r="N10" s="145" t="str">
        <f>VLOOKUP(C10,'Trips&amp;Operators'!$C$1:$G$99999,5,FALSE)</f>
        <v>NEWELL JAMES</v>
      </c>
      <c r="O10" s="194" t="s">
        <v>185</v>
      </c>
      <c r="P10" s="146" t="s">
        <v>326</v>
      </c>
      <c r="Q10" s="30"/>
      <c r="R10" s="89" t="str">
        <f>VLOOKUP(C10,'Train Runs'!$A$13:$AE$9938,31,0)</f>
        <v>aws s3 cp s3://rtdc.mdm.uploadarchive.raw/RTDC4029/ "%USERPROFILE%\AppData\Local\Temp\OnboardLogs"\RTDC4029\2017-03-01 --exclude "*" --recursive --include "*20170301*" &amp; "%USERPROFILE%\Documents\GitHub\mrs-test-scripts\Headless Mode &amp; Sideloading\WalkAndUnGZ.bat" "%USERPROFILE%\AppData\Local\Temp\OnboardLogs"\RTDC4029\2017-03-01 &amp; aws s3 cp s3://rtdc.mdm.uploadarchive.raw/RTDC4029/ "%USERPROFILE%\AppData\Local\Temp\OnboardLogs"\RTDC4029\2017-03-02 --exclude "*" --recursive --include "*20170302*" &amp; "%USERPROFILE%\Documents\GitHub\mrs-test-scripts\Headless Mode &amp; Sideloading\WalkAndUnGZ.bat" "%USERPROFILE%\AppData\Local\Temp\OnboardLogs"\RTDC4029\2017-03-02</v>
      </c>
      <c r="S10" s="92" t="str">
        <f>VLOOKUP(C10,'Train Runs'!$A$13:$AE$9938,22,0)</f>
        <v>https://d0f6bd738d7f1b3e5a7ca70fe4ff75f0.us-east-1.aws.found.io/app/kibana#/discover/Steve-Slow-Train-Analysis-(2080s-and-2083s)?_g=(refreshInterval:(display:Off,pause:!f,section:0,value:0),time:(from:'2017-03-01T17:30:12-0700',mode:absolute,to:'2017-03-01T20:09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94" t="str">
        <f t="shared" si="1"/>
        <v>"C:\Program Files (x86)\AstroGrep\AstroGrep.exe" /spath="%USERPROFILE%\AppData\Local\Temp\OnboardLogs" /stypes="*4029*201703020*" /stext=" 01:.+((SYSTEM_STATE.+slice.+state.+changed )|(ment ac)|(multiple cpu faults)|(system.+state.+changed )|(\[timeout)|(PRM\|1\|D)|(kpr)|(kdp)|(\|lc)|(penalty))" /e /r /s</v>
      </c>
      <c r="U10" s="9" t="str">
        <f t="shared" si="2"/>
        <v>4029</v>
      </c>
      <c r="V10" s="32">
        <f t="shared" si="3"/>
        <v>42796.069166666661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arrival","project_id":79,"tracker_id":40,"status_id":1,"priority_id":2,"assigned_to_id":23,"start_date":"2017-03-01","description":"","custom_fields":[{"id":1,"name":"Subdivision","value":"EC"},{"id":4,"name":"Milepost","value":"2.7053"},{"id":17,"name":"Train ID","value":"219-01"},{"id":16,"name":"Locomotive ID","value":"4029"},{"id":130,"name":"Impact","value":""},{"id":150,"name":"Time of Event (Mountain Time)","value":"18:39:36"},{"id":151,"name":"Denver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"%USERPROFILE%\AppData\Local\Temp\OnboardLogs"\RTDC4029\*4029*201703020*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"%USERPROFILE%\AppData\Local\Temp\OnboardLogs"\RTDC4029\*4029*201703020* &gt;&gt; 2017-03-01-SliceDisagreementCheck.txt</v>
      </c>
      <c r="AE10" s="157" t="str">
        <f t="shared" si="8"/>
        <v>start /low /b %USERPROFILE%\Documents\GitHub\eaglep3\Utilities\DownloadLogsFromS3.py --loco 4029 --day 2017-03-02</v>
      </c>
    </row>
    <row r="11" spans="1:32" s="1" customFormat="1" x14ac:dyDescent="0.25">
      <c r="A11" s="32">
        <v>42795.963078703702</v>
      </c>
      <c r="B11" s="30" t="s">
        <v>216</v>
      </c>
      <c r="C11" s="30" t="s">
        <v>472</v>
      </c>
      <c r="D11" s="30" t="s">
        <v>49</v>
      </c>
      <c r="E11" s="30" t="s">
        <v>197</v>
      </c>
      <c r="F11" s="43">
        <v>0</v>
      </c>
      <c r="G11" s="43">
        <v>185</v>
      </c>
      <c r="H11" s="43">
        <v>27021</v>
      </c>
      <c r="I11" s="43">
        <v>27182</v>
      </c>
      <c r="J11" s="30" t="s">
        <v>198</v>
      </c>
      <c r="K11" s="43">
        <v>27053</v>
      </c>
      <c r="L11" s="143" t="s">
        <v>50</v>
      </c>
      <c r="M11" s="144">
        <f t="shared" si="0"/>
        <v>-68.111999999999995</v>
      </c>
      <c r="N11" s="145" t="str">
        <f>VLOOKUP(C11,'Trips&amp;Operators'!$C$1:$G$99999,5,FALSE)</f>
        <v>DELGADO DIANAH</v>
      </c>
      <c r="O11" s="194" t="s">
        <v>185</v>
      </c>
      <c r="P11" s="146" t="s">
        <v>326</v>
      </c>
      <c r="Q11" s="30"/>
      <c r="R11" s="89" t="str">
        <f>VLOOKUP(C11,'Train Runs'!$A$13:$AE$9938,31,0)</f>
        <v>aws s3 cp s3://rtdc.mdm.uploadarchive.raw/RTDC4046/ "%USERPROFILE%\AppData\Local\Temp\OnboardLogs"\RTDC4046\2017-03-01 --exclude "*" --recursive --include "*20170301*" &amp; "%USERPROFILE%\Documents\GitHub\mrs-test-scripts\Headless Mode &amp; Sideloading\WalkAndUnGZ.bat" "%USERPROFILE%\AppData\Local\Temp\OnboardLogs"\RTDC4046\2017-03-01 &amp; aws s3 cp s3://rtdc.mdm.uploadarchive.raw/RTDC4046/ "%USERPROFILE%\AppData\Local\Temp\OnboardLogs"\RTDC4046\2017-03-02 --exclude "*" --recursive --include "*20170302*" &amp; "%USERPROFILE%\Documents\GitHub\mrs-test-scripts\Headless Mode &amp; Sideloading\WalkAndUnGZ.bat" "%USERPROFILE%\AppData\Local\Temp\OnboardLogs"\RTDC4046\2017-03-02</v>
      </c>
      <c r="S11" s="92" t="str">
        <f>VLOOKUP(C11,'Train Runs'!$A$13:$AE$9938,22,0)</f>
        <v>https://d0f6bd738d7f1b3e5a7ca70fe4ff75f0.us-east-1.aws.found.io/app/kibana#/discover/Steve-Slow-Train-Analysis-(2080s-and-2083s)?_g=(refreshInterval:(display:Off,pause:!f,section:0,value:0),time:(from:'2017-03-01T21:40:25-0700',mode:absolute,to:'2017-03-02T00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1" s="94" t="str">
        <f t="shared" si="1"/>
        <v>"C:\Program Files (x86)\AstroGrep\AstroGrep.exe" /spath="%USERPROFILE%\AppData\Local\Temp\OnboardLogs" /stypes="*4046*201703020*" /stext=" 06:.+((SYSTEM_STATE.+slice.+state.+changed )|(ment ac)|(multiple cpu faults)|(system.+state.+changed )|(\[timeout)|(PRM\|1\|D)|(kpr)|(kdp)|(\|lc)|(penalty))" /e /r /s</v>
      </c>
      <c r="U11" s="9" t="str">
        <f t="shared" si="2"/>
        <v>4046</v>
      </c>
      <c r="V11" s="32">
        <f t="shared" si="3"/>
        <v>42796.254745370366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arrival","project_id":79,"tracker_id":40,"status_id":1,"priority_id":2,"assigned_to_id":23,"start_date":"2017-03-01","description":"","custom_fields":[{"id":1,"name":"Subdivision","value":"EC"},{"id":4,"name":"Milepost","value":"2.7053"},{"id":17,"name":"Train ID","value":"237-01"},{"id":16,"name":"Locomotive ID","value":"4046"},{"id":130,"name":"Impact","value":""},{"id":150,"name":"Time of Event (Mountain Time)","value":"23:06:50"},{"id":151,"name":"Denver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"%USERPROFILE%\AppData\Local\Temp\OnboardLogs"\RTDC4046\*4046*201703020*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"%USERPROFILE%\AppData\Local\Temp\OnboardLogs"\RTDC4046\*4046*201703020* &gt;&gt; 2017-03-01-SliceDisagreementCheck.txt</v>
      </c>
      <c r="AE11" s="157" t="str">
        <f t="shared" si="8"/>
        <v>start /low /b %USERPROFILE%\Documents\GitHub\eaglep3\Utilities\DownloadLogsFromS3.py --loco 4046 --day 2017-03-02</v>
      </c>
    </row>
    <row r="12" spans="1:32" s="1" customFormat="1" x14ac:dyDescent="0.25">
      <c r="A12" s="32">
        <v>42795.344618055555</v>
      </c>
      <c r="B12" s="30" t="s">
        <v>217</v>
      </c>
      <c r="C12" s="30" t="s">
        <v>440</v>
      </c>
      <c r="D12" s="30" t="s">
        <v>98</v>
      </c>
      <c r="E12" s="30" t="s">
        <v>197</v>
      </c>
      <c r="F12" s="43">
        <v>190</v>
      </c>
      <c r="G12" s="43">
        <v>243</v>
      </c>
      <c r="H12" s="43">
        <v>27058</v>
      </c>
      <c r="I12" s="43">
        <v>26516</v>
      </c>
      <c r="J12" s="30" t="s">
        <v>198</v>
      </c>
      <c r="K12" s="43">
        <v>27350</v>
      </c>
      <c r="L12" s="143" t="s">
        <v>51</v>
      </c>
      <c r="M12" s="144">
        <f t="shared" si="0"/>
        <v>-440.35199999999998</v>
      </c>
      <c r="N12" s="145" t="str">
        <f>VLOOKUP(C12,'Trips&amp;Operators'!$C$1:$G$99999,5,FALSE)</f>
        <v>MAYBERRY BILL</v>
      </c>
      <c r="O12" s="194" t="s">
        <v>185</v>
      </c>
      <c r="P12" s="146" t="s">
        <v>326</v>
      </c>
      <c r="Q12" s="30"/>
      <c r="R12" s="89" t="str">
        <f>VLOOKUP(C12,'Train Runs'!$A$13:$AE$9938,31,0)</f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S12" s="92" t="str">
        <f>VLOOKUP(C12,'Train Runs'!$A$13:$AE$9938,22,0)</f>
        <v>https://d0f6bd738d7f1b3e5a7ca70fe4ff75f0.us-east-1.aws.found.io/app/kibana#/discover/Steve-Slow-Train-Analysis-(2080s-and-2083s)?_g=(refreshInterval:(display:Off,pause:!f,section:0,value:0),time:(from:'2017-03-01T06:37:07-0700',mode:absolute,to:'2017-03-01T09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2" s="94" t="str">
        <f t="shared" si="1"/>
        <v>"C:\Program Files (x86)\AstroGrep\AstroGrep.exe" /spath="%USERPROFILE%\AppData\Local\Temp\OnboardLogs" /stypes="*4045*201703011*" /stext=" 15:.+((SYSTEM_STATE.+slice.+state.+changed )|(ment ac)|(multiple cpu faults)|(system.+state.+changed )|(\[timeout)|(PRM\|1\|D)|(kpr)|(kdp)|(\|lc)|(penalty))" /e /r /s</v>
      </c>
      <c r="U12" s="9" t="str">
        <f t="shared" si="2"/>
        <v>4045</v>
      </c>
      <c r="V12" s="32">
        <f t="shared" si="3"/>
        <v>42795.636284722219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arrival","project_id":79,"tracker_id":40,"status_id":1,"priority_id":2,"assigned_to_id":23,"start_date":"2017-03-01","description":"","custom_fields":[{"id":1,"name":"Subdivision","value":"EC"},{"id":4,"name":"Milepost","value":"2.735"},{"id":17,"name":"Train ID","value":"126-01"},{"id":16,"name":"Locomotive ID","value":"4045"},{"id":130,"name":"Impact","value":""},{"id":150,"name":"Time of Event (Mountain Time)","value":"08:16:15"},{"id":151,"name":"Denver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"%USERPROFILE%\AppData\Local\Temp\OnboardLogs"\RTDC4045\*4045*201703011*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"%USERPROFILE%\AppData\Local\Temp\OnboardLogs"\RTDC4045\*4045*201703011* &gt;&gt; 2017-03-01-SliceDisagreementCheck.txt</v>
      </c>
      <c r="AE12" s="157" t="str">
        <f t="shared" si="8"/>
        <v>start /low /b %USERPROFILE%\Documents\GitHub\eaglep3\Utilities\DownloadLogsFromS3.py --loco 4045 --day 2017-03-01</v>
      </c>
    </row>
    <row r="13" spans="1:32" s="1" customFormat="1" x14ac:dyDescent="0.25">
      <c r="A13" s="32">
        <v>42795.562465277777</v>
      </c>
      <c r="B13" s="30" t="s">
        <v>217</v>
      </c>
      <c r="C13" s="30" t="s">
        <v>451</v>
      </c>
      <c r="D13" s="30" t="s">
        <v>49</v>
      </c>
      <c r="E13" s="30" t="s">
        <v>197</v>
      </c>
      <c r="F13" s="43">
        <v>0</v>
      </c>
      <c r="G13" s="43">
        <v>163</v>
      </c>
      <c r="H13" s="43">
        <v>27359</v>
      </c>
      <c r="I13" s="43">
        <v>27176</v>
      </c>
      <c r="J13" s="30" t="s">
        <v>198</v>
      </c>
      <c r="K13" s="43">
        <v>27350</v>
      </c>
      <c r="L13" s="143" t="s">
        <v>51</v>
      </c>
      <c r="M13" s="144">
        <f t="shared" si="0"/>
        <v>-91.872</v>
      </c>
      <c r="N13" s="145" t="str">
        <f>VLOOKUP(C13,'Trips&amp;Operators'!$C$1:$G$99999,5,FALSE)</f>
        <v>SWANSON BRYCE</v>
      </c>
      <c r="O13" s="194" t="s">
        <v>185</v>
      </c>
      <c r="P13" s="146" t="s">
        <v>326</v>
      </c>
      <c r="Q13" s="30"/>
      <c r="R13" s="89" t="str">
        <f>VLOOKUP(C13,'Train Runs'!$A$13:$AE$9938,31,0)</f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S13" s="92" t="str">
        <f>VLOOKUP(C13,'Train Runs'!$A$13:$AE$9938,22,0)</f>
        <v>https://d0f6bd738d7f1b3e5a7ca70fe4ff75f0.us-east-1.aws.found.io/app/kibana#/discover/Steve-Slow-Train-Analysis-(2080s-and-2083s)?_g=(refreshInterval:(display:Off,pause:!f,section:0,value:0),time:(from:'2017-03-01T11:38:59-0700',mode:absolute,to:'2017-03-01T14:38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3" s="94" t="str">
        <f t="shared" si="1"/>
        <v>"C:\Program Files (x86)\AstroGrep\AstroGrep.exe" /spath="%USERPROFILE%\AppData\Local\Temp\OnboardLogs" /stypes="*4045*201703012*" /stext=" 20:.+((SYSTEM_STATE.+slice.+state.+changed )|(ment ac)|(multiple cpu faults)|(system.+state.+changed )|(\[timeout)|(PRM\|1\|D)|(kpr)|(kdp)|(\|lc)|(penalty))" /e /r /s</v>
      </c>
      <c r="U13" s="9" t="str">
        <f t="shared" si="2"/>
        <v>4045</v>
      </c>
      <c r="V13" s="32">
        <f t="shared" si="3"/>
        <v>42795.854131944441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arrival","project_id":79,"tracker_id":40,"status_id":1,"priority_id":2,"assigned_to_id":23,"start_date":"2017-03-01","description":"","custom_fields":[{"id":1,"name":"Subdivision","value":"EC"},{"id":4,"name":"Milepost","value":"2.735"},{"id":17,"name":"Train ID","value":"168-01"},{"id":16,"name":"Locomotive ID","value":"4045"},{"id":130,"name":"Impact","value":""},{"id":150,"name":"Time of Event (Mountain Time)","value":"13:29:57"},{"id":151,"name":"Denver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"%USERPROFILE%\AppData\Local\Temp\OnboardLogs"\RTDC4045\*4045*201703012*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"%USERPROFILE%\AppData\Local\Temp\OnboardLogs"\RTDC4045\*4045*201703012* &gt;&gt; 2017-03-01-SliceDisagreementCheck.txt</v>
      </c>
      <c r="AE13" s="157" t="str">
        <f t="shared" si="8"/>
        <v>start /low /b %USERPROFILE%\Documents\GitHub\eaglep3\Utilities\DownloadLogsFromS3.py --loco 4045 --day 2017-03-01</v>
      </c>
    </row>
    <row r="14" spans="1:32" x14ac:dyDescent="0.25">
      <c r="A14" s="32">
        <v>42795.978437500002</v>
      </c>
      <c r="B14" s="30" t="s">
        <v>234</v>
      </c>
      <c r="C14" s="30" t="s">
        <v>473</v>
      </c>
      <c r="D14" s="30" t="s">
        <v>98</v>
      </c>
      <c r="E14" s="30" t="s">
        <v>197</v>
      </c>
      <c r="F14" s="43">
        <v>130</v>
      </c>
      <c r="G14" s="43">
        <v>190</v>
      </c>
      <c r="H14" s="43">
        <v>27095</v>
      </c>
      <c r="I14" s="43">
        <v>26804</v>
      </c>
      <c r="J14" s="30" t="s">
        <v>198</v>
      </c>
      <c r="K14" s="43">
        <v>27350</v>
      </c>
      <c r="L14" s="143" t="s">
        <v>51</v>
      </c>
      <c r="M14" s="144">
        <f t="shared" si="0"/>
        <v>-288.28800000000001</v>
      </c>
      <c r="N14" s="145" t="str">
        <f>VLOOKUP(C14,'Trips&amp;Operators'!$C$1:$G$99999,5,FALSE)</f>
        <v>BROWN JACOB</v>
      </c>
      <c r="O14" s="194" t="s">
        <v>185</v>
      </c>
      <c r="P14" s="146" t="s">
        <v>326</v>
      </c>
      <c r="Q14" s="30"/>
      <c r="R14" s="89" t="str">
        <f>VLOOKUP(C14,'Train Runs'!$A$13:$AE$9938,31,0)</f>
        <v>aws s3 cp s3://rtdc.mdm.uploadarchive.raw/RTDC4043/ "%USERPROFILE%\AppData\Local\Temp\OnboardLogs"\RTDC4043\2017-03-01 --exclude "*" --recursive --include "*20170301*" &amp; "%USERPROFILE%\Documents\GitHub\mrs-test-scripts\Headless Mode &amp; Sideloading\WalkAndUnGZ.bat" "%USERPROFILE%\AppData\Local\Temp\OnboardLogs"\RTDC4043\2017-03-01 &amp; 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</v>
      </c>
      <c r="S14" s="92" t="str">
        <f>VLOOKUP(C14,'Train Runs'!$A$13:$AE$9938,22,0)</f>
        <v>https://d0f6bd738d7f1b3e5a7ca70fe4ff75f0.us-east-1.aws.found.io/app/kibana#/discover/Steve-Slow-Train-Analysis-(2080s-and-2083s)?_g=(refreshInterval:(display:Off,pause:!f,section:0,value:0),time:(from:'2017-03-01T21:46:20-0700',mode:absolute,to:'2017-03-02T00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4" s="94" t="str">
        <f t="shared" si="1"/>
        <v>"C:\Program Files (x86)\AstroGrep\AstroGrep.exe" /spath="%USERPROFILE%\AppData\Local\Temp\OnboardLogs" /stypes="*4043*201703020*" /stext=" 06:.+((SYSTEM_STATE.+slice.+state.+changed )|(ment ac)|(multiple cpu faults)|(system.+state.+changed )|(\[timeout)|(PRM\|1\|D)|(kpr)|(kdp)|(\|lc)|(penalty))" /e /r /s</v>
      </c>
      <c r="U14" s="9" t="str">
        <f t="shared" si="2"/>
        <v>4043</v>
      </c>
      <c r="V14" s="32">
        <f t="shared" si="3"/>
        <v>42796.270104166666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arrival","project_id":79,"tracker_id":40,"status_id":1,"priority_id":2,"assigned_to_id":23,"start_date":"2017-03-01","description":"","custom_fields":[{"id":1,"name":"Subdivision","value":"EC"},{"id":4,"name":"Milepost","value":"2.735"},{"id":17,"name":"Train ID","value":"234-01"},{"id":16,"name":"Locomotive ID","value":"4043"},{"id":130,"name":"Impact","value":""},{"id":150,"name":"Time of Event (Mountain Time)","value":"23:28:57"},{"id":151,"name":"Denver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"%USERPROFILE%\AppData\Local\Temp\OnboardLogs"\RTDC4043\*4043*201703020*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"%USERPROFILE%\AppData\Local\Temp\OnboardLogs"\RTDC4043\*4043*201703020* &gt;&gt; 2017-03-01-SliceDisagreementCheck.txt</v>
      </c>
      <c r="AE14" s="157" t="str">
        <f t="shared" si="8"/>
        <v>start /low /b %USERPROFILE%\Documents\GitHub\eaglep3\Utilities\DownloadLogsFromS3.py --loco 4043 --day 2017-03-02</v>
      </c>
      <c r="AF14" s="1"/>
    </row>
    <row r="15" spans="1:32" x14ac:dyDescent="0.25">
      <c r="A15" s="32">
        <v>42795.292164351849</v>
      </c>
      <c r="B15" s="30" t="s">
        <v>436</v>
      </c>
      <c r="C15" s="30" t="s">
        <v>437</v>
      </c>
      <c r="D15" s="30" t="s">
        <v>49</v>
      </c>
      <c r="E15" s="30" t="s">
        <v>197</v>
      </c>
      <c r="F15" s="43">
        <v>0</v>
      </c>
      <c r="G15" s="43">
        <v>172</v>
      </c>
      <c r="H15" s="43">
        <v>31066</v>
      </c>
      <c r="I15" s="43">
        <v>30861</v>
      </c>
      <c r="J15" s="30" t="s">
        <v>198</v>
      </c>
      <c r="K15" s="43">
        <v>30970</v>
      </c>
      <c r="L15" s="143" t="s">
        <v>51</v>
      </c>
      <c r="M15" s="144">
        <f t="shared" si="0"/>
        <v>-57.552</v>
      </c>
      <c r="N15" s="145" t="str">
        <f>VLOOKUP(C15,'Trips&amp;Operators'!$C$1:$G$99999,5,FALSE)</f>
        <v>STARKS ANGELINA</v>
      </c>
      <c r="O15" s="194" t="s">
        <v>185</v>
      </c>
      <c r="P15" s="146" t="s">
        <v>326</v>
      </c>
      <c r="Q15" s="30"/>
      <c r="R15" s="89" t="str">
        <f>VLOOKUP(C15,'Train Runs'!$A$13:$AE$9938,31,0)</f>
        <v>aws s3 cp s3://rtdc.mdm.uploadarchive.raw/RTDC4001/ "%USERPROFILE%\AppData\Local\Temp\OnboardLogs"\RTDC4001\2017-03-01 --exclude "*" --recursive --include "*20170301*" &amp; "%USERPROFILE%\Documents\GitHub\mrs-test-scripts\Headless Mode &amp; Sideloading\WalkAndUnGZ.bat" "%USERPROFILE%\AppData\Local\Temp\OnboardLogs"\RTDC4001\2017-03-01 &amp; aws s3 cp s3://rtdc.mdm.uploadarchive.raw/RTDC4001/ "%USERPROFILE%\AppData\Local\Temp\OnboardLogs"\RTDC4001\2017-03-02 --exclude "*" --recursive --include "*20170302*" &amp; "%USERPROFILE%\Documents\GitHub\mrs-test-scripts\Headless Mode &amp; Sideloading\WalkAndUnGZ.bat" "%USERPROFILE%\AppData\Local\Temp\OnboardLogs"\RTDC4001\2017-03-02</v>
      </c>
      <c r="S15" s="92" t="str">
        <f>VLOOKUP(C15,'Train Runs'!$A$13:$AE$9938,22,0)</f>
        <v>https://d0f6bd738d7f1b3e5a7ca70fe4ff75f0.us-east-1.aws.found.io/app/kibana#/discover/Steve-Slow-Train-Analysis-(2080s-and-2083s)?_g=(refreshInterval:(display:Off,pause:!f,section:0,value:0),time:(from:'2017-03-01T05:21:41-0700',mode:absolute,to:'2017-03-01T08:11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5" s="94" t="str">
        <f t="shared" si="1"/>
        <v>"C:\Program Files (x86)\AstroGrep\AstroGrep.exe" /spath="%USERPROFILE%\AppData\Local\Temp\OnboardLogs" /stypes="*4001*201703011*" /stext=" 14:.+((SYSTEM_STATE.+slice.+state.+changed )|(ment ac)|(multiple cpu faults)|(system.+state.+changed )|(\[timeout)|(PRM\|1\|D)|(kpr)|(kdp)|(\|lc)|(penalty))" /e /r /s</v>
      </c>
      <c r="U15" s="9" t="str">
        <f t="shared" si="2"/>
        <v>4001</v>
      </c>
      <c r="V15" s="32">
        <f t="shared" si="3"/>
        <v>42795.583831018514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arrival","project_id":79,"tracker_id":40,"status_id":1,"priority_id":2,"assigned_to_id":23,"start_date":"2017-03-01","description":"","custom_fields":[{"id":1,"name":"Subdivision","value":"EC"},{"id":4,"name":"Milepost","value":"3.097"},{"id":17,"name":"Train ID","value":"116-01"},{"id":16,"name":"Locomotive ID","value":"4001"},{"id":130,"name":"Impact","value":""},{"id":150,"name":"Time of Event (Mountain Time)","value":"07:00:43"},{"id":151,"name":"Denver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"%USERPROFILE%\AppData\Local\Temp\OnboardLogs"\RTDC4001\*4001*201703011*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"%USERPROFILE%\AppData\Local\Temp\OnboardLogs"\RTDC4001\*4001*201703011* &gt;&gt; 2017-03-01-SliceDisagreementCheck.txt</v>
      </c>
      <c r="AE15" s="157" t="str">
        <f t="shared" si="8"/>
        <v>start /low /b %USERPROFILE%\Documents\GitHub\eaglep3\Utilities\DownloadLogsFromS3.py --loco 4001 --day 2017-03-01</v>
      </c>
      <c r="AF15" s="1"/>
    </row>
    <row r="16" spans="1:32" x14ac:dyDescent="0.25">
      <c r="A16" s="32">
        <v>42795.454525462963</v>
      </c>
      <c r="B16" s="30" t="s">
        <v>431</v>
      </c>
      <c r="C16" s="30" t="s">
        <v>445</v>
      </c>
      <c r="D16" s="30" t="s">
        <v>49</v>
      </c>
      <c r="E16" s="30" t="s">
        <v>197</v>
      </c>
      <c r="F16" s="43">
        <v>70</v>
      </c>
      <c r="G16" s="43">
        <v>131</v>
      </c>
      <c r="H16" s="43">
        <v>32964</v>
      </c>
      <c r="I16" s="43">
        <v>33150</v>
      </c>
      <c r="J16" s="30" t="s">
        <v>198</v>
      </c>
      <c r="K16" s="43">
        <v>33137</v>
      </c>
      <c r="L16" s="143" t="s">
        <v>50</v>
      </c>
      <c r="M16" s="144">
        <f t="shared" si="0"/>
        <v>-6.8639999999999999</v>
      </c>
      <c r="N16" s="145" t="str">
        <f>VLOOKUP(C16,'Trips&amp;Operators'!$C$1:$G$99999,5,FALSE)</f>
        <v>STARKS ANGELINA</v>
      </c>
      <c r="O16" s="194" t="s">
        <v>185</v>
      </c>
      <c r="P16" s="146" t="s">
        <v>326</v>
      </c>
      <c r="Q16" s="30"/>
      <c r="R16" s="89" t="str">
        <f>VLOOKUP(C16,'Train Runs'!$A$13:$AE$9938,31,0)</f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S16" s="92" t="str">
        <f>VLOOKUP(C16,'Train Runs'!$A$13:$AE$9938,22,0)</f>
        <v>https://d0f6bd738d7f1b3e5a7ca70fe4ff75f0.us-east-1.aws.found.io/app/kibana#/discover/Steve-Slow-Train-Analysis-(2080s-and-2083s)?_g=(refreshInterval:(display:Off,pause:!f,section:0,value:0),time:(from:'2017-03-01T09:39:15-0700',mode:absolute,to:'2017-03-01T12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6" s="94" t="str">
        <f t="shared" si="1"/>
        <v>"C:\Program Files (x86)\AstroGrep\AstroGrep.exe" /spath="%USERPROFILE%\AppData\Local\Temp\OnboardLogs" /stypes="*4002*201703011*" /stext=" 17:.+((SYSTEM_STATE.+slice.+state.+changed )|(ment ac)|(multiple cpu faults)|(system.+state.+changed )|(\[timeout)|(PRM\|1\|D)|(kpr)|(kdp)|(\|lc)|(penalty))" /e /r /s</v>
      </c>
      <c r="U16" s="9" t="str">
        <f t="shared" si="2"/>
        <v>4002</v>
      </c>
      <c r="V16" s="32">
        <f t="shared" si="3"/>
        <v>42795.746192129627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arrival","project_id":79,"tracker_id":40,"status_id":1,"priority_id":2,"assigned_to_id":23,"start_date":"2017-03-01","description":"","custom_fields":[{"id":1,"name":"Subdivision","value":"EC"},{"id":4,"name":"Milepost","value":"3.3137"},{"id":17,"name":"Train ID","value":"157-01"},{"id":16,"name":"Locomotive ID","value":"4002"},{"id":130,"name":"Impact","value":""},{"id":150,"name":"Time of Event (Mountain Time)","value":"10:54:31"},{"id":151,"name":"Denver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"%USERPROFILE%\AppData\Local\Temp\OnboardLogs"\RTDC4002\*4002*201703011*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"%USERPROFILE%\AppData\Local\Temp\OnboardLogs"\RTDC4002\*4002*201703011* &gt;&gt; 2017-03-01-SliceDisagreementCheck.txt</v>
      </c>
      <c r="AE16" s="157" t="str">
        <f t="shared" si="8"/>
        <v>start /low /b %USERPROFILE%\Documents\GitHub\eaglep3\Utilities\DownloadLogsFromS3.py --loco 4002 --day 2017-03-01</v>
      </c>
      <c r="AF16" s="1"/>
    </row>
    <row r="17" spans="1:32" x14ac:dyDescent="0.25">
      <c r="A17" s="32">
        <v>42795.454085648147</v>
      </c>
      <c r="B17" s="30" t="s">
        <v>431</v>
      </c>
      <c r="C17" s="30" t="s">
        <v>445</v>
      </c>
      <c r="D17" s="30" t="s">
        <v>49</v>
      </c>
      <c r="E17" s="30" t="s">
        <v>197</v>
      </c>
      <c r="F17" s="43">
        <v>280</v>
      </c>
      <c r="G17" s="43">
        <v>334</v>
      </c>
      <c r="H17" s="43">
        <v>32068</v>
      </c>
      <c r="I17" s="43">
        <v>32778</v>
      </c>
      <c r="J17" s="30" t="s">
        <v>198</v>
      </c>
      <c r="K17" s="43">
        <v>33137</v>
      </c>
      <c r="L17" s="143" t="s">
        <v>50</v>
      </c>
      <c r="M17" s="144">
        <f t="shared" si="0"/>
        <v>189.55199999999999</v>
      </c>
      <c r="N17" s="145" t="str">
        <f>VLOOKUP(C17,'Trips&amp;Operators'!$C$1:$G$99999,5,FALSE)</f>
        <v>STARKS ANGELINA</v>
      </c>
      <c r="O17" s="194" t="s">
        <v>185</v>
      </c>
      <c r="P17" s="146" t="s">
        <v>326</v>
      </c>
      <c r="Q17" s="30"/>
      <c r="R17" s="89" t="str">
        <f>VLOOKUP(C17,'Train Runs'!$A$13:$AE$9938,31,0)</f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S17" s="92" t="str">
        <f>VLOOKUP(C17,'Train Runs'!$A$13:$AE$9938,22,0)</f>
        <v>https://d0f6bd738d7f1b3e5a7ca70fe4ff75f0.us-east-1.aws.found.io/app/kibana#/discover/Steve-Slow-Train-Analysis-(2080s-and-2083s)?_g=(refreshInterval:(display:Off,pause:!f,section:0,value:0),time:(from:'2017-03-01T09:39:15-0700',mode:absolute,to:'2017-03-01T12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7" s="94" t="str">
        <f t="shared" si="1"/>
        <v>"C:\Program Files (x86)\AstroGrep\AstroGrep.exe" /spath="%USERPROFILE%\AppData\Local\Temp\OnboardLogs" /stypes="*4002*201703011*" /stext=" 17:.+((SYSTEM_STATE.+slice.+state.+changed )|(ment ac)|(multiple cpu faults)|(system.+state.+changed )|(\[timeout)|(PRM\|1\|D)|(kpr)|(kdp)|(\|lc)|(penalty))" /e /r /s</v>
      </c>
      <c r="U17" s="9" t="str">
        <f t="shared" si="2"/>
        <v>4002</v>
      </c>
      <c r="V17" s="32">
        <f t="shared" si="3"/>
        <v>42795.745752314811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arrival","project_id":79,"tracker_id":40,"status_id":1,"priority_id":2,"assigned_to_id":23,"start_date":"2017-03-01","description":"","custom_fields":[{"id":1,"name":"Subdivision","value":"EC"},{"id":4,"name":"Milepost","value":"3.3137"},{"id":17,"name":"Train ID","value":"157-01"},{"id":16,"name":"Locomotive ID","value":"4002"},{"id":130,"name":"Impact","value":""},{"id":150,"name":"Time of Event (Mountain Time)","value":"10:53:53"},{"id":151,"name":"Denver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"%USERPROFILE%\AppData\Local\Temp\OnboardLogs"\RTDC4002\*4002*201703011*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"%USERPROFILE%\AppData\Local\Temp\OnboardLogs"\RTDC4002\*4002*201703011* &gt;&gt; 2017-03-01-SliceDisagreementCheck.txt</v>
      </c>
      <c r="AE17" s="157" t="str">
        <f t="shared" si="8"/>
        <v>start /low /b %USERPROFILE%\Documents\GitHub\eaglep3\Utilities\DownloadLogsFromS3.py --loco 4002 --day 2017-03-01</v>
      </c>
      <c r="AF17" s="1"/>
    </row>
    <row r="18" spans="1:32" ht="15" customHeight="1" x14ac:dyDescent="0.25">
      <c r="A18" s="32">
        <v>42795.632025462961</v>
      </c>
      <c r="B18" s="30" t="s">
        <v>223</v>
      </c>
      <c r="C18" s="30" t="s">
        <v>453</v>
      </c>
      <c r="D18" s="30" t="s">
        <v>98</v>
      </c>
      <c r="E18" s="30" t="s">
        <v>197</v>
      </c>
      <c r="F18" s="43">
        <v>360</v>
      </c>
      <c r="G18" s="43">
        <v>413</v>
      </c>
      <c r="H18" s="43">
        <v>33177</v>
      </c>
      <c r="I18" s="43">
        <v>34111</v>
      </c>
      <c r="J18" s="30" t="s">
        <v>198</v>
      </c>
      <c r="K18" s="43">
        <v>33137</v>
      </c>
      <c r="L18" s="143" t="s">
        <v>50</v>
      </c>
      <c r="M18" s="144">
        <f t="shared" si="0"/>
        <v>-514.27200000000005</v>
      </c>
      <c r="N18" s="145" t="str">
        <f>VLOOKUP(C18,'Trips&amp;Operators'!$C$1:$G$99999,5,FALSE)</f>
        <v>LEVERE CRAIG</v>
      </c>
      <c r="O18" s="194" t="s">
        <v>185</v>
      </c>
      <c r="P18" s="146" t="s">
        <v>326</v>
      </c>
      <c r="Q18" s="30"/>
      <c r="R18" s="89" t="str">
        <f>VLOOKUP(C18,'Train Runs'!$A$13:$AE$9938,31,0)</f>
        <v>aws s3 cp s3://rtdc.mdm.uploadarchive.raw/RTDC4029/ "%USERPROFILE%\AppData\Local\Temp\OnboardLogs"\RTDC4029\2017-03-01 --exclude "*" --recursive --include "*20170301*" &amp; "%USERPROFILE%\Documents\GitHub\mrs-test-scripts\Headless Mode &amp; Sideloading\WalkAndUnGZ.bat" "%USERPROFILE%\AppData\Local\Temp\OnboardLogs"\RTDC4029\2017-03-01 &amp; aws s3 cp s3://rtdc.mdm.uploadarchive.raw/RTDC4029/ "%USERPROFILE%\AppData\Local\Temp\OnboardLogs"\RTDC4029\2017-03-02 --exclude "*" --recursive --include "*20170302*" &amp; "%USERPROFILE%\Documents\GitHub\mrs-test-scripts\Headless Mode &amp; Sideloading\WalkAndUnGZ.bat" "%USERPROFILE%\AppData\Local\Temp\OnboardLogs"\RTDC4029\2017-03-02</v>
      </c>
      <c r="S18" s="92" t="str">
        <f>VLOOKUP(C18,'Train Runs'!$A$13:$AE$9938,22,0)</f>
        <v>https://d0f6bd738d7f1b3e5a7ca70fe4ff75f0.us-east-1.aws.found.io/app/kibana#/discover/Steve-Slow-Train-Analysis-(2080s-and-2083s)?_g=(refreshInterval:(display:Off,pause:!f,section:0,value:0),time:(from:'2017-03-01T13:55:28-0700',mode:absolute,to:'2017-03-01T16:40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8" s="94" t="str">
        <f t="shared" si="1"/>
        <v>"C:\Program Files (x86)\AstroGrep\AstroGrep.exe" /spath="%USERPROFILE%\AppData\Local\Temp\OnboardLogs" /stypes="*4029*201703012*" /stext=" 22:.+((SYSTEM_STATE.+slice.+state.+changed )|(ment ac)|(multiple cpu faults)|(system.+state.+changed )|(\[timeout)|(PRM\|1\|D)|(kpr)|(kdp)|(\|lc)|(penalty))" /e /r /s</v>
      </c>
      <c r="U18" s="9" t="str">
        <f t="shared" si="2"/>
        <v>4029</v>
      </c>
      <c r="V18" s="32">
        <f t="shared" si="3"/>
        <v>42795.923692129625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arrival","project_id":79,"tracker_id":40,"status_id":1,"priority_id":2,"assigned_to_id":23,"start_date":"2017-03-01","description":"","custom_fields":[{"id":1,"name":"Subdivision","value":"EC"},{"id":4,"name":"Milepost","value":"3.3137"},{"id":17,"name":"Train ID","value":"191-01"},{"id":16,"name":"Locomotive ID","value":"4029"},{"id":130,"name":"Impact","value":""},{"id":150,"name":"Time of Event (Mountain Time)","value":"15:10:07"},{"id":151,"name":"Denver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"%USERPROFILE%\AppData\Local\Temp\OnboardLogs"\RTDC4029\*4029*201703012*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"%USERPROFILE%\AppData\Local\Temp\OnboardLogs"\RTDC4029\*4029*201703012* &gt;&gt; 2017-03-01-SliceDisagreementCheck.txt</v>
      </c>
      <c r="AE18" s="157" t="str">
        <f t="shared" si="8"/>
        <v>start /low /b %USERPROFILE%\Documents\GitHub\eaglep3\Utilities\DownloadLogsFromS3.py --loco 4029 --day 2017-03-01</v>
      </c>
      <c r="AF18" s="1"/>
    </row>
    <row r="19" spans="1:32" x14ac:dyDescent="0.25">
      <c r="A19" s="32">
        <v>42795.319837962961</v>
      </c>
      <c r="B19" s="30" t="s">
        <v>208</v>
      </c>
      <c r="C19" s="30" t="s">
        <v>439</v>
      </c>
      <c r="D19" s="30" t="s">
        <v>49</v>
      </c>
      <c r="E19" s="30" t="s">
        <v>197</v>
      </c>
      <c r="F19" s="43">
        <v>150</v>
      </c>
      <c r="G19" s="43">
        <v>235</v>
      </c>
      <c r="H19" s="43">
        <v>33745</v>
      </c>
      <c r="I19" s="43">
        <v>33231</v>
      </c>
      <c r="J19" s="30" t="s">
        <v>198</v>
      </c>
      <c r="K19" s="43">
        <v>33257</v>
      </c>
      <c r="L19" s="143" t="s">
        <v>51</v>
      </c>
      <c r="M19" s="144">
        <f t="shared" si="0"/>
        <v>-13.728</v>
      </c>
      <c r="N19" s="145" t="str">
        <f>VLOOKUP(C19,'Trips&amp;Operators'!$C$1:$G$99999,5,FALSE)</f>
        <v>LOCKLEAR TRAVIS</v>
      </c>
      <c r="O19" s="194" t="s">
        <v>185</v>
      </c>
      <c r="P19" s="146" t="s">
        <v>326</v>
      </c>
      <c r="Q19" s="30"/>
      <c r="R19" s="89" t="str">
        <f>VLOOKUP(C19,'Train Runs'!$A$13:$AE$9938,31,0)</f>
        <v>aws s3 cp s3://rtdc.mdm.uploadarchive.raw/RTDC4030/ "%USERPROFILE%\AppData\Local\Temp\OnboardLogs"\RTDC4030\2017-03-01 --exclude "*" --recursive --include "*20170301*" &amp; "%USERPROFILE%\Documents\GitHub\mrs-test-scripts\Headless Mode &amp; Sideloading\WalkAndUnGZ.bat" "%USERPROFILE%\AppData\Local\Temp\OnboardLogs"\RTDC4030\2017-03-01 &amp; aws s3 cp s3://rtdc.mdm.uploadarchive.raw/RTDC4030/ "%USERPROFILE%\AppData\Local\Temp\OnboardLogs"\RTDC4030\2017-03-02 --exclude "*" --recursive --include "*20170302*" &amp; "%USERPROFILE%\Documents\GitHub\mrs-test-scripts\Headless Mode &amp; Sideloading\WalkAndUnGZ.bat" "%USERPROFILE%\AppData\Local\Temp\OnboardLogs"\RTDC4030\2017-03-02</v>
      </c>
      <c r="S19" s="92" t="str">
        <f>VLOOKUP(C19,'Train Runs'!$A$13:$AE$9938,22,0)</f>
        <v>https://d0f6bd738d7f1b3e5a7ca70fe4ff75f0.us-east-1.aws.found.io/app/kibana#/discover/Steve-Slow-Train-Analysis-(2080s-and-2083s)?_g=(refreshInterval:(display:Off,pause:!f,section:0,value:0),time:(from:'2017-03-01T06:08:39-0700',mode:absolute,to:'2017-03-01T08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9" s="94" t="str">
        <f t="shared" si="1"/>
        <v>"C:\Program Files (x86)\AstroGrep\AstroGrep.exe" /spath="%USERPROFILE%\AppData\Local\Temp\OnboardLogs" /stypes="*4030*201703011*" /stext=" 14:.+((SYSTEM_STATE.+slice.+state.+changed )|(ment ac)|(multiple cpu faults)|(system.+state.+changed )|(\[timeout)|(PRM\|1\|D)|(kpr)|(kdp)|(\|lc)|(penalty))" /e /r /s</v>
      </c>
      <c r="U19" s="9" t="str">
        <f t="shared" si="2"/>
        <v>4030</v>
      </c>
      <c r="V19" s="32">
        <f t="shared" si="3"/>
        <v>42795.611504629625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arrival","project_id":79,"tracker_id":40,"status_id":1,"priority_id":2,"assigned_to_id":23,"start_date":"2017-03-01","description":"","custom_fields":[{"id":1,"name":"Subdivision","value":"EC"},{"id":4,"name":"Milepost","value":"3.3257"},{"id":17,"name":"Train ID","value":"122-01"},{"id":16,"name":"Locomotive ID","value":"4030"},{"id":130,"name":"Impact","value":""},{"id":150,"name":"Time of Event (Mountain Time)","value":"07:40:34"},{"id":151,"name":"Denver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"%USERPROFILE%\AppData\Local\Temp\OnboardLogs"\RTDC4030\*4030*201703011*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"%USERPROFILE%\AppData\Local\Temp\OnboardLogs"\RTDC4030\*4030*201703011* &gt;&gt; 2017-03-01-SliceDisagreementCheck.txt</v>
      </c>
      <c r="AE19" s="157" t="str">
        <f t="shared" si="8"/>
        <v>start /low /b %USERPROFILE%\Documents\GitHub\eaglep3\Utilities\DownloadLogsFromS3.py --loco 4030 --day 2017-03-01</v>
      </c>
      <c r="AF19" s="1"/>
    </row>
    <row r="20" spans="1:32" x14ac:dyDescent="0.25">
      <c r="A20" s="32">
        <v>42795.861828703702</v>
      </c>
      <c r="B20" s="30" t="s">
        <v>223</v>
      </c>
      <c r="C20" s="30" t="s">
        <v>468</v>
      </c>
      <c r="D20" s="30" t="s">
        <v>98</v>
      </c>
      <c r="E20" s="30" t="s">
        <v>197</v>
      </c>
      <c r="F20" s="43">
        <v>350</v>
      </c>
      <c r="G20" s="43">
        <v>402</v>
      </c>
      <c r="H20" s="43">
        <v>43017</v>
      </c>
      <c r="I20" s="43">
        <v>44447</v>
      </c>
      <c r="J20" s="30" t="s">
        <v>198</v>
      </c>
      <c r="K20" s="43">
        <v>42779</v>
      </c>
      <c r="L20" s="143" t="s">
        <v>50</v>
      </c>
      <c r="M20" s="144">
        <f t="shared" si="0"/>
        <v>-880.70399999999995</v>
      </c>
      <c r="N20" s="145" t="str">
        <f>VLOOKUP(C20,'Trips&amp;Operators'!$C$1:$G$99999,5,FALSE)</f>
        <v>NEWELL JAMES</v>
      </c>
      <c r="O20" s="194" t="s">
        <v>185</v>
      </c>
      <c r="P20" s="146" t="s">
        <v>326</v>
      </c>
      <c r="Q20" s="30"/>
      <c r="R20" s="89" t="str">
        <f>VLOOKUP(C20,'Train Runs'!$A$13:$AE$9938,31,0)</f>
        <v>aws s3 cp s3://rtdc.mdm.uploadarchive.raw/RTDC4029/ "%USERPROFILE%\AppData\Local\Temp\OnboardLogs"\RTDC4029\2017-03-01 --exclude "*" --recursive --include "*20170301*" &amp; "%USERPROFILE%\Documents\GitHub\mrs-test-scripts\Headless Mode &amp; Sideloading\WalkAndUnGZ.bat" "%USERPROFILE%\AppData\Local\Temp\OnboardLogs"\RTDC4029\2017-03-01 &amp; aws s3 cp s3://rtdc.mdm.uploadarchive.raw/RTDC4029/ "%USERPROFILE%\AppData\Local\Temp\OnboardLogs"\RTDC4029\2017-03-02 --exclude "*" --recursive --include "*20170302*" &amp; "%USERPROFILE%\Documents\GitHub\mrs-test-scripts\Headless Mode &amp; Sideloading\WalkAndUnGZ.bat" "%USERPROFILE%\AppData\Local\Temp\OnboardLogs"\RTDC4029\2017-03-02</v>
      </c>
      <c r="S20" s="92" t="str">
        <f>VLOOKUP(C20,'Train Runs'!$A$13:$AE$9938,22,0)</f>
        <v>https://d0f6bd738d7f1b3e5a7ca70fe4ff75f0.us-east-1.aws.found.io/app/kibana#/discover/Steve-Slow-Train-Analysis-(2080s-and-2083s)?_g=(refreshInterval:(display:Off,pause:!f,section:0,value:0),time:(from:'2017-03-01T19:26:18-0700',mode:absolute,to:'2017-03-01T22:09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0" s="94" t="str">
        <f t="shared" si="1"/>
        <v>"C:\Program Files (x86)\AstroGrep\AstroGrep.exe" /spath="%USERPROFILE%\AppData\Local\Temp\OnboardLogs" /stypes="*4029*201703020*" /stext=" 03:.+((SYSTEM_STATE.+slice.+state.+changed )|(ment ac)|(multiple cpu faults)|(system.+state.+changed )|(\[timeout)|(PRM\|1\|D)|(kpr)|(kdp)|(\|lc)|(penalty))" /e /r /s</v>
      </c>
      <c r="U20" s="9" t="str">
        <f t="shared" si="2"/>
        <v>4029</v>
      </c>
      <c r="V20" s="32">
        <f t="shared" si="3"/>
        <v>42796.153495370367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arrival","project_id":79,"tracker_id":40,"status_id":1,"priority_id":2,"assigned_to_id":23,"start_date":"2017-03-01","description":"","custom_fields":[{"id":1,"name":"Subdivision","value":"EC"},{"id":4,"name":"Milepost","value":"4.2779"},{"id":17,"name":"Train ID","value":"227-01"},{"id":16,"name":"Locomotive ID","value":"4029"},{"id":130,"name":"Impact","value":""},{"id":150,"name":"Time of Event (Mountain Time)","value":"20:41:02"},{"id":151,"name":"Denver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"%USERPROFILE%\AppData\Local\Temp\OnboardLogs"\RTDC4029\*4029*201703020*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"%USERPROFILE%\AppData\Local\Temp\OnboardLogs"\RTDC4029\*4029*201703020* &gt;&gt; 2017-03-01-SliceDisagreementCheck.txt</v>
      </c>
      <c r="AE20" s="157" t="str">
        <f t="shared" si="8"/>
        <v>start /low /b %USERPROFILE%\Documents\GitHub\eaglep3\Utilities\DownloadLogsFromS3.py --loco 4029 --day 2017-03-02</v>
      </c>
      <c r="AF20" s="1"/>
    </row>
    <row r="21" spans="1:32" x14ac:dyDescent="0.25">
      <c r="A21" s="32">
        <v>42795.384386574071</v>
      </c>
      <c r="B21" s="30" t="s">
        <v>431</v>
      </c>
      <c r="C21" s="30" t="s">
        <v>442</v>
      </c>
      <c r="D21" s="30" t="s">
        <v>49</v>
      </c>
      <c r="E21" s="30" t="s">
        <v>197</v>
      </c>
      <c r="F21" s="43">
        <v>0</v>
      </c>
      <c r="G21" s="43">
        <v>311</v>
      </c>
      <c r="H21" s="43">
        <v>57802</v>
      </c>
      <c r="I21" s="43">
        <v>58332</v>
      </c>
      <c r="J21" s="30" t="s">
        <v>198</v>
      </c>
      <c r="K21" s="43">
        <v>58118</v>
      </c>
      <c r="L21" s="143" t="s">
        <v>50</v>
      </c>
      <c r="M21" s="144">
        <f t="shared" si="0"/>
        <v>-112.992</v>
      </c>
      <c r="N21" s="145" t="str">
        <f>VLOOKUP(C21,'Trips&amp;Operators'!$C$1:$G$99999,5,FALSE)</f>
        <v>STARKS ANGELINA</v>
      </c>
      <c r="O21" s="194" t="s">
        <v>185</v>
      </c>
      <c r="P21" s="146" t="s">
        <v>326</v>
      </c>
      <c r="Q21" s="30"/>
      <c r="R21" s="89" t="str">
        <f>VLOOKUP(C21,'Train Runs'!$A$13:$AE$9938,31,0)</f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S21" s="92" t="str">
        <f>VLOOKUP(C21,'Train Runs'!$A$13:$AE$9938,22,0)</f>
        <v>https://d0f6bd738d7f1b3e5a7ca70fe4ff75f0.us-east-1.aws.found.io/app/kibana#/discover/Steve-Slow-Train-Analysis-(2080s-and-2083s)?_g=(refreshInterval:(display:Off,pause:!f,section:0,value:0),time:(from:'2017-03-01T07:53:55-0700',mode:absolute,to:'2017-03-01T10:38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1" s="94" t="str">
        <f t="shared" si="1"/>
        <v>"C:\Program Files (x86)\AstroGrep\AstroGrep.exe" /spath="%USERPROFILE%\AppData\Local\Temp\OnboardLogs" /stypes="*4002*201703011*" /stext=" 16:.+((SYSTEM_STATE.+slice.+state.+changed )|(ment ac)|(multiple cpu faults)|(system.+state.+changed )|(\[timeout)|(PRM\|1\|D)|(kpr)|(kdp)|(\|lc)|(penalty))" /e /r /s</v>
      </c>
      <c r="U21" s="9" t="str">
        <f t="shared" si="2"/>
        <v>4002</v>
      </c>
      <c r="V21" s="32">
        <f t="shared" si="3"/>
        <v>42795.676053240735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arrival","project_id":79,"tracker_id":40,"status_id":1,"priority_id":2,"assigned_to_id":23,"start_date":"2017-03-01","description":"","custom_fields":[{"id":1,"name":"Subdivision","value":"EC"},{"id":4,"name":"Milepost","value":"5.8118"},{"id":17,"name":"Train ID","value":"143-01"},{"id":16,"name":"Locomotive ID","value":"4002"},{"id":130,"name":"Impact","value":""},{"id":150,"name":"Time of Event (Mountain Time)","value":"09:13:31"},{"id":151,"name":"Denver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"%USERPROFILE%\AppData\Local\Temp\OnboardLogs"\RTDC4002\*4002*201703011*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"%USERPROFILE%\AppData\Local\Temp\OnboardLogs"\RTDC4002\*4002*201703011* &gt;&gt; 2017-03-01-SliceDisagreementCheck.txt</v>
      </c>
      <c r="AE21" s="157" t="str">
        <f t="shared" si="8"/>
        <v>start /low /b %USERPROFILE%\Documents\GitHub\eaglep3\Utilities\DownloadLogsFromS3.py --loco 4002 --day 2017-03-01</v>
      </c>
      <c r="AF21" s="1"/>
    </row>
    <row r="22" spans="1:32" x14ac:dyDescent="0.25">
      <c r="A22" s="32">
        <v>42795.546180555553</v>
      </c>
      <c r="B22" s="30" t="s">
        <v>447</v>
      </c>
      <c r="C22" s="30" t="s">
        <v>450</v>
      </c>
      <c r="D22" s="30" t="s">
        <v>49</v>
      </c>
      <c r="E22" s="30" t="s">
        <v>197</v>
      </c>
      <c r="F22" s="43">
        <v>420</v>
      </c>
      <c r="G22" s="43">
        <v>470</v>
      </c>
      <c r="H22" s="43">
        <v>58928</v>
      </c>
      <c r="I22" s="43">
        <v>57501</v>
      </c>
      <c r="J22" s="30" t="s">
        <v>198</v>
      </c>
      <c r="K22" s="43">
        <v>58301</v>
      </c>
      <c r="L22" s="143" t="s">
        <v>51</v>
      </c>
      <c r="M22" s="144">
        <f t="shared" si="0"/>
        <v>-422.4</v>
      </c>
      <c r="N22" s="145" t="str">
        <f>VLOOKUP(C22,'Trips&amp;Operators'!$C$1:$G$99999,5,FALSE)</f>
        <v>HELVIE ADAM</v>
      </c>
      <c r="O22" s="194" t="s">
        <v>185</v>
      </c>
      <c r="P22" s="146" t="s">
        <v>326</v>
      </c>
      <c r="Q22" s="30"/>
      <c r="R22" s="89" t="str">
        <f>VLOOKUP(C22,'Train Runs'!$A$13:$AE$9938,31,0)</f>
        <v>aws s3 cp s3://rtdc.mdm.uploadarchive.raw/RTDC4021/ "%USERPROFILE%\AppData\Local\Temp\OnboardLogs"\RTDC4021\2017-03-01 --exclude "*" --recursive --include "*20170301*" &amp; "%USERPROFILE%\Documents\GitHub\mrs-test-scripts\Headless Mode &amp; Sideloading\WalkAndUnGZ.bat" "%USERPROFILE%\AppData\Local\Temp\OnboardLogs"\RTDC4021\2017-03-01 &amp; 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</v>
      </c>
      <c r="S22" s="92" t="str">
        <f>VLOOKUP(C22,'Train Runs'!$A$13:$AE$9938,22,0)</f>
        <v>https://d0f6bd738d7f1b3e5a7ca70fe4ff75f0.us-east-1.aws.found.io/app/kibana#/discover/Steve-Slow-Train-Analysis-(2080s-and-2083s)?_g=(refreshInterval:(display:Off,pause:!f,section:0,value:0),time:(from:'2017-03-01T11:37:39-0700',mode:absolute,to:'2017-03-01T14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2" s="94" t="str">
        <f t="shared" si="1"/>
        <v>"C:\Program Files (x86)\AstroGrep\AstroGrep.exe" /spath="%USERPROFILE%\AppData\Local\Temp\OnboardLogs" /stypes="*4021*201703012*" /stext=" 20:.+((SYSTEM_STATE.+slice.+state.+changed )|(ment ac)|(multiple cpu faults)|(system.+state.+changed )|(\[timeout)|(PRM\|1\|D)|(kpr)|(kdp)|(\|lc)|(penalty))" /e /r /s</v>
      </c>
      <c r="U22" s="9" t="str">
        <f t="shared" si="2"/>
        <v>4021</v>
      </c>
      <c r="V22" s="32">
        <f t="shared" si="3"/>
        <v>42795.837847222218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arrival","project_id":79,"tracker_id":40,"status_id":1,"priority_id":2,"assigned_to_id":23,"start_date":"2017-03-01","description":"","custom_fields":[{"id":1,"name":"Subdivision","value":"EC"},{"id":4,"name":"Milepost","value":"5.8301"},{"id":17,"name":"Train ID","value":"166-01"},{"id":16,"name":"Locomotive ID","value":"4021"},{"id":130,"name":"Impact","value":""},{"id":150,"name":"Time of Event (Mountain Time)","value":"13:06:30"},{"id":151,"name":"Denver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"%USERPROFILE%\AppData\Local\Temp\OnboardLogs"\RTDC4021\*4021*201703012*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"%USERPROFILE%\AppData\Local\Temp\OnboardLogs"\RTDC4021\*4021*201703012* &gt;&gt; 2017-03-01-SliceDisagreementCheck.txt</v>
      </c>
      <c r="AE22" s="157" t="str">
        <f t="shared" si="8"/>
        <v>start /low /b %USERPROFILE%\Documents\GitHub\eaglep3\Utilities\DownloadLogsFromS3.py --loco 4021 --day 2017-03-01</v>
      </c>
      <c r="AF22" s="1"/>
    </row>
    <row r="23" spans="1:32" x14ac:dyDescent="0.25">
      <c r="A23" s="32">
        <v>42795.297835648147</v>
      </c>
      <c r="B23" s="30" t="s">
        <v>429</v>
      </c>
      <c r="C23" s="30" t="s">
        <v>438</v>
      </c>
      <c r="D23" s="30" t="s">
        <v>98</v>
      </c>
      <c r="E23" s="30" t="s">
        <v>197</v>
      </c>
      <c r="F23" s="43">
        <v>0</v>
      </c>
      <c r="G23" s="43">
        <v>121</v>
      </c>
      <c r="H23" s="43">
        <v>63297</v>
      </c>
      <c r="I23" s="43">
        <v>63161</v>
      </c>
      <c r="J23" s="30" t="s">
        <v>198</v>
      </c>
      <c r="K23" s="43">
        <v>63309</v>
      </c>
      <c r="L23" s="143" t="s">
        <v>51</v>
      </c>
      <c r="M23" s="144">
        <f t="shared" si="0"/>
        <v>-78.144000000000005</v>
      </c>
      <c r="N23" s="145" t="str">
        <f>VLOOKUP(C23,'Trips&amp;Operators'!$C$1:$G$99999,5,FALSE)</f>
        <v>MAELZER KURT</v>
      </c>
      <c r="O23" s="194" t="s">
        <v>185</v>
      </c>
      <c r="P23" s="146" t="s">
        <v>326</v>
      </c>
      <c r="Q23" s="30"/>
      <c r="R23" s="89" t="str">
        <f>VLOOKUP(C23,'Train Runs'!$A$13:$AE$9938,31,0)</f>
        <v>aws s3 cp s3://rtdc.mdm.uploadarchive.raw/RTDC4023/ "%USERPROFILE%\AppData\Local\Temp\OnboardLogs"\RTDC4023\2017-03-01 --exclude "*" --recursive --include "*20170301*" &amp; "%USERPROFILE%\Documents\GitHub\mrs-test-scripts\Headless Mode &amp; Sideloading\WalkAndUnGZ.bat" "%USERPROFILE%\AppData\Local\Temp\OnboardLogs"\RTDC4023\2017-03-01 &amp; aws s3 cp s3://rtdc.mdm.uploadarchive.raw/RTDC4023/ "%USERPROFILE%\AppData\Local\Temp\OnboardLogs"\RTDC4023\2017-03-02 --exclude "*" --recursive --include "*20170302*" &amp; "%USERPROFILE%\Documents\GitHub\mrs-test-scripts\Headless Mode &amp; Sideloading\WalkAndUnGZ.bat" "%USERPROFILE%\AppData\Local\Temp\OnboardLogs"\RTDC4023\2017-03-02</v>
      </c>
      <c r="S23" s="92" t="str">
        <f>VLOOKUP(C23,'Train Runs'!$A$13:$AE$9938,22,0)</f>
        <v>https://d0f6bd738d7f1b3e5a7ca70fe4ff75f0.us-east-1.aws.found.io/app/kibana#/discover/Steve-Slow-Train-Analysis-(2080s-and-2083s)?_g=(refreshInterval:(display:Off,pause:!f,section:0,value:0),time:(from:'2017-03-01T05:41:06-0700',mode:absolute,to:'2017-03-01T08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3" s="94" t="str">
        <f t="shared" si="1"/>
        <v>"C:\Program Files (x86)\AstroGrep\AstroGrep.exe" /spath="%USERPROFILE%\AppData\Local\Temp\OnboardLogs" /stypes="*4023*201703011*" /stext=" 14:.+((SYSTEM_STATE.+slice.+state.+changed )|(ment ac)|(multiple cpu faults)|(system.+state.+changed )|(\[timeout)|(PRM\|1\|D)|(kpr)|(kdp)|(\|lc)|(penalty))" /e /r /s</v>
      </c>
      <c r="U23" s="9" t="str">
        <f t="shared" si="2"/>
        <v>4023</v>
      </c>
      <c r="V23" s="32">
        <f t="shared" si="3"/>
        <v>42795.589502314811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arrival","project_id":79,"tracker_id":40,"status_id":1,"priority_id":2,"assigned_to_id":23,"start_date":"2017-03-01","description":"","custom_fields":[{"id":1,"name":"Subdivision","value":"EC"},{"id":4,"name":"Milepost","value":"6.3309"},{"id":17,"name":"Train ID","value":"118-01"},{"id":16,"name":"Locomotive ID","value":"4023"},{"id":130,"name":"Impact","value":""},{"id":150,"name":"Time of Event (Mountain Time)","value":"07:08:53"},{"id":151,"name":"Denver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"%USERPROFILE%\AppData\Local\Temp\OnboardLogs"\RTDC4023\*4023*201703011*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"%USERPROFILE%\AppData\Local\Temp\OnboardLogs"\RTDC4023\*4023*201703011* &gt;&gt; 2017-03-01-SliceDisagreementCheck.txt</v>
      </c>
      <c r="AE23" s="157" t="str">
        <f t="shared" si="8"/>
        <v>start /low /b %USERPROFILE%\Documents\GitHub\eaglep3\Utilities\DownloadLogsFromS3.py --loco 4023 --day 2017-03-01</v>
      </c>
      <c r="AF23" s="1"/>
    </row>
    <row r="24" spans="1:32" x14ac:dyDescent="0.25">
      <c r="A24" s="32">
        <v>42795.8283912037</v>
      </c>
      <c r="B24" s="30" t="s">
        <v>431</v>
      </c>
      <c r="C24" s="30" t="s">
        <v>467</v>
      </c>
      <c r="D24" s="30" t="s">
        <v>49</v>
      </c>
      <c r="E24" s="30" t="s">
        <v>197</v>
      </c>
      <c r="F24" s="43">
        <v>0</v>
      </c>
      <c r="G24" s="43">
        <v>584</v>
      </c>
      <c r="H24" s="43">
        <v>107767</v>
      </c>
      <c r="I24" s="43">
        <v>109641</v>
      </c>
      <c r="J24" s="30" t="s">
        <v>198</v>
      </c>
      <c r="K24" s="43">
        <v>108954</v>
      </c>
      <c r="L24" s="143" t="s">
        <v>50</v>
      </c>
      <c r="M24" s="144">
        <f t="shared" si="0"/>
        <v>-362.73599999999999</v>
      </c>
      <c r="N24" s="145" t="str">
        <f>VLOOKUP(C24,'Trips&amp;Operators'!$C$1:$G$99999,5,FALSE)</f>
        <v>JACKSON WILLIAM</v>
      </c>
      <c r="O24" s="194" t="s">
        <v>185</v>
      </c>
      <c r="P24" s="146" t="s">
        <v>326</v>
      </c>
      <c r="Q24" s="30"/>
      <c r="R24" s="89" t="str">
        <f>VLOOKUP(C24,'Train Runs'!$A$13:$AE$9938,31,0)</f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S24" s="92" t="str">
        <f>VLOOKUP(C24,'Train Runs'!$A$13:$AE$9938,22,0)</f>
        <v>https://d0f6bd738d7f1b3e5a7ca70fe4ff75f0.us-east-1.aws.found.io/app/kibana#/discover/Steve-Slow-Train-Analysis-(2080s-and-2083s)?_g=(refreshInterval:(display:Off,pause:!f,section:0,value:0),time:(from:'2017-03-01T18:26:15-0700',mode:absolute,to:'2017-03-01T21:12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4" s="94" t="str">
        <f t="shared" si="1"/>
        <v>"C:\Program Files (x86)\AstroGrep\AstroGrep.exe" /spath="%USERPROFILE%\AppData\Local\Temp\OnboardLogs" /stypes="*4002*201703020*" /stext=" 02:.+((SYSTEM_STATE.+slice.+state.+changed )|(ment ac)|(multiple cpu faults)|(system.+state.+changed )|(\[timeout)|(PRM\|1\|D)|(kpr)|(kdp)|(\|lc)|(penalty))" /e /r /s</v>
      </c>
      <c r="U24" s="9" t="str">
        <f t="shared" si="2"/>
        <v>4002</v>
      </c>
      <c r="V24" s="32">
        <f t="shared" si="3"/>
        <v>42796.120057870365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arrival","project_id":79,"tracker_id":40,"status_id":1,"priority_id":2,"assigned_to_id":23,"start_date":"2017-03-01","description":"","custom_fields":[{"id":1,"name":"Subdivision","value":"EC"},{"id":4,"name":"Milepost","value":"10.8954"},{"id":17,"name":"Train ID","value":"223-01"},{"id":16,"name":"Locomotive ID","value":"4002"},{"id":130,"name":"Impact","value":""},{"id":150,"name":"Time of Event (Mountain Time)","value":"19:52:53"},{"id":151,"name":"Denver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"%USERPROFILE%\AppData\Local\Temp\OnboardLogs"\RTDC4002\*4002*201703020*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"%USERPROFILE%\AppData\Local\Temp\OnboardLogs"\RTDC4002\*4002*201703020* &gt;&gt; 2017-03-01-SliceDisagreementCheck.txt</v>
      </c>
      <c r="AE24" s="157" t="str">
        <f t="shared" si="8"/>
        <v>start /low /b %USERPROFILE%\Documents\GitHub\eaglep3\Utilities\DownloadLogsFromS3.py --loco 4002 --day 2017-03-02</v>
      </c>
      <c r="AF24" s="1"/>
    </row>
    <row r="25" spans="1:32" x14ac:dyDescent="0.25">
      <c r="A25" s="32">
        <v>42795.468148148146</v>
      </c>
      <c r="B25" s="30" t="s">
        <v>447</v>
      </c>
      <c r="C25" s="30" t="s">
        <v>448</v>
      </c>
      <c r="D25" s="30" t="s">
        <v>49</v>
      </c>
      <c r="E25" s="30" t="s">
        <v>197</v>
      </c>
      <c r="F25" s="43">
        <v>390</v>
      </c>
      <c r="G25" s="43">
        <v>450</v>
      </c>
      <c r="H25" s="43">
        <v>110255</v>
      </c>
      <c r="I25" s="43">
        <v>108994</v>
      </c>
      <c r="J25" s="30" t="s">
        <v>198</v>
      </c>
      <c r="K25" s="43">
        <v>109135</v>
      </c>
      <c r="L25" s="143" t="s">
        <v>51</v>
      </c>
      <c r="M25" s="144">
        <f t="shared" si="0"/>
        <v>-74.447999999999993</v>
      </c>
      <c r="N25" s="145" t="str">
        <f>VLOOKUP(C25,'Trips&amp;Operators'!$C$1:$G$99999,5,FALSE)</f>
        <v>SANTIZO D. EDY</v>
      </c>
      <c r="O25" s="194" t="s">
        <v>185</v>
      </c>
      <c r="P25" s="146" t="s">
        <v>326</v>
      </c>
      <c r="Q25" s="30"/>
      <c r="R25" s="89" t="str">
        <f>VLOOKUP(C25,'Train Runs'!$A$13:$AE$9938,31,0)</f>
        <v>aws s3 cp s3://rtdc.mdm.uploadarchive.raw/RTDC4021/ "%USERPROFILE%\AppData\Local\Temp\OnboardLogs"\RTDC4021\2017-03-01 --exclude "*" --recursive --include "*20170301*" &amp; "%USERPROFILE%\Documents\GitHub\mrs-test-scripts\Headless Mode &amp; Sideloading\WalkAndUnGZ.bat" "%USERPROFILE%\AppData\Local\Temp\OnboardLogs"\RTDC4021\2017-03-01 &amp; 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</v>
      </c>
      <c r="S25" s="92" t="str">
        <f>VLOOKUP(C25,'Train Runs'!$A$13:$AE$9938,22,0)</f>
        <v>https://d0f6bd738d7f1b3e5a7ca70fe4ff75f0.us-east-1.aws.found.io/app/kibana#/discover/Steve-Slow-Train-Analysis-(2080s-and-2083s)?_g=(refreshInterval:(display:Off,pause:!f,section:0,value:0),time:(from:'2017-03-01T09:39:15-0700',mode:absolute,to:'2017-03-01T12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5" s="94" t="str">
        <f t="shared" si="1"/>
        <v>"C:\Program Files (x86)\AstroGrep\AstroGrep.exe" /spath="%USERPROFILE%\AppData\Local\Temp\OnboardLogs" /stypes="*4021*201703011*" /stext=" 18:.+((SYSTEM_STATE.+slice.+state.+changed )|(ment ac)|(multiple cpu faults)|(system.+state.+changed )|(\[timeout)|(PRM\|1\|D)|(kpr)|(kdp)|(\|lc)|(penalty))" /e /r /s</v>
      </c>
      <c r="U25" s="9" t="str">
        <f t="shared" si="2"/>
        <v>4021</v>
      </c>
      <c r="V25" s="32">
        <f t="shared" si="3"/>
        <v>42795.75981481481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arrival","project_id":79,"tracker_id":40,"status_id":1,"priority_id":2,"assigned_to_id":23,"start_date":"2017-03-01","description":"","custom_fields":[{"id":1,"name":"Subdivision","value":"EC"},{"id":4,"name":"Milepost","value":"10.9135"},{"id":17,"name":"Train ID","value":"152-01"},{"id":16,"name":"Locomotive ID","value":"4021"},{"id":130,"name":"Impact","value":""},{"id":150,"name":"Time of Event (Mountain Time)","value":"11:14:08"},{"id":151,"name":"Denver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"%USERPROFILE%\AppData\Local\Temp\OnboardLogs"\RTDC4021\*4021*201703011*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"%USERPROFILE%\AppData\Local\Temp\OnboardLogs"\RTDC4021\*4021*201703011* &gt;&gt; 2017-03-01-SliceDisagreementCheck.txt</v>
      </c>
      <c r="AE25" s="157" t="str">
        <f t="shared" si="8"/>
        <v>start /low /b %USERPROFILE%\Documents\GitHub\eaglep3\Utilities\DownloadLogsFromS3.py --loco 4021 --day 2017-03-01</v>
      </c>
      <c r="AF25" s="1"/>
    </row>
    <row r="26" spans="1:32" x14ac:dyDescent="0.25">
      <c r="A26" s="32">
        <v>42795.638425925928</v>
      </c>
      <c r="B26" s="30" t="s">
        <v>372</v>
      </c>
      <c r="C26" s="30" t="s">
        <v>454</v>
      </c>
      <c r="D26" s="30" t="s">
        <v>49</v>
      </c>
      <c r="E26" s="30" t="s">
        <v>197</v>
      </c>
      <c r="F26" s="43">
        <v>0</v>
      </c>
      <c r="G26" s="43">
        <v>415</v>
      </c>
      <c r="H26" s="43">
        <v>109579</v>
      </c>
      <c r="I26" s="43">
        <v>108997</v>
      </c>
      <c r="J26" s="30" t="s">
        <v>198</v>
      </c>
      <c r="K26" s="43">
        <v>109135</v>
      </c>
      <c r="L26" s="143" t="s">
        <v>51</v>
      </c>
      <c r="M26" s="144">
        <f t="shared" si="0"/>
        <v>-72.864000000000004</v>
      </c>
      <c r="N26" s="145" t="str">
        <f>VLOOKUP(C26,'Trips&amp;Operators'!$C$1:$G$99999,5,FALSE)</f>
        <v>LEVIN SCOTT</v>
      </c>
      <c r="O26" s="194" t="s">
        <v>185</v>
      </c>
      <c r="P26" s="146" t="s">
        <v>326</v>
      </c>
      <c r="Q26" s="30"/>
      <c r="R26" s="89" t="str">
        <f>VLOOKUP(C26,'Train Runs'!$A$13:$AE$9938,31,0)</f>
        <v>aws s3 cp s3://rtdc.mdm.uploadarchive.raw/RTDC4010/ "%USERPROFILE%\AppData\Local\Temp\OnboardLogs"\RTDC4010\2017-03-01 --exclude "*" --recursive --include "*20170301*" &amp; "%USERPROFILE%\Documents\GitHub\mrs-test-scripts\Headless Mode &amp; Sideloading\WalkAndUnGZ.bat" "%USERPROFILE%\AppData\Local\Temp\OnboardLogs"\RTDC4010\2017-03-01 &amp; aws s3 cp s3://rtdc.mdm.uploadarchive.raw/RTDC4010/ "%USERPROFILE%\AppData\Local\Temp\OnboardLogs"\RTDC4010\2017-03-02 --exclude "*" --recursive --include "*20170302*" &amp; "%USERPROFILE%\Documents\GitHub\mrs-test-scripts\Headless Mode &amp; Sideloading\WalkAndUnGZ.bat" "%USERPROFILE%\AppData\Local\Temp\OnboardLogs"\RTDC4010\2017-03-02</v>
      </c>
      <c r="S26" s="92" t="str">
        <f>VLOOKUP(C26,'Train Runs'!$A$13:$AE$9938,22,0)</f>
        <v>https://d0f6bd738d7f1b3e5a7ca70fe4ff75f0.us-east-1.aws.found.io/app/kibana#/discover/Steve-Slow-Train-Analysis-(2080s-and-2083s)?_g=(refreshInterval:(display:Off,pause:!f,section:0,value:0),time:(from:'2017-03-01T13:49:17-0700',mode:absolute,to:'2017-03-01T16:43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6" s="94" t="str">
        <f t="shared" si="1"/>
        <v>"C:\Program Files (x86)\AstroGrep\AstroGrep.exe" /spath="%USERPROFILE%\AppData\Local\Temp\OnboardLogs" /stypes="*4010*201703012*" /stext=" 22:.+((SYSTEM_STATE.+slice.+state.+changed )|(ment ac)|(multiple cpu faults)|(system.+state.+changed )|(\[timeout)|(PRM\|1\|D)|(kpr)|(kdp)|(\|lc)|(penalty))" /e /r /s</v>
      </c>
      <c r="U26" s="9" t="str">
        <f t="shared" si="2"/>
        <v>4010</v>
      </c>
      <c r="V26" s="32">
        <f t="shared" si="3"/>
        <v>42795.930092592593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arrival","project_id":79,"tracker_id":40,"status_id":1,"priority_id":2,"assigned_to_id":23,"start_date":"2017-03-01","description":"","custom_fields":[{"id":1,"name":"Subdivision","value":"EC"},{"id":4,"name":"Milepost","value":"10.9135"},{"id":17,"name":"Train ID","value":"184-01"},{"id":16,"name":"Locomotive ID","value":"4010"},{"id":130,"name":"Impact","value":""},{"id":150,"name":"Time of Event (Mountain Time)","value":"15:19:20"},{"id":151,"name":"Denver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"%USERPROFILE%\AppData\Local\Temp\OnboardLogs"\RTDC4010\*4010*201703012*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"%USERPROFILE%\AppData\Local\Temp\OnboardLogs"\RTDC4010\*4010*201703012* &gt;&gt; 2017-03-01-SliceDisagreementCheck.txt</v>
      </c>
      <c r="AE26" s="157" t="str">
        <f t="shared" si="8"/>
        <v>start /low /b %USERPROFILE%\Documents\GitHub\eaglep3\Utilities\DownloadLogsFromS3.py --loco 4010 --day 2017-03-01</v>
      </c>
      <c r="AF26" s="1"/>
    </row>
    <row r="27" spans="1:32" x14ac:dyDescent="0.25">
      <c r="A27" s="32">
        <v>42795.865127314813</v>
      </c>
      <c r="B27" s="30" t="s">
        <v>436</v>
      </c>
      <c r="C27" s="30" t="s">
        <v>469</v>
      </c>
      <c r="D27" s="30" t="s">
        <v>49</v>
      </c>
      <c r="E27" s="30" t="s">
        <v>197</v>
      </c>
      <c r="F27" s="43">
        <v>0</v>
      </c>
      <c r="G27" s="43">
        <v>454</v>
      </c>
      <c r="H27" s="43">
        <v>109498</v>
      </c>
      <c r="I27" s="43">
        <v>108163</v>
      </c>
      <c r="J27" s="30" t="s">
        <v>198</v>
      </c>
      <c r="K27" s="43">
        <v>109135</v>
      </c>
      <c r="L27" s="143" t="s">
        <v>51</v>
      </c>
      <c r="M27" s="144">
        <f t="shared" si="0"/>
        <v>-513.21600000000001</v>
      </c>
      <c r="N27" s="145" t="str">
        <f>VLOOKUP(C27,'Trips&amp;Operators'!$C$1:$G$99999,5,FALSE)</f>
        <v>JACKSON WILLIAM</v>
      </c>
      <c r="O27" s="194" t="s">
        <v>185</v>
      </c>
      <c r="P27" s="146" t="s">
        <v>326</v>
      </c>
      <c r="Q27" s="30"/>
      <c r="R27" s="89" t="str">
        <f>VLOOKUP(C27,'Train Runs'!$A$13:$AE$9938,31,0)</f>
        <v>aws s3 cp s3://rtdc.mdm.uploadarchive.raw/RTDC4001/ "%USERPROFILE%\AppData\Local\Temp\OnboardLogs"\RTDC4001\2017-03-01 --exclude "*" --recursive --include "*20170301*" &amp; "%USERPROFILE%\Documents\GitHub\mrs-test-scripts\Headless Mode &amp; Sideloading\WalkAndUnGZ.bat" "%USERPROFILE%\AppData\Local\Temp\OnboardLogs"\RTDC4001\2017-03-01 &amp; aws s3 cp s3://rtdc.mdm.uploadarchive.raw/RTDC4001/ "%USERPROFILE%\AppData\Local\Temp\OnboardLogs"\RTDC4001\2017-03-02 --exclude "*" --recursive --include "*20170302*" &amp; "%USERPROFILE%\Documents\GitHub\mrs-test-scripts\Headless Mode &amp; Sideloading\WalkAndUnGZ.bat" "%USERPROFILE%\AppData\Local\Temp\OnboardLogs"\RTDC4001\2017-03-02</v>
      </c>
      <c r="S27" s="92" t="str">
        <f>VLOOKUP(C27,'Train Runs'!$A$13:$AE$9938,22,0)</f>
        <v>https://d0f6bd738d7f1b3e5a7ca70fe4ff75f0.us-east-1.aws.found.io/app/kibana#/discover/Steve-Slow-Train-Analysis-(2080s-and-2083s)?_g=(refreshInterval:(display:Off,pause:!f,section:0,value:0),time:(from:'2017-03-01T19:19:34-0700',mode:absolute,to:'2017-03-01T22:11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7" s="94" t="str">
        <f t="shared" si="1"/>
        <v>"C:\Program Files (x86)\AstroGrep\AstroGrep.exe" /spath="%USERPROFILE%\AppData\Local\Temp\OnboardLogs" /stypes="*4001*201703020*" /stext=" 03:.+((SYSTEM_STATE.+slice.+state.+changed )|(ment ac)|(multiple cpu faults)|(system.+state.+changed )|(\[timeout)|(PRM\|1\|D)|(kpr)|(kdp)|(\|lc)|(penalty))" /e /r /s</v>
      </c>
      <c r="U27" s="9" t="str">
        <f t="shared" si="2"/>
        <v>4001</v>
      </c>
      <c r="V27" s="32">
        <f t="shared" si="3"/>
        <v>42796.156793981478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arrival","project_id":79,"tracker_id":40,"status_id":1,"priority_id":2,"assigned_to_id":23,"start_date":"2017-03-01","description":"","custom_fields":[{"id":1,"name":"Subdivision","value":"EC"},{"id":4,"name":"Milepost","value":"10.9135"},{"id":17,"name":"Train ID","value":"224-01"},{"id":16,"name":"Locomotive ID","value":"4001"},{"id":130,"name":"Impact","value":""},{"id":150,"name":"Time of Event (Mountain Time)","value":"20:45:47"},{"id":151,"name":"Denver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"%USERPROFILE%\AppData\Local\Temp\OnboardLogs"\RTDC4001\*4001*201703020*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"%USERPROFILE%\AppData\Local\Temp\OnboardLogs"\RTDC4001\*4001*201703020* &gt;&gt; 2017-03-01-SliceDisagreementCheck.txt</v>
      </c>
      <c r="AE27" s="157" t="str">
        <f t="shared" si="8"/>
        <v>start /low /b %USERPROFILE%\Documents\GitHub\eaglep3\Utilities\DownloadLogsFromS3.py --loco 4001 --day 2017-03-02</v>
      </c>
      <c r="AF27" s="1"/>
    </row>
    <row r="28" spans="1:32" x14ac:dyDescent="0.25">
      <c r="A28" s="32">
        <v>42795.885243055556</v>
      </c>
      <c r="B28" s="30" t="s">
        <v>250</v>
      </c>
      <c r="C28" s="30" t="s">
        <v>470</v>
      </c>
      <c r="D28" s="30" t="s">
        <v>49</v>
      </c>
      <c r="E28" s="30" t="s">
        <v>197</v>
      </c>
      <c r="F28" s="43">
        <v>410</v>
      </c>
      <c r="G28" s="43">
        <v>465</v>
      </c>
      <c r="H28" s="43">
        <v>110290</v>
      </c>
      <c r="I28" s="43">
        <v>108797</v>
      </c>
      <c r="J28" s="30" t="s">
        <v>198</v>
      </c>
      <c r="K28" s="43">
        <v>109135</v>
      </c>
      <c r="L28" s="143" t="s">
        <v>51</v>
      </c>
      <c r="M28" s="144">
        <f t="shared" si="0"/>
        <v>-178.46399999999997</v>
      </c>
      <c r="N28" s="145" t="str">
        <f>VLOOKUP(C28,'Trips&amp;Operators'!$C$1:$G$99999,5,FALSE)</f>
        <v>BROWN JACOB</v>
      </c>
      <c r="O28" s="194" t="s">
        <v>185</v>
      </c>
      <c r="P28" s="146" t="s">
        <v>326</v>
      </c>
      <c r="Q28" s="30"/>
      <c r="R28" s="89" t="str">
        <f>VLOOKUP(C28,'Train Runs'!$A$13:$AE$9938,31,0)</f>
        <v>aws s3 cp s3://rtdc.mdm.uploadarchive.raw/RTDC4012/ "%USERPROFILE%\AppData\Local\Temp\OnboardLogs"\RTDC4012\2017-03-01 --exclude "*" --recursive --include "*20170301*" &amp; "%USERPROFILE%\Documents\GitHub\mrs-test-scripts\Headless Mode &amp; Sideloading\WalkAndUnGZ.bat" "%USERPROFILE%\AppData\Local\Temp\OnboardLogs"\RTDC4012\2017-03-01 &amp; aws s3 cp s3://rtdc.mdm.uploadarchive.raw/RTDC4012/ "%USERPROFILE%\AppData\Local\Temp\OnboardLogs"\RTDC4012\2017-03-02 --exclude "*" --recursive --include "*20170302*" &amp; "%USERPROFILE%\Documents\GitHub\mrs-test-scripts\Headless Mode &amp; Sideloading\WalkAndUnGZ.bat" "%USERPROFILE%\AppData\Local\Temp\OnboardLogs"\RTDC4012\2017-03-02</v>
      </c>
      <c r="S28" s="92" t="str">
        <f>VLOOKUP(C28,'Train Runs'!$A$13:$AE$9938,22,0)</f>
        <v>https://d0f6bd738d7f1b3e5a7ca70fe4ff75f0.us-east-1.aws.found.io/app/kibana#/discover/Steve-Slow-Train-Analysis-(2080s-and-2083s)?_g=(refreshInterval:(display:Off,pause:!f,section:0,value:0),time:(from:'2017-03-01T19:48:59-0700',mode:absolute,to:'2017-03-01T22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8" s="94" t="str">
        <f t="shared" si="1"/>
        <v>"C:\Program Files (x86)\AstroGrep\AstroGrep.exe" /spath="%USERPROFILE%\AppData\Local\Temp\OnboardLogs" /stypes="*4012*201703020*" /stext=" 04:.+((SYSTEM_STATE.+slice.+state.+changed )|(ment ac)|(multiple cpu faults)|(system.+state.+changed )|(\[timeout)|(PRM\|1\|D)|(kpr)|(kdp)|(\|lc)|(penalty))" /e /r /s</v>
      </c>
      <c r="U28" s="9" t="str">
        <f t="shared" si="2"/>
        <v>4012</v>
      </c>
      <c r="V28" s="32">
        <f t="shared" si="3"/>
        <v>42796.17690972222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{"issue":{"subject":"Early arrival","project_id":79,"tracker_id":40,"status_id":1,"priority_id":2,"assigned_to_id":23,"start_date":"2017-03-01","description":"","custom_fields":[{"id":1,"name":"Subdivision","value":"EC"},{"id":4,"name":"Milepost","value":"10.9135"},{"id":17,"name":"Train ID","value":"226-01"},{"id":16,"name":"Locomotive ID","value":"4012"},{"id":130,"name":"Impact","value":""},{"id":150,"name":"Time of Event (Mountain Time)","value":"21:14:45"},{"id":151,"name":"Denver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"%USERPROFILE%\AppData\Local\Temp\OnboardLogs"\RTDC4012\*4012*201703020*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"%USERPROFILE%\AppData\Local\Temp\OnboardLogs"\RTDC4012\*4012*201703020* &gt;&gt; 2017-03-01-SliceDisagreementCheck.txt</v>
      </c>
      <c r="AE28" s="157" t="str">
        <f t="shared" si="8"/>
        <v>start /low /b %USERPROFILE%\Documents\GitHub\eaglep3\Utilities\DownloadLogsFromS3.py --loco 4012 --day 2017-03-02</v>
      </c>
      <c r="AF28" s="1"/>
    </row>
    <row r="29" spans="1:32" x14ac:dyDescent="0.25">
      <c r="A29" s="32">
        <v>42795.231238425928</v>
      </c>
      <c r="B29" s="30" t="s">
        <v>431</v>
      </c>
      <c r="C29" s="30" t="s">
        <v>432</v>
      </c>
      <c r="D29" s="30" t="s">
        <v>98</v>
      </c>
      <c r="E29" s="30" t="s">
        <v>262</v>
      </c>
      <c r="F29" s="43">
        <v>200</v>
      </c>
      <c r="G29" s="43">
        <v>251</v>
      </c>
      <c r="H29" s="43">
        <v>5447</v>
      </c>
      <c r="I29" s="43">
        <v>6084</v>
      </c>
      <c r="J29" s="30" t="s">
        <v>263</v>
      </c>
      <c r="K29" s="43">
        <v>4677</v>
      </c>
      <c r="L29" s="143" t="s">
        <v>50</v>
      </c>
      <c r="M29" s="144">
        <f t="shared" si="0"/>
        <v>-742.89599999999996</v>
      </c>
      <c r="N29" s="145" t="str">
        <f>VLOOKUP(C29,'Trips&amp;Operators'!$C$1:$G$99999,5,FALSE)</f>
        <v>STARKS ANGELINA</v>
      </c>
      <c r="O29" s="194" t="s">
        <v>185</v>
      </c>
      <c r="P29" s="146"/>
      <c r="Q29" s="30"/>
      <c r="R29" s="89" t="str">
        <f>VLOOKUP(C29,'Train Runs'!$A$13:$AE$9938,31,0)</f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S29" s="92" t="str">
        <f>VLOOKUP(C29,'Train Runs'!$A$13:$AE$9938,22,0)</f>
        <v>https://d0f6bd738d7f1b3e5a7ca70fe4ff75f0.us-east-1.aws.found.io/app/kibana#/discover/Steve-Slow-Train-Analysis-(2080s-and-2083s)?_g=(refreshInterval:(display:Off,pause:!f,section:0,value:0),time:(from:'2017-03-01T04:28:27-0700',mode:absolute,to:'2017-03-01T07:10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9" s="94" t="str">
        <f t="shared" si="1"/>
        <v>"C:\Program Files (x86)\AstroGrep\AstroGrep.exe" /spath="%USERPROFILE%\AppData\Local\Temp\OnboardLogs" /stypes="*4002*201703011*" /stext=" 12:.+((SYSTEM_STATE.+slice.+state.+changed )|(ment ac)|(multiple cpu faults)|(system.+state.+changed )|(\[timeout)|(PRM\|1\|D)|(kpr)|(kdp)|(\|lc)|(penalty))" /e /r /s</v>
      </c>
      <c r="U29" s="9" t="str">
        <f t="shared" si="2"/>
        <v>4002</v>
      </c>
      <c r="V29" s="32">
        <f t="shared" si="3"/>
        <v>42795.522905092592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{"issue":{"subject":"","project_id":79,"tracker_id":40,"status_id":1,"priority_id":2,"assigned_to_id":23,"start_date":"2017-03-01","description":"","custom_fields":[{"id":1,"name":"Subdivision","value":"EC"},{"id":4,"name":"Milepost","value":"0.4677"},{"id":17,"name":"Train ID","value":"115-01"},{"id":16,"name":"Locomotive ID","value":"4002"},{"id":130,"name":"Impact","value":""},{"id":150,"name":"Time of Event (Mountain Time)","value":"05:32:59"},{"id":151,"name":"Denver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ref="AC29:AC59" si="9"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"%USERPROFILE%\AppData\Local\Temp\OnboardLogs"\RTDC4002\*4002*201703011*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"%USERPROFILE%\AppData\Local\Temp\OnboardLogs"\RTDC4002\*4002*201703011* &gt;&gt; 2017-03-01-SliceDisagreementCheck.txt</v>
      </c>
      <c r="AE29" s="157" t="str">
        <f t="shared" si="8"/>
        <v>start /low /b %USERPROFILE%\Documents\GitHub\eaglep3\Utilities\DownloadLogsFromS3.py --loco 4002 --day 2017-03-01</v>
      </c>
      <c r="AF29" s="1"/>
    </row>
    <row r="30" spans="1:32" x14ac:dyDescent="0.25">
      <c r="A30" s="32">
        <v>42795.220613425925</v>
      </c>
      <c r="B30" s="30" t="s">
        <v>429</v>
      </c>
      <c r="C30" s="30" t="s">
        <v>430</v>
      </c>
      <c r="D30" s="30" t="s">
        <v>49</v>
      </c>
      <c r="E30" s="30" t="s">
        <v>262</v>
      </c>
      <c r="F30" s="43">
        <v>300</v>
      </c>
      <c r="G30" s="43">
        <v>416</v>
      </c>
      <c r="H30" s="43">
        <v>23373</v>
      </c>
      <c r="I30" s="43">
        <v>21984</v>
      </c>
      <c r="J30" s="30" t="s">
        <v>263</v>
      </c>
      <c r="K30" s="43">
        <v>21848</v>
      </c>
      <c r="L30" s="143" t="s">
        <v>51</v>
      </c>
      <c r="M30" s="144">
        <f t="shared" si="0"/>
        <v>71.808000000000007</v>
      </c>
      <c r="N30" s="145" t="str">
        <f>VLOOKUP(C30,'Trips&amp;Operators'!$C$1:$G$99999,5,FALSE)</f>
        <v>MAELZER KURT</v>
      </c>
      <c r="O30" s="194" t="s">
        <v>185</v>
      </c>
      <c r="P30" s="146"/>
      <c r="Q30" s="30"/>
      <c r="R30" s="89" t="str">
        <f>VLOOKUP(C30,'Train Runs'!$A$13:$AE$9938,31,0)</f>
        <v>aws s3 cp s3://rtdc.mdm.uploadarchive.raw/RTDC4023/ "%USERPROFILE%\AppData\Local\Temp\OnboardLogs"\RTDC4023\2017-03-01 --exclude "*" --recursive --include "*20170301*" &amp; "%USERPROFILE%\Documents\GitHub\mrs-test-scripts\Headless Mode &amp; Sideloading\WalkAndUnGZ.bat" "%USERPROFILE%\AppData\Local\Temp\OnboardLogs"\RTDC4023\2017-03-01 &amp; aws s3 cp s3://rtdc.mdm.uploadarchive.raw/RTDC4023/ "%USERPROFILE%\AppData\Local\Temp\OnboardLogs"\RTDC4023\2017-03-02 --exclude "*" --recursive --include "*20170302*" &amp; "%USERPROFILE%\Documents\GitHub\mrs-test-scripts\Headless Mode &amp; Sideloading\WalkAndUnGZ.bat" "%USERPROFILE%\AppData\Local\Temp\OnboardLogs"\RTDC4023\2017-03-02</v>
      </c>
      <c r="S30" s="92" t="str">
        <f>VLOOKUP(C30,'Train Runs'!$A$13:$AE$9938,22,0)</f>
        <v>https://d0f6bd738d7f1b3e5a7ca70fe4ff75f0.us-east-1.aws.found.io/app/kibana#/discover/Steve-Slow-Train-Analysis-(2080s-and-2083s)?_g=(refreshInterval:(display:Off,pause:!f,section:0,value:0),time:(from:'2017-03-01T03:31:25-0700',mode:absolute,to:'2017-03-01T06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0" s="94" t="str">
        <f t="shared" si="1"/>
        <v>"C:\Program Files (x86)\AstroGrep\AstroGrep.exe" /spath="%USERPROFILE%\AppData\Local\Temp\OnboardLogs" /stypes="*4023*201703011*" /stext=" 12:.+((SYSTEM_STATE.+slice.+state.+changed )|(ment ac)|(multiple cpu faults)|(system.+state.+changed )|(\[timeout)|(PRM\|1\|D)|(kpr)|(kdp)|(\|lc)|(penalty))" /e /r /s</v>
      </c>
      <c r="U30" s="9" t="str">
        <f t="shared" si="2"/>
        <v>4023</v>
      </c>
      <c r="V30" s="32">
        <f t="shared" si="3"/>
        <v>42795.512280092589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{"issue":{"subject":"","project_id":79,"tracker_id":40,"status_id":1,"priority_id":2,"assigned_to_id":23,"start_date":"2017-03-01","description":"","custom_fields":[{"id":1,"name":"Subdivision","value":"EC"},{"id":4,"name":"Milepost","value":"2.1848"},{"id":17,"name":"Train ID","value":"104-01"},{"id":16,"name":"Locomotive ID","value":"4023"},{"id":130,"name":"Impact","value":""},{"id":150,"name":"Time of Event (Mountain Time)","value":"05:17:41"},{"id":151,"name":"Denver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9"/>
        <v>grep -hSE -A400 "Enforcement Action" "%USERPROFILE%\AppData\Local\Temp\OnboardLogs"\RTDC4023\*4023*201703011*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"%USERPROFILE%\AppData\Local\Temp\OnboardLogs"\RTDC4023\*4023*201703011* &gt;&gt; 2017-03-01-SliceDisagreementCheck.txt</v>
      </c>
      <c r="AE30" s="157" t="str">
        <f t="shared" si="8"/>
        <v>start /low /b %USERPROFILE%\Documents\GitHub\eaglep3\Utilities\DownloadLogsFromS3.py --loco 4023 --day 2017-03-01</v>
      </c>
      <c r="AF30" s="1"/>
    </row>
    <row r="31" spans="1:32" x14ac:dyDescent="0.25">
      <c r="A31" s="32">
        <v>42795.345555555556</v>
      </c>
      <c r="B31" s="30" t="s">
        <v>217</v>
      </c>
      <c r="C31" s="30" t="s">
        <v>440</v>
      </c>
      <c r="D31" s="30" t="s">
        <v>49</v>
      </c>
      <c r="E31" s="30" t="s">
        <v>262</v>
      </c>
      <c r="F31" s="43">
        <v>300</v>
      </c>
      <c r="G31" s="43">
        <v>372</v>
      </c>
      <c r="H31" s="43">
        <v>23248</v>
      </c>
      <c r="I31" s="43">
        <v>22207</v>
      </c>
      <c r="J31" s="30" t="s">
        <v>263</v>
      </c>
      <c r="K31" s="43">
        <v>21848</v>
      </c>
      <c r="L31" s="143" t="s">
        <v>51</v>
      </c>
      <c r="M31" s="144">
        <f t="shared" si="0"/>
        <v>189.55199999999999</v>
      </c>
      <c r="N31" s="145" t="str">
        <f>VLOOKUP(C31,'Trips&amp;Operators'!$C$1:$G$99999,5,FALSE)</f>
        <v>MAYBERRY BILL</v>
      </c>
      <c r="O31" s="194" t="s">
        <v>185</v>
      </c>
      <c r="P31" s="146"/>
      <c r="Q31" s="30"/>
      <c r="R31" s="89" t="str">
        <f>VLOOKUP(C31,'Train Runs'!$A$13:$AE$9938,31,0)</f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S31" s="92" t="str">
        <f>VLOOKUP(C31,'Train Runs'!$A$13:$AE$9938,22,0)</f>
        <v>https://d0f6bd738d7f1b3e5a7ca70fe4ff75f0.us-east-1.aws.found.io/app/kibana#/discover/Steve-Slow-Train-Analysis-(2080s-and-2083s)?_g=(refreshInterval:(display:Off,pause:!f,section:0,value:0),time:(from:'2017-03-01T06:37:07-0700',mode:absolute,to:'2017-03-01T09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1" s="94" t="str">
        <f t="shared" si="1"/>
        <v>"C:\Program Files (x86)\AstroGrep\AstroGrep.exe" /spath="%USERPROFILE%\AppData\Local\Temp\OnboardLogs" /stypes="*4045*201703011*" /stext=" 15:.+((SYSTEM_STATE.+slice.+state.+changed )|(ment ac)|(multiple cpu faults)|(system.+state.+changed )|(\[timeout)|(PRM\|1\|D)|(kpr)|(kdp)|(\|lc)|(penalty))" /e /r /s</v>
      </c>
      <c r="U31" s="9" t="str">
        <f t="shared" si="2"/>
        <v>4045</v>
      </c>
      <c r="V31" s="32">
        <f t="shared" si="3"/>
        <v>42795.63722222222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{"issue":{"subject":"","project_id":79,"tracker_id":40,"status_id":1,"priority_id":2,"assigned_to_id":23,"start_date":"2017-03-01","description":"","custom_fields":[{"id":1,"name":"Subdivision","value":"EC"},{"id":4,"name":"Milepost","value":"2.1848"},{"id":17,"name":"Train ID","value":"126-01"},{"id":16,"name":"Locomotive ID","value":"4045"},{"id":130,"name":"Impact","value":""},{"id":150,"name":"Time of Event (Mountain Time)","value":"08:17:36"},{"id":151,"name":"Denver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9"/>
        <v>grep -hSE -A400 "Enforcement Action" "%USERPROFILE%\AppData\Local\Temp\OnboardLogs"\RTDC4045\*4045*201703011*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"%USERPROFILE%\AppData\Local\Temp\OnboardLogs"\RTDC4045\*4045*201703011* &gt;&gt; 2017-03-01-SliceDisagreementCheck.txt</v>
      </c>
      <c r="AE31" s="157" t="str">
        <f t="shared" si="8"/>
        <v>start /low /b %USERPROFILE%\Documents\GitHub\eaglep3\Utilities\DownloadLogsFromS3.py --loco 4045 --day 2017-03-01</v>
      </c>
      <c r="AF31" s="1"/>
    </row>
    <row r="32" spans="1:32" x14ac:dyDescent="0.25">
      <c r="A32" s="32">
        <v>42795.822314814817</v>
      </c>
      <c r="B32" s="30" t="s">
        <v>250</v>
      </c>
      <c r="C32" s="30" t="s">
        <v>466</v>
      </c>
      <c r="D32" s="30" t="s">
        <v>49</v>
      </c>
      <c r="E32" s="30" t="s">
        <v>262</v>
      </c>
      <c r="F32" s="43">
        <v>300</v>
      </c>
      <c r="G32" s="43">
        <v>400</v>
      </c>
      <c r="H32" s="43">
        <v>23187</v>
      </c>
      <c r="I32" s="43">
        <v>21992</v>
      </c>
      <c r="J32" s="30" t="s">
        <v>263</v>
      </c>
      <c r="K32" s="43">
        <v>21848</v>
      </c>
      <c r="L32" s="143" t="s">
        <v>51</v>
      </c>
      <c r="M32" s="144">
        <f t="shared" si="0"/>
        <v>76.031999999999996</v>
      </c>
      <c r="N32" s="145" t="str">
        <f>VLOOKUP(C32,'Trips&amp;Operators'!$C$1:$G$99999,5,FALSE)</f>
        <v>BROWN JACOB</v>
      </c>
      <c r="O32" s="194" t="s">
        <v>185</v>
      </c>
      <c r="P32" s="146"/>
      <c r="Q32" s="30"/>
      <c r="R32" s="89" t="str">
        <f>VLOOKUP(C32,'Train Runs'!$A$13:$AE$9938,31,0)</f>
        <v>aws s3 cp s3://rtdc.mdm.uploadarchive.raw/RTDC4012/ "%USERPROFILE%\AppData\Local\Temp\OnboardLogs"\RTDC4012\2017-03-01 --exclude "*" --recursive --include "*20170301*" &amp; "%USERPROFILE%\Documents\GitHub\mrs-test-scripts\Headless Mode &amp; Sideloading\WalkAndUnGZ.bat" "%USERPROFILE%\AppData\Local\Temp\OnboardLogs"\RTDC4012\2017-03-01 &amp; aws s3 cp s3://rtdc.mdm.uploadarchive.raw/RTDC4012/ "%USERPROFILE%\AppData\Local\Temp\OnboardLogs"\RTDC4012\2017-03-02 --exclude "*" --recursive --include "*20170302*" &amp; "%USERPROFILE%\Documents\GitHub\mrs-test-scripts\Headless Mode &amp; Sideloading\WalkAndUnGZ.bat" "%USERPROFILE%\AppData\Local\Temp\OnboardLogs"\RTDC4012\2017-03-02</v>
      </c>
      <c r="S32" s="92" t="str">
        <f>VLOOKUP(C32,'Train Runs'!$A$13:$AE$9938,22,0)</f>
        <v>https://d0f6bd738d7f1b3e5a7ca70fe4ff75f0.us-east-1.aws.found.io/app/kibana#/discover/Steve-Slow-Train-Analysis-(2080s-and-2083s)?_g=(refreshInterval:(display:Off,pause:!f,section:0,value:0),time:(from:'2017-03-01T18:06:03-0700',mode:absolute,to:'2017-03-01T20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2" s="94" t="str">
        <f t="shared" si="1"/>
        <v>"C:\Program Files (x86)\AstroGrep\AstroGrep.exe" /spath="%USERPROFILE%\AppData\Local\Temp\OnboardLogs" /stypes="*4012*201703020*" /stext=" 02:.+((SYSTEM_STATE.+slice.+state.+changed )|(ment ac)|(multiple cpu faults)|(system.+state.+changed )|(\[timeout)|(PRM\|1\|D)|(kpr)|(kdp)|(\|lc)|(penalty))" /e /r /s</v>
      </c>
      <c r="U32" s="9" t="str">
        <f t="shared" si="2"/>
        <v>4012</v>
      </c>
      <c r="V32" s="32">
        <f t="shared" si="3"/>
        <v>42796.113981481481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{"issue":{"subject":"","project_id":79,"tracker_id":40,"status_id":1,"priority_id":2,"assigned_to_id":23,"start_date":"2017-03-01","description":"","custom_fields":[{"id":1,"name":"Subdivision","value":"EC"},{"id":4,"name":"Milepost","value":"2.1848"},{"id":17,"name":"Train ID","value":"218-01"},{"id":16,"name":"Locomotive ID","value":"4012"},{"id":130,"name":"Impact","value":""},{"id":150,"name":"Time of Event (Mountain Time)","value":"19:44:08"},{"id":151,"name":"Denver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9"/>
        <v>grep -hSE -A400 "Enforcement Action" "%USERPROFILE%\AppData\Local\Temp\OnboardLogs"\RTDC4012\*4012*201703020*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"%USERPROFILE%\AppData\Local\Temp\OnboardLogs"\RTDC4012\*4012*201703020* &gt;&gt; 2017-03-01-SliceDisagreementCheck.txt</v>
      </c>
      <c r="AE32" s="157" t="str">
        <f t="shared" si="8"/>
        <v>start /low /b %USERPROFILE%\Documents\GitHub\eaglep3\Utilities\DownloadLogsFromS3.py --loco 4012 --day 2017-03-02</v>
      </c>
      <c r="AF32" s="1"/>
    </row>
    <row r="33" spans="1:32" x14ac:dyDescent="0.25">
      <c r="A33" s="32">
        <v>42796.015486111108</v>
      </c>
      <c r="B33" s="30" t="s">
        <v>192</v>
      </c>
      <c r="C33" s="30" t="s">
        <v>474</v>
      </c>
      <c r="D33" s="30" t="s">
        <v>49</v>
      </c>
      <c r="E33" s="30" t="s">
        <v>262</v>
      </c>
      <c r="F33" s="43">
        <v>400</v>
      </c>
      <c r="G33" s="43">
        <v>577</v>
      </c>
      <c r="H33" s="43">
        <v>114840</v>
      </c>
      <c r="I33" s="43">
        <v>116696</v>
      </c>
      <c r="J33" s="30" t="s">
        <v>263</v>
      </c>
      <c r="K33" s="43">
        <v>116838</v>
      </c>
      <c r="L33" s="143" t="s">
        <v>50</v>
      </c>
      <c r="M33" s="144">
        <f t="shared" si="0"/>
        <v>74.975999999999999</v>
      </c>
      <c r="N33" s="145" t="str">
        <f>VLOOKUP(C33,'Trips&amp;Operators'!$C$1:$G$99999,5,FALSE)</f>
        <v>BROWN JACOB</v>
      </c>
      <c r="O33" s="194" t="s">
        <v>185</v>
      </c>
      <c r="P33" s="146"/>
      <c r="Q33" s="30"/>
      <c r="R33" s="89" t="str">
        <f>VLOOKUP(C33,'Train Runs'!$A$13:$AE$9938,31,0)</f>
        <v>aws s3 cp s3://rtdc.mdm.uploadarchive.raw/RTDC4011/ "%USERPROFILE%\AppData\Local\Temp\OnboardLogs"\RTDC4011\2017-03-02 --exclude "*" --recursive --include "*20170302*" &amp; "%USERPROFILE%\Documents\GitHub\mrs-test-scripts\Headless Mode &amp; Sideloading\WalkAndUnGZ.bat" "%USERPROFILE%\AppData\Local\Temp\OnboardLogs"\RTDC4011\2017-03-02 &amp; aws s3 cp s3://rtdc.mdm.uploadarchive.raw/RTDC4011/ "%USERPROFILE%\AppData\Local\Temp\OnboardLogs"\RTDC4011\2017-03-03 --exclude "*" --recursive --include "*20170303*" &amp; "%USERPROFILE%\Documents\GitHub\mrs-test-scripts\Headless Mode &amp; Sideloading\WalkAndUnGZ.bat" "%USERPROFILE%\AppData\Local\Temp\OnboardLogs"\RTDC4011\2017-03-03</v>
      </c>
      <c r="S33" s="92" t="str">
        <f>VLOOKUP(C33,'Train Runs'!$A$13:$AE$9938,22,0)</f>
        <v>https://d0f6bd738d7f1b3e5a7ca70fe4ff75f0.us-east-1.aws.found.io/app/kibana#/discover/Steve-Slow-Train-Analysis-(2080s-and-2083s)?_g=(refreshInterval:(display:Off,pause:!f,section:0,value:0),time:(from:'2017-03-01T22:46:17-0700',mode:absolute,to:'2017-03-02T01:39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3" s="94" t="str">
        <f t="shared" si="1"/>
        <v>"C:\Program Files (x86)\AstroGrep\AstroGrep.exe" /spath="%USERPROFILE%\AppData\Local\Temp\OnboardLogs" /stypes="*4011*201703020*" /stext=" 07:.+((SYSTEM_STATE.+slice.+state.+changed )|(ment ac)|(multiple cpu faults)|(system.+state.+changed )|(\[timeout)|(PRM\|1\|D)|(kpr)|(kdp)|(\|lc)|(penalty))" /e /r /s</v>
      </c>
      <c r="U33" s="9" t="str">
        <f t="shared" si="2"/>
        <v>4011</v>
      </c>
      <c r="V33" s="32">
        <f t="shared" si="3"/>
        <v>42796.307152777772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{"issue":{"subject":"","project_id":79,"tracker_id":40,"status_id":1,"priority_id":2,"assigned_to_id":23,"start_date":"2017-03-02","description":"","custom_fields":[{"id":1,"name":"Subdivision","value":"EC"},{"id":4,"name":"Milepost","value":"11.6838"},{"id":17,"name":"Train ID","value":"241-01"},{"id":16,"name":"Locomotive ID","value":"4011"},{"id":130,"name":"Impact","value":""},{"id":150,"name":"Time of Event (Mountain Time)","value":"00:22:18"},{"id":151,"name":"Denver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9"/>
        <v>grep -hSE -A400 "Enforcement Action" "%USERPROFILE%\AppData\Local\Temp\OnboardLogs"\RTDC4011\*4011*201703020*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"%USERPROFILE%\AppData\Local\Temp\OnboardLogs"\RTDC4011\*4011*201703020* &gt;&gt; 2017-03-01-SliceDisagreementCheck.txt</v>
      </c>
      <c r="AE33" s="157" t="str">
        <f t="shared" si="8"/>
        <v>start /low /b %USERPROFILE%\Documents\GitHub\eaglep3\Utilities\DownloadLogsFromS3.py --loco 4011 --day 2017-03-02</v>
      </c>
      <c r="AF33" s="1"/>
    </row>
    <row r="34" spans="1:32" x14ac:dyDescent="0.25">
      <c r="A34" s="32">
        <v>42796.016712962963</v>
      </c>
      <c r="B34" s="30" t="s">
        <v>192</v>
      </c>
      <c r="C34" s="30" t="s">
        <v>474</v>
      </c>
      <c r="D34" s="30" t="s">
        <v>98</v>
      </c>
      <c r="E34" s="30" t="s">
        <v>262</v>
      </c>
      <c r="F34" s="43">
        <v>400</v>
      </c>
      <c r="G34" s="43">
        <v>454</v>
      </c>
      <c r="H34" s="43">
        <v>119388</v>
      </c>
      <c r="I34" s="43">
        <v>120579</v>
      </c>
      <c r="J34" s="30" t="s">
        <v>263</v>
      </c>
      <c r="K34" s="43">
        <v>116838</v>
      </c>
      <c r="L34" s="143" t="s">
        <v>50</v>
      </c>
      <c r="M34" s="144">
        <f t="shared" si="0"/>
        <v>-1975.248</v>
      </c>
      <c r="N34" s="145" t="str">
        <f>VLOOKUP(C34,'Trips&amp;Operators'!$C$1:$G$99999,5,FALSE)</f>
        <v>BROWN JACOB</v>
      </c>
      <c r="O34" s="194" t="s">
        <v>185</v>
      </c>
      <c r="P34" s="146"/>
      <c r="Q34" s="30"/>
      <c r="R34" s="89" t="str">
        <f>VLOOKUP(C34,'Train Runs'!$A$13:$AE$9938,31,0)</f>
        <v>aws s3 cp s3://rtdc.mdm.uploadarchive.raw/RTDC4011/ "%USERPROFILE%\AppData\Local\Temp\OnboardLogs"\RTDC4011\2017-03-02 --exclude "*" --recursive --include "*20170302*" &amp; "%USERPROFILE%\Documents\GitHub\mrs-test-scripts\Headless Mode &amp; Sideloading\WalkAndUnGZ.bat" "%USERPROFILE%\AppData\Local\Temp\OnboardLogs"\RTDC4011\2017-03-02 &amp; aws s3 cp s3://rtdc.mdm.uploadarchive.raw/RTDC4011/ "%USERPROFILE%\AppData\Local\Temp\OnboardLogs"\RTDC4011\2017-03-03 --exclude "*" --recursive --include "*20170303*" &amp; "%USERPROFILE%\Documents\GitHub\mrs-test-scripts\Headless Mode &amp; Sideloading\WalkAndUnGZ.bat" "%USERPROFILE%\AppData\Local\Temp\OnboardLogs"\RTDC4011\2017-03-03</v>
      </c>
      <c r="S34" s="92" t="str">
        <f>VLOOKUP(C34,'Train Runs'!$A$13:$AE$9938,22,0)</f>
        <v>https://d0f6bd738d7f1b3e5a7ca70fe4ff75f0.us-east-1.aws.found.io/app/kibana#/discover/Steve-Slow-Train-Analysis-(2080s-and-2083s)?_g=(refreshInterval:(display:Off,pause:!f,section:0,value:0),time:(from:'2017-03-01T22:46:17-0700',mode:absolute,to:'2017-03-02T01:39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4" s="94" t="str">
        <f t="shared" si="1"/>
        <v>"C:\Program Files (x86)\AstroGrep\AstroGrep.exe" /spath="%USERPROFILE%\AppData\Local\Temp\OnboardLogs" /stypes="*4011*201703020*" /stext=" 07:.+((SYSTEM_STATE.+slice.+state.+changed )|(ment ac)|(multiple cpu faults)|(system.+state.+changed )|(\[timeout)|(PRM\|1\|D)|(kpr)|(kdp)|(\|lc)|(penalty))" /e /r /s</v>
      </c>
      <c r="U34" s="9" t="str">
        <f t="shared" si="2"/>
        <v>4011</v>
      </c>
      <c r="V34" s="32">
        <f t="shared" si="3"/>
        <v>42796.308379629627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{"issue":{"subject":"","project_id":79,"tracker_id":40,"status_id":1,"priority_id":2,"assigned_to_id":23,"start_date":"2017-03-02","description":"","custom_fields":[{"id":1,"name":"Subdivision","value":"EC"},{"id":4,"name":"Milepost","value":"11.6838"},{"id":17,"name":"Train ID","value":"241-01"},{"id":16,"name":"Locomotive ID","value":"4011"},{"id":130,"name":"Impact","value":""},{"id":150,"name":"Time of Event (Mountain Time)","value":"00:24:04"},{"id":151,"name":"Denver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9"/>
        <v>grep -hSE -A400 "Enforcement Action" "%USERPROFILE%\AppData\Local\Temp\OnboardLogs"\RTDC4011\*4011*201703020*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"%USERPROFILE%\AppData\Local\Temp\OnboardLogs"\RTDC4011\*4011*201703020* &gt;&gt; 2017-03-01-SliceDisagreementCheck.txt</v>
      </c>
      <c r="AE34" s="157" t="str">
        <f t="shared" si="8"/>
        <v>start /low /b %USERPROFILE%\Documents\GitHub\eaglep3\Utilities\DownloadLogsFromS3.py --loco 4011 --day 2017-03-02</v>
      </c>
      <c r="AF34" s="1"/>
    </row>
    <row r="35" spans="1:32" x14ac:dyDescent="0.25">
      <c r="A35" s="32">
        <v>42795.564745370371</v>
      </c>
      <c r="B35" s="30" t="s">
        <v>192</v>
      </c>
      <c r="C35" s="30" t="s">
        <v>452</v>
      </c>
      <c r="D35" s="30" t="s">
        <v>49</v>
      </c>
      <c r="E35" s="30" t="s">
        <v>262</v>
      </c>
      <c r="F35" s="43">
        <v>600</v>
      </c>
      <c r="G35" s="43">
        <v>677</v>
      </c>
      <c r="H35" s="43">
        <v>182175</v>
      </c>
      <c r="I35" s="43">
        <v>184818</v>
      </c>
      <c r="J35" s="30" t="s">
        <v>263</v>
      </c>
      <c r="K35" s="43">
        <v>183829</v>
      </c>
      <c r="L35" s="143" t="s">
        <v>50</v>
      </c>
      <c r="M35" s="144">
        <f t="shared" si="0"/>
        <v>-522.19200000000001</v>
      </c>
      <c r="N35" s="145" t="str">
        <f>VLOOKUP(C35,'Trips&amp;Operators'!$C$1:$G$99999,5,FALSE)</f>
        <v>DAVIS MICHAEL</v>
      </c>
      <c r="O35" s="194" t="s">
        <v>185</v>
      </c>
      <c r="P35" s="146"/>
      <c r="Q35" s="30"/>
      <c r="R35" s="89" t="str">
        <f>VLOOKUP(C35,'Train Runs'!$A$13:$AE$9938,31,0)</f>
        <v>aws s3 cp s3://rtdc.mdm.uploadarchive.raw/RTDC4011/ "%USERPROFILE%\AppData\Local\Temp\OnboardLogs"\RTDC4011\2017-03-01 --exclude "*" --recursive --include "*20170301*" &amp; "%USERPROFILE%\Documents\GitHub\mrs-test-scripts\Headless Mode &amp; Sideloading\WalkAndUnGZ.bat" "%USERPROFILE%\AppData\Local\Temp\OnboardLogs"\RTDC4011\2017-03-01 &amp; aws s3 cp s3://rtdc.mdm.uploadarchive.raw/RTDC4011/ "%USERPROFILE%\AppData\Local\Temp\OnboardLogs"\RTDC4011\2017-03-02 --exclude "*" --recursive --include "*20170302*" &amp; "%USERPROFILE%\Documents\GitHub\mrs-test-scripts\Headless Mode &amp; Sideloading\WalkAndUnGZ.bat" "%USERPROFILE%\AppData\Local\Temp\OnboardLogs"\RTDC4011\2017-03-02</v>
      </c>
      <c r="S35" s="92" t="str">
        <f>VLOOKUP(C35,'Train Runs'!$A$13:$AE$9938,22,0)</f>
        <v>https://d0f6bd738d7f1b3e5a7ca70fe4ff75f0.us-east-1.aws.found.io/app/kibana#/discover/Steve-Slow-Train-Analysis-(2080s-and-2083s)?_g=(refreshInterval:(display:Off,pause:!f,section:0,value:0),time:(from:'2017-03-01T11:58:11-0700',mode:absolute,to:'2017-03-01T14:40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5" s="94" t="str">
        <f t="shared" si="1"/>
        <v>"C:\Program Files (x86)\AstroGrep\AstroGrep.exe" /spath="%USERPROFILE%\AppData\Local\Temp\OnboardLogs" /stypes="*4011*201703012*" /stext=" 20:.+((SYSTEM_STATE.+slice.+state.+changed )|(ment ac)|(multiple cpu faults)|(system.+state.+changed )|(\[timeout)|(PRM\|1\|D)|(kpr)|(kdp)|(\|lc)|(penalty))" /e /r /s</v>
      </c>
      <c r="U35" s="9" t="str">
        <f t="shared" si="2"/>
        <v>4011</v>
      </c>
      <c r="V35" s="32">
        <f t="shared" si="3"/>
        <v>42795.856412037036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{"issue":{"subject":"","project_id":79,"tracker_id":40,"status_id":1,"priority_id":2,"assigned_to_id":23,"start_date":"2017-03-01","description":"","custom_fields":[{"id":1,"name":"Subdivision","value":"EC"},{"id":4,"name":"Milepost","value":"18.3829"},{"id":17,"name":"Train ID","value":"175-01"},{"id":16,"name":"Locomotive ID","value":"4011"},{"id":130,"name":"Impact","value":""},{"id":150,"name":"Time of Event (Mountain Time)","value":"13:33:14"},{"id":151,"name":"Denver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9"/>
        <v>grep -hSE -A400 "Enforcement Action" "%USERPROFILE%\AppData\Local\Temp\OnboardLogs"\RTDC4011\*4011*201703012*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"%USERPROFILE%\AppData\Local\Temp\OnboardLogs"\RTDC4011\*4011*201703012* &gt;&gt; 2017-03-01-SliceDisagreementCheck.txt</v>
      </c>
      <c r="AE35" s="157" t="str">
        <f t="shared" si="8"/>
        <v>start /low /b %USERPROFILE%\Documents\GitHub\eaglep3\Utilities\DownloadLogsFromS3.py --loco 4011 --day 2017-03-01</v>
      </c>
      <c r="AF35" s="1"/>
    </row>
    <row r="36" spans="1:32" x14ac:dyDescent="0.25">
      <c r="A36" s="32">
        <v>42795.321319444447</v>
      </c>
      <c r="B36" s="30" t="s">
        <v>217</v>
      </c>
      <c r="C36" s="30" t="s">
        <v>440</v>
      </c>
      <c r="D36" s="30" t="s">
        <v>49</v>
      </c>
      <c r="E36" s="30" t="s">
        <v>262</v>
      </c>
      <c r="F36" s="43">
        <v>150</v>
      </c>
      <c r="G36" s="43">
        <v>213</v>
      </c>
      <c r="H36" s="43">
        <v>229905</v>
      </c>
      <c r="I36" s="43">
        <v>229481</v>
      </c>
      <c r="J36" s="30" t="s">
        <v>263</v>
      </c>
      <c r="K36" s="43">
        <v>229055</v>
      </c>
      <c r="L36" s="143" t="s">
        <v>51</v>
      </c>
      <c r="M36" s="144">
        <f t="shared" si="0"/>
        <v>224.928</v>
      </c>
      <c r="N36" s="145" t="str">
        <f>VLOOKUP(C36,'Trips&amp;Operators'!$C$1:$G$99999,5,FALSE)</f>
        <v>MAYBERRY BILL</v>
      </c>
      <c r="O36" s="194" t="s">
        <v>185</v>
      </c>
      <c r="P36" s="146"/>
      <c r="Q36" s="30"/>
      <c r="R36" s="89" t="str">
        <f>VLOOKUP(C36,'Train Runs'!$A$13:$AE$9938,31,0)</f>
        <v>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 &amp; aws s3 cp s3://rtdc.mdm.uploadarchive.raw/RTDC4045/ "%USERPROFILE%\AppData\Local\Temp\OnboardLogs"\RTDC4045\2017-03-02 --exclude "*" --recursive --include "*20170302*" &amp; "%USERPROFILE%\Documents\GitHub\mrs-test-scripts\Headless Mode &amp; Sideloading\WalkAndUnGZ.bat" "%USERPROFILE%\AppData\Local\Temp\OnboardLogs"\RTDC4045\2017-03-02</v>
      </c>
      <c r="S36" s="92" t="str">
        <f>VLOOKUP(C36,'Train Runs'!$A$13:$AE$9938,22,0)</f>
        <v>https://d0f6bd738d7f1b3e5a7ca70fe4ff75f0.us-east-1.aws.found.io/app/kibana#/discover/Steve-Slow-Train-Analysis-(2080s-and-2083s)?_g=(refreshInterval:(display:Off,pause:!f,section:0,value:0),time:(from:'2017-03-01T06:37:07-0700',mode:absolute,to:'2017-03-01T09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6" s="94" t="str">
        <f t="shared" si="1"/>
        <v>"C:\Program Files (x86)\AstroGrep\AstroGrep.exe" /spath="%USERPROFILE%\AppData\Local\Temp\OnboardLogs" /stypes="*4045*201703011*" /stext=" 14:.+((SYSTEM_STATE.+slice.+state.+changed )|(ment ac)|(multiple cpu faults)|(system.+state.+changed )|(\[timeout)|(PRM\|1\|D)|(kpr)|(kdp)|(\|lc)|(penalty))" /e /r /s</v>
      </c>
      <c r="U36" s="9" t="str">
        <f t="shared" si="2"/>
        <v>4045</v>
      </c>
      <c r="V36" s="32">
        <f t="shared" si="3"/>
        <v>42795.612986111111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{"issue":{"subject":"","project_id":79,"tracker_id":40,"status_id":1,"priority_id":2,"assigned_to_id":23,"start_date":"2017-03-01","description":"","custom_fields":[{"id":1,"name":"Subdivision","value":"EC"},{"id":4,"name":"Milepost","value":"22.9055"},{"id":17,"name":"Train ID","value":"126-01"},{"id":16,"name":"Locomotive ID","value":"4045"},{"id":130,"name":"Impact","value":""},{"id":150,"name":"Time of Event (Mountain Time)","value":"07:42:42"},{"id":151,"name":"Denver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9"/>
        <v>grep -hSE -A400 "Enforcement Action" "%USERPROFILE%\AppData\Local\Temp\OnboardLogs"\RTDC4045\*4045*201703011*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"%USERPROFILE%\AppData\Local\Temp\OnboardLogs"\RTDC4045\*4045*201703011* &gt;&gt; 2017-03-01-SliceDisagreementCheck.txt</v>
      </c>
      <c r="AE36" s="157" t="str">
        <f t="shared" si="8"/>
        <v>start /low /b %USERPROFILE%\Documents\GitHub\eaglep3\Utilities\DownloadLogsFromS3.py --loco 4045 --day 2017-03-01</v>
      </c>
      <c r="AF36" s="1"/>
    </row>
    <row r="37" spans="1:32" x14ac:dyDescent="0.25">
      <c r="A37" s="32">
        <v>42795.244652777779</v>
      </c>
      <c r="B37" s="30" t="s">
        <v>250</v>
      </c>
      <c r="C37" s="30" t="s">
        <v>433</v>
      </c>
      <c r="D37" s="30" t="s">
        <v>49</v>
      </c>
      <c r="E37" s="30" t="s">
        <v>188</v>
      </c>
      <c r="F37" s="43">
        <v>0</v>
      </c>
      <c r="G37" s="43">
        <v>40</v>
      </c>
      <c r="H37" s="43">
        <v>156</v>
      </c>
      <c r="I37" s="43">
        <v>123</v>
      </c>
      <c r="J37" s="30" t="s">
        <v>189</v>
      </c>
      <c r="K37" s="43">
        <v>1</v>
      </c>
      <c r="L37" s="143" t="s">
        <v>51</v>
      </c>
      <c r="M37" s="144">
        <f t="shared" si="0"/>
        <v>64.415999999999997</v>
      </c>
      <c r="N37" s="145" t="str">
        <f>VLOOKUP(C37,'Trips&amp;Operators'!$C$1:$G$99999,5,FALSE)</f>
        <v>GEBRETEKLE DAGNEW</v>
      </c>
      <c r="O37" s="194" t="s">
        <v>185</v>
      </c>
      <c r="P37" s="146"/>
      <c r="Q37" s="30"/>
      <c r="R37" s="89" t="str">
        <f>VLOOKUP(C37,'Train Runs'!$A$13:$AE$9938,31,0)</f>
        <v>aws s3 cp s3://rtdc.mdm.uploadarchive.raw/RTDC4012/ "%USERPROFILE%\AppData\Local\Temp\OnboardLogs"\RTDC4012\2017-03-01 --exclude "*" --recursive --include "*20170301*" &amp; "%USERPROFILE%\Documents\GitHub\mrs-test-scripts\Headless Mode &amp; Sideloading\WalkAndUnGZ.bat" "%USERPROFILE%\AppData\Local\Temp\OnboardLogs"\RTDC4012\2017-03-01 &amp; aws s3 cp s3://rtdc.mdm.uploadarchive.raw/RTDC4012/ "%USERPROFILE%\AppData\Local\Temp\OnboardLogs"\RTDC4012\2017-03-02 --exclude "*" --recursive --include "*20170302*" &amp; "%USERPROFILE%\Documents\GitHub\mrs-test-scripts\Headless Mode &amp; Sideloading\WalkAndUnGZ.bat" "%USERPROFILE%\AppData\Local\Temp\OnboardLogs"\RTDC4012\2017-03-02</v>
      </c>
      <c r="S37" s="92" t="str">
        <f>VLOOKUP(C37,'Train Runs'!$A$13:$AE$9938,22,0)</f>
        <v>https://d0f6bd738d7f1b3e5a7ca70fe4ff75f0.us-east-1.aws.found.io/app/kibana#/discover/Steve-Slow-Train-Analysis-(2080s-and-2083s)?_g=(refreshInterval:(display:Off,pause:!f,section:0,value:0),time:(from:'2017-03-01T03:57:56-0700',mode:absolute,to:'2017-03-01T06:52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7" s="94" t="str">
        <f t="shared" si="1"/>
        <v>"C:\Program Files (x86)\AstroGrep\AstroGrep.exe" /spath="%USERPROFILE%\AppData\Local\Temp\OnboardLogs" /stypes="*4012*201703011*" /stext=" 12:.+((SYSTEM_STATE.+slice.+state.+changed )|(ment ac)|(multiple cpu faults)|(system.+state.+changed )|(\[timeout)|(PRM\|1\|D)|(kpr)|(kdp)|(\|lc)|(penalty))" /e /r /s</v>
      </c>
      <c r="U37" s="9" t="str">
        <f t="shared" si="2"/>
        <v>4012</v>
      </c>
      <c r="V37" s="32">
        <f t="shared" si="3"/>
        <v>42795.536319444444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{"issue":{"subject":"","project_id":79,"tracker_id":40,"status_id":1,"priority_id":2,"assigned_to_id":23,"start_date":"2017-03-01","description":"","custom_fields":[{"id":1,"name":"Subdivision","value":"EC"},{"id":4,"name":"Milepost","value":"0.0001"},{"id":17,"name":"Train ID","value":"106-01"},{"id":16,"name":"Locomotive ID","value":"4012"},{"id":130,"name":"Impact","value":""},{"id":150,"name":"Time of Event (Mountain Time)","value":"05:52:18"},{"id":151,"name":"Denver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9"/>
        <v>grep -hSE -A400 "Enforcement Action" "%USERPROFILE%\AppData\Local\Temp\OnboardLogs"\RTDC4012\*4012*201703011*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"%USERPROFILE%\AppData\Local\Temp\OnboardLogs"\RTDC4012\*4012*201703011* &gt;&gt; 2017-03-01-SliceDisagreementCheck.txt</v>
      </c>
      <c r="AE37" s="157" t="str">
        <f t="shared" si="8"/>
        <v>start /low /b %USERPROFILE%\Documents\GitHub\eaglep3\Utilities\DownloadLogsFromS3.py --loco 4012 --day 2017-03-01</v>
      </c>
      <c r="AF37" s="1"/>
    </row>
    <row r="38" spans="1:32" x14ac:dyDescent="0.25">
      <c r="A38" s="32">
        <v>42795.661122685182</v>
      </c>
      <c r="B38" s="30" t="s">
        <v>436</v>
      </c>
      <c r="C38" s="30" t="s">
        <v>456</v>
      </c>
      <c r="D38" s="30" t="s">
        <v>49</v>
      </c>
      <c r="E38" s="30" t="s">
        <v>188</v>
      </c>
      <c r="F38" s="43">
        <v>0</v>
      </c>
      <c r="G38" s="43">
        <v>57</v>
      </c>
      <c r="H38" s="43">
        <v>185</v>
      </c>
      <c r="I38" s="43">
        <v>130</v>
      </c>
      <c r="J38" s="30" t="s">
        <v>189</v>
      </c>
      <c r="K38" s="43">
        <v>1</v>
      </c>
      <c r="L38" s="143" t="s">
        <v>51</v>
      </c>
      <c r="M38" s="144">
        <f t="shared" si="0"/>
        <v>68.111999999999995</v>
      </c>
      <c r="N38" s="145" t="str">
        <f>VLOOKUP(C38,'Trips&amp;Operators'!$C$1:$G$99999,5,FALSE)</f>
        <v>BRANNON JEFFREY</v>
      </c>
      <c r="O38" s="194" t="s">
        <v>328</v>
      </c>
      <c r="P38" s="146" t="s">
        <v>997</v>
      </c>
      <c r="Q38" s="30"/>
      <c r="R38" s="89" t="str">
        <f>VLOOKUP(C38,'Train Runs'!$A$13:$AE$9938,31,0)</f>
        <v>aws s3 cp s3://rtdc.mdm.uploadarchive.raw/RTDC4001/ "%USERPROFILE%\AppData\Local\Temp\OnboardLogs"\RTDC4001\2017-03-01 --exclude "*" --recursive --include "*20170301*" &amp; "%USERPROFILE%\Documents\GitHub\mrs-test-scripts\Headless Mode &amp; Sideloading\WalkAndUnGZ.bat" "%USERPROFILE%\AppData\Local\Temp\OnboardLogs"\RTDC4001\2017-03-01 &amp; aws s3 cp s3://rtdc.mdm.uploadarchive.raw/RTDC4001/ "%USERPROFILE%\AppData\Local\Temp\OnboardLogs"\RTDC4001\2017-03-02 --exclude "*" --recursive --include "*20170302*" &amp; "%USERPROFILE%\Documents\GitHub\mrs-test-scripts\Headless Mode &amp; Sideloading\WalkAndUnGZ.bat" "%USERPROFILE%\AppData\Local\Temp\OnboardLogs"\RTDC4001\2017-03-02</v>
      </c>
      <c r="S38" s="92" t="str">
        <f>VLOOKUP(C38,'Train Runs'!$A$13:$AE$9938,22,0)</f>
        <v>https://d0f6bd738d7f1b3e5a7ca70fe4ff75f0.us-east-1.aws.found.io/app/kibana#/discover/Steve-Slow-Train-Analysis-(2080s-and-2083s)?_g=(refreshInterval:(display:Off,pause:!f,section:0,value:0),time:(from:'2017-03-01T14:08:35-0700',mode:absolute,to:'2017-03-01T16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8" s="94" t="str">
        <f t="shared" si="1"/>
        <v>"C:\Program Files (x86)\AstroGrep\AstroGrep.exe" /spath="%USERPROFILE%\AppData\Local\Temp\OnboardLogs" /stypes="*4001*201703012*" /stext=" 22:.+((SYSTEM_STATE.+slice.+state.+changed )|(ment ac)|(multiple cpu faults)|(system.+state.+changed )|(\[timeout)|(PRM\|1\|D)|(kpr)|(kdp)|(\|lc)|(penalty))" /e /r /s</v>
      </c>
      <c r="U38" s="9" t="str">
        <f t="shared" si="2"/>
        <v>4001</v>
      </c>
      <c r="V38" s="32">
        <f t="shared" si="3"/>
        <v>42795.952789351846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{"issue":{"subject":"Banner w/o braking","project_id":79,"tracker_id":40,"status_id":1,"priority_id":2,"assigned_to_id":23,"start_date":"2017-03-01","description":"","custom_fields":[{"id":1,"name":"Subdivision","value":"EC"},{"id":4,"name":"Milepost","value":"0.0001"},{"id":17,"name":"Train ID","value":"186-01"},{"id":16,"name":"Locomotive ID","value":"4001"},{"id":130,"name":"Impact","value":""},{"id":150,"name":"Time of Event (Mountain Time)","value":"15:52:01"},{"id":151,"name":"Denver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9"/>
        <v>grep -hSE -A400 "Enforcement Action" "%USERPROFILE%\AppData\Local\Temp\OnboardLogs"\RTDC4001\*4001*201703012*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"%USERPROFILE%\AppData\Local\Temp\OnboardLogs"\RTDC4001\*4001*201703012* &gt;&gt; 2017-03-01-SliceDisagreementCheck.txt</v>
      </c>
      <c r="AE38" s="157" t="str">
        <f t="shared" si="8"/>
        <v>start /low /b %USERPROFILE%\Documents\GitHub\eaglep3\Utilities\DownloadLogsFromS3.py --loco 4001 --day 2017-03-01</v>
      </c>
      <c r="AF38" s="1"/>
    </row>
    <row r="39" spans="1:32" x14ac:dyDescent="0.25">
      <c r="A39" s="32">
        <v>42795.702951388892</v>
      </c>
      <c r="B39" s="30" t="s">
        <v>447</v>
      </c>
      <c r="C39" s="30" t="s">
        <v>460</v>
      </c>
      <c r="D39" s="30" t="s">
        <v>49</v>
      </c>
      <c r="E39" s="30" t="s">
        <v>188</v>
      </c>
      <c r="F39" s="43">
        <v>0</v>
      </c>
      <c r="G39" s="43">
        <v>55</v>
      </c>
      <c r="H39" s="43">
        <v>183</v>
      </c>
      <c r="I39" s="43">
        <v>132</v>
      </c>
      <c r="J39" s="30" t="s">
        <v>189</v>
      </c>
      <c r="K39" s="43">
        <v>1</v>
      </c>
      <c r="L39" s="143" t="s">
        <v>51</v>
      </c>
      <c r="M39" s="144">
        <f t="shared" ref="M39:M70" si="10">CONVERT((I39-K39)/10000,"mi","ft")*IF(L39="Increasing Mileposts (1)",-1,1)</f>
        <v>69.168000000000006</v>
      </c>
      <c r="N39" s="145" t="str">
        <f>VLOOKUP(C39,'Trips&amp;Operators'!$C$1:$G$99999,5,FALSE)</f>
        <v>HELVIE ADAM</v>
      </c>
      <c r="O39" s="194" t="s">
        <v>185</v>
      </c>
      <c r="P39" s="146"/>
      <c r="Q39" s="30"/>
      <c r="R39" s="89" t="str">
        <f>VLOOKUP(C39,'Train Runs'!$A$13:$AE$9938,31,0)</f>
        <v>aws s3 cp s3://rtdc.mdm.uploadarchive.raw/RTDC4021/ "%USERPROFILE%\AppData\Local\Temp\OnboardLogs"\RTDC4021\2017-03-01 --exclude "*" --recursive --include "*20170301*" &amp; "%USERPROFILE%\Documents\GitHub\mrs-test-scripts\Headless Mode &amp; Sideloading\WalkAndUnGZ.bat" "%USERPROFILE%\AppData\Local\Temp\OnboardLogs"\RTDC4021\2017-03-01 &amp; 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</v>
      </c>
      <c r="S39" s="92" t="str">
        <f>VLOOKUP(C39,'Train Runs'!$A$13:$AE$9938,22,0)</f>
        <v>https://d0f6bd738d7f1b3e5a7ca70fe4ff75f0.us-east-1.aws.found.io/app/kibana#/discover/Steve-Slow-Train-Analysis-(2080s-and-2083s)?_g=(refreshInterval:(display:Off,pause:!f,section:0,value:0),time:(from:'2017-03-01T15:03:11-0700',mode:absolute,to:'2017-03-01T17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9" s="94" t="str">
        <f t="shared" ref="T39:T70" si="11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/stypes="*4021*201703012*" /stext=" 23:.+((SYSTEM_STATE.+slice.+state.+changed )|(ment ac)|(multiple cpu faults)|(system.+state.+changed )|(\[timeout)|(PRM\|1\|D)|(kpr)|(kdp)|(\|lc)|(penalty))" /e /r /s</v>
      </c>
      <c r="U39" s="9" t="str">
        <f t="shared" ref="U39:U59" si="12">MID(B39,13,4)</f>
        <v>4021</v>
      </c>
      <c r="V39" s="32">
        <f t="shared" ref="V39:V59" si="13">A39-utc_offset/24</f>
        <v>42795.994618055556</v>
      </c>
      <c r="W39" s="46" t="str">
        <f t="shared" ref="W39:W59" si="14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59" si="15">IF(AND(E39="TRACK WARRANT AUTHORITY",G39&lt;10),"OMIT","KEEP")</f>
        <v>KEEP</v>
      </c>
      <c r="Y39" s="108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{"issue":{"subject":"","project_id":79,"tracker_id":40,"status_id":1,"priority_id":2,"assigned_to_id":23,"start_date":"2017-03-01","description":"","custom_fields":[{"id":1,"name":"Subdivision","value":"EC"},{"id":4,"name":"Milepost","value":"0.0001"},{"id":17,"name":"Train ID","value":"194-01"},{"id":16,"name":"Locomotive ID","value":"4021"},{"id":130,"name":"Impact","value":""},{"id":150,"name":"Time of Event (Mountain Time)","value":"16:52:15"},{"id":151,"name":"Denver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9"/>
        <v>grep -hSE -A400 "Enforcement Action" "%USERPROFILE%\AppData\Local\Temp\OnboardLogs"\RTDC4021\*4021*201703012*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"%USERPROFILE%\AppData\Local\Temp\OnboardLogs"\RTDC4021\*4021*201703012* &gt;&gt; 2017-03-01-SliceDisagreementCheck.txt</v>
      </c>
      <c r="AE39" s="157" t="str">
        <f t="shared" ref="AE39:AE59" si="17">"start /low /b "&amp;dls3logs&amp;" --loco "&amp;U39&amp;" --day "&amp;TEXT(V39,"YYYY-MM-DD")</f>
        <v>start /low /b %USERPROFILE%\Documents\GitHub\eaglep3\Utilities\DownloadLogsFromS3.py --loco 4021 --day 2017-03-01</v>
      </c>
      <c r="AF39" s="1"/>
    </row>
    <row r="40" spans="1:32" x14ac:dyDescent="0.25">
      <c r="A40" s="32">
        <v>42795.744930555556</v>
      </c>
      <c r="B40" s="30" t="s">
        <v>429</v>
      </c>
      <c r="C40" s="30" t="s">
        <v>463</v>
      </c>
      <c r="D40" s="30" t="s">
        <v>49</v>
      </c>
      <c r="E40" s="30" t="s">
        <v>188</v>
      </c>
      <c r="F40" s="43">
        <v>0</v>
      </c>
      <c r="G40" s="43">
        <v>48</v>
      </c>
      <c r="H40" s="43">
        <v>176</v>
      </c>
      <c r="I40" s="43">
        <v>130</v>
      </c>
      <c r="J40" s="30" t="s">
        <v>189</v>
      </c>
      <c r="K40" s="43">
        <v>1</v>
      </c>
      <c r="L40" s="143" t="s">
        <v>51</v>
      </c>
      <c r="M40" s="144">
        <f t="shared" si="10"/>
        <v>68.111999999999995</v>
      </c>
      <c r="N40" s="145" t="str">
        <f>VLOOKUP(C40,'Trips&amp;Operators'!$C$1:$G$99999,5,FALSE)</f>
        <v>CLARK KATHLEEN</v>
      </c>
      <c r="O40" s="194" t="s">
        <v>185</v>
      </c>
      <c r="P40" s="146"/>
      <c r="Q40" s="30"/>
      <c r="R40" s="89" t="str">
        <f>VLOOKUP(C40,'Train Runs'!$A$13:$AE$9938,31,0)</f>
        <v>aws s3 cp s3://rtdc.mdm.uploadarchive.raw/RTDC4023/ "%USERPROFILE%\AppData\Local\Temp\OnboardLogs"\RTDC4023\2017-03-01 --exclude "*" --recursive --include "*20170301*" &amp; "%USERPROFILE%\Documents\GitHub\mrs-test-scripts\Headless Mode &amp; Sideloading\WalkAndUnGZ.bat" "%USERPROFILE%\AppData\Local\Temp\OnboardLogs"\RTDC4023\2017-03-01 &amp; aws s3 cp s3://rtdc.mdm.uploadarchive.raw/RTDC4023/ "%USERPROFILE%\AppData\Local\Temp\OnboardLogs"\RTDC4023\2017-03-02 --exclude "*" --recursive --include "*20170302*" &amp; "%USERPROFILE%\Documents\GitHub\mrs-test-scripts\Headless Mode &amp; Sideloading\WalkAndUnGZ.bat" "%USERPROFILE%\AppData\Local\Temp\OnboardLogs"\RTDC4023\2017-03-02</v>
      </c>
      <c r="S40" s="92" t="str">
        <f>VLOOKUP(C40,'Train Runs'!$A$13:$AE$9938,22,0)</f>
        <v>https://d0f6bd738d7f1b3e5a7ca70fe4ff75f0.us-east-1.aws.found.io/app/kibana#/discover/Steve-Slow-Train-Analysis-(2080s-and-2083s)?_g=(refreshInterval:(display:Off,pause:!f,section:0,value:0),time:(from:'2017-03-01T16:04:49-0700',mode:absolute,to:'2017-03-01T18:52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0" s="94" t="str">
        <f t="shared" si="11"/>
        <v>"C:\Program Files (x86)\AstroGrep\AstroGrep.exe" /spath="%USERPROFILE%\AppData\Local\Temp\OnboardLogs" /stypes="*4023*201703020*" /stext=" 00:.+((SYSTEM_STATE.+slice.+state.+changed )|(ment ac)|(multiple cpu faults)|(system.+state.+changed )|(\[timeout)|(PRM\|1\|D)|(kpr)|(kdp)|(\|lc)|(penalty))" /e /r /s</v>
      </c>
      <c r="U40" s="9" t="str">
        <f t="shared" si="12"/>
        <v>4023</v>
      </c>
      <c r="V40" s="32">
        <f t="shared" si="13"/>
        <v>42796.036597222221</v>
      </c>
      <c r="W40" s="46" t="str">
        <f t="shared" si="14"/>
        <v>EC</v>
      </c>
      <c r="X40" s="46" t="str">
        <f t="shared" si="15"/>
        <v>KEEP</v>
      </c>
      <c r="Y40" s="108" t="str">
        <f t="shared" si="16"/>
        <v>echo {"issue":{"subject":"","project_id":79,"tracker_id":40,"status_id":1,"priority_id":2,"assigned_to_id":23,"start_date":"2017-03-01","description":"","custom_fields":[{"id":1,"name":"Subdivision","value":"EC"},{"id":4,"name":"Milepost","value":"0.0001"},{"id":17,"name":"Train ID","value":"202-01"},{"id":16,"name":"Locomotive ID","value":"4023"},{"id":130,"name":"Impact","value":""},{"id":150,"name":"Time of Event (Mountain Time)","value":"17:52:42"},{"id":151,"name":"Denver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9"/>
        <v>grep -hSE -A400 "Enforcement Action" "%USERPROFILE%\AppData\Local\Temp\OnboardLogs"\RTDC4023\*4023*201703020*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"%USERPROFILE%\AppData\Local\Temp\OnboardLogs"\RTDC4023\*4023*201703020* &gt;&gt; 2017-03-01-SliceDisagreementCheck.txt</v>
      </c>
      <c r="AE40" s="157" t="str">
        <f t="shared" si="17"/>
        <v>start /low /b %USERPROFILE%\Documents\GitHub\eaglep3\Utilities\DownloadLogsFromS3.py --loco 4023 --day 2017-03-02</v>
      </c>
      <c r="AF40" s="1"/>
    </row>
    <row r="41" spans="1:32" x14ac:dyDescent="0.25">
      <c r="A41" s="32">
        <v>42795.257430555554</v>
      </c>
      <c r="B41" s="30" t="s">
        <v>431</v>
      </c>
      <c r="C41" s="30" t="s">
        <v>432</v>
      </c>
      <c r="D41" s="30" t="s">
        <v>49</v>
      </c>
      <c r="E41" s="30" t="s">
        <v>188</v>
      </c>
      <c r="F41" s="43">
        <v>0</v>
      </c>
      <c r="G41" s="43">
        <v>74</v>
      </c>
      <c r="H41" s="43">
        <v>233219</v>
      </c>
      <c r="I41" s="43">
        <v>233281</v>
      </c>
      <c r="J41" s="30" t="s">
        <v>189</v>
      </c>
      <c r="K41" s="43">
        <v>233491</v>
      </c>
      <c r="L41" s="143" t="s">
        <v>50</v>
      </c>
      <c r="M41" s="144">
        <f t="shared" si="10"/>
        <v>110.88</v>
      </c>
      <c r="N41" s="145" t="str">
        <f>VLOOKUP(C41,'Trips&amp;Operators'!$C$1:$G$99999,5,FALSE)</f>
        <v>STARKS ANGELINA</v>
      </c>
      <c r="O41" s="194" t="s">
        <v>185</v>
      </c>
      <c r="P41" s="146"/>
      <c r="Q41" s="30"/>
      <c r="R41" s="89" t="str">
        <f>VLOOKUP(C41,'Train Runs'!$A$13:$AE$9938,31,0)</f>
        <v>aws s3 cp s3://rtdc.mdm.uploadarchive.raw/RTDC4002/ "%USERPROFILE%\AppData\Local\Temp\OnboardLogs"\RTDC4002\2017-03-01 --exclude "*" --recursive --include "*20170301*" &amp; "%USERPROFILE%\Documents\GitHub\mrs-test-scripts\Headless Mode &amp; Sideloading\WalkAndUnGZ.bat" "%USERPROFILE%\AppData\Local\Temp\OnboardLogs"\RTDC4002\2017-03-01 &amp; aws s3 cp s3://rtdc.mdm.uploadarchive.raw/RTDC4002/ "%USERPROFILE%\AppData\Local\Temp\OnboardLogs"\RTDC4002\2017-03-02 --exclude "*" --recursive --include "*20170302*" &amp; "%USERPROFILE%\Documents\GitHub\mrs-test-scripts\Headless Mode &amp; Sideloading\WalkAndUnGZ.bat" "%USERPROFILE%\AppData\Local\Temp\OnboardLogs"\RTDC4002\2017-03-02</v>
      </c>
      <c r="S41" s="92" t="str">
        <f>VLOOKUP(C41,'Train Runs'!$A$13:$AE$9938,22,0)</f>
        <v>https://d0f6bd738d7f1b3e5a7ca70fe4ff75f0.us-east-1.aws.found.io/app/kibana#/discover/Steve-Slow-Train-Analysis-(2080s-and-2083s)?_g=(refreshInterval:(display:Off,pause:!f,section:0,value:0),time:(from:'2017-03-01T04:28:27-0700',mode:absolute,to:'2017-03-01T07:10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1" s="94" t="str">
        <f t="shared" si="11"/>
        <v>"C:\Program Files (x86)\AstroGrep\AstroGrep.exe" /spath="%USERPROFILE%\AppData\Local\Temp\OnboardLogs" /stypes="*4002*201703011*" /stext=" 13:.+((SYSTEM_STATE.+slice.+state.+changed )|(ment ac)|(multiple cpu faults)|(system.+state.+changed )|(\[timeout)|(PRM\|1\|D)|(kpr)|(kdp)|(\|lc)|(penalty))" /e /r /s</v>
      </c>
      <c r="U41" s="9" t="str">
        <f t="shared" si="12"/>
        <v>4002</v>
      </c>
      <c r="V41" s="32">
        <f t="shared" si="13"/>
        <v>42795.549097222218</v>
      </c>
      <c r="W41" s="46" t="str">
        <f t="shared" si="14"/>
        <v>EC</v>
      </c>
      <c r="X41" s="46" t="str">
        <f t="shared" si="15"/>
        <v>KEEP</v>
      </c>
      <c r="Y41" s="108" t="str">
        <f t="shared" si="16"/>
        <v>echo {"issue":{"subject":"","project_id":79,"tracker_id":40,"status_id":1,"priority_id":2,"assigned_to_id":23,"start_date":"2017-03-01","description":"","custom_fields":[{"id":1,"name":"Subdivision","value":"EC"},{"id":4,"name":"Milepost","value":"23.3491"},{"id":17,"name":"Train ID","value":"115-01"},{"id":16,"name":"Locomotive ID","value":"4002"},{"id":130,"name":"Impact","value":""},{"id":150,"name":"Time of Event (Mountain Time)","value":"06:10:42"},{"id":151,"name":"Denver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9"/>
        <v>grep -hSE -A400 "Enforcement Action" "%USERPROFILE%\AppData\Local\Temp\OnboardLogs"\RTDC4002\*4002*201703011*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"%USERPROFILE%\AppData\Local\Temp\OnboardLogs"\RTDC4002\*4002*201703011* &gt;&gt; 2017-03-01-SliceDisagreementCheck.txt</v>
      </c>
      <c r="AE41" s="157" t="str">
        <f t="shared" si="17"/>
        <v>start /low /b %USERPROFILE%\Documents\GitHub\eaglep3\Utilities\DownloadLogsFromS3.py --loco 4002 --day 2017-03-01</v>
      </c>
      <c r="AF41" s="1"/>
    </row>
    <row r="42" spans="1:32" x14ac:dyDescent="0.25">
      <c r="A42" s="32">
        <v>42796.027337962965</v>
      </c>
      <c r="B42" s="30" t="s">
        <v>192</v>
      </c>
      <c r="C42" s="30" t="s">
        <v>474</v>
      </c>
      <c r="D42" s="30" t="s">
        <v>49</v>
      </c>
      <c r="E42" s="30" t="s">
        <v>188</v>
      </c>
      <c r="F42" s="43">
        <v>0</v>
      </c>
      <c r="G42" s="43">
        <v>149</v>
      </c>
      <c r="H42" s="43">
        <v>232855</v>
      </c>
      <c r="I42" s="43">
        <v>233032</v>
      </c>
      <c r="J42" s="30" t="s">
        <v>189</v>
      </c>
      <c r="K42" s="43">
        <v>233491</v>
      </c>
      <c r="L42" s="143" t="s">
        <v>50</v>
      </c>
      <c r="M42" s="144">
        <f t="shared" si="10"/>
        <v>242.352</v>
      </c>
      <c r="N42" s="145" t="str">
        <f>VLOOKUP(C42,'Trips&amp;Operators'!$C$1:$G$99999,5,FALSE)</f>
        <v>BROWN JACOB</v>
      </c>
      <c r="O42" s="194" t="s">
        <v>185</v>
      </c>
      <c r="P42" s="146"/>
      <c r="Q42" s="30"/>
      <c r="R42" s="89" t="str">
        <f>VLOOKUP(C42,'Train Runs'!$A$13:$AE$9938,31,0)</f>
        <v>aws s3 cp s3://rtdc.mdm.uploadarchive.raw/RTDC4011/ "%USERPROFILE%\AppData\Local\Temp\OnboardLogs"\RTDC4011\2017-03-02 --exclude "*" --recursive --include "*20170302*" &amp; "%USERPROFILE%\Documents\GitHub\mrs-test-scripts\Headless Mode &amp; Sideloading\WalkAndUnGZ.bat" "%USERPROFILE%\AppData\Local\Temp\OnboardLogs"\RTDC4011\2017-03-02 &amp; aws s3 cp s3://rtdc.mdm.uploadarchive.raw/RTDC4011/ "%USERPROFILE%\AppData\Local\Temp\OnboardLogs"\RTDC4011\2017-03-03 --exclude "*" --recursive --include "*20170303*" &amp; "%USERPROFILE%\Documents\GitHub\mrs-test-scripts\Headless Mode &amp; Sideloading\WalkAndUnGZ.bat" "%USERPROFILE%\AppData\Local\Temp\OnboardLogs"\RTDC4011\2017-03-03</v>
      </c>
      <c r="S42" s="92" t="str">
        <f>VLOOKUP(C42,'Train Runs'!$A$13:$AE$9938,22,0)</f>
        <v>https://d0f6bd738d7f1b3e5a7ca70fe4ff75f0.us-east-1.aws.found.io/app/kibana#/discover/Steve-Slow-Train-Analysis-(2080s-and-2083s)?_g=(refreshInterval:(display:Off,pause:!f,section:0,value:0),time:(from:'2017-03-01T22:46:17-0700',mode:absolute,to:'2017-03-02T01:39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2" s="94" t="str">
        <f t="shared" si="11"/>
        <v>"C:\Program Files (x86)\AstroGrep\AstroGrep.exe" /spath="%USERPROFILE%\AppData\Local\Temp\OnboardLogs" /stypes="*4011*201703020*" /stext=" 07:.+((SYSTEM_STATE.+slice.+state.+changed )|(ment ac)|(multiple cpu faults)|(system.+state.+changed )|(\[timeout)|(PRM\|1\|D)|(kpr)|(kdp)|(\|lc)|(penalty))" /e /r /s</v>
      </c>
      <c r="U42" s="9" t="str">
        <f t="shared" si="12"/>
        <v>4011</v>
      </c>
      <c r="V42" s="32">
        <f t="shared" si="13"/>
        <v>42796.319004629629</v>
      </c>
      <c r="W42" s="46" t="str">
        <f t="shared" si="14"/>
        <v>EC</v>
      </c>
      <c r="X42" s="46" t="str">
        <f t="shared" si="15"/>
        <v>KEEP</v>
      </c>
      <c r="Y42" s="108" t="str">
        <f t="shared" si="16"/>
        <v>echo {"issue":{"subject":"","project_id":79,"tracker_id":40,"status_id":1,"priority_id":2,"assigned_to_id":23,"start_date":"2017-03-02","description":"","custom_fields":[{"id":1,"name":"Subdivision","value":"EC"},{"id":4,"name":"Milepost","value":"23.3491"},{"id":17,"name":"Train ID","value":"241-01"},{"id":16,"name":"Locomotive ID","value":"4011"},{"id":130,"name":"Impact","value":""},{"id":150,"name":"Time of Event (Mountain Time)","value":"00:39:22"},{"id":151,"name":"Denver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9"/>
        <v>grep -hSE -A400 "Enforcement Action" "%USERPROFILE%\AppData\Local\Temp\OnboardLogs"\RTDC4011\*4011*201703020*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"%USERPROFILE%\AppData\Local\Temp\OnboardLogs"\RTDC4011\*4011*201703020* &gt;&gt; 2017-03-01-SliceDisagreementCheck.txt</v>
      </c>
      <c r="AE42" s="157" t="str">
        <f t="shared" si="17"/>
        <v>start /low /b %USERPROFILE%\Documents\GitHub\eaglep3\Utilities\DownloadLogsFromS3.py --loco 4011 --day 2017-03-02</v>
      </c>
      <c r="AF42" s="1"/>
    </row>
    <row r="43" spans="1:32" x14ac:dyDescent="0.25">
      <c r="A43" s="32">
        <v>42796.027870370373</v>
      </c>
      <c r="B43" s="30" t="s">
        <v>192</v>
      </c>
      <c r="C43" s="30" t="s">
        <v>474</v>
      </c>
      <c r="D43" s="30" t="s">
        <v>49</v>
      </c>
      <c r="E43" s="30" t="s">
        <v>188</v>
      </c>
      <c r="F43" s="43">
        <v>0</v>
      </c>
      <c r="G43" s="43">
        <v>63</v>
      </c>
      <c r="H43" s="43">
        <v>233298</v>
      </c>
      <c r="I43" s="43">
        <v>233374</v>
      </c>
      <c r="J43" s="30" t="s">
        <v>189</v>
      </c>
      <c r="K43" s="43">
        <v>233491</v>
      </c>
      <c r="L43" s="143" t="s">
        <v>50</v>
      </c>
      <c r="M43" s="144">
        <f t="shared" si="10"/>
        <v>61.776000000000003</v>
      </c>
      <c r="N43" s="145" t="str">
        <f>VLOOKUP(C43,'Trips&amp;Operators'!$C$1:$G$99999,5,FALSE)</f>
        <v>BROWN JACOB</v>
      </c>
      <c r="O43" s="194" t="s">
        <v>185</v>
      </c>
      <c r="P43" s="146"/>
      <c r="Q43" s="30"/>
      <c r="R43" s="89" t="str">
        <f>VLOOKUP(C43,'Train Runs'!$A$13:$AE$9938,31,0)</f>
        <v>aws s3 cp s3://rtdc.mdm.uploadarchive.raw/RTDC4011/ "%USERPROFILE%\AppData\Local\Temp\OnboardLogs"\RTDC4011\2017-03-02 --exclude "*" --recursive --include "*20170302*" &amp; "%USERPROFILE%\Documents\GitHub\mrs-test-scripts\Headless Mode &amp; Sideloading\WalkAndUnGZ.bat" "%USERPROFILE%\AppData\Local\Temp\OnboardLogs"\RTDC4011\2017-03-02 &amp; aws s3 cp s3://rtdc.mdm.uploadarchive.raw/RTDC4011/ "%USERPROFILE%\AppData\Local\Temp\OnboardLogs"\RTDC4011\2017-03-03 --exclude "*" --recursive --include "*20170303*" &amp; "%USERPROFILE%\Documents\GitHub\mrs-test-scripts\Headless Mode &amp; Sideloading\WalkAndUnGZ.bat" "%USERPROFILE%\AppData\Local\Temp\OnboardLogs"\RTDC4011\2017-03-03</v>
      </c>
      <c r="S43" s="92" t="str">
        <f>VLOOKUP(C43,'Train Runs'!$A$13:$AE$9938,22,0)</f>
        <v>https://d0f6bd738d7f1b3e5a7ca70fe4ff75f0.us-east-1.aws.found.io/app/kibana#/discover/Steve-Slow-Train-Analysis-(2080s-and-2083s)?_g=(refreshInterval:(display:Off,pause:!f,section:0,value:0),time:(from:'2017-03-01T22:46:17-0700',mode:absolute,to:'2017-03-02T01:39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3" s="94" t="str">
        <f t="shared" si="11"/>
        <v>"C:\Program Files (x86)\AstroGrep\AstroGrep.exe" /spath="%USERPROFILE%\AppData\Local\Temp\OnboardLogs" /stypes="*4011*201703020*" /stext=" 07:.+((SYSTEM_STATE.+slice.+state.+changed )|(ment ac)|(multiple cpu faults)|(system.+state.+changed )|(\[timeout)|(PRM\|1\|D)|(kpr)|(kdp)|(\|lc)|(penalty))" /e /r /s</v>
      </c>
      <c r="U43" s="9" t="str">
        <f t="shared" si="12"/>
        <v>4011</v>
      </c>
      <c r="V43" s="32">
        <f t="shared" si="13"/>
        <v>42796.319537037038</v>
      </c>
      <c r="W43" s="46" t="str">
        <f t="shared" si="14"/>
        <v>EC</v>
      </c>
      <c r="X43" s="46" t="str">
        <f t="shared" si="15"/>
        <v>KEEP</v>
      </c>
      <c r="Y43" s="108" t="str">
        <f t="shared" si="16"/>
        <v>echo {"issue":{"subject":"","project_id":79,"tracker_id":40,"status_id":1,"priority_id":2,"assigned_to_id":23,"start_date":"2017-03-02","description":"","custom_fields":[{"id":1,"name":"Subdivision","value":"EC"},{"id":4,"name":"Milepost","value":"23.3491"},{"id":17,"name":"Train ID","value":"241-01"},{"id":16,"name":"Locomotive ID","value":"4011"},{"id":130,"name":"Impact","value":""},{"id":150,"name":"Time of Event (Mountain Time)","value":"00:40:08"},{"id":151,"name":"Denver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9"/>
        <v>grep -hSE -A400 "Enforcement Action" "%USERPROFILE%\AppData\Local\Temp\OnboardLogs"\RTDC4011\*4011*201703020*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"%USERPROFILE%\AppData\Local\Temp\OnboardLogs"\RTDC4011\*4011*201703020* &gt;&gt; 2017-03-01-SliceDisagreementCheck.txt</v>
      </c>
      <c r="AE43" s="157" t="str">
        <f t="shared" si="17"/>
        <v>start /low /b %USERPROFILE%\Documents\GitHub\eaglep3\Utilities\DownloadLogsFromS3.py --loco 4011 --day 2017-03-02</v>
      </c>
      <c r="AF43" s="1"/>
    </row>
    <row r="44" spans="1:32" x14ac:dyDescent="0.25">
      <c r="A44" s="32">
        <v>42795.434467592589</v>
      </c>
      <c r="B44" s="30" t="s">
        <v>231</v>
      </c>
      <c r="C44" s="30" t="s">
        <v>444</v>
      </c>
      <c r="D44" s="30" t="s">
        <v>49</v>
      </c>
      <c r="E44" s="30" t="s">
        <v>262</v>
      </c>
      <c r="F44" s="43">
        <v>300</v>
      </c>
      <c r="G44" s="43">
        <v>486</v>
      </c>
      <c r="H44" s="43">
        <v>18514</v>
      </c>
      <c r="I44" s="43">
        <v>19991</v>
      </c>
      <c r="J44" s="30" t="s">
        <v>263</v>
      </c>
      <c r="K44" s="43">
        <v>21312</v>
      </c>
      <c r="L44" s="143" t="s">
        <v>50</v>
      </c>
      <c r="M44" s="144">
        <f t="shared" si="10"/>
        <v>697.48800000000006</v>
      </c>
      <c r="N44" s="145" t="str">
        <f>VLOOKUP(C44,'Trips&amp;Operators'!$C$1:$G$99999,5,FALSE)</f>
        <v>LOZA FIDEL</v>
      </c>
      <c r="O44" s="194" t="s">
        <v>185</v>
      </c>
      <c r="P44" s="146"/>
      <c r="Q44" s="30"/>
      <c r="R44" s="89" t="str">
        <f>VLOOKUP(C44,'Train Runs'!$A$13:$AE$9938,31,0)</f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S44" s="92" t="str">
        <f>VLOOKUP(C44,'Train Runs'!$A$13:$AE$9938,22,0)</f>
        <v>https://d0f6bd738d7f1b3e5a7ca70fe4ff75f0.us-east-1.aws.found.io/app/kibana#/discover/Steve-Slow-Train-Analysis-(2080s-and-2083s)?_g=(refreshInterval:(display:Off,pause:!f,section:0,value:0),time:(from:'2017-03-01T09:17:15-0700',mode:absolute,to:'2017-03-01T11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4" s="94" t="str">
        <f t="shared" si="11"/>
        <v>"C:\Program Files (x86)\AstroGrep\AstroGrep.exe" /spath="%USERPROFILE%\AppData\Local\Temp\OnboardLogs" /stypes="*4025*201703011*" /stext=" 17:.+((SYSTEM_STATE.+slice.+state.+changed )|(ment ac)|(multiple cpu faults)|(system.+state.+changed )|(\[timeout)|(PRM\|1\|D)|(kpr)|(kdp)|(\|lc)|(penalty))" /e /r /s</v>
      </c>
      <c r="U44" s="9" t="str">
        <f t="shared" si="12"/>
        <v>4025</v>
      </c>
      <c r="V44" s="32">
        <f t="shared" si="13"/>
        <v>42795.726134259254</v>
      </c>
      <c r="W44" s="46" t="str">
        <f t="shared" si="14"/>
        <v>NW</v>
      </c>
      <c r="X44" s="46" t="str">
        <f t="shared" si="15"/>
        <v>KEEP</v>
      </c>
      <c r="Y44" s="108" t="str">
        <f t="shared" si="16"/>
        <v>echo {"issue":{"subject":"","project_id":79,"tracker_id":40,"status_id":1,"priority_id":2,"assigned_to_id":23,"start_date":"2017-03-01","description":"","custom_fields":[{"id":1,"name":"Subdivision","value":"NW"},{"id":4,"name":"Milepost","value":"2.1312"},{"id":17,"name":"Train ID","value":"815-01"},{"id":16,"name":"Locomotive ID","value":"4025"},{"id":130,"name":"Impact","value":""},{"id":150,"name":"Time of Event (Mountain Time)","value":"10:25:38"},{"id":151,"name":"Denver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9"/>
        <v>grep -hSE -A400 "Enforcement Action" "%USERPROFILE%\AppData\Local\Temp\OnboardLogs"\RTDC4025\*4025*201703011*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"%USERPROFILE%\AppData\Local\Temp\OnboardLogs"\RTDC4025\*4025*201703011* &gt;&gt; 2017-03-01-SliceDisagreementCheck.txt</v>
      </c>
      <c r="AE44" s="157" t="str">
        <f t="shared" si="17"/>
        <v>start /low /b %USERPROFILE%\Documents\GitHub\eaglep3\Utilities\DownloadLogsFromS3.py --loco 4025 --day 2017-03-01</v>
      </c>
      <c r="AF44" s="1"/>
    </row>
    <row r="45" spans="1:32" x14ac:dyDescent="0.25">
      <c r="A45" s="32">
        <v>42795.264641203707</v>
      </c>
      <c r="B45" s="30" t="s">
        <v>281</v>
      </c>
      <c r="C45" s="30" t="s">
        <v>434</v>
      </c>
      <c r="D45" s="30" t="s">
        <v>49</v>
      </c>
      <c r="E45" s="30" t="s">
        <v>186</v>
      </c>
      <c r="F45" s="43">
        <v>0</v>
      </c>
      <c r="G45" s="43">
        <v>344</v>
      </c>
      <c r="H45" s="43">
        <v>8854</v>
      </c>
      <c r="I45" s="43">
        <v>8235</v>
      </c>
      <c r="J45" s="30" t="s">
        <v>187</v>
      </c>
      <c r="K45" s="43">
        <v>6799</v>
      </c>
      <c r="L45" s="143" t="s">
        <v>51</v>
      </c>
      <c r="M45" s="144">
        <f t="shared" si="10"/>
        <v>758.20799999999997</v>
      </c>
      <c r="N45" s="145" t="str">
        <f>VLOOKUP(C45,'Trips&amp;Operators'!$C$1:$G$99999,5,FALSE)</f>
        <v>YORK EDGAR</v>
      </c>
      <c r="O45" s="194" t="s">
        <v>185</v>
      </c>
      <c r="P45" s="146" t="s">
        <v>863</v>
      </c>
      <c r="Q45" s="30"/>
      <c r="R45" s="89" t="str">
        <f>VLOOKUP(C45,'Train Runs'!$A$13:$AE$9938,31,0)</f>
        <v>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 &amp; 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</v>
      </c>
      <c r="S45" s="92" t="str">
        <f>VLOOKUP(C45,'Train Runs'!$A$13:$AE$9938,22,0)</f>
        <v>https://d0f6bd738d7f1b3e5a7ca70fe4ff75f0.us-east-1.aws.found.io/app/kibana#/discover/Steve-Slow-Train-Analysis-(2080s-and-2083s)?_g=(refreshInterval:(display:Off,pause:!f,section:0,value:0),time:(from:'2017-03-01T05:05:49-0700',mode:absolute,to:'2017-03-01T07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5" s="94" t="str">
        <f t="shared" si="11"/>
        <v>"C:\Program Files (x86)\AstroGrep\AstroGrep.exe" /spath="%USERPROFILE%\AppData\Local\Temp\OnboardLogs" /stypes="*4013*201703011*" /stext=" 13:.+((SYSTEM_STATE.+slice.+state.+changed )|(ment ac)|(multiple cpu faults)|(system.+state.+changed )|(\[timeout)|(PRM\|1\|D)|(kpr)|(kdp)|(\|lc)|(penalty))" /e /r /s</v>
      </c>
      <c r="U45" s="9" t="str">
        <f t="shared" si="12"/>
        <v>4013</v>
      </c>
      <c r="V45" s="32">
        <f t="shared" si="13"/>
        <v>42795.556307870371</v>
      </c>
      <c r="W45" s="46" t="str">
        <f t="shared" si="14"/>
        <v>NW</v>
      </c>
      <c r="X45" s="46" t="str">
        <f t="shared" si="15"/>
        <v>KEEP</v>
      </c>
      <c r="Y45" s="108" t="str">
        <f t="shared" si="16"/>
        <v>echo {"issue":{"subject":"RESTRICTING aspect","project_id":79,"tracker_id":40,"status_id":1,"priority_id":2,"assigned_to_id":23,"start_date":"2017-03-01","description":"","custom_fields":[{"id":1,"name":"Subdivision","value":"NW"},{"id":4,"name":"Milepost","value":"0.6799"},{"id":17,"name":"Train ID","value":"802-01"},{"id":16,"name":"Locomotive ID","value":"4013"},{"id":130,"name":"Impact","value":""},{"id":150,"name":"Time of Event (Mountain Time)","value":"06:21:05"},{"id":151,"name":"Denver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9"/>
        <v>grep -hSE -A400 "Enforcement Action" "%USERPROFILE%\AppData\Local\Temp\OnboardLogs"\RTDC4013\*4013*201703011*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"%USERPROFILE%\AppData\Local\Temp\OnboardLogs"\RTDC4013\*4013*201703011* &gt;&gt; 2017-03-01-SliceDisagreementCheck.txt</v>
      </c>
      <c r="AE45" s="157" t="str">
        <f t="shared" si="17"/>
        <v>start /low /b %USERPROFILE%\Documents\GitHub\eaglep3\Utilities\DownloadLogsFromS3.py --loco 4013 --day 2017-03-01</v>
      </c>
      <c r="AF45" s="1"/>
    </row>
    <row r="46" spans="1:32" x14ac:dyDescent="0.25">
      <c r="A46" s="32">
        <v>42795.934340277781</v>
      </c>
      <c r="B46" s="30" t="s">
        <v>231</v>
      </c>
      <c r="C46" s="30" t="s">
        <v>471</v>
      </c>
      <c r="D46" s="30" t="s">
        <v>49</v>
      </c>
      <c r="E46" s="30" t="s">
        <v>186</v>
      </c>
      <c r="F46" s="43">
        <v>0</v>
      </c>
      <c r="G46" s="43">
        <v>544</v>
      </c>
      <c r="H46" s="43">
        <v>16384</v>
      </c>
      <c r="I46" s="43">
        <v>18110</v>
      </c>
      <c r="J46" s="30" t="s">
        <v>187</v>
      </c>
      <c r="K46" s="43">
        <v>18990</v>
      </c>
      <c r="L46" s="143" t="s">
        <v>50</v>
      </c>
      <c r="M46" s="144">
        <f t="shared" si="10"/>
        <v>464.64</v>
      </c>
      <c r="N46" s="145" t="str">
        <f>VLOOKUP(C46,'Trips&amp;Operators'!$C$1:$G$99999,5,FALSE)</f>
        <v>CHANDLER KELVIN</v>
      </c>
      <c r="O46" s="194" t="s">
        <v>328</v>
      </c>
      <c r="P46" s="146" t="s">
        <v>369</v>
      </c>
      <c r="Q46" s="30"/>
      <c r="R46" s="89" t="str">
        <f>VLOOKUP(C46,'Train Runs'!$A$13:$AE$9938,31,0)</f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S46" s="92" t="str">
        <f>VLOOKUP(C46,'Train Runs'!$A$13:$AE$9938,22,0)</f>
        <v>https://d0f6bd738d7f1b3e5a7ca70fe4ff75f0.us-east-1.aws.found.io/app/kibana#/discover/Steve-Slow-Train-Analysis-(2080s-and-2083s)?_g=(refreshInterval:(display:Off,pause:!f,section:0,value:0),time:(from:'2017-03-01T21:15:07-0700',mode:absolute,to:'2017-03-01T23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6" s="94" t="str">
        <f t="shared" si="11"/>
        <v>"C:\Program Files (x86)\AstroGrep\AstroGrep.exe" /spath="%USERPROFILE%\AppData\Local\Temp\OnboardLogs" /stypes="*4025*201703020*" /stext=" 05:.+((SYSTEM_STATE.+slice.+state.+changed )|(ment ac)|(multiple cpu faults)|(system.+state.+changed )|(\[timeout)|(PRM\|1\|D)|(kpr)|(kdp)|(\|lc)|(penalty))" /e /r /s</v>
      </c>
      <c r="U46" s="9" t="str">
        <f t="shared" si="12"/>
        <v>4025</v>
      </c>
      <c r="V46" s="32">
        <f t="shared" si="13"/>
        <v>42796.226006944446</v>
      </c>
      <c r="W46" s="46" t="str">
        <f t="shared" si="14"/>
        <v>NW</v>
      </c>
      <c r="X46" s="46" t="str">
        <f t="shared" si="15"/>
        <v>KEEP</v>
      </c>
      <c r="Y46" s="108" t="str">
        <f t="shared" si="16"/>
        <v>echo {"issue":{"subject":"Wi-MAX data drop","project_id":79,"tracker_id":40,"status_id":1,"priority_id":2,"assigned_to_id":23,"start_date":"2017-03-01","description":"http://stevetu21.github.io/eaglep3/load_kml.html?kml=http://rtdc.gmaps-snips.s3.amazonaws.com/eb927496-5fc4-476d-970b-4c824d850f8b.kml","custom_fields":[{"id":1,"name":"Subdivision","value":"NW"},{"id":4,"name":"Milepost","value":"1.899"},{"id":17,"name":"Train ID","value":"847-01"},{"id":16,"name":"Locomotive ID","value":"4025"},{"id":130,"name":"Impact","value":"Enforcement"},{"id":150,"name":"Time of Event (Mountain Time)","value":"22:25:27"},{"id":151,"name":"Denver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6" s="20" t="s">
        <v>862</v>
      </c>
      <c r="AA46" s="48" t="s">
        <v>124</v>
      </c>
      <c r="AB46" s="48" t="s">
        <v>137</v>
      </c>
      <c r="AC46" s="127" t="str">
        <f t="shared" si="9"/>
        <v>grep -hSE -A400 "Enforcement Action" "%USERPROFILE%\AppData\Local\Temp\OnboardLogs"\RTDC4025\*4025*201703020*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"%USERPROFILE%\AppData\Local\Temp\OnboardLogs"\RTDC4025\*4025*201703020* &gt;&gt; 2017-03-01-SliceDisagreementCheck.txt</v>
      </c>
      <c r="AE46" s="157" t="str">
        <f t="shared" si="17"/>
        <v>start /low /b %USERPROFILE%\Documents\GitHub\eaglep3\Utilities\DownloadLogsFromS3.py --loco 4025 --day 2017-03-02</v>
      </c>
      <c r="AF46" s="1"/>
    </row>
    <row r="47" spans="1:32" x14ac:dyDescent="0.25">
      <c r="A47" s="32">
        <v>42795.75917824074</v>
      </c>
      <c r="B47" s="30" t="s">
        <v>281</v>
      </c>
      <c r="C47" s="30" t="s">
        <v>464</v>
      </c>
      <c r="D47" s="30" t="s">
        <v>98</v>
      </c>
      <c r="E47" s="30" t="s">
        <v>186</v>
      </c>
      <c r="F47" s="43">
        <v>0</v>
      </c>
      <c r="G47" s="43">
        <v>163</v>
      </c>
      <c r="H47" s="43">
        <v>58097</v>
      </c>
      <c r="I47" s="43">
        <v>57872</v>
      </c>
      <c r="J47" s="30" t="s">
        <v>187</v>
      </c>
      <c r="K47" s="43">
        <v>58472</v>
      </c>
      <c r="L47" s="143" t="s">
        <v>51</v>
      </c>
      <c r="M47" s="144">
        <f t="shared" si="10"/>
        <v>-316.8</v>
      </c>
      <c r="N47" s="145" t="str">
        <f>VLOOKUP(C47,'Trips&amp;Operators'!$C$1:$G$99999,5,FALSE)</f>
        <v>CHANDLER KELVIN</v>
      </c>
      <c r="O47" s="194" t="s">
        <v>328</v>
      </c>
      <c r="P47" s="146" t="s">
        <v>427</v>
      </c>
      <c r="Q47" s="30"/>
      <c r="R47" s="89" t="str">
        <f>VLOOKUP(C47,'Train Runs'!$A$13:$AE$9938,31,0)</f>
        <v>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 &amp; 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</v>
      </c>
      <c r="S47" s="92" t="str">
        <f>VLOOKUP(C47,'Train Runs'!$A$13:$AE$9938,22,0)</f>
        <v>https://d0f6bd738d7f1b3e5a7ca70fe4ff75f0.us-east-1.aws.found.io/app/kibana#/discover/Steve-Slow-Train-Analysis-(2080s-and-2083s)?_g=(refreshInterval:(display:Off,pause:!f,section:0,value:0),time:(from:'2017-03-01T17:20:19-0700',mode:absolute,to:'2017-03-01T19:32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7" s="94" t="str">
        <f t="shared" si="11"/>
        <v>"C:\Program Files (x86)\AstroGrep\AstroGrep.exe" /spath="%USERPROFILE%\AppData\Local\Temp\OnboardLogs" /stypes="*4013*201703020*" /stext=" 01:.+((SYSTEM_STATE.+slice.+state.+changed )|(ment ac)|(multiple cpu faults)|(system.+state.+changed )|(\[timeout)|(PRM\|1\|D)|(kpr)|(kdp)|(\|lc)|(penalty))" /e /r /s</v>
      </c>
      <c r="U47" s="9" t="str">
        <f t="shared" si="12"/>
        <v>4013</v>
      </c>
      <c r="V47" s="32">
        <f t="shared" si="13"/>
        <v>42796.050844907404</v>
      </c>
      <c r="W47" s="46" t="str">
        <f t="shared" si="14"/>
        <v>NW</v>
      </c>
      <c r="X47" s="46" t="str">
        <f t="shared" si="15"/>
        <v>KEEP</v>
      </c>
      <c r="Y47" s="108" t="str">
        <f t="shared" si="16"/>
        <v>echo {"issue":{"subject":"Onboard in-route failure","project_id":79,"tracker_id":40,"status_id":1,"priority_id":2,"assigned_to_id":23,"start_date":"2017-03-01","description":"","custom_fields":[{"id":1,"name":"Subdivision","value":"NW"},{"id":4,"name":"Milepost","value":"5.8472"},{"id":17,"name":"Train ID","value":"836-01"},{"id":16,"name":"Locomotive ID","value":"4013"},{"id":130,"name":"Impact","value":""},{"id":150,"name":"Time of Event (Mountain Time)","value":"18:13:13"},{"id":151,"name":"Denver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9"/>
        <v>grep -hSE -A400 "Enforcement Action" "%USERPROFILE%\AppData\Local\Temp\OnboardLogs"\RTDC4013\*4013*201703020*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"%USERPROFILE%\AppData\Local\Temp\OnboardLogs"\RTDC4013\*4013*201703020* &gt;&gt; 2017-03-01-SliceDisagreementCheck.txt</v>
      </c>
      <c r="AE47" s="157" t="str">
        <f t="shared" si="17"/>
        <v>start /low /b %USERPROFILE%\Documents\GitHub\eaglep3\Utilities\DownloadLogsFromS3.py --loco 4013 --day 2017-03-02</v>
      </c>
      <c r="AF47" s="1"/>
    </row>
    <row r="48" spans="1:32" x14ac:dyDescent="0.25">
      <c r="A48" s="32">
        <v>42795.45511574074</v>
      </c>
      <c r="B48" s="30" t="s">
        <v>212</v>
      </c>
      <c r="C48" s="30" t="s">
        <v>446</v>
      </c>
      <c r="D48" s="30" t="s">
        <v>49</v>
      </c>
      <c r="E48" s="30" t="s">
        <v>188</v>
      </c>
      <c r="F48" s="43">
        <v>0</v>
      </c>
      <c r="G48" s="43">
        <v>41</v>
      </c>
      <c r="H48" s="43">
        <v>699</v>
      </c>
      <c r="I48" s="43">
        <v>666</v>
      </c>
      <c r="J48" s="30" t="s">
        <v>189</v>
      </c>
      <c r="K48" s="43">
        <v>575</v>
      </c>
      <c r="L48" s="143" t="s">
        <v>51</v>
      </c>
      <c r="M48" s="144">
        <f t="shared" si="10"/>
        <v>48.048000000000002</v>
      </c>
      <c r="N48" s="145" t="str">
        <f>VLOOKUP(C48,'Trips&amp;Operators'!$C$1:$G$99999,5,FALSE)</f>
        <v>LOZA FIDEL</v>
      </c>
      <c r="O48" s="194" t="s">
        <v>185</v>
      </c>
      <c r="P48" s="146"/>
      <c r="Q48" s="30"/>
      <c r="R48" s="89" t="str">
        <f>VLOOKUP(C48,'Train Runs'!$A$13:$AE$9938,31,0)</f>
        <v>aws s3 cp s3://rtdc.mdm.uploadarchive.raw/RTDC4026/ "%USERPROFILE%\AppData\Local\Temp\OnboardLogs"\RTDC4026\2017-03-01 --exclude "*" --recursive --include "*20170301*" &amp; "%USERPROFILE%\Documents\GitHub\mrs-test-scripts\Headless Mode &amp; Sideloading\WalkAndUnGZ.bat" "%USERPROFILE%\AppData\Local\Temp\OnboardLogs"\RTDC4026\2017-03-01 &amp; 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</v>
      </c>
      <c r="S48" s="92" t="str">
        <f>VLOOKUP(C48,'Train Runs'!$A$13:$AE$9938,22,0)</f>
        <v>https://d0f6bd738d7f1b3e5a7ca70fe4ff75f0.us-east-1.aws.found.io/app/kibana#/discover/Steve-Slow-Train-Analysis-(2080s-and-2083s)?_g=(refreshInterval:(display:Off,pause:!f,section:0,value:0),time:(from:'2017-03-01T09:37:35-0700',mode:absolute,to:'2017-03-01T11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8" s="94" t="str">
        <f t="shared" si="11"/>
        <v>"C:\Program Files (x86)\AstroGrep\AstroGrep.exe" /spath="%USERPROFILE%\AppData\Local\Temp\OnboardLogs" /stypes="*4026*201703011*" /stext=" 17:.+((SYSTEM_STATE.+slice.+state.+changed )|(ment ac)|(multiple cpu faults)|(system.+state.+changed )|(\[timeout)|(PRM\|1\|D)|(kpr)|(kdp)|(\|lc)|(penalty))" /e /r /s</v>
      </c>
      <c r="U48" s="9" t="str">
        <f t="shared" si="12"/>
        <v>4026</v>
      </c>
      <c r="V48" s="32">
        <f t="shared" si="13"/>
        <v>42795.746782407405</v>
      </c>
      <c r="W48" s="46" t="str">
        <f t="shared" si="14"/>
        <v>NW</v>
      </c>
      <c r="X48" s="46" t="str">
        <f t="shared" si="15"/>
        <v>KEEP</v>
      </c>
      <c r="Y48" s="108" t="str">
        <f t="shared" si="16"/>
        <v>echo {"issue":{"subject":"","project_id":79,"tracker_id":40,"status_id":1,"priority_id":2,"assigned_to_id":23,"start_date":"2017-03-01","description":"","custom_fields":[{"id":1,"name":"Subdivision","value":"NW"},{"id":4,"name":"Milepost","value":"0.0575"},{"id":17,"name":"Train ID","value":"816-01"},{"id":16,"name":"Locomotive ID","value":"4026"},{"id":130,"name":"Impact","value":""},{"id":150,"name":"Time of Event (Mountain Time)","value":"10:55:22"},{"id":151,"name":"Denver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9"/>
        <v>grep -hSE -A400 "Enforcement Action" "%USERPROFILE%\AppData\Local\Temp\OnboardLogs"\RTDC4026\*4026*201703011*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"%USERPROFILE%\AppData\Local\Temp\OnboardLogs"\RTDC4026\*4026*201703011* &gt;&gt; 2017-03-01-SliceDisagreementCheck.txt</v>
      </c>
      <c r="AE48" s="157" t="str">
        <f t="shared" si="17"/>
        <v>start /low /b %USERPROFILE%\Documents\GitHub\eaglep3\Utilities\DownloadLogsFromS3.py --loco 4026 --day 2017-03-01</v>
      </c>
      <c r="AF48" s="1"/>
    </row>
    <row r="49" spans="1:32" x14ac:dyDescent="0.25">
      <c r="A49" s="32">
        <v>42795.68482638889</v>
      </c>
      <c r="B49" s="30" t="s">
        <v>281</v>
      </c>
      <c r="C49" s="30" t="s">
        <v>458</v>
      </c>
      <c r="D49" s="30" t="s">
        <v>49</v>
      </c>
      <c r="E49" s="30" t="s">
        <v>188</v>
      </c>
      <c r="F49" s="43">
        <v>0</v>
      </c>
      <c r="G49" s="43">
        <v>35</v>
      </c>
      <c r="H49" s="43">
        <v>666</v>
      </c>
      <c r="I49" s="43">
        <v>633</v>
      </c>
      <c r="J49" s="30" t="s">
        <v>189</v>
      </c>
      <c r="K49" s="43">
        <v>575</v>
      </c>
      <c r="L49" s="143" t="s">
        <v>51</v>
      </c>
      <c r="M49" s="144">
        <f t="shared" si="10"/>
        <v>30.623999999999999</v>
      </c>
      <c r="N49" s="145" t="str">
        <f>VLOOKUP(C49,'Trips&amp;Operators'!$C$1:$G$99999,5,FALSE)</f>
        <v>CHANDLER KELVIN</v>
      </c>
      <c r="O49" s="194" t="s">
        <v>185</v>
      </c>
      <c r="P49" s="146"/>
      <c r="Q49" s="30"/>
      <c r="R49" s="89" t="str">
        <f>VLOOKUP(C49,'Train Runs'!$A$13:$AE$9938,31,0)</f>
        <v>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 &amp; 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</v>
      </c>
      <c r="S49" s="92" t="str">
        <f>VLOOKUP(C49,'Train Runs'!$A$13:$AE$9938,22,0)</f>
        <v>https://d0f6bd738d7f1b3e5a7ca70fe4ff75f0.us-east-1.aws.found.io/app/kibana#/discover/Steve-Slow-Train-Analysis-(2080s-and-2083s)?_g=(refreshInterval:(display:Off,pause:!f,section:0,value:0),time:(from:'2017-03-01T15:08:13-0700',mode:absolute,to:'2017-03-01T17:26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9" s="94" t="str">
        <f t="shared" si="11"/>
        <v>"C:\Program Files (x86)\AstroGrep\AstroGrep.exe" /spath="%USERPROFILE%\AppData\Local\Temp\OnboardLogs" /stypes="*4013*201703012*" /stext=" 23:.+((SYSTEM_STATE.+slice.+state.+changed )|(ment ac)|(multiple cpu faults)|(system.+state.+changed )|(\[timeout)|(PRM\|1\|D)|(kpr)|(kdp)|(\|lc)|(penalty))" /e /r /s</v>
      </c>
      <c r="U49" s="9" t="str">
        <f t="shared" si="12"/>
        <v>4013</v>
      </c>
      <c r="V49" s="32">
        <f t="shared" si="13"/>
        <v>42795.976493055554</v>
      </c>
      <c r="W49" s="46" t="str">
        <f t="shared" si="14"/>
        <v>NW</v>
      </c>
      <c r="X49" s="46" t="str">
        <f t="shared" si="15"/>
        <v>KEEP</v>
      </c>
      <c r="Y49" s="108" t="str">
        <f t="shared" si="16"/>
        <v>echo {"issue":{"subject":"","project_id":79,"tracker_id":40,"status_id":1,"priority_id":2,"assigned_to_id":23,"start_date":"2017-03-01","description":"","custom_fields":[{"id":1,"name":"Subdivision","value":"NW"},{"id":4,"name":"Milepost","value":"0.0575"},{"id":17,"name":"Train ID","value":"828-01"},{"id":16,"name":"Locomotive ID","value":"4013"},{"id":130,"name":"Impact","value":""},{"id":150,"name":"Time of Event (Mountain Time)","value":"16:26:09"},{"id":151,"name":"Denver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9"/>
        <v>grep -hSE -A400 "Enforcement Action" "%USERPROFILE%\AppData\Local\Temp\OnboardLogs"\RTDC4013\*4013*201703012*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"%USERPROFILE%\AppData\Local\Temp\OnboardLogs"\RTDC4013\*4013*201703012* &gt;&gt; 2017-03-01-SliceDisagreementCheck.txt</v>
      </c>
      <c r="AE49" s="157" t="str">
        <f t="shared" si="17"/>
        <v>start /low /b %USERPROFILE%\Documents\GitHub\eaglep3\Utilities\DownloadLogsFromS3.py --loco 4013 --day 2017-03-01</v>
      </c>
      <c r="AF49" s="1"/>
    </row>
    <row r="50" spans="1:32" x14ac:dyDescent="0.25">
      <c r="A50" s="32">
        <v>42795.727048611108</v>
      </c>
      <c r="B50" s="30" t="s">
        <v>281</v>
      </c>
      <c r="C50" s="30" t="s">
        <v>462</v>
      </c>
      <c r="D50" s="30" t="s">
        <v>49</v>
      </c>
      <c r="E50" s="30" t="s">
        <v>188</v>
      </c>
      <c r="F50" s="43">
        <v>0</v>
      </c>
      <c r="G50" s="43">
        <v>24</v>
      </c>
      <c r="H50" s="43">
        <v>631</v>
      </c>
      <c r="I50" s="43">
        <v>617</v>
      </c>
      <c r="J50" s="30" t="s">
        <v>189</v>
      </c>
      <c r="K50" s="43">
        <v>575</v>
      </c>
      <c r="L50" s="143" t="s">
        <v>51</v>
      </c>
      <c r="M50" s="144">
        <f t="shared" si="10"/>
        <v>22.175999999999998</v>
      </c>
      <c r="N50" s="145" t="str">
        <f>VLOOKUP(C50,'Trips&amp;Operators'!$C$1:$G$99999,5,FALSE)</f>
        <v>CHANDLER KELVIN</v>
      </c>
      <c r="O50" s="194" t="s">
        <v>185</v>
      </c>
      <c r="P50" s="146"/>
      <c r="Q50" s="30"/>
      <c r="R50" s="89" t="str">
        <f>VLOOKUP(C50,'Train Runs'!$A$13:$AE$9938,31,0)</f>
        <v>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 &amp; 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</v>
      </c>
      <c r="S50" s="92" t="str">
        <f>VLOOKUP(C50,'Train Runs'!$A$13:$AE$9938,22,0)</f>
        <v>https://d0f6bd738d7f1b3e5a7ca70fe4ff75f0.us-east-1.aws.found.io/app/kibana#/discover/Steve-Slow-Train-Analysis-(2080s-and-2083s)?_g=(refreshInterval:(display:Off,pause:!f,section:0,value:0),time:(from:'2017-03-01T16:08:15-0700',mode:absolute,to:'2017-03-01T18:26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0" s="94" t="str">
        <f t="shared" si="11"/>
        <v>"C:\Program Files (x86)\AstroGrep\AstroGrep.exe" /spath="%USERPROFILE%\AppData\Local\Temp\OnboardLogs" /stypes="*4013*201703020*" /stext=" 00:.+((SYSTEM_STATE.+slice.+state.+changed )|(ment ac)|(multiple cpu faults)|(system.+state.+changed )|(\[timeout)|(PRM\|1\|D)|(kpr)|(kdp)|(\|lc)|(penalty))" /e /r /s</v>
      </c>
      <c r="U50" s="9" t="str">
        <f t="shared" si="12"/>
        <v>4013</v>
      </c>
      <c r="V50" s="32">
        <f t="shared" si="13"/>
        <v>42796.018715277773</v>
      </c>
      <c r="W50" s="46" t="str">
        <f t="shared" si="14"/>
        <v>NW</v>
      </c>
      <c r="X50" s="46" t="str">
        <f t="shared" si="15"/>
        <v>KEEP</v>
      </c>
      <c r="Y50" s="108" t="str">
        <f t="shared" si="16"/>
        <v>echo {"issue":{"subject":"","project_id":79,"tracker_id":40,"status_id":1,"priority_id":2,"assigned_to_id":23,"start_date":"2017-03-01","description":"","custom_fields":[{"id":1,"name":"Subdivision","value":"NW"},{"id":4,"name":"Milepost","value":"0.0575"},{"id":17,"name":"Train ID","value":"832-01"},{"id":16,"name":"Locomotive ID","value":"4013"},{"id":130,"name":"Impact","value":""},{"id":150,"name":"Time of Event (Mountain Time)","value":"17:26:57"},{"id":151,"name":"Denver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9"/>
        <v>grep -hSE -A400 "Enforcement Action" "%USERPROFILE%\AppData\Local\Temp\OnboardLogs"\RTDC4013\*4013*201703020*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"%USERPROFILE%\AppData\Local\Temp\OnboardLogs"\RTDC4013\*4013*201703020* &gt;&gt; 2017-03-01-SliceDisagreementCheck.txt</v>
      </c>
      <c r="AE50" s="157" t="str">
        <f t="shared" si="17"/>
        <v>start /low /b %USERPROFILE%\Documents\GitHub\eaglep3\Utilities\DownloadLogsFromS3.py --loco 4013 --day 2017-03-02</v>
      </c>
      <c r="AF50" s="1"/>
    </row>
    <row r="51" spans="1:32" x14ac:dyDescent="0.25">
      <c r="A51" s="32">
        <v>42795.771620370368</v>
      </c>
      <c r="B51" s="30" t="s">
        <v>281</v>
      </c>
      <c r="C51" s="30" t="s">
        <v>464</v>
      </c>
      <c r="D51" s="30" t="s">
        <v>49</v>
      </c>
      <c r="E51" s="30" t="s">
        <v>188</v>
      </c>
      <c r="F51" s="43">
        <v>0</v>
      </c>
      <c r="G51" s="43">
        <v>27</v>
      </c>
      <c r="H51" s="43">
        <v>673</v>
      </c>
      <c r="I51" s="43">
        <v>640</v>
      </c>
      <c r="J51" s="30" t="s">
        <v>189</v>
      </c>
      <c r="K51" s="43">
        <v>575</v>
      </c>
      <c r="L51" s="143" t="s">
        <v>51</v>
      </c>
      <c r="M51" s="144">
        <f t="shared" si="10"/>
        <v>34.32</v>
      </c>
      <c r="N51" s="145" t="str">
        <f>VLOOKUP(C51,'Trips&amp;Operators'!$C$1:$G$99999,5,FALSE)</f>
        <v>CHANDLER KELVIN</v>
      </c>
      <c r="O51" s="194" t="s">
        <v>185</v>
      </c>
      <c r="P51" s="146"/>
      <c r="Q51" s="30"/>
      <c r="R51" s="89" t="str">
        <f>VLOOKUP(C51,'Train Runs'!$A$13:$AE$9938,31,0)</f>
        <v>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 &amp; 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</v>
      </c>
      <c r="S51" s="92" t="str">
        <f>VLOOKUP(C51,'Train Runs'!$A$13:$AE$9938,22,0)</f>
        <v>https://d0f6bd738d7f1b3e5a7ca70fe4ff75f0.us-east-1.aws.found.io/app/kibana#/discover/Steve-Slow-Train-Analysis-(2080s-and-2083s)?_g=(refreshInterval:(display:Off,pause:!f,section:0,value:0),time:(from:'2017-03-01T17:20:19-0700',mode:absolute,to:'2017-03-01T19:32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1" s="94" t="str">
        <f t="shared" si="11"/>
        <v>"C:\Program Files (x86)\AstroGrep\AstroGrep.exe" /spath="%USERPROFILE%\AppData\Local\Temp\OnboardLogs" /stypes="*4013*201703020*" /stext=" 01:.+((SYSTEM_STATE.+slice.+state.+changed )|(ment ac)|(multiple cpu faults)|(system.+state.+changed )|(\[timeout)|(PRM\|1\|D)|(kpr)|(kdp)|(\|lc)|(penalty))" /e /r /s</v>
      </c>
      <c r="U51" s="9" t="str">
        <f t="shared" si="12"/>
        <v>4013</v>
      </c>
      <c r="V51" s="32">
        <f t="shared" si="13"/>
        <v>42796.063287037032</v>
      </c>
      <c r="W51" s="46" t="str">
        <f t="shared" si="14"/>
        <v>NW</v>
      </c>
      <c r="X51" s="46" t="str">
        <f t="shared" si="15"/>
        <v>KEEP</v>
      </c>
      <c r="Y51" s="108" t="str">
        <f t="shared" si="16"/>
        <v>echo {"issue":{"subject":"","project_id":79,"tracker_id":40,"status_id":1,"priority_id":2,"assigned_to_id":23,"start_date":"2017-03-01","description":"","custom_fields":[{"id":1,"name":"Subdivision","value":"NW"},{"id":4,"name":"Milepost","value":"0.0575"},{"id":17,"name":"Train ID","value":"836-01"},{"id":16,"name":"Locomotive ID","value":"4013"},{"id":130,"name":"Impact","value":""},{"id":150,"name":"Time of Event (Mountain Time)","value":"18:31:08"},{"id":151,"name":"Denver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9"/>
        <v>grep -hSE -A400 "Enforcement Action" "%USERPROFILE%\AppData\Local\Temp\OnboardLogs"\RTDC4013\*4013*201703020*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"%USERPROFILE%\AppData\Local\Temp\OnboardLogs"\RTDC4013\*4013*201703020* &gt;&gt; 2017-03-01-SliceDisagreementCheck.txt</v>
      </c>
      <c r="AE51" s="157" t="str">
        <f t="shared" si="17"/>
        <v>start /low /b %USERPROFILE%\Documents\GitHub\eaglep3\Utilities\DownloadLogsFromS3.py --loco 4013 --day 2017-03-02</v>
      </c>
      <c r="AF51" s="1"/>
    </row>
    <row r="52" spans="1:32" x14ac:dyDescent="0.25">
      <c r="A52" s="32">
        <v>42795.336192129631</v>
      </c>
      <c r="B52" s="30" t="s">
        <v>283</v>
      </c>
      <c r="C52" s="30" t="s">
        <v>441</v>
      </c>
      <c r="D52" s="30" t="s">
        <v>49</v>
      </c>
      <c r="E52" s="30" t="s">
        <v>188</v>
      </c>
      <c r="F52" s="43">
        <v>0</v>
      </c>
      <c r="G52" s="43">
        <v>67</v>
      </c>
      <c r="H52" s="43">
        <v>58894</v>
      </c>
      <c r="I52" s="43">
        <v>58928</v>
      </c>
      <c r="J52" s="30" t="s">
        <v>189</v>
      </c>
      <c r="K52" s="43">
        <v>59048</v>
      </c>
      <c r="L52" s="143" t="s">
        <v>50</v>
      </c>
      <c r="M52" s="144">
        <f t="shared" si="10"/>
        <v>63.36</v>
      </c>
      <c r="N52" s="145" t="str">
        <f>VLOOKUP(C52,'Trips&amp;Operators'!$C$1:$G$99999,5,FALSE)</f>
        <v>YORK EDGAR</v>
      </c>
      <c r="O52" s="194" t="s">
        <v>185</v>
      </c>
      <c r="P52" s="146"/>
      <c r="Q52" s="30"/>
      <c r="R52" s="89" t="str">
        <f>VLOOKUP(C52,'Train Runs'!$A$13:$AE$9938,31,0)</f>
        <v>aws s3 cp s3://rtdc.mdm.uploadarchive.raw/RTDC4014/ "%USERPROFILE%\AppData\Local\Temp\OnboardLogs"\RTDC4014\2017-03-01 --exclude "*" --recursive --include "*20170301*" &amp; "%USERPROFILE%\Documents\GitHub\mrs-test-scripts\Headless Mode &amp; Sideloading\WalkAndUnGZ.bat" "%USERPROFILE%\AppData\Local\Temp\OnboardLogs"\RTDC4014\2017-03-01 &amp; 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</v>
      </c>
      <c r="S52" s="92" t="str">
        <f>VLOOKUP(C52,'Train Runs'!$A$13:$AE$9938,22,0)</f>
        <v>https://d0f6bd738d7f1b3e5a7ca70fe4ff75f0.us-east-1.aws.found.io/app/kibana#/discover/Steve-Slow-Train-Analysis-(2080s-and-2083s)?_g=(refreshInterval:(display:Off,pause:!f,section:0,value:0),time:(from:'2017-03-01T06:26:36-0700',mode:absolute,to:'2017-03-01T09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2" s="94" t="str">
        <f t="shared" si="11"/>
        <v>"C:\Program Files (x86)\AstroGrep\AstroGrep.exe" /spath="%USERPROFILE%\AppData\Local\Temp\OnboardLogs" /stypes="*4014*201703011*" /stext=" 15:.+((SYSTEM_STATE.+slice.+state.+changed )|(ment ac)|(multiple cpu faults)|(system.+state.+changed )|(\[timeout)|(PRM\|1\|D)|(kpr)|(kdp)|(\|lc)|(penalty))" /e /r /s</v>
      </c>
      <c r="U52" s="9" t="str">
        <f t="shared" si="12"/>
        <v>4014</v>
      </c>
      <c r="V52" s="32">
        <f t="shared" si="13"/>
        <v>42795.627858796295</v>
      </c>
      <c r="W52" s="46" t="str">
        <f t="shared" si="14"/>
        <v>NW</v>
      </c>
      <c r="X52" s="46" t="str">
        <f t="shared" si="15"/>
        <v>KEEP</v>
      </c>
      <c r="Y52" s="108" t="str">
        <f t="shared" si="16"/>
        <v>echo {"issue":{"subject":"","project_id":79,"tracker_id":40,"status_id":1,"priority_id":2,"assigned_to_id":23,"start_date":"2017-03-01","description":"","custom_fields":[{"id":1,"name":"Subdivision","value":"NW"},{"id":4,"name":"Milepost","value":"5.9048"},{"id":17,"name":"Train ID","value":"809-01"},{"id":16,"name":"Locomotive ID","value":"4014"},{"id":130,"name":"Impact","value":""},{"id":150,"name":"Time of Event (Mountain Time)","value":"08:04:07"},{"id":151,"name":"Denver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9"/>
        <v>grep -hSE -A400 "Enforcement Action" "%USERPROFILE%\AppData\Local\Temp\OnboardLogs"\RTDC4014\*4014*201703011*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"%USERPROFILE%\AppData\Local\Temp\OnboardLogs"\RTDC4014\*4014*201703011* &gt;&gt; 2017-03-01-SliceDisagreementCheck.txt</v>
      </c>
      <c r="AE52" s="157" t="str">
        <f t="shared" si="17"/>
        <v>start /low /b %USERPROFILE%\Documents\GitHub\eaglep3\Utilities\DownloadLogsFromS3.py --loco 4014 --day 2017-03-01</v>
      </c>
      <c r="AF52" s="1"/>
    </row>
    <row r="53" spans="1:32" x14ac:dyDescent="0.25">
      <c r="A53" s="32">
        <v>42795.336597222224</v>
      </c>
      <c r="B53" s="30" t="s">
        <v>283</v>
      </c>
      <c r="C53" s="30" t="s">
        <v>441</v>
      </c>
      <c r="D53" s="30" t="s">
        <v>49</v>
      </c>
      <c r="E53" s="30" t="s">
        <v>188</v>
      </c>
      <c r="F53" s="43">
        <v>0</v>
      </c>
      <c r="G53" s="43">
        <v>20</v>
      </c>
      <c r="H53" s="43">
        <v>58978</v>
      </c>
      <c r="I53" s="43">
        <v>58982</v>
      </c>
      <c r="J53" s="30" t="s">
        <v>189</v>
      </c>
      <c r="K53" s="43">
        <v>59048</v>
      </c>
      <c r="L53" s="143" t="s">
        <v>50</v>
      </c>
      <c r="M53" s="144">
        <f t="shared" si="10"/>
        <v>34.847999999999999</v>
      </c>
      <c r="N53" s="145" t="str">
        <f>VLOOKUP(C53,'Trips&amp;Operators'!$C$1:$G$99999,5,FALSE)</f>
        <v>YORK EDGAR</v>
      </c>
      <c r="O53" s="194" t="s">
        <v>185</v>
      </c>
      <c r="P53" s="146"/>
      <c r="Q53" s="30"/>
      <c r="R53" s="89" t="str">
        <f>VLOOKUP(C53,'Train Runs'!$A$13:$AE$9938,31,0)</f>
        <v>aws s3 cp s3://rtdc.mdm.uploadarchive.raw/RTDC4014/ "%USERPROFILE%\AppData\Local\Temp\OnboardLogs"\RTDC4014\2017-03-01 --exclude "*" --recursive --include "*20170301*" &amp; "%USERPROFILE%\Documents\GitHub\mrs-test-scripts\Headless Mode &amp; Sideloading\WalkAndUnGZ.bat" "%USERPROFILE%\AppData\Local\Temp\OnboardLogs"\RTDC4014\2017-03-01 &amp; 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</v>
      </c>
      <c r="S53" s="92" t="str">
        <f>VLOOKUP(C53,'Train Runs'!$A$13:$AE$9938,22,0)</f>
        <v>https://d0f6bd738d7f1b3e5a7ca70fe4ff75f0.us-east-1.aws.found.io/app/kibana#/discover/Steve-Slow-Train-Analysis-(2080s-and-2083s)?_g=(refreshInterval:(display:Off,pause:!f,section:0,value:0),time:(from:'2017-03-01T06:26:36-0700',mode:absolute,to:'2017-03-01T09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3" s="94" t="str">
        <f t="shared" si="11"/>
        <v>"C:\Program Files (x86)\AstroGrep\AstroGrep.exe" /spath="%USERPROFILE%\AppData\Local\Temp\OnboardLogs" /stypes="*4014*201703011*" /stext=" 15:.+((SYSTEM_STATE.+slice.+state.+changed )|(ment ac)|(multiple cpu faults)|(system.+state.+changed )|(\[timeout)|(PRM\|1\|D)|(kpr)|(kdp)|(\|lc)|(penalty))" /e /r /s</v>
      </c>
      <c r="U53" s="9" t="str">
        <f t="shared" si="12"/>
        <v>4014</v>
      </c>
      <c r="V53" s="32">
        <f t="shared" si="13"/>
        <v>42795.628263888888</v>
      </c>
      <c r="W53" s="46" t="str">
        <f t="shared" si="14"/>
        <v>NW</v>
      </c>
      <c r="X53" s="46" t="str">
        <f t="shared" si="15"/>
        <v>KEEP</v>
      </c>
      <c r="Y53" s="108" t="str">
        <f t="shared" si="16"/>
        <v>echo {"issue":{"subject":"","project_id":79,"tracker_id":40,"status_id":1,"priority_id":2,"assigned_to_id":23,"start_date":"2017-03-01","description":"","custom_fields":[{"id":1,"name":"Subdivision","value":"NW"},{"id":4,"name":"Milepost","value":"5.9048"},{"id":17,"name":"Train ID","value":"809-01"},{"id":16,"name":"Locomotive ID","value":"4014"},{"id":130,"name":"Impact","value":""},{"id":150,"name":"Time of Event (Mountain Time)","value":"08:04:42"},{"id":151,"name":"Denver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9"/>
        <v>grep -hSE -A400 "Enforcement Action" "%USERPROFILE%\AppData\Local\Temp\OnboardLogs"\RTDC4014\*4014*201703011*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"%USERPROFILE%\AppData\Local\Temp\OnboardLogs"\RTDC4014\*4014*201703011* &gt;&gt; 2017-03-01-SliceDisagreementCheck.txt</v>
      </c>
      <c r="AE53" s="157" t="str">
        <f t="shared" si="17"/>
        <v>start /low /b %USERPROFILE%\Documents\GitHub\eaglep3\Utilities\DownloadLogsFromS3.py --loco 4014 --day 2017-03-01</v>
      </c>
      <c r="AF53" s="1"/>
    </row>
    <row r="54" spans="1:32" x14ac:dyDescent="0.25">
      <c r="A54" s="32">
        <v>42795.398587962962</v>
      </c>
      <c r="B54" s="30" t="s">
        <v>231</v>
      </c>
      <c r="C54" s="30" t="s">
        <v>443</v>
      </c>
      <c r="D54" s="30" t="s">
        <v>49</v>
      </c>
      <c r="E54" s="30" t="s">
        <v>188</v>
      </c>
      <c r="F54" s="43">
        <v>0</v>
      </c>
      <c r="G54" s="43">
        <v>35</v>
      </c>
      <c r="H54" s="43">
        <v>58960</v>
      </c>
      <c r="I54" s="43">
        <v>58984</v>
      </c>
      <c r="J54" s="30" t="s">
        <v>189</v>
      </c>
      <c r="K54" s="43">
        <v>59048</v>
      </c>
      <c r="L54" s="143" t="s">
        <v>50</v>
      </c>
      <c r="M54" s="144">
        <f t="shared" si="10"/>
        <v>33.792000000000002</v>
      </c>
      <c r="N54" s="145" t="str">
        <f>VLOOKUP(C54,'Trips&amp;Operators'!$C$1:$G$99999,5,FALSE)</f>
        <v>LOZA FIDEL</v>
      </c>
      <c r="O54" s="194" t="s">
        <v>185</v>
      </c>
      <c r="P54" s="146"/>
      <c r="Q54" s="30"/>
      <c r="R54" s="89" t="str">
        <f>VLOOKUP(C54,'Train Runs'!$A$13:$AE$9938,31,0)</f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S54" s="92" t="str">
        <f>VLOOKUP(C54,'Train Runs'!$A$13:$AE$9938,22,0)</f>
        <v>https://d0f6bd738d7f1b3e5a7ca70fe4ff75f0.us-east-1.aws.found.io/app/kibana#/discover/Steve-Slow-Train-Analysis-(2080s-and-2083s)?_g=(refreshInterval:(display:Off,pause:!f,section:0,value:0),time:(from:'2017-03-01T08:14:56-0700',mode:absolute,to:'2017-03-01T10:33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54" s="94" t="str">
        <f t="shared" si="11"/>
        <v>"C:\Program Files (x86)\AstroGrep\AstroGrep.exe" /spath="%USERPROFILE%\AppData\Local\Temp\OnboardLogs" /stypes="*4025*201703011*" /stext=" 16:.+((SYSTEM_STATE.+slice.+state.+changed )|(ment ac)|(multiple cpu faults)|(system.+state.+changed )|(\[timeout)|(PRM\|1\|D)|(kpr)|(kdp)|(\|lc)|(penalty))" /e /r /s</v>
      </c>
      <c r="U54" s="9" t="str">
        <f t="shared" si="12"/>
        <v>4025</v>
      </c>
      <c r="V54" s="32">
        <f t="shared" si="13"/>
        <v>42795.690254629626</v>
      </c>
      <c r="W54" s="46" t="str">
        <f t="shared" si="14"/>
        <v>NW</v>
      </c>
      <c r="X54" s="46" t="str">
        <f t="shared" si="15"/>
        <v>KEEP</v>
      </c>
      <c r="Y54" s="108" t="str">
        <f t="shared" si="16"/>
        <v>echo {"issue":{"subject":"","project_id":79,"tracker_id":40,"status_id":1,"priority_id":2,"assigned_to_id":23,"start_date":"2017-03-01","description":"","custom_fields":[{"id":1,"name":"Subdivision","value":"NW"},{"id":4,"name":"Milepost","value":"5.9048"},{"id":17,"name":"Train ID","value":"813-01"},{"id":16,"name":"Locomotive ID","value":"4025"},{"id":130,"name":"Impact","value":""},{"id":150,"name":"Time of Event (Mountain Time)","value":"09:33:58"},{"id":151,"name":"Denver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9"/>
        <v>grep -hSE -A400 "Enforcement Action" "%USERPROFILE%\AppData\Local\Temp\OnboardLogs"\RTDC4025\*4025*201703011*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"%USERPROFILE%\AppData\Local\Temp\OnboardLogs"\RTDC4025\*4025*201703011* &gt;&gt; 2017-03-01-SliceDisagreementCheck.txt</v>
      </c>
      <c r="AE54" s="157" t="str">
        <f t="shared" si="17"/>
        <v>start /low /b %USERPROFILE%\Documents\GitHub\eaglep3\Utilities\DownloadLogsFromS3.py --loco 4025 --day 2017-03-01</v>
      </c>
      <c r="AF54" s="1"/>
    </row>
    <row r="55" spans="1:32" x14ac:dyDescent="0.25">
      <c r="A55" s="32">
        <v>42795.482222222221</v>
      </c>
      <c r="B55" s="30" t="s">
        <v>231</v>
      </c>
      <c r="C55" s="30" t="s">
        <v>449</v>
      </c>
      <c r="D55" s="30" t="s">
        <v>49</v>
      </c>
      <c r="E55" s="30" t="s">
        <v>188</v>
      </c>
      <c r="F55" s="43">
        <v>0</v>
      </c>
      <c r="G55" s="43">
        <v>54</v>
      </c>
      <c r="H55" s="43">
        <v>58905</v>
      </c>
      <c r="I55" s="43">
        <v>58954</v>
      </c>
      <c r="J55" s="30" t="s">
        <v>189</v>
      </c>
      <c r="K55" s="43">
        <v>59048</v>
      </c>
      <c r="L55" s="143" t="s">
        <v>50</v>
      </c>
      <c r="M55" s="144">
        <f t="shared" si="10"/>
        <v>49.631999999999998</v>
      </c>
      <c r="N55" s="145" t="str">
        <f>VLOOKUP(C55,'Trips&amp;Operators'!$C$1:$G$99999,5,FALSE)</f>
        <v>LOZA FIDEL</v>
      </c>
      <c r="O55" s="194" t="s">
        <v>185</v>
      </c>
      <c r="P55" s="146"/>
      <c r="Q55" s="30"/>
      <c r="R55" s="89" t="str">
        <f>VLOOKUP(C55,'Train Runs'!$A$13:$AE$9938,31,0)</f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S55" s="92" t="str">
        <f>VLOOKUP(C55,'Train Runs'!$A$13:$AE$9938,22,0)</f>
        <v>https://d0f6bd738d7f1b3e5a7ca70fe4ff75f0.us-east-1.aws.found.io/app/kibana#/discover/Steve-Slow-Train-Analysis-(2080s-and-2083s)?_g=(refreshInterval:(display:Off,pause:!f,section:0,value:0),time:(from:'2017-03-01T10:17:26-0700',mode:absolute,to:'2017-03-01T12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55" s="94" t="str">
        <f t="shared" si="11"/>
        <v>"C:\Program Files (x86)\AstroGrep\AstroGrep.exe" /spath="%USERPROFILE%\AppData\Local\Temp\OnboardLogs" /stypes="*4025*201703011*" /stext=" 18:.+((SYSTEM_STATE.+slice.+state.+changed )|(ment ac)|(multiple cpu faults)|(system.+state.+changed )|(\[timeout)|(PRM\|1\|D)|(kpr)|(kdp)|(\|lc)|(penalty))" /e /r /s</v>
      </c>
      <c r="U55" s="9" t="str">
        <f t="shared" si="12"/>
        <v>4025</v>
      </c>
      <c r="V55" s="32">
        <f t="shared" si="13"/>
        <v>42795.773888888885</v>
      </c>
      <c r="W55" s="46" t="str">
        <f t="shared" si="14"/>
        <v>NW</v>
      </c>
      <c r="X55" s="46" t="str">
        <f t="shared" si="15"/>
        <v>KEEP</v>
      </c>
      <c r="Y55" s="108" t="str">
        <f t="shared" si="16"/>
        <v>echo {"issue":{"subject":"","project_id":79,"tracker_id":40,"status_id":1,"priority_id":2,"assigned_to_id":23,"start_date":"2017-03-01","description":"","custom_fields":[{"id":1,"name":"Subdivision","value":"NW"},{"id":4,"name":"Milepost","value":"5.9048"},{"id":17,"name":"Train ID","value":"817-01"},{"id":16,"name":"Locomotive ID","value":"4025"},{"id":130,"name":"Impact","value":""},{"id":150,"name":"Time of Event (Mountain Time)","value":"11:34:24"},{"id":151,"name":"Denver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9"/>
        <v>grep -hSE -A400 "Enforcement Action" "%USERPROFILE%\AppData\Local\Temp\OnboardLogs"\RTDC4025\*4025*201703011*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"%USERPROFILE%\AppData\Local\Temp\OnboardLogs"\RTDC4025\*4025*201703011* &gt;&gt; 2017-03-01-SliceDisagreementCheck.txt</v>
      </c>
      <c r="AE55" s="157" t="str">
        <f t="shared" si="17"/>
        <v>start /low /b %USERPROFILE%\Documents\GitHub\eaglep3\Utilities\DownloadLogsFromS3.py --loco 4025 --day 2017-03-01</v>
      </c>
      <c r="AF55" s="1"/>
    </row>
    <row r="56" spans="1:32" x14ac:dyDescent="0.25">
      <c r="A56" s="32">
        <v>42795.690636574072</v>
      </c>
      <c r="B56" s="30" t="s">
        <v>231</v>
      </c>
      <c r="C56" s="30" t="s">
        <v>459</v>
      </c>
      <c r="D56" s="30" t="s">
        <v>49</v>
      </c>
      <c r="E56" s="30" t="s">
        <v>188</v>
      </c>
      <c r="F56" s="43">
        <v>0</v>
      </c>
      <c r="G56" s="43">
        <v>58</v>
      </c>
      <c r="H56" s="43">
        <v>58850</v>
      </c>
      <c r="I56" s="43">
        <v>58901</v>
      </c>
      <c r="J56" s="30" t="s">
        <v>189</v>
      </c>
      <c r="K56" s="43">
        <v>59048</v>
      </c>
      <c r="L56" s="143" t="s">
        <v>50</v>
      </c>
      <c r="M56" s="144">
        <f t="shared" si="10"/>
        <v>77.616</v>
      </c>
      <c r="N56" s="145" t="str">
        <f>VLOOKUP(C56,'Trips&amp;Operators'!$C$1:$G$99999,5,FALSE)</f>
        <v>BRUDER RICHARD</v>
      </c>
      <c r="O56" s="194" t="s">
        <v>185</v>
      </c>
      <c r="P56" s="146"/>
      <c r="Q56" s="30"/>
      <c r="R56" s="89" t="str">
        <f>VLOOKUP(C56,'Train Runs'!$A$13:$AE$9938,31,0)</f>
        <v>aws s3 cp s3://rtdc.mdm.uploadarchive.raw/RTDC4025/ "%USERPROFILE%\AppData\Local\Temp\OnboardLogs"\RTDC4025\2017-03-01 --exclude "*" --recursive --include "*20170301*" &amp; "%USERPROFILE%\Documents\GitHub\mrs-test-scripts\Headless Mode &amp; Sideloading\WalkAndUnGZ.bat" "%USERPROFILE%\AppData\Local\Temp\OnboardLogs"\RTDC4025\2017-03-01 &amp; 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</v>
      </c>
      <c r="S56" s="92" t="str">
        <f>VLOOKUP(C56,'Train Runs'!$A$13:$AE$9938,22,0)</f>
        <v>https://d0f6bd738d7f1b3e5a7ca70fe4ff75f0.us-east-1.aws.found.io/app/kibana#/discover/Steve-Slow-Train-Analysis-(2080s-and-2083s)?_g=(refreshInterval:(display:Off,pause:!f,section:0,value:0),time:(from:'2017-03-01T15:15:09-0700',mode:absolute,to:'2017-03-01T17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56" s="94" t="str">
        <f t="shared" si="11"/>
        <v>"C:\Program Files (x86)\AstroGrep\AstroGrep.exe" /spath="%USERPROFILE%\AppData\Local\Temp\OnboardLogs" /stypes="*4025*201703012*" /stext=" 23:.+((SYSTEM_STATE.+slice.+state.+changed )|(ment ac)|(multiple cpu faults)|(system.+state.+changed )|(\[timeout)|(PRM\|1\|D)|(kpr)|(kdp)|(\|lc)|(penalty))" /e /r /s</v>
      </c>
      <c r="U56" s="9" t="str">
        <f t="shared" si="12"/>
        <v>4025</v>
      </c>
      <c r="V56" s="32">
        <f t="shared" si="13"/>
        <v>42795.982303240737</v>
      </c>
      <c r="W56" s="46" t="str">
        <f t="shared" si="14"/>
        <v>NW</v>
      </c>
      <c r="X56" s="46" t="str">
        <f t="shared" si="15"/>
        <v>KEEP</v>
      </c>
      <c r="Y56" s="108" t="str">
        <f t="shared" si="16"/>
        <v>echo {"issue":{"subject":"","project_id":79,"tracker_id":40,"status_id":1,"priority_id":2,"assigned_to_id":23,"start_date":"2017-03-01","description":"","custom_fields":[{"id":1,"name":"Subdivision","value":"NW"},{"id":4,"name":"Milepost","value":"5.9048"},{"id":17,"name":"Train ID","value":"829-01"},{"id":16,"name":"Locomotive ID","value":"4025"},{"id":130,"name":"Impact","value":""},{"id":150,"name":"Time of Event (Mountain Time)","value":"16:34:31"},{"id":151,"name":"Denver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 t="shared" si="9"/>
        <v>grep -hSE -A400 "Enforcement Action" "%USERPROFILE%\AppData\Local\Temp\OnboardLogs"\RTDC4025\*4025*201703012*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"%USERPROFILE%\AppData\Local\Temp\OnboardLogs"\RTDC4025\*4025*201703012* &gt;&gt; 2017-03-01-SliceDisagreementCheck.txt</v>
      </c>
      <c r="AE56" s="157" t="str">
        <f t="shared" si="17"/>
        <v>start /low /b %USERPROFILE%\Documents\GitHub\eaglep3\Utilities\DownloadLogsFromS3.py --loco 4025 --day 2017-03-01</v>
      </c>
      <c r="AF56" s="1"/>
    </row>
    <row r="57" spans="1:32" x14ac:dyDescent="0.25">
      <c r="A57" s="32">
        <v>42795.169027777774</v>
      </c>
      <c r="B57" s="30" t="s">
        <v>250</v>
      </c>
      <c r="C57" s="30" t="s">
        <v>428</v>
      </c>
      <c r="D57" s="30" t="s">
        <v>49</v>
      </c>
      <c r="E57" s="30" t="s">
        <v>188</v>
      </c>
      <c r="F57" s="43">
        <v>0</v>
      </c>
      <c r="G57" s="43">
        <v>57</v>
      </c>
      <c r="H57" s="43">
        <v>231</v>
      </c>
      <c r="I57" s="43">
        <v>180</v>
      </c>
      <c r="J57" s="30" t="s">
        <v>189</v>
      </c>
      <c r="K57" s="43">
        <v>1</v>
      </c>
      <c r="L57" s="143" t="s">
        <v>51</v>
      </c>
      <c r="M57" s="144">
        <f t="shared" si="10"/>
        <v>94.512</v>
      </c>
      <c r="N57" s="145" t="str">
        <f>VLOOKUP(C57,'Trips&amp;Operators'!$C$1:$G$99999,5,FALSE)</f>
        <v>GEBRETEKLE DAGNEW</v>
      </c>
      <c r="O57" s="194" t="s">
        <v>185</v>
      </c>
      <c r="P57" s="146"/>
      <c r="Q57" s="30"/>
      <c r="R57" s="89" t="str">
        <f>VLOOKUP(C57,'Train Runs'!$A$13:$AE$9938,31,0)</f>
        <v>aws s3 cp s3://rtdc.mdm.uploadarchive.raw/RTDC4012/ "%USERPROFILE%\AppData\Local\Temp\OnboardLogs"\RTDC4012\2017-03-01 --exclude "*" --recursive --include "*20170301*" &amp; "%USERPROFILE%\Documents\GitHub\mrs-test-scripts\Headless Mode &amp; Sideloading\WalkAndUnGZ.bat" "%USERPROFILE%\AppData\Local\Temp\OnboardLogs"\RTDC4012\2017-03-01 &amp; aws s3 cp s3://rtdc.mdm.uploadarchive.raw/RTDC4012/ "%USERPROFILE%\AppData\Local\Temp\OnboardLogs"\RTDC4012\2017-03-02 --exclude "*" --recursive --include "*20170302*" &amp; "%USERPROFILE%\Documents\GitHub\mrs-test-scripts\Headless Mode &amp; Sideloading\WalkAndUnGZ.bat" "%USERPROFILE%\AppData\Local\Temp\OnboardLogs"\RTDC4012\2017-03-02</v>
      </c>
      <c r="S57" s="92" t="str">
        <f>VLOOKUP(C57,'Train Runs'!$A$13:$AE$9938,22,0)</f>
        <v>https://d0f6bd738d7f1b3e5a7ca70fe4ff75f0.us-east-1.aws.found.io/app/kibana#/discover/Steve-Slow-Train-Analysis-(2080s-and-2083s)?_g=(refreshInterval:(display:Off,pause:!f,section:0,value:0),time:(from:'2017-03-01T02:52:35-0700',mode:absolute,to:'2017-03-01T05:03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7" s="94" t="str">
        <f t="shared" si="11"/>
        <v>"C:\Program Files (x86)\AstroGrep\AstroGrep.exe" /spath="%USERPROFILE%\AppData\Local\Temp\OnboardLogs" /stypes="*4012*201703011*" /stext=" 11:.+((SYSTEM_STATE.+slice.+state.+changed )|(ment ac)|(multiple cpu faults)|(system.+state.+changed )|(\[timeout)|(PRM\|1\|D)|(kpr)|(kdp)|(\|lc)|(penalty))" /e /r /s</v>
      </c>
      <c r="U57" s="9" t="str">
        <f t="shared" si="12"/>
        <v>4012</v>
      </c>
      <c r="V57" s="32">
        <f t="shared" si="13"/>
        <v>42795.460694444439</v>
      </c>
      <c r="W57" s="46" t="str">
        <f t="shared" si="14"/>
        <v>Other</v>
      </c>
      <c r="X57" s="46" t="str">
        <f t="shared" si="15"/>
        <v>KEEP</v>
      </c>
      <c r="Y57" s="108" t="str">
        <f t="shared" si="16"/>
        <v>echo {"issue":{"subject":"","project_id":79,"tracker_id":40,"status_id":1,"priority_id":2,"assigned_to_id":23,"start_date":"2017-03-01","description":"","custom_fields":[{"id":1,"name":"Subdivision","value":"Other"},{"id":4,"name":"Milepost","value":"0.0001"},{"id":17,"name":"Train ID","value":"306-01"},{"id":16,"name":"Locomotive ID","value":"4012"},{"id":130,"name":"Impact","value":""},{"id":150,"name":"Time of Event (Mountain Time)","value":"04:03:24"},{"id":151,"name":"Denver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48"/>
      <c r="AA57" s="48"/>
      <c r="AB57" s="48"/>
      <c r="AC57" s="127" t="str">
        <f t="shared" si="9"/>
        <v>grep -hSE -A400 "Enforcement Action" "%USERPROFILE%\AppData\Local\Temp\OnboardLogs"\RTDC4012\*4012*201703011*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"%USERPROFILE%\AppData\Local\Temp\OnboardLogs"\RTDC4012\*4012*201703011* &gt;&gt; 2017-03-01-SliceDisagreementCheck.txt</v>
      </c>
      <c r="AE57" s="157" t="str">
        <f t="shared" si="17"/>
        <v>start /low /b %USERPROFILE%\Documents\GitHub\eaglep3\Utilities\DownloadLogsFromS3.py --loco 4012 --day 2017-03-01</v>
      </c>
      <c r="AF57" s="1"/>
    </row>
    <row r="58" spans="1:32" x14ac:dyDescent="0.25">
      <c r="A58" s="32">
        <v>42795.723067129627</v>
      </c>
      <c r="B58" s="30" t="s">
        <v>371</v>
      </c>
      <c r="C58" s="30" t="s">
        <v>461</v>
      </c>
      <c r="D58" s="30" t="s">
        <v>49</v>
      </c>
      <c r="E58" s="30" t="s">
        <v>188</v>
      </c>
      <c r="F58" s="43">
        <v>0</v>
      </c>
      <c r="G58" s="43">
        <v>25</v>
      </c>
      <c r="H58" s="43">
        <v>59</v>
      </c>
      <c r="I58" s="43">
        <v>35</v>
      </c>
      <c r="J58" s="30" t="s">
        <v>189</v>
      </c>
      <c r="K58" s="43">
        <v>1</v>
      </c>
      <c r="L58" s="143" t="s">
        <v>51</v>
      </c>
      <c r="M58" s="144">
        <f t="shared" si="10"/>
        <v>17.952000000000002</v>
      </c>
      <c r="N58" s="145" t="str">
        <f>VLOOKUP(C58,'Trips&amp;Operators'!$C$1:$G$99999,5,FALSE)</f>
        <v>STORY SAMANTHA</v>
      </c>
      <c r="O58" s="194" t="s">
        <v>185</v>
      </c>
      <c r="P58" s="146"/>
      <c r="Q58" s="30"/>
      <c r="R58" s="89" t="str">
        <f>VLOOKUP(C58,'Train Runs'!$A$13:$AE$9938,31,0)</f>
        <v>aws s3 cp s3://rtdc.mdm.uploadarchive.raw/RTDC4015/ "%USERPROFILE%\AppData\Local\Temp\OnboardLogs"\RTDC4015\2017-03-01 --exclude "*" --recursive --include "*20170301*" &amp; "%USERPROFILE%\Documents\GitHub\mrs-test-scripts\Headless Mode &amp; Sideloading\WalkAndUnGZ.bat" "%USERPROFILE%\AppData\Local\Temp\OnboardLogs"\RTDC4015\2017-03-01 &amp; aws s3 cp s3://rtdc.mdm.uploadarchive.raw/RTDC4015/ "%USERPROFILE%\AppData\Local\Temp\OnboardLogs"\RTDC4015\2017-03-02 --exclude "*" --recursive --include "*20170302*" &amp; "%USERPROFILE%\Documents\GitHub\mrs-test-scripts\Headless Mode &amp; Sideloading\WalkAndUnGZ.bat" "%USERPROFILE%\AppData\Local\Temp\OnboardLogs"\RTDC4015\2017-03-02</v>
      </c>
      <c r="S58" s="92" t="str">
        <f>VLOOKUP(C58,'Train Runs'!$A$13:$AE$9938,22,0)</f>
        <v>https://d0f6bd738d7f1b3e5a7ca70fe4ff75f0.us-east-1.aws.found.io/app/kibana#/discover/Steve-Slow-Train-Analysis-(2080s-and-2083s)?_g=(refreshInterval:(display:Off,pause:!f,section:0,value:0),time:(from:'2017-03-01T16:11:32-0700',mode:absolute,to:'2017-03-01T18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8" s="94" t="str">
        <f t="shared" si="11"/>
        <v>"C:\Program Files (x86)\AstroGrep\AstroGrep.exe" /spath="%USERPROFILE%\AppData\Local\Temp\OnboardLogs" /stypes="*4015*201703020*" /stext=" 00:.+((SYSTEM_STATE.+slice.+state.+changed )|(ment ac)|(multiple cpu faults)|(system.+state.+changed )|(\[timeout)|(PRM\|1\|D)|(kpr)|(kdp)|(\|lc)|(penalty))" /e /r /s</v>
      </c>
      <c r="U58" s="9" t="str">
        <f t="shared" si="12"/>
        <v>4015</v>
      </c>
      <c r="V58" s="32">
        <f t="shared" si="13"/>
        <v>42796.014733796292</v>
      </c>
      <c r="W58" s="46" t="str">
        <f t="shared" si="14"/>
        <v>Other</v>
      </c>
      <c r="X58" s="46" t="str">
        <f t="shared" si="15"/>
        <v>KEEP</v>
      </c>
      <c r="Y58" s="108" t="str">
        <f t="shared" si="16"/>
        <v>echo {"issue":{"subject":"","project_id":79,"tracker_id":40,"status_id":1,"priority_id":2,"assigned_to_id":23,"start_date":"2017-03-01","description":"","custom_fields":[{"id":1,"name":"Subdivision","value":"Other"},{"id":4,"name":"Milepost","value":"0.0001"},{"id":17,"name":"Train ID","value":"70-01"},{"id":16,"name":"Locomotive ID","value":"4015"},{"id":130,"name":"Impact","value":""},{"id":150,"name":"Time of Event (Mountain Time)","value":"17:21:13"},{"id":151,"name":"Denver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48"/>
      <c r="AA58" s="48"/>
      <c r="AB58" s="48"/>
      <c r="AC58" s="127" t="str">
        <f t="shared" si="9"/>
        <v>grep -hSE -A400 "Enforcement Action" "%USERPROFILE%\AppData\Local\Temp\OnboardLogs"\RTDC4015\*4015*201703020*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"%USERPROFILE%\AppData\Local\Temp\OnboardLogs"\RTDC4015\*4015*201703020* &gt;&gt; 2017-03-01-SliceDisagreementCheck.txt</v>
      </c>
      <c r="AE58" s="157" t="str">
        <f t="shared" si="17"/>
        <v>start /low /b %USERPROFILE%\Documents\GitHub\eaglep3\Utilities\DownloadLogsFromS3.py --loco 4015 --day 2017-03-02</v>
      </c>
      <c r="AF58" s="1"/>
    </row>
    <row r="59" spans="1:32" x14ac:dyDescent="0.25">
      <c r="A59" s="32">
        <v>42795.651423611111</v>
      </c>
      <c r="B59" s="30" t="s">
        <v>281</v>
      </c>
      <c r="C59" s="30" t="s">
        <v>455</v>
      </c>
      <c r="D59" s="30" t="s">
        <v>49</v>
      </c>
      <c r="E59" s="30" t="s">
        <v>188</v>
      </c>
      <c r="F59" s="43">
        <v>0</v>
      </c>
      <c r="G59" s="43">
        <v>25</v>
      </c>
      <c r="H59" s="43">
        <v>628</v>
      </c>
      <c r="I59" s="43">
        <v>603</v>
      </c>
      <c r="J59" s="30" t="s">
        <v>189</v>
      </c>
      <c r="K59" s="43">
        <v>575</v>
      </c>
      <c r="L59" s="143" t="s">
        <v>51</v>
      </c>
      <c r="M59" s="144">
        <f t="shared" si="10"/>
        <v>14.784000000000001</v>
      </c>
      <c r="N59" s="145" t="str">
        <f>VLOOKUP(C59,'Trips&amp;Operators'!$C$1:$G$99999,5,FALSE)</f>
        <v>CHANDLER KELVIN</v>
      </c>
      <c r="O59" s="194" t="s">
        <v>185</v>
      </c>
      <c r="P59" s="146"/>
      <c r="Q59" s="30"/>
      <c r="R59" s="89" t="str">
        <f>VLOOKUP(C59,'Train Runs'!$A$13:$AE$9938,31,0)</f>
        <v>aws s3 cp s3://rtdc.mdm.uploadarchive.raw/RTDC4013/ "%USERPROFILE%\AppData\Local\Temp\OnboardLogs"\RTDC4013\2017-03-01 --exclude "*" --recursive --include "*20170301*" &amp; "%USERPROFILE%\Documents\GitHub\mrs-test-scripts\Headless Mode &amp; Sideloading\WalkAndUnGZ.bat" "%USERPROFILE%\AppData\Local\Temp\OnboardLogs"\RTDC4013\2017-03-01 &amp; 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</v>
      </c>
      <c r="S59" s="92" t="str">
        <f>VLOOKUP(C59,'Train Runs'!$A$13:$AE$9938,22,0)</f>
        <v>https://d0f6bd738d7f1b3e5a7ca70fe4ff75f0.us-east-1.aws.found.io/app/kibana#/discover/Steve-Slow-Train-Analysis-(2080s-and-2083s)?_g=(refreshInterval:(display:Off,pause:!f,section:0,value:0),time:(from:'2017-03-01T14:27:36-0700',mode:absolute,to:'2017-03-01T16:38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9" s="94" t="str">
        <f t="shared" si="11"/>
        <v>"C:\Program Files (x86)\AstroGrep\AstroGrep.exe" /spath="%USERPROFILE%\AppData\Local\Temp\OnboardLogs" /stypes="*4013*201703012*" /stext=" 22:.+((SYSTEM_STATE.+slice.+state.+changed )|(ment ac)|(multiple cpu faults)|(system.+state.+changed )|(\[timeout)|(PRM\|1\|D)|(kpr)|(kdp)|(\|lc)|(penalty))" /e /r /s</v>
      </c>
      <c r="U59" s="9" t="str">
        <f t="shared" si="12"/>
        <v>4013</v>
      </c>
      <c r="V59" s="32">
        <f t="shared" si="13"/>
        <v>42795.943090277775</v>
      </c>
      <c r="W59" s="46" t="str">
        <f t="shared" si="14"/>
        <v>Other</v>
      </c>
      <c r="X59" s="46" t="str">
        <f t="shared" si="15"/>
        <v>KEEP</v>
      </c>
      <c r="Y59" s="108" t="str">
        <f t="shared" si="16"/>
        <v>echo {"issue":{"subject":"","project_id":79,"tracker_id":40,"status_id":1,"priority_id":2,"assigned_to_id":23,"start_date":"2017-03-01","description":"","custom_fields":[{"id":1,"name":"Subdivision","value":"Other"},{"id":4,"name":"Milepost","value":"0.0575"},{"id":17,"name":"Train ID","value":"904-01"},{"id":16,"name":"Locomotive ID","value":"4013"},{"id":130,"name":"Impact","value":""},{"id":150,"name":"Time of Event (Mountain Time)","value":"15:38:03"},{"id":151,"name":"Denver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48"/>
      <c r="AA59" s="48"/>
      <c r="AB59" s="48"/>
      <c r="AC59" s="127" t="str">
        <f t="shared" si="9"/>
        <v>grep -hSE -A400 "Enforcement Action" "%USERPROFILE%\AppData\Local\Temp\OnboardLogs"\RTDC4013\*4013*201703012*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"%USERPROFILE%\AppData\Local\Temp\OnboardLogs"\RTDC4013\*4013*201703012* &gt;&gt; 2017-03-01-SliceDisagreementCheck.txt</v>
      </c>
      <c r="AE59" s="157" t="str">
        <f t="shared" si="17"/>
        <v>start /low /b %USERPROFILE%\Documents\GitHub\eaglep3\Utilities\DownloadLogsFromS3.py --loco 4013 --day 2017-03-01</v>
      </c>
      <c r="AF59" s="1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>
    <sortState ref="A7:AC67">
      <sortCondition ref="V6:V67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5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AA7:AA59</xm:sqref>
        </x14:dataValidation>
        <x14:dataValidation type="list" allowBlank="1" showInputMessage="1" showErrorMessage="1">
          <x14:formula1>
            <xm:f>'Redmine List Values'!$C$2:$C$15</xm:f>
          </x14:formula1>
          <xm:sqref>AB7:AB59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4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196" t="str">
        <f>"Trips that did not appear in PTC Data "&amp;TEXT(Variables!$A$2,"YYYY-mm-dd")</f>
        <v>Trips that did not appear in PTC Data 2017-03-01</v>
      </c>
      <c r="C1" s="196"/>
      <c r="D1" s="196"/>
      <c r="E1" s="196"/>
      <c r="F1" s="196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-01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2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" s="30" t="e">
        <f>VLOOKUP(B3,'Train Runs'!$A$13:$A$99935,1,FALSE)</f>
        <v>#N/A</v>
      </c>
    </row>
    <row r="4" spans="1:10" x14ac:dyDescent="0.25">
      <c r="A4" s="185"/>
      <c r="B4" s="43" t="str">
        <f>A4&amp;"-"&amp;IF(DAY(Variables!$A$2)&lt;10,0,"")&amp;DAY(Variables!$A$2)</f>
        <v>-01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" s="30" t="e">
        <f>VLOOKUP(B4,'Train Runs'!$A$13:$A$99935,1,FALSE)</f>
        <v>#N/A</v>
      </c>
    </row>
    <row r="5" spans="1:10" x14ac:dyDescent="0.25">
      <c r="A5" s="185"/>
      <c r="B5" s="43" t="str">
        <f>A5&amp;"-"&amp;IF(DAY(Variables!$A$2)&lt;10,0,"")&amp;DAY(Variables!$A$2)</f>
        <v>-01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Runs'!$A$13:$A$99935,1,FALSE)</f>
        <v>#N/A</v>
      </c>
    </row>
    <row r="6" spans="1:10" x14ac:dyDescent="0.25">
      <c r="A6" s="185"/>
      <c r="B6" s="43" t="str">
        <f>A6&amp;"-"&amp;IF(DAY(Variables!$A$2)&lt;10,0,"")&amp;DAY(Variables!$A$2)</f>
        <v>-01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Runs'!$A$13:$A$99935,1,FALSE)</f>
        <v>#N/A</v>
      </c>
    </row>
    <row r="7" spans="1:10" x14ac:dyDescent="0.25">
      <c r="A7" s="185"/>
      <c r="B7" s="43" t="str">
        <f>A7&amp;"-"&amp;IF(DAY(Variables!$A$2)&lt;10,0,"")&amp;DAY(Variables!$A$2)</f>
        <v>-01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Runs'!$A$13:$A$99935,1,FALSE)</f>
        <v>#N/A</v>
      </c>
    </row>
    <row r="8" spans="1:10" x14ac:dyDescent="0.25">
      <c r="A8" s="185"/>
      <c r="B8" s="43" t="str">
        <f>A8&amp;"-"&amp;IF(DAY(Variables!$A$2)&lt;10,0,"")&amp;DAY(Variables!$A$2)</f>
        <v>-01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Runs'!$A$13:$A$99935,1,FALSE)</f>
        <v>#N/A</v>
      </c>
    </row>
    <row r="9" spans="1:10" x14ac:dyDescent="0.25">
      <c r="A9" s="185"/>
      <c r="B9" s="43" t="str">
        <f>A9&amp;"-"&amp;IF(DAY(Variables!$A$2)&lt;10,0,"")&amp;DAY(Variables!$A$2)</f>
        <v>-01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Runs'!$A$13:$A$99935,1,FALSE)</f>
        <v>#N/A</v>
      </c>
    </row>
    <row r="10" spans="1:10" x14ac:dyDescent="0.25">
      <c r="A10" s="185"/>
      <c r="B10" s="43" t="str">
        <f>A10&amp;"-"&amp;IF(DAY(Variables!$A$2)&lt;10,0,"")&amp;DAY(Variables!$A$2)</f>
        <v>-01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Runs'!$A$13:$A$99935,1,FALSE)</f>
        <v>#N/A</v>
      </c>
    </row>
    <row r="11" spans="1:10" x14ac:dyDescent="0.25">
      <c r="A11" s="185"/>
      <c r="B11" s="43" t="str">
        <f>A11&amp;"-"&amp;IF(DAY(Variables!$A$2)&lt;10,0,"")&amp;DAY(Variables!$A$2)</f>
        <v>-01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Runs'!$A$13:$A$99935,1,FALSE)</f>
        <v>#N/A</v>
      </c>
    </row>
    <row r="12" spans="1:10" x14ac:dyDescent="0.25">
      <c r="A12" s="185"/>
      <c r="B12" s="43" t="str">
        <f>A12&amp;"-"&amp;IF(DAY(Variables!$A$2)&lt;10,0,"")&amp;DAY(Variables!$A$2)</f>
        <v>-01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" s="30" t="e">
        <f>VLOOKUP(B12,'Train Runs'!$A$13:$A$99935,1,FALSE)</f>
        <v>#N/A</v>
      </c>
    </row>
    <row r="13" spans="1:10" x14ac:dyDescent="0.25">
      <c r="A13" s="185"/>
      <c r="B13" s="43" t="str">
        <f>A13&amp;"-"&amp;IF(DAY(Variables!$A$2)&lt;10,0,"")&amp;DAY(Variables!$A$2)</f>
        <v>-01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3" s="30" t="e">
        <f>VLOOKUP(B13,'Train Runs'!$A$13:$A$99935,1,FALSE)</f>
        <v>#N/A</v>
      </c>
    </row>
    <row r="14" spans="1:10" x14ac:dyDescent="0.25">
      <c r="A14" s="185"/>
      <c r="B14" s="43" t="str">
        <f>A14&amp;"-"&amp;IF(DAY(Variables!$A$2)&lt;10,0,"")&amp;DAY(Variables!$A$2)</f>
        <v>-01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4" s="30" t="e">
        <f>VLOOKUP(B14,'Train Runs'!$A$13:$A$99935,1,FALSE)</f>
        <v>#N/A</v>
      </c>
    </row>
    <row r="15" spans="1:10" x14ac:dyDescent="0.25">
      <c r="A15" s="185"/>
      <c r="B15" s="43" t="str">
        <f>A15&amp;"-"&amp;IF(DAY(Variables!$A$2)&lt;10,0,"")&amp;DAY(Variables!$A$2)</f>
        <v>-01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5" s="30" t="e">
        <f>VLOOKUP(B15,'Train Runs'!$A$13:$A$99935,1,FALSE)</f>
        <v>#N/A</v>
      </c>
    </row>
    <row r="16" spans="1:10" x14ac:dyDescent="0.25">
      <c r="A16" s="185"/>
      <c r="B16" s="43" t="str">
        <f>A16&amp;"-"&amp;IF(DAY(Variables!$A$2)&lt;10,0,"")&amp;DAY(Variables!$A$2)</f>
        <v>-01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6" s="30" t="e">
        <f>VLOOKUP(B16,'Train Runs'!$A$13:$A$99935,1,FALSE)</f>
        <v>#N/A</v>
      </c>
    </row>
    <row r="17" spans="1:10" x14ac:dyDescent="0.25">
      <c r="A17" s="185"/>
      <c r="B17" s="43" t="str">
        <f>A17&amp;"-"&amp;IF(DAY(Variables!$A$2)&lt;10,0,"")&amp;DAY(Variables!$A$2)</f>
        <v>-01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7" s="30" t="e">
        <f>VLOOKUP(B17,'Train Runs'!$A$13:$A$99935,1,FALSE)</f>
        <v>#N/A</v>
      </c>
    </row>
    <row r="18" spans="1:10" x14ac:dyDescent="0.25">
      <c r="A18" s="185"/>
      <c r="B18" s="43" t="str">
        <f>A18&amp;"-"&amp;IF(DAY(Variables!$A$2)&lt;10,0,"")&amp;DAY(Variables!$A$2)</f>
        <v>-01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8" s="30" t="e">
        <f>VLOOKUP(B18,'Train Runs'!$A$13:$A$99935,1,FALSE)</f>
        <v>#N/A</v>
      </c>
    </row>
    <row r="19" spans="1:10" x14ac:dyDescent="0.25">
      <c r="A19" s="185"/>
      <c r="B19" s="43" t="str">
        <f>A19&amp;"-"&amp;IF(DAY(Variables!$A$2)&lt;10,0,"")&amp;DAY(Variables!$A$2)</f>
        <v>-01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9" s="30" t="e">
        <f>VLOOKUP(B19,'Train Runs'!$A$13:$A$99935,1,FALSE)</f>
        <v>#N/A</v>
      </c>
    </row>
    <row r="20" spans="1:10" x14ac:dyDescent="0.25">
      <c r="A20" s="185"/>
      <c r="B20" s="43" t="str">
        <f>A20&amp;"-"&amp;IF(DAY(Variables!$A$2)&lt;10,0,"")&amp;DAY(Variables!$A$2)</f>
        <v>-01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0" s="30" t="e">
        <f>VLOOKUP(B20,'Train Runs'!$A$13:$A$99935,1,FALSE)</f>
        <v>#N/A</v>
      </c>
    </row>
    <row r="21" spans="1:10" x14ac:dyDescent="0.25">
      <c r="A21" s="185"/>
      <c r="B21" s="43" t="str">
        <f>A21&amp;"-"&amp;IF(DAY(Variables!$A$2)&lt;10,0,"")&amp;DAY(Variables!$A$2)</f>
        <v>-01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1" s="30" t="e">
        <f>VLOOKUP(B21,'Train Runs'!$A$13:$A$99935,1,FALSE)</f>
        <v>#N/A</v>
      </c>
    </row>
    <row r="22" spans="1:10" x14ac:dyDescent="0.25">
      <c r="A22" s="185"/>
      <c r="B22" s="43" t="str">
        <f>A22&amp;"-"&amp;IF(DAY(Variables!$A$2)&lt;10,0,"")&amp;DAY(Variables!$A$2)</f>
        <v>-01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2" s="30" t="e">
        <f>VLOOKUP(B22,'Train Runs'!$A$13:$A$99935,1,FALSE)</f>
        <v>#N/A</v>
      </c>
    </row>
    <row r="23" spans="1:10" x14ac:dyDescent="0.25">
      <c r="A23" s="185"/>
      <c r="B23" s="43" t="str">
        <f>A23&amp;"-"&amp;IF(DAY(Variables!$A$2)&lt;10,0,"")&amp;DAY(Variables!$A$2)</f>
        <v>-01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3" s="30" t="e">
        <f>VLOOKUP(B23,'Train Runs'!$A$13:$A$99935,1,FALSE)</f>
        <v>#N/A</v>
      </c>
    </row>
    <row r="24" spans="1:10" x14ac:dyDescent="0.25">
      <c r="A24" s="185"/>
      <c r="B24" s="43" t="str">
        <f>A24&amp;"-"&amp;IF(DAY(Variables!$A$2)&lt;10,0,"")&amp;DAY(Variables!$A$2)</f>
        <v>-01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4" s="30" t="e">
        <f>VLOOKUP(B24,'Train Runs'!$A$13:$A$99935,1,FALSE)</f>
        <v>#N/A</v>
      </c>
    </row>
    <row r="25" spans="1:10" x14ac:dyDescent="0.25">
      <c r="A25" s="185"/>
      <c r="B25" s="43" t="str">
        <f>A25&amp;"-"&amp;IF(DAY(Variables!$A$2)&lt;10,0,"")&amp;DAY(Variables!$A$2)</f>
        <v>-01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5" s="30" t="e">
        <f>VLOOKUP(B25,'Train Runs'!$A$13:$A$99935,1,FALSE)</f>
        <v>#N/A</v>
      </c>
    </row>
    <row r="26" spans="1:10" x14ac:dyDescent="0.25">
      <c r="A26" s="185"/>
      <c r="B26" s="43" t="str">
        <f>A26&amp;"-"&amp;IF(DAY(Variables!$A$2)&lt;10,0,"")&amp;DAY(Variables!$A$2)</f>
        <v>-01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6" s="30" t="e">
        <f>VLOOKUP(B26,'Train Runs'!$A$13:$A$99935,1,FALSE)</f>
        <v>#N/A</v>
      </c>
    </row>
    <row r="27" spans="1:10" x14ac:dyDescent="0.25">
      <c r="A27" s="185"/>
      <c r="B27" s="43" t="str">
        <f>A27&amp;"-"&amp;IF(DAY(Variables!$A$2)&lt;10,0,"")&amp;DAY(Variables!$A$2)</f>
        <v>-01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7" s="30" t="e">
        <f>VLOOKUP(B27,'Train Runs'!$A$13:$A$99935,1,FALSE)</f>
        <v>#N/A</v>
      </c>
    </row>
    <row r="28" spans="1:10" x14ac:dyDescent="0.25">
      <c r="A28" s="185"/>
      <c r="B28" s="43" t="str">
        <f>A28&amp;"-"&amp;IF(DAY(Variables!$A$2)&lt;10,0,"")&amp;DAY(Variables!$A$2)</f>
        <v>-01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8" s="30" t="e">
        <f>VLOOKUP(B28,'Train Runs'!$A$13:$A$99935,1,FALSE)</f>
        <v>#N/A</v>
      </c>
    </row>
    <row r="29" spans="1:10" x14ac:dyDescent="0.25">
      <c r="A29" s="185"/>
      <c r="B29" s="43" t="str">
        <f>A29&amp;"-"&amp;IF(DAY(Variables!$A$2)&lt;10,0,"")&amp;DAY(Variables!$A$2)</f>
        <v>-01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ref="I29:I6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9" s="30" t="e">
        <f>VLOOKUP(B29,'Train Runs'!$A$13:$A$99935,1,FALSE)</f>
        <v>#N/A</v>
      </c>
    </row>
    <row r="30" spans="1:10" x14ac:dyDescent="0.25">
      <c r="A30" s="185"/>
      <c r="B30" s="43" t="str">
        <f>A30&amp;"-"&amp;IF(DAY(Variables!$A$2)&lt;10,0,"")&amp;DAY(Variables!$A$2)</f>
        <v>-01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0" s="30" t="e">
        <f>VLOOKUP(B30,'Train Runs'!$A$13:$A$99935,1,FALSE)</f>
        <v>#N/A</v>
      </c>
    </row>
    <row r="31" spans="1:10" x14ac:dyDescent="0.25">
      <c r="A31" s="185"/>
      <c r="B31" s="43" t="str">
        <f>A31&amp;"-"&amp;IF(DAY(Variables!$A$2)&lt;10,0,"")&amp;DAY(Variables!$A$2)</f>
        <v>-01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1" s="30" t="e">
        <f>VLOOKUP(B31,'Train Runs'!$A$13:$A$99935,1,FALSE)</f>
        <v>#N/A</v>
      </c>
    </row>
    <row r="32" spans="1:10" x14ac:dyDescent="0.25">
      <c r="A32" s="185"/>
      <c r="B32" s="43" t="str">
        <f>A32&amp;"-"&amp;IF(DAY(Variables!$A$2)&lt;10,0,"")&amp;DAY(Variables!$A$2)</f>
        <v>-01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2" s="30" t="e">
        <f>VLOOKUP(B32,'Train Runs'!$A$13:$A$99935,1,FALSE)</f>
        <v>#N/A</v>
      </c>
    </row>
    <row r="33" spans="1:10" x14ac:dyDescent="0.25">
      <c r="A33" s="185"/>
      <c r="B33" s="43" t="str">
        <f>A33&amp;"-"&amp;IF(DAY(Variables!$A$2)&lt;10,0,"")&amp;DAY(Variables!$A$2)</f>
        <v>-01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3" s="30" t="e">
        <f>VLOOKUP(B33,'Train Runs'!$A$13:$A$99935,1,FALSE)</f>
        <v>#N/A</v>
      </c>
    </row>
    <row r="34" spans="1:10" x14ac:dyDescent="0.25">
      <c r="A34" s="185"/>
      <c r="B34" s="43" t="str">
        <f>A34&amp;"-"&amp;IF(DAY(Variables!$A$2)&lt;10,0,"")&amp;DAY(Variables!$A$2)</f>
        <v>-01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4" s="30" t="e">
        <f>VLOOKUP(B34,'Train Runs'!$A$13:$A$99935,1,FALSE)</f>
        <v>#N/A</v>
      </c>
    </row>
    <row r="35" spans="1:10" x14ac:dyDescent="0.25">
      <c r="A35" s="185"/>
      <c r="B35" s="43" t="str">
        <f>A35&amp;"-"&amp;IF(DAY(Variables!$A$2)&lt;10,0,"")&amp;DAY(Variables!$A$2)</f>
        <v>-01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5" s="30" t="e">
        <f>VLOOKUP(B35,'Train Runs'!$A$13:$A$99935,1,FALSE)</f>
        <v>#N/A</v>
      </c>
    </row>
    <row r="36" spans="1:10" x14ac:dyDescent="0.25">
      <c r="A36" s="185"/>
      <c r="B36" s="43" t="str">
        <f>A36&amp;"-"&amp;IF(DAY(Variables!$A$2)&lt;10,0,"")&amp;DAY(Variables!$A$2)</f>
        <v>-01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6" s="30" t="e">
        <f>VLOOKUP(B36,'Train Runs'!$A$13:$A$99935,1,FALSE)</f>
        <v>#N/A</v>
      </c>
    </row>
    <row r="37" spans="1:10" x14ac:dyDescent="0.25">
      <c r="A37" s="185"/>
      <c r="B37" s="43" t="str">
        <f>A37&amp;"-"&amp;IF(DAY(Variables!$A$2)&lt;10,0,"")&amp;DAY(Variables!$A$2)</f>
        <v>-01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7" s="30" t="e">
        <f>VLOOKUP(B37,'Train Runs'!$A$13:$A$99935,1,FALSE)</f>
        <v>#N/A</v>
      </c>
    </row>
    <row r="38" spans="1:10" x14ac:dyDescent="0.25">
      <c r="A38" s="185"/>
      <c r="B38" s="43" t="str">
        <f>A38&amp;"-"&amp;IF(DAY(Variables!$A$2)&lt;10,0,"")&amp;DAY(Variables!$A$2)</f>
        <v>-01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8" s="30" t="e">
        <f>VLOOKUP(B38,'Train Runs'!$A$13:$A$99935,1,FALSE)</f>
        <v>#N/A</v>
      </c>
    </row>
    <row r="39" spans="1:10" x14ac:dyDescent="0.25">
      <c r="A39" s="185"/>
      <c r="B39" s="43" t="str">
        <f>A39&amp;"-"&amp;IF(DAY(Variables!$A$2)&lt;10,0,"")&amp;DAY(Variables!$A$2)</f>
        <v>-01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9" s="30" t="e">
        <f>VLOOKUP(B39,'Train Runs'!$A$13:$A$99935,1,FALSE)</f>
        <v>#N/A</v>
      </c>
    </row>
    <row r="40" spans="1:10" x14ac:dyDescent="0.25">
      <c r="A40" s="185"/>
      <c r="B40" s="43" t="str">
        <f>A40&amp;"-"&amp;IF(DAY(Variables!$A$2)&lt;10,0,"")&amp;DAY(Variables!$A$2)</f>
        <v>-01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0" s="30" t="e">
        <f>VLOOKUP(B40,'Train Runs'!$A$13:$A$99935,1,FALSE)</f>
        <v>#N/A</v>
      </c>
    </row>
    <row r="41" spans="1:10" x14ac:dyDescent="0.25">
      <c r="A41" s="185"/>
      <c r="B41" s="43" t="str">
        <f>A41&amp;"-"&amp;IF(DAY(Variables!$A$2)&lt;10,0,"")&amp;DAY(Variables!$A$2)</f>
        <v>-01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1" s="30" t="e">
        <f>VLOOKUP(B41,'Train Runs'!$A$13:$A$99935,1,FALSE)</f>
        <v>#N/A</v>
      </c>
    </row>
    <row r="42" spans="1:10" x14ac:dyDescent="0.25">
      <c r="A42" s="185"/>
      <c r="B42" s="43" t="str">
        <f>A42&amp;"-"&amp;IF(DAY(Variables!$A$2)&lt;10,0,"")&amp;DAY(Variables!$A$2)</f>
        <v>-01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2" s="30" t="e">
        <f>VLOOKUP(B42,'Train Runs'!$A$13:$A$99935,1,FALSE)</f>
        <v>#N/A</v>
      </c>
    </row>
    <row r="43" spans="1:10" x14ac:dyDescent="0.25">
      <c r="A43" s="185"/>
      <c r="B43" s="43" t="str">
        <f>A43&amp;"-"&amp;IF(DAY(Variables!$A$2)&lt;10,0,"")&amp;DAY(Variables!$A$2)</f>
        <v>-01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3" s="30" t="e">
        <f>VLOOKUP(B43,'Train Runs'!$A$13:$A$99935,1,FALSE)</f>
        <v>#N/A</v>
      </c>
    </row>
    <row r="44" spans="1:10" x14ac:dyDescent="0.25">
      <c r="A44" s="185"/>
      <c r="B44" s="43" t="str">
        <f>A44&amp;"-"&amp;IF(DAY(Variables!$A$2)&lt;10,0,"")&amp;DAY(Variables!$A$2)</f>
        <v>-01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4" s="30" t="e">
        <f>VLOOKUP(B44,'Train Runs'!$A$13:$A$99935,1,FALSE)</f>
        <v>#N/A</v>
      </c>
    </row>
    <row r="45" spans="1:10" x14ac:dyDescent="0.25">
      <c r="A45" s="185"/>
      <c r="B45" s="43" t="str">
        <f>A45&amp;"-"&amp;IF(DAY(Variables!$A$2)&lt;10,0,"")&amp;DAY(Variables!$A$2)</f>
        <v>-01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5" s="30" t="e">
        <f>VLOOKUP(B45,'Train Runs'!$A$13:$A$99935,1,FALSE)</f>
        <v>#N/A</v>
      </c>
    </row>
    <row r="46" spans="1:10" x14ac:dyDescent="0.25">
      <c r="A46" s="185"/>
      <c r="B46" s="43" t="str">
        <f>A46&amp;"-"&amp;IF(DAY(Variables!$A$2)&lt;10,0,"")&amp;DAY(Variables!$A$2)</f>
        <v>-01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6" s="30" t="e">
        <f>VLOOKUP(B46,'Train Runs'!$A$13:$A$99935,1,FALSE)</f>
        <v>#N/A</v>
      </c>
    </row>
    <row r="47" spans="1:10" x14ac:dyDescent="0.25">
      <c r="A47" s="185"/>
      <c r="B47" s="43" t="str">
        <f>A47&amp;"-"&amp;IF(DAY(Variables!$A$2)&lt;10,0,"")&amp;DAY(Variables!$A$2)</f>
        <v>-01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7" s="30" t="e">
        <f>VLOOKUP(B47,'Train Runs'!$A$13:$A$99935,1,FALSE)</f>
        <v>#N/A</v>
      </c>
    </row>
    <row r="48" spans="1:10" x14ac:dyDescent="0.25">
      <c r="A48" s="185"/>
      <c r="B48" s="43" t="str">
        <f>A48&amp;"-"&amp;IF(DAY(Variables!$A$2)&lt;10,0,"")&amp;DAY(Variables!$A$2)</f>
        <v>-01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8" s="30" t="e">
        <f>VLOOKUP(B48,'Train Runs'!$A$13:$A$99935,1,FALSE)</f>
        <v>#N/A</v>
      </c>
    </row>
    <row r="49" spans="1:10" x14ac:dyDescent="0.25">
      <c r="A49" s="185"/>
      <c r="B49" s="43" t="str">
        <f>A49&amp;"-"&amp;IF(DAY(Variables!$A$2)&lt;10,0,"")&amp;DAY(Variables!$A$2)</f>
        <v>-01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9" s="30" t="e">
        <f>VLOOKUP(B49,'Train Runs'!$A$13:$A$99935,1,FALSE)</f>
        <v>#N/A</v>
      </c>
    </row>
    <row r="50" spans="1:10" x14ac:dyDescent="0.25">
      <c r="A50" s="185"/>
      <c r="B50" s="43" t="str">
        <f>A50&amp;"-"&amp;IF(DAY(Variables!$A$2)&lt;10,0,"")&amp;DAY(Variables!$A$2)</f>
        <v>-01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0" s="30" t="e">
        <f>VLOOKUP(B50,'Train Runs'!$A$13:$A$99935,1,FALSE)</f>
        <v>#N/A</v>
      </c>
    </row>
    <row r="51" spans="1:10" x14ac:dyDescent="0.25">
      <c r="A51" s="185"/>
      <c r="B51" s="43" t="str">
        <f>A51&amp;"-"&amp;IF(DAY(Variables!$A$2)&lt;10,0,"")&amp;DAY(Variables!$A$2)</f>
        <v>-01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1" s="30" t="e">
        <f>VLOOKUP(B51,'Train Runs'!$A$13:$A$99935,1,FALSE)</f>
        <v>#N/A</v>
      </c>
    </row>
    <row r="52" spans="1:10" x14ac:dyDescent="0.25">
      <c r="A52" s="185"/>
      <c r="B52" s="43" t="str">
        <f>A52&amp;"-"&amp;IF(DAY(Variables!$A$2)&lt;10,0,"")&amp;DAY(Variables!$A$2)</f>
        <v>-01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2" s="30" t="e">
        <f>VLOOKUP(B52,'Train Runs'!$A$13:$A$99935,1,FALSE)</f>
        <v>#N/A</v>
      </c>
    </row>
    <row r="53" spans="1:10" x14ac:dyDescent="0.25">
      <c r="A53" s="185"/>
      <c r="B53" s="43" t="str">
        <f>A53&amp;"-"&amp;IF(DAY(Variables!$A$2)&lt;10,0,"")&amp;DAY(Variables!$A$2)</f>
        <v>-01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3" s="30" t="e">
        <f>VLOOKUP(B53,'Train Runs'!$A$13:$A$99935,1,FALSE)</f>
        <v>#N/A</v>
      </c>
    </row>
    <row r="54" spans="1:10" x14ac:dyDescent="0.25">
      <c r="A54" s="185"/>
      <c r="B54" s="43" t="str">
        <f>A54&amp;"-"&amp;IF(DAY(Variables!$A$2)&lt;10,0,"")&amp;DAY(Variables!$A$2)</f>
        <v>-01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4" s="30" t="e">
        <f>VLOOKUP(B54,'Train Runs'!$A$13:$A$99935,1,FALSE)</f>
        <v>#N/A</v>
      </c>
    </row>
    <row r="55" spans="1:10" x14ac:dyDescent="0.25">
      <c r="A55" s="185"/>
      <c r="B55" s="43" t="str">
        <f>A55&amp;"-"&amp;IF(DAY(Variables!$A$2)&lt;10,0,"")&amp;DAY(Variables!$A$2)</f>
        <v>-01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5" s="30" t="e">
        <f>VLOOKUP(B55,'Train Runs'!$A$13:$A$99935,1,FALSE)</f>
        <v>#N/A</v>
      </c>
    </row>
    <row r="56" spans="1:10" x14ac:dyDescent="0.25">
      <c r="A56" s="185"/>
      <c r="B56" s="43" t="str">
        <f>A56&amp;"-"&amp;IF(DAY(Variables!$A$2)&lt;10,0,"")&amp;DAY(Variables!$A$2)</f>
        <v>-01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6" s="30" t="e">
        <f>VLOOKUP(B56,'Train Runs'!$A$13:$A$99935,1,FALSE)</f>
        <v>#N/A</v>
      </c>
    </row>
    <row r="57" spans="1:10" x14ac:dyDescent="0.25">
      <c r="A57" s="185"/>
      <c r="B57" s="43" t="str">
        <f>A57&amp;"-"&amp;IF(DAY(Variables!$A$2)&lt;10,0,"")&amp;DAY(Variables!$A$2)</f>
        <v>-01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7" s="30" t="e">
        <f>VLOOKUP(B57,'Train Runs'!$A$13:$A$99935,1,FALSE)</f>
        <v>#N/A</v>
      </c>
    </row>
    <row r="58" spans="1:10" x14ac:dyDescent="0.25">
      <c r="A58" s="185"/>
      <c r="B58" s="43" t="str">
        <f>A58&amp;"-"&amp;IF(DAY(Variables!$A$2)&lt;10,0,"")&amp;DAY(Variables!$A$2)</f>
        <v>-01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8" s="30" t="e">
        <f>VLOOKUP(B58,'Train Runs'!$A$13:$A$99935,1,FALSE)</f>
        <v>#N/A</v>
      </c>
    </row>
    <row r="59" spans="1:10" x14ac:dyDescent="0.25">
      <c r="A59" s="185"/>
      <c r="B59" s="43" t="str">
        <f>A59&amp;"-"&amp;IF(DAY(Variables!$A$2)&lt;10,0,"")&amp;DAY(Variables!$A$2)</f>
        <v>-01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9" s="30" t="e">
        <f>VLOOKUP(B59,'Train Runs'!$A$13:$A$99935,1,FALSE)</f>
        <v>#N/A</v>
      </c>
    </row>
    <row r="60" spans="1:10" x14ac:dyDescent="0.25">
      <c r="A60" s="185"/>
      <c r="B60" s="43" t="str">
        <f>A60&amp;"-"&amp;IF(DAY(Variables!$A$2)&lt;10,0,"")&amp;DAY(Variables!$A$2)</f>
        <v>-01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0" s="30" t="e">
        <f>VLOOKUP(B60,'Train Runs'!$A$13:$A$99935,1,FALSE)</f>
        <v>#N/A</v>
      </c>
    </row>
    <row r="61" spans="1:10" x14ac:dyDescent="0.25">
      <c r="A61" s="185"/>
      <c r="B61" s="43" t="str">
        <f>A61&amp;"-"&amp;IF(DAY(Variables!$A$2)&lt;10,0,"")&amp;DAY(Variables!$A$2)</f>
        <v>-01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ref="I61:I92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1" s="30" t="e">
        <f>VLOOKUP(B61,'Train Runs'!$A$13:$A$99935,1,FALSE)</f>
        <v>#N/A</v>
      </c>
    </row>
    <row r="62" spans="1:10" x14ac:dyDescent="0.25">
      <c r="A62" s="185"/>
      <c r="B62" s="43" t="str">
        <f>A62&amp;"-"&amp;IF(DAY(Variables!$A$2)&lt;10,0,"")&amp;DAY(Variables!$A$2)</f>
        <v>-01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2" s="30" t="e">
        <f>VLOOKUP(B62,'Train Runs'!$A$13:$A$99935,1,FALSE)</f>
        <v>#N/A</v>
      </c>
    </row>
    <row r="63" spans="1:10" x14ac:dyDescent="0.25">
      <c r="A63" s="185"/>
      <c r="B63" s="43" t="str">
        <f>A63&amp;"-"&amp;IF(DAY(Variables!$A$2)&lt;10,0,"")&amp;DAY(Variables!$A$2)</f>
        <v>-01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3" s="30" t="e">
        <f>VLOOKUP(B63,'Train Runs'!$A$13:$A$99935,1,FALSE)</f>
        <v>#N/A</v>
      </c>
    </row>
    <row r="64" spans="1:10" x14ac:dyDescent="0.25">
      <c r="A64" s="185"/>
      <c r="B64" s="43" t="str">
        <f>A64&amp;"-"&amp;IF(DAY(Variables!$A$2)&lt;10,0,"")&amp;DAY(Variables!$A$2)</f>
        <v>-01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4" s="30" t="e">
        <f>VLOOKUP(B64,'Train Runs'!$A$13:$A$99935,1,FALSE)</f>
        <v>#N/A</v>
      </c>
    </row>
    <row r="65" spans="1:10" x14ac:dyDescent="0.25">
      <c r="A65" s="185"/>
      <c r="B65" s="43" t="str">
        <f>A65&amp;"-"&amp;IF(DAY(Variables!$A$2)&lt;10,0,"")&amp;DAY(Variables!$A$2)</f>
        <v>-01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5" s="30" t="e">
        <f>VLOOKUP(B65,'Train Runs'!$A$13:$A$99935,1,FALSE)</f>
        <v>#N/A</v>
      </c>
    </row>
    <row r="66" spans="1:10" x14ac:dyDescent="0.25">
      <c r="A66" s="185"/>
      <c r="B66" s="43" t="str">
        <f>A66&amp;"-"&amp;IF(DAY(Variables!$A$2)&lt;10,0,"")&amp;DAY(Variables!$A$2)</f>
        <v>-01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6" s="30" t="e">
        <f>VLOOKUP(B66,'Train Runs'!$A$13:$A$99935,1,FALSE)</f>
        <v>#N/A</v>
      </c>
    </row>
    <row r="67" spans="1:10" x14ac:dyDescent="0.25">
      <c r="A67" s="185"/>
      <c r="B67" s="43" t="str">
        <f>A67&amp;"-"&amp;IF(DAY(Variables!$A$2)&lt;10,0,"")&amp;DAY(Variables!$A$2)</f>
        <v>-01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7" s="30" t="e">
        <f>VLOOKUP(B67,'Train Runs'!$A$13:$A$99935,1,FALSE)</f>
        <v>#N/A</v>
      </c>
    </row>
    <row r="68" spans="1:10" x14ac:dyDescent="0.25">
      <c r="A68" s="185"/>
      <c r="B68" s="43" t="str">
        <f>A68&amp;"-"&amp;IF(DAY(Variables!$A$2)&lt;10,0,"")&amp;DAY(Variables!$A$2)</f>
        <v>-01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8" s="30" t="e">
        <f>VLOOKUP(B68,'Train Runs'!$A$13:$A$99935,1,FALSE)</f>
        <v>#N/A</v>
      </c>
    </row>
    <row r="69" spans="1:10" x14ac:dyDescent="0.25">
      <c r="A69" s="185"/>
      <c r="B69" s="43" t="str">
        <f>A69&amp;"-"&amp;IF(DAY(Variables!$A$2)&lt;10,0,"")&amp;DAY(Variables!$A$2)</f>
        <v>-01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9" s="30" t="e">
        <f>VLOOKUP(B69,'Train Runs'!$A$13:$A$99935,1,FALSE)</f>
        <v>#N/A</v>
      </c>
    </row>
    <row r="70" spans="1:10" x14ac:dyDescent="0.25">
      <c r="A70" s="185"/>
      <c r="B70" s="43" t="str">
        <f>A70&amp;"-"&amp;IF(DAY(Variables!$A$2)&lt;10,0,"")&amp;DAY(Variables!$A$2)</f>
        <v>-01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0" s="30" t="e">
        <f>VLOOKUP(B70,'Train Runs'!$A$13:$A$99935,1,FALSE)</f>
        <v>#N/A</v>
      </c>
    </row>
    <row r="71" spans="1:10" x14ac:dyDescent="0.25">
      <c r="A71" s="185"/>
      <c r="B71" s="43" t="str">
        <f>A71&amp;"-"&amp;IF(DAY(Variables!$A$2)&lt;10,0,"")&amp;DAY(Variables!$A$2)</f>
        <v>-01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1" s="30" t="e">
        <f>VLOOKUP(B71,'Train Runs'!$A$13:$A$99935,1,FALSE)</f>
        <v>#N/A</v>
      </c>
    </row>
    <row r="72" spans="1:10" x14ac:dyDescent="0.25">
      <c r="A72" s="185"/>
      <c r="B72" s="43" t="str">
        <f>A72&amp;"-"&amp;IF(DAY(Variables!$A$2)&lt;10,0,"")&amp;DAY(Variables!$A$2)</f>
        <v>-01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2" s="30" t="e">
        <f>VLOOKUP(B72,'Train Runs'!$A$13:$A$99935,1,FALSE)</f>
        <v>#N/A</v>
      </c>
    </row>
    <row r="73" spans="1:10" x14ac:dyDescent="0.25">
      <c r="A73" s="185"/>
      <c r="B73" s="43" t="str">
        <f>A73&amp;"-"&amp;IF(DAY(Variables!$A$2)&lt;10,0,"")&amp;DAY(Variables!$A$2)</f>
        <v>-01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3" s="30" t="e">
        <f>VLOOKUP(B73,'Train Runs'!$A$13:$A$99935,1,FALSE)</f>
        <v>#N/A</v>
      </c>
    </row>
    <row r="74" spans="1:10" x14ac:dyDescent="0.25">
      <c r="A74" s="185"/>
      <c r="B74" s="43" t="str">
        <f>A74&amp;"-"&amp;IF(DAY(Variables!$A$2)&lt;10,0,"")&amp;DAY(Variables!$A$2)</f>
        <v>-01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4" s="30" t="e">
        <f>VLOOKUP(B74,'Train Runs'!$A$13:$A$99935,1,FALSE)</f>
        <v>#N/A</v>
      </c>
    </row>
    <row r="75" spans="1:10" x14ac:dyDescent="0.25">
      <c r="A75" s="185"/>
      <c r="B75" s="43" t="str">
        <f>A75&amp;"-"&amp;IF(DAY(Variables!$A$2)&lt;10,0,"")&amp;DAY(Variables!$A$2)</f>
        <v>-01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5" s="30" t="e">
        <f>VLOOKUP(B75,'Train Runs'!$A$13:$A$99935,1,FALSE)</f>
        <v>#N/A</v>
      </c>
    </row>
    <row r="76" spans="1:10" x14ac:dyDescent="0.25">
      <c r="A76" s="185"/>
      <c r="B76" s="43" t="str">
        <f>A76&amp;"-"&amp;IF(DAY(Variables!$A$2)&lt;10,0,"")&amp;DAY(Variables!$A$2)</f>
        <v>-01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6" s="30" t="e">
        <f>VLOOKUP(B76,'Train Runs'!$A$13:$A$99935,1,FALSE)</f>
        <v>#N/A</v>
      </c>
    </row>
    <row r="77" spans="1:10" x14ac:dyDescent="0.25">
      <c r="A77" s="185"/>
      <c r="B77" s="43" t="str">
        <f>A77&amp;"-"&amp;IF(DAY(Variables!$A$2)&lt;10,0,"")&amp;DAY(Variables!$A$2)</f>
        <v>-01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7" s="30" t="e">
        <f>VLOOKUP(B77,'Train Runs'!$A$13:$A$99935,1,FALSE)</f>
        <v>#N/A</v>
      </c>
    </row>
    <row r="78" spans="1:10" x14ac:dyDescent="0.25">
      <c r="A78" s="185"/>
      <c r="B78" s="43" t="str">
        <f>A78&amp;"-"&amp;IF(DAY(Variables!$A$2)&lt;10,0,"")&amp;DAY(Variables!$A$2)</f>
        <v>-01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8" s="30" t="e">
        <f>VLOOKUP(B78,'Train Runs'!$A$13:$A$99935,1,FALSE)</f>
        <v>#N/A</v>
      </c>
    </row>
    <row r="79" spans="1:10" x14ac:dyDescent="0.25">
      <c r="A79" s="185"/>
      <c r="B79" s="43" t="str">
        <f>A79&amp;"-"&amp;IF(DAY(Variables!$A$2)&lt;10,0,"")&amp;DAY(Variables!$A$2)</f>
        <v>-01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9" s="30" t="e">
        <f>VLOOKUP(B79,'Train Runs'!$A$13:$A$99935,1,FALSE)</f>
        <v>#N/A</v>
      </c>
    </row>
    <row r="80" spans="1:10" x14ac:dyDescent="0.25">
      <c r="A80" s="185"/>
      <c r="B80" s="43" t="str">
        <f>A80&amp;"-"&amp;IF(DAY(Variables!$A$2)&lt;10,0,"")&amp;DAY(Variables!$A$2)</f>
        <v>-01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0" s="30" t="e">
        <f>VLOOKUP(B80,'Train Runs'!$A$13:$A$99935,1,FALSE)</f>
        <v>#N/A</v>
      </c>
    </row>
    <row r="81" spans="1:10" x14ac:dyDescent="0.25">
      <c r="A81" s="185"/>
      <c r="B81" s="43" t="str">
        <f>A81&amp;"-"&amp;IF(DAY(Variables!$A$2)&lt;10,0,"")&amp;DAY(Variables!$A$2)</f>
        <v>-01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1" s="30" t="e">
        <f>VLOOKUP(B81,'Train Runs'!$A$13:$A$99935,1,FALSE)</f>
        <v>#N/A</v>
      </c>
    </row>
    <row r="82" spans="1:10" x14ac:dyDescent="0.25">
      <c r="A82" s="185"/>
      <c r="B82" s="43" t="str">
        <f>A82&amp;"-"&amp;IF(DAY(Variables!$A$2)&lt;10,0,"")&amp;DAY(Variables!$A$2)</f>
        <v>-01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2" s="30" t="e">
        <f>VLOOKUP(B82,'Train Runs'!$A$13:$A$99935,1,FALSE)</f>
        <v>#N/A</v>
      </c>
    </row>
    <row r="83" spans="1:10" x14ac:dyDescent="0.25">
      <c r="A83" s="185"/>
      <c r="B83" s="43" t="str">
        <f>A83&amp;"-"&amp;IF(DAY(Variables!$A$2)&lt;10,0,"")&amp;DAY(Variables!$A$2)</f>
        <v>-01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3" s="30" t="e">
        <f>VLOOKUP(B83,'Train Runs'!$A$13:$A$99935,1,FALSE)</f>
        <v>#N/A</v>
      </c>
    </row>
    <row r="84" spans="1:10" x14ac:dyDescent="0.25">
      <c r="A84" s="185"/>
      <c r="B84" s="43" t="str">
        <f>A84&amp;"-"&amp;IF(DAY(Variables!$A$2)&lt;10,0,"")&amp;DAY(Variables!$A$2)</f>
        <v>-01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4" s="30" t="e">
        <f>VLOOKUP(B84,'Train Runs'!$A$13:$A$99935,1,FALSE)</f>
        <v>#N/A</v>
      </c>
    </row>
    <row r="85" spans="1:10" x14ac:dyDescent="0.25">
      <c r="A85" s="185"/>
      <c r="B85" s="43" t="str">
        <f>A85&amp;"-"&amp;IF(DAY(Variables!$A$2)&lt;10,0,"")&amp;DAY(Variables!$A$2)</f>
        <v>-01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5" s="30" t="e">
        <f>VLOOKUP(B85,'Train Runs'!$A$13:$A$99935,1,FALSE)</f>
        <v>#N/A</v>
      </c>
    </row>
    <row r="86" spans="1:10" x14ac:dyDescent="0.25">
      <c r="A86" s="185"/>
      <c r="B86" s="43" t="str">
        <f>A86&amp;"-"&amp;IF(DAY(Variables!$A$2)&lt;10,0,"")&amp;DAY(Variables!$A$2)</f>
        <v>-01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6" s="30" t="e">
        <f>VLOOKUP(B86,'Train Runs'!$A$13:$A$99935,1,FALSE)</f>
        <v>#N/A</v>
      </c>
    </row>
    <row r="87" spans="1:10" x14ac:dyDescent="0.25">
      <c r="A87" s="185"/>
      <c r="B87" s="43" t="str">
        <f>A87&amp;"-"&amp;IF(DAY(Variables!$A$2)&lt;10,0,"")&amp;DAY(Variables!$A$2)</f>
        <v>-01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7" s="30" t="e">
        <f>VLOOKUP(B87,'Train Runs'!$A$13:$A$99935,1,FALSE)</f>
        <v>#N/A</v>
      </c>
    </row>
    <row r="88" spans="1:10" x14ac:dyDescent="0.25">
      <c r="A88" s="185"/>
      <c r="B88" s="43" t="str">
        <f>A88&amp;"-"&amp;IF(DAY(Variables!$A$2)&lt;10,0,"")&amp;DAY(Variables!$A$2)</f>
        <v>-01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8" s="30" t="e">
        <f>VLOOKUP(B88,'Train Runs'!$A$13:$A$99935,1,FALSE)</f>
        <v>#N/A</v>
      </c>
    </row>
    <row r="89" spans="1:10" x14ac:dyDescent="0.25">
      <c r="A89" s="185"/>
      <c r="B89" s="43" t="str">
        <f>A89&amp;"-"&amp;IF(DAY(Variables!$A$2)&lt;10,0,"")&amp;DAY(Variables!$A$2)</f>
        <v>-01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9" s="30" t="e">
        <f>VLOOKUP(B89,'Train Runs'!$A$13:$A$99935,1,FALSE)</f>
        <v>#N/A</v>
      </c>
    </row>
    <row r="90" spans="1:10" x14ac:dyDescent="0.25">
      <c r="A90" s="185"/>
      <c r="B90" s="43" t="str">
        <f>A90&amp;"-"&amp;IF(DAY(Variables!$A$2)&lt;10,0,"")&amp;DAY(Variables!$A$2)</f>
        <v>-01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0" s="30" t="e">
        <f>VLOOKUP(B90,'Train Runs'!$A$13:$A$99935,1,FALSE)</f>
        <v>#N/A</v>
      </c>
    </row>
    <row r="91" spans="1:10" x14ac:dyDescent="0.25">
      <c r="A91" s="185"/>
      <c r="B91" s="43" t="str">
        <f>A91&amp;"-"&amp;IF(DAY(Variables!$A$2)&lt;10,0,"")&amp;DAY(Variables!$A$2)</f>
        <v>-01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1" s="30" t="e">
        <f>VLOOKUP(B91,'Train Runs'!$A$13:$A$99935,1,FALSE)</f>
        <v>#N/A</v>
      </c>
    </row>
    <row r="92" spans="1:10" x14ac:dyDescent="0.25">
      <c r="A92" s="185"/>
      <c r="B92" s="43" t="str">
        <f>A92&amp;"-"&amp;IF(DAY(Variables!$A$2)&lt;10,0,"")&amp;DAY(Variables!$A$2)</f>
        <v>-01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2" s="30" t="e">
        <f>VLOOKUP(B92,'Train Runs'!$A$13:$A$99935,1,FALSE)</f>
        <v>#N/A</v>
      </c>
    </row>
    <row r="93" spans="1:10" x14ac:dyDescent="0.25">
      <c r="A93" s="185"/>
      <c r="B93" s="43" t="str">
        <f>A93&amp;"-"&amp;IF(DAY(Variables!$A$2)&lt;10,0,"")&amp;DAY(Variables!$A$2)</f>
        <v>-01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ref="I93:I114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3" s="30" t="e">
        <f>VLOOKUP(B93,'Train Runs'!$A$13:$A$99935,1,FALSE)</f>
        <v>#N/A</v>
      </c>
    </row>
    <row r="94" spans="1:10" x14ac:dyDescent="0.25">
      <c r="A94" s="185"/>
      <c r="B94" s="43" t="str">
        <f>A94&amp;"-"&amp;IF(DAY(Variables!$A$2)&lt;10,0,"")&amp;DAY(Variables!$A$2)</f>
        <v>-01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4" s="30" t="e">
        <f>VLOOKUP(B94,'Train Runs'!$A$13:$A$99935,1,FALSE)</f>
        <v>#N/A</v>
      </c>
    </row>
    <row r="95" spans="1:10" x14ac:dyDescent="0.25">
      <c r="A95" s="185"/>
      <c r="B95" s="43" t="str">
        <f>A95&amp;"-"&amp;IF(DAY(Variables!$A$2)&lt;10,0,"")&amp;DAY(Variables!$A$2)</f>
        <v>-01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5" s="30" t="e">
        <f>VLOOKUP(B95,'Train Runs'!$A$13:$A$99935,1,FALSE)</f>
        <v>#N/A</v>
      </c>
    </row>
    <row r="96" spans="1:10" x14ac:dyDescent="0.25">
      <c r="A96" s="185"/>
      <c r="B96" s="43" t="str">
        <f>A96&amp;"-"&amp;IF(DAY(Variables!$A$2)&lt;10,0,"")&amp;DAY(Variables!$A$2)</f>
        <v>-01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6" s="30" t="e">
        <f>VLOOKUP(B96,'Train Runs'!$A$13:$A$99935,1,FALSE)</f>
        <v>#N/A</v>
      </c>
    </row>
    <row r="97" spans="1:10" x14ac:dyDescent="0.25">
      <c r="A97" s="185"/>
      <c r="B97" s="43" t="str">
        <f>A97&amp;"-"&amp;IF(DAY(Variables!$A$2)&lt;10,0,"")&amp;DAY(Variables!$A$2)</f>
        <v>-01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7" s="30" t="e">
        <f>VLOOKUP(B97,'Train Runs'!$A$13:$A$99935,1,FALSE)</f>
        <v>#N/A</v>
      </c>
    </row>
    <row r="98" spans="1:10" x14ac:dyDescent="0.25">
      <c r="A98" s="185"/>
      <c r="B98" s="43" t="str">
        <f>A98&amp;"-"&amp;IF(DAY(Variables!$A$2)&lt;10,0,"")&amp;DAY(Variables!$A$2)</f>
        <v>-01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8" s="30" t="e">
        <f>VLOOKUP(B98,'Train Runs'!$A$13:$A$99935,1,FALSE)</f>
        <v>#N/A</v>
      </c>
    </row>
    <row r="99" spans="1:10" x14ac:dyDescent="0.25">
      <c r="A99" s="185"/>
      <c r="B99" s="43" t="str">
        <f>A99&amp;"-"&amp;IF(DAY(Variables!$A$2)&lt;10,0,"")&amp;DAY(Variables!$A$2)</f>
        <v>-01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9" s="30" t="e">
        <f>VLOOKUP(B99,'Train Runs'!$A$13:$A$99935,1,FALSE)</f>
        <v>#N/A</v>
      </c>
    </row>
    <row r="100" spans="1:10" x14ac:dyDescent="0.25">
      <c r="A100" s="185"/>
      <c r="B100" s="43" t="str">
        <f>A100&amp;"-"&amp;IF(DAY(Variables!$A$2)&lt;10,0,"")&amp;DAY(Variables!$A$2)</f>
        <v>-01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0" s="30" t="e">
        <f>VLOOKUP(B100,'Train Runs'!$A$13:$A$99935,1,FALSE)</f>
        <v>#N/A</v>
      </c>
    </row>
    <row r="101" spans="1:10" x14ac:dyDescent="0.25">
      <c r="A101" s="185"/>
      <c r="B101" s="43" t="str">
        <f>A101&amp;"-"&amp;IF(DAY(Variables!$A$2)&lt;10,0,"")&amp;DAY(Variables!$A$2)</f>
        <v>-01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1" s="30" t="e">
        <f>VLOOKUP(B101,'Train Runs'!$A$13:$A$99935,1,FALSE)</f>
        <v>#N/A</v>
      </c>
    </row>
    <row r="102" spans="1:10" x14ac:dyDescent="0.25">
      <c r="A102" s="185"/>
      <c r="B102" s="43" t="str">
        <f>A102&amp;"-"&amp;IF(DAY(Variables!$A$2)&lt;10,0,"")&amp;DAY(Variables!$A$2)</f>
        <v>-01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2" s="30" t="e">
        <f>VLOOKUP(B102,'Train Runs'!$A$13:$A$99935,1,FALSE)</f>
        <v>#N/A</v>
      </c>
    </row>
    <row r="103" spans="1:10" x14ac:dyDescent="0.25">
      <c r="A103" s="185"/>
      <c r="B103" s="43" t="str">
        <f>A103&amp;"-"&amp;IF(DAY(Variables!$A$2)&lt;10,0,"")&amp;DAY(Variables!$A$2)</f>
        <v>-01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3" s="30" t="e">
        <f>VLOOKUP(B103,'Train Runs'!$A$13:$A$99935,1,FALSE)</f>
        <v>#N/A</v>
      </c>
    </row>
    <row r="104" spans="1:10" x14ac:dyDescent="0.25">
      <c r="A104" s="185"/>
      <c r="B104" s="43" t="str">
        <f>A104&amp;"-"&amp;IF(DAY(Variables!$A$2)&lt;10,0,"")&amp;DAY(Variables!$A$2)</f>
        <v>-01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4" s="30" t="e">
        <f>VLOOKUP(B104,'Train Runs'!$A$13:$A$99935,1,FALSE)</f>
        <v>#N/A</v>
      </c>
    </row>
    <row r="105" spans="1:10" x14ac:dyDescent="0.25">
      <c r="A105" s="185"/>
      <c r="B105" s="43" t="str">
        <f>A105&amp;"-"&amp;IF(DAY(Variables!$A$2)&lt;10,0,"")&amp;DAY(Variables!$A$2)</f>
        <v>-01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5" s="30" t="e">
        <f>VLOOKUP(B105,'Train Runs'!$A$13:$A$99935,1,FALSE)</f>
        <v>#N/A</v>
      </c>
    </row>
    <row r="106" spans="1:10" x14ac:dyDescent="0.25">
      <c r="A106" s="185"/>
      <c r="B106" s="43" t="str">
        <f>A106&amp;"-"&amp;IF(DAY(Variables!$A$2)&lt;10,0,"")&amp;DAY(Variables!$A$2)</f>
        <v>-01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6" s="30" t="e">
        <f>VLOOKUP(B106,'Train Runs'!$A$13:$A$99935,1,FALSE)</f>
        <v>#N/A</v>
      </c>
    </row>
    <row r="107" spans="1:10" x14ac:dyDescent="0.25">
      <c r="A107" s="185"/>
      <c r="B107" s="43" t="str">
        <f>A107&amp;"-"&amp;IF(DAY(Variables!$A$2)&lt;10,0,"")&amp;DAY(Variables!$A$2)</f>
        <v>-01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7" s="30" t="e">
        <f>VLOOKUP(B107,'Train Runs'!$A$13:$A$99935,1,FALSE)</f>
        <v>#N/A</v>
      </c>
    </row>
    <row r="108" spans="1:10" x14ac:dyDescent="0.25">
      <c r="A108" s="185"/>
      <c r="B108" s="43" t="str">
        <f>A108&amp;"-"&amp;IF(DAY(Variables!$A$2)&lt;10,0,"")&amp;DAY(Variables!$A$2)</f>
        <v>-01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8" s="30" t="e">
        <f>VLOOKUP(B108,'Train Runs'!$A$13:$A$99935,1,FALSE)</f>
        <v>#N/A</v>
      </c>
    </row>
    <row r="109" spans="1:10" x14ac:dyDescent="0.25">
      <c r="A109" s="185"/>
      <c r="B109" s="43" t="str">
        <f>A109&amp;"-"&amp;IF(DAY(Variables!$A$2)&lt;10,0,"")&amp;DAY(Variables!$A$2)</f>
        <v>-01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9" s="30" t="e">
        <f>VLOOKUP(B109,'Train Runs'!$A$13:$A$99935,1,FALSE)</f>
        <v>#N/A</v>
      </c>
    </row>
    <row r="110" spans="1:10" x14ac:dyDescent="0.25">
      <c r="A110" s="185"/>
      <c r="B110" s="43" t="str">
        <f>A110&amp;"-"&amp;IF(DAY(Variables!$A$2)&lt;10,0,"")&amp;DAY(Variables!$A$2)</f>
        <v>-01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0" s="30" t="e">
        <f>VLOOKUP(B110,'Train Runs'!$A$13:$A$99935,1,FALSE)</f>
        <v>#N/A</v>
      </c>
    </row>
    <row r="111" spans="1:10" x14ac:dyDescent="0.25">
      <c r="A111" s="185"/>
      <c r="B111" s="43" t="str">
        <f>A111&amp;"-"&amp;IF(DAY(Variables!$A$2)&lt;10,0,"")&amp;DAY(Variables!$A$2)</f>
        <v>-01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1" s="30" t="e">
        <f>VLOOKUP(B111,'Train Runs'!$A$13:$A$99935,1,FALSE)</f>
        <v>#N/A</v>
      </c>
    </row>
    <row r="112" spans="1:10" x14ac:dyDescent="0.25">
      <c r="A112" s="185"/>
      <c r="B112" s="43" t="str">
        <f>A112&amp;"-"&amp;IF(DAY(Variables!$A$2)&lt;10,0,"")&amp;DAY(Variables!$A$2)</f>
        <v>-01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2" s="30" t="e">
        <f>VLOOKUP(B112,'Train Runs'!$A$13:$A$99935,1,FALSE)</f>
        <v>#N/A</v>
      </c>
    </row>
    <row r="113" spans="1:10" x14ac:dyDescent="0.25">
      <c r="A113" s="185"/>
      <c r="B113" s="43" t="str">
        <f>A113&amp;"-"&amp;IF(DAY(Variables!$A$2)&lt;10,0,"")&amp;DAY(Variables!$A$2)</f>
        <v>-01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3" s="30" t="e">
        <f>VLOOKUP(B113,'Train Runs'!$A$13:$A$99935,1,FALSE)</f>
        <v>#N/A</v>
      </c>
    </row>
    <row r="114" spans="1:10" x14ac:dyDescent="0.25">
      <c r="A114" s="185"/>
      <c r="B114" s="43" t="str">
        <f>A114&amp;"-"&amp;IF(DAY(Variables!$A$2)&lt;10,0,"")&amp;DAY(Variables!$A$2)</f>
        <v>-01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4" s="30" t="e">
        <f>VLOOKUP(B114,'Train Runs'!$A$13:$A$99935,1,FALSE)</f>
        <v>#N/A</v>
      </c>
    </row>
  </sheetData>
  <autoFilter ref="A2:J11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42795.03460648148</v>
      </c>
      <c r="B2" s="20" t="s">
        <v>217</v>
      </c>
      <c r="C2" s="20" t="s">
        <v>382</v>
      </c>
      <c r="D2" s="150">
        <v>1740000</v>
      </c>
      <c r="E2" s="20" t="s">
        <v>226</v>
      </c>
      <c r="F2" s="20" t="s">
        <v>227</v>
      </c>
      <c r="G2" s="8" t="str">
        <f>E2&amp;" "&amp;F2</f>
        <v>STORY SAMANTHA</v>
      </c>
    </row>
    <row r="3" spans="1:7" x14ac:dyDescent="0.25">
      <c r="A3" s="8">
        <v>42795.052523148152</v>
      </c>
      <c r="B3" s="20" t="s">
        <v>327</v>
      </c>
      <c r="C3" s="20" t="s">
        <v>383</v>
      </c>
      <c r="D3" s="150">
        <v>1810000</v>
      </c>
      <c r="E3" s="20" t="s">
        <v>205</v>
      </c>
      <c r="F3" s="20" t="s">
        <v>199</v>
      </c>
      <c r="G3" s="8" t="str">
        <f t="shared" ref="G3:G66" si="0">E3&amp;" "&amp;F3</f>
        <v>NEWELL JAMES</v>
      </c>
    </row>
    <row r="4" spans="1:7" x14ac:dyDescent="0.25">
      <c r="A4" s="8">
        <v>42795.058912037035</v>
      </c>
      <c r="B4" s="20" t="s">
        <v>249</v>
      </c>
      <c r="C4" s="20" t="s">
        <v>384</v>
      </c>
      <c r="D4" s="150">
        <v>2000000</v>
      </c>
      <c r="E4" s="20" t="s">
        <v>305</v>
      </c>
      <c r="F4" s="20" t="s">
        <v>199</v>
      </c>
      <c r="G4" s="8" t="str">
        <f t="shared" si="0"/>
        <v>STAMBAUGH JAMES</v>
      </c>
    </row>
    <row r="5" spans="1:7" x14ac:dyDescent="0.25">
      <c r="A5" s="8">
        <v>42795.075578703705</v>
      </c>
      <c r="B5" s="20" t="s">
        <v>310</v>
      </c>
      <c r="C5" s="20" t="s">
        <v>385</v>
      </c>
      <c r="D5" s="150">
        <v>1740000</v>
      </c>
      <c r="E5" s="20" t="s">
        <v>226</v>
      </c>
      <c r="F5" s="20" t="s">
        <v>227</v>
      </c>
      <c r="G5" s="8" t="str">
        <f t="shared" si="0"/>
        <v>STORY SAMANTHA</v>
      </c>
    </row>
    <row r="6" spans="1:7" x14ac:dyDescent="0.25">
      <c r="A6" s="8">
        <v>42795.076909722222</v>
      </c>
      <c r="B6" s="20" t="s">
        <v>216</v>
      </c>
      <c r="C6" s="20" t="s">
        <v>386</v>
      </c>
      <c r="D6" s="150">
        <v>2730000</v>
      </c>
      <c r="E6" s="20" t="s">
        <v>264</v>
      </c>
      <c r="F6" s="20" t="s">
        <v>265</v>
      </c>
      <c r="G6" s="8" t="str">
        <f t="shared" si="0"/>
        <v>YANG JAN</v>
      </c>
    </row>
    <row r="7" spans="1:7" x14ac:dyDescent="0.25">
      <c r="A7" s="8">
        <v>42795.08966435185</v>
      </c>
      <c r="B7" s="20" t="s">
        <v>248</v>
      </c>
      <c r="C7" s="20" t="s">
        <v>387</v>
      </c>
      <c r="D7" s="150">
        <v>2000000</v>
      </c>
      <c r="E7" s="20" t="s">
        <v>305</v>
      </c>
      <c r="F7" s="20" t="s">
        <v>199</v>
      </c>
      <c r="G7" s="8" t="str">
        <f t="shared" si="0"/>
        <v>STAMBAUGH JAMES</v>
      </c>
    </row>
    <row r="8" spans="1:7" x14ac:dyDescent="0.25">
      <c r="A8" s="8">
        <v>42795.097881944443</v>
      </c>
      <c r="B8" s="20" t="s">
        <v>217</v>
      </c>
      <c r="C8" s="20" t="s">
        <v>388</v>
      </c>
      <c r="D8" s="150">
        <v>2730000</v>
      </c>
      <c r="E8" s="20" t="s">
        <v>264</v>
      </c>
      <c r="F8" s="20" t="s">
        <v>265</v>
      </c>
      <c r="G8" s="8" t="str">
        <f t="shared" si="0"/>
        <v>YANG JAN</v>
      </c>
    </row>
    <row r="9" spans="1:7" ht="15.75" thickBot="1" x14ac:dyDescent="0.3">
      <c r="A9" s="24">
        <v>42795.120428240742</v>
      </c>
      <c r="B9" s="20" t="s">
        <v>372</v>
      </c>
      <c r="C9" s="20" t="s">
        <v>475</v>
      </c>
      <c r="D9" s="150">
        <v>2550000</v>
      </c>
      <c r="E9" s="20" t="s">
        <v>476</v>
      </c>
      <c r="F9" s="20" t="s">
        <v>477</v>
      </c>
      <c r="G9" s="8" t="str">
        <f t="shared" si="0"/>
        <v>BADERTSCHER DIANE</v>
      </c>
    </row>
    <row r="10" spans="1:7" x14ac:dyDescent="0.25">
      <c r="A10" s="8">
        <v>42795.130277777775</v>
      </c>
      <c r="B10" s="20" t="s">
        <v>478</v>
      </c>
      <c r="C10" s="20" t="s">
        <v>479</v>
      </c>
      <c r="D10" s="150">
        <v>2550000</v>
      </c>
      <c r="E10" s="20" t="s">
        <v>476</v>
      </c>
      <c r="F10" s="20" t="s">
        <v>477</v>
      </c>
      <c r="G10" s="8" t="str">
        <f t="shared" si="0"/>
        <v>BADERTSCHER DIANE</v>
      </c>
    </row>
    <row r="11" spans="1:7" x14ac:dyDescent="0.25">
      <c r="A11" s="8">
        <v>42795.142569444448</v>
      </c>
      <c r="B11" s="20" t="s">
        <v>429</v>
      </c>
      <c r="C11" s="20" t="s">
        <v>480</v>
      </c>
      <c r="D11" s="150">
        <v>2010000</v>
      </c>
      <c r="E11" s="20" t="s">
        <v>308</v>
      </c>
      <c r="F11" s="20" t="s">
        <v>309</v>
      </c>
      <c r="G11" s="8" t="str">
        <f t="shared" si="0"/>
        <v>MAELZER KURT</v>
      </c>
    </row>
    <row r="12" spans="1:7" x14ac:dyDescent="0.25">
      <c r="A12" s="8">
        <v>42795.152581018519</v>
      </c>
      <c r="B12" s="20" t="s">
        <v>431</v>
      </c>
      <c r="C12" s="20" t="s">
        <v>481</v>
      </c>
      <c r="D12" s="150">
        <v>2010000</v>
      </c>
      <c r="E12" s="20" t="s">
        <v>308</v>
      </c>
      <c r="F12" s="20" t="s">
        <v>309</v>
      </c>
      <c r="G12" s="8" t="str">
        <f t="shared" si="0"/>
        <v>MAELZER KURT</v>
      </c>
    </row>
    <row r="13" spans="1:7" x14ac:dyDescent="0.25">
      <c r="A13" s="8">
        <v>42795.161944444444</v>
      </c>
      <c r="B13" s="20" t="s">
        <v>250</v>
      </c>
      <c r="C13" s="20" t="s">
        <v>428</v>
      </c>
      <c r="D13" s="150">
        <v>1100000</v>
      </c>
      <c r="E13" s="20" t="s">
        <v>482</v>
      </c>
      <c r="F13" s="20" t="s">
        <v>483</v>
      </c>
      <c r="G13" s="8" t="str">
        <f t="shared" si="0"/>
        <v>GEBRETEKLE DAGNEW</v>
      </c>
    </row>
    <row r="14" spans="1:7" x14ac:dyDescent="0.25">
      <c r="A14" s="8">
        <v>42795.169247685182</v>
      </c>
      <c r="B14" s="20" t="s">
        <v>208</v>
      </c>
      <c r="C14" s="20" t="s">
        <v>484</v>
      </c>
      <c r="D14" s="150">
        <v>940000</v>
      </c>
      <c r="E14" s="20" t="s">
        <v>485</v>
      </c>
      <c r="F14" s="20" t="s">
        <v>486</v>
      </c>
      <c r="G14" s="8" t="str">
        <f t="shared" si="0"/>
        <v>BONDS REYNALDO</v>
      </c>
    </row>
    <row r="15" spans="1:7" x14ac:dyDescent="0.25">
      <c r="A15" s="8">
        <v>42795.170613425929</v>
      </c>
      <c r="B15" s="20" t="s">
        <v>372</v>
      </c>
      <c r="C15" s="20" t="s">
        <v>487</v>
      </c>
      <c r="D15" s="150">
        <v>2550000</v>
      </c>
      <c r="E15" s="20" t="s">
        <v>476</v>
      </c>
      <c r="F15" s="20" t="s">
        <v>477</v>
      </c>
      <c r="G15" s="8" t="str">
        <f t="shared" si="0"/>
        <v>BADERTSCHER DIANE</v>
      </c>
    </row>
    <row r="16" spans="1:7" x14ac:dyDescent="0.25">
      <c r="A16" s="8">
        <v>42795.172627314816</v>
      </c>
      <c r="B16" s="20" t="s">
        <v>208</v>
      </c>
      <c r="C16" s="20" t="s">
        <v>484</v>
      </c>
      <c r="D16" s="150">
        <v>940000</v>
      </c>
      <c r="E16" s="20" t="s">
        <v>485</v>
      </c>
      <c r="F16" s="20" t="s">
        <v>486</v>
      </c>
      <c r="G16" s="8" t="str">
        <f t="shared" si="0"/>
        <v>BONDS REYNALDO</v>
      </c>
    </row>
    <row r="17" spans="1:7" x14ac:dyDescent="0.25">
      <c r="A17" s="8">
        <v>42795.173622685186</v>
      </c>
      <c r="B17" s="20" t="s">
        <v>208</v>
      </c>
      <c r="C17" s="20" t="s">
        <v>484</v>
      </c>
      <c r="D17" s="150">
        <v>940000</v>
      </c>
      <c r="E17" s="20" t="s">
        <v>485</v>
      </c>
      <c r="F17" s="20" t="s">
        <v>486</v>
      </c>
      <c r="G17" s="8" t="str">
        <f t="shared" si="0"/>
        <v>BONDS REYNALDO</v>
      </c>
    </row>
    <row r="18" spans="1:7" x14ac:dyDescent="0.25">
      <c r="A18" s="8">
        <v>42795.174108796295</v>
      </c>
      <c r="B18" s="20" t="s">
        <v>488</v>
      </c>
      <c r="C18" s="20" t="s">
        <v>489</v>
      </c>
      <c r="D18" s="150">
        <v>1100000</v>
      </c>
      <c r="E18" s="20" t="s">
        <v>482</v>
      </c>
      <c r="F18" s="20" t="s">
        <v>483</v>
      </c>
      <c r="G18" s="8" t="str">
        <f t="shared" si="0"/>
        <v>GEBRETEKLE DAGNEW</v>
      </c>
    </row>
    <row r="19" spans="1:7" x14ac:dyDescent="0.25">
      <c r="A19" s="8">
        <v>42795.174513888887</v>
      </c>
      <c r="B19" s="20" t="s">
        <v>208</v>
      </c>
      <c r="C19" s="20" t="s">
        <v>484</v>
      </c>
      <c r="D19" s="150">
        <v>940000</v>
      </c>
      <c r="E19" s="20" t="s">
        <v>485</v>
      </c>
      <c r="F19" s="20" t="s">
        <v>486</v>
      </c>
      <c r="G19" s="8" t="str">
        <f t="shared" si="0"/>
        <v>BONDS REYNALDO</v>
      </c>
    </row>
    <row r="20" spans="1:7" x14ac:dyDescent="0.25">
      <c r="A20" s="8">
        <v>42795.174942129626</v>
      </c>
      <c r="B20" s="20" t="s">
        <v>488</v>
      </c>
      <c r="C20" s="20" t="s">
        <v>489</v>
      </c>
      <c r="D20" s="150">
        <v>1100000</v>
      </c>
      <c r="E20" s="20" t="s">
        <v>482</v>
      </c>
      <c r="F20" s="20" t="s">
        <v>483</v>
      </c>
      <c r="G20" s="8" t="str">
        <f t="shared" si="0"/>
        <v>GEBRETEKLE DAGNEW</v>
      </c>
    </row>
    <row r="21" spans="1:7" x14ac:dyDescent="0.25">
      <c r="A21" s="8">
        <v>42795.181354166663</v>
      </c>
      <c r="B21" s="20" t="s">
        <v>447</v>
      </c>
      <c r="C21" s="20" t="s">
        <v>490</v>
      </c>
      <c r="D21" s="150">
        <v>1360000</v>
      </c>
      <c r="E21" s="20" t="s">
        <v>306</v>
      </c>
      <c r="F21" s="20" t="s">
        <v>307</v>
      </c>
      <c r="G21" s="8" t="str">
        <f t="shared" si="0"/>
        <v>SANTIZO D. EDY</v>
      </c>
    </row>
    <row r="22" spans="1:7" x14ac:dyDescent="0.25">
      <c r="A22" s="26">
        <v>42795.182245370372</v>
      </c>
      <c r="B22" s="20" t="s">
        <v>223</v>
      </c>
      <c r="C22" s="20" t="s">
        <v>491</v>
      </c>
      <c r="D22" s="150">
        <v>940000</v>
      </c>
      <c r="E22" s="20" t="s">
        <v>485</v>
      </c>
      <c r="F22" s="20" t="s">
        <v>486</v>
      </c>
      <c r="G22" s="8" t="str">
        <f t="shared" si="0"/>
        <v>BONDS REYNALDO</v>
      </c>
    </row>
    <row r="23" spans="1:7" x14ac:dyDescent="0.25">
      <c r="A23" s="8">
        <v>42795.183194444442</v>
      </c>
      <c r="B23" s="20" t="s">
        <v>223</v>
      </c>
      <c r="C23" s="20" t="s">
        <v>491</v>
      </c>
      <c r="D23" s="150">
        <v>940000</v>
      </c>
      <c r="E23" s="20" t="s">
        <v>485</v>
      </c>
      <c r="F23" s="20" t="s">
        <v>486</v>
      </c>
      <c r="G23" s="8" t="str">
        <f t="shared" si="0"/>
        <v>BONDS REYNALDO</v>
      </c>
    </row>
    <row r="24" spans="1:7" x14ac:dyDescent="0.25">
      <c r="A24" s="8">
        <v>42795.189386574071</v>
      </c>
      <c r="B24" s="20" t="s">
        <v>429</v>
      </c>
      <c r="C24" s="20" t="s">
        <v>430</v>
      </c>
      <c r="D24" s="150">
        <v>2010000</v>
      </c>
      <c r="E24" s="20" t="s">
        <v>308</v>
      </c>
      <c r="F24" s="20" t="s">
        <v>309</v>
      </c>
      <c r="G24" s="8" t="str">
        <f t="shared" si="0"/>
        <v>MAELZER KURT</v>
      </c>
    </row>
    <row r="25" spans="1:7" x14ac:dyDescent="0.25">
      <c r="A25" s="8">
        <v>42795.192685185182</v>
      </c>
      <c r="B25" s="20" t="s">
        <v>492</v>
      </c>
      <c r="C25" s="20" t="s">
        <v>493</v>
      </c>
      <c r="D25" s="150">
        <v>1360000</v>
      </c>
      <c r="E25" s="20" t="s">
        <v>306</v>
      </c>
      <c r="F25" s="20" t="s">
        <v>307</v>
      </c>
      <c r="G25" s="8" t="str">
        <f t="shared" si="0"/>
        <v>SANTIZO D. EDY</v>
      </c>
    </row>
    <row r="26" spans="1:7" x14ac:dyDescent="0.25">
      <c r="A26" s="8">
        <v>42795.202488425923</v>
      </c>
      <c r="B26" s="20" t="s">
        <v>216</v>
      </c>
      <c r="C26" s="20" t="s">
        <v>494</v>
      </c>
      <c r="D26" s="150">
        <v>900000</v>
      </c>
      <c r="E26" s="20" t="s">
        <v>375</v>
      </c>
      <c r="F26" s="20" t="s">
        <v>376</v>
      </c>
      <c r="G26" s="8" t="str">
        <f t="shared" si="0"/>
        <v>ROCHA YAOTL</v>
      </c>
    </row>
    <row r="27" spans="1:7" x14ac:dyDescent="0.25">
      <c r="A27" s="8">
        <v>42795.203692129631</v>
      </c>
      <c r="B27" s="20" t="s">
        <v>283</v>
      </c>
      <c r="C27" s="20" t="s">
        <v>495</v>
      </c>
      <c r="D27" s="150">
        <v>1830000</v>
      </c>
      <c r="E27" s="20" t="s">
        <v>251</v>
      </c>
      <c r="F27" s="20" t="s">
        <v>252</v>
      </c>
      <c r="G27" s="8" t="str">
        <f t="shared" si="0"/>
        <v>YORK EDGAR</v>
      </c>
    </row>
    <row r="28" spans="1:7" x14ac:dyDescent="0.25">
      <c r="A28" s="8">
        <v>42795.207233796296</v>
      </c>
      <c r="B28" s="20" t="s">
        <v>250</v>
      </c>
      <c r="C28" s="20" t="s">
        <v>433</v>
      </c>
      <c r="D28" s="150">
        <v>1100000</v>
      </c>
      <c r="E28" s="20" t="s">
        <v>482</v>
      </c>
      <c r="F28" s="20" t="s">
        <v>483</v>
      </c>
      <c r="G28" s="8" t="str">
        <f t="shared" si="0"/>
        <v>GEBRETEKLE DAGNEW</v>
      </c>
    </row>
    <row r="29" spans="1:7" x14ac:dyDescent="0.25">
      <c r="A29" s="8">
        <v>42795.21261574074</v>
      </c>
      <c r="B29" s="20" t="s">
        <v>381</v>
      </c>
      <c r="C29" s="20" t="s">
        <v>496</v>
      </c>
      <c r="D29" s="150">
        <v>2550000</v>
      </c>
      <c r="E29" s="20" t="s">
        <v>476</v>
      </c>
      <c r="F29" s="20" t="s">
        <v>477</v>
      </c>
      <c r="G29" s="8" t="str">
        <f t="shared" si="0"/>
        <v>BADERTSCHER DIANE</v>
      </c>
    </row>
    <row r="30" spans="1:7" x14ac:dyDescent="0.25">
      <c r="A30" s="8">
        <v>42795.215173611112</v>
      </c>
      <c r="B30" s="20" t="s">
        <v>281</v>
      </c>
      <c r="C30" s="20" t="s">
        <v>497</v>
      </c>
      <c r="D30" s="150">
        <v>1830000</v>
      </c>
      <c r="E30" s="20" t="s">
        <v>251</v>
      </c>
      <c r="F30" s="20" t="s">
        <v>252</v>
      </c>
      <c r="G30" s="8" t="str">
        <f t="shared" si="0"/>
        <v>YORK EDGAR</v>
      </c>
    </row>
    <row r="31" spans="1:7" x14ac:dyDescent="0.25">
      <c r="A31" s="8">
        <v>42795.224849537037</v>
      </c>
      <c r="B31" s="20" t="s">
        <v>208</v>
      </c>
      <c r="C31" s="20" t="s">
        <v>498</v>
      </c>
      <c r="D31" s="150">
        <v>940000</v>
      </c>
      <c r="E31" s="20" t="s">
        <v>485</v>
      </c>
      <c r="F31" s="20" t="s">
        <v>486</v>
      </c>
      <c r="G31" s="8" t="str">
        <f t="shared" si="0"/>
        <v>BONDS REYNALDO</v>
      </c>
    </row>
    <row r="32" spans="1:7" x14ac:dyDescent="0.25">
      <c r="A32" s="8">
        <v>42795.226400462961</v>
      </c>
      <c r="B32" s="20" t="s">
        <v>447</v>
      </c>
      <c r="C32" s="20" t="s">
        <v>499</v>
      </c>
      <c r="D32" s="150">
        <v>1360000</v>
      </c>
      <c r="E32" s="20" t="s">
        <v>306</v>
      </c>
      <c r="F32" s="20" t="s">
        <v>307</v>
      </c>
      <c r="G32" s="8" t="str">
        <f t="shared" si="0"/>
        <v>SANTIZO D. EDY</v>
      </c>
    </row>
    <row r="33" spans="1:7" x14ac:dyDescent="0.25">
      <c r="A33" s="8">
        <v>42795.227013888885</v>
      </c>
      <c r="B33" s="20" t="s">
        <v>283</v>
      </c>
      <c r="C33" s="20" t="s">
        <v>500</v>
      </c>
      <c r="D33" s="150">
        <v>1830000</v>
      </c>
      <c r="E33" s="20" t="s">
        <v>251</v>
      </c>
      <c r="F33" s="20" t="s">
        <v>252</v>
      </c>
      <c r="G33" s="8" t="str">
        <f t="shared" si="0"/>
        <v>YORK EDGAR</v>
      </c>
    </row>
    <row r="34" spans="1:7" x14ac:dyDescent="0.25">
      <c r="A34" s="8">
        <v>42795.229097222225</v>
      </c>
      <c r="B34" s="20" t="s">
        <v>431</v>
      </c>
      <c r="C34" s="20" t="s">
        <v>432</v>
      </c>
      <c r="D34" s="150">
        <v>1110000</v>
      </c>
      <c r="E34" s="20" t="s">
        <v>329</v>
      </c>
      <c r="F34" s="20" t="s">
        <v>330</v>
      </c>
      <c r="G34" s="8" t="str">
        <f t="shared" si="0"/>
        <v>STARKS ANGELINA</v>
      </c>
    </row>
    <row r="35" spans="1:7" x14ac:dyDescent="0.25">
      <c r="A35" s="8">
        <v>42795.24658564815</v>
      </c>
      <c r="B35" s="20" t="s">
        <v>217</v>
      </c>
      <c r="C35" s="20" t="s">
        <v>501</v>
      </c>
      <c r="D35" s="150">
        <v>900000</v>
      </c>
      <c r="E35" s="20" t="s">
        <v>375</v>
      </c>
      <c r="F35" s="20" t="s">
        <v>376</v>
      </c>
      <c r="G35" s="8" t="str">
        <f t="shared" si="0"/>
        <v>ROCHA YAOTL</v>
      </c>
    </row>
    <row r="36" spans="1:7" x14ac:dyDescent="0.25">
      <c r="A36" s="8">
        <v>42795.248217592591</v>
      </c>
      <c r="B36" s="20" t="s">
        <v>488</v>
      </c>
      <c r="C36" s="20" t="s">
        <v>502</v>
      </c>
      <c r="D36" s="150">
        <v>1100000</v>
      </c>
      <c r="E36" s="20" t="s">
        <v>482</v>
      </c>
      <c r="F36" s="20" t="s">
        <v>483</v>
      </c>
      <c r="G36" s="8" t="str">
        <f t="shared" si="0"/>
        <v>GEBRETEKLE DAGNEW</v>
      </c>
    </row>
    <row r="37" spans="1:7" x14ac:dyDescent="0.25">
      <c r="A37" s="8">
        <v>42795.24832175926</v>
      </c>
      <c r="B37" s="20" t="s">
        <v>372</v>
      </c>
      <c r="C37" s="20" t="s">
        <v>503</v>
      </c>
      <c r="D37" s="150">
        <v>2550000</v>
      </c>
      <c r="E37" s="20" t="s">
        <v>476</v>
      </c>
      <c r="F37" s="20" t="s">
        <v>477</v>
      </c>
      <c r="G37" s="8" t="str">
        <f t="shared" si="0"/>
        <v>BADERTSCHER DIANE</v>
      </c>
    </row>
    <row r="38" spans="1:7" x14ac:dyDescent="0.25">
      <c r="A38" s="8">
        <v>42795.249166666668</v>
      </c>
      <c r="B38" s="20" t="s">
        <v>488</v>
      </c>
      <c r="C38" s="20" t="s">
        <v>502</v>
      </c>
      <c r="D38" s="150">
        <v>1100000</v>
      </c>
      <c r="E38" s="20" t="s">
        <v>482</v>
      </c>
      <c r="F38" s="20" t="s">
        <v>483</v>
      </c>
      <c r="G38" s="8" t="str">
        <f t="shared" si="0"/>
        <v>GEBRETEKLE DAGNEW</v>
      </c>
    </row>
    <row r="39" spans="1:7" x14ac:dyDescent="0.25">
      <c r="A39" s="8">
        <v>42795.249340277776</v>
      </c>
      <c r="B39" s="20" t="s">
        <v>504</v>
      </c>
      <c r="C39" s="20" t="s">
        <v>505</v>
      </c>
      <c r="D39" s="150">
        <v>2010000</v>
      </c>
      <c r="E39" s="20" t="s">
        <v>308</v>
      </c>
      <c r="F39" s="20" t="s">
        <v>309</v>
      </c>
      <c r="G39" s="8" t="str">
        <f t="shared" si="0"/>
        <v>MAELZER KURT</v>
      </c>
    </row>
    <row r="40" spans="1:7" x14ac:dyDescent="0.25">
      <c r="A40" s="8">
        <v>42795.249340277776</v>
      </c>
      <c r="B40" s="25" t="s">
        <v>212</v>
      </c>
      <c r="C40" s="20" t="s">
        <v>506</v>
      </c>
      <c r="D40" s="150">
        <v>890000</v>
      </c>
      <c r="E40" s="20" t="s">
        <v>373</v>
      </c>
      <c r="F40" s="20" t="s">
        <v>374</v>
      </c>
      <c r="G40" s="8" t="str">
        <f t="shared" si="0"/>
        <v>LOZA FIDEL</v>
      </c>
    </row>
    <row r="41" spans="1:7" x14ac:dyDescent="0.25">
      <c r="A41" s="8">
        <v>42795.250717592593</v>
      </c>
      <c r="B41" s="20" t="s">
        <v>504</v>
      </c>
      <c r="C41" s="20" t="s">
        <v>505</v>
      </c>
      <c r="D41" s="150">
        <v>2010000</v>
      </c>
      <c r="E41" s="20" t="s">
        <v>308</v>
      </c>
      <c r="F41" s="20" t="s">
        <v>309</v>
      </c>
      <c r="G41" s="8" t="str">
        <f t="shared" si="0"/>
        <v>MAELZER KURT</v>
      </c>
    </row>
    <row r="42" spans="1:7" x14ac:dyDescent="0.25">
      <c r="A42" s="8">
        <v>42795.254490740743</v>
      </c>
      <c r="B42" s="20" t="s">
        <v>281</v>
      </c>
      <c r="C42" s="20" t="s">
        <v>434</v>
      </c>
      <c r="D42" s="150">
        <v>1830000</v>
      </c>
      <c r="E42" s="20" t="s">
        <v>251</v>
      </c>
      <c r="F42" s="20" t="s">
        <v>252</v>
      </c>
      <c r="G42" s="8" t="str">
        <f t="shared" si="0"/>
        <v>YORK EDGAR</v>
      </c>
    </row>
    <row r="43" spans="1:7" x14ac:dyDescent="0.25">
      <c r="A43" s="8">
        <v>42795.258657407408</v>
      </c>
      <c r="B43" s="20" t="s">
        <v>223</v>
      </c>
      <c r="C43" s="20" t="s">
        <v>507</v>
      </c>
      <c r="D43" s="150">
        <v>1120000</v>
      </c>
      <c r="E43" s="20" t="s">
        <v>335</v>
      </c>
      <c r="F43" s="20" t="s">
        <v>336</v>
      </c>
      <c r="G43" s="8" t="str">
        <f t="shared" si="0"/>
        <v>LOCKLEAR TRAVIS</v>
      </c>
    </row>
    <row r="44" spans="1:7" x14ac:dyDescent="0.25">
      <c r="A44" s="8">
        <v>42795.264155092591</v>
      </c>
      <c r="B44" s="20" t="s">
        <v>231</v>
      </c>
      <c r="C44" s="20" t="s">
        <v>508</v>
      </c>
      <c r="D44" s="150">
        <v>890000</v>
      </c>
      <c r="E44" s="20" t="s">
        <v>373</v>
      </c>
      <c r="F44" s="20" t="s">
        <v>374</v>
      </c>
      <c r="G44" s="8" t="str">
        <f t="shared" si="0"/>
        <v>LOZA FIDEL</v>
      </c>
    </row>
    <row r="45" spans="1:7" x14ac:dyDescent="0.25">
      <c r="A45" s="8">
        <v>42795.2659375</v>
      </c>
      <c r="B45" s="20" t="s">
        <v>436</v>
      </c>
      <c r="C45" s="20" t="s">
        <v>437</v>
      </c>
      <c r="D45" s="150">
        <v>1110000</v>
      </c>
      <c r="E45" s="20" t="s">
        <v>329</v>
      </c>
      <c r="F45" s="20" t="s">
        <v>330</v>
      </c>
      <c r="G45" s="8" t="str">
        <f t="shared" si="0"/>
        <v>STARKS ANGELINA</v>
      </c>
    </row>
    <row r="46" spans="1:7" x14ac:dyDescent="0.25">
      <c r="A46" s="8">
        <v>42795.268784722219</v>
      </c>
      <c r="B46" s="20" t="s">
        <v>492</v>
      </c>
      <c r="C46" s="20" t="s">
        <v>509</v>
      </c>
      <c r="D46" s="150">
        <v>1360000</v>
      </c>
      <c r="E46" s="20" t="s">
        <v>306</v>
      </c>
      <c r="F46" s="20" t="s">
        <v>307</v>
      </c>
      <c r="G46" s="8" t="str">
        <f t="shared" si="0"/>
        <v>SANTIZO D. EDY</v>
      </c>
    </row>
    <row r="47" spans="1:7" x14ac:dyDescent="0.25">
      <c r="A47" s="8">
        <v>42795.269988425927</v>
      </c>
      <c r="B47" s="20" t="s">
        <v>283</v>
      </c>
      <c r="C47" s="20" t="s">
        <v>510</v>
      </c>
      <c r="D47" s="150">
        <v>1830000</v>
      </c>
      <c r="E47" s="20" t="s">
        <v>251</v>
      </c>
      <c r="F47" s="20" t="s">
        <v>252</v>
      </c>
      <c r="G47" s="8" t="str">
        <f t="shared" si="0"/>
        <v>YORK EDGAR</v>
      </c>
    </row>
    <row r="48" spans="1:7" x14ac:dyDescent="0.25">
      <c r="A48" s="8">
        <v>42795.276087962964</v>
      </c>
      <c r="B48" s="20" t="s">
        <v>212</v>
      </c>
      <c r="C48" s="20" t="s">
        <v>511</v>
      </c>
      <c r="D48" s="150">
        <v>890000</v>
      </c>
      <c r="E48" s="20" t="s">
        <v>373</v>
      </c>
      <c r="F48" s="20" t="s">
        <v>374</v>
      </c>
      <c r="G48" s="8" t="str">
        <f t="shared" si="0"/>
        <v>LOZA FIDEL</v>
      </c>
    </row>
    <row r="49" spans="1:7" x14ac:dyDescent="0.25">
      <c r="A49" s="8">
        <v>42795.278958333336</v>
      </c>
      <c r="B49" s="20" t="s">
        <v>429</v>
      </c>
      <c r="C49" s="20" t="s">
        <v>438</v>
      </c>
      <c r="D49" s="150">
        <v>2010000</v>
      </c>
      <c r="E49" s="20" t="s">
        <v>308</v>
      </c>
      <c r="F49" s="20" t="s">
        <v>309</v>
      </c>
      <c r="G49" s="8" t="str">
        <f t="shared" si="0"/>
        <v>MAELZER KURT</v>
      </c>
    </row>
    <row r="50" spans="1:7" x14ac:dyDescent="0.25">
      <c r="A50" s="8">
        <v>42795.284050925926</v>
      </c>
      <c r="B50" s="20" t="s">
        <v>216</v>
      </c>
      <c r="C50" s="20" t="s">
        <v>435</v>
      </c>
      <c r="D50" s="150">
        <v>1520000</v>
      </c>
      <c r="E50" s="20" t="s">
        <v>377</v>
      </c>
      <c r="F50" s="20" t="s">
        <v>378</v>
      </c>
      <c r="G50" s="8" t="str">
        <f t="shared" si="0"/>
        <v>MAYBERRY BILL</v>
      </c>
    </row>
    <row r="51" spans="1:7" x14ac:dyDescent="0.25">
      <c r="A51" s="8">
        <v>42795.286932870367</v>
      </c>
      <c r="B51" s="20" t="s">
        <v>512</v>
      </c>
      <c r="C51" s="20" t="s">
        <v>513</v>
      </c>
      <c r="D51" s="150">
        <v>1100000</v>
      </c>
      <c r="E51" s="20" t="s">
        <v>482</v>
      </c>
      <c r="F51" s="20" t="s">
        <v>483</v>
      </c>
      <c r="G51" s="8" t="str">
        <f t="shared" si="0"/>
        <v>GEBRETEKLE DAGNEW</v>
      </c>
    </row>
    <row r="52" spans="1:7" x14ac:dyDescent="0.25">
      <c r="A52" s="8">
        <v>42795.294016203705</v>
      </c>
      <c r="B52" s="20" t="s">
        <v>381</v>
      </c>
      <c r="C52" s="20" t="s">
        <v>514</v>
      </c>
      <c r="D52" s="150">
        <v>2550000</v>
      </c>
      <c r="E52" s="20" t="s">
        <v>476</v>
      </c>
      <c r="F52" s="20" t="s">
        <v>477</v>
      </c>
      <c r="G52" s="8" t="str">
        <f t="shared" si="0"/>
        <v>BADERTSCHER DIANE</v>
      </c>
    </row>
    <row r="53" spans="1:7" x14ac:dyDescent="0.25">
      <c r="A53" s="8">
        <v>42795.297407407408</v>
      </c>
      <c r="B53" s="20" t="s">
        <v>281</v>
      </c>
      <c r="C53" s="20" t="s">
        <v>515</v>
      </c>
      <c r="D53" s="150">
        <v>1830000</v>
      </c>
      <c r="E53" s="20" t="s">
        <v>251</v>
      </c>
      <c r="F53" s="20" t="s">
        <v>252</v>
      </c>
      <c r="G53" s="8" t="str">
        <f t="shared" si="0"/>
        <v>YORK EDGAR</v>
      </c>
    </row>
    <row r="54" spans="1:7" x14ac:dyDescent="0.25">
      <c r="A54" s="8">
        <v>42795.298113425924</v>
      </c>
      <c r="B54" s="20" t="s">
        <v>447</v>
      </c>
      <c r="C54" s="20" t="s">
        <v>516</v>
      </c>
      <c r="D54" s="150">
        <v>1360000</v>
      </c>
      <c r="E54" s="20" t="s">
        <v>306</v>
      </c>
      <c r="F54" s="20" t="s">
        <v>307</v>
      </c>
      <c r="G54" s="8" t="str">
        <f t="shared" si="0"/>
        <v>SANTIZO D. EDY</v>
      </c>
    </row>
    <row r="55" spans="1:7" x14ac:dyDescent="0.25">
      <c r="A55" s="8">
        <v>42795.298148148147</v>
      </c>
      <c r="B55" s="20" t="s">
        <v>208</v>
      </c>
      <c r="C55" s="20" t="s">
        <v>439</v>
      </c>
      <c r="D55" s="150">
        <v>1120000</v>
      </c>
      <c r="E55" s="20" t="s">
        <v>335</v>
      </c>
      <c r="F55" s="20" t="s">
        <v>336</v>
      </c>
      <c r="G55" s="8" t="str">
        <f t="shared" si="0"/>
        <v>LOCKLEAR TRAVIS</v>
      </c>
    </row>
    <row r="56" spans="1:7" x14ac:dyDescent="0.25">
      <c r="A56" s="8">
        <v>42795.301412037035</v>
      </c>
      <c r="B56" s="20" t="s">
        <v>431</v>
      </c>
      <c r="C56" s="20" t="s">
        <v>517</v>
      </c>
      <c r="D56" s="150">
        <v>1110000</v>
      </c>
      <c r="E56" s="20" t="s">
        <v>329</v>
      </c>
      <c r="F56" s="20" t="s">
        <v>330</v>
      </c>
      <c r="G56" s="8" t="str">
        <f t="shared" si="0"/>
        <v>STARKS ANGELINA</v>
      </c>
    </row>
    <row r="57" spans="1:7" x14ac:dyDescent="0.25">
      <c r="A57" s="8">
        <v>42795.303587962961</v>
      </c>
      <c r="B57" s="20" t="s">
        <v>231</v>
      </c>
      <c r="C57" s="20" t="s">
        <v>518</v>
      </c>
      <c r="D57" s="150">
        <v>890000</v>
      </c>
      <c r="E57" s="20" t="s">
        <v>373</v>
      </c>
      <c r="F57" s="20" t="s">
        <v>374</v>
      </c>
      <c r="G57" s="8" t="str">
        <f t="shared" si="0"/>
        <v>LOZA FIDEL</v>
      </c>
    </row>
    <row r="58" spans="1:7" x14ac:dyDescent="0.25">
      <c r="A58" s="8">
        <v>42795.31046296296</v>
      </c>
      <c r="B58" s="20" t="s">
        <v>283</v>
      </c>
      <c r="C58" s="20" t="s">
        <v>441</v>
      </c>
      <c r="D58" s="150">
        <v>1830000</v>
      </c>
      <c r="E58" s="20" t="s">
        <v>251</v>
      </c>
      <c r="F58" s="20" t="s">
        <v>252</v>
      </c>
      <c r="G58" s="8" t="str">
        <f t="shared" si="0"/>
        <v>YORK EDGAR</v>
      </c>
    </row>
    <row r="59" spans="1:7" x14ac:dyDescent="0.25">
      <c r="A59" s="8">
        <v>42795.313622685186</v>
      </c>
      <c r="B59" s="20" t="s">
        <v>504</v>
      </c>
      <c r="C59" s="20" t="s">
        <v>519</v>
      </c>
      <c r="D59" s="150">
        <v>2010000</v>
      </c>
      <c r="E59" s="20" t="s">
        <v>308</v>
      </c>
      <c r="F59" s="20" t="s">
        <v>309</v>
      </c>
      <c r="G59" s="8" t="str">
        <f t="shared" si="0"/>
        <v>MAELZER KURT</v>
      </c>
    </row>
    <row r="60" spans="1:7" x14ac:dyDescent="0.25">
      <c r="A60" s="8">
        <v>42795.317141203705</v>
      </c>
      <c r="B60" s="20" t="s">
        <v>212</v>
      </c>
      <c r="C60" s="20" t="s">
        <v>520</v>
      </c>
      <c r="D60" s="150">
        <v>890000</v>
      </c>
      <c r="E60" s="20" t="s">
        <v>373</v>
      </c>
      <c r="F60" s="20" t="s">
        <v>374</v>
      </c>
      <c r="G60" s="8" t="str">
        <f t="shared" si="0"/>
        <v>LOZA FIDEL</v>
      </c>
    </row>
    <row r="61" spans="1:7" x14ac:dyDescent="0.25">
      <c r="A61" s="8">
        <v>42795.317928240744</v>
      </c>
      <c r="B61" s="20" t="s">
        <v>217</v>
      </c>
      <c r="C61" s="20" t="s">
        <v>440</v>
      </c>
      <c r="D61" s="150">
        <v>1520000</v>
      </c>
      <c r="E61" s="20" t="s">
        <v>377</v>
      </c>
      <c r="F61" s="20" t="s">
        <v>378</v>
      </c>
      <c r="G61" s="8" t="str">
        <f t="shared" si="0"/>
        <v>MAYBERRY BILL</v>
      </c>
    </row>
    <row r="62" spans="1:7" x14ac:dyDescent="0.25">
      <c r="A62" s="8">
        <v>42795.319143518522</v>
      </c>
      <c r="B62" s="20" t="s">
        <v>488</v>
      </c>
      <c r="C62" s="20" t="s">
        <v>521</v>
      </c>
      <c r="D62" s="150">
        <v>1100000</v>
      </c>
      <c r="E62" s="20" t="s">
        <v>482</v>
      </c>
      <c r="F62" s="20" t="s">
        <v>483</v>
      </c>
      <c r="G62" s="8" t="str">
        <f t="shared" si="0"/>
        <v>GEBRETEKLE DAGNEW</v>
      </c>
    </row>
    <row r="63" spans="1:7" x14ac:dyDescent="0.25">
      <c r="A63" s="8">
        <v>42795.328402777777</v>
      </c>
      <c r="B63" s="20" t="s">
        <v>372</v>
      </c>
      <c r="C63" s="20" t="s">
        <v>522</v>
      </c>
      <c r="D63" s="150">
        <v>2550000</v>
      </c>
      <c r="E63" s="20" t="s">
        <v>476</v>
      </c>
      <c r="F63" s="20" t="s">
        <v>477</v>
      </c>
      <c r="G63" s="8" t="str">
        <f t="shared" si="0"/>
        <v>BADERTSCHER DIANE</v>
      </c>
    </row>
    <row r="64" spans="1:7" x14ac:dyDescent="0.25">
      <c r="A64" s="26">
        <v>42795.328715277778</v>
      </c>
      <c r="B64" s="20" t="s">
        <v>223</v>
      </c>
      <c r="C64" s="20" t="s">
        <v>523</v>
      </c>
      <c r="D64" s="150">
        <v>1120000</v>
      </c>
      <c r="E64" s="20" t="s">
        <v>335</v>
      </c>
      <c r="F64" s="20" t="s">
        <v>336</v>
      </c>
      <c r="G64" s="8" t="str">
        <f t="shared" si="0"/>
        <v>LOCKLEAR TRAVIS</v>
      </c>
    </row>
    <row r="65" spans="1:7" x14ac:dyDescent="0.25">
      <c r="A65" s="8">
        <v>42795.333391203705</v>
      </c>
      <c r="B65" s="20" t="s">
        <v>436</v>
      </c>
      <c r="C65" s="20" t="s">
        <v>524</v>
      </c>
      <c r="D65" s="150">
        <v>1110000</v>
      </c>
      <c r="E65" s="20" t="s">
        <v>329</v>
      </c>
      <c r="F65" s="20" t="s">
        <v>330</v>
      </c>
      <c r="G65" s="8" t="str">
        <f t="shared" si="0"/>
        <v>STARKS ANGELINA</v>
      </c>
    </row>
    <row r="66" spans="1:7" x14ac:dyDescent="0.25">
      <c r="A66" s="8">
        <v>42795.337951388887</v>
      </c>
      <c r="B66" s="20" t="s">
        <v>281</v>
      </c>
      <c r="C66" s="20" t="s">
        <v>525</v>
      </c>
      <c r="D66" s="150">
        <v>1830000</v>
      </c>
      <c r="E66" s="20" t="s">
        <v>251</v>
      </c>
      <c r="F66" s="20" t="s">
        <v>252</v>
      </c>
      <c r="G66" s="8" t="str">
        <f t="shared" si="0"/>
        <v>YORK EDGAR</v>
      </c>
    </row>
    <row r="67" spans="1:7" x14ac:dyDescent="0.25">
      <c r="A67" s="8">
        <v>42795.340266203704</v>
      </c>
      <c r="B67" s="20" t="s">
        <v>492</v>
      </c>
      <c r="C67" s="20" t="s">
        <v>526</v>
      </c>
      <c r="D67" s="150">
        <v>1360000</v>
      </c>
      <c r="E67" s="20" t="s">
        <v>306</v>
      </c>
      <c r="F67" s="20" t="s">
        <v>307</v>
      </c>
      <c r="G67" s="8" t="str">
        <f t="shared" ref="G67:G130" si="1">E67&amp;" "&amp;F67</f>
        <v>SANTIZO D. EDY</v>
      </c>
    </row>
    <row r="68" spans="1:7" x14ac:dyDescent="0.25">
      <c r="A68" s="8">
        <v>42795.345995370371</v>
      </c>
      <c r="B68" s="20" t="s">
        <v>231</v>
      </c>
      <c r="C68" s="20" t="s">
        <v>527</v>
      </c>
      <c r="D68" s="150">
        <v>890000</v>
      </c>
      <c r="E68" s="20" t="s">
        <v>373</v>
      </c>
      <c r="F68" s="20" t="s">
        <v>374</v>
      </c>
      <c r="G68" s="8" t="str">
        <f t="shared" si="1"/>
        <v>LOZA FIDEL</v>
      </c>
    </row>
    <row r="69" spans="1:7" x14ac:dyDescent="0.25">
      <c r="A69" s="8">
        <v>42795.349965277775</v>
      </c>
      <c r="B69" s="20" t="s">
        <v>429</v>
      </c>
      <c r="C69" s="20" t="s">
        <v>528</v>
      </c>
      <c r="D69" s="150">
        <v>2010000</v>
      </c>
      <c r="E69" s="20" t="s">
        <v>308</v>
      </c>
      <c r="F69" s="20" t="s">
        <v>309</v>
      </c>
      <c r="G69" s="8" t="str">
        <f t="shared" si="1"/>
        <v>MAELZER KURT</v>
      </c>
    </row>
    <row r="70" spans="1:7" x14ac:dyDescent="0.25">
      <c r="A70" s="8">
        <v>42795.353263888886</v>
      </c>
      <c r="B70" s="20" t="s">
        <v>216</v>
      </c>
      <c r="C70" s="20" t="s">
        <v>529</v>
      </c>
      <c r="D70" s="150">
        <v>900000</v>
      </c>
      <c r="E70" s="20" t="s">
        <v>375</v>
      </c>
      <c r="F70" s="20" t="s">
        <v>376</v>
      </c>
      <c r="G70" s="8" t="str">
        <f t="shared" si="1"/>
        <v>ROCHA YAOTL</v>
      </c>
    </row>
    <row r="71" spans="1:7" x14ac:dyDescent="0.25">
      <c r="A71" s="8">
        <v>42795.353310185186</v>
      </c>
      <c r="B71" s="20" t="s">
        <v>283</v>
      </c>
      <c r="C71" s="20" t="s">
        <v>530</v>
      </c>
      <c r="D71" s="150">
        <v>1830000</v>
      </c>
      <c r="E71" s="20" t="s">
        <v>251</v>
      </c>
      <c r="F71" s="20" t="s">
        <v>252</v>
      </c>
      <c r="G71" s="8" t="str">
        <f t="shared" si="1"/>
        <v>YORK EDGAR</v>
      </c>
    </row>
    <row r="72" spans="1:7" x14ac:dyDescent="0.25">
      <c r="A72" s="8">
        <v>42795.357951388891</v>
      </c>
      <c r="B72" s="20" t="s">
        <v>512</v>
      </c>
      <c r="C72" s="20" t="s">
        <v>531</v>
      </c>
      <c r="D72" s="150">
        <v>1100000</v>
      </c>
      <c r="E72" s="20" t="s">
        <v>482</v>
      </c>
      <c r="F72" s="20" t="s">
        <v>483</v>
      </c>
      <c r="G72" s="8" t="str">
        <f t="shared" si="1"/>
        <v>GEBRETEKLE DAGNEW</v>
      </c>
    </row>
    <row r="73" spans="1:7" x14ac:dyDescent="0.25">
      <c r="A73" s="8">
        <v>42795.362025462964</v>
      </c>
      <c r="B73" s="20" t="s">
        <v>212</v>
      </c>
      <c r="C73" s="20" t="s">
        <v>532</v>
      </c>
      <c r="D73" s="150">
        <v>890000</v>
      </c>
      <c r="E73" s="20" t="s">
        <v>373</v>
      </c>
      <c r="F73" s="20" t="s">
        <v>374</v>
      </c>
      <c r="G73" s="8" t="str">
        <f t="shared" si="1"/>
        <v>LOZA FIDEL</v>
      </c>
    </row>
    <row r="74" spans="1:7" x14ac:dyDescent="0.25">
      <c r="A74" s="8">
        <v>42795.364641203705</v>
      </c>
      <c r="B74" s="20" t="s">
        <v>381</v>
      </c>
      <c r="C74" s="20" t="s">
        <v>533</v>
      </c>
      <c r="D74" s="150">
        <v>2550000</v>
      </c>
      <c r="E74" s="20" t="s">
        <v>476</v>
      </c>
      <c r="F74" s="20" t="s">
        <v>477</v>
      </c>
      <c r="G74" s="8" t="str">
        <f t="shared" si="1"/>
        <v>BADERTSCHER DIANE</v>
      </c>
    </row>
    <row r="75" spans="1:7" x14ac:dyDescent="0.25">
      <c r="A75" s="8">
        <v>42795.367743055554</v>
      </c>
      <c r="B75" s="20" t="s">
        <v>208</v>
      </c>
      <c r="C75" s="20" t="s">
        <v>534</v>
      </c>
      <c r="D75" s="150">
        <v>1120000</v>
      </c>
      <c r="E75" s="20" t="s">
        <v>335</v>
      </c>
      <c r="F75" s="20" t="s">
        <v>336</v>
      </c>
      <c r="G75" s="8" t="str">
        <f t="shared" si="1"/>
        <v>LOCKLEAR TRAVIS</v>
      </c>
    </row>
    <row r="76" spans="1:7" x14ac:dyDescent="0.25">
      <c r="A76" s="8">
        <v>42795.371018518519</v>
      </c>
      <c r="B76" s="20" t="s">
        <v>447</v>
      </c>
      <c r="C76" s="20" t="s">
        <v>535</v>
      </c>
      <c r="D76" s="150">
        <v>1360000</v>
      </c>
      <c r="E76" s="20" t="s">
        <v>306</v>
      </c>
      <c r="F76" s="20" t="s">
        <v>307</v>
      </c>
      <c r="G76" s="8" t="str">
        <f t="shared" si="1"/>
        <v>SANTIZO D. EDY</v>
      </c>
    </row>
    <row r="77" spans="1:7" x14ac:dyDescent="0.25">
      <c r="A77" s="8">
        <v>42795.371192129627</v>
      </c>
      <c r="B77" s="20" t="s">
        <v>431</v>
      </c>
      <c r="C77" s="20" t="s">
        <v>442</v>
      </c>
      <c r="D77" s="150">
        <v>1110000</v>
      </c>
      <c r="E77" s="20" t="s">
        <v>329</v>
      </c>
      <c r="F77" s="20" t="s">
        <v>330</v>
      </c>
      <c r="G77" s="8" t="str">
        <f t="shared" si="1"/>
        <v>STARKS ANGELINA</v>
      </c>
    </row>
    <row r="78" spans="1:7" x14ac:dyDescent="0.25">
      <c r="A78" s="8">
        <v>42795.38385416667</v>
      </c>
      <c r="B78" s="20" t="s">
        <v>504</v>
      </c>
      <c r="C78" s="20" t="s">
        <v>536</v>
      </c>
      <c r="D78" s="150">
        <v>2010000</v>
      </c>
      <c r="E78" s="20" t="s">
        <v>308</v>
      </c>
      <c r="F78" s="20" t="s">
        <v>309</v>
      </c>
      <c r="G78" s="8" t="str">
        <f t="shared" si="1"/>
        <v>MAELZER KURT</v>
      </c>
    </row>
    <row r="79" spans="1:7" x14ac:dyDescent="0.25">
      <c r="A79" s="8">
        <v>42795.385717592595</v>
      </c>
      <c r="B79" s="20" t="s">
        <v>231</v>
      </c>
      <c r="C79" s="20" t="s">
        <v>443</v>
      </c>
      <c r="D79" s="150">
        <v>890000</v>
      </c>
      <c r="E79" s="20" t="s">
        <v>373</v>
      </c>
      <c r="F79" s="20" t="s">
        <v>374</v>
      </c>
      <c r="G79" s="8" t="str">
        <f t="shared" si="1"/>
        <v>LOZA FIDEL</v>
      </c>
    </row>
    <row r="80" spans="1:7" x14ac:dyDescent="0.25">
      <c r="A80" s="8">
        <v>42795.389664351853</v>
      </c>
      <c r="B80" s="20" t="s">
        <v>217</v>
      </c>
      <c r="C80" s="20" t="s">
        <v>537</v>
      </c>
      <c r="D80" s="150">
        <v>900000</v>
      </c>
      <c r="E80" s="20" t="s">
        <v>375</v>
      </c>
      <c r="F80" s="20" t="s">
        <v>376</v>
      </c>
      <c r="G80" s="8" t="str">
        <f t="shared" si="1"/>
        <v>ROCHA YAOTL</v>
      </c>
    </row>
    <row r="81" spans="1:7" x14ac:dyDescent="0.25">
      <c r="A81" s="8">
        <v>42795.392048611109</v>
      </c>
      <c r="B81" s="20" t="s">
        <v>488</v>
      </c>
      <c r="C81" s="20" t="s">
        <v>538</v>
      </c>
      <c r="D81" s="150">
        <v>1100000</v>
      </c>
      <c r="E81" s="20" t="s">
        <v>482</v>
      </c>
      <c r="F81" s="20" t="s">
        <v>483</v>
      </c>
      <c r="G81" s="8" t="str">
        <f t="shared" si="1"/>
        <v>GEBRETEKLE DAGNEW</v>
      </c>
    </row>
    <row r="82" spans="1:7" x14ac:dyDescent="0.25">
      <c r="A82" s="8">
        <v>42795.394745370373</v>
      </c>
      <c r="B82" s="20" t="s">
        <v>372</v>
      </c>
      <c r="C82" s="20" t="s">
        <v>539</v>
      </c>
      <c r="D82" s="150">
        <v>2550000</v>
      </c>
      <c r="E82" s="20" t="s">
        <v>476</v>
      </c>
      <c r="F82" s="20" t="s">
        <v>477</v>
      </c>
      <c r="G82" s="8" t="str">
        <f t="shared" si="1"/>
        <v>BADERTSCHER DIANE</v>
      </c>
    </row>
    <row r="83" spans="1:7" x14ac:dyDescent="0.25">
      <c r="A83" s="8">
        <v>42795.40016203704</v>
      </c>
      <c r="B83" s="20" t="s">
        <v>212</v>
      </c>
      <c r="C83" s="20" t="s">
        <v>540</v>
      </c>
      <c r="D83" s="150">
        <v>890000</v>
      </c>
      <c r="E83" s="20" t="s">
        <v>373</v>
      </c>
      <c r="F83" s="20" t="s">
        <v>374</v>
      </c>
      <c r="G83" s="8" t="str">
        <f t="shared" si="1"/>
        <v>LOZA FIDEL</v>
      </c>
    </row>
    <row r="84" spans="1:7" x14ac:dyDescent="0.25">
      <c r="A84" s="8">
        <v>42795.402627314812</v>
      </c>
      <c r="B84" s="20" t="s">
        <v>223</v>
      </c>
      <c r="C84" s="20" t="s">
        <v>541</v>
      </c>
      <c r="D84" s="150">
        <v>1120000</v>
      </c>
      <c r="E84" s="20" t="s">
        <v>335</v>
      </c>
      <c r="F84" s="20" t="s">
        <v>336</v>
      </c>
      <c r="G84" s="8" t="str">
        <f t="shared" si="1"/>
        <v>LOCKLEAR TRAVIS</v>
      </c>
    </row>
    <row r="85" spans="1:7" x14ac:dyDescent="0.25">
      <c r="A85" s="8">
        <v>42795.403900462959</v>
      </c>
      <c r="B85" s="20" t="s">
        <v>436</v>
      </c>
      <c r="C85" s="20" t="s">
        <v>542</v>
      </c>
      <c r="D85" s="150">
        <v>1110000</v>
      </c>
      <c r="E85" s="20" t="s">
        <v>329</v>
      </c>
      <c r="F85" s="20" t="s">
        <v>330</v>
      </c>
      <c r="G85" s="8" t="str">
        <f t="shared" si="1"/>
        <v>STARKS ANGELINA</v>
      </c>
    </row>
    <row r="86" spans="1:7" x14ac:dyDescent="0.25">
      <c r="A86" s="8">
        <v>42795.412314814814</v>
      </c>
      <c r="B86" s="20" t="s">
        <v>492</v>
      </c>
      <c r="C86" s="20" t="s">
        <v>543</v>
      </c>
      <c r="D86" s="150">
        <v>1360000</v>
      </c>
      <c r="E86" s="20" t="s">
        <v>306</v>
      </c>
      <c r="F86" s="20" t="s">
        <v>307</v>
      </c>
      <c r="G86" s="8" t="str">
        <f t="shared" si="1"/>
        <v>SANTIZO D. EDY</v>
      </c>
    </row>
    <row r="87" spans="1:7" x14ac:dyDescent="0.25">
      <c r="A87" s="8">
        <v>42795.41846064815</v>
      </c>
      <c r="B87" s="20" t="s">
        <v>429</v>
      </c>
      <c r="C87" s="20" t="s">
        <v>544</v>
      </c>
      <c r="D87" s="150">
        <v>2010000</v>
      </c>
      <c r="E87" s="20" t="s">
        <v>308</v>
      </c>
      <c r="F87" s="20" t="s">
        <v>309</v>
      </c>
      <c r="G87" s="8" t="str">
        <f t="shared" si="1"/>
        <v>MAELZER KURT</v>
      </c>
    </row>
    <row r="88" spans="1:7" x14ac:dyDescent="0.25">
      <c r="A88" s="8">
        <v>42795.425011574072</v>
      </c>
      <c r="B88" s="20" t="s">
        <v>216</v>
      </c>
      <c r="C88" s="20" t="s">
        <v>545</v>
      </c>
      <c r="D88" s="150">
        <v>1520000</v>
      </c>
      <c r="E88" s="20" t="s">
        <v>377</v>
      </c>
      <c r="F88" s="20" t="s">
        <v>378</v>
      </c>
      <c r="G88" s="8" t="str">
        <f t="shared" si="1"/>
        <v>MAYBERRY BILL</v>
      </c>
    </row>
    <row r="89" spans="1:7" x14ac:dyDescent="0.25">
      <c r="A89" s="8">
        <v>42795.42895833333</v>
      </c>
      <c r="B89" s="20" t="s">
        <v>231</v>
      </c>
      <c r="C89" s="20" t="s">
        <v>444</v>
      </c>
      <c r="D89" s="150">
        <v>890000</v>
      </c>
      <c r="E89" s="20" t="s">
        <v>373</v>
      </c>
      <c r="F89" s="20" t="s">
        <v>374</v>
      </c>
      <c r="G89" s="8" t="str">
        <f t="shared" si="1"/>
        <v>LOZA FIDEL</v>
      </c>
    </row>
    <row r="90" spans="1:7" x14ac:dyDescent="0.25">
      <c r="A90" s="8">
        <v>42795.430891203701</v>
      </c>
      <c r="B90" s="20" t="s">
        <v>512</v>
      </c>
      <c r="C90" s="20" t="s">
        <v>546</v>
      </c>
      <c r="D90" s="150">
        <v>1100000</v>
      </c>
      <c r="E90" s="20" t="s">
        <v>482</v>
      </c>
      <c r="F90" s="20" t="s">
        <v>483</v>
      </c>
      <c r="G90" s="8" t="str">
        <f t="shared" si="1"/>
        <v>GEBRETEKLE DAGNEW</v>
      </c>
    </row>
    <row r="91" spans="1:7" x14ac:dyDescent="0.25">
      <c r="A91" s="8">
        <v>42795.43408564815</v>
      </c>
      <c r="B91" s="20" t="s">
        <v>381</v>
      </c>
      <c r="C91" s="20" t="s">
        <v>547</v>
      </c>
      <c r="D91" s="150">
        <v>1830000</v>
      </c>
      <c r="E91" s="20" t="s">
        <v>251</v>
      </c>
      <c r="F91" s="20" t="s">
        <v>252</v>
      </c>
      <c r="G91" s="8" t="str">
        <f t="shared" si="1"/>
        <v>YORK EDGAR</v>
      </c>
    </row>
    <row r="92" spans="1:7" x14ac:dyDescent="0.25">
      <c r="A92" s="8">
        <v>42795.443194444444</v>
      </c>
      <c r="B92" s="20" t="s">
        <v>212</v>
      </c>
      <c r="C92" s="20" t="s">
        <v>446</v>
      </c>
      <c r="D92" s="150">
        <v>890000</v>
      </c>
      <c r="E92" s="20" t="s">
        <v>373</v>
      </c>
      <c r="F92" s="20" t="s">
        <v>374</v>
      </c>
      <c r="G92" s="8" t="str">
        <f t="shared" si="1"/>
        <v>LOZA FIDEL</v>
      </c>
    </row>
    <row r="93" spans="1:7" x14ac:dyDescent="0.25">
      <c r="A93" s="8">
        <v>42795.44363425926</v>
      </c>
      <c r="B93" s="20" t="s">
        <v>208</v>
      </c>
      <c r="C93" s="20" t="s">
        <v>548</v>
      </c>
      <c r="D93" s="150">
        <v>940000</v>
      </c>
      <c r="E93" s="20" t="s">
        <v>485</v>
      </c>
      <c r="F93" s="20" t="s">
        <v>486</v>
      </c>
      <c r="G93" s="8" t="str">
        <f t="shared" si="1"/>
        <v>BONDS REYNALDO</v>
      </c>
    </row>
    <row r="94" spans="1:7" x14ac:dyDescent="0.25">
      <c r="A94" s="8">
        <v>42795.444340277776</v>
      </c>
      <c r="B94" s="20" t="s">
        <v>431</v>
      </c>
      <c r="C94" s="20" t="s">
        <v>445</v>
      </c>
      <c r="D94" s="150">
        <v>1110000</v>
      </c>
      <c r="E94" s="20" t="s">
        <v>329</v>
      </c>
      <c r="F94" s="20" t="s">
        <v>330</v>
      </c>
      <c r="G94" s="8" t="str">
        <f t="shared" si="1"/>
        <v>STARKS ANGELINA</v>
      </c>
    </row>
    <row r="95" spans="1:7" x14ac:dyDescent="0.25">
      <c r="A95" s="8">
        <v>42795.444351851853</v>
      </c>
      <c r="B95" s="20" t="s">
        <v>447</v>
      </c>
      <c r="C95" s="20" t="s">
        <v>448</v>
      </c>
      <c r="D95" s="150">
        <v>1360000</v>
      </c>
      <c r="E95" s="20" t="s">
        <v>306</v>
      </c>
      <c r="F95" s="20" t="s">
        <v>307</v>
      </c>
      <c r="G95" s="8" t="str">
        <f t="shared" si="1"/>
        <v>SANTIZO D. EDY</v>
      </c>
    </row>
    <row r="96" spans="1:7" x14ac:dyDescent="0.25">
      <c r="A96" s="8">
        <v>42795.455185185187</v>
      </c>
      <c r="B96" s="20" t="s">
        <v>504</v>
      </c>
      <c r="C96" s="20" t="s">
        <v>549</v>
      </c>
      <c r="D96" s="150">
        <v>930000</v>
      </c>
      <c r="E96" s="20" t="s">
        <v>333</v>
      </c>
      <c r="F96" s="20" t="s">
        <v>334</v>
      </c>
      <c r="G96" s="8" t="str">
        <f t="shared" si="1"/>
        <v>CLARK KATHLEEN</v>
      </c>
    </row>
    <row r="97" spans="1:7" x14ac:dyDescent="0.25">
      <c r="A97" s="8">
        <v>42795.459166666667</v>
      </c>
      <c r="B97" s="20" t="s">
        <v>217</v>
      </c>
      <c r="C97" s="20" t="s">
        <v>550</v>
      </c>
      <c r="D97" s="150">
        <v>1520000</v>
      </c>
      <c r="E97" s="20" t="s">
        <v>377</v>
      </c>
      <c r="F97" s="20" t="s">
        <v>378</v>
      </c>
      <c r="G97" s="8" t="str">
        <f t="shared" si="1"/>
        <v>MAYBERRY BILL</v>
      </c>
    </row>
    <row r="98" spans="1:7" x14ac:dyDescent="0.25">
      <c r="A98" s="8">
        <v>42795.463472222225</v>
      </c>
      <c r="B98" s="20" t="s">
        <v>372</v>
      </c>
      <c r="C98" s="20" t="s">
        <v>551</v>
      </c>
      <c r="D98" s="150">
        <v>1830000</v>
      </c>
      <c r="E98" s="20" t="s">
        <v>251</v>
      </c>
      <c r="F98" s="20" t="s">
        <v>252</v>
      </c>
      <c r="G98" s="8" t="str">
        <f t="shared" si="1"/>
        <v>YORK EDGAR</v>
      </c>
    </row>
    <row r="99" spans="1:7" x14ac:dyDescent="0.25">
      <c r="A99" s="8">
        <v>42795.466122685182</v>
      </c>
      <c r="B99" s="20" t="s">
        <v>488</v>
      </c>
      <c r="C99" s="20" t="s">
        <v>552</v>
      </c>
      <c r="D99" s="150">
        <v>920000</v>
      </c>
      <c r="E99" s="20" t="s">
        <v>311</v>
      </c>
      <c r="F99" s="20" t="s">
        <v>202</v>
      </c>
      <c r="G99" s="8" t="str">
        <f t="shared" si="1"/>
        <v>DAVIS MICHAEL</v>
      </c>
    </row>
    <row r="100" spans="1:7" x14ac:dyDescent="0.25">
      <c r="A100" s="8">
        <v>42795.47078703704</v>
      </c>
      <c r="B100" s="20" t="s">
        <v>231</v>
      </c>
      <c r="C100" s="20" t="s">
        <v>449</v>
      </c>
      <c r="D100" s="150">
        <v>890000</v>
      </c>
      <c r="E100" s="20" t="s">
        <v>373</v>
      </c>
      <c r="F100" s="20" t="s">
        <v>374</v>
      </c>
      <c r="G100" s="8" t="str">
        <f t="shared" si="1"/>
        <v>LOZA FIDEL</v>
      </c>
    </row>
    <row r="101" spans="1:7" x14ac:dyDescent="0.25">
      <c r="A101" s="8">
        <v>42795.4766087963</v>
      </c>
      <c r="B101" s="20" t="s">
        <v>223</v>
      </c>
      <c r="C101" s="20" t="s">
        <v>553</v>
      </c>
      <c r="D101" s="150">
        <v>1180000</v>
      </c>
      <c r="E101" s="20" t="s">
        <v>339</v>
      </c>
      <c r="F101" s="20" t="s">
        <v>340</v>
      </c>
      <c r="G101" s="8" t="str">
        <f t="shared" si="1"/>
        <v>LEVERE CRAIG</v>
      </c>
    </row>
    <row r="102" spans="1:7" x14ac:dyDescent="0.25">
      <c r="A102" s="8">
        <v>42795.484467592592</v>
      </c>
      <c r="B102" s="20" t="s">
        <v>212</v>
      </c>
      <c r="C102" s="20" t="s">
        <v>554</v>
      </c>
      <c r="D102" s="150">
        <v>890000</v>
      </c>
      <c r="E102" s="20" t="s">
        <v>373</v>
      </c>
      <c r="F102" s="20" t="s">
        <v>374</v>
      </c>
      <c r="G102" s="8" t="str">
        <f t="shared" si="1"/>
        <v>LOZA FIDEL</v>
      </c>
    </row>
    <row r="103" spans="1:7" x14ac:dyDescent="0.25">
      <c r="A103" s="8">
        <v>42795.485509259262</v>
      </c>
      <c r="B103" s="20" t="s">
        <v>436</v>
      </c>
      <c r="C103" s="20" t="s">
        <v>555</v>
      </c>
      <c r="D103" s="150">
        <v>1110000</v>
      </c>
      <c r="E103" s="20" t="s">
        <v>329</v>
      </c>
      <c r="F103" s="20" t="s">
        <v>330</v>
      </c>
      <c r="G103" s="8" t="str">
        <f t="shared" si="1"/>
        <v>STARKS ANGELINA</v>
      </c>
    </row>
    <row r="104" spans="1:7" x14ac:dyDescent="0.25">
      <c r="A104" s="8">
        <v>42795.486956018518</v>
      </c>
      <c r="B104" s="20" t="s">
        <v>492</v>
      </c>
      <c r="C104" s="20" t="s">
        <v>556</v>
      </c>
      <c r="D104" s="150">
        <v>1540000</v>
      </c>
      <c r="E104" s="20" t="s">
        <v>557</v>
      </c>
      <c r="F104" s="20" t="s">
        <v>558</v>
      </c>
      <c r="G104" s="8" t="str">
        <f t="shared" si="1"/>
        <v>HELVIE ADAM</v>
      </c>
    </row>
    <row r="105" spans="1:7" x14ac:dyDescent="0.25">
      <c r="A105" s="8">
        <v>42795.494988425926</v>
      </c>
      <c r="B105" s="20" t="s">
        <v>429</v>
      </c>
      <c r="C105" s="20" t="s">
        <v>559</v>
      </c>
      <c r="D105" s="150">
        <v>930000</v>
      </c>
      <c r="E105" s="20" t="s">
        <v>333</v>
      </c>
      <c r="F105" s="20" t="s">
        <v>334</v>
      </c>
      <c r="G105" s="8" t="str">
        <f t="shared" si="1"/>
        <v>CLARK KATHLEEN</v>
      </c>
    </row>
    <row r="106" spans="1:7" x14ac:dyDescent="0.25">
      <c r="A106" s="8">
        <v>42795.498391203706</v>
      </c>
      <c r="B106" s="20" t="s">
        <v>216</v>
      </c>
      <c r="C106" s="20" t="s">
        <v>560</v>
      </c>
      <c r="D106" s="150">
        <v>2150000</v>
      </c>
      <c r="E106" s="20" t="s">
        <v>331</v>
      </c>
      <c r="F106" s="20" t="s">
        <v>332</v>
      </c>
      <c r="G106" s="8" t="str">
        <f t="shared" si="1"/>
        <v>SWANSON BRYCE</v>
      </c>
    </row>
    <row r="107" spans="1:7" x14ac:dyDescent="0.25">
      <c r="A107" s="8">
        <v>42795.500671296293</v>
      </c>
      <c r="B107" s="20" t="s">
        <v>231</v>
      </c>
      <c r="C107" s="20" t="s">
        <v>561</v>
      </c>
      <c r="D107" s="150">
        <v>890000</v>
      </c>
      <c r="E107" s="20" t="s">
        <v>373</v>
      </c>
      <c r="F107" s="20" t="s">
        <v>374</v>
      </c>
      <c r="G107" s="8" t="str">
        <f t="shared" si="1"/>
        <v>LOZA FIDEL</v>
      </c>
    </row>
    <row r="108" spans="1:7" x14ac:dyDescent="0.25">
      <c r="A108" s="8">
        <v>42795.506805555553</v>
      </c>
      <c r="B108" s="20" t="s">
        <v>512</v>
      </c>
      <c r="C108" s="20" t="s">
        <v>562</v>
      </c>
      <c r="D108" s="150">
        <v>920000</v>
      </c>
      <c r="E108" s="20" t="s">
        <v>311</v>
      </c>
      <c r="F108" s="20" t="s">
        <v>202</v>
      </c>
      <c r="G108" s="8" t="str">
        <f t="shared" si="1"/>
        <v>DAVIS MICHAEL</v>
      </c>
    </row>
    <row r="109" spans="1:7" x14ac:dyDescent="0.25">
      <c r="A109" s="8">
        <v>42795.508900462963</v>
      </c>
      <c r="B109" s="20" t="s">
        <v>381</v>
      </c>
      <c r="C109" s="20" t="s">
        <v>563</v>
      </c>
      <c r="D109" s="150">
        <v>1300000</v>
      </c>
      <c r="E109" s="20" t="s">
        <v>312</v>
      </c>
      <c r="F109" s="20" t="s">
        <v>313</v>
      </c>
      <c r="G109" s="8" t="str">
        <f t="shared" si="1"/>
        <v>LEVIN SCOTT</v>
      </c>
    </row>
    <row r="110" spans="1:7" x14ac:dyDescent="0.25">
      <c r="A110" s="8">
        <v>42795.510474537034</v>
      </c>
      <c r="B110" s="20" t="s">
        <v>208</v>
      </c>
      <c r="C110" s="20" t="s">
        <v>564</v>
      </c>
      <c r="D110" s="150">
        <v>1180000</v>
      </c>
      <c r="E110" s="20" t="s">
        <v>339</v>
      </c>
      <c r="F110" s="20" t="s">
        <v>340</v>
      </c>
      <c r="G110" s="8" t="str">
        <f t="shared" si="1"/>
        <v>LEVERE CRAIG</v>
      </c>
    </row>
    <row r="111" spans="1:7" x14ac:dyDescent="0.25">
      <c r="A111" s="8">
        <v>42795.518391203703</v>
      </c>
      <c r="B111" s="20" t="s">
        <v>431</v>
      </c>
      <c r="C111" s="20" t="s">
        <v>565</v>
      </c>
      <c r="D111" s="150">
        <v>2090000</v>
      </c>
      <c r="E111" s="20" t="s">
        <v>566</v>
      </c>
      <c r="F111" s="20" t="s">
        <v>202</v>
      </c>
      <c r="G111" s="8" t="str">
        <f t="shared" si="1"/>
        <v>HAITHCOX MICHAEL</v>
      </c>
    </row>
    <row r="112" spans="1:7" x14ac:dyDescent="0.25">
      <c r="A112" s="8">
        <v>42795.526770833334</v>
      </c>
      <c r="B112" s="20" t="s">
        <v>447</v>
      </c>
      <c r="C112" s="20" t="s">
        <v>450</v>
      </c>
      <c r="D112" s="150">
        <v>1540000</v>
      </c>
      <c r="E112" s="20" t="s">
        <v>557</v>
      </c>
      <c r="F112" s="20" t="s">
        <v>558</v>
      </c>
      <c r="G112" s="8" t="str">
        <f t="shared" si="1"/>
        <v>HELVIE ADAM</v>
      </c>
    </row>
    <row r="113" spans="1:7" x14ac:dyDescent="0.25">
      <c r="A113" s="8">
        <v>42795.527083333334</v>
      </c>
      <c r="B113" s="20" t="s">
        <v>212</v>
      </c>
      <c r="C113" s="20" t="s">
        <v>567</v>
      </c>
      <c r="D113" s="150">
        <v>890000</v>
      </c>
      <c r="E113" s="20" t="s">
        <v>373</v>
      </c>
      <c r="F113" s="20" t="s">
        <v>374</v>
      </c>
      <c r="G113" s="8" t="str">
        <f t="shared" si="1"/>
        <v>LOZA FIDEL</v>
      </c>
    </row>
    <row r="114" spans="1:7" x14ac:dyDescent="0.25">
      <c r="A114" s="8">
        <v>42795.527662037035</v>
      </c>
      <c r="B114" s="20" t="s">
        <v>217</v>
      </c>
      <c r="C114" s="20" t="s">
        <v>451</v>
      </c>
      <c r="D114" s="150">
        <v>2150000</v>
      </c>
      <c r="E114" s="20" t="s">
        <v>331</v>
      </c>
      <c r="F114" s="20" t="s">
        <v>332</v>
      </c>
      <c r="G114" s="8" t="str">
        <f t="shared" si="1"/>
        <v>SWANSON BRYCE</v>
      </c>
    </row>
    <row r="115" spans="1:7" x14ac:dyDescent="0.25">
      <c r="A115" s="8">
        <v>42795.529317129629</v>
      </c>
      <c r="B115" s="20" t="s">
        <v>504</v>
      </c>
      <c r="C115" s="20" t="s">
        <v>568</v>
      </c>
      <c r="D115" s="150">
        <v>930000</v>
      </c>
      <c r="E115" s="20" t="s">
        <v>333</v>
      </c>
      <c r="F115" s="20" t="s">
        <v>334</v>
      </c>
      <c r="G115" s="8" t="str">
        <f t="shared" si="1"/>
        <v>CLARK KATHLEEN</v>
      </c>
    </row>
    <row r="116" spans="1:7" x14ac:dyDescent="0.25">
      <c r="A116" s="8">
        <v>42795.541041666664</v>
      </c>
      <c r="B116" s="20" t="s">
        <v>192</v>
      </c>
      <c r="C116" s="20" t="s">
        <v>452</v>
      </c>
      <c r="D116" s="150">
        <v>920000</v>
      </c>
      <c r="E116" s="20" t="s">
        <v>311</v>
      </c>
      <c r="F116" s="20" t="s">
        <v>202</v>
      </c>
      <c r="G116" s="8" t="str">
        <f t="shared" si="1"/>
        <v>DAVIS MICHAEL</v>
      </c>
    </row>
    <row r="117" spans="1:7" x14ac:dyDescent="0.25">
      <c r="A117" s="8">
        <v>42795.543240740742</v>
      </c>
      <c r="B117" s="20" t="s">
        <v>372</v>
      </c>
      <c r="C117" s="20" t="s">
        <v>569</v>
      </c>
      <c r="D117" s="150">
        <v>1300000</v>
      </c>
      <c r="E117" s="20" t="s">
        <v>312</v>
      </c>
      <c r="F117" s="20" t="s">
        <v>313</v>
      </c>
      <c r="G117" s="8" t="str">
        <f t="shared" si="1"/>
        <v>LEVIN SCOTT</v>
      </c>
    </row>
    <row r="118" spans="1:7" x14ac:dyDescent="0.25">
      <c r="A118" s="8">
        <v>42795.548229166663</v>
      </c>
      <c r="B118" s="20" t="s">
        <v>223</v>
      </c>
      <c r="C118" s="20" t="s">
        <v>570</v>
      </c>
      <c r="D118" s="150">
        <v>1180000</v>
      </c>
      <c r="E118" s="20" t="s">
        <v>339</v>
      </c>
      <c r="F118" s="20" t="s">
        <v>340</v>
      </c>
      <c r="G118" s="8" t="str">
        <f t="shared" si="1"/>
        <v>LEVERE CRAIG</v>
      </c>
    </row>
    <row r="119" spans="1:7" x14ac:dyDescent="0.25">
      <c r="A119" s="8">
        <v>42795.549884259257</v>
      </c>
      <c r="B119" s="20" t="s">
        <v>231</v>
      </c>
      <c r="C119" s="20" t="s">
        <v>571</v>
      </c>
      <c r="D119" s="150">
        <v>1770000</v>
      </c>
      <c r="E119" s="20" t="s">
        <v>572</v>
      </c>
      <c r="F119" s="20" t="s">
        <v>573</v>
      </c>
      <c r="G119" s="8" t="str">
        <f t="shared" si="1"/>
        <v>BRUDER RICHARD</v>
      </c>
    </row>
    <row r="120" spans="1:7" x14ac:dyDescent="0.25">
      <c r="A120" s="8">
        <v>42795.556041666663</v>
      </c>
      <c r="B120" s="20" t="s">
        <v>436</v>
      </c>
      <c r="C120" s="20" t="s">
        <v>574</v>
      </c>
      <c r="D120" s="150">
        <v>2090000</v>
      </c>
      <c r="E120" s="20" t="s">
        <v>566</v>
      </c>
      <c r="F120" s="20" t="s">
        <v>202</v>
      </c>
      <c r="G120" s="8" t="str">
        <f t="shared" si="1"/>
        <v>HAITHCOX MICHAEL</v>
      </c>
    </row>
    <row r="121" spans="1:7" x14ac:dyDescent="0.25">
      <c r="A121" s="8">
        <v>42795.560312499998</v>
      </c>
      <c r="B121" s="20" t="s">
        <v>492</v>
      </c>
      <c r="C121" s="20" t="s">
        <v>575</v>
      </c>
      <c r="D121" s="150">
        <v>1540000</v>
      </c>
      <c r="E121" s="20" t="s">
        <v>557</v>
      </c>
      <c r="F121" s="20" t="s">
        <v>558</v>
      </c>
      <c r="G121" s="8" t="str">
        <f t="shared" si="1"/>
        <v>HELVIE ADAM</v>
      </c>
    </row>
    <row r="122" spans="1:7" x14ac:dyDescent="0.25">
      <c r="A122" s="8">
        <v>42795.564791666664</v>
      </c>
      <c r="B122" s="25" t="s">
        <v>429</v>
      </c>
      <c r="C122" s="20" t="s">
        <v>576</v>
      </c>
      <c r="D122" s="150">
        <v>930000</v>
      </c>
      <c r="E122" s="20" t="s">
        <v>333</v>
      </c>
      <c r="F122" s="20" t="s">
        <v>334</v>
      </c>
      <c r="G122" s="8" t="str">
        <f t="shared" si="1"/>
        <v>CLARK KATHLEEN</v>
      </c>
    </row>
    <row r="123" spans="1:7" x14ac:dyDescent="0.25">
      <c r="A123" s="8">
        <v>42795.568576388891</v>
      </c>
      <c r="B123" s="20" t="s">
        <v>212</v>
      </c>
      <c r="C123" s="20" t="s">
        <v>577</v>
      </c>
      <c r="D123" s="150">
        <v>1770000</v>
      </c>
      <c r="E123" s="20" t="s">
        <v>572</v>
      </c>
      <c r="F123" s="20" t="s">
        <v>573</v>
      </c>
      <c r="G123" s="8" t="str">
        <f t="shared" si="1"/>
        <v>BRUDER RICHARD</v>
      </c>
    </row>
    <row r="124" spans="1:7" x14ac:dyDescent="0.25">
      <c r="A124" s="8">
        <v>42795.571226851855</v>
      </c>
      <c r="B124" s="20" t="s">
        <v>216</v>
      </c>
      <c r="C124" s="20" t="s">
        <v>578</v>
      </c>
      <c r="D124" s="150">
        <v>2040000</v>
      </c>
      <c r="E124" s="20" t="s">
        <v>579</v>
      </c>
      <c r="F124" s="20" t="s">
        <v>580</v>
      </c>
      <c r="G124" s="8" t="str">
        <f t="shared" si="1"/>
        <v>MOSES BRADLEY</v>
      </c>
    </row>
    <row r="125" spans="1:7" x14ac:dyDescent="0.25">
      <c r="A125" s="8">
        <v>42795.579363425924</v>
      </c>
      <c r="B125" s="20" t="s">
        <v>250</v>
      </c>
      <c r="C125" s="20" t="s">
        <v>581</v>
      </c>
      <c r="D125" s="150">
        <v>920000</v>
      </c>
      <c r="E125" s="20" t="s">
        <v>311</v>
      </c>
      <c r="F125" s="20" t="s">
        <v>202</v>
      </c>
      <c r="G125" s="8" t="str">
        <f t="shared" si="1"/>
        <v>DAVIS MICHAEL</v>
      </c>
    </row>
    <row r="126" spans="1:7" x14ac:dyDescent="0.25">
      <c r="A126" s="8">
        <v>42795.579502314817</v>
      </c>
      <c r="B126" s="20" t="s">
        <v>381</v>
      </c>
      <c r="C126" s="20" t="s">
        <v>582</v>
      </c>
      <c r="D126" s="150">
        <v>1300000</v>
      </c>
      <c r="E126" s="20" t="s">
        <v>312</v>
      </c>
      <c r="F126" s="20" t="s">
        <v>313</v>
      </c>
      <c r="G126" s="8" t="str">
        <f t="shared" si="1"/>
        <v>LEVIN SCOTT</v>
      </c>
    </row>
    <row r="127" spans="1:7" x14ac:dyDescent="0.25">
      <c r="A127" s="8">
        <v>42795.580428240741</v>
      </c>
      <c r="B127" s="20" t="s">
        <v>250</v>
      </c>
      <c r="C127" s="20" t="s">
        <v>581</v>
      </c>
      <c r="D127" s="150">
        <v>920000</v>
      </c>
      <c r="E127" s="20" t="s">
        <v>311</v>
      </c>
      <c r="F127" s="20" t="s">
        <v>202</v>
      </c>
      <c r="G127" s="8" t="str">
        <f t="shared" si="1"/>
        <v>DAVIS MICHAEL</v>
      </c>
    </row>
    <row r="128" spans="1:7" x14ac:dyDescent="0.25">
      <c r="A128" s="8">
        <v>42795.581597222219</v>
      </c>
      <c r="B128" s="20" t="s">
        <v>250</v>
      </c>
      <c r="C128" s="20" t="s">
        <v>581</v>
      </c>
      <c r="D128" s="150">
        <v>920000</v>
      </c>
      <c r="E128" s="20" t="s">
        <v>311</v>
      </c>
      <c r="F128" s="20" t="s">
        <v>202</v>
      </c>
      <c r="G128" s="8" t="str">
        <f t="shared" si="1"/>
        <v>DAVIS MICHAEL</v>
      </c>
    </row>
    <row r="129" spans="1:7" x14ac:dyDescent="0.25">
      <c r="A129" s="8">
        <v>42795.582824074074</v>
      </c>
      <c r="B129" s="20" t="s">
        <v>250</v>
      </c>
      <c r="C129" s="20" t="s">
        <v>581</v>
      </c>
      <c r="D129" s="150">
        <v>920000</v>
      </c>
      <c r="E129" s="20" t="s">
        <v>311</v>
      </c>
      <c r="F129" s="20" t="s">
        <v>202</v>
      </c>
      <c r="G129" s="8" t="str">
        <f t="shared" si="1"/>
        <v>DAVIS MICHAEL</v>
      </c>
    </row>
    <row r="130" spans="1:7" x14ac:dyDescent="0.25">
      <c r="A130" s="8">
        <v>42795.585740740738</v>
      </c>
      <c r="B130" s="20" t="s">
        <v>208</v>
      </c>
      <c r="C130" s="20" t="s">
        <v>583</v>
      </c>
      <c r="D130" s="150">
        <v>1180000</v>
      </c>
      <c r="E130" s="20" t="s">
        <v>339</v>
      </c>
      <c r="F130" s="20" t="s">
        <v>340</v>
      </c>
      <c r="G130" s="8" t="str">
        <f t="shared" si="1"/>
        <v>LEVERE CRAIG</v>
      </c>
    </row>
    <row r="131" spans="1:7" x14ac:dyDescent="0.25">
      <c r="A131" s="8">
        <v>42795.594699074078</v>
      </c>
      <c r="B131" s="20" t="s">
        <v>231</v>
      </c>
      <c r="C131" s="20" t="s">
        <v>584</v>
      </c>
      <c r="D131" s="150">
        <v>1770000</v>
      </c>
      <c r="E131" s="20" t="s">
        <v>572</v>
      </c>
      <c r="F131" s="20" t="s">
        <v>573</v>
      </c>
      <c r="G131" s="8" t="str">
        <f t="shared" ref="G131:G194" si="2">E131&amp;" "&amp;F131</f>
        <v>BRUDER RICHARD</v>
      </c>
    </row>
    <row r="132" spans="1:7" x14ac:dyDescent="0.25">
      <c r="A132" s="8">
        <v>42795.59952546296</v>
      </c>
      <c r="B132" s="20" t="s">
        <v>447</v>
      </c>
      <c r="C132" s="20" t="s">
        <v>585</v>
      </c>
      <c r="D132" s="150">
        <v>1540000</v>
      </c>
      <c r="E132" s="20" t="s">
        <v>557</v>
      </c>
      <c r="F132" s="20" t="s">
        <v>558</v>
      </c>
      <c r="G132" s="8" t="str">
        <f t="shared" si="2"/>
        <v>HELVIE ADAM</v>
      </c>
    </row>
    <row r="133" spans="1:7" x14ac:dyDescent="0.25">
      <c r="A133" s="8">
        <v>42795.601724537039</v>
      </c>
      <c r="B133" s="20" t="s">
        <v>431</v>
      </c>
      <c r="C133" s="20" t="s">
        <v>586</v>
      </c>
      <c r="D133" s="150">
        <v>1190000</v>
      </c>
      <c r="E133" s="20" t="s">
        <v>587</v>
      </c>
      <c r="F133" s="20" t="s">
        <v>588</v>
      </c>
      <c r="G133" s="8" t="str">
        <f t="shared" si="2"/>
        <v>BRANNON JEFFREY</v>
      </c>
    </row>
    <row r="134" spans="1:7" x14ac:dyDescent="0.25">
      <c r="A134" s="8">
        <v>42795.602939814817</v>
      </c>
      <c r="B134" s="20" t="s">
        <v>504</v>
      </c>
      <c r="C134" s="20" t="s">
        <v>576</v>
      </c>
      <c r="D134" s="150">
        <v>930000</v>
      </c>
      <c r="E134" s="20" t="s">
        <v>333</v>
      </c>
      <c r="F134" s="20" t="s">
        <v>334</v>
      </c>
      <c r="G134" s="8" t="str">
        <f t="shared" si="2"/>
        <v>CLARK KATHLEEN</v>
      </c>
    </row>
    <row r="135" spans="1:7" x14ac:dyDescent="0.25">
      <c r="A135" s="8">
        <v>42795.60564814815</v>
      </c>
      <c r="B135" s="20" t="s">
        <v>504</v>
      </c>
      <c r="C135" s="20" t="s">
        <v>589</v>
      </c>
      <c r="D135" s="150">
        <v>930000</v>
      </c>
      <c r="E135" s="20" t="s">
        <v>333</v>
      </c>
      <c r="F135" s="20" t="s">
        <v>334</v>
      </c>
      <c r="G135" s="8" t="str">
        <f t="shared" si="2"/>
        <v>CLARK KATHLEEN</v>
      </c>
    </row>
    <row r="136" spans="1:7" x14ac:dyDescent="0.25">
      <c r="A136" s="8">
        <v>42795.607245370367</v>
      </c>
      <c r="B136" s="20" t="s">
        <v>217</v>
      </c>
      <c r="C136" s="20" t="s">
        <v>590</v>
      </c>
      <c r="D136" s="150">
        <v>2040000</v>
      </c>
      <c r="E136" s="20" t="s">
        <v>579</v>
      </c>
      <c r="F136" s="20" t="s">
        <v>580</v>
      </c>
      <c r="G136" s="8" t="str">
        <f t="shared" si="2"/>
        <v>MOSES BRADLEY</v>
      </c>
    </row>
    <row r="137" spans="1:7" x14ac:dyDescent="0.25">
      <c r="A137" s="8">
        <v>42795.609618055554</v>
      </c>
      <c r="B137" s="20" t="s">
        <v>212</v>
      </c>
      <c r="C137" s="20" t="s">
        <v>591</v>
      </c>
      <c r="D137" s="150">
        <v>1770000</v>
      </c>
      <c r="E137" s="20" t="s">
        <v>572</v>
      </c>
      <c r="F137" s="20" t="s">
        <v>573</v>
      </c>
      <c r="G137" s="8" t="str">
        <f t="shared" si="2"/>
        <v>BRUDER RICHARD</v>
      </c>
    </row>
    <row r="138" spans="1:7" x14ac:dyDescent="0.25">
      <c r="A138" s="8">
        <v>42795.616990740738</v>
      </c>
      <c r="B138" s="20" t="s">
        <v>192</v>
      </c>
      <c r="C138" s="20" t="s">
        <v>592</v>
      </c>
      <c r="D138" s="150">
        <v>920000</v>
      </c>
      <c r="E138" s="20" t="s">
        <v>311</v>
      </c>
      <c r="F138" s="20" t="s">
        <v>202</v>
      </c>
      <c r="G138" s="8" t="str">
        <f t="shared" si="2"/>
        <v>DAVIS MICHAEL</v>
      </c>
    </row>
    <row r="139" spans="1:7" x14ac:dyDescent="0.25">
      <c r="A139" s="8">
        <v>42795.618067129632</v>
      </c>
      <c r="B139" s="20" t="s">
        <v>372</v>
      </c>
      <c r="C139" s="20" t="s">
        <v>454</v>
      </c>
      <c r="D139" s="150">
        <v>1300000</v>
      </c>
      <c r="E139" s="20" t="s">
        <v>312</v>
      </c>
      <c r="F139" s="20" t="s">
        <v>313</v>
      </c>
      <c r="G139" s="8" t="str">
        <f t="shared" si="2"/>
        <v>LEVIN SCOTT</v>
      </c>
    </row>
    <row r="140" spans="1:7" x14ac:dyDescent="0.25">
      <c r="A140" s="8">
        <v>42795.622233796297</v>
      </c>
      <c r="B140" s="20" t="s">
        <v>223</v>
      </c>
      <c r="C140" s="20" t="s">
        <v>453</v>
      </c>
      <c r="D140" s="150">
        <v>1180000</v>
      </c>
      <c r="E140" s="20" t="s">
        <v>339</v>
      </c>
      <c r="F140" s="20" t="s">
        <v>340</v>
      </c>
      <c r="G140" s="8" t="str">
        <f t="shared" si="2"/>
        <v>LEVERE CRAIG</v>
      </c>
    </row>
    <row r="141" spans="1:7" x14ac:dyDescent="0.25">
      <c r="A141" s="8">
        <v>42795.631481481483</v>
      </c>
      <c r="B141" s="20" t="s">
        <v>436</v>
      </c>
      <c r="C141" s="20" t="s">
        <v>456</v>
      </c>
      <c r="D141" s="150">
        <v>1190000</v>
      </c>
      <c r="E141" s="20" t="s">
        <v>587</v>
      </c>
      <c r="F141" s="20" t="s">
        <v>588</v>
      </c>
      <c r="G141" s="8" t="str">
        <f t="shared" si="2"/>
        <v>BRANNON JEFFREY</v>
      </c>
    </row>
    <row r="142" spans="1:7" x14ac:dyDescent="0.25">
      <c r="A142" s="8">
        <v>42795.637164351851</v>
      </c>
      <c r="B142" s="20" t="s">
        <v>492</v>
      </c>
      <c r="C142" s="20" t="s">
        <v>593</v>
      </c>
      <c r="D142" s="150">
        <v>1540000</v>
      </c>
      <c r="E142" s="20" t="s">
        <v>557</v>
      </c>
      <c r="F142" s="20" t="s">
        <v>558</v>
      </c>
      <c r="G142" s="8" t="str">
        <f t="shared" si="2"/>
        <v>HELVIE ADAM</v>
      </c>
    </row>
    <row r="143" spans="1:7" x14ac:dyDescent="0.25">
      <c r="A143" s="8">
        <v>42795.637685185182</v>
      </c>
      <c r="B143" s="20" t="s">
        <v>231</v>
      </c>
      <c r="C143" s="20" t="s">
        <v>594</v>
      </c>
      <c r="D143" s="150">
        <v>1770000</v>
      </c>
      <c r="E143" s="20" t="s">
        <v>572</v>
      </c>
      <c r="F143" s="20" t="s">
        <v>573</v>
      </c>
      <c r="G143" s="8" t="str">
        <f t="shared" si="2"/>
        <v>BRUDER RICHARD</v>
      </c>
    </row>
    <row r="144" spans="1:7" x14ac:dyDescent="0.25">
      <c r="A144" s="8">
        <v>42795.639733796299</v>
      </c>
      <c r="B144" s="20" t="s">
        <v>429</v>
      </c>
      <c r="C144" s="20" t="s">
        <v>595</v>
      </c>
      <c r="D144" s="150">
        <v>930000</v>
      </c>
      <c r="E144" s="20" t="s">
        <v>333</v>
      </c>
      <c r="F144" s="20" t="s">
        <v>334</v>
      </c>
      <c r="G144" s="8" t="str">
        <f t="shared" si="2"/>
        <v>CLARK KATHLEEN</v>
      </c>
    </row>
    <row r="145" spans="1:7" x14ac:dyDescent="0.25">
      <c r="A145" s="8">
        <v>42795.644201388888</v>
      </c>
      <c r="B145" s="20" t="s">
        <v>216</v>
      </c>
      <c r="C145" s="20" t="s">
        <v>596</v>
      </c>
      <c r="D145" s="150">
        <v>2150000</v>
      </c>
      <c r="E145" s="20" t="s">
        <v>331</v>
      </c>
      <c r="F145" s="20" t="s">
        <v>332</v>
      </c>
      <c r="G145" s="8" t="str">
        <f t="shared" si="2"/>
        <v>SWANSON BRYCE</v>
      </c>
    </row>
    <row r="146" spans="1:7" x14ac:dyDescent="0.25">
      <c r="A146" s="8">
        <v>42795.64472222222</v>
      </c>
      <c r="B146" s="20" t="s">
        <v>281</v>
      </c>
      <c r="C146" s="20" t="s">
        <v>455</v>
      </c>
      <c r="D146" s="150">
        <v>1800000</v>
      </c>
      <c r="E146" s="20" t="s">
        <v>236</v>
      </c>
      <c r="F146" s="20" t="s">
        <v>237</v>
      </c>
      <c r="G146" s="8" t="str">
        <f t="shared" si="2"/>
        <v>CHANDLER KELVIN</v>
      </c>
    </row>
    <row r="147" spans="1:7" x14ac:dyDescent="0.25">
      <c r="A147" s="8">
        <v>42795.650914351849</v>
      </c>
      <c r="B147" s="20" t="s">
        <v>212</v>
      </c>
      <c r="C147" s="20" t="s">
        <v>597</v>
      </c>
      <c r="D147" s="150">
        <v>1770000</v>
      </c>
      <c r="E147" s="20" t="s">
        <v>572</v>
      </c>
      <c r="F147" s="20" t="s">
        <v>573</v>
      </c>
      <c r="G147" s="8" t="str">
        <f t="shared" si="2"/>
        <v>BRUDER RICHARD</v>
      </c>
    </row>
    <row r="148" spans="1:7" x14ac:dyDescent="0.25">
      <c r="A148" s="8">
        <v>42795.651944444442</v>
      </c>
      <c r="B148" s="20" t="s">
        <v>250</v>
      </c>
      <c r="C148" s="20" t="s">
        <v>598</v>
      </c>
      <c r="D148" s="150">
        <v>920000</v>
      </c>
      <c r="E148" s="20" t="s">
        <v>311</v>
      </c>
      <c r="F148" s="20" t="s">
        <v>202</v>
      </c>
      <c r="G148" s="8" t="str">
        <f t="shared" si="2"/>
        <v>DAVIS MICHAEL</v>
      </c>
    </row>
    <row r="149" spans="1:7" x14ac:dyDescent="0.25">
      <c r="A149" s="8">
        <v>42795.6565625</v>
      </c>
      <c r="B149" s="20" t="s">
        <v>381</v>
      </c>
      <c r="C149" s="20" t="s">
        <v>457</v>
      </c>
      <c r="D149" s="150">
        <v>1300000</v>
      </c>
      <c r="E149" s="20" t="s">
        <v>312</v>
      </c>
      <c r="F149" s="20" t="s">
        <v>313</v>
      </c>
      <c r="G149" s="8" t="str">
        <f t="shared" si="2"/>
        <v>LEVIN SCOTT</v>
      </c>
    </row>
    <row r="150" spans="1:7" x14ac:dyDescent="0.25">
      <c r="A150" s="8">
        <v>42795.657430555555</v>
      </c>
      <c r="B150" s="20" t="s">
        <v>208</v>
      </c>
      <c r="C150" s="20" t="s">
        <v>599</v>
      </c>
      <c r="D150" s="150">
        <v>1180000</v>
      </c>
      <c r="E150" s="20" t="s">
        <v>339</v>
      </c>
      <c r="F150" s="20" t="s">
        <v>340</v>
      </c>
      <c r="G150" s="8" t="str">
        <f t="shared" si="2"/>
        <v>LEVERE CRAIG</v>
      </c>
    </row>
    <row r="151" spans="1:7" x14ac:dyDescent="0.25">
      <c r="A151" s="8">
        <v>42795.659479166665</v>
      </c>
      <c r="B151" s="20" t="s">
        <v>283</v>
      </c>
      <c r="C151" s="20" t="s">
        <v>600</v>
      </c>
      <c r="D151" s="150">
        <v>1800000</v>
      </c>
      <c r="E151" s="20" t="s">
        <v>236</v>
      </c>
      <c r="F151" s="20" t="s">
        <v>237</v>
      </c>
      <c r="G151" s="8" t="str">
        <f t="shared" si="2"/>
        <v>CHANDLER KELVIN</v>
      </c>
    </row>
    <row r="152" spans="1:7" x14ac:dyDescent="0.25">
      <c r="A152" s="8">
        <v>42795.662581018521</v>
      </c>
      <c r="B152" s="20" t="s">
        <v>431</v>
      </c>
      <c r="C152" s="20" t="s">
        <v>601</v>
      </c>
      <c r="D152" s="150">
        <v>1190000</v>
      </c>
      <c r="E152" s="20" t="s">
        <v>587</v>
      </c>
      <c r="F152" s="20" t="s">
        <v>588</v>
      </c>
      <c r="G152" s="8" t="str">
        <f t="shared" si="2"/>
        <v>BRANNON JEFFREY</v>
      </c>
    </row>
    <row r="153" spans="1:7" x14ac:dyDescent="0.25">
      <c r="A153" s="8">
        <v>42795.669606481482</v>
      </c>
      <c r="B153" s="20" t="s">
        <v>447</v>
      </c>
      <c r="C153" s="20" t="s">
        <v>460</v>
      </c>
      <c r="D153" s="150">
        <v>1540000</v>
      </c>
      <c r="E153" s="20" t="s">
        <v>557</v>
      </c>
      <c r="F153" s="20" t="s">
        <v>558</v>
      </c>
      <c r="G153" s="8" t="str">
        <f t="shared" si="2"/>
        <v>HELVIE ADAM</v>
      </c>
    </row>
    <row r="154" spans="1:7" x14ac:dyDescent="0.25">
      <c r="A154" s="8">
        <v>42795.672685185185</v>
      </c>
      <c r="B154" s="20" t="s">
        <v>281</v>
      </c>
      <c r="C154" s="20" t="s">
        <v>458</v>
      </c>
      <c r="D154" s="150">
        <v>1800000</v>
      </c>
      <c r="E154" s="20" t="s">
        <v>236</v>
      </c>
      <c r="F154" s="20" t="s">
        <v>237</v>
      </c>
      <c r="G154" s="8" t="str">
        <f t="shared" si="2"/>
        <v>CHANDLER KELVIN</v>
      </c>
    </row>
    <row r="155" spans="1:7" x14ac:dyDescent="0.25">
      <c r="A155" s="8">
        <v>42795.675509259258</v>
      </c>
      <c r="B155" s="20" t="s">
        <v>217</v>
      </c>
      <c r="C155" s="20" t="s">
        <v>602</v>
      </c>
      <c r="D155" s="150">
        <v>2150000</v>
      </c>
      <c r="E155" s="20" t="s">
        <v>331</v>
      </c>
      <c r="F155" s="20" t="s">
        <v>332</v>
      </c>
      <c r="G155" s="8" t="str">
        <f t="shared" si="2"/>
        <v>SWANSON BRYCE</v>
      </c>
    </row>
    <row r="156" spans="1:7" x14ac:dyDescent="0.25">
      <c r="A156" s="8">
        <v>42795.675833333335</v>
      </c>
      <c r="B156" s="20" t="s">
        <v>504</v>
      </c>
      <c r="C156" s="20" t="s">
        <v>603</v>
      </c>
      <c r="D156" s="150">
        <v>930000</v>
      </c>
      <c r="E156" s="20" t="s">
        <v>333</v>
      </c>
      <c r="F156" s="20" t="s">
        <v>334</v>
      </c>
      <c r="G156" s="8" t="str">
        <f t="shared" si="2"/>
        <v>CLARK KATHLEEN</v>
      </c>
    </row>
    <row r="157" spans="1:7" x14ac:dyDescent="0.25">
      <c r="A157" s="8">
        <v>42795.677615740744</v>
      </c>
      <c r="B157" s="20" t="s">
        <v>231</v>
      </c>
      <c r="C157" s="20" t="s">
        <v>459</v>
      </c>
      <c r="D157" s="150">
        <v>1770000</v>
      </c>
      <c r="E157" s="20" t="s">
        <v>572</v>
      </c>
      <c r="F157" s="20" t="s">
        <v>573</v>
      </c>
      <c r="G157" s="8" t="str">
        <f t="shared" si="2"/>
        <v>BRUDER RICHARD</v>
      </c>
    </row>
    <row r="158" spans="1:7" x14ac:dyDescent="0.25">
      <c r="A158" s="8">
        <v>42795.688101851854</v>
      </c>
      <c r="B158" s="20" t="s">
        <v>192</v>
      </c>
      <c r="C158" s="20" t="s">
        <v>604</v>
      </c>
      <c r="D158" s="150">
        <v>920000</v>
      </c>
      <c r="E158" s="20" t="s">
        <v>311</v>
      </c>
      <c r="F158" s="20" t="s">
        <v>202</v>
      </c>
      <c r="G158" s="8" t="str">
        <f t="shared" si="2"/>
        <v>DAVIS MICHAEL</v>
      </c>
    </row>
    <row r="159" spans="1:7" x14ac:dyDescent="0.25">
      <c r="A159" s="8">
        <v>42795.692812499998</v>
      </c>
      <c r="B159" s="20" t="s">
        <v>212</v>
      </c>
      <c r="C159" s="20" t="s">
        <v>605</v>
      </c>
      <c r="D159" s="150">
        <v>1770000</v>
      </c>
      <c r="E159" s="20" t="s">
        <v>572</v>
      </c>
      <c r="F159" s="20" t="s">
        <v>573</v>
      </c>
      <c r="G159" s="8" t="str">
        <f t="shared" si="2"/>
        <v>BRUDER RICHARD</v>
      </c>
    </row>
    <row r="160" spans="1:7" x14ac:dyDescent="0.25">
      <c r="A160" s="8">
        <v>42795.693495370368</v>
      </c>
      <c r="B160" s="20" t="s">
        <v>372</v>
      </c>
      <c r="C160" s="20" t="s">
        <v>606</v>
      </c>
      <c r="D160" s="150">
        <v>1300000</v>
      </c>
      <c r="E160" s="20" t="s">
        <v>312</v>
      </c>
      <c r="F160" s="20" t="s">
        <v>313</v>
      </c>
      <c r="G160" s="8" t="str">
        <f t="shared" si="2"/>
        <v>LEVIN SCOTT</v>
      </c>
    </row>
    <row r="161" spans="1:7" x14ac:dyDescent="0.25">
      <c r="A161" s="8">
        <v>42795.695844907408</v>
      </c>
      <c r="B161" s="20" t="s">
        <v>223</v>
      </c>
      <c r="C161" s="20" t="s">
        <v>607</v>
      </c>
      <c r="D161" s="150">
        <v>1180000</v>
      </c>
      <c r="E161" s="20" t="s">
        <v>339</v>
      </c>
      <c r="F161" s="20" t="s">
        <v>340</v>
      </c>
      <c r="G161" s="8" t="str">
        <f t="shared" si="2"/>
        <v>LEVERE CRAIG</v>
      </c>
    </row>
    <row r="162" spans="1:7" x14ac:dyDescent="0.25">
      <c r="A162" s="8">
        <v>42795.70040509259</v>
      </c>
      <c r="B162" s="20" t="s">
        <v>283</v>
      </c>
      <c r="C162" s="20" t="s">
        <v>608</v>
      </c>
      <c r="D162" s="150">
        <v>1800000</v>
      </c>
      <c r="E162" s="20" t="s">
        <v>236</v>
      </c>
      <c r="F162" s="20" t="s">
        <v>237</v>
      </c>
      <c r="G162" s="8" t="str">
        <f t="shared" si="2"/>
        <v>CHANDLER KELVIN</v>
      </c>
    </row>
    <row r="163" spans="1:7" x14ac:dyDescent="0.25">
      <c r="A163" s="8">
        <v>42795.703368055554</v>
      </c>
      <c r="B163" s="20" t="s">
        <v>436</v>
      </c>
      <c r="C163" s="20" t="s">
        <v>609</v>
      </c>
      <c r="D163" s="150">
        <v>1190000</v>
      </c>
      <c r="E163" s="20" t="s">
        <v>587</v>
      </c>
      <c r="F163" s="20" t="s">
        <v>588</v>
      </c>
      <c r="G163" s="8" t="str">
        <f t="shared" si="2"/>
        <v>BRANNON JEFFREY</v>
      </c>
    </row>
    <row r="164" spans="1:7" x14ac:dyDescent="0.25">
      <c r="A164" s="8">
        <v>42795.706655092596</v>
      </c>
      <c r="B164" s="20" t="s">
        <v>492</v>
      </c>
      <c r="C164" s="20" t="s">
        <v>610</v>
      </c>
      <c r="D164" s="150">
        <v>1540000</v>
      </c>
      <c r="E164" s="20" t="s">
        <v>557</v>
      </c>
      <c r="F164" s="20" t="s">
        <v>558</v>
      </c>
      <c r="G164" s="8" t="str">
        <f t="shared" si="2"/>
        <v>HELVIE ADAM</v>
      </c>
    </row>
    <row r="165" spans="1:7" x14ac:dyDescent="0.25">
      <c r="A165" s="8">
        <v>42795.712094907409</v>
      </c>
      <c r="B165" s="20" t="s">
        <v>429</v>
      </c>
      <c r="C165" s="20" t="s">
        <v>463</v>
      </c>
      <c r="D165" s="150">
        <v>930000</v>
      </c>
      <c r="E165" s="20" t="s">
        <v>333</v>
      </c>
      <c r="F165" s="20" t="s">
        <v>334</v>
      </c>
      <c r="G165" s="8" t="str">
        <f t="shared" si="2"/>
        <v>CLARK KATHLEEN</v>
      </c>
    </row>
    <row r="166" spans="1:7" x14ac:dyDescent="0.25">
      <c r="A166" s="8">
        <v>42795.714375000003</v>
      </c>
      <c r="B166" s="20" t="s">
        <v>281</v>
      </c>
      <c r="C166" s="20" t="s">
        <v>462</v>
      </c>
      <c r="D166" s="150">
        <v>1800000</v>
      </c>
      <c r="E166" s="20" t="s">
        <v>236</v>
      </c>
      <c r="F166" s="20" t="s">
        <v>237</v>
      </c>
      <c r="G166" s="8" t="str">
        <f t="shared" si="2"/>
        <v>CHANDLER KELVIN</v>
      </c>
    </row>
    <row r="167" spans="1:7" x14ac:dyDescent="0.25">
      <c r="A167" s="8">
        <v>42795.716736111113</v>
      </c>
      <c r="B167" s="20" t="s">
        <v>216</v>
      </c>
      <c r="C167" s="20" t="s">
        <v>611</v>
      </c>
      <c r="D167" s="150">
        <v>2370000</v>
      </c>
      <c r="E167" s="20" t="s">
        <v>285</v>
      </c>
      <c r="F167" s="20" t="s">
        <v>286</v>
      </c>
      <c r="G167" s="8" t="str">
        <f t="shared" si="2"/>
        <v>DELGADO DIANAH</v>
      </c>
    </row>
    <row r="168" spans="1:7" x14ac:dyDescent="0.25">
      <c r="A168" s="8">
        <v>42795.716851851852</v>
      </c>
      <c r="B168" s="20" t="s">
        <v>371</v>
      </c>
      <c r="C168" s="20" t="s">
        <v>461</v>
      </c>
      <c r="D168" s="150">
        <v>1740000</v>
      </c>
      <c r="E168" s="20" t="s">
        <v>226</v>
      </c>
      <c r="F168" s="20" t="s">
        <v>227</v>
      </c>
      <c r="G168" s="8" t="str">
        <f t="shared" si="2"/>
        <v>STORY SAMANTHA</v>
      </c>
    </row>
    <row r="169" spans="1:7" x14ac:dyDescent="0.25">
      <c r="A169" s="8">
        <v>42795.718969907408</v>
      </c>
      <c r="B169" s="20" t="s">
        <v>231</v>
      </c>
      <c r="C169" s="20" t="s">
        <v>612</v>
      </c>
      <c r="D169" s="150">
        <v>1770000</v>
      </c>
      <c r="E169" s="20" t="s">
        <v>572</v>
      </c>
      <c r="F169" s="20" t="s">
        <v>573</v>
      </c>
      <c r="G169" s="8" t="str">
        <f t="shared" si="2"/>
        <v>BRUDER RICHARD</v>
      </c>
    </row>
    <row r="170" spans="1:7" x14ac:dyDescent="0.25">
      <c r="A170" s="8">
        <v>42795.725219907406</v>
      </c>
      <c r="B170" s="20" t="s">
        <v>250</v>
      </c>
      <c r="C170" s="20" t="s">
        <v>613</v>
      </c>
      <c r="D170" s="150">
        <v>920000</v>
      </c>
      <c r="E170" s="20" t="s">
        <v>311</v>
      </c>
      <c r="F170" s="20" t="s">
        <v>202</v>
      </c>
      <c r="G170" s="8" t="str">
        <f t="shared" si="2"/>
        <v>DAVIS MICHAEL</v>
      </c>
    </row>
    <row r="171" spans="1:7" x14ac:dyDescent="0.25">
      <c r="A171" s="8">
        <v>42795.72550925926</v>
      </c>
      <c r="B171" s="20" t="s">
        <v>381</v>
      </c>
      <c r="C171" s="20" t="s">
        <v>614</v>
      </c>
      <c r="D171" s="150">
        <v>2150000</v>
      </c>
      <c r="E171" s="20" t="s">
        <v>331</v>
      </c>
      <c r="F171" s="20" t="s">
        <v>332</v>
      </c>
      <c r="G171" s="8" t="str">
        <f t="shared" si="2"/>
        <v>SWANSON BRYCE</v>
      </c>
    </row>
    <row r="172" spans="1:7" x14ac:dyDescent="0.25">
      <c r="A172" s="8">
        <v>42795.731122685182</v>
      </c>
      <c r="B172" s="20" t="s">
        <v>208</v>
      </c>
      <c r="C172" s="20" t="s">
        <v>615</v>
      </c>
      <c r="D172" s="150">
        <v>1180000</v>
      </c>
      <c r="E172" s="20" t="s">
        <v>339</v>
      </c>
      <c r="F172" s="20" t="s">
        <v>340</v>
      </c>
      <c r="G172" s="8" t="str">
        <f t="shared" si="2"/>
        <v>LEVERE CRAIG</v>
      </c>
    </row>
    <row r="173" spans="1:7" x14ac:dyDescent="0.25">
      <c r="A173" s="8">
        <v>42795.73133101852</v>
      </c>
      <c r="B173" s="20" t="s">
        <v>488</v>
      </c>
      <c r="C173" s="20" t="s">
        <v>616</v>
      </c>
      <c r="D173" s="150">
        <v>1760000</v>
      </c>
      <c r="E173" s="20" t="s">
        <v>379</v>
      </c>
      <c r="F173" s="20" t="s">
        <v>380</v>
      </c>
      <c r="G173" s="8" t="str">
        <f t="shared" si="2"/>
        <v>STRICKLAND EVAN</v>
      </c>
    </row>
    <row r="174" spans="1:7" x14ac:dyDescent="0.25">
      <c r="A174" s="8">
        <v>42795.733622685184</v>
      </c>
      <c r="B174" s="20" t="s">
        <v>488</v>
      </c>
      <c r="C174" s="20" t="s">
        <v>616</v>
      </c>
      <c r="D174" s="150">
        <v>1760000</v>
      </c>
      <c r="E174" s="20" t="s">
        <v>379</v>
      </c>
      <c r="F174" s="20" t="s">
        <v>380</v>
      </c>
      <c r="G174" s="8" t="str">
        <f t="shared" si="2"/>
        <v>STRICKLAND EVAN</v>
      </c>
    </row>
    <row r="175" spans="1:7" x14ac:dyDescent="0.25">
      <c r="A175" s="8">
        <v>42795.734490740739</v>
      </c>
      <c r="B175" s="20" t="s">
        <v>212</v>
      </c>
      <c r="C175" s="20" t="s">
        <v>617</v>
      </c>
      <c r="D175" s="150">
        <v>1770000</v>
      </c>
      <c r="E175" s="20" t="s">
        <v>572</v>
      </c>
      <c r="F175" s="20" t="s">
        <v>573</v>
      </c>
      <c r="G175" s="8" t="str">
        <f t="shared" si="2"/>
        <v>BRUDER RICHARD</v>
      </c>
    </row>
    <row r="176" spans="1:7" x14ac:dyDescent="0.25">
      <c r="A176" s="8">
        <v>42795.738217592596</v>
      </c>
      <c r="B176" s="20" t="s">
        <v>431</v>
      </c>
      <c r="C176" s="20" t="s">
        <v>618</v>
      </c>
      <c r="D176" s="150">
        <v>1740000</v>
      </c>
      <c r="E176" s="20" t="s">
        <v>226</v>
      </c>
      <c r="F176" s="20" t="s">
        <v>227</v>
      </c>
      <c r="G176" s="8" t="str">
        <f t="shared" si="2"/>
        <v>STORY SAMANTHA</v>
      </c>
    </row>
    <row r="177" spans="1:7" x14ac:dyDescent="0.25">
      <c r="A177" s="8">
        <v>42795.741967592592</v>
      </c>
      <c r="B177" s="20" t="s">
        <v>283</v>
      </c>
      <c r="C177" s="20" t="s">
        <v>619</v>
      </c>
      <c r="D177" s="150">
        <v>1800000</v>
      </c>
      <c r="E177" s="20" t="s">
        <v>236</v>
      </c>
      <c r="F177" s="20" t="s">
        <v>237</v>
      </c>
      <c r="G177" s="8" t="str">
        <f t="shared" si="2"/>
        <v>CHANDLER KELVIN</v>
      </c>
    </row>
    <row r="178" spans="1:7" x14ac:dyDescent="0.25">
      <c r="A178" s="8">
        <v>42795.743981481479</v>
      </c>
      <c r="B178" s="20" t="s">
        <v>447</v>
      </c>
      <c r="C178" s="20" t="s">
        <v>620</v>
      </c>
      <c r="D178" s="150">
        <v>1540000</v>
      </c>
      <c r="E178" s="20" t="s">
        <v>557</v>
      </c>
      <c r="F178" s="20" t="s">
        <v>558</v>
      </c>
      <c r="G178" s="8" t="str">
        <f t="shared" si="2"/>
        <v>HELVIE ADAM</v>
      </c>
    </row>
    <row r="179" spans="1:7" x14ac:dyDescent="0.25">
      <c r="A179" s="8">
        <v>42795.747430555559</v>
      </c>
      <c r="B179" s="20" t="s">
        <v>504</v>
      </c>
      <c r="C179" s="20" t="s">
        <v>621</v>
      </c>
      <c r="D179" s="150">
        <v>1190000</v>
      </c>
      <c r="E179" s="20" t="s">
        <v>587</v>
      </c>
      <c r="F179" s="20" t="s">
        <v>588</v>
      </c>
      <c r="G179" s="8" t="str">
        <f t="shared" si="2"/>
        <v>BRANNON JEFFREY</v>
      </c>
    </row>
    <row r="180" spans="1:7" x14ac:dyDescent="0.25">
      <c r="A180" s="8">
        <v>42795.751261574071</v>
      </c>
      <c r="B180" s="20" t="s">
        <v>217</v>
      </c>
      <c r="C180" s="20" t="s">
        <v>622</v>
      </c>
      <c r="D180" s="150">
        <v>2370000</v>
      </c>
      <c r="E180" s="20" t="s">
        <v>285</v>
      </c>
      <c r="F180" s="20" t="s">
        <v>286</v>
      </c>
      <c r="G180" s="8" t="str">
        <f t="shared" si="2"/>
        <v>DELGADO DIANAH</v>
      </c>
    </row>
    <row r="181" spans="1:7" x14ac:dyDescent="0.25">
      <c r="A181" s="8">
        <v>42795.753784722219</v>
      </c>
      <c r="B181" s="20" t="s">
        <v>370</v>
      </c>
      <c r="C181" s="20" t="s">
        <v>623</v>
      </c>
      <c r="D181" s="150">
        <v>930000</v>
      </c>
      <c r="E181" s="20" t="s">
        <v>333</v>
      </c>
      <c r="F181" s="20" t="s">
        <v>334</v>
      </c>
      <c r="G181" s="8" t="str">
        <f t="shared" si="2"/>
        <v>CLARK KATHLEEN</v>
      </c>
    </row>
    <row r="182" spans="1:7" x14ac:dyDescent="0.25">
      <c r="A182" s="8">
        <v>42795.757615740738</v>
      </c>
      <c r="B182" s="20" t="s">
        <v>281</v>
      </c>
      <c r="C182" s="20" t="s">
        <v>624</v>
      </c>
      <c r="D182" s="150">
        <v>1800000</v>
      </c>
      <c r="E182" s="20" t="s">
        <v>236</v>
      </c>
      <c r="F182" s="20" t="s">
        <v>237</v>
      </c>
      <c r="G182" s="8" t="str">
        <f t="shared" si="2"/>
        <v>CHANDLER KELVIN</v>
      </c>
    </row>
    <row r="183" spans="1:7" x14ac:dyDescent="0.25">
      <c r="A183" s="8">
        <v>42795.7578125</v>
      </c>
      <c r="B183" s="20" t="s">
        <v>372</v>
      </c>
      <c r="C183" s="20" t="s">
        <v>614</v>
      </c>
      <c r="D183" s="150">
        <v>2150000</v>
      </c>
      <c r="E183" s="20" t="s">
        <v>331</v>
      </c>
      <c r="F183" s="20" t="s">
        <v>332</v>
      </c>
      <c r="G183" s="8" t="str">
        <f t="shared" si="2"/>
        <v>SWANSON BRYCE</v>
      </c>
    </row>
    <row r="184" spans="1:7" x14ac:dyDescent="0.25">
      <c r="A184" s="8">
        <v>42795.758368055554</v>
      </c>
      <c r="B184" s="20" t="s">
        <v>281</v>
      </c>
      <c r="C184" s="20" t="s">
        <v>464</v>
      </c>
      <c r="D184" s="150">
        <v>1800000</v>
      </c>
      <c r="E184" s="20" t="s">
        <v>236</v>
      </c>
      <c r="F184" s="20" t="s">
        <v>237</v>
      </c>
      <c r="G184" s="8" t="str">
        <f t="shared" si="2"/>
        <v>CHANDLER KELVIN</v>
      </c>
    </row>
    <row r="185" spans="1:7" x14ac:dyDescent="0.25">
      <c r="A185" s="8">
        <v>42795.759895833333</v>
      </c>
      <c r="B185" s="20" t="s">
        <v>192</v>
      </c>
      <c r="C185" s="20" t="s">
        <v>625</v>
      </c>
      <c r="D185" s="150">
        <v>2270000</v>
      </c>
      <c r="E185" s="20" t="s">
        <v>229</v>
      </c>
      <c r="F185" s="20" t="s">
        <v>230</v>
      </c>
      <c r="G185" s="8" t="str">
        <f t="shared" si="2"/>
        <v>BROWN JACOB</v>
      </c>
    </row>
    <row r="186" spans="1:7" x14ac:dyDescent="0.25">
      <c r="A186" s="8">
        <v>42795.759895833333</v>
      </c>
      <c r="B186" s="20" t="s">
        <v>372</v>
      </c>
      <c r="C186" s="20" t="s">
        <v>626</v>
      </c>
      <c r="D186" s="150">
        <v>2150000</v>
      </c>
      <c r="E186" s="20" t="s">
        <v>331</v>
      </c>
      <c r="F186" s="20" t="s">
        <v>332</v>
      </c>
      <c r="G186" s="8" t="str">
        <f t="shared" si="2"/>
        <v>SWANSON BRYCE</v>
      </c>
    </row>
    <row r="187" spans="1:7" x14ac:dyDescent="0.25">
      <c r="A187" s="8">
        <v>42795.762395833335</v>
      </c>
      <c r="B187" s="20" t="s">
        <v>231</v>
      </c>
      <c r="C187" s="20" t="s">
        <v>627</v>
      </c>
      <c r="D187" s="150">
        <v>1770000</v>
      </c>
      <c r="E187" s="20" t="s">
        <v>572</v>
      </c>
      <c r="F187" s="20" t="s">
        <v>573</v>
      </c>
      <c r="G187" s="8" t="str">
        <f t="shared" si="2"/>
        <v>BRUDER RICHARD</v>
      </c>
    </row>
    <row r="188" spans="1:7" x14ac:dyDescent="0.25">
      <c r="A188" s="8">
        <v>42795.764282407406</v>
      </c>
      <c r="B188" s="20" t="s">
        <v>281</v>
      </c>
      <c r="C188" s="20" t="s">
        <v>464</v>
      </c>
      <c r="D188" s="150">
        <v>1800000</v>
      </c>
      <c r="E188" s="20" t="s">
        <v>236</v>
      </c>
      <c r="F188" s="20" t="s">
        <v>237</v>
      </c>
      <c r="G188" s="8" t="str">
        <f t="shared" si="2"/>
        <v>CHANDLER KELVIN</v>
      </c>
    </row>
    <row r="189" spans="1:7" x14ac:dyDescent="0.25">
      <c r="A189" s="8">
        <v>42795.767083333332</v>
      </c>
      <c r="B189" s="20" t="s">
        <v>234</v>
      </c>
      <c r="C189" s="20" t="s">
        <v>628</v>
      </c>
      <c r="D189" s="150">
        <v>2530000</v>
      </c>
      <c r="E189" s="20" t="s">
        <v>337</v>
      </c>
      <c r="F189" s="20" t="s">
        <v>338</v>
      </c>
      <c r="G189" s="8" t="str">
        <f t="shared" si="2"/>
        <v>LALONDE GREGORY</v>
      </c>
    </row>
    <row r="190" spans="1:7" x14ac:dyDescent="0.25">
      <c r="A190" s="8">
        <v>42795.770810185182</v>
      </c>
      <c r="B190" s="20" t="s">
        <v>436</v>
      </c>
      <c r="C190" s="20" t="s">
        <v>629</v>
      </c>
      <c r="D190" s="150">
        <v>1740000</v>
      </c>
      <c r="E190" s="20" t="s">
        <v>226</v>
      </c>
      <c r="F190" s="20" t="s">
        <v>227</v>
      </c>
      <c r="G190" s="8" t="str">
        <f t="shared" si="2"/>
        <v>STORY SAMANTHA</v>
      </c>
    </row>
    <row r="191" spans="1:7" x14ac:dyDescent="0.25">
      <c r="A191" s="8">
        <v>42795.771793981483</v>
      </c>
      <c r="B191" s="20" t="s">
        <v>223</v>
      </c>
      <c r="C191" s="20" t="s">
        <v>465</v>
      </c>
      <c r="D191" s="150">
        <v>1810000</v>
      </c>
      <c r="E191" s="20" t="s">
        <v>205</v>
      </c>
      <c r="F191" s="20" t="s">
        <v>199</v>
      </c>
      <c r="G191" s="8" t="str">
        <f t="shared" si="2"/>
        <v>NEWELL JAMES</v>
      </c>
    </row>
    <row r="192" spans="1:7" x14ac:dyDescent="0.25">
      <c r="A192" s="8">
        <v>42795.776388888888</v>
      </c>
      <c r="B192" s="20" t="s">
        <v>212</v>
      </c>
      <c r="C192" s="20" t="s">
        <v>630</v>
      </c>
      <c r="D192" s="150">
        <v>1770000</v>
      </c>
      <c r="E192" s="20" t="s">
        <v>572</v>
      </c>
      <c r="F192" s="20" t="s">
        <v>573</v>
      </c>
      <c r="G192" s="8" t="str">
        <f t="shared" si="2"/>
        <v>BRUDER RICHARD</v>
      </c>
    </row>
    <row r="193" spans="1:7" x14ac:dyDescent="0.25">
      <c r="A193" s="8">
        <v>42795.777384259258</v>
      </c>
      <c r="B193" s="20" t="s">
        <v>492</v>
      </c>
      <c r="C193" s="20" t="s">
        <v>631</v>
      </c>
      <c r="D193" s="150">
        <v>1540000</v>
      </c>
      <c r="E193" s="20" t="s">
        <v>557</v>
      </c>
      <c r="F193" s="20" t="s">
        <v>558</v>
      </c>
      <c r="G193" s="8" t="str">
        <f t="shared" si="2"/>
        <v>HELVIE ADAM</v>
      </c>
    </row>
    <row r="194" spans="1:7" x14ac:dyDescent="0.25">
      <c r="A194" s="8">
        <v>42795.779907407406</v>
      </c>
      <c r="B194" s="20" t="s">
        <v>429</v>
      </c>
      <c r="C194" s="20" t="s">
        <v>632</v>
      </c>
      <c r="D194" s="150">
        <v>1190000</v>
      </c>
      <c r="E194" s="20" t="s">
        <v>587</v>
      </c>
      <c r="F194" s="20" t="s">
        <v>588</v>
      </c>
      <c r="G194" s="8" t="str">
        <f t="shared" si="2"/>
        <v>BRANNON JEFFREY</v>
      </c>
    </row>
    <row r="195" spans="1:7" x14ac:dyDescent="0.25">
      <c r="A195" s="8">
        <v>42795.78334490741</v>
      </c>
      <c r="B195" s="20" t="s">
        <v>283</v>
      </c>
      <c r="C195" s="20" t="s">
        <v>624</v>
      </c>
      <c r="D195" s="150">
        <v>1800000</v>
      </c>
      <c r="E195" s="20" t="s">
        <v>236</v>
      </c>
      <c r="F195" s="20" t="s">
        <v>237</v>
      </c>
      <c r="G195" s="8" t="str">
        <f t="shared" ref="G195:G258" si="3">E195&amp;" "&amp;F195</f>
        <v>CHANDLER KELVIN</v>
      </c>
    </row>
    <row r="196" spans="1:7" x14ac:dyDescent="0.25">
      <c r="A196" s="8">
        <v>42795.788391203707</v>
      </c>
      <c r="B196" s="20" t="s">
        <v>216</v>
      </c>
      <c r="C196" s="20" t="s">
        <v>633</v>
      </c>
      <c r="D196" s="150">
        <v>2480000</v>
      </c>
      <c r="E196" s="20" t="s">
        <v>634</v>
      </c>
      <c r="F196" s="20" t="s">
        <v>215</v>
      </c>
      <c r="G196" s="8" t="str">
        <f t="shared" si="3"/>
        <v>WHITED DUSTIN</v>
      </c>
    </row>
    <row r="197" spans="1:7" x14ac:dyDescent="0.25">
      <c r="A197" s="8">
        <v>42795.796539351853</v>
      </c>
      <c r="B197" s="20" t="s">
        <v>250</v>
      </c>
      <c r="C197" s="20" t="s">
        <v>466</v>
      </c>
      <c r="D197" s="150">
        <v>2270000</v>
      </c>
      <c r="E197" s="20" t="s">
        <v>229</v>
      </c>
      <c r="F197" s="20" t="s">
        <v>230</v>
      </c>
      <c r="G197" s="8" t="str">
        <f t="shared" si="3"/>
        <v>BROWN JACOB</v>
      </c>
    </row>
    <row r="198" spans="1:7" x14ac:dyDescent="0.25">
      <c r="A198" s="8">
        <v>42795.797256944446</v>
      </c>
      <c r="B198" s="20" t="s">
        <v>281</v>
      </c>
      <c r="C198" s="20" t="s">
        <v>635</v>
      </c>
      <c r="D198" s="150">
        <v>1800000</v>
      </c>
      <c r="E198" s="20" t="s">
        <v>236</v>
      </c>
      <c r="F198" s="20" t="s">
        <v>237</v>
      </c>
      <c r="G198" s="8" t="str">
        <f t="shared" si="3"/>
        <v>CHANDLER KELVIN</v>
      </c>
    </row>
    <row r="199" spans="1:7" x14ac:dyDescent="0.25">
      <c r="A199" s="8">
        <v>42795.802199074074</v>
      </c>
      <c r="B199" s="20" t="s">
        <v>208</v>
      </c>
      <c r="C199" s="20" t="s">
        <v>636</v>
      </c>
      <c r="D199" s="150">
        <v>1810000</v>
      </c>
      <c r="E199" s="20" t="s">
        <v>205</v>
      </c>
      <c r="F199" s="20" t="s">
        <v>199</v>
      </c>
      <c r="G199" s="8" t="str">
        <f t="shared" si="3"/>
        <v>NEWELL JAMES</v>
      </c>
    </row>
    <row r="200" spans="1:7" x14ac:dyDescent="0.25">
      <c r="A200" s="8">
        <v>42795.802303240744</v>
      </c>
      <c r="B200" s="20" t="s">
        <v>381</v>
      </c>
      <c r="C200" s="20" t="s">
        <v>637</v>
      </c>
      <c r="D200" s="150">
        <v>2150000</v>
      </c>
      <c r="E200" s="20" t="s">
        <v>331</v>
      </c>
      <c r="F200" s="20" t="s">
        <v>332</v>
      </c>
      <c r="G200" s="8" t="str">
        <f t="shared" si="3"/>
        <v>SWANSON BRYCE</v>
      </c>
    </row>
    <row r="201" spans="1:7" x14ac:dyDescent="0.25">
      <c r="A201" s="8">
        <v>42795.803067129629</v>
      </c>
      <c r="B201" s="20" t="s">
        <v>231</v>
      </c>
      <c r="C201" s="20" t="s">
        <v>638</v>
      </c>
      <c r="D201" s="150">
        <v>2450000</v>
      </c>
      <c r="E201" s="20" t="s">
        <v>639</v>
      </c>
      <c r="F201" s="20" t="s">
        <v>640</v>
      </c>
      <c r="G201" s="8" t="str">
        <f t="shared" si="3"/>
        <v>NELSON ARIANE</v>
      </c>
    </row>
    <row r="202" spans="1:7" x14ac:dyDescent="0.25">
      <c r="A202" s="26">
        <v>42795.810752314814</v>
      </c>
      <c r="B202" s="20" t="s">
        <v>431</v>
      </c>
      <c r="C202" s="20" t="s">
        <v>467</v>
      </c>
      <c r="D202" s="150">
        <v>970000</v>
      </c>
      <c r="E202" s="20" t="s">
        <v>641</v>
      </c>
      <c r="F202" s="20" t="s">
        <v>642</v>
      </c>
      <c r="G202" s="8" t="str">
        <f t="shared" si="3"/>
        <v>JACKSON WILLIAM</v>
      </c>
    </row>
    <row r="203" spans="1:7" x14ac:dyDescent="0.25">
      <c r="A203" s="8">
        <v>42795.819502314815</v>
      </c>
      <c r="B203" s="20" t="s">
        <v>504</v>
      </c>
      <c r="C203" s="20" t="s">
        <v>643</v>
      </c>
      <c r="D203" s="150">
        <v>1190000</v>
      </c>
      <c r="E203" s="20" t="s">
        <v>587</v>
      </c>
      <c r="F203" s="20" t="s">
        <v>588</v>
      </c>
      <c r="G203" s="8" t="str">
        <f t="shared" si="3"/>
        <v>BRANNON JEFFREY</v>
      </c>
    </row>
    <row r="204" spans="1:7" x14ac:dyDescent="0.25">
      <c r="A204" s="8">
        <v>42795.820289351854</v>
      </c>
      <c r="B204" s="20" t="s">
        <v>212</v>
      </c>
      <c r="C204" s="20" t="s">
        <v>644</v>
      </c>
      <c r="D204" s="150">
        <v>2450000</v>
      </c>
      <c r="E204" s="20" t="s">
        <v>639</v>
      </c>
      <c r="F204" s="20" t="s">
        <v>640</v>
      </c>
      <c r="G204" s="8" t="str">
        <f t="shared" si="3"/>
        <v>NELSON ARIANE</v>
      </c>
    </row>
    <row r="205" spans="1:7" x14ac:dyDescent="0.25">
      <c r="A205" s="8">
        <v>42795.824988425928</v>
      </c>
      <c r="B205" s="20" t="s">
        <v>217</v>
      </c>
      <c r="C205" s="20" t="s">
        <v>645</v>
      </c>
      <c r="D205" s="150">
        <v>2480000</v>
      </c>
      <c r="E205" s="20" t="s">
        <v>634</v>
      </c>
      <c r="F205" s="20" t="s">
        <v>215</v>
      </c>
      <c r="G205" s="8" t="str">
        <f t="shared" si="3"/>
        <v>WHITED DUSTIN</v>
      </c>
    </row>
    <row r="206" spans="1:7" x14ac:dyDescent="0.25">
      <c r="A206" s="8">
        <v>42795.828750000001</v>
      </c>
      <c r="B206" s="20" t="s">
        <v>192</v>
      </c>
      <c r="C206" s="20" t="s">
        <v>646</v>
      </c>
      <c r="D206" s="150">
        <v>2270000</v>
      </c>
      <c r="E206" s="20" t="s">
        <v>229</v>
      </c>
      <c r="F206" s="20" t="s">
        <v>230</v>
      </c>
      <c r="G206" s="8" t="str">
        <f t="shared" si="3"/>
        <v>BROWN JACOB</v>
      </c>
    </row>
    <row r="207" spans="1:7" x14ac:dyDescent="0.25">
      <c r="A207" s="8">
        <v>42795.837152777778</v>
      </c>
      <c r="B207" s="20" t="s">
        <v>647</v>
      </c>
      <c r="C207" s="20" t="s">
        <v>648</v>
      </c>
      <c r="D207" s="150">
        <v>2730000</v>
      </c>
      <c r="E207" s="20" t="s">
        <v>264</v>
      </c>
      <c r="F207" s="20" t="s">
        <v>265</v>
      </c>
      <c r="G207" s="8" t="str">
        <f t="shared" si="3"/>
        <v>YANG JAN</v>
      </c>
    </row>
    <row r="208" spans="1:7" x14ac:dyDescent="0.25">
      <c r="A208" s="8">
        <v>42795.846273148149</v>
      </c>
      <c r="B208" s="20" t="s">
        <v>231</v>
      </c>
      <c r="C208" s="20" t="s">
        <v>649</v>
      </c>
      <c r="D208" s="150">
        <v>2450000</v>
      </c>
      <c r="E208" s="20" t="s">
        <v>639</v>
      </c>
      <c r="F208" s="20" t="s">
        <v>640</v>
      </c>
      <c r="G208" s="8" t="str">
        <f t="shared" si="3"/>
        <v>NELSON ARIANE</v>
      </c>
    </row>
    <row r="209" spans="1:7" x14ac:dyDescent="0.25">
      <c r="A209" s="8">
        <v>42795.847638888888</v>
      </c>
      <c r="B209" s="20" t="s">
        <v>436</v>
      </c>
      <c r="C209" s="20" t="s">
        <v>469</v>
      </c>
      <c r="D209" s="150">
        <v>970000</v>
      </c>
      <c r="E209" s="20" t="s">
        <v>641</v>
      </c>
      <c r="F209" s="20" t="s">
        <v>642</v>
      </c>
      <c r="G209" s="8" t="str">
        <f t="shared" si="3"/>
        <v>JACKSON WILLIAM</v>
      </c>
    </row>
    <row r="210" spans="1:7" x14ac:dyDescent="0.25">
      <c r="A210" s="8">
        <v>42795.847916666666</v>
      </c>
      <c r="B210" s="20" t="s">
        <v>650</v>
      </c>
      <c r="C210" s="20" t="s">
        <v>651</v>
      </c>
      <c r="D210" s="150">
        <v>2730000</v>
      </c>
      <c r="E210" s="20" t="s">
        <v>264</v>
      </c>
      <c r="F210" s="20" t="s">
        <v>265</v>
      </c>
      <c r="G210" s="8" t="str">
        <f t="shared" si="3"/>
        <v>YANG JAN</v>
      </c>
    </row>
    <row r="211" spans="1:7" x14ac:dyDescent="0.25">
      <c r="A211" s="8">
        <v>42795.852013888885</v>
      </c>
      <c r="B211" s="20" t="s">
        <v>223</v>
      </c>
      <c r="C211" s="20" t="s">
        <v>468</v>
      </c>
      <c r="D211" s="150">
        <v>1810000</v>
      </c>
      <c r="E211" s="20" t="s">
        <v>205</v>
      </c>
      <c r="F211" s="20" t="s">
        <v>199</v>
      </c>
      <c r="G211" s="8" t="str">
        <f t="shared" si="3"/>
        <v>NEWELL JAMES</v>
      </c>
    </row>
    <row r="212" spans="1:7" x14ac:dyDescent="0.25">
      <c r="A212" s="8">
        <v>42795.86509259259</v>
      </c>
      <c r="B212" s="20" t="s">
        <v>212</v>
      </c>
      <c r="C212" s="20" t="s">
        <v>652</v>
      </c>
      <c r="D212" s="150">
        <v>2450000</v>
      </c>
      <c r="E212" s="20" t="s">
        <v>639</v>
      </c>
      <c r="F212" s="20" t="s">
        <v>640</v>
      </c>
      <c r="G212" s="8" t="str">
        <f t="shared" si="3"/>
        <v>NELSON ARIANE</v>
      </c>
    </row>
    <row r="213" spans="1:7" x14ac:dyDescent="0.25">
      <c r="A213" s="8">
        <v>42795.86650462963</v>
      </c>
      <c r="B213" s="20" t="s">
        <v>216</v>
      </c>
      <c r="C213" s="20" t="s">
        <v>653</v>
      </c>
      <c r="D213" s="150">
        <v>2370000</v>
      </c>
      <c r="E213" s="20" t="s">
        <v>285</v>
      </c>
      <c r="F213" s="20" t="s">
        <v>286</v>
      </c>
      <c r="G213" s="8" t="str">
        <f t="shared" si="3"/>
        <v>DELGADO DIANAH</v>
      </c>
    </row>
    <row r="214" spans="1:7" x14ac:dyDescent="0.25">
      <c r="A214" s="8">
        <v>42795.867731481485</v>
      </c>
      <c r="B214" s="20" t="s">
        <v>250</v>
      </c>
      <c r="C214" s="20" t="s">
        <v>470</v>
      </c>
      <c r="D214" s="150">
        <v>2270000</v>
      </c>
      <c r="E214" s="20" t="s">
        <v>229</v>
      </c>
      <c r="F214" s="20" t="s">
        <v>230</v>
      </c>
      <c r="G214" s="8" t="str">
        <f t="shared" si="3"/>
        <v>BROWN JACOB</v>
      </c>
    </row>
    <row r="215" spans="1:7" x14ac:dyDescent="0.25">
      <c r="A215" s="8">
        <v>42795.882430555554</v>
      </c>
      <c r="B215" s="20" t="s">
        <v>647</v>
      </c>
      <c r="C215" s="20" t="s">
        <v>648</v>
      </c>
      <c r="D215" s="150">
        <v>2730000</v>
      </c>
      <c r="E215" s="20" t="s">
        <v>264</v>
      </c>
      <c r="F215" s="20" t="s">
        <v>265</v>
      </c>
      <c r="G215" s="8" t="str">
        <f t="shared" si="3"/>
        <v>YANG JAN</v>
      </c>
    </row>
    <row r="216" spans="1:7" x14ac:dyDescent="0.25">
      <c r="A216" s="8">
        <v>42795.884108796294</v>
      </c>
      <c r="B216" s="20" t="s">
        <v>208</v>
      </c>
      <c r="C216" s="20" t="s">
        <v>654</v>
      </c>
      <c r="D216" s="150">
        <v>1810000</v>
      </c>
      <c r="E216" s="20" t="s">
        <v>205</v>
      </c>
      <c r="F216" s="20" t="s">
        <v>199</v>
      </c>
      <c r="G216" s="8" t="str">
        <f t="shared" si="3"/>
        <v>NEWELL JAMES</v>
      </c>
    </row>
    <row r="217" spans="1:7" x14ac:dyDescent="0.25">
      <c r="A217" s="8">
        <v>42795.886296296296</v>
      </c>
      <c r="B217" s="20" t="s">
        <v>231</v>
      </c>
      <c r="C217" s="20" t="s">
        <v>655</v>
      </c>
      <c r="D217" s="150">
        <v>1800000</v>
      </c>
      <c r="E217" s="20" t="s">
        <v>236</v>
      </c>
      <c r="F217" s="20" t="s">
        <v>237</v>
      </c>
      <c r="G217" s="8" t="str">
        <f t="shared" si="3"/>
        <v>CHANDLER KELVIN</v>
      </c>
    </row>
    <row r="218" spans="1:7" x14ac:dyDescent="0.25">
      <c r="A218" s="8">
        <v>42795.891898148147</v>
      </c>
      <c r="B218" s="20" t="s">
        <v>431</v>
      </c>
      <c r="C218" s="20" t="s">
        <v>656</v>
      </c>
      <c r="D218" s="150">
        <v>1740000</v>
      </c>
      <c r="E218" s="20" t="s">
        <v>226</v>
      </c>
      <c r="F218" s="20" t="s">
        <v>227</v>
      </c>
      <c r="G218" s="8" t="str">
        <f t="shared" si="3"/>
        <v>STORY SAMANTHA</v>
      </c>
    </row>
    <row r="219" spans="1:7" x14ac:dyDescent="0.25">
      <c r="A219" s="8">
        <v>42795.901863425926</v>
      </c>
      <c r="B219" s="20" t="s">
        <v>212</v>
      </c>
      <c r="C219" s="20" t="s">
        <v>657</v>
      </c>
      <c r="D219" s="150">
        <v>1800000</v>
      </c>
      <c r="E219" s="20" t="s">
        <v>236</v>
      </c>
      <c r="F219" s="20" t="s">
        <v>237</v>
      </c>
      <c r="G219" s="8" t="str">
        <f t="shared" si="3"/>
        <v>CHANDLER KELVIN</v>
      </c>
    </row>
    <row r="220" spans="1:7" x14ac:dyDescent="0.25">
      <c r="A220" s="8">
        <v>42795.903564814813</v>
      </c>
      <c r="B220" s="20" t="s">
        <v>217</v>
      </c>
      <c r="C220" s="20" t="s">
        <v>658</v>
      </c>
      <c r="D220" s="150">
        <v>2370000</v>
      </c>
      <c r="E220" s="20" t="s">
        <v>285</v>
      </c>
      <c r="F220" s="20" t="s">
        <v>286</v>
      </c>
      <c r="G220" s="8" t="str">
        <f t="shared" si="3"/>
        <v>DELGADO DIANAH</v>
      </c>
    </row>
    <row r="221" spans="1:7" x14ac:dyDescent="0.25">
      <c r="A221" s="8">
        <v>42795.914837962962</v>
      </c>
      <c r="B221" s="20" t="s">
        <v>244</v>
      </c>
      <c r="C221" s="20" t="s">
        <v>659</v>
      </c>
      <c r="D221" s="150">
        <v>2270000</v>
      </c>
      <c r="E221" s="20" t="s">
        <v>229</v>
      </c>
      <c r="F221" s="20" t="s">
        <v>230</v>
      </c>
      <c r="G221" s="8" t="str">
        <f t="shared" si="3"/>
        <v>BROWN JACOB</v>
      </c>
    </row>
    <row r="222" spans="1:7" x14ac:dyDescent="0.25">
      <c r="A222" s="8">
        <v>42795.917025462964</v>
      </c>
      <c r="B222" s="20" t="s">
        <v>650</v>
      </c>
      <c r="C222" s="20" t="s">
        <v>651</v>
      </c>
      <c r="D222" s="150">
        <v>2730000</v>
      </c>
      <c r="E222" s="20" t="s">
        <v>264</v>
      </c>
      <c r="F222" s="20" t="s">
        <v>265</v>
      </c>
      <c r="G222" s="8" t="str">
        <f t="shared" si="3"/>
        <v>YANG JAN</v>
      </c>
    </row>
    <row r="223" spans="1:7" x14ac:dyDescent="0.25">
      <c r="A223" s="8">
        <v>42795.920555555553</v>
      </c>
      <c r="B223" s="20" t="s">
        <v>244</v>
      </c>
      <c r="C223" s="20" t="s">
        <v>659</v>
      </c>
      <c r="D223" s="150">
        <v>2270000</v>
      </c>
      <c r="E223" s="20" t="s">
        <v>229</v>
      </c>
      <c r="F223" s="20" t="s">
        <v>230</v>
      </c>
      <c r="G223" s="8" t="str">
        <f t="shared" si="3"/>
        <v>BROWN JACOB</v>
      </c>
    </row>
    <row r="224" spans="1:7" x14ac:dyDescent="0.25">
      <c r="A224" s="8">
        <v>42795.927465277775</v>
      </c>
      <c r="B224" t="s">
        <v>223</v>
      </c>
      <c r="C224" t="s">
        <v>660</v>
      </c>
      <c r="D224" s="150">
        <v>1810000</v>
      </c>
      <c r="E224" t="s">
        <v>205</v>
      </c>
      <c r="F224" s="20" t="s">
        <v>199</v>
      </c>
      <c r="G224" s="8" t="str">
        <f t="shared" si="3"/>
        <v>NEWELL JAMES</v>
      </c>
    </row>
    <row r="225" spans="1:7" x14ac:dyDescent="0.25">
      <c r="A225" s="8">
        <v>42795.927546296298</v>
      </c>
      <c r="B225" t="s">
        <v>231</v>
      </c>
      <c r="C225" t="s">
        <v>471</v>
      </c>
      <c r="D225" s="150">
        <v>1800000</v>
      </c>
      <c r="E225" t="s">
        <v>236</v>
      </c>
      <c r="F225" s="20" t="s">
        <v>237</v>
      </c>
      <c r="G225" s="8" t="str">
        <f t="shared" si="3"/>
        <v>CHANDLER KELVIN</v>
      </c>
    </row>
    <row r="226" spans="1:7" x14ac:dyDescent="0.25">
      <c r="A226" s="8">
        <v>42795.93204861111</v>
      </c>
      <c r="B226" t="s">
        <v>436</v>
      </c>
      <c r="C226" t="s">
        <v>661</v>
      </c>
      <c r="D226" s="150">
        <v>1740000</v>
      </c>
      <c r="E226" t="s">
        <v>226</v>
      </c>
      <c r="F226" s="20" t="s">
        <v>227</v>
      </c>
      <c r="G226" s="8" t="str">
        <f t="shared" si="3"/>
        <v>STORY SAMANTHA</v>
      </c>
    </row>
    <row r="227" spans="1:7" x14ac:dyDescent="0.25">
      <c r="A227" s="8">
        <v>42795.943622685183</v>
      </c>
      <c r="B227" t="s">
        <v>212</v>
      </c>
      <c r="C227" t="s">
        <v>662</v>
      </c>
      <c r="D227" s="150">
        <v>1800000</v>
      </c>
      <c r="E227" t="s">
        <v>236</v>
      </c>
      <c r="F227" s="20" t="s">
        <v>237</v>
      </c>
      <c r="G227" s="8" t="str">
        <f t="shared" si="3"/>
        <v>CHANDLER KELVIN</v>
      </c>
    </row>
    <row r="228" spans="1:7" x14ac:dyDescent="0.25">
      <c r="A228" s="8">
        <v>42795.9453587963</v>
      </c>
      <c r="B228" t="s">
        <v>216</v>
      </c>
      <c r="C228" t="s">
        <v>472</v>
      </c>
      <c r="D228" s="150">
        <v>2370000</v>
      </c>
      <c r="E228" t="s">
        <v>285</v>
      </c>
      <c r="F228" s="20" t="s">
        <v>286</v>
      </c>
      <c r="G228" s="8" t="str">
        <f t="shared" si="3"/>
        <v>DELGADO DIANAH</v>
      </c>
    </row>
    <row r="229" spans="1:7" x14ac:dyDescent="0.25">
      <c r="A229" s="8">
        <v>42795.949988425928</v>
      </c>
      <c r="B229" t="s">
        <v>234</v>
      </c>
      <c r="C229" t="s">
        <v>473</v>
      </c>
      <c r="D229" s="150">
        <v>2270000</v>
      </c>
      <c r="E229" t="s">
        <v>229</v>
      </c>
      <c r="F229" s="20" t="s">
        <v>230</v>
      </c>
      <c r="G229" s="8" t="str">
        <f t="shared" si="3"/>
        <v>BROWN JACOB</v>
      </c>
    </row>
    <row r="230" spans="1:7" x14ac:dyDescent="0.25">
      <c r="A230" s="8">
        <v>42795.970277777778</v>
      </c>
      <c r="B230" t="s">
        <v>431</v>
      </c>
      <c r="C230" t="s">
        <v>663</v>
      </c>
      <c r="D230" s="150">
        <v>1740000</v>
      </c>
      <c r="E230" t="s">
        <v>226</v>
      </c>
      <c r="F230" s="20" t="s">
        <v>227</v>
      </c>
      <c r="G230" s="8" t="str">
        <f t="shared" si="3"/>
        <v>STORY SAMANTHA</v>
      </c>
    </row>
    <row r="231" spans="1:7" x14ac:dyDescent="0.25">
      <c r="A231" s="8">
        <v>42795.974305555559</v>
      </c>
      <c r="B231" t="s">
        <v>208</v>
      </c>
      <c r="C231" t="s">
        <v>664</v>
      </c>
      <c r="D231" s="150">
        <v>1810000</v>
      </c>
      <c r="E231" t="s">
        <v>205</v>
      </c>
      <c r="F231" s="20" t="s">
        <v>199</v>
      </c>
      <c r="G231" s="8" t="str">
        <f t="shared" si="3"/>
        <v>NEWELL JAMES</v>
      </c>
    </row>
    <row r="232" spans="1:7" x14ac:dyDescent="0.25">
      <c r="A232" s="8">
        <v>42795.99</v>
      </c>
      <c r="B232" t="s">
        <v>647</v>
      </c>
      <c r="C232" t="s">
        <v>665</v>
      </c>
      <c r="D232" s="150">
        <v>2730000</v>
      </c>
      <c r="E232" t="s">
        <v>264</v>
      </c>
      <c r="F232" s="20" t="s">
        <v>265</v>
      </c>
      <c r="G232" s="8" t="str">
        <f t="shared" si="3"/>
        <v>YANG JAN</v>
      </c>
    </row>
    <row r="233" spans="1:7" x14ac:dyDescent="0.25">
      <c r="A233" s="8">
        <v>42795.990868055553</v>
      </c>
      <c r="B233" t="s">
        <v>192</v>
      </c>
      <c r="C233" t="s">
        <v>474</v>
      </c>
      <c r="D233" s="150">
        <v>2270000</v>
      </c>
      <c r="E233" t="s">
        <v>229</v>
      </c>
      <c r="F233" s="20" t="s">
        <v>230</v>
      </c>
      <c r="G233" s="8" t="str">
        <f t="shared" si="3"/>
        <v>BROWN JACOB</v>
      </c>
    </row>
    <row r="234" spans="1:7" x14ac:dyDescent="0.25">
      <c r="A234" s="8">
        <v>42795.991423611114</v>
      </c>
      <c r="B234" t="s">
        <v>217</v>
      </c>
      <c r="C234" t="s">
        <v>666</v>
      </c>
      <c r="D234" s="150">
        <v>2370000</v>
      </c>
      <c r="E234" t="s">
        <v>285</v>
      </c>
      <c r="F234" s="20" t="s">
        <v>286</v>
      </c>
      <c r="G234" s="8" t="str">
        <f t="shared" si="3"/>
        <v>DELGADO DIANAH</v>
      </c>
    </row>
    <row r="235" spans="1:7" x14ac:dyDescent="0.25">
      <c r="A235" s="8">
        <v>42796.009594907409</v>
      </c>
      <c r="B235" t="s">
        <v>223</v>
      </c>
      <c r="C235" t="s">
        <v>667</v>
      </c>
      <c r="D235" s="150">
        <v>1810000</v>
      </c>
      <c r="E235" t="s">
        <v>205</v>
      </c>
      <c r="F235" s="20" t="s">
        <v>199</v>
      </c>
      <c r="G235" s="8" t="str">
        <f t="shared" si="3"/>
        <v>NEWELL JAMES</v>
      </c>
    </row>
    <row r="236" spans="1:7" x14ac:dyDescent="0.25">
      <c r="A236" s="8">
        <v>42796.01190972222</v>
      </c>
      <c r="B236" t="s">
        <v>436</v>
      </c>
      <c r="C236" t="s">
        <v>668</v>
      </c>
      <c r="D236" s="150">
        <v>1740000</v>
      </c>
      <c r="E236" t="s">
        <v>226</v>
      </c>
      <c r="F236" s="20" t="s">
        <v>227</v>
      </c>
      <c r="G236" s="8" t="str">
        <f t="shared" si="3"/>
        <v>STORY SAMANTHA</v>
      </c>
    </row>
    <row r="237" spans="1:7" x14ac:dyDescent="0.25">
      <c r="A237" s="8">
        <v>42796.027581018519</v>
      </c>
      <c r="B237" t="s">
        <v>216</v>
      </c>
      <c r="C237" t="s">
        <v>669</v>
      </c>
      <c r="D237" s="150">
        <v>2370000</v>
      </c>
      <c r="E237" t="s">
        <v>285</v>
      </c>
      <c r="F237" s="20" t="s">
        <v>286</v>
      </c>
      <c r="G237" s="8" t="str">
        <f t="shared" si="3"/>
        <v>DELGADO DIANAH</v>
      </c>
    </row>
    <row r="238" spans="1:7" x14ac:dyDescent="0.25">
      <c r="A238" s="8">
        <v>42796.030081018522</v>
      </c>
      <c r="B238" t="s">
        <v>650</v>
      </c>
      <c r="C238" t="s">
        <v>670</v>
      </c>
      <c r="D238" s="150">
        <v>2730000</v>
      </c>
      <c r="E238" t="s">
        <v>264</v>
      </c>
      <c r="F238" s="20" t="s">
        <v>265</v>
      </c>
      <c r="G238" s="8" t="str">
        <f t="shared" si="3"/>
        <v>YANG JAN</v>
      </c>
    </row>
    <row r="239" spans="1:7" x14ac:dyDescent="0.25">
      <c r="A239" s="8">
        <v>42796.035775462966</v>
      </c>
      <c r="B239" t="s">
        <v>250</v>
      </c>
      <c r="C239" t="s">
        <v>671</v>
      </c>
      <c r="D239" s="150">
        <v>2270000</v>
      </c>
      <c r="E239" t="s">
        <v>229</v>
      </c>
      <c r="F239" s="20" t="s">
        <v>230</v>
      </c>
      <c r="G239" s="8" t="str">
        <f t="shared" si="3"/>
        <v>BROWN JACOB</v>
      </c>
    </row>
    <row r="240" spans="1:7" x14ac:dyDescent="0.25">
      <c r="A240" s="8">
        <v>42796.050567129627</v>
      </c>
      <c r="B240" t="s">
        <v>431</v>
      </c>
      <c r="C240" t="s">
        <v>672</v>
      </c>
      <c r="D240" s="150">
        <v>1740000</v>
      </c>
      <c r="E240" t="s">
        <v>226</v>
      </c>
      <c r="F240" s="20" t="s">
        <v>227</v>
      </c>
      <c r="G240" s="8" t="str">
        <f t="shared" si="3"/>
        <v>STORY SAMANTHA</v>
      </c>
    </row>
    <row r="241" spans="1:7" x14ac:dyDescent="0.25">
      <c r="A241" s="8">
        <v>42796.060335648152</v>
      </c>
      <c r="B241" t="s">
        <v>208</v>
      </c>
      <c r="C241" t="s">
        <v>673</v>
      </c>
      <c r="D241" s="150">
        <v>1810000</v>
      </c>
      <c r="E241" t="s">
        <v>205</v>
      </c>
      <c r="F241" s="20" t="s">
        <v>199</v>
      </c>
      <c r="G241" s="8" t="str">
        <f t="shared" si="3"/>
        <v>NEWELL JAMES</v>
      </c>
    </row>
    <row r="242" spans="1:7" x14ac:dyDescent="0.25">
      <c r="A242" s="8">
        <v>42796.062002314815</v>
      </c>
      <c r="B242" t="s">
        <v>647</v>
      </c>
      <c r="C242" t="s">
        <v>665</v>
      </c>
      <c r="D242" s="150">
        <v>2730000</v>
      </c>
      <c r="E242" t="s">
        <v>264</v>
      </c>
      <c r="F242" s="20" t="s">
        <v>265</v>
      </c>
      <c r="G242" s="8" t="str">
        <f t="shared" si="3"/>
        <v>YANG JAN</v>
      </c>
    </row>
    <row r="243" spans="1:7" x14ac:dyDescent="0.25">
      <c r="A243" s="8">
        <v>42796.068078703705</v>
      </c>
      <c r="B243" t="s">
        <v>192</v>
      </c>
      <c r="C243" t="s">
        <v>674</v>
      </c>
      <c r="D243" s="150">
        <v>2270000</v>
      </c>
      <c r="E243" t="s">
        <v>229</v>
      </c>
      <c r="F243" s="20" t="s">
        <v>230</v>
      </c>
      <c r="G243" s="8" t="str">
        <f t="shared" si="3"/>
        <v>BROWN JACOB</v>
      </c>
    </row>
    <row r="244" spans="1:7" x14ac:dyDescent="0.25">
      <c r="A244" s="8">
        <v>42796.0778125</v>
      </c>
      <c r="B244" t="s">
        <v>650</v>
      </c>
      <c r="C244" t="s">
        <v>670</v>
      </c>
      <c r="D244" s="150">
        <v>2730000</v>
      </c>
      <c r="E244" t="s">
        <v>264</v>
      </c>
      <c r="F244" s="20" t="s">
        <v>265</v>
      </c>
      <c r="G244" s="8" t="str">
        <f t="shared" si="3"/>
        <v>YANG JAN</v>
      </c>
    </row>
    <row r="245" spans="1:7" x14ac:dyDescent="0.25">
      <c r="A245" s="8">
        <v>42796.092731481483</v>
      </c>
      <c r="B245" t="s">
        <v>647</v>
      </c>
      <c r="C245" t="s">
        <v>665</v>
      </c>
      <c r="D245" s="150">
        <v>2730000</v>
      </c>
      <c r="E245" t="s">
        <v>264</v>
      </c>
      <c r="F245" s="20" t="s">
        <v>265</v>
      </c>
      <c r="G245" s="8" t="str">
        <f t="shared" si="3"/>
        <v>YANG JAN</v>
      </c>
    </row>
    <row r="246" spans="1:7" x14ac:dyDescent="0.25">
      <c r="A246" s="8">
        <v>42796.105150462965</v>
      </c>
      <c r="B246" t="s">
        <v>650</v>
      </c>
      <c r="C246" t="s">
        <v>670</v>
      </c>
      <c r="D246" s="150">
        <v>2730000</v>
      </c>
      <c r="E246" t="s">
        <v>264</v>
      </c>
      <c r="F246" s="20" t="s">
        <v>265</v>
      </c>
      <c r="G246" s="8" t="str">
        <f t="shared" si="3"/>
        <v>YANG JAN</v>
      </c>
    </row>
    <row r="247" spans="1:7" x14ac:dyDescent="0.25">
      <c r="A247" s="8">
        <v>42789.984456018516</v>
      </c>
      <c r="B247" t="s">
        <v>271</v>
      </c>
      <c r="C247" t="s">
        <v>287</v>
      </c>
      <c r="D247" s="150">
        <v>2730000</v>
      </c>
      <c r="E247" t="s">
        <v>264</v>
      </c>
      <c r="F247" s="20" t="s">
        <v>265</v>
      </c>
      <c r="G247" s="8" t="str">
        <f t="shared" si="3"/>
        <v>YANG JAN</v>
      </c>
    </row>
    <row r="248" spans="1:7" x14ac:dyDescent="0.25">
      <c r="A248" s="8">
        <v>42789.990034722221</v>
      </c>
      <c r="B248" t="s">
        <v>270</v>
      </c>
      <c r="C248" t="s">
        <v>284</v>
      </c>
      <c r="D248" s="150">
        <v>2670000</v>
      </c>
      <c r="E248" t="s">
        <v>232</v>
      </c>
      <c r="F248" s="20" t="s">
        <v>233</v>
      </c>
      <c r="G248" s="8" t="str">
        <f t="shared" si="3"/>
        <v>COMELLA JUSTIN</v>
      </c>
    </row>
    <row r="249" spans="1:7" x14ac:dyDescent="0.25">
      <c r="A249" s="8">
        <v>42789.995706018519</v>
      </c>
      <c r="B249" t="s">
        <v>219</v>
      </c>
      <c r="C249" t="s">
        <v>288</v>
      </c>
      <c r="D249" s="150">
        <v>1800000</v>
      </c>
      <c r="E249" t="s">
        <v>236</v>
      </c>
      <c r="F249" s="20" t="s">
        <v>237</v>
      </c>
      <c r="G249" s="8" t="str">
        <f t="shared" si="3"/>
        <v>CHANDLER KELVIN</v>
      </c>
    </row>
    <row r="250" spans="1:7" x14ac:dyDescent="0.25">
      <c r="A250" s="8">
        <v>42789.997349537036</v>
      </c>
      <c r="B250" t="s">
        <v>283</v>
      </c>
      <c r="C250" t="s">
        <v>289</v>
      </c>
      <c r="D250" s="150">
        <v>2270000</v>
      </c>
      <c r="E250" t="s">
        <v>229</v>
      </c>
      <c r="F250" s="20" t="s">
        <v>230</v>
      </c>
      <c r="G250" s="8" t="str">
        <f t="shared" si="3"/>
        <v>BROWN JACOB</v>
      </c>
    </row>
    <row r="251" spans="1:7" x14ac:dyDescent="0.25">
      <c r="A251" s="8">
        <v>42789.997442129628</v>
      </c>
      <c r="B251" t="s">
        <v>271</v>
      </c>
      <c r="C251" t="s">
        <v>287</v>
      </c>
      <c r="D251" s="150">
        <v>2730000</v>
      </c>
      <c r="E251" t="s">
        <v>264</v>
      </c>
      <c r="F251" s="20" t="s">
        <v>265</v>
      </c>
      <c r="G251" s="8" t="str">
        <f t="shared" si="3"/>
        <v>YANG JAN</v>
      </c>
    </row>
    <row r="252" spans="1:7" x14ac:dyDescent="0.25">
      <c r="A252" s="8">
        <v>42790.003472222219</v>
      </c>
      <c r="B252" t="s">
        <v>270</v>
      </c>
      <c r="C252" t="s">
        <v>284</v>
      </c>
      <c r="D252" s="150">
        <v>2670000</v>
      </c>
      <c r="E252" t="s">
        <v>232</v>
      </c>
      <c r="F252" s="20" t="s">
        <v>233</v>
      </c>
      <c r="G252" s="8" t="str">
        <f t="shared" si="3"/>
        <v>COMELLA JUSTIN</v>
      </c>
    </row>
    <row r="253" spans="1:7" x14ac:dyDescent="0.25">
      <c r="A253" s="8">
        <v>42790.011053240742</v>
      </c>
      <c r="B253" t="s">
        <v>271</v>
      </c>
      <c r="C253" t="s">
        <v>287</v>
      </c>
      <c r="D253" s="150">
        <v>2730000</v>
      </c>
      <c r="E253" t="s">
        <v>264</v>
      </c>
      <c r="F253" s="20" t="s">
        <v>265</v>
      </c>
      <c r="G253" s="8" t="str">
        <f t="shared" si="3"/>
        <v>YANG JAN</v>
      </c>
    </row>
    <row r="254" spans="1:7" x14ac:dyDescent="0.25">
      <c r="A254" s="8">
        <v>42790.013321759259</v>
      </c>
      <c r="B254" t="s">
        <v>192</v>
      </c>
      <c r="C254" t="s">
        <v>290</v>
      </c>
      <c r="D254" s="150">
        <v>2220000</v>
      </c>
      <c r="E254" t="s">
        <v>214</v>
      </c>
      <c r="F254" s="20" t="s">
        <v>215</v>
      </c>
      <c r="G254" s="8" t="str">
        <f t="shared" si="3"/>
        <v>HILLS DUSTIN</v>
      </c>
    </row>
    <row r="255" spans="1:7" x14ac:dyDescent="0.25">
      <c r="A255" s="8">
        <v>42790.016712962963</v>
      </c>
      <c r="B255" t="s">
        <v>217</v>
      </c>
      <c r="C255" t="s">
        <v>291</v>
      </c>
      <c r="D255" s="150">
        <v>2540000</v>
      </c>
      <c r="E255" t="s">
        <v>221</v>
      </c>
      <c r="F255" s="20" t="s">
        <v>222</v>
      </c>
      <c r="G255" s="8" t="str">
        <f t="shared" si="3"/>
        <v>MCREYNOLDS KYLE</v>
      </c>
    </row>
    <row r="256" spans="1:7" x14ac:dyDescent="0.25">
      <c r="A256" s="8">
        <v>42790.016770833332</v>
      </c>
      <c r="B256" t="s">
        <v>270</v>
      </c>
      <c r="C256" t="s">
        <v>284</v>
      </c>
      <c r="D256" s="150">
        <v>2670000</v>
      </c>
      <c r="E256" t="s">
        <v>232</v>
      </c>
      <c r="F256" s="20" t="s">
        <v>233</v>
      </c>
      <c r="G256" s="8" t="str">
        <f t="shared" si="3"/>
        <v>COMELLA JUSTIN</v>
      </c>
    </row>
    <row r="257" spans="1:7" x14ac:dyDescent="0.25">
      <c r="A257" s="8">
        <v>42790.024351851855</v>
      </c>
      <c r="B257" t="s">
        <v>271</v>
      </c>
      <c r="C257" t="s">
        <v>287</v>
      </c>
      <c r="D257" s="150">
        <v>2730000</v>
      </c>
      <c r="E257" t="s">
        <v>264</v>
      </c>
      <c r="F257" s="20" t="s">
        <v>265</v>
      </c>
      <c r="G257" s="8" t="str">
        <f t="shared" si="3"/>
        <v>YANG JAN</v>
      </c>
    </row>
    <row r="258" spans="1:7" x14ac:dyDescent="0.25">
      <c r="A258" s="8">
        <v>42790.029988425929</v>
      </c>
      <c r="B258" t="s">
        <v>270</v>
      </c>
      <c r="C258" t="s">
        <v>284</v>
      </c>
      <c r="D258" s="150">
        <v>2670000</v>
      </c>
      <c r="E258" t="s">
        <v>232</v>
      </c>
      <c r="F258" s="20" t="s">
        <v>233</v>
      </c>
      <c r="G258" s="8" t="str">
        <f t="shared" si="3"/>
        <v>COMELLA JUSTIN</v>
      </c>
    </row>
    <row r="259" spans="1:7" x14ac:dyDescent="0.25">
      <c r="A259" s="8">
        <v>42790.036620370367</v>
      </c>
      <c r="B259" t="s">
        <v>220</v>
      </c>
      <c r="C259" t="s">
        <v>292</v>
      </c>
      <c r="D259" s="150">
        <v>1800000</v>
      </c>
      <c r="E259" t="s">
        <v>236</v>
      </c>
      <c r="F259" s="20" t="s">
        <v>237</v>
      </c>
      <c r="G259" s="8" t="str">
        <f t="shared" ref="G259:G322" si="4">E259&amp;" "&amp;F259</f>
        <v>CHANDLER KELVIN</v>
      </c>
    </row>
    <row r="260" spans="1:7" x14ac:dyDescent="0.25">
      <c r="A260" s="8">
        <v>42790.037673611114</v>
      </c>
      <c r="B260" t="s">
        <v>271</v>
      </c>
      <c r="C260" t="s">
        <v>287</v>
      </c>
      <c r="D260" s="150">
        <v>2730000</v>
      </c>
      <c r="E260" t="s">
        <v>264</v>
      </c>
      <c r="F260" s="20" t="s">
        <v>265</v>
      </c>
      <c r="G260" s="8" t="str">
        <f t="shared" si="4"/>
        <v>YANG JAN</v>
      </c>
    </row>
    <row r="261" spans="1:7" x14ac:dyDescent="0.25">
      <c r="A261" s="8">
        <v>42790.038599537038</v>
      </c>
      <c r="B261" t="s">
        <v>281</v>
      </c>
      <c r="C261" t="s">
        <v>282</v>
      </c>
      <c r="D261" s="150">
        <v>2270000</v>
      </c>
      <c r="E261" t="s">
        <v>229</v>
      </c>
      <c r="F261" s="20" t="s">
        <v>230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270</v>
      </c>
      <c r="C262" t="s">
        <v>284</v>
      </c>
      <c r="D262" s="150">
        <v>2670000</v>
      </c>
      <c r="E262" t="s">
        <v>232</v>
      </c>
      <c r="F262" s="20" t="s">
        <v>233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216</v>
      </c>
      <c r="C263" t="s">
        <v>293</v>
      </c>
      <c r="D263" s="150">
        <v>2540000</v>
      </c>
      <c r="E263" t="s">
        <v>221</v>
      </c>
      <c r="F263" s="20" t="s">
        <v>222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271</v>
      </c>
      <c r="C264" t="s">
        <v>287</v>
      </c>
      <c r="D264" s="150">
        <v>2730000</v>
      </c>
      <c r="E264" t="s">
        <v>264</v>
      </c>
      <c r="F264" s="20" t="s">
        <v>265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250</v>
      </c>
      <c r="C265" t="s">
        <v>294</v>
      </c>
      <c r="D265" s="150">
        <v>2220000</v>
      </c>
      <c r="E265" t="s">
        <v>214</v>
      </c>
      <c r="F265" s="20" t="s">
        <v>215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270</v>
      </c>
      <c r="C266" t="s">
        <v>284</v>
      </c>
      <c r="D266" s="150">
        <v>2670000</v>
      </c>
      <c r="E266" t="s">
        <v>232</v>
      </c>
      <c r="F266" s="20" t="s">
        <v>233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271</v>
      </c>
      <c r="C267" t="s">
        <v>287</v>
      </c>
      <c r="D267" s="150">
        <v>2730000</v>
      </c>
      <c r="E267" t="s">
        <v>264</v>
      </c>
      <c r="F267" s="20" t="s">
        <v>265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283</v>
      </c>
      <c r="C268" t="s">
        <v>295</v>
      </c>
      <c r="D268" s="150">
        <v>2270000</v>
      </c>
      <c r="E268" t="s">
        <v>229</v>
      </c>
      <c r="F268" s="20" t="s">
        <v>230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270</v>
      </c>
      <c r="C269" t="s">
        <v>284</v>
      </c>
      <c r="D269" s="150">
        <v>2670000</v>
      </c>
      <c r="E269" t="s">
        <v>232</v>
      </c>
      <c r="F269" s="20" t="s">
        <v>233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271</v>
      </c>
      <c r="C270" t="s">
        <v>287</v>
      </c>
      <c r="D270" s="150">
        <v>2730000</v>
      </c>
      <c r="E270" t="s">
        <v>264</v>
      </c>
      <c r="F270" s="20" t="s">
        <v>265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192</v>
      </c>
      <c r="C271" t="s">
        <v>296</v>
      </c>
      <c r="D271" s="150">
        <v>2220000</v>
      </c>
      <c r="E271" t="s">
        <v>214</v>
      </c>
      <c r="F271" s="20" t="s">
        <v>215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270</v>
      </c>
      <c r="C272" t="s">
        <v>284</v>
      </c>
      <c r="D272" s="150">
        <v>2670000</v>
      </c>
      <c r="E272" t="s">
        <v>232</v>
      </c>
      <c r="F272" s="20" t="s">
        <v>233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271</v>
      </c>
      <c r="C273" t="s">
        <v>287</v>
      </c>
      <c r="D273" s="150">
        <v>2730000</v>
      </c>
      <c r="E273" t="s">
        <v>264</v>
      </c>
      <c r="F273" s="20" t="s">
        <v>265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28.02</v>
      </c>
      <c r="B2" s="168">
        <v>7.0000000000000007E-2</v>
      </c>
      <c r="C2" s="168">
        <v>6.06</v>
      </c>
      <c r="D2" s="8">
        <v>42795</v>
      </c>
      <c r="E2" s="168">
        <v>0.39</v>
      </c>
      <c r="F2" s="168" t="s">
        <v>389</v>
      </c>
      <c r="G2" s="168">
        <v>380.95</v>
      </c>
      <c r="H2" s="168">
        <v>0</v>
      </c>
      <c r="I2" s="168">
        <v>0</v>
      </c>
      <c r="J2" s="168">
        <v>1022.44</v>
      </c>
      <c r="K2" s="168" t="s">
        <v>390</v>
      </c>
      <c r="L2" s="168">
        <v>28.02</v>
      </c>
      <c r="M2" s="168">
        <v>1488351600</v>
      </c>
      <c r="N2" s="168">
        <v>3.97</v>
      </c>
      <c r="O2" s="168">
        <v>317</v>
      </c>
      <c r="P2" s="168">
        <v>2.58</v>
      </c>
      <c r="Q2"/>
      <c r="R2"/>
    </row>
    <row r="3" spans="1:18" x14ac:dyDescent="0.25">
      <c r="A3" s="168">
        <v>27.99</v>
      </c>
      <c r="B3" s="168">
        <v>0.06</v>
      </c>
      <c r="C3" s="168">
        <v>6.01</v>
      </c>
      <c r="D3" s="8">
        <v>42795.041666666664</v>
      </c>
      <c r="E3" s="168">
        <v>0.39</v>
      </c>
      <c r="F3" s="168" t="s">
        <v>389</v>
      </c>
      <c r="G3" s="168">
        <v>377.42</v>
      </c>
      <c r="H3" s="168">
        <v>0</v>
      </c>
      <c r="I3" s="168">
        <v>0</v>
      </c>
      <c r="J3" s="168">
        <v>1022.78</v>
      </c>
      <c r="K3" s="168" t="s">
        <v>390</v>
      </c>
      <c r="L3" s="168">
        <v>27.99</v>
      </c>
      <c r="M3" s="168">
        <v>1488355200</v>
      </c>
      <c r="N3" s="168">
        <v>3.93</v>
      </c>
      <c r="O3" s="168">
        <v>334</v>
      </c>
      <c r="P3" s="168">
        <v>1.37</v>
      </c>
      <c r="Q3"/>
      <c r="R3"/>
    </row>
    <row r="4" spans="1:18" x14ac:dyDescent="0.25">
      <c r="A4" s="168">
        <v>27.4</v>
      </c>
      <c r="B4" s="168">
        <v>0.05</v>
      </c>
      <c r="C4" s="168">
        <v>6.49</v>
      </c>
      <c r="D4" s="8">
        <v>42795.083333333336</v>
      </c>
      <c r="E4" s="168">
        <v>0.4</v>
      </c>
      <c r="F4" s="168" t="s">
        <v>389</v>
      </c>
      <c r="G4" s="168">
        <v>373.89</v>
      </c>
      <c r="H4" s="168">
        <v>0</v>
      </c>
      <c r="I4" s="168">
        <v>0</v>
      </c>
      <c r="J4" s="168">
        <v>1023.11</v>
      </c>
      <c r="K4" s="168" t="s">
        <v>390</v>
      </c>
      <c r="L4" s="168">
        <v>27.4</v>
      </c>
      <c r="M4" s="168">
        <v>1488358800</v>
      </c>
      <c r="N4" s="168">
        <v>3.54</v>
      </c>
      <c r="O4" s="168">
        <v>316</v>
      </c>
      <c r="P4" s="168">
        <v>1.46</v>
      </c>
      <c r="Q4"/>
      <c r="R4"/>
    </row>
    <row r="5" spans="1:18" x14ac:dyDescent="0.25">
      <c r="A5" s="168">
        <v>27.47</v>
      </c>
      <c r="B5" s="168">
        <v>0.08</v>
      </c>
      <c r="C5" s="168">
        <v>6.2</v>
      </c>
      <c r="D5" s="8">
        <v>42795.125</v>
      </c>
      <c r="E5" s="168">
        <v>0.4</v>
      </c>
      <c r="F5" s="168" t="s">
        <v>389</v>
      </c>
      <c r="G5" s="168">
        <v>371.25</v>
      </c>
      <c r="H5" s="168">
        <v>0</v>
      </c>
      <c r="I5" s="168">
        <v>0</v>
      </c>
      <c r="J5" s="168">
        <v>1023.77</v>
      </c>
      <c r="K5" s="168" t="s">
        <v>390</v>
      </c>
      <c r="L5" s="168">
        <v>27.47</v>
      </c>
      <c r="M5" s="168">
        <v>1488362400</v>
      </c>
      <c r="N5" s="168">
        <v>3.35</v>
      </c>
      <c r="O5" s="168">
        <v>313</v>
      </c>
      <c r="P5" s="168">
        <v>2.2599999999999998</v>
      </c>
      <c r="Q5"/>
      <c r="R5"/>
    </row>
    <row r="6" spans="1:18" x14ac:dyDescent="0.25">
      <c r="A6" s="168">
        <v>26.34</v>
      </c>
      <c r="B6" s="168">
        <v>0.09</v>
      </c>
      <c r="C6" s="168">
        <v>5.92</v>
      </c>
      <c r="D6" s="8">
        <v>42795.166666666664</v>
      </c>
      <c r="E6" s="168">
        <v>0.41</v>
      </c>
      <c r="F6" s="168" t="s">
        <v>389</v>
      </c>
      <c r="G6" s="168">
        <v>369.04</v>
      </c>
      <c r="H6" s="168">
        <v>0</v>
      </c>
      <c r="I6" s="168">
        <v>0</v>
      </c>
      <c r="J6" s="168">
        <v>1024.5899999999999</v>
      </c>
      <c r="K6" s="168" t="s">
        <v>390</v>
      </c>
      <c r="L6" s="168">
        <v>26.34</v>
      </c>
      <c r="M6" s="168">
        <v>1488366000</v>
      </c>
      <c r="N6" s="168">
        <v>3.74</v>
      </c>
      <c r="O6" s="168">
        <v>319</v>
      </c>
      <c r="P6" s="168">
        <v>2.2200000000000002</v>
      </c>
      <c r="Q6"/>
      <c r="R6"/>
    </row>
    <row r="7" spans="1:18" x14ac:dyDescent="0.25">
      <c r="A7" s="168">
        <v>25.88</v>
      </c>
      <c r="B7" s="168">
        <v>0.09</v>
      </c>
      <c r="C7" s="168">
        <v>6.04</v>
      </c>
      <c r="D7" s="8">
        <v>42795.208333333336</v>
      </c>
      <c r="E7" s="168">
        <v>0.42</v>
      </c>
      <c r="F7" s="168" t="s">
        <v>389</v>
      </c>
      <c r="G7" s="168">
        <v>367.23</v>
      </c>
      <c r="H7" s="168">
        <v>0</v>
      </c>
      <c r="I7" s="168">
        <v>0</v>
      </c>
      <c r="J7" s="168">
        <v>1025.46</v>
      </c>
      <c r="K7" s="168" t="s">
        <v>390</v>
      </c>
      <c r="L7" s="168">
        <v>25.88</v>
      </c>
      <c r="M7" s="168">
        <v>1488369600</v>
      </c>
      <c r="N7" s="168">
        <v>5.04</v>
      </c>
      <c r="O7" s="168">
        <v>261</v>
      </c>
      <c r="P7" s="168">
        <v>1.1000000000000001</v>
      </c>
      <c r="Q7"/>
      <c r="R7"/>
    </row>
    <row r="8" spans="1:18" x14ac:dyDescent="0.25">
      <c r="A8" s="168">
        <v>26.36</v>
      </c>
      <c r="B8" s="168">
        <v>0.13</v>
      </c>
      <c r="C8" s="168">
        <v>6.08</v>
      </c>
      <c r="D8" s="8">
        <v>42795.25</v>
      </c>
      <c r="E8" s="168">
        <v>0.41</v>
      </c>
      <c r="F8" s="168" t="s">
        <v>389</v>
      </c>
      <c r="G8" s="168">
        <v>365.89</v>
      </c>
      <c r="H8" s="168">
        <v>0</v>
      </c>
      <c r="I8" s="168">
        <v>0</v>
      </c>
      <c r="J8" s="168">
        <v>1026.68</v>
      </c>
      <c r="K8" s="168" t="s">
        <v>390</v>
      </c>
      <c r="L8" s="168">
        <v>26.36</v>
      </c>
      <c r="M8" s="168">
        <v>1488373200</v>
      </c>
      <c r="N8" s="168">
        <v>4.57</v>
      </c>
      <c r="O8" s="168">
        <v>247</v>
      </c>
      <c r="P8" s="168">
        <v>1.06</v>
      </c>
      <c r="Q8"/>
      <c r="R8"/>
    </row>
    <row r="9" spans="1:18" x14ac:dyDescent="0.25">
      <c r="A9" s="168">
        <v>28.2</v>
      </c>
      <c r="B9" s="168">
        <v>0.14000000000000001</v>
      </c>
      <c r="C9" s="168">
        <v>6.36</v>
      </c>
      <c r="D9" s="8">
        <v>42795.291666666664</v>
      </c>
      <c r="E9" s="168">
        <v>0.39</v>
      </c>
      <c r="F9" s="168" t="s">
        <v>675</v>
      </c>
      <c r="G9" s="168">
        <v>364.95</v>
      </c>
      <c r="H9" s="168">
        <v>0</v>
      </c>
      <c r="I9" s="168">
        <v>0</v>
      </c>
      <c r="J9" s="168">
        <v>1027.79</v>
      </c>
      <c r="K9" s="168" t="s">
        <v>390</v>
      </c>
      <c r="L9" s="168">
        <v>28.2</v>
      </c>
      <c r="M9" s="168">
        <v>1488376800</v>
      </c>
      <c r="N9" s="168">
        <v>10</v>
      </c>
      <c r="O9" s="168">
        <v>288</v>
      </c>
      <c r="P9" s="168">
        <v>1.52</v>
      </c>
      <c r="Q9"/>
      <c r="R9"/>
    </row>
    <row r="10" spans="1:18" x14ac:dyDescent="0.25">
      <c r="A10" s="168">
        <v>27.63</v>
      </c>
      <c r="B10" s="168">
        <v>0.16</v>
      </c>
      <c r="C10" s="168">
        <v>4.6100000000000003</v>
      </c>
      <c r="D10" s="8">
        <v>42795.333333333336</v>
      </c>
      <c r="E10" s="168">
        <v>0.37</v>
      </c>
      <c r="F10" s="168" t="s">
        <v>675</v>
      </c>
      <c r="G10" s="168">
        <v>364.11</v>
      </c>
      <c r="H10" s="168">
        <v>0</v>
      </c>
      <c r="I10" s="168">
        <v>0</v>
      </c>
      <c r="J10" s="168">
        <v>1027.99</v>
      </c>
      <c r="K10" s="168" t="s">
        <v>390</v>
      </c>
      <c r="L10" s="168">
        <v>27.63</v>
      </c>
      <c r="M10" s="168">
        <v>1488380400</v>
      </c>
      <c r="N10" s="168">
        <v>3.17</v>
      </c>
      <c r="O10" s="168">
        <v>19</v>
      </c>
      <c r="P10" s="168">
        <v>0.53</v>
      </c>
      <c r="Q10"/>
      <c r="R10"/>
    </row>
    <row r="11" spans="1:18" x14ac:dyDescent="0.25">
      <c r="A11" s="168">
        <v>28.51</v>
      </c>
      <c r="B11" s="168">
        <v>0.15</v>
      </c>
      <c r="C11" s="168">
        <v>3.74</v>
      </c>
      <c r="D11" s="8">
        <v>42795.375</v>
      </c>
      <c r="E11" s="168">
        <v>0.28999999999999998</v>
      </c>
      <c r="F11" s="168" t="s">
        <v>675</v>
      </c>
      <c r="G11" s="168">
        <v>363.32</v>
      </c>
      <c r="H11" s="168">
        <v>0</v>
      </c>
      <c r="I11" s="168">
        <v>0</v>
      </c>
      <c r="J11" s="168">
        <v>1026.69</v>
      </c>
      <c r="K11" s="168" t="s">
        <v>390</v>
      </c>
      <c r="L11" s="168">
        <v>32.36</v>
      </c>
      <c r="M11" s="168">
        <v>1488384000</v>
      </c>
      <c r="N11" s="168">
        <v>3.05</v>
      </c>
      <c r="O11" s="168">
        <v>283</v>
      </c>
      <c r="P11" s="168">
        <v>3.98</v>
      </c>
      <c r="Q11"/>
      <c r="R11"/>
    </row>
    <row r="12" spans="1:18" x14ac:dyDescent="0.25">
      <c r="A12" s="168">
        <v>31.66</v>
      </c>
      <c r="B12" s="168">
        <v>0.15</v>
      </c>
      <c r="C12" s="168">
        <v>4.24</v>
      </c>
      <c r="D12" s="8">
        <v>42795.416666666664</v>
      </c>
      <c r="E12" s="168">
        <v>0.27</v>
      </c>
      <c r="F12" s="168" t="s">
        <v>675</v>
      </c>
      <c r="G12" s="168">
        <v>362.64</v>
      </c>
      <c r="H12" s="168">
        <v>0</v>
      </c>
      <c r="I12" s="168">
        <v>0</v>
      </c>
      <c r="J12" s="168">
        <v>1024.42</v>
      </c>
      <c r="K12" s="168" t="s">
        <v>390</v>
      </c>
      <c r="L12" s="168">
        <v>34.979999999999997</v>
      </c>
      <c r="M12" s="168">
        <v>1488387600</v>
      </c>
      <c r="N12" s="168">
        <v>3.03</v>
      </c>
      <c r="O12" s="168">
        <v>289</v>
      </c>
      <c r="P12" s="168">
        <v>3.87</v>
      </c>
      <c r="Q12"/>
      <c r="R12"/>
    </row>
    <row r="13" spans="1:18" x14ac:dyDescent="0.25">
      <c r="A13" s="168">
        <v>39.24</v>
      </c>
      <c r="B13" s="168">
        <v>0.22</v>
      </c>
      <c r="C13" s="168">
        <v>5.44</v>
      </c>
      <c r="D13" s="8">
        <v>42795.458333333336</v>
      </c>
      <c r="E13" s="168">
        <v>0.22</v>
      </c>
      <c r="F13" s="168" t="s">
        <v>675</v>
      </c>
      <c r="G13" s="168">
        <v>361.92</v>
      </c>
      <c r="H13" s="168">
        <v>0</v>
      </c>
      <c r="I13" s="168">
        <v>0</v>
      </c>
      <c r="J13" s="168">
        <v>1023.23</v>
      </c>
      <c r="K13" s="168" t="s">
        <v>390</v>
      </c>
      <c r="L13" s="168">
        <v>41.02</v>
      </c>
      <c r="M13" s="168">
        <v>1488391200</v>
      </c>
      <c r="N13" s="168">
        <v>3.04</v>
      </c>
      <c r="O13" s="168">
        <v>307</v>
      </c>
      <c r="P13" s="168">
        <v>3.26</v>
      </c>
      <c r="Q13"/>
      <c r="R13"/>
    </row>
    <row r="14" spans="1:18" x14ac:dyDescent="0.25">
      <c r="A14" s="168">
        <v>41.11</v>
      </c>
      <c r="B14" s="168">
        <v>0.17</v>
      </c>
      <c r="C14" s="168">
        <v>3.74</v>
      </c>
      <c r="D14" s="8">
        <v>42795.5</v>
      </c>
      <c r="E14" s="168">
        <v>0.19</v>
      </c>
      <c r="F14" s="168" t="s">
        <v>675</v>
      </c>
      <c r="G14" s="168">
        <v>360.87</v>
      </c>
      <c r="H14" s="168">
        <v>0</v>
      </c>
      <c r="I14" s="168">
        <v>0</v>
      </c>
      <c r="J14" s="168">
        <v>1022.7</v>
      </c>
      <c r="K14" s="168" t="s">
        <v>390</v>
      </c>
      <c r="L14" s="168">
        <v>42.91</v>
      </c>
      <c r="M14" s="168">
        <v>1488394800</v>
      </c>
      <c r="N14" s="168">
        <v>10</v>
      </c>
      <c r="O14" s="168">
        <v>306</v>
      </c>
      <c r="P14" s="168">
        <v>3.53</v>
      </c>
      <c r="Q14"/>
      <c r="R14"/>
    </row>
    <row r="15" spans="1:18" x14ac:dyDescent="0.25">
      <c r="A15" s="168">
        <v>45.79</v>
      </c>
      <c r="B15" s="168">
        <v>0.17</v>
      </c>
      <c r="C15" s="168">
        <v>6.33</v>
      </c>
      <c r="D15" s="8">
        <v>42795.541666666664</v>
      </c>
      <c r="E15" s="168">
        <v>0.19</v>
      </c>
      <c r="F15" s="168" t="s">
        <v>675</v>
      </c>
      <c r="G15" s="168">
        <v>359.77</v>
      </c>
      <c r="H15" s="168">
        <v>0</v>
      </c>
      <c r="I15" s="168">
        <v>0</v>
      </c>
      <c r="J15" s="168">
        <v>1022.48</v>
      </c>
      <c r="K15" s="168" t="s">
        <v>390</v>
      </c>
      <c r="L15" s="168">
        <v>45.79</v>
      </c>
      <c r="M15" s="168">
        <v>1488398400</v>
      </c>
      <c r="N15" s="168">
        <v>3.04</v>
      </c>
      <c r="O15" s="168">
        <v>331</v>
      </c>
      <c r="P15" s="168">
        <v>2.36</v>
      </c>
      <c r="Q15"/>
      <c r="R15"/>
    </row>
    <row r="16" spans="1:18" x14ac:dyDescent="0.25">
      <c r="A16" s="168">
        <v>46.51</v>
      </c>
      <c r="B16" s="168">
        <v>0.17</v>
      </c>
      <c r="C16" s="168">
        <v>5.09</v>
      </c>
      <c r="D16" s="8">
        <v>42795.583333333336</v>
      </c>
      <c r="E16" s="168">
        <v>0.18</v>
      </c>
      <c r="F16" s="168" t="s">
        <v>675</v>
      </c>
      <c r="G16" s="168">
        <v>359.37</v>
      </c>
      <c r="H16" s="168">
        <v>0</v>
      </c>
      <c r="I16" s="168">
        <v>0</v>
      </c>
      <c r="J16" s="168">
        <v>1022.43</v>
      </c>
      <c r="K16" s="168" t="s">
        <v>390</v>
      </c>
      <c r="L16" s="168">
        <v>46.51</v>
      </c>
      <c r="M16" s="168">
        <v>1488402000</v>
      </c>
      <c r="N16" s="168">
        <v>3.03</v>
      </c>
      <c r="O16" s="168">
        <v>321</v>
      </c>
      <c r="P16" s="168">
        <v>1.73</v>
      </c>
      <c r="Q16"/>
      <c r="R16"/>
    </row>
    <row r="17" spans="1:18" x14ac:dyDescent="0.25">
      <c r="A17" s="168">
        <v>45.53</v>
      </c>
      <c r="B17" s="168">
        <v>0.22</v>
      </c>
      <c r="C17" s="168">
        <v>5.45</v>
      </c>
      <c r="D17" s="8">
        <v>42795.625</v>
      </c>
      <c r="E17" s="168">
        <v>0.18</v>
      </c>
      <c r="F17" s="168" t="s">
        <v>675</v>
      </c>
      <c r="G17" s="168">
        <v>360.3</v>
      </c>
      <c r="H17" s="168">
        <v>0</v>
      </c>
      <c r="I17" s="168">
        <v>0</v>
      </c>
      <c r="J17" s="168">
        <v>1021.67</v>
      </c>
      <c r="K17" s="168" t="s">
        <v>390</v>
      </c>
      <c r="L17" s="168">
        <v>47.14</v>
      </c>
      <c r="M17" s="168">
        <v>1488405600</v>
      </c>
      <c r="N17" s="168">
        <v>3.07</v>
      </c>
      <c r="O17" s="168">
        <v>323</v>
      </c>
      <c r="P17" s="168">
        <v>4.0599999999999996</v>
      </c>
      <c r="Q17"/>
      <c r="R17"/>
    </row>
    <row r="18" spans="1:18" x14ac:dyDescent="0.25">
      <c r="A18" s="168">
        <v>42.23</v>
      </c>
      <c r="B18" s="168">
        <v>0.25</v>
      </c>
      <c r="C18" s="168">
        <v>5.85</v>
      </c>
      <c r="D18" s="8">
        <v>42795.666666666664</v>
      </c>
      <c r="E18" s="168">
        <v>0.19</v>
      </c>
      <c r="F18" s="168" t="s">
        <v>676</v>
      </c>
      <c r="G18" s="168">
        <v>361.93</v>
      </c>
      <c r="H18" s="168">
        <v>0</v>
      </c>
      <c r="I18" s="168">
        <v>0</v>
      </c>
      <c r="J18" s="168">
        <v>1021.04</v>
      </c>
      <c r="K18" s="168" t="s">
        <v>314</v>
      </c>
      <c r="L18" s="168">
        <v>46.02</v>
      </c>
      <c r="M18" s="168">
        <v>1488409200</v>
      </c>
      <c r="N18" s="168">
        <v>10</v>
      </c>
      <c r="O18" s="168">
        <v>323</v>
      </c>
      <c r="P18" s="168">
        <v>7.33</v>
      </c>
      <c r="Q18"/>
      <c r="R18"/>
    </row>
    <row r="19" spans="1:18" x14ac:dyDescent="0.25">
      <c r="A19" s="168">
        <v>38.53</v>
      </c>
      <c r="B19" s="168">
        <v>0.26</v>
      </c>
      <c r="C19" s="168">
        <v>6.07</v>
      </c>
      <c r="D19" s="8">
        <v>42795.708333333336</v>
      </c>
      <c r="E19" s="168">
        <v>0.21</v>
      </c>
      <c r="F19" s="168" t="s">
        <v>676</v>
      </c>
      <c r="G19" s="168">
        <v>363.09</v>
      </c>
      <c r="H19" s="168">
        <v>0</v>
      </c>
      <c r="I19" s="168">
        <v>0</v>
      </c>
      <c r="J19" s="168">
        <v>1021.12</v>
      </c>
      <c r="K19" s="168" t="s">
        <v>314</v>
      </c>
      <c r="L19" s="168">
        <v>43.46</v>
      </c>
      <c r="M19" s="168">
        <v>1488412800</v>
      </c>
      <c r="N19" s="168">
        <v>5.85</v>
      </c>
      <c r="O19" s="168">
        <v>321</v>
      </c>
      <c r="P19" s="168">
        <v>8.58</v>
      </c>
      <c r="Q19"/>
      <c r="R19"/>
    </row>
    <row r="20" spans="1:18" x14ac:dyDescent="0.25">
      <c r="A20" s="168">
        <v>35.79</v>
      </c>
      <c r="B20" s="168">
        <v>0.28999999999999998</v>
      </c>
      <c r="C20" s="168">
        <v>7.08</v>
      </c>
      <c r="D20" s="8">
        <v>42795.75</v>
      </c>
      <c r="E20" s="168">
        <v>0.24</v>
      </c>
      <c r="F20" s="168" t="s">
        <v>341</v>
      </c>
      <c r="G20" s="168">
        <v>363.32</v>
      </c>
      <c r="H20" s="168">
        <v>0</v>
      </c>
      <c r="I20" s="168">
        <v>0</v>
      </c>
      <c r="J20" s="168">
        <v>1022.07</v>
      </c>
      <c r="K20" s="168" t="s">
        <v>314</v>
      </c>
      <c r="L20" s="168">
        <v>41.08</v>
      </c>
      <c r="M20" s="168">
        <v>1488416400</v>
      </c>
      <c r="N20" s="168">
        <v>6.55</v>
      </c>
      <c r="O20" s="168">
        <v>317</v>
      </c>
      <c r="P20" s="168">
        <v>8.23</v>
      </c>
      <c r="Q20"/>
      <c r="R20"/>
    </row>
    <row r="21" spans="1:18" x14ac:dyDescent="0.25">
      <c r="A21" s="168">
        <v>34.71</v>
      </c>
      <c r="B21" s="168">
        <v>0.23</v>
      </c>
      <c r="C21" s="168">
        <v>6.73</v>
      </c>
      <c r="D21" s="8">
        <v>42795.791666666664</v>
      </c>
      <c r="E21" s="168">
        <v>0.25</v>
      </c>
      <c r="F21" s="168" t="s">
        <v>389</v>
      </c>
      <c r="G21" s="168">
        <v>363.09</v>
      </c>
      <c r="H21" s="168">
        <v>0</v>
      </c>
      <c r="I21" s="168">
        <v>0</v>
      </c>
      <c r="J21" s="168">
        <v>1024.2</v>
      </c>
      <c r="K21" s="168" t="s">
        <v>390</v>
      </c>
      <c r="L21" s="168">
        <v>39.18</v>
      </c>
      <c r="M21" s="168">
        <v>1488420000</v>
      </c>
      <c r="N21" s="168">
        <v>10</v>
      </c>
      <c r="O21" s="168">
        <v>303</v>
      </c>
      <c r="P21" s="168">
        <v>6.12</v>
      </c>
      <c r="Q21"/>
      <c r="R21"/>
    </row>
    <row r="22" spans="1:18" x14ac:dyDescent="0.25">
      <c r="A22" s="168">
        <v>33.67</v>
      </c>
      <c r="B22" s="168">
        <v>0.16</v>
      </c>
      <c r="C22" s="168">
        <v>7.17</v>
      </c>
      <c r="D22" s="8">
        <v>42795.833333333336</v>
      </c>
      <c r="E22" s="168">
        <v>0.28000000000000003</v>
      </c>
      <c r="F22" s="168" t="s">
        <v>389</v>
      </c>
      <c r="G22" s="168">
        <v>362.66</v>
      </c>
      <c r="H22" s="168">
        <v>0</v>
      </c>
      <c r="I22" s="168">
        <v>0</v>
      </c>
      <c r="J22" s="168">
        <v>1026.0899999999999</v>
      </c>
      <c r="K22" s="168" t="s">
        <v>390</v>
      </c>
      <c r="L22" s="168">
        <v>37.32</v>
      </c>
      <c r="M22" s="168">
        <v>1488423600</v>
      </c>
      <c r="N22" s="168">
        <v>6.49</v>
      </c>
      <c r="O22" s="168">
        <v>281</v>
      </c>
      <c r="P22" s="168">
        <v>4.5999999999999996</v>
      </c>
      <c r="Q22"/>
      <c r="R22"/>
    </row>
    <row r="23" spans="1:18" x14ac:dyDescent="0.25">
      <c r="A23" s="168">
        <v>32.630000000000003</v>
      </c>
      <c r="B23" s="168">
        <v>0.19</v>
      </c>
      <c r="C23" s="168">
        <v>7.3</v>
      </c>
      <c r="D23" s="8">
        <v>42795.875</v>
      </c>
      <c r="E23" s="168">
        <v>0.3</v>
      </c>
      <c r="F23" s="168" t="s">
        <v>389</v>
      </c>
      <c r="G23" s="168">
        <v>361.97</v>
      </c>
      <c r="H23" s="168">
        <v>0</v>
      </c>
      <c r="I23" s="168">
        <v>0</v>
      </c>
      <c r="J23" s="168">
        <v>1026.96</v>
      </c>
      <c r="K23" s="168" t="s">
        <v>390</v>
      </c>
      <c r="L23" s="168">
        <v>35.299999999999997</v>
      </c>
      <c r="M23" s="168">
        <v>1488427200</v>
      </c>
      <c r="N23" s="168">
        <v>5.54</v>
      </c>
      <c r="O23" s="168">
        <v>296</v>
      </c>
      <c r="P23" s="168">
        <v>3.33</v>
      </c>
      <c r="Q23"/>
      <c r="R23"/>
    </row>
    <row r="24" spans="1:18" x14ac:dyDescent="0.25">
      <c r="A24" s="168">
        <v>33.72</v>
      </c>
      <c r="B24" s="168">
        <v>0.2</v>
      </c>
      <c r="C24" s="168">
        <v>7.65</v>
      </c>
      <c r="D24" s="8">
        <v>42795.916666666664</v>
      </c>
      <c r="E24" s="168">
        <v>0.33</v>
      </c>
      <c r="F24" s="168" t="s">
        <v>389</v>
      </c>
      <c r="G24" s="168">
        <v>361.09</v>
      </c>
      <c r="H24" s="168">
        <v>0</v>
      </c>
      <c r="I24" s="168">
        <v>0</v>
      </c>
      <c r="J24" s="168">
        <v>1027.4000000000001</v>
      </c>
      <c r="K24" s="168" t="s">
        <v>390</v>
      </c>
      <c r="L24" s="168">
        <v>33.72</v>
      </c>
      <c r="M24" s="168">
        <v>1488430800</v>
      </c>
      <c r="N24" s="168">
        <v>5.38</v>
      </c>
      <c r="O24" s="168">
        <v>295</v>
      </c>
      <c r="P24" s="168">
        <v>2.1800000000000002</v>
      </c>
      <c r="Q24"/>
      <c r="R24"/>
    </row>
    <row r="25" spans="1:18" x14ac:dyDescent="0.25">
      <c r="A25" s="168">
        <v>33.28</v>
      </c>
      <c r="B25" s="168">
        <v>0.19</v>
      </c>
      <c r="C25" s="168">
        <v>7.37</v>
      </c>
      <c r="D25" s="8">
        <v>42795.958333333336</v>
      </c>
      <c r="E25" s="168">
        <v>0.33</v>
      </c>
      <c r="F25" s="168" t="s">
        <v>389</v>
      </c>
      <c r="G25" s="168">
        <v>360.46</v>
      </c>
      <c r="H25" s="168">
        <v>0</v>
      </c>
      <c r="I25" s="168">
        <v>0</v>
      </c>
      <c r="J25" s="168">
        <v>1027.92</v>
      </c>
      <c r="K25" s="168" t="s">
        <v>390</v>
      </c>
      <c r="L25" s="168">
        <v>33.28</v>
      </c>
      <c r="M25" s="168">
        <v>1488434400</v>
      </c>
      <c r="N25" s="168">
        <v>5.65</v>
      </c>
      <c r="O25" s="168">
        <v>267</v>
      </c>
      <c r="P25" s="168">
        <v>2.62</v>
      </c>
      <c r="Q25"/>
      <c r="R25"/>
    </row>
    <row r="26" spans="1:18" x14ac:dyDescent="0.25">
      <c r="A26" s="168">
        <v>31.94</v>
      </c>
      <c r="B26" s="168">
        <v>0.19</v>
      </c>
      <c r="C26" s="168">
        <v>6.5</v>
      </c>
      <c r="D26" s="8">
        <v>42796</v>
      </c>
      <c r="E26" s="168">
        <v>0.34</v>
      </c>
      <c r="F26" s="168" t="s">
        <v>389</v>
      </c>
      <c r="G26" s="168">
        <v>360.51</v>
      </c>
      <c r="H26" s="168">
        <v>0</v>
      </c>
      <c r="I26" s="168">
        <v>0</v>
      </c>
      <c r="J26" s="168">
        <v>1028.9000000000001</v>
      </c>
      <c r="K26" s="168" t="s">
        <v>390</v>
      </c>
      <c r="L26" s="168">
        <v>31.94</v>
      </c>
      <c r="M26" s="168">
        <v>1488438000</v>
      </c>
      <c r="N26" s="168">
        <v>5.87</v>
      </c>
      <c r="O26" s="168">
        <v>289</v>
      </c>
      <c r="P26" s="168">
        <v>2.16</v>
      </c>
      <c r="Q26"/>
      <c r="R26"/>
    </row>
    <row r="27" spans="1:18" x14ac:dyDescent="0.25">
      <c r="A27" s="168">
        <v>30.71</v>
      </c>
      <c r="B27" s="168">
        <v>0.12</v>
      </c>
      <c r="C27" s="168">
        <v>7.31</v>
      </c>
      <c r="D27" s="8">
        <v>42796.041666666664</v>
      </c>
      <c r="E27" s="168">
        <v>0.37</v>
      </c>
      <c r="F27" s="168" t="s">
        <v>389</v>
      </c>
      <c r="G27" s="168">
        <v>360.56</v>
      </c>
      <c r="H27" s="168">
        <v>0</v>
      </c>
      <c r="I27" s="168">
        <v>0</v>
      </c>
      <c r="J27" s="168">
        <v>1029.8499999999999</v>
      </c>
      <c r="K27" s="168" t="s">
        <v>390</v>
      </c>
      <c r="L27" s="168">
        <v>30.71</v>
      </c>
      <c r="M27" s="168">
        <v>1488441600</v>
      </c>
      <c r="N27" s="168">
        <v>5.77</v>
      </c>
      <c r="O27" s="168">
        <v>319</v>
      </c>
      <c r="P27" s="168">
        <v>2.92</v>
      </c>
      <c r="Q27"/>
      <c r="R27"/>
    </row>
    <row r="28" spans="1:18" x14ac:dyDescent="0.25">
      <c r="A28" s="168">
        <v>29.56</v>
      </c>
      <c r="B28" s="168">
        <v>0.17</v>
      </c>
      <c r="C28" s="168">
        <v>6.68</v>
      </c>
      <c r="D28" s="8">
        <v>42796.083333333336</v>
      </c>
      <c r="E28" s="168">
        <v>0.37</v>
      </c>
      <c r="F28" s="168" t="s">
        <v>389</v>
      </c>
      <c r="G28" s="168">
        <v>360.61</v>
      </c>
      <c r="H28" s="168">
        <v>0</v>
      </c>
      <c r="I28" s="168">
        <v>0</v>
      </c>
      <c r="J28" s="168">
        <v>1030.77</v>
      </c>
      <c r="K28" s="168" t="s">
        <v>390</v>
      </c>
      <c r="L28" s="168">
        <v>29.56</v>
      </c>
      <c r="M28" s="168">
        <v>1488445200</v>
      </c>
      <c r="N28" s="168">
        <v>10</v>
      </c>
      <c r="O28" s="168">
        <v>318</v>
      </c>
      <c r="P28" s="168">
        <v>2.36</v>
      </c>
      <c r="Q28"/>
      <c r="R28"/>
    </row>
    <row r="29" spans="1:18" x14ac:dyDescent="0.25">
      <c r="A29" s="168">
        <v>24.73</v>
      </c>
      <c r="B29" s="168">
        <v>0.19</v>
      </c>
      <c r="C29" s="168">
        <v>4.6900000000000004</v>
      </c>
      <c r="D29" s="8">
        <v>42796.125</v>
      </c>
      <c r="E29" s="168">
        <v>0.42</v>
      </c>
      <c r="F29" s="168" t="s">
        <v>389</v>
      </c>
      <c r="G29" s="168">
        <v>360.19</v>
      </c>
      <c r="H29" s="168">
        <v>0</v>
      </c>
      <c r="I29" s="168">
        <v>0</v>
      </c>
      <c r="J29" s="168">
        <v>1031.51</v>
      </c>
      <c r="K29" s="168" t="s">
        <v>390</v>
      </c>
      <c r="L29" s="168">
        <v>24.73</v>
      </c>
      <c r="M29" s="168">
        <v>1488448800</v>
      </c>
      <c r="N29" s="168">
        <v>10</v>
      </c>
      <c r="O29" s="168">
        <v>310</v>
      </c>
      <c r="P29" s="168">
        <v>2.0699999999999998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6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42795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191</v>
      </c>
      <c r="J17" s="160"/>
      <c r="K17" s="161"/>
      <c r="L17" s="161"/>
    </row>
    <row r="18" spans="3:14" x14ac:dyDescent="0.25">
      <c r="C18" t="s">
        <v>833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</row>
    <row r="19" spans="3:14" x14ac:dyDescent="0.25">
      <c r="C19" t="s">
        <v>834</v>
      </c>
      <c r="J19" s="160" t="s">
        <v>86</v>
      </c>
      <c r="K19" s="161"/>
      <c r="L19" s="161"/>
      <c r="M19" s="168" t="s">
        <v>112</v>
      </c>
    </row>
    <row r="20" spans="3:14" x14ac:dyDescent="0.25">
      <c r="C20" t="s">
        <v>835</v>
      </c>
      <c r="J20" s="152" t="s">
        <v>87</v>
      </c>
      <c r="M20" s="168" t="s">
        <v>325</v>
      </c>
      <c r="N20" s="168" t="s">
        <v>280</v>
      </c>
    </row>
    <row r="21" spans="3:14" x14ac:dyDescent="0.25">
      <c r="C21" t="s">
        <v>836</v>
      </c>
      <c r="J21" s="152" t="s">
        <v>90</v>
      </c>
      <c r="K21" s="152" t="s">
        <v>91</v>
      </c>
      <c r="M21" s="168" t="s">
        <v>178</v>
      </c>
    </row>
    <row r="22" spans="3:14" x14ac:dyDescent="0.25">
      <c r="C22" t="s">
        <v>837</v>
      </c>
      <c r="J22" s="152" t="s">
        <v>92</v>
      </c>
      <c r="K22" s="152" t="s">
        <v>93</v>
      </c>
      <c r="M22" s="168" t="s">
        <v>111</v>
      </c>
    </row>
    <row r="23" spans="3:14" x14ac:dyDescent="0.25">
      <c r="C23" t="s">
        <v>838</v>
      </c>
      <c r="J23" s="162" t="s">
        <v>95</v>
      </c>
      <c r="M23" s="168" t="str">
        <f>"-07"</f>
        <v>-07</v>
      </c>
    </row>
    <row r="24" spans="3:14" x14ac:dyDescent="0.25">
      <c r="C24" t="s">
        <v>839</v>
      </c>
      <c r="J24" s="152" t="s">
        <v>108</v>
      </c>
      <c r="M24" s="168" t="s">
        <v>110</v>
      </c>
    </row>
    <row r="25" spans="3:14" x14ac:dyDescent="0.25">
      <c r="C25" t="s">
        <v>840</v>
      </c>
      <c r="J25" s="152" t="s">
        <v>150</v>
      </c>
      <c r="M25" s="168" t="b">
        <v>1</v>
      </c>
    </row>
    <row r="26" spans="3:14" x14ac:dyDescent="0.25">
      <c r="C26" t="s">
        <v>841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C:\Users\stu\Documents\GitHub\eaglep3-reporting\EC\2017-03-01-refined-times.txt</v>
      </c>
    </row>
    <row r="27" spans="3:14" x14ac:dyDescent="0.25">
      <c r="C27" t="s">
        <v>842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C:\Users\stu\Documents\GitHub\eaglep3-reporting\EC\2017-03-01-Enforcements.txt</v>
      </c>
    </row>
    <row r="28" spans="3:14" x14ac:dyDescent="0.25">
      <c r="C28" t="s">
        <v>843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C:\Users\stu\Documents\GitHub\eaglep3-reporting\EC\2017-03-01-Runs-refined.txt</v>
      </c>
    </row>
    <row r="29" spans="3:14" x14ac:dyDescent="0.25">
      <c r="C29" t="s">
        <v>844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C:\Users\stu\Documents\GitHub\eaglep3-reporting\EC\2017-03-01-Trips.txt</v>
      </c>
    </row>
    <row r="30" spans="3:14" x14ac:dyDescent="0.25">
      <c r="C30" t="s">
        <v>845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C:\Users\stu\Documents\GitHub\eaglep3-reporting\EC\2017-03-01-Weather.txt</v>
      </c>
    </row>
    <row r="31" spans="3:14" x14ac:dyDescent="0.25">
      <c r="C31" t="s">
        <v>846</v>
      </c>
      <c r="J31" s="152" t="s">
        <v>210</v>
      </c>
      <c r="M31" s="168" t="s">
        <v>211</v>
      </c>
    </row>
    <row r="32" spans="3:14" x14ac:dyDescent="0.25">
      <c r="C32" t="s">
        <v>847</v>
      </c>
    </row>
    <row r="33" spans="3:3" x14ac:dyDescent="0.25">
      <c r="C33" t="s">
        <v>848</v>
      </c>
    </row>
    <row r="34" spans="3:3" x14ac:dyDescent="0.25">
      <c r="C34" t="s">
        <v>849</v>
      </c>
    </row>
    <row r="35" spans="3:3" x14ac:dyDescent="0.25">
      <c r="C35" t="s">
        <v>850</v>
      </c>
    </row>
    <row r="36" spans="3:3" x14ac:dyDescent="0.25">
      <c r="C36" t="s">
        <v>851</v>
      </c>
    </row>
    <row r="37" spans="3:3" x14ac:dyDescent="0.25">
      <c r="C37" t="s">
        <v>852</v>
      </c>
    </row>
    <row r="38" spans="3:3" x14ac:dyDescent="0.25">
      <c r="C38" t="s">
        <v>853</v>
      </c>
    </row>
    <row r="39" spans="3:3" x14ac:dyDescent="0.25">
      <c r="C39" t="s">
        <v>854</v>
      </c>
    </row>
    <row r="40" spans="3:3" x14ac:dyDescent="0.25">
      <c r="C40" t="s">
        <v>855</v>
      </c>
    </row>
    <row r="41" spans="3:3" x14ac:dyDescent="0.25">
      <c r="C41" t="s">
        <v>856</v>
      </c>
    </row>
    <row r="42" spans="3:3" x14ac:dyDescent="0.25">
      <c r="C42" t="s">
        <v>426</v>
      </c>
    </row>
    <row r="43" spans="3:3" x14ac:dyDescent="0.25">
      <c r="C43" t="s">
        <v>857</v>
      </c>
    </row>
    <row r="44" spans="3:3" x14ac:dyDescent="0.25">
      <c r="C44" t="s">
        <v>858</v>
      </c>
    </row>
    <row r="45" spans="3:3" x14ac:dyDescent="0.25">
      <c r="C45" t="s">
        <v>859</v>
      </c>
    </row>
    <row r="46" spans="3:3" x14ac:dyDescent="0.25">
      <c r="C46" t="s">
        <v>860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867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868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869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870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871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872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873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874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875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876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877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878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879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880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881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882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883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884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885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886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887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888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889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890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891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892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893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894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895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896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897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898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899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900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901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902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903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904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905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906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907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908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909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910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911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912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913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914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915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916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917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918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919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920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921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922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923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924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925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926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927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928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929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930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931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932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933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934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935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936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937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938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939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940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941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942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943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944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945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946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947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948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949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950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951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952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953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954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955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956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957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958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959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960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961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962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963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964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965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966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967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968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969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970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971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972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973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974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975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976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977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978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979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980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981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982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983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984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985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986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987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988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989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990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991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992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993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994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995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996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2017-03-02T16:42:13Z</dcterms:modified>
</cp:coreProperties>
</file>