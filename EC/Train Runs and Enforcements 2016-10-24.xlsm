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Runs'!$A$12:$AG$276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4" i="1" l="1"/>
  <c r="X14" i="1"/>
  <c r="W15" i="1"/>
  <c r="X15" i="1"/>
  <c r="W16" i="1"/>
  <c r="X16" i="1"/>
  <c r="W17" i="1"/>
  <c r="X17" i="1"/>
  <c r="W18" i="1"/>
  <c r="X18" i="1"/>
  <c r="W19" i="1"/>
  <c r="X19" i="1"/>
  <c r="W20" i="1"/>
  <c r="X20" i="1"/>
  <c r="K14" i="1"/>
  <c r="L14" i="1"/>
  <c r="M14" i="1"/>
  <c r="N14" i="1"/>
  <c r="V14" i="1"/>
  <c r="Y14" i="1"/>
  <c r="Z14" i="1"/>
  <c r="AA14" i="1" s="1"/>
  <c r="AB14" i="1"/>
  <c r="AC14" i="1"/>
  <c r="AD14" i="1"/>
  <c r="T14" i="1" s="1"/>
  <c r="AE14" i="1"/>
  <c r="AF14" i="1"/>
  <c r="AH14" i="1"/>
  <c r="X200" i="1"/>
  <c r="Y200" i="1"/>
  <c r="X201" i="1"/>
  <c r="Y201" i="1"/>
  <c r="X202" i="1"/>
  <c r="Y202" i="1"/>
  <c r="X203" i="1"/>
  <c r="Y203" i="1"/>
  <c r="X204" i="1"/>
  <c r="Y204" i="1"/>
  <c r="X175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T17" i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A18" i="1" s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R35" i="3" s="1"/>
  <c r="AF33" i="1"/>
  <c r="AH33" i="1"/>
  <c r="K34" i="1"/>
  <c r="L34" i="1"/>
  <c r="M34" i="1"/>
  <c r="N34" i="1" s="1"/>
  <c r="V34" i="1"/>
  <c r="Y34" i="1"/>
  <c r="Z34" i="1"/>
  <c r="AI34" i="1" s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T37" i="1"/>
  <c r="V37" i="1"/>
  <c r="S36" i="3" s="1"/>
  <c r="Y37" i="1"/>
  <c r="Z37" i="1"/>
  <c r="AB37" i="1"/>
  <c r="AC37" i="1"/>
  <c r="AD37" i="1"/>
  <c r="X37" i="1" s="1"/>
  <c r="AE37" i="1"/>
  <c r="R36" i="3" s="1"/>
  <c r="AF37" i="1"/>
  <c r="AH37" i="1"/>
  <c r="K38" i="1"/>
  <c r="L38" i="1"/>
  <c r="M38" i="1"/>
  <c r="N38" i="1" s="1"/>
  <c r="V38" i="1"/>
  <c r="Y38" i="1"/>
  <c r="Z38" i="1"/>
  <c r="AI38" i="1" s="1"/>
  <c r="AB38" i="1"/>
  <c r="AC38" i="1"/>
  <c r="AD38" i="1"/>
  <c r="AG38" i="1" s="1"/>
  <c r="AE38" i="1"/>
  <c r="AF38" i="1"/>
  <c r="AH38" i="1"/>
  <c r="K39" i="1"/>
  <c r="L39" i="1"/>
  <c r="M39" i="1"/>
  <c r="N39" i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R20" i="3" s="1"/>
  <c r="AF45" i="1"/>
  <c r="AH45" i="1"/>
  <c r="K46" i="1"/>
  <c r="L46" i="1"/>
  <c r="M46" i="1"/>
  <c r="N46" i="1" s="1"/>
  <c r="V46" i="1"/>
  <c r="S8" i="3" s="1"/>
  <c r="Y46" i="1"/>
  <c r="Z46" i="1"/>
  <c r="AI46" i="1" s="1"/>
  <c r="AB46" i="1"/>
  <c r="AC46" i="1"/>
  <c r="AD46" i="1"/>
  <c r="AG46" i="1" s="1"/>
  <c r="AE46" i="1"/>
  <c r="R8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S9" i="3" s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S7" i="3" s="1"/>
  <c r="Y55" i="1"/>
  <c r="Z55" i="1"/>
  <c r="AI55" i="1" s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S16" i="3" s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S31" i="3" s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S21" i="3" s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S17" i="3" s="1"/>
  <c r="Y63" i="1"/>
  <c r="Z63" i="1"/>
  <c r="AB63" i="1"/>
  <c r="AC63" i="1"/>
  <c r="AD63" i="1"/>
  <c r="X63" i="1" s="1"/>
  <c r="AE63" i="1"/>
  <c r="AF63" i="1"/>
  <c r="AH63" i="1"/>
  <c r="K64" i="1"/>
  <c r="L64" i="1"/>
  <c r="M64" i="1"/>
  <c r="N64" i="1" s="1"/>
  <c r="V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S14" i="3" s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R11" i="3" s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V75" i="1"/>
  <c r="S23" i="3" s="1"/>
  <c r="Y75" i="1"/>
  <c r="Z75" i="1"/>
  <c r="AB75" i="1"/>
  <c r="AC75" i="1"/>
  <c r="AD75" i="1"/>
  <c r="AE75" i="1"/>
  <c r="AF75" i="1"/>
  <c r="AH75" i="1"/>
  <c r="K76" i="1"/>
  <c r="L76" i="1"/>
  <c r="M76" i="1"/>
  <c r="V76" i="1"/>
  <c r="Y76" i="1"/>
  <c r="Z76" i="1"/>
  <c r="AA76" i="1" s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A81" i="1" s="1"/>
  <c r="W81" i="1" s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X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A84" i="1" s="1"/>
  <c r="W84" i="1" s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S26" i="3" s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S28" i="3" s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G111" i="1"/>
  <c r="AH111" i="1"/>
  <c r="K112" i="1"/>
  <c r="L112" i="1"/>
  <c r="M112" i="1"/>
  <c r="N112" i="1" s="1"/>
  <c r="V112" i="1"/>
  <c r="S15" i="3" s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S10" i="3" s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T140" i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5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AA208" i="1" s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164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6" i="1"/>
  <c r="K220" i="1"/>
  <c r="L220" i="1"/>
  <c r="M220" i="1"/>
  <c r="N220" i="1" s="1"/>
  <c r="V220" i="1"/>
  <c r="S51" i="3" s="1"/>
  <c r="Y220" i="1"/>
  <c r="Z220" i="1"/>
  <c r="AB220" i="1"/>
  <c r="AC220" i="1"/>
  <c r="AD220" i="1"/>
  <c r="AG220" i="1" s="1"/>
  <c r="AE220" i="1"/>
  <c r="R51" i="3" s="1"/>
  <c r="AF220" i="1"/>
  <c r="AH16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6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9" i="1"/>
  <c r="K223" i="1"/>
  <c r="L223" i="1"/>
  <c r="M223" i="1"/>
  <c r="N223" i="1"/>
  <c r="V223" i="1"/>
  <c r="Y223" i="1"/>
  <c r="Z223" i="1"/>
  <c r="AB223" i="1"/>
  <c r="AC223" i="1"/>
  <c r="AD223" i="1"/>
  <c r="T223" i="1" s="1"/>
  <c r="AE223" i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R42" i="3" s="1"/>
  <c r="AF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R45" i="3" s="1"/>
  <c r="AF159" i="1"/>
  <c r="AH173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6" i="1"/>
  <c r="K163" i="1"/>
  <c r="L163" i="1"/>
  <c r="M163" i="1"/>
  <c r="N163" i="1"/>
  <c r="V163" i="1"/>
  <c r="Y163" i="1"/>
  <c r="Z163" i="1"/>
  <c r="AB163" i="1"/>
  <c r="AC163" i="1"/>
  <c r="AD163" i="1"/>
  <c r="T163" i="1" s="1"/>
  <c r="AE163" i="1"/>
  <c r="AF163" i="1"/>
  <c r="AH17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7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0" i="1"/>
  <c r="K167" i="1"/>
  <c r="L167" i="1"/>
  <c r="M167" i="1"/>
  <c r="N167" i="1" s="1"/>
  <c r="V167" i="1"/>
  <c r="S47" i="3" s="1"/>
  <c r="Y167" i="1"/>
  <c r="Z167" i="1"/>
  <c r="AB167" i="1"/>
  <c r="AC167" i="1"/>
  <c r="AD167" i="1"/>
  <c r="T167" i="1" s="1"/>
  <c r="AE167" i="1"/>
  <c r="R47" i="3" s="1"/>
  <c r="AF167" i="1"/>
  <c r="AH181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R37" i="3" s="1"/>
  <c r="AF171" i="1"/>
  <c r="AH185" i="1"/>
  <c r="K172" i="1"/>
  <c r="L172" i="1"/>
  <c r="M172" i="1"/>
  <c r="P172" i="1" s="1"/>
  <c r="V172" i="1"/>
  <c r="Y172" i="1"/>
  <c r="AB172" i="1"/>
  <c r="AC172" i="1"/>
  <c r="AD172" i="1"/>
  <c r="T172" i="1" s="1"/>
  <c r="AE172" i="1"/>
  <c r="AF172" i="1"/>
  <c r="AH186" i="1"/>
  <c r="AH187" i="1"/>
  <c r="K173" i="1"/>
  <c r="L173" i="1"/>
  <c r="M173" i="1"/>
  <c r="N173" i="1"/>
  <c r="V173" i="1"/>
  <c r="Y173" i="1"/>
  <c r="Z173" i="1"/>
  <c r="AB173" i="1"/>
  <c r="AC173" i="1"/>
  <c r="AD173" i="1"/>
  <c r="T173" i="1" s="1"/>
  <c r="AE173" i="1"/>
  <c r="AF173" i="1"/>
  <c r="AH188" i="1"/>
  <c r="K174" i="1"/>
  <c r="L174" i="1"/>
  <c r="M174" i="1"/>
  <c r="N174" i="1" s="1"/>
  <c r="V174" i="1"/>
  <c r="S39" i="3" s="1"/>
  <c r="Y174" i="1"/>
  <c r="Z174" i="1"/>
  <c r="AB174" i="1"/>
  <c r="AC174" i="1"/>
  <c r="AD174" i="1"/>
  <c r="T174" i="1" s="1"/>
  <c r="AE174" i="1"/>
  <c r="AF174" i="1"/>
  <c r="AH189" i="1"/>
  <c r="K175" i="1"/>
  <c r="L175" i="1"/>
  <c r="M175" i="1"/>
  <c r="N175" i="1" s="1"/>
  <c r="T175" i="1"/>
  <c r="V175" i="1"/>
  <c r="Y175" i="1"/>
  <c r="Z175" i="1"/>
  <c r="AB175" i="1"/>
  <c r="AC175" i="1"/>
  <c r="AD175" i="1"/>
  <c r="AG175" i="1" s="1"/>
  <c r="AE175" i="1"/>
  <c r="AF175" i="1"/>
  <c r="AH19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1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H19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9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6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9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9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9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1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6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07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0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R48" i="3" s="1"/>
  <c r="AF195" i="1"/>
  <c r="AH209" i="1"/>
  <c r="K196" i="1"/>
  <c r="L196" i="1"/>
  <c r="M196" i="1"/>
  <c r="N196" i="1" s="1"/>
  <c r="V196" i="1"/>
  <c r="S40" i="3" s="1"/>
  <c r="Y196" i="1"/>
  <c r="Z196" i="1"/>
  <c r="AB196" i="1"/>
  <c r="AC196" i="1"/>
  <c r="AD196" i="1"/>
  <c r="T196" i="1" s="1"/>
  <c r="AE196" i="1"/>
  <c r="R40" i="3" s="1"/>
  <c r="AF196" i="1"/>
  <c r="AH210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11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2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3" i="1"/>
  <c r="K200" i="1"/>
  <c r="L200" i="1"/>
  <c r="M200" i="1"/>
  <c r="N200" i="1" s="1"/>
  <c r="V200" i="1"/>
  <c r="Z200" i="1"/>
  <c r="AB200" i="1"/>
  <c r="AC200" i="1"/>
  <c r="AD200" i="1"/>
  <c r="T200" i="1" s="1"/>
  <c r="AE200" i="1"/>
  <c r="AF200" i="1"/>
  <c r="AH214" i="1"/>
  <c r="K201" i="1"/>
  <c r="L201" i="1"/>
  <c r="M201" i="1"/>
  <c r="N201" i="1" s="1"/>
  <c r="V201" i="1"/>
  <c r="Z201" i="1"/>
  <c r="AB201" i="1"/>
  <c r="AC201" i="1"/>
  <c r="AD201" i="1"/>
  <c r="T201" i="1" s="1"/>
  <c r="AE201" i="1"/>
  <c r="AF201" i="1"/>
  <c r="AH215" i="1"/>
  <c r="AH216" i="1"/>
  <c r="K202" i="1"/>
  <c r="L202" i="1"/>
  <c r="M202" i="1"/>
  <c r="N202" i="1" s="1"/>
  <c r="V202" i="1"/>
  <c r="Z202" i="1"/>
  <c r="AB202" i="1"/>
  <c r="AC202" i="1"/>
  <c r="AD202" i="1"/>
  <c r="AG202" i="1" s="1"/>
  <c r="AE202" i="1"/>
  <c r="AF202" i="1"/>
  <c r="AH217" i="1"/>
  <c r="K203" i="1"/>
  <c r="L203" i="1"/>
  <c r="M203" i="1"/>
  <c r="N203" i="1" s="1"/>
  <c r="V203" i="1"/>
  <c r="Z203" i="1"/>
  <c r="AB203" i="1"/>
  <c r="AC203" i="1"/>
  <c r="AD203" i="1"/>
  <c r="AG203" i="1" s="1"/>
  <c r="AE203" i="1"/>
  <c r="AF203" i="1"/>
  <c r="AH218" i="1"/>
  <c r="K204" i="1"/>
  <c r="L204" i="1"/>
  <c r="M204" i="1"/>
  <c r="N204" i="1" s="1"/>
  <c r="V204" i="1"/>
  <c r="Z204" i="1"/>
  <c r="AB204" i="1"/>
  <c r="AC204" i="1"/>
  <c r="AD204" i="1"/>
  <c r="T204" i="1" s="1"/>
  <c r="AE204" i="1"/>
  <c r="AF204" i="1"/>
  <c r="AH219" i="1"/>
  <c r="K212" i="1"/>
  <c r="L212" i="1"/>
  <c r="M212" i="1"/>
  <c r="N212" i="1" s="1"/>
  <c r="V212" i="1"/>
  <c r="S52" i="3" s="1"/>
  <c r="Y212" i="1"/>
  <c r="Z212" i="1"/>
  <c r="AB212" i="1"/>
  <c r="AC212" i="1"/>
  <c r="AD212" i="1"/>
  <c r="T212" i="1" s="1"/>
  <c r="AE212" i="1"/>
  <c r="R52" i="3" s="1"/>
  <c r="AF212" i="1"/>
  <c r="AH220" i="1"/>
  <c r="K213" i="1"/>
  <c r="L213" i="1"/>
  <c r="M213" i="1"/>
  <c r="N213" i="1"/>
  <c r="V213" i="1"/>
  <c r="Y213" i="1"/>
  <c r="Z213" i="1"/>
  <c r="AB213" i="1"/>
  <c r="AC213" i="1"/>
  <c r="AD213" i="1"/>
  <c r="AG213" i="1" s="1"/>
  <c r="AE213" i="1"/>
  <c r="AF213" i="1"/>
  <c r="AH221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22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23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4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25" i="1"/>
  <c r="M29" i="3"/>
  <c r="N29" i="3"/>
  <c r="U29" i="3"/>
  <c r="T29" i="3" s="1"/>
  <c r="V29" i="3"/>
  <c r="W29" i="3"/>
  <c r="X29" i="3"/>
  <c r="AC29" i="3"/>
  <c r="M52" i="3"/>
  <c r="N52" i="3"/>
  <c r="U52" i="3"/>
  <c r="T52" i="3" s="1"/>
  <c r="V52" i="3"/>
  <c r="W52" i="3"/>
  <c r="X52" i="3"/>
  <c r="AC52" i="3"/>
  <c r="M42" i="3"/>
  <c r="N42" i="3"/>
  <c r="S42" i="3"/>
  <c r="U42" i="3"/>
  <c r="AC42" i="3" s="1"/>
  <c r="V42" i="3"/>
  <c r="W42" i="3"/>
  <c r="X42" i="3"/>
  <c r="M45" i="3"/>
  <c r="N45" i="3"/>
  <c r="S45" i="3"/>
  <c r="U45" i="3"/>
  <c r="T45" i="3" s="1"/>
  <c r="V45" i="3"/>
  <c r="W45" i="3"/>
  <c r="X45" i="3"/>
  <c r="M22" i="3"/>
  <c r="N22" i="3"/>
  <c r="R22" i="3"/>
  <c r="S22" i="3"/>
  <c r="U22" i="3"/>
  <c r="T22" i="3" s="1"/>
  <c r="V22" i="3"/>
  <c r="W22" i="3"/>
  <c r="X22" i="3"/>
  <c r="M35" i="3"/>
  <c r="N35" i="3"/>
  <c r="S35" i="3"/>
  <c r="U35" i="3"/>
  <c r="T35" i="3" s="1"/>
  <c r="V35" i="3"/>
  <c r="W35" i="3"/>
  <c r="X35" i="3"/>
  <c r="M46" i="3"/>
  <c r="N46" i="3"/>
  <c r="R46" i="3"/>
  <c r="S46" i="3"/>
  <c r="U46" i="3"/>
  <c r="AC46" i="3" s="1"/>
  <c r="V46" i="3"/>
  <c r="W46" i="3"/>
  <c r="X46" i="3"/>
  <c r="M36" i="3"/>
  <c r="N36" i="3"/>
  <c r="U36" i="3"/>
  <c r="T36" i="3" s="1"/>
  <c r="V36" i="3"/>
  <c r="W36" i="3"/>
  <c r="X36" i="3"/>
  <c r="Y36" i="3"/>
  <c r="M43" i="3"/>
  <c r="N43" i="3"/>
  <c r="R43" i="3"/>
  <c r="S43" i="3"/>
  <c r="U43" i="3"/>
  <c r="T43" i="3" s="1"/>
  <c r="V43" i="3"/>
  <c r="W43" i="3"/>
  <c r="X43" i="3"/>
  <c r="AC43" i="3"/>
  <c r="M12" i="3"/>
  <c r="N12" i="3"/>
  <c r="R12" i="3"/>
  <c r="S12" i="3"/>
  <c r="U12" i="3"/>
  <c r="T12" i="3" s="1"/>
  <c r="V12" i="3"/>
  <c r="W12" i="3"/>
  <c r="X12" i="3"/>
  <c r="AC12" i="3"/>
  <c r="M30" i="3"/>
  <c r="N30" i="3"/>
  <c r="R30" i="3"/>
  <c r="S30" i="3"/>
  <c r="U30" i="3"/>
  <c r="AC30" i="3" s="1"/>
  <c r="V30" i="3"/>
  <c r="W30" i="3"/>
  <c r="Y30" i="3" s="1"/>
  <c r="X30" i="3"/>
  <c r="M47" i="3"/>
  <c r="N47" i="3"/>
  <c r="U47" i="3"/>
  <c r="T47" i="3" s="1"/>
  <c r="V47" i="3"/>
  <c r="W47" i="3"/>
  <c r="X47" i="3"/>
  <c r="M25" i="3"/>
  <c r="N25" i="3"/>
  <c r="R25" i="3"/>
  <c r="S25" i="3"/>
  <c r="U25" i="3"/>
  <c r="T25" i="3" s="1"/>
  <c r="V25" i="3"/>
  <c r="W25" i="3"/>
  <c r="X25" i="3"/>
  <c r="AC25" i="3"/>
  <c r="M20" i="3"/>
  <c r="N20" i="3"/>
  <c r="S20" i="3"/>
  <c r="U20" i="3"/>
  <c r="T20" i="3" s="1"/>
  <c r="V20" i="3"/>
  <c r="W20" i="3"/>
  <c r="X20" i="3"/>
  <c r="M19" i="3"/>
  <c r="N19" i="3"/>
  <c r="R19" i="3"/>
  <c r="S19" i="3"/>
  <c r="U19" i="3"/>
  <c r="AC19" i="3" s="1"/>
  <c r="V19" i="3"/>
  <c r="W19" i="3"/>
  <c r="X19" i="3"/>
  <c r="M8" i="3"/>
  <c r="N8" i="3"/>
  <c r="U8" i="3"/>
  <c r="T8" i="3" s="1"/>
  <c r="V8" i="3"/>
  <c r="W8" i="3"/>
  <c r="X8" i="3"/>
  <c r="M7" i="3"/>
  <c r="N7" i="3"/>
  <c r="R7" i="3"/>
  <c r="U7" i="3"/>
  <c r="T7" i="3" s="1"/>
  <c r="V7" i="3"/>
  <c r="W7" i="3"/>
  <c r="X7" i="3"/>
  <c r="AC7" i="3"/>
  <c r="M37" i="3"/>
  <c r="N37" i="3"/>
  <c r="S37" i="3"/>
  <c r="U37" i="3"/>
  <c r="T37" i="3" s="1"/>
  <c r="V37" i="3"/>
  <c r="W37" i="3"/>
  <c r="X37" i="3"/>
  <c r="AC37" i="3"/>
  <c r="M9" i="3"/>
  <c r="N9" i="3"/>
  <c r="R9" i="3"/>
  <c r="U9" i="3"/>
  <c r="AC9" i="3" s="1"/>
  <c r="V9" i="3"/>
  <c r="W9" i="3"/>
  <c r="X9" i="3"/>
  <c r="M16" i="3"/>
  <c r="N16" i="3"/>
  <c r="R16" i="3"/>
  <c r="U16" i="3"/>
  <c r="T16" i="3" s="1"/>
  <c r="V16" i="3"/>
  <c r="W16" i="3"/>
  <c r="X16" i="3"/>
  <c r="M17" i="3"/>
  <c r="N17" i="3"/>
  <c r="R17" i="3"/>
  <c r="U17" i="3"/>
  <c r="T17" i="3" s="1"/>
  <c r="V17" i="3"/>
  <c r="W17" i="3"/>
  <c r="X17" i="3"/>
  <c r="AC17" i="3"/>
  <c r="M21" i="3"/>
  <c r="N21" i="3"/>
  <c r="R21" i="3"/>
  <c r="U21" i="3"/>
  <c r="T21" i="3" s="1"/>
  <c r="V21" i="3"/>
  <c r="W21" i="3"/>
  <c r="X21" i="3"/>
  <c r="AC21" i="3"/>
  <c r="M39" i="3"/>
  <c r="N39" i="3"/>
  <c r="R39" i="3"/>
  <c r="U39" i="3"/>
  <c r="AC39" i="3" s="1"/>
  <c r="V39" i="3"/>
  <c r="W39" i="3"/>
  <c r="X39" i="3"/>
  <c r="M13" i="3"/>
  <c r="N13" i="3"/>
  <c r="R13" i="3"/>
  <c r="U13" i="3"/>
  <c r="T13" i="3" s="1"/>
  <c r="V13" i="3"/>
  <c r="W13" i="3"/>
  <c r="X13" i="3"/>
  <c r="M14" i="3"/>
  <c r="N14" i="3"/>
  <c r="R14" i="3"/>
  <c r="U14" i="3"/>
  <c r="T14" i="3" s="1"/>
  <c r="V14" i="3"/>
  <c r="W14" i="3"/>
  <c r="X14" i="3"/>
  <c r="AC14" i="3"/>
  <c r="M31" i="3"/>
  <c r="N31" i="3"/>
  <c r="R31" i="3"/>
  <c r="U31" i="3"/>
  <c r="T31" i="3" s="1"/>
  <c r="V31" i="3"/>
  <c r="W31" i="3"/>
  <c r="X31" i="3"/>
  <c r="AC31" i="3"/>
  <c r="M51" i="3"/>
  <c r="N51" i="3"/>
  <c r="U51" i="3"/>
  <c r="AC51" i="3" s="1"/>
  <c r="V51" i="3"/>
  <c r="W51" i="3"/>
  <c r="Y51" i="3" s="1"/>
  <c r="X51" i="3"/>
  <c r="M11" i="3"/>
  <c r="N11" i="3"/>
  <c r="S11" i="3"/>
  <c r="U11" i="3"/>
  <c r="T11" i="3" s="1"/>
  <c r="V11" i="3"/>
  <c r="W11" i="3"/>
  <c r="Y11" i="3" s="1"/>
  <c r="X11" i="3"/>
  <c r="M23" i="3"/>
  <c r="N23" i="3"/>
  <c r="R23" i="3"/>
  <c r="U23" i="3"/>
  <c r="T23" i="3" s="1"/>
  <c r="V23" i="3"/>
  <c r="W23" i="3"/>
  <c r="X23" i="3"/>
  <c r="AC23" i="3"/>
  <c r="M24" i="3"/>
  <c r="N24" i="3"/>
  <c r="R24" i="3"/>
  <c r="U24" i="3"/>
  <c r="T24" i="3" s="1"/>
  <c r="V24" i="3"/>
  <c r="W24" i="3"/>
  <c r="X24" i="3"/>
  <c r="AC24" i="3"/>
  <c r="M41" i="3"/>
  <c r="N41" i="3"/>
  <c r="R41" i="3"/>
  <c r="S41" i="3"/>
  <c r="U41" i="3"/>
  <c r="AC41" i="3" s="1"/>
  <c r="V41" i="3"/>
  <c r="W41" i="3"/>
  <c r="X41" i="3"/>
  <c r="M44" i="3"/>
  <c r="N44" i="3"/>
  <c r="R44" i="3"/>
  <c r="S44" i="3"/>
  <c r="U44" i="3"/>
  <c r="T44" i="3" s="1"/>
  <c r="V44" i="3"/>
  <c r="W44" i="3"/>
  <c r="X44" i="3"/>
  <c r="M26" i="3"/>
  <c r="N26" i="3"/>
  <c r="R26" i="3"/>
  <c r="U26" i="3"/>
  <c r="T26" i="3" s="1"/>
  <c r="V26" i="3"/>
  <c r="W26" i="3"/>
  <c r="X26" i="3"/>
  <c r="AC26" i="3"/>
  <c r="M27" i="3"/>
  <c r="N27" i="3"/>
  <c r="R27" i="3"/>
  <c r="U27" i="3"/>
  <c r="T27" i="3" s="1"/>
  <c r="V27" i="3"/>
  <c r="W27" i="3"/>
  <c r="X27" i="3"/>
  <c r="AC27" i="3"/>
  <c r="M38" i="3"/>
  <c r="N38" i="3"/>
  <c r="R38" i="3"/>
  <c r="S38" i="3"/>
  <c r="U38" i="3"/>
  <c r="AC38" i="3" s="1"/>
  <c r="V38" i="3"/>
  <c r="W38" i="3"/>
  <c r="Y38" i="3" s="1"/>
  <c r="X38" i="3"/>
  <c r="M18" i="3"/>
  <c r="N18" i="3"/>
  <c r="R18" i="3"/>
  <c r="S18" i="3"/>
  <c r="U18" i="3"/>
  <c r="T18" i="3" s="1"/>
  <c r="V18" i="3"/>
  <c r="W18" i="3"/>
  <c r="Y18" i="3" s="1"/>
  <c r="X18" i="3"/>
  <c r="M28" i="3"/>
  <c r="N28" i="3"/>
  <c r="R28" i="3"/>
  <c r="U28" i="3"/>
  <c r="T28" i="3" s="1"/>
  <c r="V28" i="3"/>
  <c r="W28" i="3"/>
  <c r="X28" i="3"/>
  <c r="AC28" i="3"/>
  <c r="M15" i="3"/>
  <c r="N15" i="3"/>
  <c r="R15" i="3"/>
  <c r="U15" i="3"/>
  <c r="T15" i="3" s="1"/>
  <c r="V15" i="3"/>
  <c r="W15" i="3"/>
  <c r="X15" i="3"/>
  <c r="AC15" i="3"/>
  <c r="M50" i="3"/>
  <c r="N50" i="3"/>
  <c r="R50" i="3"/>
  <c r="S50" i="3"/>
  <c r="U50" i="3"/>
  <c r="AC50" i="3" s="1"/>
  <c r="V50" i="3"/>
  <c r="W50" i="3"/>
  <c r="X50" i="3"/>
  <c r="M49" i="3"/>
  <c r="N49" i="3"/>
  <c r="R49" i="3"/>
  <c r="S49" i="3"/>
  <c r="U49" i="3"/>
  <c r="T49" i="3" s="1"/>
  <c r="V49" i="3"/>
  <c r="W49" i="3"/>
  <c r="X49" i="3"/>
  <c r="M48" i="3"/>
  <c r="N48" i="3"/>
  <c r="S48" i="3"/>
  <c r="U48" i="3"/>
  <c r="T48" i="3" s="1"/>
  <c r="V48" i="3"/>
  <c r="W48" i="3"/>
  <c r="X48" i="3"/>
  <c r="AC48" i="3"/>
  <c r="M33" i="3"/>
  <c r="N33" i="3"/>
  <c r="R33" i="3"/>
  <c r="S33" i="3"/>
  <c r="U33" i="3"/>
  <c r="T33" i="3" s="1"/>
  <c r="V33" i="3"/>
  <c r="W33" i="3"/>
  <c r="X33" i="3"/>
  <c r="AC33" i="3"/>
  <c r="M40" i="3"/>
  <c r="N40" i="3"/>
  <c r="U40" i="3"/>
  <c r="AC40" i="3" s="1"/>
  <c r="V40" i="3"/>
  <c r="W40" i="3"/>
  <c r="Y40" i="3" s="1"/>
  <c r="X40" i="3"/>
  <c r="M10" i="3"/>
  <c r="N10" i="3"/>
  <c r="R10" i="3"/>
  <c r="U10" i="3"/>
  <c r="T10" i="3" s="1"/>
  <c r="V10" i="3"/>
  <c r="W10" i="3"/>
  <c r="Y10" i="3" s="1"/>
  <c r="X10" i="3"/>
  <c r="M32" i="3"/>
  <c r="N32" i="3"/>
  <c r="R32" i="3"/>
  <c r="S32" i="3"/>
  <c r="U32" i="3"/>
  <c r="T32" i="3" s="1"/>
  <c r="V32" i="3"/>
  <c r="W32" i="3"/>
  <c r="Y32" i="3" s="1"/>
  <c r="X32" i="3"/>
  <c r="AC32" i="3"/>
  <c r="AG14" i="1" l="1"/>
  <c r="X171" i="1"/>
  <c r="Y13" i="3"/>
  <c r="Y45" i="3"/>
  <c r="Y31" i="3"/>
  <c r="Y14" i="3"/>
  <c r="Y9" i="3"/>
  <c r="Y35" i="3"/>
  <c r="T203" i="1"/>
  <c r="AA192" i="1"/>
  <c r="T168" i="1"/>
  <c r="AA165" i="1"/>
  <c r="AA162" i="1"/>
  <c r="AA222" i="1"/>
  <c r="AA111" i="1"/>
  <c r="T101" i="1"/>
  <c r="U101" i="1" s="1"/>
  <c r="S101" i="1" s="1"/>
  <c r="AI26" i="1"/>
  <c r="AA25" i="1"/>
  <c r="X173" i="1"/>
  <c r="AA170" i="1"/>
  <c r="AA55" i="1"/>
  <c r="W55" i="1" s="1"/>
  <c r="AG37" i="1"/>
  <c r="AA36" i="1"/>
  <c r="AA35" i="1"/>
  <c r="AG33" i="1"/>
  <c r="U33" i="1" s="1"/>
  <c r="S33" i="1" s="1"/>
  <c r="AA20" i="1"/>
  <c r="AA19" i="1"/>
  <c r="X176" i="1"/>
  <c r="X172" i="1"/>
  <c r="AC35" i="3"/>
  <c r="Y27" i="3"/>
  <c r="T220" i="1"/>
  <c r="AA97" i="1"/>
  <c r="W97" i="1" s="1"/>
  <c r="AA69" i="1"/>
  <c r="AA68" i="1"/>
  <c r="AA63" i="1"/>
  <c r="AA62" i="1"/>
  <c r="AA61" i="1"/>
  <c r="AA60" i="1"/>
  <c r="X174" i="1"/>
  <c r="AA180" i="1"/>
  <c r="AA158" i="1"/>
  <c r="AA153" i="1"/>
  <c r="AA145" i="1"/>
  <c r="W145" i="1" s="1"/>
  <c r="AG144" i="1"/>
  <c r="U144" i="1" s="1"/>
  <c r="S144" i="1" s="1"/>
  <c r="X144" i="1"/>
  <c r="AA142" i="1"/>
  <c r="AA141" i="1"/>
  <c r="AG131" i="1"/>
  <c r="AI131" i="1" s="1"/>
  <c r="AA90" i="1"/>
  <c r="P75" i="1"/>
  <c r="AI42" i="1"/>
  <c r="X149" i="1"/>
  <c r="AC49" i="3"/>
  <c r="Y43" i="3"/>
  <c r="Y29" i="3"/>
  <c r="AA225" i="1"/>
  <c r="W225" i="1" s="1"/>
  <c r="T94" i="1"/>
  <c r="AC20" i="3"/>
  <c r="Y28" i="3"/>
  <c r="Y8" i="3"/>
  <c r="Y22" i="3"/>
  <c r="Y42" i="3"/>
  <c r="Y52" i="3"/>
  <c r="AA173" i="1"/>
  <c r="AA166" i="1"/>
  <c r="T160" i="1"/>
  <c r="X145" i="1"/>
  <c r="AA144" i="1"/>
  <c r="W144" i="1" s="1"/>
  <c r="AA115" i="1"/>
  <c r="AA114" i="1"/>
  <c r="W114" i="1" s="1"/>
  <c r="T109" i="1"/>
  <c r="U109" i="1" s="1"/>
  <c r="S109" i="1" s="1"/>
  <c r="AA98" i="1"/>
  <c r="W98" i="1" s="1"/>
  <c r="AA96" i="1"/>
  <c r="AA95" i="1"/>
  <c r="AA94" i="1"/>
  <c r="W94" i="1" s="1"/>
  <c r="AA59" i="1"/>
  <c r="AA53" i="1"/>
  <c r="W53" i="1" s="1"/>
  <c r="AA51" i="1"/>
  <c r="W51" i="1" s="1"/>
  <c r="AA50" i="1"/>
  <c r="W50" i="1" s="1"/>
  <c r="X147" i="1"/>
  <c r="Y33" i="3"/>
  <c r="Y23" i="3"/>
  <c r="S13" i="3"/>
  <c r="AC8" i="3"/>
  <c r="Y20" i="3"/>
  <c r="AG216" i="1"/>
  <c r="U216" i="1" s="1"/>
  <c r="S216" i="1" s="1"/>
  <c r="X199" i="1"/>
  <c r="AA196" i="1"/>
  <c r="AA190" i="1"/>
  <c r="AA189" i="1"/>
  <c r="AA188" i="1"/>
  <c r="AA186" i="1"/>
  <c r="AA185" i="1"/>
  <c r="AA184" i="1"/>
  <c r="AI175" i="1"/>
  <c r="AI168" i="1"/>
  <c r="AI160" i="1"/>
  <c r="AA218" i="1"/>
  <c r="AA211" i="1"/>
  <c r="AA210" i="1"/>
  <c r="W210" i="1" s="1"/>
  <c r="AA209" i="1"/>
  <c r="T148" i="1"/>
  <c r="AG123" i="1"/>
  <c r="U123" i="1" s="1"/>
  <c r="S123" i="1" s="1"/>
  <c r="AG104" i="1"/>
  <c r="AI104" i="1" s="1"/>
  <c r="X102" i="1"/>
  <c r="AG97" i="1"/>
  <c r="U97" i="1" s="1"/>
  <c r="S97" i="1" s="1"/>
  <c r="X97" i="1"/>
  <c r="T90" i="1"/>
  <c r="AA87" i="1"/>
  <c r="X55" i="1"/>
  <c r="AG21" i="1"/>
  <c r="AI21" i="1" s="1"/>
  <c r="X21" i="1"/>
  <c r="S27" i="3"/>
  <c r="Y7" i="3"/>
  <c r="AI111" i="1"/>
  <c r="AA49" i="1"/>
  <c r="AA47" i="1"/>
  <c r="W47" i="1" s="1"/>
  <c r="U37" i="1"/>
  <c r="S37" i="1" s="1"/>
  <c r="AA17" i="1"/>
  <c r="Y21" i="3"/>
  <c r="AC22" i="3"/>
  <c r="T199" i="1"/>
  <c r="U199" i="1" s="1"/>
  <c r="S199" i="1" s="1"/>
  <c r="AC13" i="3"/>
  <c r="AC36" i="3"/>
  <c r="AA215" i="1"/>
  <c r="AA201" i="1"/>
  <c r="AA200" i="1"/>
  <c r="AA199" i="1"/>
  <c r="W199" i="1" s="1"/>
  <c r="AG196" i="1"/>
  <c r="AA207" i="1"/>
  <c r="AG148" i="1"/>
  <c r="AA123" i="1"/>
  <c r="W123" i="1" s="1"/>
  <c r="AA122" i="1"/>
  <c r="W122" i="1" s="1"/>
  <c r="AG112" i="1"/>
  <c r="AI112" i="1" s="1"/>
  <c r="X112" i="1"/>
  <c r="AA103" i="1"/>
  <c r="AA102" i="1"/>
  <c r="W102" i="1" s="1"/>
  <c r="X101" i="1"/>
  <c r="AG70" i="1"/>
  <c r="U70" i="1" s="1"/>
  <c r="S70" i="1" s="1"/>
  <c r="X70" i="1"/>
  <c r="AA67" i="1"/>
  <c r="AA38" i="1"/>
  <c r="W38" i="1" s="1"/>
  <c r="AA34" i="1"/>
  <c r="W34" i="1" s="1"/>
  <c r="AA16" i="1"/>
  <c r="S24" i="3"/>
  <c r="AA75" i="1"/>
  <c r="AA217" i="1"/>
  <c r="W217" i="1" s="1"/>
  <c r="T217" i="1"/>
  <c r="U217" i="1" s="1"/>
  <c r="S217" i="1" s="1"/>
  <c r="AA214" i="1"/>
  <c r="AA203" i="1"/>
  <c r="W203" i="1" s="1"/>
  <c r="AA202" i="1"/>
  <c r="W202" i="1" s="1"/>
  <c r="T202" i="1"/>
  <c r="U202" i="1" s="1"/>
  <c r="S202" i="1" s="1"/>
  <c r="AG198" i="1"/>
  <c r="AI198" i="1" s="1"/>
  <c r="AG192" i="1"/>
  <c r="W192" i="1" s="1"/>
  <c r="X192" i="1"/>
  <c r="X180" i="1"/>
  <c r="AA179" i="1"/>
  <c r="AA178" i="1"/>
  <c r="AG176" i="1"/>
  <c r="U176" i="1" s="1"/>
  <c r="S176" i="1" s="1"/>
  <c r="AA172" i="1"/>
  <c r="AA171" i="1"/>
  <c r="AG169" i="1"/>
  <c r="U169" i="1" s="1"/>
  <c r="S169" i="1" s="1"/>
  <c r="X169" i="1"/>
  <c r="X165" i="1"/>
  <c r="AA164" i="1"/>
  <c r="AA163" i="1"/>
  <c r="AG161" i="1"/>
  <c r="U161" i="1" s="1"/>
  <c r="S161" i="1" s="1"/>
  <c r="X161" i="1"/>
  <c r="X225" i="1"/>
  <c r="AA224" i="1"/>
  <c r="AA223" i="1"/>
  <c r="AG221" i="1"/>
  <c r="X221" i="1"/>
  <c r="AG206" i="1"/>
  <c r="AI206" i="1" s="1"/>
  <c r="AA146" i="1"/>
  <c r="AA140" i="1"/>
  <c r="W140" i="1" s="1"/>
  <c r="AA133" i="1"/>
  <c r="AA132" i="1"/>
  <c r="AG125" i="1"/>
  <c r="AI125" i="1" s="1"/>
  <c r="AG117" i="1"/>
  <c r="AI117" i="1" s="1"/>
  <c r="AA113" i="1"/>
  <c r="W113" i="1" s="1"/>
  <c r="W111" i="1"/>
  <c r="AI109" i="1"/>
  <c r="X98" i="1"/>
  <c r="AA85" i="1"/>
  <c r="AA83" i="1"/>
  <c r="T58" i="1"/>
  <c r="U58" i="1" s="1"/>
  <c r="S58" i="1" s="1"/>
  <c r="AG48" i="1"/>
  <c r="AI48" i="1" s="1"/>
  <c r="X48" i="1"/>
  <c r="AA45" i="1"/>
  <c r="AA41" i="1"/>
  <c r="X26" i="1"/>
  <c r="AA22" i="1"/>
  <c r="W22" i="1" s="1"/>
  <c r="T156" i="1"/>
  <c r="AA131" i="1"/>
  <c r="AA130" i="1"/>
  <c r="W130" i="1" s="1"/>
  <c r="AG115" i="1"/>
  <c r="W115" i="1" s="1"/>
  <c r="AA107" i="1"/>
  <c r="AA100" i="1"/>
  <c r="AA99" i="1"/>
  <c r="AG96" i="1"/>
  <c r="U96" i="1" s="1"/>
  <c r="S96" i="1" s="1"/>
  <c r="T93" i="1"/>
  <c r="X75" i="1"/>
  <c r="AA74" i="1"/>
  <c r="AG71" i="1"/>
  <c r="AI71" i="1" s="1"/>
  <c r="X71" i="1"/>
  <c r="AG69" i="1"/>
  <c r="W69" i="1" s="1"/>
  <c r="X67" i="1"/>
  <c r="AA66" i="1"/>
  <c r="AA65" i="1"/>
  <c r="AA64" i="1"/>
  <c r="X59" i="1"/>
  <c r="AA58" i="1"/>
  <c r="W58" i="1" s="1"/>
  <c r="T54" i="1"/>
  <c r="U54" i="1" s="1"/>
  <c r="S54" i="1" s="1"/>
  <c r="AI51" i="1"/>
  <c r="AA43" i="1"/>
  <c r="X38" i="1"/>
  <c r="AA32" i="1"/>
  <c r="AA31" i="1"/>
  <c r="X29" i="1"/>
  <c r="AA27" i="1"/>
  <c r="AG22" i="1"/>
  <c r="AI22" i="1" s="1"/>
  <c r="X22" i="1"/>
  <c r="AA21" i="1"/>
  <c r="U203" i="1"/>
  <c r="S203" i="1" s="1"/>
  <c r="T151" i="1"/>
  <c r="X217" i="1"/>
  <c r="AG214" i="1"/>
  <c r="AA212" i="1"/>
  <c r="AA197" i="1"/>
  <c r="W197" i="1" s="1"/>
  <c r="AG191" i="1"/>
  <c r="AI191" i="1" s="1"/>
  <c r="X191" i="1"/>
  <c r="AA182" i="1"/>
  <c r="AA181" i="1"/>
  <c r="AA169" i="1"/>
  <c r="W169" i="1" s="1"/>
  <c r="AA161" i="1"/>
  <c r="AA221" i="1"/>
  <c r="AG207" i="1"/>
  <c r="X207" i="1"/>
  <c r="X152" i="1"/>
  <c r="AA151" i="1"/>
  <c r="AG133" i="1"/>
  <c r="U133" i="1" s="1"/>
  <c r="S133" i="1" s="1"/>
  <c r="AA125" i="1"/>
  <c r="AA124" i="1"/>
  <c r="AA117" i="1"/>
  <c r="AA116" i="1"/>
  <c r="AA106" i="1"/>
  <c r="AA88" i="1"/>
  <c r="W88" i="1" s="1"/>
  <c r="X74" i="1"/>
  <c r="AA57" i="1"/>
  <c r="W57" i="1" s="1"/>
  <c r="AA56" i="1"/>
  <c r="AA54" i="1"/>
  <c r="W54" i="1" s="1"/>
  <c r="AA48" i="1"/>
  <c r="AA30" i="1"/>
  <c r="U196" i="1"/>
  <c r="S196" i="1" s="1"/>
  <c r="X188" i="1"/>
  <c r="AG188" i="1"/>
  <c r="X213" i="1"/>
  <c r="AG212" i="1"/>
  <c r="AI212" i="1" s="1"/>
  <c r="AI202" i="1"/>
  <c r="AG200" i="1"/>
  <c r="AI199" i="1"/>
  <c r="AA198" i="1"/>
  <c r="W198" i="1" s="1"/>
  <c r="T197" i="1"/>
  <c r="U197" i="1" s="1"/>
  <c r="S197" i="1" s="1"/>
  <c r="T187" i="1"/>
  <c r="AG187" i="1"/>
  <c r="AI187" i="1" s="1"/>
  <c r="X184" i="1"/>
  <c r="AG184" i="1"/>
  <c r="U184" i="1" s="1"/>
  <c r="S184" i="1" s="1"/>
  <c r="T188" i="1"/>
  <c r="T183" i="1"/>
  <c r="AG183" i="1"/>
  <c r="AI183" i="1" s="1"/>
  <c r="AA176" i="1"/>
  <c r="AA216" i="1"/>
  <c r="W216" i="1" s="1"/>
  <c r="U214" i="1"/>
  <c r="S214" i="1" s="1"/>
  <c r="AA213" i="1"/>
  <c r="T213" i="1"/>
  <c r="AA204" i="1"/>
  <c r="AI214" i="1"/>
  <c r="T180" i="1"/>
  <c r="T165" i="1"/>
  <c r="T225" i="1"/>
  <c r="T211" i="1"/>
  <c r="AA156" i="1"/>
  <c r="AG155" i="1"/>
  <c r="U155" i="1" s="1"/>
  <c r="S155" i="1" s="1"/>
  <c r="AG150" i="1"/>
  <c r="AI150" i="1" s="1"/>
  <c r="T141" i="1"/>
  <c r="AG139" i="1"/>
  <c r="AI139" i="1" s="1"/>
  <c r="AA137" i="1"/>
  <c r="AA136" i="1"/>
  <c r="AG135" i="1"/>
  <c r="AI135" i="1" s="1"/>
  <c r="X132" i="1"/>
  <c r="AG132" i="1"/>
  <c r="AG129" i="1"/>
  <c r="AI129" i="1" s="1"/>
  <c r="AA127" i="1"/>
  <c r="AA126" i="1"/>
  <c r="W126" i="1" s="1"/>
  <c r="AA121" i="1"/>
  <c r="AA120" i="1"/>
  <c r="AG119" i="1"/>
  <c r="AI119" i="1" s="1"/>
  <c r="X116" i="1"/>
  <c r="AG116" i="1"/>
  <c r="AG113" i="1"/>
  <c r="AI113" i="1" s="1"/>
  <c r="X105" i="1"/>
  <c r="AG105" i="1"/>
  <c r="AI105" i="1" s="1"/>
  <c r="AA105" i="1"/>
  <c r="T100" i="1"/>
  <c r="AG100" i="1"/>
  <c r="AI100" i="1" s="1"/>
  <c r="AA93" i="1"/>
  <c r="AG92" i="1"/>
  <c r="U92" i="1" s="1"/>
  <c r="S92" i="1" s="1"/>
  <c r="AA89" i="1"/>
  <c r="AG87" i="1"/>
  <c r="AI87" i="1" s="1"/>
  <c r="T85" i="1"/>
  <c r="AG85" i="1"/>
  <c r="T83" i="1"/>
  <c r="AG83" i="1"/>
  <c r="AI83" i="1" s="1"/>
  <c r="X79" i="1"/>
  <c r="AG79" i="1"/>
  <c r="AA193" i="1"/>
  <c r="AG180" i="1"/>
  <c r="AG179" i="1"/>
  <c r="AI179" i="1" s="1"/>
  <c r="AA175" i="1"/>
  <c r="W175" i="1" s="1"/>
  <c r="AG172" i="1"/>
  <c r="AI172" i="1" s="1"/>
  <c r="AA168" i="1"/>
  <c r="W168" i="1" s="1"/>
  <c r="AG165" i="1"/>
  <c r="AG164" i="1"/>
  <c r="AI164" i="1" s="1"/>
  <c r="AA160" i="1"/>
  <c r="W160" i="1" s="1"/>
  <c r="AG225" i="1"/>
  <c r="AI225" i="1" s="1"/>
  <c r="AG224" i="1"/>
  <c r="AI224" i="1" s="1"/>
  <c r="AA220" i="1"/>
  <c r="W220" i="1" s="1"/>
  <c r="AG211" i="1"/>
  <c r="AG210" i="1"/>
  <c r="AI210" i="1" s="1"/>
  <c r="AA206" i="1"/>
  <c r="AG156" i="1"/>
  <c r="AA152" i="1"/>
  <c r="AG151" i="1"/>
  <c r="W151" i="1" s="1"/>
  <c r="AA147" i="1"/>
  <c r="T145" i="1"/>
  <c r="U145" i="1" s="1"/>
  <c r="S145" i="1" s="1"/>
  <c r="AG141" i="1"/>
  <c r="X140" i="1"/>
  <c r="X136" i="1"/>
  <c r="AG136" i="1"/>
  <c r="U136" i="1" s="1"/>
  <c r="S136" i="1" s="1"/>
  <c r="AI133" i="1"/>
  <c r="X120" i="1"/>
  <c r="AG120" i="1"/>
  <c r="U120" i="1" s="1"/>
  <c r="S120" i="1" s="1"/>
  <c r="AG106" i="1"/>
  <c r="AI106" i="1" s="1"/>
  <c r="X106" i="1"/>
  <c r="X94" i="1"/>
  <c r="AG93" i="1"/>
  <c r="U93" i="1" s="1"/>
  <c r="S93" i="1" s="1"/>
  <c r="X90" i="1"/>
  <c r="AG89" i="1"/>
  <c r="U89" i="1" s="1"/>
  <c r="T73" i="1"/>
  <c r="AG73" i="1"/>
  <c r="AI73" i="1" s="1"/>
  <c r="AA71" i="1"/>
  <c r="X45" i="1"/>
  <c r="AG45" i="1"/>
  <c r="U45" i="1" s="1"/>
  <c r="S45" i="1" s="1"/>
  <c r="X46" i="1"/>
  <c r="X41" i="1"/>
  <c r="AG41" i="1"/>
  <c r="U41" i="1" s="1"/>
  <c r="X42" i="1"/>
  <c r="AA26" i="1"/>
  <c r="W26" i="1" s="1"/>
  <c r="X25" i="1"/>
  <c r="U191" i="1"/>
  <c r="S191" i="1" s="1"/>
  <c r="AA187" i="1"/>
  <c r="AA183" i="1"/>
  <c r="AA174" i="1"/>
  <c r="AA167" i="1"/>
  <c r="AA159" i="1"/>
  <c r="AA219" i="1"/>
  <c r="AA205" i="1"/>
  <c r="AA155" i="1"/>
  <c r="AG152" i="1"/>
  <c r="AA150" i="1"/>
  <c r="AA149" i="1"/>
  <c r="AA148" i="1"/>
  <c r="W148" i="1" s="1"/>
  <c r="AG147" i="1"/>
  <c r="AI147" i="1" s="1"/>
  <c r="AA138" i="1"/>
  <c r="W138" i="1" s="1"/>
  <c r="AG137" i="1"/>
  <c r="AI137" i="1" s="1"/>
  <c r="AA135" i="1"/>
  <c r="AA134" i="1"/>
  <c r="W134" i="1" s="1"/>
  <c r="T132" i="1"/>
  <c r="AA129" i="1"/>
  <c r="AA128" i="1"/>
  <c r="AG127" i="1"/>
  <c r="U127" i="1" s="1"/>
  <c r="S127" i="1" s="1"/>
  <c r="X124" i="1"/>
  <c r="AG124" i="1"/>
  <c r="AI124" i="1" s="1"/>
  <c r="AG121" i="1"/>
  <c r="AI121" i="1" s="1"/>
  <c r="AA119" i="1"/>
  <c r="AA118" i="1"/>
  <c r="W118" i="1" s="1"/>
  <c r="T116" i="1"/>
  <c r="U116" i="1" s="1"/>
  <c r="S116" i="1" s="1"/>
  <c r="AA109" i="1"/>
  <c r="W109" i="1" s="1"/>
  <c r="T105" i="1"/>
  <c r="T102" i="1"/>
  <c r="T79" i="1"/>
  <c r="T52" i="1"/>
  <c r="X52" i="1"/>
  <c r="AG52" i="1"/>
  <c r="AI52" i="1" s="1"/>
  <c r="T40" i="1"/>
  <c r="AG40" i="1"/>
  <c r="AI40" i="1" s="1"/>
  <c r="AG30" i="1"/>
  <c r="X30" i="1"/>
  <c r="T24" i="1"/>
  <c r="AG24" i="1"/>
  <c r="AI24" i="1" s="1"/>
  <c r="AI18" i="1"/>
  <c r="U221" i="1"/>
  <c r="S221" i="1" s="1"/>
  <c r="U207" i="1"/>
  <c r="S207" i="1" s="1"/>
  <c r="X128" i="1"/>
  <c r="AG128" i="1"/>
  <c r="U128" i="1" s="1"/>
  <c r="S128" i="1" s="1"/>
  <c r="AA110" i="1"/>
  <c r="W110" i="1" s="1"/>
  <c r="AI110" i="1"/>
  <c r="AG86" i="1"/>
  <c r="AI86" i="1" s="1"/>
  <c r="T86" i="1"/>
  <c r="X86" i="1"/>
  <c r="W79" i="1"/>
  <c r="T49" i="1"/>
  <c r="X49" i="1"/>
  <c r="AG49" i="1"/>
  <c r="AA46" i="1"/>
  <c r="W46" i="1" s="1"/>
  <c r="AA42" i="1"/>
  <c r="W42" i="1" s="1"/>
  <c r="T75" i="1"/>
  <c r="T67" i="1"/>
  <c r="T63" i="1"/>
  <c r="T59" i="1"/>
  <c r="T55" i="1"/>
  <c r="U55" i="1" s="1"/>
  <c r="S55" i="1" s="1"/>
  <c r="T34" i="1"/>
  <c r="U34" i="1" s="1"/>
  <c r="S34" i="1" s="1"/>
  <c r="AA15" i="1"/>
  <c r="AA101" i="1"/>
  <c r="W101" i="1" s="1"/>
  <c r="T98" i="1"/>
  <c r="U98" i="1" s="1"/>
  <c r="S98" i="1" s="1"/>
  <c r="AA92" i="1"/>
  <c r="AA91" i="1"/>
  <c r="AG78" i="1"/>
  <c r="AI78" i="1" s="1"/>
  <c r="AG75" i="1"/>
  <c r="AG74" i="1"/>
  <c r="U74" i="1" s="1"/>
  <c r="S74" i="1" s="1"/>
  <c r="AA70" i="1"/>
  <c r="W70" i="1" s="1"/>
  <c r="AG67" i="1"/>
  <c r="W67" i="1" s="1"/>
  <c r="AG66" i="1"/>
  <c r="U66" i="1" s="1"/>
  <c r="S66" i="1" s="1"/>
  <c r="AG63" i="1"/>
  <c r="AG62" i="1"/>
  <c r="U62" i="1" s="1"/>
  <c r="AG59" i="1"/>
  <c r="AI50" i="1"/>
  <c r="T38" i="1"/>
  <c r="U38" i="1" s="1"/>
  <c r="S38" i="1" s="1"/>
  <c r="AA33" i="1"/>
  <c r="AG32" i="1"/>
  <c r="U32" i="1" s="1"/>
  <c r="S32" i="1" s="1"/>
  <c r="AA29" i="1"/>
  <c r="AG28" i="1"/>
  <c r="U28" i="1" s="1"/>
  <c r="S28" i="1" s="1"/>
  <c r="AG25" i="1"/>
  <c r="W25" i="1" s="1"/>
  <c r="T18" i="1"/>
  <c r="U18" i="1" s="1"/>
  <c r="S18" i="1" s="1"/>
  <c r="AG16" i="1"/>
  <c r="U16" i="1" s="1"/>
  <c r="AA86" i="1"/>
  <c r="AA73" i="1"/>
  <c r="AA72" i="1"/>
  <c r="T46" i="1"/>
  <c r="AA44" i="1"/>
  <c r="W44" i="1" s="1"/>
  <c r="T42" i="1"/>
  <c r="U42" i="1" s="1"/>
  <c r="S42" i="1" s="1"/>
  <c r="AA40" i="1"/>
  <c r="AA39" i="1"/>
  <c r="AA37" i="1"/>
  <c r="W37" i="1" s="1"/>
  <c r="AG36" i="1"/>
  <c r="U36" i="1" s="1"/>
  <c r="S36" i="1" s="1"/>
  <c r="X34" i="1"/>
  <c r="X33" i="1"/>
  <c r="AG29" i="1"/>
  <c r="U29" i="1" s="1"/>
  <c r="S29" i="1" s="1"/>
  <c r="T26" i="1"/>
  <c r="U26" i="1" s="1"/>
  <c r="S26" i="1" s="1"/>
  <c r="AA24" i="1"/>
  <c r="AA23" i="1"/>
  <c r="AG20" i="1"/>
  <c r="U20" i="1" s="1"/>
  <c r="S20" i="1" s="1"/>
  <c r="U17" i="1"/>
  <c r="U213" i="1"/>
  <c r="S213" i="1" s="1"/>
  <c r="AI221" i="1"/>
  <c r="AI217" i="1"/>
  <c r="U200" i="1"/>
  <c r="S200" i="1" s="1"/>
  <c r="W213" i="1"/>
  <c r="AI213" i="1"/>
  <c r="U212" i="1"/>
  <c r="S212" i="1" s="1"/>
  <c r="X216" i="1"/>
  <c r="AG215" i="1"/>
  <c r="X212" i="1"/>
  <c r="AG204" i="1"/>
  <c r="W204" i="1" s="1"/>
  <c r="AG201" i="1"/>
  <c r="AG195" i="1"/>
  <c r="AI195" i="1" s="1"/>
  <c r="X195" i="1"/>
  <c r="X215" i="1"/>
  <c r="AI220" i="1"/>
  <c r="AI216" i="1"/>
  <c r="AA191" i="1"/>
  <c r="X214" i="1"/>
  <c r="T198" i="1"/>
  <c r="X198" i="1"/>
  <c r="X197" i="1"/>
  <c r="X196" i="1"/>
  <c r="AA195" i="1"/>
  <c r="AA194" i="1"/>
  <c r="W194" i="1" s="1"/>
  <c r="T193" i="1"/>
  <c r="X193" i="1"/>
  <c r="AG193" i="1"/>
  <c r="AI145" i="1"/>
  <c r="T194" i="1"/>
  <c r="U194" i="1" s="1"/>
  <c r="S194" i="1" s="1"/>
  <c r="X194" i="1"/>
  <c r="U179" i="1"/>
  <c r="S179" i="1" s="1"/>
  <c r="U175" i="1"/>
  <c r="S175" i="1" s="1"/>
  <c r="U168" i="1"/>
  <c r="S168" i="1" s="1"/>
  <c r="U160" i="1"/>
  <c r="S160" i="1" s="1"/>
  <c r="U220" i="1"/>
  <c r="S220" i="1" s="1"/>
  <c r="U210" i="1"/>
  <c r="S210" i="1" s="1"/>
  <c r="T143" i="1"/>
  <c r="U143" i="1" s="1"/>
  <c r="S143" i="1" s="1"/>
  <c r="X143" i="1"/>
  <c r="AI138" i="1"/>
  <c r="U137" i="1"/>
  <c r="S137" i="1" s="1"/>
  <c r="AI134" i="1"/>
  <c r="AI130" i="1"/>
  <c r="AI126" i="1"/>
  <c r="AI122" i="1"/>
  <c r="AI118" i="1"/>
  <c r="AI114" i="1"/>
  <c r="AG190" i="1"/>
  <c r="AI190" i="1" s="1"/>
  <c r="X187" i="1"/>
  <c r="AG186" i="1"/>
  <c r="X183" i="1"/>
  <c r="AG182" i="1"/>
  <c r="AI182" i="1" s="1"/>
  <c r="X179" i="1"/>
  <c r="AG178" i="1"/>
  <c r="AG174" i="1"/>
  <c r="AI174" i="1" s="1"/>
  <c r="AG171" i="1"/>
  <c r="X168" i="1"/>
  <c r="AG167" i="1"/>
  <c r="X164" i="1"/>
  <c r="AG163" i="1"/>
  <c r="X160" i="1"/>
  <c r="AG159" i="1"/>
  <c r="X224" i="1"/>
  <c r="AG223" i="1"/>
  <c r="X220" i="1"/>
  <c r="AG219" i="1"/>
  <c r="X210" i="1"/>
  <c r="AG209" i="1"/>
  <c r="X206" i="1"/>
  <c r="AG205" i="1"/>
  <c r="AI205" i="1" s="1"/>
  <c r="X155" i="1"/>
  <c r="AG154" i="1"/>
  <c r="W154" i="1" s="1"/>
  <c r="U139" i="1"/>
  <c r="S139" i="1" s="1"/>
  <c r="U115" i="1"/>
  <c r="S115" i="1" s="1"/>
  <c r="X190" i="1"/>
  <c r="AG189" i="1"/>
  <c r="X186" i="1"/>
  <c r="AG185" i="1"/>
  <c r="W185" i="1" s="1"/>
  <c r="X182" i="1"/>
  <c r="AG181" i="1"/>
  <c r="AI194" i="1"/>
  <c r="X178" i="1"/>
  <c r="AG177" i="1"/>
  <c r="W177" i="1" s="1"/>
  <c r="AG173" i="1"/>
  <c r="AI186" i="1"/>
  <c r="AG170" i="1"/>
  <c r="X167" i="1"/>
  <c r="AG166" i="1"/>
  <c r="AI178" i="1"/>
  <c r="X163" i="1"/>
  <c r="AG162" i="1"/>
  <c r="W162" i="1" s="1"/>
  <c r="X159" i="1"/>
  <c r="AG158" i="1"/>
  <c r="AI171" i="1"/>
  <c r="X223" i="1"/>
  <c r="AG222" i="1"/>
  <c r="AI222" i="1" s="1"/>
  <c r="X219" i="1"/>
  <c r="AG218" i="1"/>
  <c r="AI218" i="1" s="1"/>
  <c r="AI163" i="1"/>
  <c r="X209" i="1"/>
  <c r="AG208" i="1"/>
  <c r="W208" i="1" s="1"/>
  <c r="AI159" i="1"/>
  <c r="X205" i="1"/>
  <c r="AG157" i="1"/>
  <c r="X154" i="1"/>
  <c r="AG153" i="1"/>
  <c r="AI151" i="1"/>
  <c r="X150" i="1"/>
  <c r="AG149" i="1"/>
  <c r="AG146" i="1"/>
  <c r="AI144" i="1"/>
  <c r="AA139" i="1"/>
  <c r="X189" i="1"/>
  <c r="X185" i="1"/>
  <c r="X181" i="1"/>
  <c r="X177" i="1"/>
  <c r="X170" i="1"/>
  <c r="X166" i="1"/>
  <c r="X162" i="1"/>
  <c r="X158" i="1"/>
  <c r="X222" i="1"/>
  <c r="X218" i="1"/>
  <c r="X208" i="1"/>
  <c r="X157" i="1"/>
  <c r="X153" i="1"/>
  <c r="X146" i="1"/>
  <c r="AI143" i="1"/>
  <c r="AA143" i="1"/>
  <c r="W143" i="1" s="1"/>
  <c r="AG142" i="1"/>
  <c r="T142" i="1"/>
  <c r="X142" i="1"/>
  <c r="X138" i="1"/>
  <c r="T138" i="1"/>
  <c r="U138" i="1" s="1"/>
  <c r="S138" i="1" s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X118" i="1"/>
  <c r="T118" i="1"/>
  <c r="U118" i="1" s="1"/>
  <c r="S118" i="1" s="1"/>
  <c r="AI115" i="1"/>
  <c r="X114" i="1"/>
  <c r="T114" i="1"/>
  <c r="U114" i="1" s="1"/>
  <c r="S114" i="1" s="1"/>
  <c r="U113" i="1"/>
  <c r="S113" i="1" s="1"/>
  <c r="T108" i="1"/>
  <c r="X108" i="1"/>
  <c r="AI90" i="1"/>
  <c r="U90" i="1"/>
  <c r="S90" i="1" s="1"/>
  <c r="U140" i="1"/>
  <c r="S140" i="1" s="1"/>
  <c r="X137" i="1"/>
  <c r="X133" i="1"/>
  <c r="X129" i="1"/>
  <c r="X125" i="1"/>
  <c r="U124" i="1"/>
  <c r="S124" i="1" s="1"/>
  <c r="X121" i="1"/>
  <c r="X117" i="1"/>
  <c r="X113" i="1"/>
  <c r="T110" i="1"/>
  <c r="U110" i="1" s="1"/>
  <c r="S110" i="1" s="1"/>
  <c r="X109" i="1"/>
  <c r="AG108" i="1"/>
  <c r="AI102" i="1"/>
  <c r="U102" i="1"/>
  <c r="S102" i="1" s="1"/>
  <c r="AI88" i="1"/>
  <c r="AI84" i="1"/>
  <c r="T111" i="1"/>
  <c r="U111" i="1" s="1"/>
  <c r="S111" i="1" s="1"/>
  <c r="X111" i="1"/>
  <c r="X110" i="1"/>
  <c r="AA104" i="1"/>
  <c r="AI98" i="1"/>
  <c r="AI77" i="1"/>
  <c r="AI140" i="1"/>
  <c r="X139" i="1"/>
  <c r="X135" i="1"/>
  <c r="X131" i="1"/>
  <c r="X127" i="1"/>
  <c r="X123" i="1"/>
  <c r="X119" i="1"/>
  <c r="X115" i="1"/>
  <c r="AA112" i="1"/>
  <c r="U112" i="1"/>
  <c r="S112" i="1" s="1"/>
  <c r="AA108" i="1"/>
  <c r="T107" i="1"/>
  <c r="X107" i="1"/>
  <c r="AG107" i="1"/>
  <c r="AI94" i="1"/>
  <c r="U94" i="1"/>
  <c r="S94" i="1" s="1"/>
  <c r="W90" i="1"/>
  <c r="W86" i="1"/>
  <c r="X104" i="1"/>
  <c r="AG103" i="1"/>
  <c r="AI101" i="1"/>
  <c r="X100" i="1"/>
  <c r="AG99" i="1"/>
  <c r="AI97" i="1"/>
  <c r="X96" i="1"/>
  <c r="AG95" i="1"/>
  <c r="X92" i="1"/>
  <c r="AG91" i="1"/>
  <c r="S89" i="1"/>
  <c r="X88" i="1"/>
  <c r="T88" i="1"/>
  <c r="U88" i="1" s="1"/>
  <c r="S88" i="1" s="1"/>
  <c r="X84" i="1"/>
  <c r="T84" i="1"/>
  <c r="U84" i="1" s="1"/>
  <c r="S84" i="1" s="1"/>
  <c r="T82" i="1"/>
  <c r="X78" i="1"/>
  <c r="U48" i="1"/>
  <c r="X103" i="1"/>
  <c r="X99" i="1"/>
  <c r="X95" i="1"/>
  <c r="X91" i="1"/>
  <c r="X87" i="1"/>
  <c r="X83" i="1"/>
  <c r="AG82" i="1"/>
  <c r="AI81" i="1"/>
  <c r="W65" i="1"/>
  <c r="W61" i="1"/>
  <c r="AI47" i="1"/>
  <c r="T81" i="1"/>
  <c r="U81" i="1" s="1"/>
  <c r="S81" i="1" s="1"/>
  <c r="X81" i="1"/>
  <c r="AA78" i="1"/>
  <c r="AA77" i="1"/>
  <c r="W77" i="1" s="1"/>
  <c r="AI65" i="1"/>
  <c r="AI61" i="1"/>
  <c r="AI57" i="1"/>
  <c r="AI53" i="1"/>
  <c r="X89" i="1"/>
  <c r="X85" i="1"/>
  <c r="AA82" i="1"/>
  <c r="T80" i="1"/>
  <c r="X80" i="1"/>
  <c r="AG80" i="1"/>
  <c r="T77" i="1"/>
  <c r="U77" i="1" s="1"/>
  <c r="S77" i="1" s="1"/>
  <c r="X77" i="1"/>
  <c r="AG76" i="1"/>
  <c r="W76" i="1" s="1"/>
  <c r="X73" i="1"/>
  <c r="AG72" i="1"/>
  <c r="AI70" i="1"/>
  <c r="X69" i="1"/>
  <c r="AG68" i="1"/>
  <c r="W68" i="1" s="1"/>
  <c r="AI66" i="1"/>
  <c r="X65" i="1"/>
  <c r="T65" i="1"/>
  <c r="U65" i="1" s="1"/>
  <c r="S65" i="1" s="1"/>
  <c r="AG64" i="1"/>
  <c r="S62" i="1"/>
  <c r="X61" i="1"/>
  <c r="T61" i="1"/>
  <c r="U61" i="1" s="1"/>
  <c r="S61" i="1" s="1"/>
  <c r="AG60" i="1"/>
  <c r="W60" i="1" s="1"/>
  <c r="AI58" i="1"/>
  <c r="X57" i="1"/>
  <c r="T57" i="1"/>
  <c r="U57" i="1" s="1"/>
  <c r="S57" i="1" s="1"/>
  <c r="AG56" i="1"/>
  <c r="AI54" i="1"/>
  <c r="X53" i="1"/>
  <c r="T53" i="1"/>
  <c r="U53" i="1" s="1"/>
  <c r="S53" i="1" s="1"/>
  <c r="T51" i="1"/>
  <c r="U51" i="1" s="1"/>
  <c r="S51" i="1" s="1"/>
  <c r="X51" i="1"/>
  <c r="X50" i="1"/>
  <c r="T44" i="1"/>
  <c r="U44" i="1" s="1"/>
  <c r="S44" i="1" s="1"/>
  <c r="X44" i="1"/>
  <c r="S41" i="1"/>
  <c r="T39" i="1"/>
  <c r="X39" i="1"/>
  <c r="AG39" i="1"/>
  <c r="W39" i="1" s="1"/>
  <c r="T23" i="1"/>
  <c r="X23" i="1"/>
  <c r="AG23" i="1"/>
  <c r="X76" i="1"/>
  <c r="X72" i="1"/>
  <c r="X68" i="1"/>
  <c r="X64" i="1"/>
  <c r="X60" i="1"/>
  <c r="X56" i="1"/>
  <c r="AA52" i="1"/>
  <c r="U46" i="1"/>
  <c r="S46" i="1" s="1"/>
  <c r="AI44" i="1"/>
  <c r="T35" i="1"/>
  <c r="X35" i="1"/>
  <c r="AG35" i="1"/>
  <c r="AA28" i="1"/>
  <c r="T19" i="1"/>
  <c r="AG19" i="1"/>
  <c r="S48" i="1"/>
  <c r="T31" i="1"/>
  <c r="X31" i="1"/>
  <c r="AG31" i="1"/>
  <c r="S16" i="1"/>
  <c r="T15" i="1"/>
  <c r="AG15" i="1"/>
  <c r="X66" i="1"/>
  <c r="X62" i="1"/>
  <c r="X58" i="1"/>
  <c r="X54" i="1"/>
  <c r="T50" i="1"/>
  <c r="U50" i="1" s="1"/>
  <c r="S50" i="1" s="1"/>
  <c r="T47" i="1"/>
  <c r="U47" i="1" s="1"/>
  <c r="S47" i="1" s="1"/>
  <c r="X47" i="1"/>
  <c r="T43" i="1"/>
  <c r="X43" i="1"/>
  <c r="AG43" i="1"/>
  <c r="T27" i="1"/>
  <c r="X27" i="1"/>
  <c r="AG27" i="1"/>
  <c r="W27" i="1" s="1"/>
  <c r="X40" i="1"/>
  <c r="AI37" i="1"/>
  <c r="X36" i="1"/>
  <c r="AI33" i="1"/>
  <c r="X32" i="1"/>
  <c r="X28" i="1"/>
  <c r="X24" i="1"/>
  <c r="AI17" i="1"/>
  <c r="S17" i="1"/>
  <c r="AC44" i="3"/>
  <c r="Y49" i="3"/>
  <c r="Y50" i="3"/>
  <c r="Y44" i="3"/>
  <c r="Y41" i="3"/>
  <c r="Y16" i="3"/>
  <c r="Y47" i="3"/>
  <c r="Y39" i="3"/>
  <c r="Y19" i="3"/>
  <c r="Y46" i="3"/>
  <c r="Y26" i="3"/>
  <c r="Y24" i="3"/>
  <c r="Y48" i="3"/>
  <c r="Y15" i="3"/>
  <c r="AC10" i="3"/>
  <c r="AC18" i="3"/>
  <c r="AC11" i="3"/>
  <c r="AC16" i="3"/>
  <c r="AC47" i="3"/>
  <c r="AC45" i="3"/>
  <c r="Y17" i="3"/>
  <c r="Y37" i="3"/>
  <c r="Y25" i="3"/>
  <c r="Y12" i="3"/>
  <c r="T40" i="3"/>
  <c r="T39" i="3"/>
  <c r="T9" i="3"/>
  <c r="T19" i="3"/>
  <c r="T30" i="3"/>
  <c r="T46" i="3"/>
  <c r="T42" i="3"/>
  <c r="T38" i="3"/>
  <c r="T50" i="3"/>
  <c r="T41" i="3"/>
  <c r="T51" i="3"/>
  <c r="AI14" i="1" l="1"/>
  <c r="U14" i="1"/>
  <c r="S14" i="1" s="1"/>
  <c r="AI29" i="1"/>
  <c r="W104" i="1"/>
  <c r="U183" i="1"/>
  <c r="S183" i="1" s="1"/>
  <c r="W125" i="1"/>
  <c r="W23" i="1"/>
  <c r="U105" i="1"/>
  <c r="S105" i="1" s="1"/>
  <c r="U104" i="1"/>
  <c r="S104" i="1" s="1"/>
  <c r="AI123" i="1"/>
  <c r="U131" i="1"/>
  <c r="S131" i="1" s="1"/>
  <c r="W193" i="1"/>
  <c r="W100" i="1"/>
  <c r="W105" i="1"/>
  <c r="W33" i="1"/>
  <c r="U78" i="1"/>
  <c r="S78" i="1" s="1"/>
  <c r="W63" i="1"/>
  <c r="AI69" i="1"/>
  <c r="W48" i="1"/>
  <c r="AI74" i="1"/>
  <c r="W99" i="1"/>
  <c r="W103" i="1"/>
  <c r="AI136" i="1"/>
  <c r="W139" i="1"/>
  <c r="U135" i="1"/>
  <c r="S135" i="1" s="1"/>
  <c r="W178" i="1"/>
  <c r="W186" i="1"/>
  <c r="U206" i="1"/>
  <c r="S206" i="1" s="1"/>
  <c r="U164" i="1"/>
  <c r="S164" i="1" s="1"/>
  <c r="W191" i="1"/>
  <c r="U69" i="1"/>
  <c r="S69" i="1" s="1"/>
  <c r="W75" i="1"/>
  <c r="W49" i="1"/>
  <c r="W183" i="1"/>
  <c r="W116" i="1"/>
  <c r="U192" i="1"/>
  <c r="S192" i="1" s="1"/>
  <c r="W117" i="1"/>
  <c r="W131" i="1"/>
  <c r="W87" i="1"/>
  <c r="AI89" i="1"/>
  <c r="AI120" i="1"/>
  <c r="AI25" i="1"/>
  <c r="AI62" i="1"/>
  <c r="W91" i="1"/>
  <c r="U100" i="1"/>
  <c r="S100" i="1" s="1"/>
  <c r="U119" i="1"/>
  <c r="S119" i="1" s="1"/>
  <c r="U150" i="1"/>
  <c r="S150" i="1" s="1"/>
  <c r="U71" i="1"/>
  <c r="S71" i="1" s="1"/>
  <c r="W129" i="1"/>
  <c r="W206" i="1"/>
  <c r="U85" i="1"/>
  <c r="S85" i="1" s="1"/>
  <c r="W132" i="1"/>
  <c r="W207" i="1"/>
  <c r="W164" i="1"/>
  <c r="AI20" i="1"/>
  <c r="AI45" i="1"/>
  <c r="W78" i="1"/>
  <c r="U83" i="1"/>
  <c r="S83" i="1" s="1"/>
  <c r="U87" i="1"/>
  <c r="S87" i="1" s="1"/>
  <c r="W112" i="1"/>
  <c r="AI128" i="1"/>
  <c r="U125" i="1"/>
  <c r="S125" i="1" s="1"/>
  <c r="W135" i="1"/>
  <c r="W71" i="1"/>
  <c r="AI32" i="1"/>
  <c r="U25" i="1"/>
  <c r="S25" i="1" s="1"/>
  <c r="W209" i="1"/>
  <c r="U129" i="1"/>
  <c r="S129" i="1" s="1"/>
  <c r="W150" i="1"/>
  <c r="W141" i="1"/>
  <c r="U225" i="1"/>
  <c r="S225" i="1" s="1"/>
  <c r="W214" i="1"/>
  <c r="U148" i="1"/>
  <c r="S148" i="1" s="1"/>
  <c r="W211" i="1"/>
  <c r="W188" i="1"/>
  <c r="W172" i="1"/>
  <c r="AI36" i="1"/>
  <c r="W72" i="1"/>
  <c r="AI96" i="1"/>
  <c r="AI85" i="1"/>
  <c r="AI155" i="1"/>
  <c r="W171" i="1"/>
  <c r="W24" i="1"/>
  <c r="W21" i="1"/>
  <c r="W96" i="1"/>
  <c r="W124" i="1"/>
  <c r="W83" i="1"/>
  <c r="W212" i="1"/>
  <c r="U132" i="1"/>
  <c r="S132" i="1" s="1"/>
  <c r="U86" i="1"/>
  <c r="S86" i="1" s="1"/>
  <c r="U121" i="1"/>
  <c r="S121" i="1" s="1"/>
  <c r="U172" i="1"/>
  <c r="S172" i="1" s="1"/>
  <c r="AI148" i="1"/>
  <c r="U165" i="1"/>
  <c r="S165" i="1" s="1"/>
  <c r="W176" i="1"/>
  <c r="W200" i="1"/>
  <c r="U21" i="1"/>
  <c r="S21" i="1" s="1"/>
  <c r="AI49" i="1"/>
  <c r="AI41" i="1"/>
  <c r="W167" i="1"/>
  <c r="W40" i="1"/>
  <c r="W92" i="1"/>
  <c r="U24" i="1"/>
  <c r="S24" i="1" s="1"/>
  <c r="U40" i="1"/>
  <c r="S40" i="1" s="1"/>
  <c r="W119" i="1"/>
  <c r="W187" i="1"/>
  <c r="W221" i="1"/>
  <c r="U151" i="1"/>
  <c r="S151" i="1" s="1"/>
  <c r="W133" i="1"/>
  <c r="W196" i="1"/>
  <c r="W64" i="1"/>
  <c r="U106" i="1"/>
  <c r="S106" i="1" s="1"/>
  <c r="AI127" i="1"/>
  <c r="U224" i="1"/>
  <c r="S224" i="1" s="1"/>
  <c r="U187" i="1"/>
  <c r="S187" i="1" s="1"/>
  <c r="U22" i="1"/>
  <c r="S22" i="1" s="1"/>
  <c r="W85" i="1"/>
  <c r="W52" i="1"/>
  <c r="U52" i="1"/>
  <c r="S52" i="1" s="1"/>
  <c r="U73" i="1"/>
  <c r="S73" i="1" s="1"/>
  <c r="AI92" i="1"/>
  <c r="AI93" i="1"/>
  <c r="AI116" i="1"/>
  <c r="AI132" i="1"/>
  <c r="AI167" i="1"/>
  <c r="U117" i="1"/>
  <c r="S117" i="1" s="1"/>
  <c r="U147" i="1"/>
  <c r="S147" i="1" s="1"/>
  <c r="U198" i="1"/>
  <c r="S198" i="1" s="1"/>
  <c r="W224" i="1"/>
  <c r="W165" i="1"/>
  <c r="W155" i="1"/>
  <c r="W161" i="1"/>
  <c r="W74" i="1"/>
  <c r="AI28" i="1"/>
  <c r="AI16" i="1"/>
  <c r="W28" i="1"/>
  <c r="W73" i="1"/>
  <c r="W36" i="1"/>
  <c r="W108" i="1"/>
  <c r="U59" i="1"/>
  <c r="S59" i="1" s="1"/>
  <c r="AI59" i="1"/>
  <c r="U67" i="1"/>
  <c r="S67" i="1" s="1"/>
  <c r="AI67" i="1"/>
  <c r="W62" i="1"/>
  <c r="W59" i="1"/>
  <c r="U79" i="1"/>
  <c r="S79" i="1" s="1"/>
  <c r="AI79" i="1"/>
  <c r="W127" i="1"/>
  <c r="W179" i="1"/>
  <c r="AI208" i="1"/>
  <c r="W32" i="1"/>
  <c r="U49" i="1"/>
  <c r="S49" i="1" s="1"/>
  <c r="U30" i="1"/>
  <c r="S30" i="1" s="1"/>
  <c r="AI30" i="1"/>
  <c r="W30" i="1"/>
  <c r="W89" i="1"/>
  <c r="W120" i="1"/>
  <c r="W136" i="1"/>
  <c r="W106" i="1"/>
  <c r="W184" i="1"/>
  <c r="W29" i="1"/>
  <c r="U63" i="1"/>
  <c r="S63" i="1" s="1"/>
  <c r="AI63" i="1"/>
  <c r="U152" i="1"/>
  <c r="S152" i="1" s="1"/>
  <c r="AI152" i="1"/>
  <c r="W41" i="1"/>
  <c r="W45" i="1"/>
  <c r="W152" i="1"/>
  <c r="U211" i="1"/>
  <c r="S211" i="1" s="1"/>
  <c r="AI211" i="1"/>
  <c r="U180" i="1"/>
  <c r="S180" i="1" s="1"/>
  <c r="W121" i="1"/>
  <c r="W137" i="1"/>
  <c r="W180" i="1"/>
  <c r="U188" i="1"/>
  <c r="S188" i="1" s="1"/>
  <c r="U75" i="1"/>
  <c r="AI75" i="1"/>
  <c r="W128" i="1"/>
  <c r="U141" i="1"/>
  <c r="S141" i="1" s="1"/>
  <c r="AI141" i="1"/>
  <c r="W147" i="1"/>
  <c r="U156" i="1"/>
  <c r="S156" i="1" s="1"/>
  <c r="AI156" i="1"/>
  <c r="W66" i="1"/>
  <c r="W93" i="1"/>
  <c r="W156" i="1"/>
  <c r="AI56" i="1"/>
  <c r="U56" i="1"/>
  <c r="S56" i="1" s="1"/>
  <c r="U107" i="1"/>
  <c r="S107" i="1" s="1"/>
  <c r="AI107" i="1"/>
  <c r="AI108" i="1"/>
  <c r="U108" i="1"/>
  <c r="S108" i="1" s="1"/>
  <c r="U142" i="1"/>
  <c r="S142" i="1" s="1"/>
  <c r="AI142" i="1"/>
  <c r="W142" i="1"/>
  <c r="U157" i="1"/>
  <c r="S157" i="1" s="1"/>
  <c r="AI157" i="1"/>
  <c r="U158" i="1"/>
  <c r="S158" i="1" s="1"/>
  <c r="U173" i="1"/>
  <c r="S173" i="1" s="1"/>
  <c r="AI188" i="1"/>
  <c r="U189" i="1"/>
  <c r="S189" i="1" s="1"/>
  <c r="AI203" i="1"/>
  <c r="AI158" i="1"/>
  <c r="U205" i="1"/>
  <c r="S205" i="1" s="1"/>
  <c r="AI166" i="1"/>
  <c r="U219" i="1"/>
  <c r="S219" i="1" s="1"/>
  <c r="AI173" i="1"/>
  <c r="U159" i="1"/>
  <c r="S159" i="1" s="1"/>
  <c r="AI181" i="1"/>
  <c r="U167" i="1"/>
  <c r="S167" i="1" s="1"/>
  <c r="AI189" i="1"/>
  <c r="U174" i="1"/>
  <c r="S174" i="1" s="1"/>
  <c r="AI197" i="1"/>
  <c r="U182" i="1"/>
  <c r="S182" i="1" s="1"/>
  <c r="AI204" i="1"/>
  <c r="U190" i="1"/>
  <c r="S190" i="1" s="1"/>
  <c r="W219" i="1"/>
  <c r="AI19" i="1"/>
  <c r="U19" i="1"/>
  <c r="S19" i="1" s="1"/>
  <c r="U43" i="1"/>
  <c r="S43" i="1" s="1"/>
  <c r="AI43" i="1"/>
  <c r="AI15" i="1"/>
  <c r="U15" i="1"/>
  <c r="S15" i="1" s="1"/>
  <c r="AI35" i="1"/>
  <c r="U35" i="1"/>
  <c r="S35" i="1" s="1"/>
  <c r="AI23" i="1"/>
  <c r="U23" i="1"/>
  <c r="S23" i="1" s="1"/>
  <c r="AI39" i="1"/>
  <c r="U39" i="1"/>
  <c r="S39" i="1" s="1"/>
  <c r="AI60" i="1"/>
  <c r="U60" i="1"/>
  <c r="S60" i="1" s="1"/>
  <c r="W56" i="1"/>
  <c r="U153" i="1"/>
  <c r="S153" i="1" s="1"/>
  <c r="AI153" i="1"/>
  <c r="U222" i="1"/>
  <c r="S222" i="1" s="1"/>
  <c r="AI169" i="1"/>
  <c r="U170" i="1"/>
  <c r="S170" i="1" s="1"/>
  <c r="AI184" i="1"/>
  <c r="U185" i="1"/>
  <c r="S185" i="1" s="1"/>
  <c r="AI200" i="1"/>
  <c r="AI154" i="1"/>
  <c r="U154" i="1"/>
  <c r="S154" i="1" s="1"/>
  <c r="W159" i="1"/>
  <c r="W157" i="1"/>
  <c r="W158" i="1"/>
  <c r="W173" i="1"/>
  <c r="AI209" i="1"/>
  <c r="U195" i="1"/>
  <c r="S195" i="1" s="1"/>
  <c r="AI219" i="1"/>
  <c r="U204" i="1"/>
  <c r="S204" i="1" s="1"/>
  <c r="AI64" i="1"/>
  <c r="U64" i="1"/>
  <c r="S64" i="1" s="1"/>
  <c r="U82" i="1"/>
  <c r="S82" i="1" s="1"/>
  <c r="AI82" i="1"/>
  <c r="U149" i="1"/>
  <c r="S149" i="1" s="1"/>
  <c r="AI149" i="1"/>
  <c r="U218" i="1"/>
  <c r="S218" i="1" s="1"/>
  <c r="AI165" i="1"/>
  <c r="U166" i="1"/>
  <c r="S166" i="1" s="1"/>
  <c r="AI180" i="1"/>
  <c r="U181" i="1"/>
  <c r="S181" i="1" s="1"/>
  <c r="AI196" i="1"/>
  <c r="W107" i="1"/>
  <c r="AI162" i="1"/>
  <c r="U209" i="1"/>
  <c r="S209" i="1" s="1"/>
  <c r="AI170" i="1"/>
  <c r="U223" i="1"/>
  <c r="S223" i="1" s="1"/>
  <c r="AI177" i="1"/>
  <c r="U163" i="1"/>
  <c r="S163" i="1" s="1"/>
  <c r="AI185" i="1"/>
  <c r="U171" i="1"/>
  <c r="S171" i="1" s="1"/>
  <c r="AI193" i="1"/>
  <c r="U178" i="1"/>
  <c r="S178" i="1" s="1"/>
  <c r="AI201" i="1"/>
  <c r="U186" i="1"/>
  <c r="S186" i="1" s="1"/>
  <c r="W149" i="1"/>
  <c r="W223" i="1"/>
  <c r="W181" i="1"/>
  <c r="W189" i="1"/>
  <c r="AI27" i="1"/>
  <c r="U27" i="1"/>
  <c r="S27" i="1" s="1"/>
  <c r="AI31" i="1"/>
  <c r="U31" i="1"/>
  <c r="S31" i="1" s="1"/>
  <c r="W31" i="1"/>
  <c r="W35" i="1"/>
  <c r="AI68" i="1"/>
  <c r="U68" i="1"/>
  <c r="S68" i="1" s="1"/>
  <c r="AI72" i="1"/>
  <c r="U72" i="1"/>
  <c r="S72" i="1" s="1"/>
  <c r="U76" i="1"/>
  <c r="AI76" i="1"/>
  <c r="U80" i="1"/>
  <c r="S80" i="1" s="1"/>
  <c r="AI80" i="1"/>
  <c r="W82" i="1"/>
  <c r="W43" i="1"/>
  <c r="AI91" i="1"/>
  <c r="U91" i="1"/>
  <c r="S91" i="1" s="1"/>
  <c r="AI95" i="1"/>
  <c r="U95" i="1"/>
  <c r="S95" i="1" s="1"/>
  <c r="AI99" i="1"/>
  <c r="U99" i="1"/>
  <c r="S99" i="1" s="1"/>
  <c r="AI103" i="1"/>
  <c r="U103" i="1"/>
  <c r="S103" i="1" s="1"/>
  <c r="W95" i="1"/>
  <c r="W80" i="1"/>
  <c r="U146" i="1"/>
  <c r="S146" i="1" s="1"/>
  <c r="AI146" i="1"/>
  <c r="U208" i="1"/>
  <c r="S208" i="1"/>
  <c r="AI161" i="1"/>
  <c r="U162" i="1"/>
  <c r="S162" i="1" s="1"/>
  <c r="AI176" i="1"/>
  <c r="U177" i="1"/>
  <c r="S177" i="1" s="1"/>
  <c r="AI192" i="1"/>
  <c r="W205" i="1"/>
  <c r="W174" i="1"/>
  <c r="W222" i="1"/>
  <c r="W170" i="1"/>
  <c r="U193" i="1"/>
  <c r="S193" i="1" s="1"/>
  <c r="AI207" i="1"/>
  <c r="W195" i="1"/>
  <c r="W153" i="1"/>
  <c r="W163" i="1"/>
  <c r="W146" i="1"/>
  <c r="W218" i="1"/>
  <c r="W166" i="1"/>
  <c r="W182" i="1"/>
  <c r="W190" i="1"/>
  <c r="AI215" i="1"/>
  <c r="U201" i="1"/>
  <c r="S201" i="1" s="1"/>
  <c r="AI223" i="1"/>
  <c r="U215" i="1"/>
  <c r="S215" i="1" s="1"/>
  <c r="W201" i="1"/>
  <c r="W215" i="1"/>
  <c r="R34" i="3"/>
  <c r="W34" i="3"/>
  <c r="V34" i="3"/>
  <c r="U34" i="3"/>
  <c r="AC34" i="3" s="1"/>
  <c r="S34" i="3"/>
  <c r="N34" i="3"/>
  <c r="M34" i="3"/>
  <c r="S75" i="1" l="1"/>
  <c r="T34" i="3"/>
  <c r="Y34" i="3"/>
  <c r="X34" i="3" l="1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R29" i="3" s="1"/>
  <c r="AD13" i="1"/>
  <c r="AC13" i="1"/>
  <c r="AB13" i="1"/>
  <c r="Z13" i="1"/>
  <c r="Y13" i="1"/>
  <c r="V13" i="1"/>
  <c r="S29" i="3" s="1"/>
  <c r="M13" i="1"/>
  <c r="L13" i="1"/>
  <c r="K13" i="1"/>
  <c r="F9" i="6" l="1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<sst xmlns="http://schemas.openxmlformats.org/spreadsheetml/2006/main" count="2288" uniqueCount="815">
  <si>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</si>
  <si>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</si>
  <si>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</si>
  <si>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</si>
  <si>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</si>
  <si>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</si>
  <si>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</si>
  <si>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</si>
  <si>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</si>
  <si>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</si>
  <si>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</si>
  <si>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</si>
  <si>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</si>
  <si>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</si>
  <si>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</si>
  <si>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</si>
  <si>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</si>
  <si>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</si>
  <si>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</si>
  <si>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</si>
  <si>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</si>
  <si>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</si>
  <si>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</si>
  <si>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</si>
  <si>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</si>
  <si>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</si>
  <si>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</si>
  <si>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</si>
  <si>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</si>
  <si>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</si>
  <si>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</si>
  <si>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</si>
  <si>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</si>
  <si>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</si>
  <si>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</si>
  <si>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</si>
  <si>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</si>
  <si>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</si>
  <si>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</si>
  <si>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</si>
  <si>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</si>
  <si>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</si>
  <si>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</si>
  <si>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</si>
  <si>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</si>
  <si>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</si>
  <si>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</si>
  <si>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</si>
  <si>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</si>
  <si>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</si>
  <si>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</si>
  <si>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</si>
  <si>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</si>
  <si>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</si>
  <si>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</si>
  <si>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</si>
  <si>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</si>
  <si>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</si>
  <si>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</si>
  <si>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</si>
  <si>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</si>
  <si>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</si>
  <si>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</si>
  <si>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</si>
  <si>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</si>
  <si>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</si>
  <si>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</si>
  <si>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</si>
  <si>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</si>
  <si>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</si>
  <si>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</si>
  <si>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</si>
  <si>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</si>
  <si>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</si>
  <si>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</si>
  <si>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</si>
  <si>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</si>
  <si>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</si>
  <si>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</si>
  <si>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</si>
  <si>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</si>
  <si>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</si>
  <si>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</si>
  <si>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</si>
  <si>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</si>
  <si>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</si>
  <si>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</si>
  <si>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</si>
  <si>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</si>
  <si>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</si>
  <si>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</si>
  <si>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</si>
  <si>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</si>
  <si>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</si>
  <si>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</si>
  <si>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</si>
  <si>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</si>
  <si>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</si>
  <si>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</si>
  <si>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</si>
  <si>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</si>
  <si>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</si>
  <si>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</si>
  <si>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</si>
  <si>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</si>
  <si>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</si>
  <si>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</si>
  <si>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</si>
  <si>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</si>
  <si>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</si>
  <si>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</si>
  <si>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</si>
  <si>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</si>
  <si>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</si>
  <si>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</si>
  <si>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</si>
  <si>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</si>
  <si>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</si>
  <si>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</si>
  <si>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</si>
  <si>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</si>
  <si>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</si>
  <si>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</si>
  <si>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</si>
  <si>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</si>
  <si>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</si>
  <si>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</si>
  <si>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</si>
  <si>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</si>
  <si>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</si>
  <si>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</si>
  <si>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</si>
  <si>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</si>
  <si>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</si>
  <si>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</si>
  <si>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</si>
  <si>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</si>
  <si>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</si>
  <si>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</si>
  <si>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</si>
  <si>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</si>
  <si>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</si>
  <si>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</si>
  <si>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</si>
  <si>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</si>
  <si>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</si>
  <si>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</si>
  <si>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</si>
  <si>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</si>
  <si>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</si>
  <si>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</si>
  <si>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</si>
  <si>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</si>
  <si>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</si>
  <si>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</si>
  <si>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</si>
  <si>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</si>
  <si>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</si>
  <si>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</si>
  <si>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</si>
  <si>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</si>
  <si>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</si>
  <si>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</si>
  <si>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</si>
  <si>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</si>
  <si>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</si>
  <si>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</si>
  <si>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</si>
  <si>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</si>
  <si>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</si>
  <si>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</si>
  <si>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</si>
  <si>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</si>
  <si>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</si>
  <si>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</si>
  <si>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</si>
  <si>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</si>
  <si>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</si>
  <si>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</si>
  <si>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</si>
  <si>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</si>
  <si>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</si>
  <si>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</si>
  <si>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</si>
  <si>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</si>
  <si>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</si>
  <si>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</si>
  <si>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</si>
  <si>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</si>
  <si>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</si>
  <si>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</si>
  <si>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</si>
  <si>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</si>
  <si>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</si>
  <si>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</si>
  <si>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</si>
  <si>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</si>
  <si>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</si>
  <si>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</si>
  <si>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</si>
  <si>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</si>
  <si>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</si>
  <si>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</si>
  <si>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</si>
  <si>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</si>
  <si>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</si>
  <si>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</si>
  <si>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</si>
  <si>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</si>
  <si>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</si>
  <si>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</si>
  <si>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</si>
  <si>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rtdc.l.rtdc.4039:itc</t>
  </si>
  <si>
    <t>YANAI</t>
  </si>
  <si>
    <t>Enforcements Text</t>
  </si>
  <si>
    <t>Runs-Refined Text</t>
  </si>
  <si>
    <t>Trips Text</t>
  </si>
  <si>
    <t>Weather Text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</si>
  <si>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</si>
  <si>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</si>
  <si>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</si>
  <si>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</si>
  <si>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</si>
  <si>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</si>
  <si>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</si>
  <si>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</si>
  <si>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</si>
  <si>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</si>
  <si>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204:455</t>
  </si>
  <si>
    <t>204:134</t>
  </si>
  <si>
    <t>204:466</t>
  </si>
  <si>
    <t>204:233295</t>
  </si>
  <si>
    <t>204:446</t>
  </si>
  <si>
    <t>204:233299</t>
  </si>
  <si>
    <t>204:160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</si>
  <si>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</si>
  <si>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</si>
  <si>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</si>
  <si>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</si>
  <si>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</si>
  <si>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</si>
  <si>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</si>
  <si>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</si>
  <si>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</si>
  <si>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</si>
  <si>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</si>
  <si>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</si>
  <si>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</si>
  <si>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</si>
  <si>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</si>
  <si>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</si>
  <si>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rtdc.l.rtdc.4041:itc</t>
  </si>
  <si>
    <t>204:232977</t>
  </si>
  <si>
    <t>204:232994</t>
  </si>
  <si>
    <t>204:232991</t>
  </si>
  <si>
    <t>204:471</t>
  </si>
  <si>
    <t>AWS CP Commands</t>
  </si>
  <si>
    <t>rtdc.l.rtdc.4012:itc</t>
  </si>
  <si>
    <t>204:444</t>
  </si>
  <si>
    <t>204:156</t>
  </si>
  <si>
    <t>rtdc.l.rtdc.4029:itc</t>
  </si>
  <si>
    <t>rtdc.l.rtdc.4030:itc</t>
  </si>
  <si>
    <t>BERLING</t>
  </si>
  <si>
    <t>204:139</t>
  </si>
  <si>
    <t>204:233304</t>
  </si>
  <si>
    <t>rtdc.l.rtdc.4054:itc</t>
  </si>
  <si>
    <t>rtdc.l.rtdc.4053:itc</t>
  </si>
  <si>
    <t>DELGADO</t>
  </si>
  <si>
    <t>MATTHEWS</t>
  </si>
  <si>
    <t>204:232983</t>
  </si>
  <si>
    <t>204:449</t>
  </si>
  <si>
    <t>204:232986</t>
  </si>
  <si>
    <t>204:138</t>
  </si>
  <si>
    <t>204:232990</t>
  </si>
  <si>
    <t>rtdc.l.rtdc.4016:itc</t>
  </si>
  <si>
    <t>rtdc.l.rtdc.4015:itc</t>
  </si>
  <si>
    <t>54-18</t>
  </si>
  <si>
    <t>PINCURA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</si>
  <si>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</si>
  <si>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</si>
  <si>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</si>
  <si>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</si>
  <si>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</si>
  <si>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</si>
  <si>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</si>
  <si>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</si>
  <si>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</si>
  <si>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</si>
  <si>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</si>
  <si>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</si>
  <si>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</si>
  <si>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204:232984</t>
  </si>
  <si>
    <t>204:462</t>
  </si>
  <si>
    <t>Y</t>
  </si>
  <si>
    <t>YOUNG</t>
  </si>
  <si>
    <t>204:232989</t>
  </si>
  <si>
    <t>204:232993</t>
  </si>
  <si>
    <t>204:233310</t>
  </si>
  <si>
    <t>204:233302</t>
  </si>
  <si>
    <t>Reactive Warning (1)</t>
  </si>
  <si>
    <t>rtdc.l.rtdc.4037:itc</t>
  </si>
  <si>
    <t>rtdc.l.rtdc.4005:itc</t>
  </si>
  <si>
    <t>YORK</t>
  </si>
  <si>
    <t>rtdc.l.rtdc.4038:itc</t>
  </si>
  <si>
    <t>NEWELL</t>
  </si>
  <si>
    <t>204:233309</t>
  </si>
  <si>
    <t>204:467</t>
  </si>
  <si>
    <t>204:163</t>
  </si>
  <si>
    <t>204:233320</t>
  </si>
  <si>
    <t>300:58929</t>
  </si>
  <si>
    <t>300:58924</t>
  </si>
  <si>
    <t>rtdc.l.rtdc.4013:itc</t>
  </si>
  <si>
    <t>rtdc.l.rtdc.4014:itc</t>
  </si>
  <si>
    <t>rtdc.l.rtdc.4027:itc</t>
  </si>
  <si>
    <t>DAVIS</t>
  </si>
  <si>
    <t>MALAVE</t>
  </si>
  <si>
    <t>STEWART</t>
  </si>
  <si>
    <t>CLARK</t>
  </si>
  <si>
    <t>HAITHCOX</t>
  </si>
  <si>
    <t>partly-cloudy-day</t>
  </si>
  <si>
    <t>204:233291</t>
  </si>
  <si>
    <t>204:232971</t>
  </si>
  <si>
    <t>204:232985</t>
  </si>
  <si>
    <t>204:233289</t>
  </si>
  <si>
    <t>204:233298</t>
  </si>
  <si>
    <t>204:442</t>
  </si>
  <si>
    <t>204:233307</t>
  </si>
  <si>
    <t>204:478</t>
  </si>
  <si>
    <t>204:233288</t>
  </si>
  <si>
    <t>204:233306</t>
  </si>
  <si>
    <t>300:58922</t>
  </si>
  <si>
    <t>rtdc.l.rtdc.4011:itc</t>
  </si>
  <si>
    <t>ACKERMAN</t>
  </si>
  <si>
    <t>BARTLETT</t>
  </si>
  <si>
    <t>BRUDER</t>
  </si>
  <si>
    <t>rtdc.l.rtdc.4006:itc</t>
  </si>
  <si>
    <t>204:477</t>
  </si>
  <si>
    <t>204:232961</t>
  </si>
  <si>
    <t>204:457</t>
  </si>
  <si>
    <t>204:232987</t>
  </si>
  <si>
    <t>204:752</t>
  </si>
  <si>
    <t>204:232979</t>
  </si>
  <si>
    <t>204:167</t>
  </si>
  <si>
    <t>204:232992</t>
  </si>
  <si>
    <t>204:233303</t>
  </si>
  <si>
    <t>rtdc.l.rtdc.4021:itc</t>
  </si>
  <si>
    <t>rtdc.l.rtdc.4040:itc</t>
  </si>
  <si>
    <t>STARKS</t>
  </si>
  <si>
    <t>rtdc.l.rtdc.4022:itc</t>
  </si>
  <si>
    <t>242-23</t>
  </si>
  <si>
    <t>311-23</t>
  </si>
  <si>
    <t>244-23</t>
  </si>
  <si>
    <t>313-23</t>
  </si>
  <si>
    <t>partly-cloudy-night</t>
  </si>
  <si>
    <t>Mostly Cloudy</t>
  </si>
  <si>
    <t>204:232968</t>
  </si>
  <si>
    <t>204:232677</t>
  </si>
  <si>
    <t>204:233282</t>
  </si>
  <si>
    <t>204:232998</t>
  </si>
  <si>
    <t>204:438</t>
  </si>
  <si>
    <t>204:233008</t>
  </si>
  <si>
    <t>204:233315</t>
  </si>
  <si>
    <t>204:731</t>
  </si>
  <si>
    <t>300:58604</t>
  </si>
  <si>
    <t>204:993</t>
  </si>
  <si>
    <t>204:726</t>
  </si>
  <si>
    <t>204:708</t>
  </si>
  <si>
    <t>300:58954</t>
  </si>
  <si>
    <t>204:233002</t>
  </si>
  <si>
    <t>204:927</t>
  </si>
  <si>
    <t>204:654</t>
  </si>
  <si>
    <t>204:233327</t>
  </si>
  <si>
    <t>204:232996</t>
  </si>
  <si>
    <t>204:233326</t>
  </si>
  <si>
    <t>204:426</t>
  </si>
  <si>
    <t>204:437</t>
  </si>
  <si>
    <t>204:233268</t>
  </si>
  <si>
    <t>204:475</t>
  </si>
  <si>
    <t>204:114</t>
  </si>
  <si>
    <t>204:232953</t>
  </si>
  <si>
    <t>204:920</t>
  </si>
  <si>
    <t>204:1175</t>
  </si>
  <si>
    <t>Onboard in-route failure</t>
  </si>
  <si>
    <t>Early arrival</t>
  </si>
  <si>
    <t>Overspeed</t>
  </si>
  <si>
    <t>Wi-MAX outage</t>
  </si>
  <si>
    <t>rtdc.l.rtdc.4002:itc</t>
  </si>
  <si>
    <t>103-24</t>
  </si>
  <si>
    <t>102-24</t>
  </si>
  <si>
    <t>901-24</t>
  </si>
  <si>
    <t>800-24</t>
  </si>
  <si>
    <t>801-24</t>
  </si>
  <si>
    <t>119-24</t>
  </si>
  <si>
    <t>121-24</t>
  </si>
  <si>
    <t>805-24</t>
  </si>
  <si>
    <t>125-24</t>
  </si>
  <si>
    <t>806-24</t>
  </si>
  <si>
    <t>120-24</t>
  </si>
  <si>
    <t>809-24</t>
  </si>
  <si>
    <t>128-24</t>
  </si>
  <si>
    <t>133-24</t>
  </si>
  <si>
    <t>137-24</t>
  </si>
  <si>
    <t>134-24</t>
  </si>
  <si>
    <t>143-24</t>
  </si>
  <si>
    <t>813-24</t>
  </si>
  <si>
    <t>140-24</t>
  </si>
  <si>
    <t>rtdc.l.rtdc.4001:itc</t>
  </si>
  <si>
    <t>144-24</t>
  </si>
  <si>
    <t>151-24</t>
  </si>
  <si>
    <t>150-24</t>
  </si>
  <si>
    <t>816-24</t>
  </si>
  <si>
    <t>148-24</t>
  </si>
  <si>
    <t>157-24</t>
  </si>
  <si>
    <t>52-24</t>
  </si>
  <si>
    <t>159-24</t>
  </si>
  <si>
    <t>163-24</t>
  </si>
  <si>
    <t>820-24</t>
  </si>
  <si>
    <t>TEMPORARY SPEED RESTRICTION</t>
  </si>
  <si>
    <t>822-24</t>
  </si>
  <si>
    <t>179-24</t>
  </si>
  <si>
    <t>823-24</t>
  </si>
  <si>
    <t>186-24</t>
  </si>
  <si>
    <t>192-24</t>
  </si>
  <si>
    <t>199-24</t>
  </si>
  <si>
    <t>56-24</t>
  </si>
  <si>
    <t>65-24</t>
  </si>
  <si>
    <t>837-24</t>
  </si>
  <si>
    <t>208-24</t>
  </si>
  <si>
    <t>838-24</t>
  </si>
  <si>
    <t>216-24</t>
  </si>
  <si>
    <t>234-24</t>
  </si>
  <si>
    <t>306-24</t>
  </si>
  <si>
    <t>BRANNON</t>
  </si>
  <si>
    <t>KILLION</t>
  </si>
  <si>
    <t>308-24</t>
  </si>
  <si>
    <t>SPECTOR</t>
  </si>
  <si>
    <t>105-24</t>
  </si>
  <si>
    <t>310-24</t>
  </si>
  <si>
    <t>107-24</t>
  </si>
  <si>
    <t>104-24</t>
  </si>
  <si>
    <t>109-24</t>
  </si>
  <si>
    <t>111-24</t>
  </si>
  <si>
    <t>113-24</t>
  </si>
  <si>
    <t>106-24</t>
  </si>
  <si>
    <t>108-24</t>
  </si>
  <si>
    <t>110-24</t>
  </si>
  <si>
    <t>115-24</t>
  </si>
  <si>
    <t>117-24</t>
  </si>
  <si>
    <t>112-24</t>
  </si>
  <si>
    <t>114-24</t>
  </si>
  <si>
    <t>802-24</t>
  </si>
  <si>
    <t>902-24</t>
  </si>
  <si>
    <t>ROCHA</t>
  </si>
  <si>
    <t>803-24</t>
  </si>
  <si>
    <t>116-24</t>
  </si>
  <si>
    <t>123-24</t>
  </si>
  <si>
    <t>118-24</t>
  </si>
  <si>
    <t>804-24</t>
  </si>
  <si>
    <t>127-24</t>
  </si>
  <si>
    <t>122-24</t>
  </si>
  <si>
    <t>124-24</t>
  </si>
  <si>
    <t>129-24</t>
  </si>
  <si>
    <t>807-24</t>
  </si>
  <si>
    <t>131-24</t>
  </si>
  <si>
    <t>126-24</t>
  </si>
  <si>
    <t>808-24</t>
  </si>
  <si>
    <t>135-24</t>
  </si>
  <si>
    <t>810-24</t>
  </si>
  <si>
    <t>130-24</t>
  </si>
  <si>
    <t>811-24</t>
  </si>
  <si>
    <t>132-24</t>
  </si>
  <si>
    <t>139-24</t>
  </si>
  <si>
    <t>903-24</t>
  </si>
  <si>
    <t>141-24</t>
  </si>
  <si>
    <t>812-24</t>
  </si>
  <si>
    <t>136-24</t>
  </si>
  <si>
    <t>138-24</t>
  </si>
  <si>
    <t>145-24</t>
  </si>
  <si>
    <t>147-24</t>
  </si>
  <si>
    <t>142-24</t>
  </si>
  <si>
    <t>149-24</t>
  </si>
  <si>
    <t>814-24</t>
  </si>
  <si>
    <t>146-24</t>
  </si>
  <si>
    <t>153-24</t>
  </si>
  <si>
    <t>815-24</t>
  </si>
  <si>
    <t>50-24</t>
  </si>
  <si>
    <t>SWANSON</t>
  </si>
  <si>
    <t>155-24</t>
  </si>
  <si>
    <t>152-24</t>
  </si>
  <si>
    <t>BONDS</t>
  </si>
  <si>
    <t>154-24</t>
  </si>
  <si>
    <t>161-24</t>
  </si>
  <si>
    <t>817-24</t>
  </si>
  <si>
    <t>51-24</t>
  </si>
  <si>
    <t>GRASTON</t>
  </si>
  <si>
    <t>156-24</t>
  </si>
  <si>
    <t>165-24</t>
  </si>
  <si>
    <t>158-24</t>
  </si>
  <si>
    <t>818-24</t>
  </si>
  <si>
    <t>160-24</t>
  </si>
  <si>
    <t>53-24</t>
  </si>
  <si>
    <t>167-24</t>
  </si>
  <si>
    <t>CRAYTON</t>
  </si>
  <si>
    <t>162-24</t>
  </si>
  <si>
    <t>169-24</t>
  </si>
  <si>
    <t>OUN</t>
  </si>
  <si>
    <t>819-24</t>
  </si>
  <si>
    <t>164-24</t>
  </si>
  <si>
    <t>171-24</t>
  </si>
  <si>
    <t>MAHAN</t>
  </si>
  <si>
    <t>166-24</t>
  </si>
  <si>
    <t>173-24</t>
  </si>
  <si>
    <t>168-24</t>
  </si>
  <si>
    <t>175-24</t>
  </si>
  <si>
    <t>170-24</t>
  </si>
  <si>
    <t>821-24</t>
  </si>
  <si>
    <t>177-24</t>
  </si>
  <si>
    <t>172-24</t>
  </si>
  <si>
    <t>174-24</t>
  </si>
  <si>
    <t>181-24</t>
  </si>
  <si>
    <t>176-24</t>
  </si>
  <si>
    <t>183-24</t>
  </si>
  <si>
    <t>HELVIE</t>
  </si>
  <si>
    <t>178-24</t>
  </si>
  <si>
    <t>185-24</t>
  </si>
  <si>
    <t>180-24</t>
  </si>
  <si>
    <t>187-24</t>
  </si>
  <si>
    <t>182-24</t>
  </si>
  <si>
    <t>824-24</t>
  </si>
  <si>
    <t>189-24</t>
  </si>
  <si>
    <t>184-24</t>
  </si>
  <si>
    <t>191-24</t>
  </si>
  <si>
    <t>825-24</t>
  </si>
  <si>
    <t>188-24</t>
  </si>
  <si>
    <t>193-24</t>
  </si>
  <si>
    <t>195-24</t>
  </si>
  <si>
    <t>190-24</t>
  </si>
  <si>
    <t>826-24</t>
  </si>
  <si>
    <t>904-24</t>
  </si>
  <si>
    <t>197-24</t>
  </si>
  <si>
    <t>827-24</t>
  </si>
  <si>
    <t>194-24</t>
  </si>
  <si>
    <t>201-24</t>
  </si>
  <si>
    <t>828-24</t>
  </si>
  <si>
    <t>196-24</t>
  </si>
  <si>
    <t>829-24</t>
  </si>
  <si>
    <t>203-24</t>
  </si>
  <si>
    <t>198-24</t>
  </si>
  <si>
    <t>830-24</t>
  </si>
  <si>
    <t>205-24</t>
  </si>
  <si>
    <t>831-24</t>
  </si>
  <si>
    <t>200-24</t>
  </si>
  <si>
    <t>207-24</t>
  </si>
  <si>
    <t>202-24</t>
  </si>
  <si>
    <t>833-24</t>
  </si>
  <si>
    <t>832-24</t>
  </si>
  <si>
    <t>204-24</t>
  </si>
  <si>
    <t>209-24</t>
  </si>
  <si>
    <t>211-24</t>
  </si>
  <si>
    <t>206-24</t>
  </si>
  <si>
    <t>54-24</t>
  </si>
  <si>
    <t>834-24</t>
  </si>
  <si>
    <t>213-24</t>
  </si>
  <si>
    <t>835-24</t>
  </si>
  <si>
    <t>63-24</t>
  </si>
  <si>
    <t>215-24</t>
  </si>
  <si>
    <t>210-24</t>
  </si>
  <si>
    <t>836-24</t>
  </si>
  <si>
    <t>217-24</t>
  </si>
  <si>
    <t>212-24</t>
  </si>
  <si>
    <t>219-24</t>
  </si>
  <si>
    <t>214-24</t>
  </si>
  <si>
    <t>839-24</t>
  </si>
  <si>
    <t>221-24</t>
  </si>
  <si>
    <t>841-24</t>
  </si>
  <si>
    <t>906-24</t>
  </si>
  <si>
    <t>218-24</t>
  </si>
  <si>
    <t>220-24</t>
  </si>
  <si>
    <t>223-24</t>
  </si>
  <si>
    <t>840-24</t>
  </si>
  <si>
    <t>222-24</t>
  </si>
  <si>
    <t>843-24</t>
  </si>
  <si>
    <t>225-24</t>
  </si>
  <si>
    <t>224-24</t>
  </si>
  <si>
    <t>227-24</t>
  </si>
  <si>
    <t>842-24</t>
  </si>
  <si>
    <t>229-24</t>
  </si>
  <si>
    <t>226-24</t>
  </si>
  <si>
    <t>845-24</t>
  </si>
  <si>
    <t>231-24</t>
  </si>
  <si>
    <t>228-24</t>
  </si>
  <si>
    <t>844-24</t>
  </si>
  <si>
    <t>230-24</t>
  </si>
  <si>
    <t>233-24</t>
  </si>
  <si>
    <t>235-24</t>
  </si>
  <si>
    <t>847-24</t>
  </si>
  <si>
    <t>232-24</t>
  </si>
  <si>
    <t>908-24</t>
  </si>
  <si>
    <t>237-24</t>
  </si>
  <si>
    <t>239-24</t>
  </si>
  <si>
    <t>236-24</t>
  </si>
  <si>
    <t>238-24</t>
  </si>
  <si>
    <t>241-24</t>
  </si>
  <si>
    <t>243-24</t>
  </si>
  <si>
    <t>240-24</t>
  </si>
  <si>
    <t>309-24</t>
  </si>
  <si>
    <t>242-24</t>
  </si>
  <si>
    <t>311-24</t>
  </si>
  <si>
    <t>244-24</t>
  </si>
  <si>
    <t>313-24</t>
  </si>
  <si>
    <t>315-24</t>
  </si>
  <si>
    <t>204:232633</t>
  </si>
  <si>
    <t>204:670</t>
  </si>
  <si>
    <t>204:233391</t>
  </si>
  <si>
    <t>204:232756</t>
  </si>
  <si>
    <t>204:785</t>
  </si>
  <si>
    <t>204:232664</t>
  </si>
  <si>
    <t>204:233319</t>
  </si>
  <si>
    <t>204:233013</t>
  </si>
  <si>
    <t>204:232967</t>
  </si>
  <si>
    <t>204:360</t>
  </si>
  <si>
    <t>204:757</t>
  </si>
  <si>
    <t>204:233263</t>
  </si>
  <si>
    <t>204:232951</t>
  </si>
  <si>
    <t>204:158</t>
  </si>
  <si>
    <t>204:232950</t>
  </si>
  <si>
    <t>204:723</t>
  </si>
  <si>
    <t>204:391</t>
  </si>
  <si>
    <t>204:233236</t>
  </si>
  <si>
    <t>204:232919</t>
  </si>
  <si>
    <t>204:648</t>
  </si>
  <si>
    <t>204:233332</t>
  </si>
  <si>
    <t>204:232974</t>
  </si>
  <si>
    <t>204:316</t>
  </si>
  <si>
    <t>204:233240</t>
  </si>
  <si>
    <t>204:232929</t>
  </si>
  <si>
    <t>204:232970</t>
  </si>
  <si>
    <t>204:233259</t>
  </si>
  <si>
    <t>204:233001</t>
  </si>
  <si>
    <t>204:233017</t>
  </si>
  <si>
    <t>204:480</t>
  </si>
  <si>
    <t>204:233280</t>
  </si>
  <si>
    <t>204:232975</t>
  </si>
  <si>
    <t>204:161</t>
  </si>
  <si>
    <t>204:176</t>
  </si>
  <si>
    <t>204:233311</t>
  </si>
  <si>
    <t>204:232959</t>
  </si>
  <si>
    <t>204:233272</t>
  </si>
  <si>
    <t>204:232942</t>
  </si>
  <si>
    <t>204:493</t>
  </si>
  <si>
    <t>204:128268</t>
  </si>
  <si>
    <t>204:233336</t>
  </si>
  <si>
    <t>204:435</t>
  </si>
  <si>
    <t>204:105202</t>
  </si>
  <si>
    <t>204:233011</t>
  </si>
  <si>
    <t>204:233253</t>
  </si>
  <si>
    <t>204:232930</t>
  </si>
  <si>
    <t>204:129</t>
  </si>
  <si>
    <t>204:232980</t>
  </si>
  <si>
    <t>204:169</t>
  </si>
  <si>
    <t>204:232972</t>
  </si>
  <si>
    <t>204:233003</t>
  </si>
  <si>
    <t>204:473</t>
  </si>
  <si>
    <t>204:232973</t>
  </si>
  <si>
    <t>204:232965</t>
  </si>
  <si>
    <t>204:233378</t>
  </si>
  <si>
    <t>204:233062</t>
  </si>
  <si>
    <t>204:931</t>
  </si>
  <si>
    <t>204:325</t>
  </si>
  <si>
    <t>204:353</t>
  </si>
  <si>
    <t>204:637</t>
  </si>
  <si>
    <t>204:233331</t>
  </si>
  <si>
    <t>204:232681</t>
  </si>
  <si>
    <t>204:63</t>
  </si>
  <si>
    <t>204:737</t>
  </si>
  <si>
    <t>204:233368</t>
  </si>
  <si>
    <t>204:232751</t>
  </si>
  <si>
    <t>204:766</t>
  </si>
  <si>
    <t>204:233281</t>
  </si>
  <si>
    <t>204:232658</t>
  </si>
  <si>
    <t>204:233317</t>
  </si>
  <si>
    <t>204:127</t>
  </si>
  <si>
    <t>204:692</t>
  </si>
  <si>
    <t>204:233247</t>
  </si>
  <si>
    <t>204:232650</t>
  </si>
  <si>
    <t>204:74</t>
  </si>
  <si>
    <t>204:750</t>
  </si>
  <si>
    <t>204:233341</t>
  </si>
  <si>
    <t>204:232708</t>
  </si>
  <si>
    <t>204:232639</t>
  </si>
  <si>
    <t>204:728</t>
  </si>
  <si>
    <t>204:232652</t>
  </si>
  <si>
    <t>204:673</t>
  </si>
  <si>
    <t>204:88</t>
  </si>
  <si>
    <t>204:739</t>
  </si>
  <si>
    <t>204:233357</t>
  </si>
  <si>
    <t>204:232714</t>
  </si>
  <si>
    <t>300:23603</t>
  </si>
  <si>
    <t>300:23360</t>
  </si>
  <si>
    <t>300:22777</t>
  </si>
  <si>
    <t>300:23468</t>
  </si>
  <si>
    <t>204:741</t>
  </si>
  <si>
    <t>300:23301</t>
  </si>
  <si>
    <t>204:719</t>
  </si>
  <si>
    <t>300:22242</t>
  </si>
  <si>
    <t>300:23108</t>
  </si>
  <si>
    <t>300:23110</t>
  </si>
  <si>
    <t>204:668</t>
  </si>
  <si>
    <t>300:24271</t>
  </si>
  <si>
    <t>300:23368</t>
  </si>
  <si>
    <t>204:919</t>
  </si>
  <si>
    <t>204:1233</t>
  </si>
  <si>
    <t>300:24243</t>
  </si>
  <si>
    <t>300:23170</t>
  </si>
  <si>
    <t>204:878</t>
  </si>
  <si>
    <t>300:23777</t>
  </si>
  <si>
    <t>300:23118</t>
  </si>
  <si>
    <t>204:1169</t>
  </si>
  <si>
    <t>300:23302</t>
  </si>
  <si>
    <t>204:1513</t>
  </si>
  <si>
    <t>204:2068</t>
  </si>
  <si>
    <t>300:58702</t>
  </si>
  <si>
    <t>204:643</t>
  </si>
  <si>
    <t>300:59016</t>
  </si>
  <si>
    <t>204:631</t>
  </si>
  <si>
    <t>204:969</t>
  </si>
  <si>
    <t>300:58941</t>
  </si>
  <si>
    <t>300:58630</t>
  </si>
  <si>
    <t>204:663</t>
  </si>
  <si>
    <t>300:58187</t>
  </si>
  <si>
    <t>300:58700</t>
  </si>
  <si>
    <t>204:617</t>
  </si>
  <si>
    <t>204:941</t>
  </si>
  <si>
    <t>300:58894</t>
  </si>
  <si>
    <t>300:58587</t>
  </si>
  <si>
    <t>204:913</t>
  </si>
  <si>
    <t>300:58101</t>
  </si>
  <si>
    <t>300:58711</t>
  </si>
  <si>
    <t>204:650</t>
  </si>
  <si>
    <t>300:58909</t>
  </si>
  <si>
    <t>300:58577</t>
  </si>
  <si>
    <t>204:659</t>
  </si>
  <si>
    <t>204:953</t>
  </si>
  <si>
    <t>300:58905</t>
  </si>
  <si>
    <t>300:58426</t>
  </si>
  <si>
    <t>204:698</t>
  </si>
  <si>
    <t>204:904</t>
  </si>
  <si>
    <t>300:58916</t>
  </si>
  <si>
    <t>300:58596</t>
  </si>
  <si>
    <t>204:997</t>
  </si>
  <si>
    <t>204:678</t>
  </si>
  <si>
    <t>204:972</t>
  </si>
  <si>
    <t>300:58592</t>
  </si>
  <si>
    <t>204:666</t>
  </si>
  <si>
    <t>204:948</t>
  </si>
  <si>
    <t>300:58948</t>
  </si>
  <si>
    <t>300:58645</t>
  </si>
  <si>
    <t>204:1035</t>
  </si>
  <si>
    <t>300:58632</t>
  </si>
  <si>
    <t>204:699</t>
  </si>
  <si>
    <t>204:976</t>
  </si>
  <si>
    <t>300:58969</t>
  </si>
  <si>
    <t>300:58655</t>
  </si>
  <si>
    <t>204:1205</t>
  </si>
  <si>
    <t>300:58600</t>
  </si>
  <si>
    <t>204:794</t>
  </si>
  <si>
    <t>300:58961</t>
  </si>
  <si>
    <t>204:675</t>
  </si>
  <si>
    <t>204:1079</t>
  </si>
  <si>
    <t>204:964</t>
  </si>
  <si>
    <t>300:58640</t>
  </si>
  <si>
    <t>204:671</t>
  </si>
  <si>
    <t>204:1056</t>
  </si>
  <si>
    <t>300:58615</t>
  </si>
  <si>
    <t>204:769</t>
  </si>
  <si>
    <t>204:967</t>
  </si>
  <si>
    <t>300:58943</t>
  </si>
  <si>
    <t>300:58626</t>
  </si>
  <si>
    <t>204:1049</t>
  </si>
  <si>
    <t>300:58937</t>
  </si>
  <si>
    <t>204:689</t>
  </si>
  <si>
    <t>204:971</t>
  </si>
  <si>
    <t>204:962</t>
  </si>
  <si>
    <t>204:978</t>
  </si>
  <si>
    <t>300:58920</t>
  </si>
  <si>
    <t>300:30254</t>
  </si>
  <si>
    <t>300:58082</t>
  </si>
  <si>
    <t>300:21884</t>
  </si>
  <si>
    <t>204:937</t>
  </si>
  <si>
    <t>300:25465</t>
  </si>
  <si>
    <t>300:22859</t>
  </si>
  <si>
    <t>204:922</t>
  </si>
  <si>
    <t>300:28788</t>
  </si>
  <si>
    <t>300:58608</t>
  </si>
  <si>
    <t>300:21288</t>
  </si>
  <si>
    <t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t>
  </si>
  <si>
    <t>aws s3 cp s3://rtdc.mdm.uploadarchive.raw/RTDC4012/ "%USERPROFILE%\AppData\Local\Temp\OnboardLogs"\RTDC4012\2016-10-24 --exclude "*" --recursive --include "*20161024*" &amp; "%USERPROFILE%\Documents\GitHub\mrs-test-scripts\Headless Mode &amp; Sideloading\WalkAndUnGZ.bat" "%USERPROFILE%\AppData\Local\Temp\OnboardLogs"\RTDC4012\2016-10-24 &amp; aws s3 cp s3://rtdc.mdm.uploadarchive.raw/RTDC4012/ "%USERPROFILE%\AppData\Local\Temp\OnboardLogs"\RTDC4012\2016-10-25 --exclude "*" --recursive --include "*20161025*" &amp; "%USERPROFILE%\Documents\GitHub\mrs-test-scripts\Headless Mode &amp; Sideloading\WalkAndUnGZ.bat" "%USERPROFILE%\AppData\Local\Temp\OnboardLogs"\RTDC4012\2016-10-25</t>
  </si>
  <si>
    <t>aws s3 cp s3://rtdc.mdm.uploadarchive.raw/RTDC4002/ "%USERPROFILE%\AppData\Local\Temp\OnboardLogs"\RTDC4002\2016-10-24 --exclude "*" --recursive --include "*20161024*" &amp; "%USERPROFILE%\Documents\GitHub\mrs-test-scripts\Headless Mode &amp; Sideloading\WalkAndUnGZ.bat" "%USERPROFILE%\AppData\Local\Temp\OnboardLogs"\RTDC4002\2016-10-24 &amp; 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</t>
  </si>
  <si>
    <t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t>
  </si>
  <si>
    <t>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 &amp; 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</t>
  </si>
  <si>
    <t>aws s3 cp s3://rtdc.mdm.uploadarchive.raw/RTDC4011/ "%USERPROFILE%\AppData\Local\Temp\OnboardLogs"\RTDC4011\2016-10-24 --exclude "*" --recursive --include "*20161024*" &amp; "%USERPROFILE%\Documents\GitHub\mrs-test-scripts\Headless Mode &amp; Sideloading\WalkAndUnGZ.bat" "%USERPROFILE%\AppData\Local\Temp\OnboardLogs"\RTDC4011\2016-10-24 &amp; 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</t>
  </si>
  <si>
    <t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t>
  </si>
  <si>
    <t>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 &amp; aws s3 cp s3://rtdc.mdm.uploadarchive.raw/RTDC4018/ "%USERPROFILE%\AppData\Local\Temp\OnboardLogs"\RTDC4018\2016-10-25 --exclude "*" --recursive --include "*20161025*" &amp; "%USERPROFILE%\Documents\GitHub\mrs-test-scripts\Headless Mode &amp; Sideloading\WalkAndUnGZ.bat" "%USERPROFILE%\AppData\Local\Temp\OnboardLogs"\RTDC4018\2016-10-25</t>
  </si>
  <si>
    <t>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 &amp; 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</t>
  </si>
  <si>
    <t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t>
  </si>
  <si>
    <t>At 11:49:25, Sable 2N dropped from PROCEED CAB to STOP, seems like this was undesired/unexpected. Anything look wrong during this timeframe?</t>
  </si>
  <si>
    <t>Slice fights for primary at 2016-10-24 09:40:53 and at 2016-10-24 09:42:52</t>
  </si>
  <si>
    <t>101-24</t>
  </si>
  <si>
    <t>Did not init</t>
  </si>
  <si>
    <t>40th 4S STOP, cleared afterward</t>
  </si>
  <si>
    <t>False occupancy - Sable 2N stuck at STOP</t>
  </si>
  <si>
    <t>http://stevetu21.github.io/eaglep3/load_kml.html?kml=http://rtdc.gmaps-snips.s3.amazonaws.com/211145b0-20a7-4985-b424-12d839ccce8c.kml</t>
  </si>
  <si>
    <t>Pena 4S STOP, cleared afterward</t>
  </si>
  <si>
    <t>Wheel tach / GPS disagreement under I-25 bridge</t>
  </si>
  <si>
    <t>See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</si>
</sst>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211145b0-20a7-4985-b424-12d839ccce8c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6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69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2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42667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42667</v>
      </c>
      <c r="S2" s="72"/>
      <c r="T2" s="73"/>
      <c r="U2" s="173"/>
      <c r="V2" s="94" t="s">
        <v>8</v>
      </c>
      <c r="W2" s="75"/>
      <c r="X2" s="166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4"/>
      <c r="V3" s="42" t="s">
        <v>11</v>
      </c>
      <c r="W3" s="43" t="s">
        <v>12</v>
      </c>
      <c r="X3" s="167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5"/>
      <c r="V4" s="45" t="s">
        <v>15</v>
      </c>
      <c r="W4" s="43" t="s">
        <v>15</v>
      </c>
      <c r="X4" s="167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COUNTIFS($N$13:$N$9409,"&gt;0",$AG$13:$AG$9409,I1)</f>
        <v>142</v>
      </c>
      <c r="K5" s="44"/>
      <c r="L5" s="44"/>
      <c r="M5" s="45">
        <f>AVERAGEIFS($N$13:$N$9409,$AG$13:$AG$9409,I1)</f>
        <v>39.017723004479606</v>
      </c>
      <c r="N5" s="43">
        <f t="array" ref="N5">MIN(IF($AG$13:$AG$9409=I1,IF(ISNUMBER($N$13:$N$9409),IF($N$13:$N$9409&gt;0,$N$13:$N$9409))))</f>
        <v>33.916666663717479</v>
      </c>
      <c r="O5" s="3">
        <f t="array" ref="O5">MAX(IF($AG$13:$AG$9409=I1,IF(ISNUMBER($N$13:$N$9409),IF($N$13:$N$9409&gt;0,$N$13:$N$9409))))</f>
        <v>52.166666665580124</v>
      </c>
      <c r="P5" s="2"/>
      <c r="R5" s="80" t="s">
        <v>17</v>
      </c>
      <c r="S5" s="55">
        <f>COUNTIFS($N$13:$N$9409,"&gt;0",$AG$13:$AG$9409,R1)</f>
        <v>46</v>
      </c>
      <c r="T5" s="44"/>
      <c r="U5" s="175"/>
      <c r="V5" s="45">
        <f>AVERAGEIFS($N$13:$N$9409,$AG$13:$AG$9409,R1)</f>
        <v>15.530797101547131</v>
      </c>
      <c r="W5" s="43">
        <f t="array" ref="W5">MIN(IF($AG$13:$AG$9409=R1,IF(ISNUMBER($N$13:$N$9409),IF($N$13:$N$9409&gt;0,$N$13:$N$9409))))</f>
        <v>13.383333329111338</v>
      </c>
      <c r="X5" s="167">
        <f t="array" ref="X5">MAX(IF($AG$13:$AG$9409=R1,IF(ISNUMBER($N$13:$N$9409),IF($N$13:$N$9409&gt;0,$N$13:$N$9409))))</f>
        <v>20.68333332776092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COUNT($O$13:$O$180)</f>
        <v>0</v>
      </c>
      <c r="K6" s="44"/>
      <c r="L6" s="44"/>
      <c r="M6" s="45">
        <f>IFERROR(AVERAGE($O$13:$O$180),0)</f>
        <v>0</v>
      </c>
      <c r="N6" s="43">
        <f>MIN($O$13:$O$180)</f>
        <v>0</v>
      </c>
      <c r="O6" s="3">
        <f>MAX($O$13:$O$180)</f>
        <v>0</v>
      </c>
      <c r="P6" s="2"/>
      <c r="R6" s="81" t="s">
        <v>43</v>
      </c>
      <c r="S6" s="55">
        <f>COUNT($O$13:$O$180)</f>
        <v>0</v>
      </c>
      <c r="T6" s="44"/>
      <c r="U6" s="175"/>
      <c r="V6" s="45">
        <f>IFERROR(AVERAGE($O$13:$O$180),0)</f>
        <v>0</v>
      </c>
      <c r="W6" s="43">
        <f>MIN($O$13:$O$180)</f>
        <v>0</v>
      </c>
      <c r="X6" s="167">
        <f>MAX($O$13:$O$180)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COUNTIFS($P$13:$P$9409,"&gt;0",$AG$13:$AG$9409,I1)</f>
        <v>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COUNTIFS($P$13:$P$9409,"&gt;0",$AG$13:$AG$9409,R1)</f>
        <v>1</v>
      </c>
      <c r="T7" s="44"/>
      <c r="U7" s="175"/>
      <c r="V7" s="45" t="s">
        <v>15</v>
      </c>
      <c r="W7" s="43" t="s">
        <v>15</v>
      </c>
      <c r="X7" s="167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142</v>
      </c>
      <c r="K8" s="44"/>
      <c r="L8" s="44"/>
      <c r="M8" s="45">
        <f>M5</f>
        <v>39.017723004479606</v>
      </c>
      <c r="N8" s="43">
        <f>N5</f>
        <v>33.916666663717479</v>
      </c>
      <c r="O8" s="3">
        <f>O5</f>
        <v>52.166666665580124</v>
      </c>
      <c r="P8" s="2"/>
      <c r="R8" s="80" t="s">
        <v>16</v>
      </c>
      <c r="S8" s="55">
        <f>S5</f>
        <v>46</v>
      </c>
      <c r="T8" s="44"/>
      <c r="U8" s="175"/>
      <c r="V8" s="45">
        <f>V5</f>
        <v>15.530797101547131</v>
      </c>
      <c r="W8" s="43">
        <f>W5</f>
        <v>13.383333329111338</v>
      </c>
      <c r="X8" s="167">
        <f>X5</f>
        <v>20.68333332776092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0.98611111111111116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0.97872340425531912</v>
      </c>
      <c r="T9" s="46"/>
      <c r="U9" s="172"/>
      <c r="V9" s="83"/>
      <c r="W9" s="41"/>
      <c r="X9" s="168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69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- 2016-10-24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AVERAGE(S13:S114)</f>
        <v>0.98927392739273923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6" t="s">
        <v>65</v>
      </c>
      <c r="V12" s="97" t="s">
        <v>45</v>
      </c>
      <c r="W12" s="51" t="s">
        <v>23</v>
      </c>
      <c r="X12" s="170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807</v>
      </c>
      <c r="B13" s="7"/>
      <c r="C13" s="22" t="s">
        <v>99</v>
      </c>
      <c r="D13" s="22" t="s">
        <v>611</v>
      </c>
      <c r="E13" s="13">
        <v>42667.170740740738</v>
      </c>
      <c r="F13" s="13"/>
      <c r="G13" s="7">
        <v>1</v>
      </c>
      <c r="H13" s="13" t="s">
        <v>263</v>
      </c>
      <c r="I13" s="13"/>
      <c r="J13" s="7">
        <v>1</v>
      </c>
      <c r="K13" s="112" t="str">
        <f t="shared" ref="K13:K76" si="0">IF(ISEVEN(B13),(B13-1)&amp;"/"&amp;B13,B13&amp;"/"&amp;(B13+1))</f>
        <v>-1/</v>
      </c>
      <c r="L13" s="22" t="e">
        <f>VLOOKUP(A13,'Trips&amp;Operators'!$C$1:$E$10000,3,FALSE)</f>
        <v>#N/A</v>
      </c>
      <c r="M13" s="6">
        <f t="shared" ref="M13:M76" si="1">I13-F13</f>
        <v>0</v>
      </c>
      <c r="N13" s="7"/>
      <c r="O13" s="7"/>
      <c r="P13" s="7">
        <v>1</v>
      </c>
      <c r="Q13" s="23"/>
      <c r="R13" s="23" t="s">
        <v>808</v>
      </c>
      <c r="S13" s="35">
        <f t="shared" ref="S13:S44" si="2">SUM(U13:U13)/IF(AG13="EC",12,1)</f>
        <v>0</v>
      </c>
      <c r="T13" s="50" t="str">
        <f t="shared" ref="T13:T76" si="3">IF(ISEVEN(LEFT(AD13,4)),"Southbound","NorthBound")</f>
        <v>NorthBound</v>
      </c>
      <c r="U13" s="1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98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https://search-rtdc-monitor-bjffxe2xuh6vdkpspy63sjmuny.us-east-1.es.amazonaws.com/_plugin/kibana/#/discover/Steve-Slow-Train-Analysis-(2080s-and-2083s)?_g=(refreshInterval:(display:Off,section:0,value:0),time:(from:'2016-10-24 03:05:52-0600',mode:absolute,to:'1900-01-00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3" s="52" t="str">
        <f>IF(AA13&lt;IF(AG13="EC",23,5.65),"Y","N")</f>
        <v>N</v>
      </c>
      <c r="X13" s="171" t="e">
        <f>VALUE(LEFT(AD13,4))-VALUE(LEFT(AD12,4))</f>
        <v>#VALUE!</v>
      </c>
      <c r="Y13" s="67">
        <f t="shared" ref="Y13:Y44" si="5">RIGHT(D13,LEN(D13)-4)/10000</f>
        <v>23.263300000000001</v>
      </c>
      <c r="Z13" s="67">
        <f t="shared" ref="Z13:Z44" si="6">RIGHT(H13,LEN(H13)-4)/10000</f>
        <v>1.3899999999999999E-2</v>
      </c>
      <c r="AA13" s="67">
        <f t="shared" ref="AA13:AA76" si="7">ABS(Z13-Y13)</f>
        <v>23.249400000000001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8">IF(LEN(A13)=6,"0"&amp;A13,A13)</f>
        <v>0101-24</v>
      </c>
      <c r="AE13" s="91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3" s="88" t="str">
        <f t="shared" ref="AF13:AF76" si="10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3" s="1" t="str">
        <f t="shared" ref="AG13:AG76" si="11">IFERROR(IF(VALUE(LEFT(AD13,2))&lt;=2,"EC",IF(OR(VALUE(LEFT(AD13,2))=8,VALUE(LEFT(AD13,2))=18),"NW","Other")),"Other")</f>
        <v>EC</v>
      </c>
      <c r="AH13" s="92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 --swversion DE.1.0.7.0 --startMP 204:232633 --initTime 2016-10-24T04:05:52 --startdatetime 1900-01-00T00:00:00 --delay 1 --endMP 204:139 --enddatetime 1900-01-00T00:00:00 --enforcementcount 1 &gt;&gt;C:\Users\stu\Documents\GitHub\eaglep3-reporting\EC\2016-10-24-refined-times.txt</v>
      </c>
      <c r="AI13" s="122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init","project_id":79,"tracker_id":40,"status_id":1,"priority_id":2,"assigned_to_id":23,"start_date":"1900-01-00","description":"","custom_fields":[{"id":1,"name":"Subdivision","value":"EC"},{"id":4,"name":"Milepost","value":"0.0139"},{"id":17,"name":"Train ID","value":"101-24"},{"id":16,"name":"Locomotive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388</v>
      </c>
      <c r="B14" s="7">
        <v>4037</v>
      </c>
      <c r="C14" s="22" t="s">
        <v>99</v>
      </c>
      <c r="D14" s="22" t="s">
        <v>611</v>
      </c>
      <c r="E14" s="13">
        <v>42667.170740740738</v>
      </c>
      <c r="F14" s="13">
        <v>42667.174525462964</v>
      </c>
      <c r="G14" s="7">
        <v>1</v>
      </c>
      <c r="H14" s="13" t="s">
        <v>263</v>
      </c>
      <c r="I14" s="13">
        <v>42667.202222222222</v>
      </c>
      <c r="J14" s="7">
        <v>1</v>
      </c>
      <c r="K14" s="112" t="str">
        <f t="shared" si="0"/>
        <v>4037/4038</v>
      </c>
      <c r="L14" s="22" t="str">
        <f>VLOOKUP(A14,'Trips&amp;Operators'!$C$1:$E$10000,3,FALSE)</f>
        <v>KILLION</v>
      </c>
      <c r="M14" s="6">
        <f t="shared" si="1"/>
        <v>2.7696759258105885E-2</v>
      </c>
      <c r="N14" s="7">
        <f t="shared" ref="N14:N45" si="14">24*60*SUM($M14:$M14)</f>
        <v>39.883333331672475</v>
      </c>
      <c r="O14" s="7"/>
      <c r="P14" s="7"/>
      <c r="Q14" s="23"/>
      <c r="R14" s="23"/>
      <c r="S14" s="35">
        <f t="shared" si="2"/>
        <v>1</v>
      </c>
      <c r="T14" s="50" t="str">
        <f t="shared" si="3"/>
        <v>Southbound</v>
      </c>
      <c r="U14" s="1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03:05:52-0600',mode:absolute,to:'2016-10-24 05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" s="52" t="str">
        <f t="shared" ref="W14:W20" si="15">IF(AA14&lt;IF(AG14="EC",23,5.65),"Y","N")</f>
        <v>N</v>
      </c>
      <c r="X14" s="171">
        <f t="shared" ref="X14:X20" si="16">VALUE(LEFT(AD14,4))-VALUE(LEFT(AD13,4))</f>
        <v>1</v>
      </c>
      <c r="Y14" s="67">
        <f t="shared" si="5"/>
        <v>23.263300000000001</v>
      </c>
      <c r="Z14" s="67">
        <f t="shared" si="6"/>
        <v>1.3899999999999999E-2</v>
      </c>
      <c r="AA14" s="67">
        <f t="shared" si="7"/>
        <v>23.249400000000001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8"/>
        <v>0102-24</v>
      </c>
      <c r="AE14" s="91" t="str">
        <f t="shared" si="9"/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AF14" s="88" t="str">
        <f t="shared" si="10"/>
        <v>"C:\Program Files (x86)\AstroGrep\AstroGrep.exe" /spath="%USERPROFILE%\AppData\Local\Temp\OnboardLogs" /stypes="app*4037*20161024*" /stext=" 10:.+((SYSTEM_STATE.+slice.+state.+changed )|(ment ac)|(system.+state.+changed )|(\[timeout)|(PRM\|1\|D)|(kpr)|(kdp)|(\|lc)|(penalty))" /e /r /s</v>
      </c>
      <c r="AG14" s="1" t="str">
        <f t="shared" si="11"/>
        <v>EC</v>
      </c>
      <c r="AH14" s="92" t="str">
        <f t="shared" ref="AH14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4037 --swversion DE.1.0.7.0 --startMP 204:232633 --initTime 2016-10-24T04:05:52 --startdatetime 2016-10-24T04:11:19 --delay 1 --endMP 204:139 --enddatetime 2016-10-24T04:51:12 --enforcementcount 1 &gt;&gt;C:\Users\stu\Documents\GitHub\eaglep3-reporting\EC\2016-10-24-refined-times.txt</v>
      </c>
      <c r="AI14" s="122" t="str">
        <f t="shared" ref="AI14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{"issue":{"subject":"","project_id":79,"tracker_id":40,"status_id":1,"priority_id":2,"assigned_to_id":23,"start_date":"2016-10-24","description":"","custom_fields":[{"id":1,"name":"Subdivision","value":"EC"},{"id":4,"name":"Milepost","value":"0.0139"},{"id":17,"name":"Train ID","value":"102-24"},{"id":16,"name":"Locomotive ID","value":"4037"},{"id":130,"name":"Impact","value":""},{"id":150,"name":"Time of Event (Mountain Time)","value":"04:51:12"},{"id":151,"name":"Denver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</row>
    <row r="15" spans="1:91" s="1" customFormat="1" x14ac:dyDescent="0.25">
      <c r="A15" s="37" t="s">
        <v>387</v>
      </c>
      <c r="B15" s="7">
        <v>4002</v>
      </c>
      <c r="C15" s="22" t="s">
        <v>99</v>
      </c>
      <c r="D15" s="22" t="s">
        <v>612</v>
      </c>
      <c r="E15" s="13">
        <v>42667.153287037036</v>
      </c>
      <c r="F15" s="13">
        <v>42667.156493055554</v>
      </c>
      <c r="G15" s="7">
        <v>1</v>
      </c>
      <c r="H15" s="13" t="s">
        <v>613</v>
      </c>
      <c r="I15" s="13">
        <v>42667.182037037041</v>
      </c>
      <c r="J15" s="7">
        <v>1</v>
      </c>
      <c r="K15" s="112" t="str">
        <f t="shared" si="0"/>
        <v>4001/4002</v>
      </c>
      <c r="L15" s="22" t="str">
        <f>VLOOKUP(A15,'Trips&amp;Operators'!$C$1:$E$10000,3,FALSE)</f>
        <v>ACKERMAN</v>
      </c>
      <c r="M15" s="6">
        <f t="shared" si="1"/>
        <v>2.5543981486407574E-2</v>
      </c>
      <c r="N15" s="7">
        <f t="shared" si="14"/>
        <v>36.783333340426907</v>
      </c>
      <c r="O15" s="7"/>
      <c r="P15" s="7"/>
      <c r="Q15" s="23"/>
      <c r="R15" s="23"/>
      <c r="S15" s="35">
        <f t="shared" si="2"/>
        <v>1</v>
      </c>
      <c r="T15" s="50" t="str">
        <f t="shared" si="3"/>
        <v>NorthBound</v>
      </c>
      <c r="U15" s="1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02:40:44-0600',mode:absolute,to:'2016-10-24 05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" s="52" t="str">
        <f t="shared" si="15"/>
        <v>N</v>
      </c>
      <c r="X15" s="171">
        <f t="shared" si="16"/>
        <v>1</v>
      </c>
      <c r="Y15" s="67">
        <f t="shared" si="5"/>
        <v>6.7000000000000004E-2</v>
      </c>
      <c r="Z15" s="67">
        <f t="shared" si="6"/>
        <v>23.339099999999998</v>
      </c>
      <c r="AA15" s="67">
        <f t="shared" si="7"/>
        <v>23.272099999999998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8"/>
        <v>0103-24</v>
      </c>
      <c r="AE15" s="91" t="str">
        <f t="shared" si="9"/>
        <v>aws s3 cp s3://rtdc.mdm.uploadarchive.raw/RTDC4002/ "%USERPROFILE%\AppData\Local\Temp\OnboardLogs"\RTDC4002\2016-10-24 --exclude "*" --recursive --include "*20161024*" &amp; "%USERPROFILE%\Documents\GitHub\mrs-test-scripts\Headless Mode &amp; Sideloading\WalkAndUnGZ.bat" "%USERPROFILE%\AppData\Local\Temp\OnboardLogs"\RTDC4002\2016-10-24 &amp; 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</v>
      </c>
      <c r="AF15" s="88" t="str">
        <f t="shared" si="10"/>
        <v>"C:\Program Files (x86)\AstroGrep\AstroGrep.exe" /spath="%USERPROFILE%\AppData\Local\Temp\OnboardLogs" /stypes="app*4002*20161024*" /stext=" 10:.+((SYSTEM_STATE.+slice.+state.+changed )|(ment ac)|(system.+state.+changed )|(\[timeout)|(PRM\|1\|D)|(kpr)|(kdp)|(\|lc)|(penalty))" /e /r /s</v>
      </c>
      <c r="AG15" s="1" t="str">
        <f t="shared" si="11"/>
        <v>EC</v>
      </c>
      <c r="AH15" s="92" t="str">
        <f t="shared" ref="AH15:AH78" si="19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103-24 --locoid 4002 --swversion DE.1.0.7.0 --startMP 204:670 --initTime 2016-10-24T03:40:44 --startdatetime 2016-10-24T03:45:21 --delay 1 --endMP 204:233391 --enddatetime 2016-10-24T04:22:08 --enforcementcount 1 &gt;&gt;C:\Users\stu\Documents\GitHub\eaglep3-reporting\EC\2016-10-24-refined-times.txt</v>
      </c>
      <c r="AI15" s="122" t="str">
        <f t="shared" ref="AI15:AI78" si="20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{"issue":{"subject":"","project_id":79,"tracker_id":40,"status_id":1,"priority_id":2,"assigned_to_id":23,"start_date":"2016-10-24","description":"","custom_fields":[{"id":1,"name":"Subdivision","value":"EC"},{"id":4,"name":"Milepost","value":"23.3391"},{"id":17,"name":"Train ID","value":"103-24"},{"id":16,"name":"Locomotive ID","value":"4002"},{"id":130,"name":"Impact","value":""},{"id":150,"name":"Time of Event (Mountain Time)","value":"04:22:08"},{"id":151,"name":"Denver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439</v>
      </c>
      <c r="B16" s="7">
        <v>4012</v>
      </c>
      <c r="C16" s="22" t="s">
        <v>99</v>
      </c>
      <c r="D16" s="22" t="s">
        <v>614</v>
      </c>
      <c r="E16" s="13">
        <v>42667.189745370371</v>
      </c>
      <c r="F16" s="13">
        <v>42667.1953587963</v>
      </c>
      <c r="G16" s="7">
        <v>2</v>
      </c>
      <c r="H16" s="13" t="s">
        <v>218</v>
      </c>
      <c r="I16" s="13">
        <v>42667.224803240744</v>
      </c>
      <c r="J16" s="7">
        <v>1</v>
      </c>
      <c r="K16" s="112" t="str">
        <f t="shared" si="0"/>
        <v>4011/4012</v>
      </c>
      <c r="L16" s="22" t="str">
        <f>VLOOKUP(A16,'Trips&amp;Operators'!$C$1:$E$10000,3,FALSE)</f>
        <v>ACKERMAN</v>
      </c>
      <c r="M16" s="6">
        <f t="shared" si="1"/>
        <v>2.9444444444379769E-2</v>
      </c>
      <c r="N16" s="7">
        <f t="shared" si="14"/>
        <v>42.399999999906868</v>
      </c>
      <c r="O16" s="7"/>
      <c r="P16" s="7"/>
      <c r="Q16" s="23"/>
      <c r="R16" s="23"/>
      <c r="S16" s="35">
        <f t="shared" si="2"/>
        <v>1</v>
      </c>
      <c r="T16" s="50" t="str">
        <f t="shared" si="3"/>
        <v>Southbound</v>
      </c>
      <c r="U16" s="1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03:33:14-0600',mode:absolute,to:'2016-10-24 06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" s="52" t="str">
        <f t="shared" si="15"/>
        <v>N</v>
      </c>
      <c r="X16" s="171">
        <f t="shared" si="16"/>
        <v>1</v>
      </c>
      <c r="Y16" s="67">
        <f t="shared" si="5"/>
        <v>23.275600000000001</v>
      </c>
      <c r="Z16" s="67">
        <f t="shared" si="6"/>
        <v>1.54E-2</v>
      </c>
      <c r="AA16" s="67">
        <f t="shared" si="7"/>
        <v>23.260200000000001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8"/>
        <v>0104-24</v>
      </c>
      <c r="AE16" s="91" t="str">
        <f t="shared" si="9"/>
        <v>aws s3 cp s3://rtdc.mdm.uploadarchive.raw/RTDC4012/ "%USERPROFILE%\AppData\Local\Temp\OnboardLogs"\RTDC4012\2016-10-24 --exclude "*" --recursive --include "*20161024*" &amp; "%USERPROFILE%\Documents\GitHub\mrs-test-scripts\Headless Mode &amp; Sideloading\WalkAndUnGZ.bat" "%USERPROFILE%\AppData\Local\Temp\OnboardLogs"\RTDC4012\2016-10-24 &amp; aws s3 cp s3://rtdc.mdm.uploadarchive.raw/RTDC4012/ "%USERPROFILE%\AppData\Local\Temp\OnboardLogs"\RTDC4012\2016-10-25 --exclude "*" --recursive --include "*20161025*" &amp; "%USERPROFILE%\Documents\GitHub\mrs-test-scripts\Headless Mode &amp; Sideloading\WalkAndUnGZ.bat" "%USERPROFILE%\AppData\Local\Temp\OnboardLogs"\RTDC4012\2016-10-25</v>
      </c>
      <c r="AF16" s="88" t="str">
        <f t="shared" si="10"/>
        <v>"C:\Program Files (x86)\AstroGrep\AstroGrep.exe" /spath="%USERPROFILE%\AppData\Local\Temp\OnboardLogs" /stypes="app*4012*20161024*" /stext=" 11:.+((SYSTEM_STATE.+slice.+state.+changed )|(ment ac)|(system.+state.+changed )|(\[timeout)|(PRM\|1\|D)|(kpr)|(kdp)|(\|lc)|(penalty))" /e /r /s</v>
      </c>
      <c r="AG16" s="1" t="str">
        <f t="shared" si="11"/>
        <v>EC</v>
      </c>
      <c r="AH16" s="92" t="str">
        <f t="shared" si="19"/>
        <v>"%USERPROFILE%\Documents\GitHub\eaglep3\Utilities\RefineRTDCRunTimes.py" --tripid 104-24 --locoid 4012 --swversion DE.1.0.7.0 --startMP 204:232756 --initTime 2016-10-24T04:33:14 --startdatetime 2016-10-24T04:41:19 --delay 2 --endMP 204:154 --enddatetime 2016-10-24T05:23:43 --enforcementcount 1 &gt;&gt;C:\Users\stu\Documents\GitHub\eaglep3-reporting\EC\2016-10-24-refined-times.txt</v>
      </c>
      <c r="AI16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{"issue":{"subject":"","project_id":79,"tracker_id":40,"status_id":1,"priority_id":2,"assigned_to_id":23,"start_date":"2016-10-24","description":"","custom_fields":[{"id":1,"name":"Subdivision","value":"EC"},{"id":4,"name":"Milepost","value":"0.0154"},{"id":17,"name":"Train ID","value":"104-24"},{"id":16,"name":"Locomotive ID","value":"4012"},{"id":130,"name":"Impact","value":""},{"id":150,"name":"Time of Event (Mountain Time)","value":"05:23:43"},{"id":151,"name":"Denver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436</v>
      </c>
      <c r="B17" s="7">
        <v>4014</v>
      </c>
      <c r="C17" s="22" t="s">
        <v>99</v>
      </c>
      <c r="D17" s="22" t="s">
        <v>615</v>
      </c>
      <c r="E17" s="13">
        <v>42667.17597222222</v>
      </c>
      <c r="F17" s="13">
        <v>42667.177430555559</v>
      </c>
      <c r="G17" s="7">
        <v>1</v>
      </c>
      <c r="H17" s="13" t="s">
        <v>326</v>
      </c>
      <c r="I17" s="13">
        <v>42667.204236111109</v>
      </c>
      <c r="J17" s="7">
        <v>1</v>
      </c>
      <c r="K17" s="112" t="str">
        <f t="shared" si="0"/>
        <v>4013/4014</v>
      </c>
      <c r="L17" s="22" t="str">
        <f>VLOOKUP(A17,'Trips&amp;Operators'!$C$1:$E$10000,3,FALSE)</f>
        <v>BRANNON</v>
      </c>
      <c r="M17" s="6">
        <f t="shared" si="1"/>
        <v>2.6805555549799465E-2</v>
      </c>
      <c r="N17" s="7">
        <f t="shared" si="14"/>
        <v>38.599999991711229</v>
      </c>
      <c r="O17" s="7"/>
      <c r="P17" s="7"/>
      <c r="Q17" s="23"/>
      <c r="R17" s="23"/>
      <c r="S17" s="35">
        <f t="shared" si="2"/>
        <v>1</v>
      </c>
      <c r="T17" s="50" t="str">
        <f t="shared" si="3"/>
        <v>NorthBound</v>
      </c>
      <c r="U17" s="1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03:13:24-0600',mode:absolute,to:'2016-10-24 05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" s="52" t="str">
        <f t="shared" si="15"/>
        <v>N</v>
      </c>
      <c r="X17" s="171">
        <f t="shared" si="16"/>
        <v>1</v>
      </c>
      <c r="Y17" s="67">
        <f t="shared" si="5"/>
        <v>7.85E-2</v>
      </c>
      <c r="Z17" s="67">
        <f t="shared" si="6"/>
        <v>23.3307</v>
      </c>
      <c r="AA17" s="67">
        <f t="shared" si="7"/>
        <v>23.252200000000002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8"/>
        <v>0105-24</v>
      </c>
      <c r="AE17" s="91" t="str">
        <f t="shared" si="9"/>
        <v>aws s3 cp s3://rtdc.mdm.uploadarchive.raw/RTDC4014/ "%USERPROFILE%\AppData\Local\Temp\OnboardLogs"\RTDC4014\2016-10-24 --exclude "*" --recursive --include "*20161024*" &amp; "%USERPROFILE%\Documents\GitHub\mrs-test-scripts\Headless Mode &amp; Sideloading\WalkAndUnGZ.bat" "%USERPROFILE%\AppData\Local\Temp\OnboardLogs"\RTDC4014\2016-10-24 &amp; aws s3 cp s3://rtdc.mdm.uploadarchive.raw/RTDC4014/ "%USERPROFILE%\AppData\Local\Temp\OnboardLogs"\RTDC4014\2016-10-25 --exclude "*" --recursive --include "*20161025*" &amp; "%USERPROFILE%\Documents\GitHub\mrs-test-scripts\Headless Mode &amp; Sideloading\WalkAndUnGZ.bat" "%USERPROFILE%\AppData\Local\Temp\OnboardLogs"\RTDC4014\2016-10-25</v>
      </c>
      <c r="AF17" s="88" t="str">
        <f t="shared" si="10"/>
        <v>"C:\Program Files (x86)\AstroGrep\AstroGrep.exe" /spath="%USERPROFILE%\AppData\Local\Temp\OnboardLogs" /stypes="app*4014*20161024*" /stext=" 10:.+((SYSTEM_STATE.+slice.+state.+changed )|(ment ac)|(system.+state.+changed )|(\[timeout)|(PRM\|1\|D)|(kpr)|(kdp)|(\|lc)|(penalty))" /e /r /s</v>
      </c>
      <c r="AG17" s="1" t="str">
        <f t="shared" si="11"/>
        <v>EC</v>
      </c>
      <c r="AH17" s="92" t="str">
        <f t="shared" si="19"/>
        <v>"%USERPROFILE%\Documents\GitHub\eaglep3\Utilities\RefineRTDCRunTimes.py" --tripid 105-24 --locoid 4014 --swversion DE.1.0.7.0 --startMP 204:785 --initTime 2016-10-24T04:13:24 --startdatetime 2016-10-24T04:15:30 --delay 1 --endMP 204:233307 --enddatetime 2016-10-24T04:54:06 --enforcementcount 1 &gt;&gt;C:\Users\stu\Documents\GitHub\eaglep3-reporting\EC\2016-10-24-refined-times.txt</v>
      </c>
      <c r="AI17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{"issue":{"subject":"","project_id":79,"tracker_id":40,"status_id":1,"priority_id":2,"assigned_to_id":23,"start_date":"2016-10-24","description":"","custom_fields":[{"id":1,"name":"Subdivision","value":"EC"},{"id":4,"name":"Milepost","value":"23.3307"},{"id":17,"name":"Train ID","value":"105-24"},{"id":16,"name":"Locomotive ID","value":"4014"},{"id":130,"name":"Impact","value":""},{"id":150,"name":"Time of Event (Mountain Time)","value":"04:54:06"},{"id":151,"name":"Denver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443</v>
      </c>
      <c r="B18" s="7">
        <v>4054</v>
      </c>
      <c r="C18" s="22" t="s">
        <v>99</v>
      </c>
      <c r="D18" s="22" t="s">
        <v>616</v>
      </c>
      <c r="E18" s="13">
        <v>42667.206493055557</v>
      </c>
      <c r="F18" s="13">
        <v>42667.216180555559</v>
      </c>
      <c r="G18" s="7">
        <v>1</v>
      </c>
      <c r="H18" s="13" t="s">
        <v>272</v>
      </c>
      <c r="I18" s="13">
        <v>42667.243159722224</v>
      </c>
      <c r="J18" s="7">
        <v>1</v>
      </c>
      <c r="K18" s="112" t="str">
        <f t="shared" si="0"/>
        <v>4053/4054</v>
      </c>
      <c r="L18" s="22" t="str">
        <f>VLOOKUP(A18,'Trips&amp;Operators'!$C$1:$E$10000,3,FALSE)</f>
        <v>BRANNON</v>
      </c>
      <c r="M18" s="6">
        <f t="shared" si="1"/>
        <v>2.6979166665114462E-2</v>
      </c>
      <c r="N18" s="7">
        <f t="shared" si="14"/>
        <v>38.849999997764826</v>
      </c>
      <c r="O18" s="7"/>
      <c r="P18" s="7"/>
      <c r="Q18" s="23"/>
      <c r="R18" s="23"/>
      <c r="S18" s="35">
        <f t="shared" si="2"/>
        <v>1</v>
      </c>
      <c r="T18" s="50" t="str">
        <f t="shared" si="3"/>
        <v>Southbound</v>
      </c>
      <c r="U18" s="1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03:57:21-0600',mode:absolute,to:'2016-10-24 06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" s="52" t="str">
        <f t="shared" si="15"/>
        <v>N</v>
      </c>
      <c r="X18" s="171">
        <f t="shared" si="16"/>
        <v>1</v>
      </c>
      <c r="Y18" s="67">
        <f t="shared" si="5"/>
        <v>23.266400000000001</v>
      </c>
      <c r="Z18" s="67">
        <f t="shared" si="6"/>
        <v>1.38E-2</v>
      </c>
      <c r="AA18" s="67">
        <f t="shared" si="7"/>
        <v>23.252600000000001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8"/>
        <v>0106-24</v>
      </c>
      <c r="AE18" s="91" t="str">
        <f t="shared" si="9"/>
        <v>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 &amp; 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</v>
      </c>
      <c r="AF18" s="88" t="str">
        <f t="shared" si="10"/>
        <v>"C:\Program Files (x86)\AstroGrep\AstroGrep.exe" /spath="%USERPROFILE%\AppData\Local\Temp\OnboardLogs" /stypes="app*4054*20161024*" /stext=" 11:.+((SYSTEM_STATE.+slice.+state.+changed )|(ment ac)|(system.+state.+changed )|(\[timeout)|(PRM\|1\|D)|(kpr)|(kdp)|(\|lc)|(penalty))" /e /r /s</v>
      </c>
      <c r="AG18" s="1" t="str">
        <f t="shared" si="11"/>
        <v>EC</v>
      </c>
      <c r="AH18" s="92" t="str">
        <f t="shared" si="19"/>
        <v>"%USERPROFILE%\Documents\GitHub\eaglep3\Utilities\RefineRTDCRunTimes.py" --tripid 106-24 --locoid 4054 --swversion DE.1.0.7.0 --startMP 204:232664 --initTime 2016-10-24T04:57:21 --startdatetime 2016-10-24T05:11:18 --delay 1 --endMP 204:138 --enddatetime 2016-10-24T05:50:09 --enforcementcount 1 &gt;&gt;C:\Users\stu\Documents\GitHub\eaglep3-reporting\EC\2016-10-24-refined-times.txt</v>
      </c>
      <c r="AI18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{"issue":{"subject":"","project_id":79,"tracker_id":40,"status_id":1,"priority_id":2,"assigned_to_id":23,"start_date":"2016-10-24","description":"","custom_fields":[{"id":1,"name":"Subdivision","value":"EC"},{"id":4,"name":"Milepost","value":"0.0138"},{"id":17,"name":"Train ID","value":"106-24"},{"id":16,"name":"Locomotive ID","value":"4054"},{"id":130,"name":"Impact","value":""},{"id":150,"name":"Time of Event (Mountain Time)","value":"05:50:09"},{"id":151,"name":"Denver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438</v>
      </c>
      <c r="B19" s="7">
        <v>4016</v>
      </c>
      <c r="C19" s="22" t="s">
        <v>99</v>
      </c>
      <c r="D19" s="22" t="s">
        <v>292</v>
      </c>
      <c r="E19" s="13">
        <v>42667.182060185187</v>
      </c>
      <c r="F19" s="13">
        <v>42667.187777777777</v>
      </c>
      <c r="G19" s="7">
        <v>1</v>
      </c>
      <c r="H19" s="13" t="s">
        <v>617</v>
      </c>
      <c r="I19" s="13">
        <v>42667.214050925926</v>
      </c>
      <c r="J19" s="7">
        <v>1</v>
      </c>
      <c r="K19" s="112" t="str">
        <f t="shared" si="0"/>
        <v>4015/4016</v>
      </c>
      <c r="L19" s="22" t="str">
        <f>VLOOKUP(A19,'Trips&amp;Operators'!$C$1:$E$10000,3,FALSE)</f>
        <v>SPECTOR</v>
      </c>
      <c r="M19" s="6">
        <f t="shared" si="1"/>
        <v>2.6273148148902692E-2</v>
      </c>
      <c r="N19" s="7">
        <f t="shared" si="14"/>
        <v>37.833333334419876</v>
      </c>
      <c r="O19" s="7"/>
      <c r="P19" s="7"/>
      <c r="Q19" s="23"/>
      <c r="R19" s="23"/>
      <c r="S19" s="35">
        <f t="shared" si="2"/>
        <v>1</v>
      </c>
      <c r="T19" s="50" t="str">
        <f t="shared" si="3"/>
        <v>NorthBound</v>
      </c>
      <c r="U19" s="1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03:22:10-0600',mode:absolute,to:'2016-10-24 06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" s="52" t="str">
        <f t="shared" si="15"/>
        <v>N</v>
      </c>
      <c r="X19" s="171">
        <f t="shared" si="16"/>
        <v>1</v>
      </c>
      <c r="Y19" s="67">
        <f t="shared" si="5"/>
        <v>4.6199999999999998E-2</v>
      </c>
      <c r="Z19" s="67">
        <f t="shared" si="6"/>
        <v>23.331900000000001</v>
      </c>
      <c r="AA19" s="67">
        <f t="shared" si="7"/>
        <v>23.285700000000002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8"/>
        <v>0107-24</v>
      </c>
      <c r="AE19" s="91" t="str">
        <f t="shared" si="9"/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AF19" s="88" t="str">
        <f t="shared" si="10"/>
        <v>"C:\Program Files (x86)\AstroGrep\AstroGrep.exe" /spath="%USERPROFILE%\AppData\Local\Temp\OnboardLogs" /stypes="app*4016*20161024*" /stext=" 11:.+((SYSTEM_STATE.+slice.+state.+changed )|(ment ac)|(system.+state.+changed )|(\[timeout)|(PRM\|1\|D)|(kpr)|(kdp)|(\|lc)|(penalty))" /e /r /s</v>
      </c>
      <c r="AG19" s="1" t="str">
        <f t="shared" si="11"/>
        <v>EC</v>
      </c>
      <c r="AH19" s="92" t="str">
        <f t="shared" si="19"/>
        <v>"%USERPROFILE%\Documents\GitHub\eaglep3\Utilities\RefineRTDCRunTimes.py" --tripid 107-24 --locoid 4016 --swversion DE.1.0.7.0 --startMP 204:462 --initTime 2016-10-24T04:22:10 --startdatetime 2016-10-24T04:30:24 --delay 1 --endMP 204:233319 --enddatetime 2016-10-24T05:08:14 --enforcementcount 1 &gt;&gt;C:\Users\stu\Documents\GitHub\eaglep3-reporting\EC\2016-10-24-refined-times.txt</v>
      </c>
      <c r="AI19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{"issue":{"subject":"","project_id":79,"tracker_id":40,"status_id":1,"priority_id":2,"assigned_to_id":23,"start_date":"2016-10-24","description":"","custom_fields":[{"id":1,"name":"Subdivision","value":"EC"},{"id":4,"name":"Milepost","value":"23.3319"},{"id":17,"name":"Train ID","value":"107-24"},{"id":16,"name":"Locomotive ID","value":"4016"},{"id":130,"name":"Impact","value":""},{"id":150,"name":"Time of Event (Mountain Time)","value":"05:08:14"},{"id":151,"name":"Denver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444</v>
      </c>
      <c r="B20" s="7">
        <v>4015</v>
      </c>
      <c r="C20" s="22" t="s">
        <v>99</v>
      </c>
      <c r="D20" s="22" t="s">
        <v>618</v>
      </c>
      <c r="E20" s="13">
        <v>42667.22252314815</v>
      </c>
      <c r="F20" s="13">
        <v>42667.226574074077</v>
      </c>
      <c r="G20" s="7">
        <v>1</v>
      </c>
      <c r="H20" s="13" t="s">
        <v>221</v>
      </c>
      <c r="I20" s="13">
        <v>42667.25377314815</v>
      </c>
      <c r="J20" s="7">
        <v>1</v>
      </c>
      <c r="K20" s="112" t="str">
        <f t="shared" si="0"/>
        <v>4015/4016</v>
      </c>
      <c r="L20" s="22" t="str">
        <f>VLOOKUP(A20,'Trips&amp;Operators'!$C$1:$E$10000,3,FALSE)</f>
        <v>SPECTOR</v>
      </c>
      <c r="M20" s="6">
        <f t="shared" si="1"/>
        <v>2.7199074072996154E-2</v>
      </c>
      <c r="N20" s="7">
        <f t="shared" si="14"/>
        <v>39.166666665114462</v>
      </c>
      <c r="O20" s="7"/>
      <c r="P20" s="7"/>
      <c r="Q20" s="23"/>
      <c r="R20" s="23"/>
      <c r="S20" s="35">
        <f t="shared" si="2"/>
        <v>1</v>
      </c>
      <c r="T20" s="50" t="str">
        <f t="shared" si="3"/>
        <v>Southbound</v>
      </c>
      <c r="U20" s="1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04:20:26-0600',mode:absolute,to:'2016-10-24 07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" s="52" t="str">
        <f t="shared" si="15"/>
        <v>N</v>
      </c>
      <c r="X20" s="171">
        <f t="shared" si="16"/>
        <v>1</v>
      </c>
      <c r="Y20" s="67">
        <f t="shared" si="5"/>
        <v>23.301300000000001</v>
      </c>
      <c r="Z20" s="67">
        <f t="shared" si="6"/>
        <v>1.49E-2</v>
      </c>
      <c r="AA20" s="67">
        <f t="shared" si="7"/>
        <v>23.2864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8"/>
        <v>0108-24</v>
      </c>
      <c r="AE20" s="91" t="str">
        <f t="shared" si="9"/>
        <v>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 &amp; 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</v>
      </c>
      <c r="AF20" s="88" t="str">
        <f t="shared" si="10"/>
        <v>"C:\Program Files (x86)\AstroGrep\AstroGrep.exe" /spath="%USERPROFILE%\AppData\Local\Temp\OnboardLogs" /stypes="app*4015*20161024*" /stext=" 12:.+((SYSTEM_STATE.+slice.+state.+changed )|(ment ac)|(system.+state.+changed )|(\[timeout)|(PRM\|1\|D)|(kpr)|(kdp)|(\|lc)|(penalty))" /e /r /s</v>
      </c>
      <c r="AG20" s="1" t="str">
        <f t="shared" si="11"/>
        <v>EC</v>
      </c>
      <c r="AH20" s="92" t="str">
        <f t="shared" si="19"/>
        <v>"%USERPROFILE%\Documents\GitHub\eaglep3\Utilities\RefineRTDCRunTimes.py" --tripid 108-24 --locoid 4015 --swversion DE.1.0.7.0 --startMP 204:233013 --initTime 2016-10-24T05:20:26 --startdatetime 2016-10-24T05:26:16 --delay 1 --endMP 204:149 --enddatetime 2016-10-24T06:05:26 --enforcementcount 1 &gt;&gt;C:\Users\stu\Documents\GitHub\eaglep3-reporting\EC\2016-10-24-refined-times.txt</v>
      </c>
      <c r="AI20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{"issue":{"subject":"","project_id":79,"tracker_id":40,"status_id":1,"priority_id":2,"assigned_to_id":23,"start_date":"2016-10-24","description":"","custom_fields":[{"id":1,"name":"Subdivision","value":"EC"},{"id":4,"name":"Milepost","value":"0.0149"},{"id":17,"name":"Train ID","value":"108-24"},{"id":16,"name":"Locomotive ID","value":"4015"},{"id":130,"name":"Impact","value":""},{"id":150,"name":"Time of Event (Mountain Time)","value":"06:05:26"},{"id":151,"name":"Denver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440</v>
      </c>
      <c r="B21" s="7">
        <v>4018</v>
      </c>
      <c r="C21" s="22" t="s">
        <v>99</v>
      </c>
      <c r="D21" s="22" t="s">
        <v>306</v>
      </c>
      <c r="E21" s="13">
        <v>42667.190821759257</v>
      </c>
      <c r="F21" s="13">
        <v>42667.198159722226</v>
      </c>
      <c r="G21" s="7">
        <v>1</v>
      </c>
      <c r="H21" s="13" t="s">
        <v>195</v>
      </c>
      <c r="I21" s="13">
        <v>42667.222384259258</v>
      </c>
      <c r="J21" s="7">
        <v>1</v>
      </c>
      <c r="K21" s="112" t="str">
        <f t="shared" si="0"/>
        <v>4017/4018</v>
      </c>
      <c r="L21" s="22" t="str">
        <f>VLOOKUP(A21,'Trips&amp;Operators'!$C$1:$E$10000,3,FALSE)</f>
        <v>YORK</v>
      </c>
      <c r="M21" s="6">
        <f t="shared" si="1"/>
        <v>2.4224537031841464E-2</v>
      </c>
      <c r="N21" s="7">
        <f t="shared" si="14"/>
        <v>34.883333325851709</v>
      </c>
      <c r="O21" s="7"/>
      <c r="P21" s="7"/>
      <c r="Q21" s="23"/>
      <c r="R21" s="23"/>
      <c r="S21" s="35">
        <f t="shared" si="2"/>
        <v>1</v>
      </c>
      <c r="T21" s="50" t="str">
        <f t="shared" si="3"/>
        <v>NorthBound</v>
      </c>
      <c r="U21" s="1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03:34:47-0600',mode:absolute,to:'2016-10-24 06:20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" s="52" t="str">
        <f t="shared" ref="W21:W84" si="21">IF(AA21&lt;IF(AG21="EC",23,5.65),"Y","N")</f>
        <v>N</v>
      </c>
      <c r="X21" s="171">
        <f t="shared" ref="X21:X52" si="22">VALUE(LEFT(AD21,4))-VALUE(LEFT(AD20,4))</f>
        <v>1</v>
      </c>
      <c r="Y21" s="67">
        <f t="shared" si="5"/>
        <v>4.6699999999999998E-2</v>
      </c>
      <c r="Z21" s="67">
        <f t="shared" si="6"/>
        <v>23.329699999999999</v>
      </c>
      <c r="AA21" s="67">
        <f t="shared" si="7"/>
        <v>23.282999999999998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8"/>
        <v>0109-24</v>
      </c>
      <c r="AE21" s="91" t="str">
        <f t="shared" si="9"/>
        <v>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 &amp; aws s3 cp s3://rtdc.mdm.uploadarchive.raw/RTDC4018/ "%USERPROFILE%\AppData\Local\Temp\OnboardLogs"\RTDC4018\2016-10-25 --exclude "*" --recursive --include "*20161025*" &amp; "%USERPROFILE%\Documents\GitHub\mrs-test-scripts\Headless Mode &amp; Sideloading\WalkAndUnGZ.bat" "%USERPROFILE%\AppData\Local\Temp\OnboardLogs"\RTDC4018\2016-10-25</v>
      </c>
      <c r="AF21" s="88" t="str">
        <f t="shared" si="10"/>
        <v>"C:\Program Files (x86)\AstroGrep\AstroGrep.exe" /spath="%USERPROFILE%\AppData\Local\Temp\OnboardLogs" /stypes="app*4018*20161024*" /stext=" 11:.+((SYSTEM_STATE.+slice.+state.+changed )|(ment ac)|(system.+state.+changed )|(\[timeout)|(PRM\|1\|D)|(kpr)|(kdp)|(\|lc)|(penalty))" /e /r /s</v>
      </c>
      <c r="AG21" s="1" t="str">
        <f t="shared" si="11"/>
        <v>EC</v>
      </c>
      <c r="AH21" s="92" t="str">
        <f t="shared" si="19"/>
        <v>"%USERPROFILE%\Documents\GitHub\eaglep3\Utilities\RefineRTDCRunTimes.py" --tripid 109-24 --locoid 4018 --swversion DE.1.0.7.0 --startMP 204:467 --initTime 2016-10-24T04:34:47 --startdatetime 2016-10-24T04:45:21 --delay 1 --endMP 204:233297 --enddatetime 2016-10-24T05:20:14 --enforcementcount 1 &gt;&gt;C:\Users\stu\Documents\GitHub\eaglep3-reporting\EC\2016-10-24-refined-times.txt</v>
      </c>
      <c r="AI21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{"issue":{"subject":"","project_id":79,"tracker_id":40,"status_id":1,"priority_id":2,"assigned_to_id":23,"start_date":"2016-10-24","description":"","custom_fields":[{"id":1,"name":"Subdivision","value":"EC"},{"id":4,"name":"Milepost","value":"23.3297"},{"id":17,"name":"Train ID","value":"109-24"},{"id":16,"name":"Locomotive ID","value":"4018"},{"id":130,"name":"Impact","value":""},{"id":150,"name":"Time of Event (Mountain Time)","value":"05:20:14"},{"id":151,"name":"Denver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445</v>
      </c>
      <c r="B22" s="7">
        <v>4017</v>
      </c>
      <c r="C22" s="22" t="s">
        <v>99</v>
      </c>
      <c r="D22" s="22" t="s">
        <v>619</v>
      </c>
      <c r="E22" s="13">
        <v>42667.224305555559</v>
      </c>
      <c r="F22" s="13">
        <v>42667.236979166664</v>
      </c>
      <c r="G22" s="7">
        <v>1</v>
      </c>
      <c r="H22" s="13" t="s">
        <v>620</v>
      </c>
      <c r="I22" s="13">
        <v>42667.265810185185</v>
      </c>
      <c r="J22" s="7">
        <v>1</v>
      </c>
      <c r="K22" s="112" t="str">
        <f t="shared" si="0"/>
        <v>4017/4018</v>
      </c>
      <c r="L22" s="22" t="str">
        <f>VLOOKUP(A22,'Trips&amp;Operators'!$C$1:$E$10000,3,FALSE)</f>
        <v>YORK</v>
      </c>
      <c r="M22" s="6">
        <f t="shared" si="1"/>
        <v>2.8831018520577345E-2</v>
      </c>
      <c r="N22" s="7">
        <f t="shared" si="14"/>
        <v>41.516666669631377</v>
      </c>
      <c r="O22" s="7"/>
      <c r="P22" s="7"/>
      <c r="Q22" s="23"/>
      <c r="R22" s="23"/>
      <c r="S22" s="35">
        <f t="shared" si="2"/>
        <v>1</v>
      </c>
      <c r="T22" s="50" t="str">
        <f t="shared" si="3"/>
        <v>Southbound</v>
      </c>
      <c r="U22" s="1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04:23:00-0600',mode:absolute,to:'2016-10-24 07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" s="52" t="str">
        <f t="shared" si="21"/>
        <v>N</v>
      </c>
      <c r="X22" s="171">
        <f t="shared" si="22"/>
        <v>1</v>
      </c>
      <c r="Y22" s="67">
        <f t="shared" si="5"/>
        <v>23.296700000000001</v>
      </c>
      <c r="Z22" s="67">
        <f t="shared" si="6"/>
        <v>3.5999999999999997E-2</v>
      </c>
      <c r="AA22" s="67">
        <f t="shared" si="7"/>
        <v>23.2607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8"/>
        <v>0110-24</v>
      </c>
      <c r="AE22" s="91" t="str">
        <f t="shared" si="9"/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AF22" s="88" t="str">
        <f t="shared" si="10"/>
        <v>"C:\Program Files (x86)\AstroGrep\AstroGrep.exe" /spath="%USERPROFILE%\AppData\Local\Temp\OnboardLogs" /stypes="app*4017*20161024*" /stext=" 12:.+((SYSTEM_STATE.+slice.+state.+changed )|(ment ac)|(system.+state.+changed )|(\[timeout)|(PRM\|1\|D)|(kpr)|(kdp)|(\|lc)|(penalty))" /e /r /s</v>
      </c>
      <c r="AG22" s="1" t="str">
        <f t="shared" si="11"/>
        <v>EC</v>
      </c>
      <c r="AH22" s="92" t="str">
        <f t="shared" si="19"/>
        <v>"%USERPROFILE%\Documents\GitHub\eaglep3\Utilities\RefineRTDCRunTimes.py" --tripid 110-24 --locoid 4017 --swversion DE.1.0.7.0 --startMP 204:232967 --initTime 2016-10-24T05:23:00 --startdatetime 2016-10-24T05:41:15 --delay 1 --endMP 204:360 --enddatetime 2016-10-24T06:22:46 --enforcementcount 1 &gt;&gt;C:\Users\stu\Documents\GitHub\eaglep3-reporting\EC\2016-10-24-refined-times.txt</v>
      </c>
      <c r="AI22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{"issue":{"subject":"","project_id":79,"tracker_id":40,"status_id":1,"priority_id":2,"assigned_to_id":23,"start_date":"2016-10-24","description":"","custom_fields":[{"id":1,"name":"Subdivision","value":"EC"},{"id":4,"name":"Milepost","value":"0.036"},{"id":17,"name":"Train ID","value":"110-24"},{"id":16,"name":"Locomotive ID","value":"4017"},{"id":130,"name":"Impact","value":""},{"id":150,"name":"Time of Event (Mountain Time)","value":"06:22:46"},{"id":151,"name":"Denver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441</v>
      </c>
      <c r="B23" s="7">
        <v>4022</v>
      </c>
      <c r="C23" s="22" t="s">
        <v>99</v>
      </c>
      <c r="D23" s="22" t="s">
        <v>621</v>
      </c>
      <c r="E23" s="13">
        <v>42667.204201388886</v>
      </c>
      <c r="F23" s="13">
        <v>42667.208622685182</v>
      </c>
      <c r="G23" s="7">
        <v>3</v>
      </c>
      <c r="H23" s="13" t="s">
        <v>297</v>
      </c>
      <c r="I23" s="13">
        <v>42667.234166666669</v>
      </c>
      <c r="J23" s="7">
        <v>1</v>
      </c>
      <c r="K23" s="112" t="str">
        <f t="shared" si="0"/>
        <v>4021/4022</v>
      </c>
      <c r="L23" s="22" t="str">
        <f>VLOOKUP(A23,'Trips&amp;Operators'!$C$1:$E$10000,3,FALSE)</f>
        <v>STARKS</v>
      </c>
      <c r="M23" s="6">
        <f t="shared" si="1"/>
        <v>2.5543981486407574E-2</v>
      </c>
      <c r="N23" s="7">
        <f t="shared" si="14"/>
        <v>36.783333340426907</v>
      </c>
      <c r="O23" s="7"/>
      <c r="P23" s="7"/>
      <c r="Q23" s="23"/>
      <c r="R23" s="23"/>
      <c r="S23" s="35">
        <f t="shared" si="2"/>
        <v>1</v>
      </c>
      <c r="T23" s="50" t="str">
        <f t="shared" si="3"/>
        <v>NorthBound</v>
      </c>
      <c r="U23" s="1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03:54:03-0600',mode:absolute,to:'2016-10-24 06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" s="52" t="str">
        <f t="shared" si="21"/>
        <v>N</v>
      </c>
      <c r="X23" s="171">
        <f t="shared" si="22"/>
        <v>1</v>
      </c>
      <c r="Y23" s="67">
        <f t="shared" si="5"/>
        <v>7.5700000000000003E-2</v>
      </c>
      <c r="Z23" s="67">
        <f t="shared" si="6"/>
        <v>23.331</v>
      </c>
      <c r="AA23" s="67">
        <f t="shared" si="7"/>
        <v>23.255299999999998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8"/>
        <v>0111-24</v>
      </c>
      <c r="AE23" s="91" t="str">
        <f t="shared" si="9"/>
        <v>aws s3 cp s3://rtdc.mdm.uploadarchive.raw/RTDC4022/ "%USERPROFILE%\AppData\Local\Temp\OnboardLogs"\RTDC4022\2016-10-24 --exclude "*" --recursive --include "*20161024*" &amp; "%USERPROFILE%\Documents\GitHub\mrs-test-scripts\Headless Mode &amp; Sideloading\WalkAndUnGZ.bat" "%USERPROFILE%\AppData\Local\Temp\OnboardLogs"\RTDC4022\2016-10-24 &amp; aws s3 cp s3://rtdc.mdm.uploadarchive.raw/RTDC4022/ "%USERPROFILE%\AppData\Local\Temp\OnboardLogs"\RTDC4022\2016-10-25 --exclude "*" --recursive --include "*20161025*" &amp; "%USERPROFILE%\Documents\GitHub\mrs-test-scripts\Headless Mode &amp; Sideloading\WalkAndUnGZ.bat" "%USERPROFILE%\AppData\Local\Temp\OnboardLogs"\RTDC4022\2016-10-25</v>
      </c>
      <c r="AF23" s="88" t="str">
        <f t="shared" si="10"/>
        <v>"C:\Program Files (x86)\AstroGrep\AstroGrep.exe" /spath="%USERPROFILE%\AppData\Local\Temp\OnboardLogs" /stypes="app*4022*20161024*" /stext=" 11:.+((SYSTEM_STATE.+slice.+state.+changed )|(ment ac)|(system.+state.+changed )|(\[timeout)|(PRM\|1\|D)|(kpr)|(kdp)|(\|lc)|(penalty))" /e /r /s</v>
      </c>
      <c r="AG23" s="1" t="str">
        <f t="shared" si="11"/>
        <v>EC</v>
      </c>
      <c r="AH23" s="92" t="str">
        <f t="shared" si="19"/>
        <v>"%USERPROFILE%\Documents\GitHub\eaglep3\Utilities\RefineRTDCRunTimes.py" --tripid 111-24 --locoid 4022 --swversion DE.1.0.7.0 --startMP 204:757 --initTime 2016-10-24T04:54:03 --startdatetime 2016-10-24T05:00:25 --delay 3 --endMP 204:233310 --enddatetime 2016-10-24T05:37:12 --enforcementcount 1 &gt;&gt;C:\Users\stu\Documents\GitHub\eaglep3-reporting\EC\2016-10-24-refined-times.txt</v>
      </c>
      <c r="AI23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{"issue":{"subject":"","project_id":79,"tracker_id":40,"status_id":1,"priority_id":2,"assigned_to_id":23,"start_date":"2016-10-24","description":"","custom_fields":[{"id":1,"name":"Subdivision","value":"EC"},{"id":4,"name":"Milepost","value":"23.331"},{"id":17,"name":"Train ID","value":"111-24"},{"id":16,"name":"Locomotive ID","value":"4022"},{"id":130,"name":"Impact","value":""},{"id":150,"name":"Time of Event (Mountain Time)","value":"05:37:12"},{"id":151,"name":"Denver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448</v>
      </c>
      <c r="B24" s="7">
        <v>4021</v>
      </c>
      <c r="C24" s="22" t="s">
        <v>99</v>
      </c>
      <c r="D24" s="22" t="s">
        <v>295</v>
      </c>
      <c r="E24" s="13">
        <v>42667.24591435185</v>
      </c>
      <c r="F24" s="13">
        <v>42667.247881944444</v>
      </c>
      <c r="G24" s="7">
        <v>1</v>
      </c>
      <c r="H24" s="13" t="s">
        <v>381</v>
      </c>
      <c r="I24" s="13">
        <v>42667.276087962964</v>
      </c>
      <c r="J24" s="7">
        <v>1</v>
      </c>
      <c r="K24" s="112" t="str">
        <f t="shared" si="0"/>
        <v>4021/4022</v>
      </c>
      <c r="L24" s="22" t="str">
        <f>VLOOKUP(A24,'Trips&amp;Operators'!$C$1:$E$10000,3,FALSE)</f>
        <v>STARKS</v>
      </c>
      <c r="M24" s="6">
        <f t="shared" si="1"/>
        <v>2.8206018519995268E-2</v>
      </c>
      <c r="N24" s="7">
        <f t="shared" si="14"/>
        <v>40.616666668793187</v>
      </c>
      <c r="O24" s="7"/>
      <c r="P24" s="7"/>
      <c r="Q24" s="23"/>
      <c r="R24" s="23"/>
      <c r="S24" s="35">
        <f t="shared" si="2"/>
        <v>1</v>
      </c>
      <c r="T24" s="50" t="str">
        <f t="shared" si="3"/>
        <v>Southbound</v>
      </c>
      <c r="U24" s="1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04:54:07-0600',mode:absolute,to:'2016-10-24 07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4" s="52" t="str">
        <f t="shared" si="21"/>
        <v>N</v>
      </c>
      <c r="X24" s="171">
        <f t="shared" si="22"/>
        <v>1</v>
      </c>
      <c r="Y24" s="67">
        <f t="shared" si="5"/>
        <v>23.2989</v>
      </c>
      <c r="Z24" s="67">
        <f t="shared" si="6"/>
        <v>0.11749999999999999</v>
      </c>
      <c r="AA24" s="67">
        <f t="shared" si="7"/>
        <v>23.1814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8"/>
        <v>0112-24</v>
      </c>
      <c r="AE24" s="91" t="str">
        <f t="shared" si="9"/>
        <v>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 &amp; aws s3 cp s3://rtdc.mdm.uploadarchive.raw/RTDC4021/ "%USERPROFILE%\AppData\Local\Temp\OnboardLogs"\RTDC4021\2016-10-25 --exclude "*" --recursive --include "*20161025*" &amp; "%USERPROFILE%\Documents\GitHub\mrs-test-scripts\Headless Mode &amp; Sideloading\WalkAndUnGZ.bat" "%USERPROFILE%\AppData\Local\Temp\OnboardLogs"\RTDC4021\2016-10-25</v>
      </c>
      <c r="AF24" s="88" t="str">
        <f t="shared" si="10"/>
        <v>"C:\Program Files (x86)\AstroGrep\AstroGrep.exe" /spath="%USERPROFILE%\AppData\Local\Temp\OnboardLogs" /stypes="app*4021*20161024*" /stext=" 12:.+((SYSTEM_STATE.+slice.+state.+changed )|(ment ac)|(system.+state.+changed )|(\[timeout)|(PRM\|1\|D)|(kpr)|(kdp)|(\|lc)|(penalty))" /e /r /s</v>
      </c>
      <c r="AG24" s="1" t="str">
        <f t="shared" si="11"/>
        <v>EC</v>
      </c>
      <c r="AH24" s="92" t="str">
        <f t="shared" si="19"/>
        <v>"%USERPROFILE%\Documents\GitHub\eaglep3\Utilities\RefineRTDCRunTimes.py" --tripid 112-24 --locoid 4021 --swversion DE.1.0.7.0 --startMP 204:232989 --initTime 2016-10-24T05:54:07 --startdatetime 2016-10-24T05:56:57 --delay 1 --endMP 204:1175 --enddatetime 2016-10-24T06:37:34 --enforcementcount 1 &gt;&gt;C:\Users\stu\Documents\GitHub\eaglep3-reporting\EC\2016-10-24-refined-times.txt</v>
      </c>
      <c r="AI24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{"issue":{"subject":"","project_id":79,"tracker_id":40,"status_id":1,"priority_id":2,"assigned_to_id":23,"start_date":"2016-10-24","description":"","custom_fields":[{"id":1,"name":"Subdivision","value":"EC"},{"id":4,"name":"Milepost","value":"0.1175"},{"id":17,"name":"Train ID","value":"112-24"},{"id":16,"name":"Locomotive ID","value":"4021"},{"id":130,"name":"Impact","value":""},{"id":150,"name":"Time of Event (Mountain Time)","value":"06:37:34"},{"id":151,"name":"Denver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442</v>
      </c>
      <c r="B25" s="7">
        <v>4038</v>
      </c>
      <c r="C25" s="22" t="s">
        <v>99</v>
      </c>
      <c r="D25" s="22" t="s">
        <v>232</v>
      </c>
      <c r="E25" s="13">
        <v>42667.205729166664</v>
      </c>
      <c r="F25" s="13">
        <v>42667.218946759262</v>
      </c>
      <c r="G25" s="7">
        <v>1</v>
      </c>
      <c r="H25" s="13" t="s">
        <v>195</v>
      </c>
      <c r="I25" s="13">
        <v>42667.245138888888</v>
      </c>
      <c r="J25" s="7">
        <v>1</v>
      </c>
      <c r="K25" s="112" t="str">
        <f t="shared" si="0"/>
        <v>4037/4038</v>
      </c>
      <c r="L25" s="22" t="str">
        <f>VLOOKUP(A25,'Trips&amp;Operators'!$C$1:$E$10000,3,FALSE)</f>
        <v>KILLION</v>
      </c>
      <c r="M25" s="6">
        <f t="shared" si="1"/>
        <v>2.619212962599704E-2</v>
      </c>
      <c r="N25" s="7">
        <f t="shared" si="14"/>
        <v>37.716666661435738</v>
      </c>
      <c r="O25" s="7"/>
      <c r="P25" s="7"/>
      <c r="Q25" s="23"/>
      <c r="R25" s="23"/>
      <c r="S25" s="35">
        <f t="shared" si="2"/>
        <v>1</v>
      </c>
      <c r="T25" s="50" t="str">
        <f t="shared" si="3"/>
        <v>NorthBound</v>
      </c>
      <c r="U25" s="1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03:56:15-0600',mode:absolute,to:'2016-10-24 06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5" s="52" t="str">
        <f t="shared" si="21"/>
        <v>N</v>
      </c>
      <c r="X25" s="171">
        <f t="shared" si="22"/>
        <v>1</v>
      </c>
      <c r="Y25" s="67">
        <f t="shared" si="5"/>
        <v>4.4600000000000001E-2</v>
      </c>
      <c r="Z25" s="67">
        <f t="shared" si="6"/>
        <v>23.329699999999999</v>
      </c>
      <c r="AA25" s="67">
        <f t="shared" si="7"/>
        <v>23.2851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8"/>
        <v>0113-24</v>
      </c>
      <c r="AE25" s="91" t="str">
        <f t="shared" si="9"/>
        <v>aws s3 cp s3://rtdc.mdm.uploadarchive.raw/RTDC4038/ "%USERPROFILE%\AppData\Local\Temp\OnboardLogs"\RTDC4038\2016-10-24 --exclude "*" --recursive --include "*20161024*" &amp; "%USERPROFILE%\Documents\GitHub\mrs-test-scripts\Headless Mode &amp; Sideloading\WalkAndUnGZ.bat" "%USERPROFILE%\AppData\Local\Temp\OnboardLogs"\RTDC4038\2016-10-24 &amp; aws s3 cp s3://rtdc.mdm.uploadarchive.raw/RTDC4038/ "%USERPROFILE%\AppData\Local\Temp\OnboardLogs"\RTDC4038\2016-10-25 --exclude "*" --recursive --include "*20161025*" &amp; "%USERPROFILE%\Documents\GitHub\mrs-test-scripts\Headless Mode &amp; Sideloading\WalkAndUnGZ.bat" "%USERPROFILE%\AppData\Local\Temp\OnboardLogs"\RTDC4038\2016-10-25</v>
      </c>
      <c r="AF25" s="88" t="str">
        <f t="shared" si="10"/>
        <v>"C:\Program Files (x86)\AstroGrep\AstroGrep.exe" /spath="%USERPROFILE%\AppData\Local\Temp\OnboardLogs" /stypes="app*4038*20161024*" /stext=" 11:.+((SYSTEM_STATE.+slice.+state.+changed )|(ment ac)|(system.+state.+changed )|(\[timeout)|(PRM\|1\|D)|(kpr)|(kdp)|(\|lc)|(penalty))" /e /r /s</v>
      </c>
      <c r="AG25" s="1" t="str">
        <f t="shared" si="11"/>
        <v>EC</v>
      </c>
      <c r="AH25" s="92" t="str">
        <f t="shared" si="19"/>
        <v>"%USERPROFILE%\Documents\GitHub\eaglep3\Utilities\RefineRTDCRunTimes.py" --tripid 113-24 --locoid 4038 --swversion DE.1.0.7.0 --startMP 204:446 --initTime 2016-10-24T04:56:15 --startdatetime 2016-10-24T05:15:17 --delay 1 --endMP 204:233297 --enddatetime 2016-10-24T05:53:00 --enforcementcount 1 &gt;&gt;C:\Users\stu\Documents\GitHub\eaglep3-reporting\EC\2016-10-24-refined-times.txt</v>
      </c>
      <c r="AI25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{"issue":{"subject":"","project_id":79,"tracker_id":40,"status_id":1,"priority_id":2,"assigned_to_id":23,"start_date":"2016-10-24","description":"","custom_fields":[{"id":1,"name":"Subdivision","value":"EC"},{"id":4,"name":"Milepost","value":"23.3297"},{"id":17,"name":"Train ID","value":"113-24"},{"id":16,"name":"Locomotive ID","value":"4038"},{"id":130,"name":"Impact","value":""},{"id":150,"name":"Time of Event (Mountain Time)","value":"05:53:00"},{"id":151,"name":"Denver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449</v>
      </c>
      <c r="B26" s="7">
        <v>4037</v>
      </c>
      <c r="C26" s="22" t="s">
        <v>99</v>
      </c>
      <c r="D26" s="22" t="s">
        <v>321</v>
      </c>
      <c r="E26" s="13">
        <v>42667.252071759256</v>
      </c>
      <c r="F26" s="13">
        <v>42667.257835648146</v>
      </c>
      <c r="G26" s="7">
        <v>1</v>
      </c>
      <c r="H26" s="13" t="s">
        <v>218</v>
      </c>
      <c r="I26" s="13">
        <v>42667.286249999997</v>
      </c>
      <c r="J26" s="7">
        <v>1</v>
      </c>
      <c r="K26" s="112" t="str">
        <f t="shared" si="0"/>
        <v>4037/4038</v>
      </c>
      <c r="L26" s="22" t="str">
        <f>VLOOKUP(A26,'Trips&amp;Operators'!$C$1:$E$10000,3,FALSE)</f>
        <v>KILLION</v>
      </c>
      <c r="M26" s="6">
        <f t="shared" si="1"/>
        <v>2.8414351851097308E-2</v>
      </c>
      <c r="N26" s="7">
        <f t="shared" si="14"/>
        <v>40.916666665580124</v>
      </c>
      <c r="O26" s="7"/>
      <c r="P26" s="7"/>
      <c r="Q26" s="23"/>
      <c r="R26" s="23"/>
      <c r="S26" s="35">
        <f t="shared" si="2"/>
        <v>1</v>
      </c>
      <c r="T26" s="50" t="str">
        <f t="shared" si="3"/>
        <v>Southbound</v>
      </c>
      <c r="U26" s="1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05:02:59-0600',mode:absolute,to:'2016-10-24 07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6" s="52" t="str">
        <f t="shared" si="21"/>
        <v>N</v>
      </c>
      <c r="X26" s="171">
        <f t="shared" si="22"/>
        <v>1</v>
      </c>
      <c r="Y26" s="67">
        <f t="shared" si="5"/>
        <v>23.2971</v>
      </c>
      <c r="Z26" s="67">
        <f t="shared" si="6"/>
        <v>1.54E-2</v>
      </c>
      <c r="AA26" s="67">
        <f t="shared" si="7"/>
        <v>23.281700000000001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8"/>
        <v>0114-24</v>
      </c>
      <c r="AE26" s="91" t="str">
        <f t="shared" si="9"/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AF26" s="88" t="str">
        <f t="shared" si="10"/>
        <v>"C:\Program Files (x86)\AstroGrep\AstroGrep.exe" /spath="%USERPROFILE%\AppData\Local\Temp\OnboardLogs" /stypes="app*4037*20161024*" /stext=" 12:.+((SYSTEM_STATE.+slice.+state.+changed )|(ment ac)|(system.+state.+changed )|(\[timeout)|(PRM\|1\|D)|(kpr)|(kdp)|(\|lc)|(penalty))" /e /r /s</v>
      </c>
      <c r="AG26" s="1" t="str">
        <f t="shared" si="11"/>
        <v>EC</v>
      </c>
      <c r="AH26" s="92" t="str">
        <f t="shared" si="19"/>
        <v>"%USERPROFILE%\Documents\GitHub\eaglep3\Utilities\RefineRTDCRunTimes.py" --tripid 114-24 --locoid 4037 --swversion DE.1.0.7.0 --startMP 204:232971 --initTime 2016-10-24T06:02:59 --startdatetime 2016-10-24T06:11:17 --delay 1 --endMP 204:154 --enddatetime 2016-10-24T06:52:12 --enforcementcount 1 &gt;&gt;C:\Users\stu\Documents\GitHub\eaglep3-reporting\EC\2016-10-24-refined-times.txt</v>
      </c>
      <c r="AI26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{"issue":{"subject":"","project_id":79,"tracker_id":40,"status_id":1,"priority_id":2,"assigned_to_id":23,"start_date":"2016-10-24","description":"","custom_fields":[{"id":1,"name":"Subdivision","value":"EC"},{"id":4,"name":"Milepost","value":"0.0154"},{"id":17,"name":"Train ID","value":"114-24"},{"id":16,"name":"Locomotive ID","value":"4037"},{"id":130,"name":"Impact","value":""},{"id":150,"name":"Time of Event (Mountain Time)","value":"06:52:12"},{"id":151,"name":"Denver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446</v>
      </c>
      <c r="B27" s="7">
        <v>4002</v>
      </c>
      <c r="C27" s="22" t="s">
        <v>99</v>
      </c>
      <c r="D27" s="22" t="s">
        <v>615</v>
      </c>
      <c r="E27" s="13">
        <v>42667.227094907408</v>
      </c>
      <c r="F27" s="13">
        <v>42667.229386574072</v>
      </c>
      <c r="G27" s="7">
        <v>1</v>
      </c>
      <c r="H27" s="13" t="s">
        <v>622</v>
      </c>
      <c r="I27" s="13">
        <v>42667.254988425928</v>
      </c>
      <c r="J27" s="7">
        <v>1</v>
      </c>
      <c r="K27" s="112" t="str">
        <f t="shared" si="0"/>
        <v>4001/4002</v>
      </c>
      <c r="L27" s="22" t="str">
        <f>VLOOKUP(A27,'Trips&amp;Operators'!$C$1:$E$10000,3,FALSE)</f>
        <v>MALAVE</v>
      </c>
      <c r="M27" s="6">
        <f t="shared" si="1"/>
        <v>2.5601851855753921E-2</v>
      </c>
      <c r="N27" s="7">
        <f t="shared" si="14"/>
        <v>36.866666672285646</v>
      </c>
      <c r="O27" s="7"/>
      <c r="P27" s="7"/>
      <c r="Q27" s="23"/>
      <c r="R27" s="23"/>
      <c r="S27" s="35">
        <f t="shared" si="2"/>
        <v>1</v>
      </c>
      <c r="T27" s="50" t="str">
        <f t="shared" si="3"/>
        <v>NorthBound</v>
      </c>
      <c r="U27" s="1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04:27:01-0600',mode:absolute,to:'2016-10-24 07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7" s="52" t="str">
        <f t="shared" si="21"/>
        <v>N</v>
      </c>
      <c r="X27" s="171">
        <f t="shared" si="22"/>
        <v>1</v>
      </c>
      <c r="Y27" s="67">
        <f t="shared" si="5"/>
        <v>7.85E-2</v>
      </c>
      <c r="Z27" s="67">
        <f t="shared" si="6"/>
        <v>23.3263</v>
      </c>
      <c r="AA27" s="67">
        <f t="shared" si="7"/>
        <v>23.247800000000002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8"/>
        <v>0115-24</v>
      </c>
      <c r="AE27" s="91" t="str">
        <f t="shared" si="9"/>
        <v>aws s3 cp s3://rtdc.mdm.uploadarchive.raw/RTDC4002/ "%USERPROFILE%\AppData\Local\Temp\OnboardLogs"\RTDC4002\2016-10-24 --exclude "*" --recursive --include "*20161024*" &amp; "%USERPROFILE%\Documents\GitHub\mrs-test-scripts\Headless Mode &amp; Sideloading\WalkAndUnGZ.bat" "%USERPROFILE%\AppData\Local\Temp\OnboardLogs"\RTDC4002\2016-10-24 &amp; 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</v>
      </c>
      <c r="AF27" s="88" t="str">
        <f t="shared" si="10"/>
        <v>"C:\Program Files (x86)\AstroGrep\AstroGrep.exe" /spath="%USERPROFILE%\AppData\Local\Temp\OnboardLogs" /stypes="app*4002*20161024*" /stext=" 12:.+((SYSTEM_STATE.+slice.+state.+changed )|(ment ac)|(system.+state.+changed )|(\[timeout)|(PRM\|1\|D)|(kpr)|(kdp)|(\|lc)|(penalty))" /e /r /s</v>
      </c>
      <c r="AG27" s="1" t="str">
        <f t="shared" si="11"/>
        <v>EC</v>
      </c>
      <c r="AH27" s="92" t="str">
        <f t="shared" si="19"/>
        <v>"%USERPROFILE%\Documents\GitHub\eaglep3\Utilities\RefineRTDCRunTimes.py" --tripid 115-24 --locoid 4002 --swversion DE.1.0.7.0 --startMP 204:785 --initTime 2016-10-24T05:27:01 --startdatetime 2016-10-24T05:30:19 --delay 1 --endMP 204:233263 --enddatetime 2016-10-24T06:07:11 --enforcementcount 1 &gt;&gt;C:\Users\stu\Documents\GitHub\eaglep3-reporting\EC\2016-10-24-refined-times.txt</v>
      </c>
      <c r="AI27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{"issue":{"subject":"","project_id":79,"tracker_id":40,"status_id":1,"priority_id":2,"assigned_to_id":23,"start_date":"2016-10-24","description":"","custom_fields":[{"id":1,"name":"Subdivision","value":"EC"},{"id":4,"name":"Milepost","value":"23.3263"},{"id":17,"name":"Train ID","value":"115-24"},{"id":16,"name":"Locomotive ID","value":"4002"},{"id":130,"name":"Impact","value":""},{"id":150,"name":"Time of Event (Mountain Time)","value":"06:07:11"},{"id":151,"name":"Denver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454</v>
      </c>
      <c r="B28" s="7">
        <v>4001</v>
      </c>
      <c r="C28" s="22" t="s">
        <v>99</v>
      </c>
      <c r="D28" s="22" t="s">
        <v>623</v>
      </c>
      <c r="E28" s="13">
        <v>42667.264930555553</v>
      </c>
      <c r="F28" s="13">
        <v>42667.268379629626</v>
      </c>
      <c r="G28" s="7">
        <v>1</v>
      </c>
      <c r="H28" s="13" t="s">
        <v>624</v>
      </c>
      <c r="I28" s="13">
        <v>42667.295706018522</v>
      </c>
      <c r="J28" s="7">
        <v>1</v>
      </c>
      <c r="K28" s="112" t="str">
        <f t="shared" si="0"/>
        <v>4001/4002</v>
      </c>
      <c r="L28" s="22" t="str">
        <f>VLOOKUP(A28,'Trips&amp;Operators'!$C$1:$E$10000,3,FALSE)</f>
        <v>MALAVE</v>
      </c>
      <c r="M28" s="6">
        <f t="shared" si="1"/>
        <v>2.7326388895744458E-2</v>
      </c>
      <c r="N28" s="7">
        <f t="shared" si="14"/>
        <v>39.350000009872019</v>
      </c>
      <c r="O28" s="7"/>
      <c r="P28" s="7"/>
      <c r="Q28" s="23"/>
      <c r="R28" s="23"/>
      <c r="S28" s="35">
        <f t="shared" si="2"/>
        <v>1</v>
      </c>
      <c r="T28" s="50" t="str">
        <f t="shared" si="3"/>
        <v>Southbound</v>
      </c>
      <c r="U28" s="1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05:21:30-0600',mode:absolute,to:'2016-10-24 08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8" s="52" t="str">
        <f t="shared" si="21"/>
        <v>N</v>
      </c>
      <c r="X28" s="171">
        <f t="shared" si="22"/>
        <v>1</v>
      </c>
      <c r="Y28" s="67">
        <f t="shared" si="5"/>
        <v>23.295100000000001</v>
      </c>
      <c r="Z28" s="67">
        <f t="shared" si="6"/>
        <v>1.5800000000000002E-2</v>
      </c>
      <c r="AA28" s="67">
        <f t="shared" si="7"/>
        <v>23.279300000000003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8"/>
        <v>0116-24</v>
      </c>
      <c r="AE28" s="91" t="str">
        <f t="shared" si="9"/>
        <v>aws s3 cp s3://rtdc.mdm.uploadarchive.raw/RTDC4001/ "%USERPROFILE%\AppData\Local\Temp\OnboardLogs"\RTDC4001\2016-10-24 --exclude "*" --recursive --include "*20161024*" &amp; "%USERPROFILE%\Documents\GitHub\mrs-test-scripts\Headless Mode &amp; Sideloading\WalkAndUnGZ.bat" "%USERPROFILE%\AppData\Local\Temp\OnboardLogs"\RTDC4001\2016-10-24 &amp; 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</v>
      </c>
      <c r="AF28" s="88" t="str">
        <f t="shared" si="10"/>
        <v>"C:\Program Files (x86)\AstroGrep\AstroGrep.exe" /spath="%USERPROFILE%\AppData\Local\Temp\OnboardLogs" /stypes="app*4001*20161024*" /stext=" 13:.+((SYSTEM_STATE.+slice.+state.+changed )|(ment ac)|(system.+state.+changed )|(\[timeout)|(PRM\|1\|D)|(kpr)|(kdp)|(\|lc)|(penalty))" /e /r /s</v>
      </c>
      <c r="AG28" s="1" t="str">
        <f t="shared" si="11"/>
        <v>EC</v>
      </c>
      <c r="AH28" s="92" t="str">
        <f t="shared" si="19"/>
        <v>"%USERPROFILE%\Documents\GitHub\eaglep3\Utilities\RefineRTDCRunTimes.py" --tripid 116-24 --locoid 4001 --swversion DE.1.0.7.0 --startMP 204:232951 --initTime 2016-10-24T06:21:30 --startdatetime 2016-10-24T06:26:28 --delay 1 --endMP 204:158 --enddatetime 2016-10-24T07:05:49 --enforcementcount 1 &gt;&gt;C:\Users\stu\Documents\GitHub\eaglep3-reporting\EC\2016-10-24-refined-times.txt</v>
      </c>
      <c r="AI28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{"issue":{"subject":"","project_id":79,"tracker_id":40,"status_id":1,"priority_id":2,"assigned_to_id":23,"start_date":"2016-10-24","description":"","custom_fields":[{"id":1,"name":"Subdivision","value":"EC"},{"id":4,"name":"Milepost","value":"0.0158"},{"id":17,"name":"Train ID","value":"116-24"},{"id":16,"name":"Locomotive ID","value":"4001"},{"id":130,"name":"Impact","value":""},{"id":150,"name":"Time of Event (Mountain Time)","value":"07:05:49"},{"id":151,"name":"Denver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447</v>
      </c>
      <c r="B29" s="7">
        <v>4011</v>
      </c>
      <c r="C29" s="22" t="s">
        <v>99</v>
      </c>
      <c r="D29" s="22" t="s">
        <v>258</v>
      </c>
      <c r="E29" s="13">
        <v>42667.233831018515</v>
      </c>
      <c r="F29" s="13">
        <v>42667.239756944444</v>
      </c>
      <c r="G29" s="7">
        <v>2</v>
      </c>
      <c r="H29" s="13" t="s">
        <v>323</v>
      </c>
      <c r="I29" s="13">
        <v>42667.264456018522</v>
      </c>
      <c r="J29" s="7">
        <v>1</v>
      </c>
      <c r="K29" s="112" t="str">
        <f t="shared" si="0"/>
        <v>4011/4012</v>
      </c>
      <c r="L29" s="22" t="str">
        <f>VLOOKUP(A29,'Trips&amp;Operators'!$C$1:$E$10000,3,FALSE)</f>
        <v>ACKERMAN</v>
      </c>
      <c r="M29" s="6">
        <f t="shared" si="1"/>
        <v>2.4699074077943806E-2</v>
      </c>
      <c r="N29" s="7">
        <f t="shared" si="14"/>
        <v>35.56666667223908</v>
      </c>
      <c r="O29" s="7"/>
      <c r="P29" s="7"/>
      <c r="Q29" s="23"/>
      <c r="R29" s="23"/>
      <c r="S29" s="35">
        <f t="shared" si="2"/>
        <v>1</v>
      </c>
      <c r="T29" s="50" t="str">
        <f t="shared" si="3"/>
        <v>NorthBound</v>
      </c>
      <c r="U29" s="1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04:36:43-0600',mode:absolute,to:'2016-10-24 07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9" s="52" t="str">
        <f t="shared" si="21"/>
        <v>N</v>
      </c>
      <c r="X29" s="171">
        <f t="shared" si="22"/>
        <v>1</v>
      </c>
      <c r="Y29" s="67">
        <f t="shared" si="5"/>
        <v>4.4400000000000002E-2</v>
      </c>
      <c r="Z29" s="67">
        <f t="shared" si="6"/>
        <v>23.328900000000001</v>
      </c>
      <c r="AA29" s="67">
        <f t="shared" si="7"/>
        <v>23.284500000000001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8"/>
        <v>0117-24</v>
      </c>
      <c r="AE29" s="91" t="str">
        <f t="shared" si="9"/>
        <v>aws s3 cp s3://rtdc.mdm.uploadarchive.raw/RTDC4011/ "%USERPROFILE%\AppData\Local\Temp\OnboardLogs"\RTDC4011\2016-10-24 --exclude "*" --recursive --include "*20161024*" &amp; "%USERPROFILE%\Documents\GitHub\mrs-test-scripts\Headless Mode &amp; Sideloading\WalkAndUnGZ.bat" "%USERPROFILE%\AppData\Local\Temp\OnboardLogs"\RTDC4011\2016-10-24 &amp; 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</v>
      </c>
      <c r="AF29" s="88" t="str">
        <f t="shared" si="10"/>
        <v>"C:\Program Files (x86)\AstroGrep\AstroGrep.exe" /spath="%USERPROFILE%\AppData\Local\Temp\OnboardLogs" /stypes="app*4011*20161024*" /stext=" 12:.+((SYSTEM_STATE.+slice.+state.+changed )|(ment ac)|(system.+state.+changed )|(\[timeout)|(PRM\|1\|D)|(kpr)|(kdp)|(\|lc)|(penalty))" /e /r /s</v>
      </c>
      <c r="AG29" s="1" t="str">
        <f t="shared" si="11"/>
        <v>EC</v>
      </c>
      <c r="AH29" s="92" t="str">
        <f t="shared" si="19"/>
        <v>"%USERPROFILE%\Documents\GitHub\eaglep3\Utilities\RefineRTDCRunTimes.py" --tripid 117-24 --locoid 4011 --swversion DE.1.0.7.0 --startMP 204:444 --initTime 2016-10-24T05:36:43 --startdatetime 2016-10-24T05:45:15 --delay 2 --endMP 204:233289 --enddatetime 2016-10-24T06:20:49 --enforcementcount 1 &gt;&gt;C:\Users\stu\Documents\GitHub\eaglep3-reporting\EC\2016-10-24-refined-times.txt</v>
      </c>
      <c r="AI29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{"issue":{"subject":"","project_id":79,"tracker_id":40,"status_id":1,"priority_id":2,"assigned_to_id":23,"start_date":"2016-10-24","description":"","custom_fields":[{"id":1,"name":"Subdivision","value":"EC"},{"id":4,"name":"Milepost","value":"23.3289"},{"id":17,"name":"Train ID","value":"117-24"},{"id":16,"name":"Locomotive ID","value":"4011"},{"id":130,"name":"Impact","value":""},{"id":150,"name":"Time of Event (Mountain Time)","value":"06:20:49"},{"id":151,"name":"Denver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456</v>
      </c>
      <c r="B30" s="7">
        <v>4012</v>
      </c>
      <c r="C30" s="22" t="s">
        <v>99</v>
      </c>
      <c r="D30" s="22" t="s">
        <v>625</v>
      </c>
      <c r="E30" s="13">
        <v>42667.272499999999</v>
      </c>
      <c r="F30" s="13">
        <v>42667.278703703705</v>
      </c>
      <c r="G30" s="7">
        <v>1</v>
      </c>
      <c r="H30" s="13" t="s">
        <v>224</v>
      </c>
      <c r="I30" s="13">
        <v>42667.306261574071</v>
      </c>
      <c r="J30" s="7">
        <v>1</v>
      </c>
      <c r="K30" s="112" t="str">
        <f t="shared" si="0"/>
        <v>4011/4012</v>
      </c>
      <c r="L30" s="22" t="str">
        <f>VLOOKUP(A30,'Trips&amp;Operators'!$C$1:$E$10000,3,FALSE)</f>
        <v>ACKERMAN</v>
      </c>
      <c r="M30" s="6">
        <f t="shared" si="1"/>
        <v>2.7557870365853887E-2</v>
      </c>
      <c r="N30" s="7">
        <f t="shared" si="14"/>
        <v>39.683333326829597</v>
      </c>
      <c r="O30" s="7"/>
      <c r="P30" s="7"/>
      <c r="Q30" s="23"/>
      <c r="R30" s="23"/>
      <c r="S30" s="35">
        <f t="shared" si="2"/>
        <v>1</v>
      </c>
      <c r="T30" s="50" t="str">
        <f t="shared" si="3"/>
        <v>Southbound</v>
      </c>
      <c r="U30" s="1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05:32:24-0600',mode:absolute,to:'2016-10-24 08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0" s="52" t="str">
        <f t="shared" si="21"/>
        <v>N</v>
      </c>
      <c r="X30" s="171">
        <f t="shared" si="22"/>
        <v>1</v>
      </c>
      <c r="Y30" s="67">
        <f t="shared" si="5"/>
        <v>23.295000000000002</v>
      </c>
      <c r="Z30" s="67">
        <f t="shared" si="6"/>
        <v>1.4999999999999999E-2</v>
      </c>
      <c r="AA30" s="67">
        <f t="shared" si="7"/>
        <v>23.28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8"/>
        <v>0118-24</v>
      </c>
      <c r="AE30" s="91" t="str">
        <f t="shared" si="9"/>
        <v>aws s3 cp s3://rtdc.mdm.uploadarchive.raw/RTDC4012/ "%USERPROFILE%\AppData\Local\Temp\OnboardLogs"\RTDC4012\2016-10-24 --exclude "*" --recursive --include "*20161024*" &amp; "%USERPROFILE%\Documents\GitHub\mrs-test-scripts\Headless Mode &amp; Sideloading\WalkAndUnGZ.bat" "%USERPROFILE%\AppData\Local\Temp\OnboardLogs"\RTDC4012\2016-10-24 &amp; aws s3 cp s3://rtdc.mdm.uploadarchive.raw/RTDC4012/ "%USERPROFILE%\AppData\Local\Temp\OnboardLogs"\RTDC4012\2016-10-25 --exclude "*" --recursive --include "*20161025*" &amp; "%USERPROFILE%\Documents\GitHub\mrs-test-scripts\Headless Mode &amp; Sideloading\WalkAndUnGZ.bat" "%USERPROFILE%\AppData\Local\Temp\OnboardLogs"\RTDC4012\2016-10-25</v>
      </c>
      <c r="AF30" s="88" t="str">
        <f t="shared" si="10"/>
        <v>"C:\Program Files (x86)\AstroGrep\AstroGrep.exe" /spath="%USERPROFILE%\AppData\Local\Temp\OnboardLogs" /stypes="app*4012*20161024*" /stext=" 13:.+((SYSTEM_STATE.+slice.+state.+changed )|(ment ac)|(system.+state.+changed )|(\[timeout)|(PRM\|1\|D)|(kpr)|(kdp)|(\|lc)|(penalty))" /e /r /s</v>
      </c>
      <c r="AG30" s="1" t="str">
        <f t="shared" si="11"/>
        <v>EC</v>
      </c>
      <c r="AH30" s="92" t="str">
        <f t="shared" si="19"/>
        <v>"%USERPROFILE%\Documents\GitHub\eaglep3\Utilities\RefineRTDCRunTimes.py" --tripid 118-24 --locoid 4012 --swversion DE.1.0.7.0 --startMP 204:232950 --initTime 2016-10-24T06:32:24 --startdatetime 2016-10-24T06:41:20 --delay 1 --endMP 204:150 --enddatetime 2016-10-24T07:21:01 --enforcementcount 1 &gt;&gt;C:\Users\stu\Documents\GitHub\eaglep3-reporting\EC\2016-10-24-refined-times.txt</v>
      </c>
      <c r="AI30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{"issue":{"subject":"","project_id":79,"tracker_id":40,"status_id":1,"priority_id":2,"assigned_to_id":23,"start_date":"2016-10-24","description":"","custom_fields":[{"id":1,"name":"Subdivision","value":"EC"},{"id":4,"name":"Milepost","value":"0.015"},{"id":17,"name":"Train ID","value":"118-24"},{"id":16,"name":"Locomotive ID","value":"4012"},{"id":130,"name":"Impact","value":""},{"id":150,"name":"Time of Event (Mountain Time)","value":"07:21:01"},{"id":151,"name":"Denver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392</v>
      </c>
      <c r="B31" s="7">
        <v>4014</v>
      </c>
      <c r="C31" s="22" t="s">
        <v>99</v>
      </c>
      <c r="D31" s="22" t="s">
        <v>626</v>
      </c>
      <c r="E31" s="13">
        <v>42667.247291666667</v>
      </c>
      <c r="F31" s="13">
        <v>42667.250185185185</v>
      </c>
      <c r="G31" s="7">
        <v>1</v>
      </c>
      <c r="H31" s="13" t="s">
        <v>298</v>
      </c>
      <c r="I31" s="13">
        <v>42667.276331018518</v>
      </c>
      <c r="J31" s="7">
        <v>1</v>
      </c>
      <c r="K31" s="112" t="str">
        <f t="shared" si="0"/>
        <v>4013/4014</v>
      </c>
      <c r="L31" s="22" t="str">
        <f>VLOOKUP(A31,'Trips&amp;Operators'!$C$1:$E$10000,3,FALSE)</f>
        <v>BRANNON</v>
      </c>
      <c r="M31" s="6">
        <f t="shared" si="1"/>
        <v>2.6145833333430346E-2</v>
      </c>
      <c r="N31" s="7">
        <f t="shared" si="14"/>
        <v>37.650000000139698</v>
      </c>
      <c r="O31" s="7"/>
      <c r="P31" s="7"/>
      <c r="Q31" s="23"/>
      <c r="R31" s="23"/>
      <c r="S31" s="35">
        <f t="shared" si="2"/>
        <v>1</v>
      </c>
      <c r="T31" s="50" t="str">
        <f t="shared" si="3"/>
        <v>NorthBound</v>
      </c>
      <c r="U31" s="1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04:56:06-0600',mode:absolute,to:'2016-10-24 07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1" s="52" t="str">
        <f t="shared" si="21"/>
        <v>N</v>
      </c>
      <c r="X31" s="171">
        <f t="shared" si="22"/>
        <v>1</v>
      </c>
      <c r="Y31" s="67">
        <f t="shared" si="5"/>
        <v>7.2300000000000003E-2</v>
      </c>
      <c r="Z31" s="67">
        <f t="shared" si="6"/>
        <v>23.330200000000001</v>
      </c>
      <c r="AA31" s="67">
        <f t="shared" si="7"/>
        <v>23.257900000000003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8"/>
        <v>0119-24</v>
      </c>
      <c r="AE31" s="91" t="str">
        <f t="shared" si="9"/>
        <v>aws s3 cp s3://rtdc.mdm.uploadarchive.raw/RTDC4014/ "%USERPROFILE%\AppData\Local\Temp\OnboardLogs"\RTDC4014\2016-10-24 --exclude "*" --recursive --include "*20161024*" &amp; "%USERPROFILE%\Documents\GitHub\mrs-test-scripts\Headless Mode &amp; Sideloading\WalkAndUnGZ.bat" "%USERPROFILE%\AppData\Local\Temp\OnboardLogs"\RTDC4014\2016-10-24 &amp; aws s3 cp s3://rtdc.mdm.uploadarchive.raw/RTDC4014/ "%USERPROFILE%\AppData\Local\Temp\OnboardLogs"\RTDC4014\2016-10-25 --exclude "*" --recursive --include "*20161025*" &amp; "%USERPROFILE%\Documents\GitHub\mrs-test-scripts\Headless Mode &amp; Sideloading\WalkAndUnGZ.bat" "%USERPROFILE%\AppData\Local\Temp\OnboardLogs"\RTDC4014\2016-10-25</v>
      </c>
      <c r="AF31" s="88" t="str">
        <f t="shared" si="10"/>
        <v>"C:\Program Files (x86)\AstroGrep\AstroGrep.exe" /spath="%USERPROFILE%\AppData\Local\Temp\OnboardLogs" /stypes="app*4014*20161024*" /stext=" 12:.+((SYSTEM_STATE.+slice.+state.+changed )|(ment ac)|(system.+state.+changed )|(\[timeout)|(PRM\|1\|D)|(kpr)|(kdp)|(\|lc)|(penalty))" /e /r /s</v>
      </c>
      <c r="AG31" s="1" t="str">
        <f t="shared" si="11"/>
        <v>EC</v>
      </c>
      <c r="AH31" s="92" t="str">
        <f t="shared" si="19"/>
        <v>"%USERPROFILE%\Documents\GitHub\eaglep3\Utilities\RefineRTDCRunTimes.py" --tripid 119-24 --locoid 4014 --swversion DE.1.0.7.0 --startMP 204:723 --initTime 2016-10-24T05:56:06 --startdatetime 2016-10-24T06:00:16 --delay 1 --endMP 204:233302 --enddatetime 2016-10-24T06:37:55 --enforcementcount 1 &gt;&gt;C:\Users\stu\Documents\GitHub\eaglep3-reporting\EC\2016-10-24-refined-times.txt</v>
      </c>
      <c r="AI31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{"issue":{"subject":"","project_id":79,"tracker_id":40,"status_id":1,"priority_id":2,"assigned_to_id":23,"start_date":"2016-10-24","description":"","custom_fields":[{"id":1,"name":"Subdivision","value":"EC"},{"id":4,"name":"Milepost","value":"23.3302"},{"id":17,"name":"Train ID","value":"119-24"},{"id":16,"name":"Locomotive ID","value":"4014"},{"id":130,"name":"Impact","value":""},{"id":150,"name":"Time of Event (Mountain Time)","value":"06:37:55"},{"id":151,"name":"Denver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397</v>
      </c>
      <c r="B32" s="7">
        <v>4013</v>
      </c>
      <c r="C32" s="22" t="s">
        <v>99</v>
      </c>
      <c r="D32" s="22" t="s">
        <v>358</v>
      </c>
      <c r="E32" s="13">
        <v>42667.281805555554</v>
      </c>
      <c r="F32" s="13">
        <v>42667.289085648146</v>
      </c>
      <c r="G32" s="7">
        <v>1</v>
      </c>
      <c r="H32" s="13" t="s">
        <v>627</v>
      </c>
      <c r="I32" s="13">
        <v>42667.317743055559</v>
      </c>
      <c r="J32" s="7">
        <v>1</v>
      </c>
      <c r="K32" s="112" t="str">
        <f t="shared" si="0"/>
        <v>4013/4014</v>
      </c>
      <c r="L32" s="22" t="str">
        <f>VLOOKUP(A32,'Trips&amp;Operators'!$C$1:$E$10000,3,FALSE)</f>
        <v>BRANNON</v>
      </c>
      <c r="M32" s="6">
        <f t="shared" si="1"/>
        <v>2.8657407412538305E-2</v>
      </c>
      <c r="N32" s="7">
        <f t="shared" si="14"/>
        <v>41.266666674055159</v>
      </c>
      <c r="O32" s="7"/>
      <c r="P32" s="7"/>
      <c r="Q32" s="23"/>
      <c r="R32" s="23"/>
      <c r="S32" s="35">
        <f t="shared" si="2"/>
        <v>1</v>
      </c>
      <c r="T32" s="50" t="str">
        <f t="shared" si="3"/>
        <v>Southbound</v>
      </c>
      <c r="U32" s="1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05:45:48-0600',mode:absolute,to:'2016-10-24 08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2" s="52" t="str">
        <f t="shared" si="21"/>
        <v>N</v>
      </c>
      <c r="X32" s="171">
        <f t="shared" si="22"/>
        <v>1</v>
      </c>
      <c r="Y32" s="67">
        <f t="shared" si="5"/>
        <v>23.299800000000001</v>
      </c>
      <c r="Z32" s="67">
        <f t="shared" si="6"/>
        <v>3.9100000000000003E-2</v>
      </c>
      <c r="AA32" s="67">
        <f t="shared" si="7"/>
        <v>23.2607</v>
      </c>
      <c r="AB32" s="64" t="str">
        <f>VLOOKUP(A32,Enforcements!$C$7:$K$21,8,0)</f>
        <v>Speed (6)</v>
      </c>
      <c r="AC32" s="60" t="str">
        <f>VLOOKUP(A32,Enforcements!$C$7:$E$21,3,0)</f>
        <v>PERMANENT SPEED RESTRICTION</v>
      </c>
      <c r="AD32" s="61" t="str">
        <f t="shared" si="8"/>
        <v>0120-24</v>
      </c>
      <c r="AE32" s="91" t="str">
        <f t="shared" si="9"/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AF32" s="88" t="str">
        <f t="shared" si="10"/>
        <v>"C:\Program Files (x86)\AstroGrep\AstroGrep.exe" /spath="%USERPROFILE%\AppData\Local\Temp\OnboardLogs" /stypes="app*4013*20161024*" /stext=" 13:.+((SYSTEM_STATE.+slice.+state.+changed )|(ment ac)|(system.+state.+changed )|(\[timeout)|(PRM\|1\|D)|(kpr)|(kdp)|(\|lc)|(penalty))" /e /r /s</v>
      </c>
      <c r="AG32" s="1" t="str">
        <f t="shared" si="11"/>
        <v>EC</v>
      </c>
      <c r="AH32" s="92" t="str">
        <f t="shared" si="19"/>
        <v>"%USERPROFILE%\Documents\GitHub\eaglep3\Utilities\RefineRTDCRunTimes.py" --tripid 120-24 --locoid 4013 --swversion DE.1.0.7.0 --startMP 204:232998 --initTime 2016-10-24T06:45:48 --startdatetime 2016-10-24T06:56:17 --delay 1 --endMP 204:391 --enddatetime 2016-10-24T07:37:33 --enforcementcount 1 &gt;&gt;C:\Users\stu\Documents\GitHub\eaglep3-reporting\EC\2016-10-24-refined-times.txt</v>
      </c>
      <c r="AI32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{"issue":{"subject":"","project_id":79,"tracker_id":40,"status_id":1,"priority_id":2,"assigned_to_id":23,"start_date":"2016-10-24","description":"","custom_fields":[{"id":1,"name":"Subdivision","value":"EC"},{"id":4,"name":"Milepost","value":"0.0391"},{"id":17,"name":"Train ID","value":"120-24"},{"id":16,"name":"Locomotive ID","value":"4013"},{"id":130,"name":"Impact","value":""},{"id":150,"name":"Time of Event (Mountain Time)","value":"07:37:33"},{"id":151,"name":"Denver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393</v>
      </c>
      <c r="B33" s="7">
        <v>4016</v>
      </c>
      <c r="C33" s="22" t="s">
        <v>99</v>
      </c>
      <c r="D33" s="22" t="s">
        <v>226</v>
      </c>
      <c r="E33" s="13">
        <v>42667.257187499999</v>
      </c>
      <c r="F33" s="13">
        <v>42667.260613425926</v>
      </c>
      <c r="G33" s="7">
        <v>1</v>
      </c>
      <c r="H33" s="13" t="s">
        <v>628</v>
      </c>
      <c r="I33" s="13">
        <v>42667.285937499997</v>
      </c>
      <c r="J33" s="7">
        <v>1</v>
      </c>
      <c r="K33" s="112" t="str">
        <f t="shared" si="0"/>
        <v>4015/4016</v>
      </c>
      <c r="L33" s="22" t="str">
        <f>VLOOKUP(A33,'Trips&amp;Operators'!$C$1:$E$10000,3,FALSE)</f>
        <v>SPECTOR</v>
      </c>
      <c r="M33" s="6">
        <f t="shared" si="1"/>
        <v>2.5324074071249925E-2</v>
      </c>
      <c r="N33" s="7">
        <f t="shared" si="14"/>
        <v>36.466666662599891</v>
      </c>
      <c r="O33" s="7"/>
      <c r="P33" s="7"/>
      <c r="Q33" s="23"/>
      <c r="R33" s="23"/>
      <c r="S33" s="35">
        <f t="shared" si="2"/>
        <v>1</v>
      </c>
      <c r="T33" s="50" t="str">
        <f t="shared" si="3"/>
        <v>NorthBound</v>
      </c>
      <c r="U33" s="1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05:10:21-0600',mode:absolute,to:'2016-10-24 07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3" s="52" t="str">
        <f t="shared" si="21"/>
        <v>N</v>
      </c>
      <c r="X33" s="171">
        <f t="shared" si="22"/>
        <v>1</v>
      </c>
      <c r="Y33" s="67">
        <f t="shared" si="5"/>
        <v>4.53E-2</v>
      </c>
      <c r="Z33" s="67">
        <f t="shared" si="6"/>
        <v>23.323599999999999</v>
      </c>
      <c r="AA33" s="67">
        <f t="shared" si="7"/>
        <v>23.278299999999998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8"/>
        <v>0121-24</v>
      </c>
      <c r="AE33" s="91" t="str">
        <f t="shared" si="9"/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AF33" s="88" t="str">
        <f t="shared" si="10"/>
        <v>"C:\Program Files (x86)\AstroGrep\AstroGrep.exe" /spath="%USERPROFILE%\AppData\Local\Temp\OnboardLogs" /stypes="app*4016*20161024*" /stext=" 12:.+((SYSTEM_STATE.+slice.+state.+changed )|(ment ac)|(system.+state.+changed )|(\[timeout)|(PRM\|1\|D)|(kpr)|(kdp)|(\|lc)|(penalty))" /e /r /s</v>
      </c>
      <c r="AG33" s="1" t="str">
        <f t="shared" si="11"/>
        <v>EC</v>
      </c>
      <c r="AH33" s="92" t="str">
        <f t="shared" si="19"/>
        <v>"%USERPROFILE%\Documents\GitHub\eaglep3\Utilities\RefineRTDCRunTimes.py" --tripid 121-24 --locoid 4016 --swversion DE.1.0.7.0 --startMP 204:453 --initTime 2016-10-24T06:10:21 --startdatetime 2016-10-24T06:15:17 --delay 1 --endMP 204:233236 --enddatetime 2016-10-24T06:51:45 --enforcementcount 1 &gt;&gt;C:\Users\stu\Documents\GitHub\eaglep3-reporting\EC\2016-10-24-refined-times.txt</v>
      </c>
      <c r="AI33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{"issue":{"subject":"","project_id":79,"tracker_id":40,"status_id":1,"priority_id":2,"assigned_to_id":23,"start_date":"2016-10-24","description":"","custom_fields":[{"id":1,"name":"Subdivision","value":"EC"},{"id":4,"name":"Milepost","value":"23.3236"},{"id":17,"name":"Train ID","value":"121-24"},{"id":16,"name":"Locomotive ID","value":"4016"},{"id":130,"name":"Impact","value":""},{"id":150,"name":"Time of Event (Mountain Time)","value":"06:51:45"},{"id":151,"name":"Denver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459</v>
      </c>
      <c r="B34" s="7">
        <v>4015</v>
      </c>
      <c r="C34" s="22" t="s">
        <v>99</v>
      </c>
      <c r="D34" s="22" t="s">
        <v>629</v>
      </c>
      <c r="E34" s="13">
        <v>42667.292349537034</v>
      </c>
      <c r="F34" s="13">
        <v>42667.299479166664</v>
      </c>
      <c r="G34" s="7">
        <v>1</v>
      </c>
      <c r="H34" s="13" t="s">
        <v>272</v>
      </c>
      <c r="I34" s="13">
        <v>42667.327673611115</v>
      </c>
      <c r="J34" s="7">
        <v>1</v>
      </c>
      <c r="K34" s="112" t="str">
        <f t="shared" si="0"/>
        <v>4015/4016</v>
      </c>
      <c r="L34" s="22" t="str">
        <f>VLOOKUP(A34,'Trips&amp;Operators'!$C$1:$E$10000,3,FALSE)</f>
        <v>SPECTOR</v>
      </c>
      <c r="M34" s="6">
        <f t="shared" si="1"/>
        <v>2.8194444450491574E-2</v>
      </c>
      <c r="N34" s="7">
        <f t="shared" si="14"/>
        <v>40.600000008707866</v>
      </c>
      <c r="O34" s="7"/>
      <c r="P34" s="7"/>
      <c r="Q34" s="23"/>
      <c r="R34" s="23"/>
      <c r="S34" s="35">
        <f t="shared" si="2"/>
        <v>1</v>
      </c>
      <c r="T34" s="50" t="str">
        <f t="shared" si="3"/>
        <v>Southbound</v>
      </c>
      <c r="U34" s="1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06:00:59-0600',mode:absolute,to:'2016-10-24 08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4" s="52" t="str">
        <f t="shared" si="21"/>
        <v>N</v>
      </c>
      <c r="X34" s="171">
        <f t="shared" si="22"/>
        <v>1</v>
      </c>
      <c r="Y34" s="67">
        <f t="shared" si="5"/>
        <v>23.291899999999998</v>
      </c>
      <c r="Z34" s="67">
        <f t="shared" si="6"/>
        <v>1.38E-2</v>
      </c>
      <c r="AA34" s="67">
        <f t="shared" si="7"/>
        <v>23.278099999999998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8"/>
        <v>0122-24</v>
      </c>
      <c r="AE34" s="91" t="str">
        <f t="shared" si="9"/>
        <v>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 &amp; 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</v>
      </c>
      <c r="AF34" s="88" t="str">
        <f t="shared" si="10"/>
        <v>"C:\Program Files (x86)\AstroGrep\AstroGrep.exe" /spath="%USERPROFILE%\AppData\Local\Temp\OnboardLogs" /stypes="app*4015*20161024*" /stext=" 13:.+((SYSTEM_STATE.+slice.+state.+changed )|(ment ac)|(system.+state.+changed )|(\[timeout)|(PRM\|1\|D)|(kpr)|(kdp)|(\|lc)|(penalty))" /e /r /s</v>
      </c>
      <c r="AG34" s="1" t="str">
        <f t="shared" si="11"/>
        <v>EC</v>
      </c>
      <c r="AH34" s="92" t="str">
        <f t="shared" si="19"/>
        <v>"%USERPROFILE%\Documents\GitHub\eaglep3\Utilities\RefineRTDCRunTimes.py" --tripid 122-24 --locoid 4015 --swversion DE.1.0.7.0 --startMP 204:232919 --initTime 2016-10-24T07:00:59 --startdatetime 2016-10-24T07:11:15 --delay 1 --endMP 204:138 --enddatetime 2016-10-24T07:51:51 --enforcementcount 1 &gt;&gt;C:\Users\stu\Documents\GitHub\eaglep3-reporting\EC\2016-10-24-refined-times.txt</v>
      </c>
      <c r="AI34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{"issue":{"subject":"","project_id":79,"tracker_id":40,"status_id":1,"priority_id":2,"assigned_to_id":23,"start_date":"2016-10-24","description":"","custom_fields":[{"id":1,"name":"Subdivision","value":"EC"},{"id":4,"name":"Milepost","value":"0.0138"},{"id":17,"name":"Train ID","value":"122-24"},{"id":16,"name":"Locomotive ID","value":"4015"},{"id":130,"name":"Impact","value":""},{"id":150,"name":"Time of Event (Mountain Time)","value":"07:51:51"},{"id":151,"name":"Denver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455</v>
      </c>
      <c r="B35" s="7">
        <v>4018</v>
      </c>
      <c r="C35" s="22" t="s">
        <v>99</v>
      </c>
      <c r="D35" s="22" t="s">
        <v>630</v>
      </c>
      <c r="E35" s="13">
        <v>42667.26840277778</v>
      </c>
      <c r="F35" s="13">
        <v>42667.271331018521</v>
      </c>
      <c r="G35" s="7">
        <v>1</v>
      </c>
      <c r="H35" s="13" t="s">
        <v>631</v>
      </c>
      <c r="I35" s="13">
        <v>42667.296736111108</v>
      </c>
      <c r="J35" s="7">
        <v>1</v>
      </c>
      <c r="K35" s="112" t="str">
        <f t="shared" si="0"/>
        <v>4017/4018</v>
      </c>
      <c r="L35" s="22" t="str">
        <f>VLOOKUP(A35,'Trips&amp;Operators'!$C$1:$E$10000,3,FALSE)</f>
        <v>YORK</v>
      </c>
      <c r="M35" s="6">
        <f t="shared" si="1"/>
        <v>2.5405092586879618E-2</v>
      </c>
      <c r="N35" s="7">
        <f t="shared" si="14"/>
        <v>36.583333325106651</v>
      </c>
      <c r="O35" s="7"/>
      <c r="P35" s="7"/>
      <c r="Q35" s="23"/>
      <c r="R35" s="23"/>
      <c r="S35" s="35">
        <f t="shared" si="2"/>
        <v>1</v>
      </c>
      <c r="T35" s="50" t="str">
        <f t="shared" si="3"/>
        <v>NorthBound</v>
      </c>
      <c r="U35" s="1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05:26:30-0600',mode:absolute,to:'2016-10-24 08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5" s="52" t="str">
        <f t="shared" si="21"/>
        <v>N</v>
      </c>
      <c r="X35" s="171">
        <f t="shared" si="22"/>
        <v>1</v>
      </c>
      <c r="Y35" s="67">
        <f t="shared" si="5"/>
        <v>6.4799999999999996E-2</v>
      </c>
      <c r="Z35" s="67">
        <f t="shared" si="6"/>
        <v>23.333200000000001</v>
      </c>
      <c r="AA35" s="67">
        <f t="shared" si="7"/>
        <v>23.2684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8"/>
        <v>0123-24</v>
      </c>
      <c r="AE35" s="91" t="str">
        <f t="shared" si="9"/>
        <v>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 &amp; aws s3 cp s3://rtdc.mdm.uploadarchive.raw/RTDC4018/ "%USERPROFILE%\AppData\Local\Temp\OnboardLogs"\RTDC4018\2016-10-25 --exclude "*" --recursive --include "*20161025*" &amp; "%USERPROFILE%\Documents\GitHub\mrs-test-scripts\Headless Mode &amp; Sideloading\WalkAndUnGZ.bat" "%USERPROFILE%\AppData\Local\Temp\OnboardLogs"\RTDC4018\2016-10-25</v>
      </c>
      <c r="AF35" s="88" t="str">
        <f t="shared" si="10"/>
        <v>"C:\Program Files (x86)\AstroGrep\AstroGrep.exe" /spath="%USERPROFILE%\AppData\Local\Temp\OnboardLogs" /stypes="app*4018*20161024*" /stext=" 13:.+((SYSTEM_STATE.+slice.+state.+changed )|(ment ac)|(system.+state.+changed )|(\[timeout)|(PRM\|1\|D)|(kpr)|(kdp)|(\|lc)|(penalty))" /e /r /s</v>
      </c>
      <c r="AG35" s="1" t="str">
        <f t="shared" si="11"/>
        <v>EC</v>
      </c>
      <c r="AH35" s="92" t="str">
        <f t="shared" si="19"/>
        <v>"%USERPROFILE%\Documents\GitHub\eaglep3\Utilities\RefineRTDCRunTimes.py" --tripid 123-24 --locoid 4018 --swversion DE.1.0.7.0 --startMP 204:648 --initTime 2016-10-24T06:26:30 --startdatetime 2016-10-24T06:30:43 --delay 1 --endMP 204:233332 --enddatetime 2016-10-24T07:07:18 --enforcementcount 1 &gt;&gt;C:\Users\stu\Documents\GitHub\eaglep3-reporting\EC\2016-10-24-refined-times.txt</v>
      </c>
      <c r="AI35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{"issue":{"subject":"","project_id":79,"tracker_id":40,"status_id":1,"priority_id":2,"assigned_to_id":23,"start_date":"2016-10-24","description":"","custom_fields":[{"id":1,"name":"Subdivision","value":"EC"},{"id":4,"name":"Milepost","value":"23.3332"},{"id":17,"name":"Train ID","value":"123-24"},{"id":16,"name":"Locomotive ID","value":"4018"},{"id":130,"name":"Impact","value":""},{"id":150,"name":"Time of Event (Mountain Time)","value":"07:07:18"},{"id":151,"name":"Denver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460</v>
      </c>
      <c r="B36" s="7">
        <v>4017</v>
      </c>
      <c r="C36" s="22" t="s">
        <v>99</v>
      </c>
      <c r="D36" s="22" t="s">
        <v>632</v>
      </c>
      <c r="E36" s="13">
        <v>42667.29891203704</v>
      </c>
      <c r="F36" s="13">
        <v>42667.344074074077</v>
      </c>
      <c r="G36" s="7">
        <v>1</v>
      </c>
      <c r="H36" s="13" t="s">
        <v>624</v>
      </c>
      <c r="I36" s="13">
        <v>42667.368819444448</v>
      </c>
      <c r="J36" s="7">
        <v>1</v>
      </c>
      <c r="K36" s="112" t="str">
        <f t="shared" si="0"/>
        <v>4017/4018</v>
      </c>
      <c r="L36" s="22" t="str">
        <f>VLOOKUP(A36,'Trips&amp;Operators'!$C$1:$E$10000,3,FALSE)</f>
        <v>YORK</v>
      </c>
      <c r="M36" s="6">
        <f t="shared" si="1"/>
        <v>2.47453703705105E-2</v>
      </c>
      <c r="N36" s="7">
        <f t="shared" si="14"/>
        <v>35.63333333353512</v>
      </c>
      <c r="O36" s="7"/>
      <c r="P36" s="7"/>
      <c r="Q36" s="23"/>
      <c r="R36" s="23"/>
      <c r="S36" s="35">
        <f t="shared" si="2"/>
        <v>1</v>
      </c>
      <c r="T36" s="50" t="str">
        <f t="shared" si="3"/>
        <v>Southbound</v>
      </c>
      <c r="U36" s="1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06:10:26-0600',mode:absolute,to:'2016-10-24 09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6" s="52" t="str">
        <f t="shared" si="21"/>
        <v>N</v>
      </c>
      <c r="X36" s="171">
        <f t="shared" si="22"/>
        <v>1</v>
      </c>
      <c r="Y36" s="67">
        <f t="shared" si="5"/>
        <v>23.2974</v>
      </c>
      <c r="Z36" s="67">
        <f t="shared" si="6"/>
        <v>1.5800000000000002E-2</v>
      </c>
      <c r="AA36" s="67">
        <f t="shared" si="7"/>
        <v>23.281600000000001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8"/>
        <v>0124-24</v>
      </c>
      <c r="AE36" s="91" t="str">
        <f t="shared" si="9"/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AF36" s="88" t="str">
        <f t="shared" si="10"/>
        <v>"C:\Program Files (x86)\AstroGrep\AstroGrep.exe" /spath="%USERPROFILE%\AppData\Local\Temp\OnboardLogs" /stypes="app*4017*20161024*" /stext=" 14:.+((SYSTEM_STATE.+slice.+state.+changed )|(ment ac)|(system.+state.+changed )|(\[timeout)|(PRM\|1\|D)|(kpr)|(kdp)|(\|lc)|(penalty))" /e /r /s</v>
      </c>
      <c r="AG36" s="1" t="str">
        <f t="shared" si="11"/>
        <v>EC</v>
      </c>
      <c r="AH36" s="92" t="str">
        <f t="shared" si="19"/>
        <v>"%USERPROFILE%\Documents\GitHub\eaglep3\Utilities\RefineRTDCRunTimes.py" --tripid 124-24 --locoid 4017 --swversion DE.1.0.7.0 --startMP 204:232974 --initTime 2016-10-24T07:10:26 --startdatetime 2016-10-24T08:15:28 --delay 1 --endMP 204:158 --enddatetime 2016-10-24T08:51:06 --enforcementcount 1 &gt;&gt;C:\Users\stu\Documents\GitHub\eaglep3-reporting\EC\2016-10-24-refined-times.txt</v>
      </c>
      <c r="AI36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{"issue":{"subject":"","project_id":79,"tracker_id":40,"status_id":1,"priority_id":2,"assigned_to_id":23,"start_date":"2016-10-24","description":"","custom_fields":[{"id":1,"name":"Subdivision","value":"EC"},{"id":4,"name":"Milepost","value":"0.0158"},{"id":17,"name":"Train ID","value":"124-24"},{"id":16,"name":"Locomotive ID","value":"4017"},{"id":130,"name":"Impact","value":""},{"id":150,"name":"Time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395</v>
      </c>
      <c r="B37" s="7">
        <v>4053</v>
      </c>
      <c r="C37" s="22" t="s">
        <v>99</v>
      </c>
      <c r="D37" s="22" t="s">
        <v>633</v>
      </c>
      <c r="E37" s="13">
        <v>42667.279317129629</v>
      </c>
      <c r="F37" s="13">
        <v>42667.281701388885</v>
      </c>
      <c r="G37" s="7">
        <v>1</v>
      </c>
      <c r="H37" s="13" t="s">
        <v>634</v>
      </c>
      <c r="I37" s="13">
        <v>42667.308449074073</v>
      </c>
      <c r="J37" s="7">
        <v>1</v>
      </c>
      <c r="K37" s="112" t="str">
        <f t="shared" si="0"/>
        <v>4053/4054</v>
      </c>
      <c r="L37" s="22" t="str">
        <f>VLOOKUP(A37,'Trips&amp;Operators'!$C$1:$E$10000,3,FALSE)</f>
        <v>STARKS</v>
      </c>
      <c r="M37" s="6">
        <f t="shared" si="1"/>
        <v>2.6747685187729076E-2</v>
      </c>
      <c r="N37" s="7">
        <f t="shared" si="14"/>
        <v>38.516666670329869</v>
      </c>
      <c r="O37" s="7"/>
      <c r="P37" s="7"/>
      <c r="Q37" s="23"/>
      <c r="R37" s="23"/>
      <c r="S37" s="35">
        <f t="shared" si="2"/>
        <v>1</v>
      </c>
      <c r="T37" s="50" t="str">
        <f t="shared" si="3"/>
        <v>NorthBound</v>
      </c>
      <c r="U37" s="1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05:42:13-0600',mode:absolute,to:'2016-10-24 08:24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7" s="52" t="str">
        <f t="shared" si="21"/>
        <v>N</v>
      </c>
      <c r="X37" s="171">
        <f t="shared" si="22"/>
        <v>1</v>
      </c>
      <c r="Y37" s="67">
        <f t="shared" si="5"/>
        <v>3.1600000000000003E-2</v>
      </c>
      <c r="Z37" s="67">
        <f t="shared" si="6"/>
        <v>23.324000000000002</v>
      </c>
      <c r="AA37" s="67">
        <f t="shared" si="7"/>
        <v>23.292400000000001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8"/>
        <v>0125-24</v>
      </c>
      <c r="AE37" s="91" t="str">
        <f t="shared" si="9"/>
        <v>aws s3 cp s3://rtdc.mdm.uploadarchive.raw/RTDC4053/ "%USERPROFILE%\AppData\Local\Temp\OnboardLogs"\RTDC4053\2016-10-24 --exclude "*" --recursive --include "*20161024*" &amp; "%USERPROFILE%\Documents\GitHub\mrs-test-scripts\Headless Mode &amp; Sideloading\WalkAndUnGZ.bat" "%USERPROFILE%\AppData\Local\Temp\OnboardLogs"\RTDC4053\2016-10-24 &amp; 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</v>
      </c>
      <c r="AF37" s="88" t="str">
        <f t="shared" si="10"/>
        <v>"C:\Program Files (x86)\AstroGrep\AstroGrep.exe" /spath="%USERPROFILE%\AppData\Local\Temp\OnboardLogs" /stypes="app*4053*20161024*" /stext=" 13:.+((SYSTEM_STATE.+slice.+state.+changed )|(ment ac)|(system.+state.+changed )|(\[timeout)|(PRM\|1\|D)|(kpr)|(kdp)|(\|lc)|(penalty))" /e /r /s</v>
      </c>
      <c r="AG37" s="1" t="str">
        <f t="shared" si="11"/>
        <v>EC</v>
      </c>
      <c r="AH37" s="92" t="str">
        <f t="shared" si="19"/>
        <v>"%USERPROFILE%\Documents\GitHub\eaglep3\Utilities\RefineRTDCRunTimes.py" --tripid 125-24 --locoid 4053 --swversion DE.1.0.7.0 --startMP 204:316 --initTime 2016-10-24T06:42:13 --startdatetime 2016-10-24T06:45:39 --delay 1 --endMP 204:233240 --enddatetime 2016-10-24T07:24:10 --enforcementcount 1 &gt;&gt;C:\Users\stu\Documents\GitHub\eaglep3-reporting\EC\2016-10-24-refined-times.txt</v>
      </c>
      <c r="AI37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{"issue":{"subject":"","project_id":79,"tracker_id":40,"status_id":1,"priority_id":2,"assigned_to_id":23,"start_date":"2016-10-24","description":"","custom_fields":[{"id":1,"name":"Subdivision","value":"EC"},{"id":4,"name":"Milepost","value":"23.324"},{"id":17,"name":"Train ID","value":"125-24"},{"id":16,"name":"Locomotive ID","value":"4053"},{"id":130,"name":"Impact","value":""},{"id":150,"name":"Time of Event (Mountain Time)","value":"07:24:10"},{"id":151,"name":"Denver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464</v>
      </c>
      <c r="B38" s="7">
        <v>4054</v>
      </c>
      <c r="C38" s="22" t="s">
        <v>99</v>
      </c>
      <c r="D38" s="22" t="s">
        <v>635</v>
      </c>
      <c r="E38" s="13">
        <v>42667.317511574074</v>
      </c>
      <c r="F38" s="13">
        <v>42667.3203125</v>
      </c>
      <c r="G38" s="7">
        <v>1</v>
      </c>
      <c r="H38" s="13" t="s">
        <v>223</v>
      </c>
      <c r="I38" s="13">
        <v>42667.348425925928</v>
      </c>
      <c r="J38" s="7">
        <v>1</v>
      </c>
      <c r="K38" s="112" t="str">
        <f t="shared" si="0"/>
        <v>4053/4054</v>
      </c>
      <c r="L38" s="22" t="str">
        <f>VLOOKUP(A38,'Trips&amp;Operators'!$C$1:$E$10000,3,FALSE)</f>
        <v>STARKS</v>
      </c>
      <c r="M38" s="6">
        <f t="shared" si="1"/>
        <v>2.8113425927585922E-2</v>
      </c>
      <c r="N38" s="7">
        <f t="shared" si="14"/>
        <v>40.483333335723728</v>
      </c>
      <c r="O38" s="7"/>
      <c r="P38" s="7"/>
      <c r="Q38" s="23"/>
      <c r="R38" s="23"/>
      <c r="S38" s="35">
        <f t="shared" si="2"/>
        <v>1</v>
      </c>
      <c r="T38" s="50" t="str">
        <f t="shared" si="3"/>
        <v>Southbound</v>
      </c>
      <c r="U38" s="1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06:37:13-0600',mode:absolute,to:'2016-10-24 09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8" s="52" t="str">
        <f t="shared" si="21"/>
        <v>N</v>
      </c>
      <c r="X38" s="171">
        <f t="shared" si="22"/>
        <v>1</v>
      </c>
      <c r="Y38" s="67">
        <f t="shared" si="5"/>
        <v>23.292899999999999</v>
      </c>
      <c r="Z38" s="67">
        <f t="shared" si="6"/>
        <v>1.43E-2</v>
      </c>
      <c r="AA38" s="67">
        <f t="shared" si="7"/>
        <v>23.278600000000001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8"/>
        <v>0126-24</v>
      </c>
      <c r="AE38" s="91" t="str">
        <f t="shared" si="9"/>
        <v>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 &amp; 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</v>
      </c>
      <c r="AF38" s="88" t="str">
        <f t="shared" si="10"/>
        <v>"C:\Program Files (x86)\AstroGrep\AstroGrep.exe" /spath="%USERPROFILE%\AppData\Local\Temp\OnboardLogs" /stypes="app*4054*20161024*" /stext=" 14:.+((SYSTEM_STATE.+slice.+state.+changed )|(ment ac)|(system.+state.+changed )|(\[timeout)|(PRM\|1\|D)|(kpr)|(kdp)|(\|lc)|(penalty))" /e /r /s</v>
      </c>
      <c r="AG38" s="1" t="str">
        <f t="shared" si="11"/>
        <v>EC</v>
      </c>
      <c r="AH38" s="92" t="str">
        <f t="shared" si="19"/>
        <v>"%USERPROFILE%\Documents\GitHub\eaglep3\Utilities\RefineRTDCRunTimes.py" --tripid 126-24 --locoid 4054 --swversion DE.1.0.7.0 --startMP 204:232929 --initTime 2016-10-24T07:37:13 --startdatetime 2016-10-24T07:41:15 --delay 1 --endMP 204:143 --enddatetime 2016-10-24T08:21:44 --enforcementcount 1 &gt;&gt;C:\Users\stu\Documents\GitHub\eaglep3-reporting\EC\2016-10-24-refined-times.txt</v>
      </c>
      <c r="AI38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{"issue":{"subject":"","project_id":79,"tracker_id":40,"status_id":1,"priority_id":2,"assigned_to_id":23,"start_date":"2016-10-24","description":"","custom_fields":[{"id":1,"name":"Subdivision","value":"EC"},{"id":4,"name":"Milepost","value":"0.0143"},{"id":17,"name":"Train ID","value":"126-24"},{"id":16,"name":"Locomotive ID","value":"4054"},{"id":130,"name":"Impact","value":""},{"id":150,"name":"Time of Event (Mountain Time)","value":"08:21:44"},{"id":151,"name":"Denver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458</v>
      </c>
      <c r="B39" s="7">
        <v>4038</v>
      </c>
      <c r="C39" s="22" t="s">
        <v>99</v>
      </c>
      <c r="D39" s="22" t="s">
        <v>258</v>
      </c>
      <c r="E39" s="13">
        <v>42667.287349537037</v>
      </c>
      <c r="F39" s="13">
        <v>42667.291921296295</v>
      </c>
      <c r="G39" s="7">
        <v>1</v>
      </c>
      <c r="H39" s="13" t="s">
        <v>227</v>
      </c>
      <c r="I39" s="13">
        <v>42667.31763888889</v>
      </c>
      <c r="J39" s="7">
        <v>1</v>
      </c>
      <c r="K39" s="112" t="str">
        <f t="shared" si="0"/>
        <v>4037/4038</v>
      </c>
      <c r="L39" s="22" t="str">
        <f>VLOOKUP(A39,'Trips&amp;Operators'!$C$1:$E$10000,3,FALSE)</f>
        <v>KILLION</v>
      </c>
      <c r="M39" s="6">
        <f t="shared" si="1"/>
        <v>2.5717592594446614E-2</v>
      </c>
      <c r="N39" s="7">
        <f t="shared" si="14"/>
        <v>37.033333336003125</v>
      </c>
      <c r="O39" s="7"/>
      <c r="P39" s="7"/>
      <c r="Q39" s="23"/>
      <c r="R39" s="23"/>
      <c r="S39" s="35">
        <f t="shared" si="2"/>
        <v>1</v>
      </c>
      <c r="T39" s="50" t="str">
        <f t="shared" si="3"/>
        <v>NorthBound</v>
      </c>
      <c r="U39" s="1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05:53:47-0600',mode:absolute,to:'2016-10-24 08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9" s="52" t="str">
        <f t="shared" si="21"/>
        <v>N</v>
      </c>
      <c r="X39" s="171">
        <f t="shared" si="22"/>
        <v>1</v>
      </c>
      <c r="Y39" s="67">
        <f t="shared" si="5"/>
        <v>4.4400000000000002E-2</v>
      </c>
      <c r="Z39" s="67">
        <f t="shared" si="6"/>
        <v>23.33</v>
      </c>
      <c r="AA39" s="67">
        <f t="shared" si="7"/>
        <v>23.285599999999999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8"/>
        <v>0127-24</v>
      </c>
      <c r="AE39" s="91" t="str">
        <f t="shared" si="9"/>
        <v>aws s3 cp s3://rtdc.mdm.uploadarchive.raw/RTDC4038/ "%USERPROFILE%\AppData\Local\Temp\OnboardLogs"\RTDC4038\2016-10-24 --exclude "*" --recursive --include "*20161024*" &amp; "%USERPROFILE%\Documents\GitHub\mrs-test-scripts\Headless Mode &amp; Sideloading\WalkAndUnGZ.bat" "%USERPROFILE%\AppData\Local\Temp\OnboardLogs"\RTDC4038\2016-10-24 &amp; aws s3 cp s3://rtdc.mdm.uploadarchive.raw/RTDC4038/ "%USERPROFILE%\AppData\Local\Temp\OnboardLogs"\RTDC4038\2016-10-25 --exclude "*" --recursive --include "*20161025*" &amp; "%USERPROFILE%\Documents\GitHub\mrs-test-scripts\Headless Mode &amp; Sideloading\WalkAndUnGZ.bat" "%USERPROFILE%\AppData\Local\Temp\OnboardLogs"\RTDC4038\2016-10-25</v>
      </c>
      <c r="AF39" s="88" t="str">
        <f t="shared" si="10"/>
        <v>"C:\Program Files (x86)\AstroGrep\AstroGrep.exe" /spath="%USERPROFILE%\AppData\Local\Temp\OnboardLogs" /stypes="app*4038*20161024*" /stext=" 13:.+((SYSTEM_STATE.+slice.+state.+changed )|(ment ac)|(system.+state.+changed )|(\[timeout)|(PRM\|1\|D)|(kpr)|(kdp)|(\|lc)|(penalty))" /e /r /s</v>
      </c>
      <c r="AG39" s="1" t="str">
        <f t="shared" si="11"/>
        <v>EC</v>
      </c>
      <c r="AH39" s="92" t="str">
        <f t="shared" si="19"/>
        <v>"%USERPROFILE%\Documents\GitHub\eaglep3\Utilities\RefineRTDCRunTimes.py" --tripid 127-24 --locoid 4038 --swversion DE.1.0.7.0 --startMP 204:444 --initTime 2016-10-24T06:53:47 --startdatetime 2016-10-24T07:00:22 --delay 1 --endMP 204:233300 --enddatetime 2016-10-24T07:37:24 --enforcementcount 1 &gt;&gt;C:\Users\stu\Documents\GitHub\eaglep3-reporting\EC\2016-10-24-refined-times.txt</v>
      </c>
      <c r="AI39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{"issue":{"subject":"","project_id":79,"tracker_id":40,"status_id":1,"priority_id":2,"assigned_to_id":23,"start_date":"2016-10-24","description":"","custom_fields":[{"id":1,"name":"Subdivision","value":"EC"},{"id":4,"name":"Milepost","value":"23.33"},{"id":17,"name":"Train ID","value":"127-24"},{"id":16,"name":"Locomotive ID","value":"4038"},{"id":130,"name":"Impact","value":""},{"id":150,"name":"Time of Event (Mountain Time)","value":"07:37:24"},{"id":151,"name":"Denver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399</v>
      </c>
      <c r="B40" s="7">
        <v>4037</v>
      </c>
      <c r="C40" s="22" t="s">
        <v>99</v>
      </c>
      <c r="D40" s="22" t="s">
        <v>636</v>
      </c>
      <c r="E40" s="13">
        <v>42667.323634259257</v>
      </c>
      <c r="F40" s="13">
        <v>42667.330740740741</v>
      </c>
      <c r="G40" s="7">
        <v>1</v>
      </c>
      <c r="H40" s="13" t="s">
        <v>176</v>
      </c>
      <c r="I40" s="13">
        <v>42667.358634259261</v>
      </c>
      <c r="J40" s="7">
        <v>1</v>
      </c>
      <c r="K40" s="112" t="str">
        <f t="shared" si="0"/>
        <v>4037/4038</v>
      </c>
      <c r="L40" s="22" t="str">
        <f>VLOOKUP(A40,'Trips&amp;Operators'!$C$1:$E$10000,3,FALSE)</f>
        <v>KILLION</v>
      </c>
      <c r="M40" s="6">
        <f t="shared" si="1"/>
        <v>2.789351851970423E-2</v>
      </c>
      <c r="N40" s="7">
        <f t="shared" si="14"/>
        <v>40.166666668374091</v>
      </c>
      <c r="O40" s="7"/>
      <c r="P40" s="7"/>
      <c r="Q40" s="23"/>
      <c r="R40" s="23"/>
      <c r="S40" s="35">
        <f t="shared" si="2"/>
        <v>1</v>
      </c>
      <c r="T40" s="50" t="str">
        <f t="shared" si="3"/>
        <v>Southbound</v>
      </c>
      <c r="U40" s="1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06:46:02-0600',mode:absolute,to:'2016-10-24 09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0" s="52" t="str">
        <f t="shared" si="21"/>
        <v>N</v>
      </c>
      <c r="X40" s="171">
        <f t="shared" si="22"/>
        <v>1</v>
      </c>
      <c r="Y40" s="67">
        <f t="shared" si="5"/>
        <v>23.297000000000001</v>
      </c>
      <c r="Z40" s="67">
        <f t="shared" si="6"/>
        <v>1.47E-2</v>
      </c>
      <c r="AA40" s="67">
        <f t="shared" si="7"/>
        <v>23.282299999999999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8"/>
        <v>0128-24</v>
      </c>
      <c r="AE40" s="91" t="str">
        <f t="shared" si="9"/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AF40" s="88" t="str">
        <f t="shared" si="10"/>
        <v>"C:\Program Files (x86)\AstroGrep\AstroGrep.exe" /spath="%USERPROFILE%\AppData\Local\Temp\OnboardLogs" /stypes="app*4037*20161024*" /stext=" 14:.+((SYSTEM_STATE.+slice.+state.+changed )|(ment ac)|(system.+state.+changed )|(\[timeout)|(PRM\|1\|D)|(kpr)|(kdp)|(\|lc)|(penalty))" /e /r /s</v>
      </c>
      <c r="AG40" s="1" t="str">
        <f t="shared" si="11"/>
        <v>EC</v>
      </c>
      <c r="AH40" s="92" t="str">
        <f t="shared" si="19"/>
        <v>"%USERPROFILE%\Documents\GitHub\eaglep3\Utilities\RefineRTDCRunTimes.py" --tripid 128-24 --locoid 4037 --swversion DE.1.0.7.0 --startMP 204:232970 --initTime 2016-10-24T07:46:02 --startdatetime 2016-10-24T07:56:16 --delay 1 --endMP 204:147 --enddatetime 2016-10-24T08:36:26 --enforcementcount 1 &gt;&gt;C:\Users\stu\Documents\GitHub\eaglep3-reporting\EC\2016-10-24-refined-times.txt</v>
      </c>
      <c r="AI40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{"issue":{"subject":"","project_id":79,"tracker_id":40,"status_id":1,"priority_id":2,"assigned_to_id":23,"start_date":"2016-10-24","description":"","custom_fields":[{"id":1,"name":"Subdivision","value":"EC"},{"id":4,"name":"Milepost","value":"0.0147"},{"id":17,"name":"Train ID","value":"128-24"},{"id":16,"name":"Locomotive ID","value":"4037"},{"id":130,"name":"Impact","value":""},{"id":150,"name":"Time of Event (Mountain Time)","value":"08:36:26"},{"id":151,"name":"Denver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461</v>
      </c>
      <c r="B41" s="7">
        <v>4002</v>
      </c>
      <c r="C41" s="22" t="s">
        <v>99</v>
      </c>
      <c r="D41" s="22" t="s">
        <v>292</v>
      </c>
      <c r="E41" s="13">
        <v>42667.300671296296</v>
      </c>
      <c r="F41" s="13">
        <v>42667.302418981482</v>
      </c>
      <c r="G41" s="7">
        <v>1</v>
      </c>
      <c r="H41" s="13" t="s">
        <v>376</v>
      </c>
      <c r="I41" s="13">
        <v>42667.328182870369</v>
      </c>
      <c r="J41" s="7">
        <v>1</v>
      </c>
      <c r="K41" s="112" t="str">
        <f t="shared" si="0"/>
        <v>4001/4002</v>
      </c>
      <c r="L41" s="22" t="str">
        <f>VLOOKUP(A41,'Trips&amp;Operators'!$C$1:$E$10000,3,FALSE)</f>
        <v>MALAVE</v>
      </c>
      <c r="M41" s="6">
        <f t="shared" si="1"/>
        <v>2.5763888887013309E-2</v>
      </c>
      <c r="N41" s="7">
        <f t="shared" si="14"/>
        <v>37.099999997299165</v>
      </c>
      <c r="O41" s="7"/>
      <c r="P41" s="7"/>
      <c r="Q41" s="23"/>
      <c r="R41" s="23"/>
      <c r="S41" s="35">
        <f t="shared" si="2"/>
        <v>1</v>
      </c>
      <c r="T41" s="50" t="str">
        <f t="shared" si="3"/>
        <v>NorthBound</v>
      </c>
      <c r="U41" s="1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06:12:58-0600',mode:absolute,to:'2016-10-24 08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1" s="52" t="str">
        <f t="shared" si="21"/>
        <v>N</v>
      </c>
      <c r="X41" s="171">
        <f t="shared" si="22"/>
        <v>1</v>
      </c>
      <c r="Y41" s="67">
        <f t="shared" si="5"/>
        <v>4.6199999999999998E-2</v>
      </c>
      <c r="Z41" s="67">
        <f t="shared" si="6"/>
        <v>23.326799999999999</v>
      </c>
      <c r="AA41" s="67">
        <f t="shared" si="7"/>
        <v>23.2806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8"/>
        <v>0129-24</v>
      </c>
      <c r="AE41" s="91" t="str">
        <f t="shared" si="9"/>
        <v>aws s3 cp s3://rtdc.mdm.uploadarchive.raw/RTDC4002/ "%USERPROFILE%\AppData\Local\Temp\OnboardLogs"\RTDC4002\2016-10-24 --exclude "*" --recursive --include "*20161024*" &amp; "%USERPROFILE%\Documents\GitHub\mrs-test-scripts\Headless Mode &amp; Sideloading\WalkAndUnGZ.bat" "%USERPROFILE%\AppData\Local\Temp\OnboardLogs"\RTDC4002\2016-10-24 &amp; 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</v>
      </c>
      <c r="AF41" s="88" t="str">
        <f t="shared" si="10"/>
        <v>"C:\Program Files (x86)\AstroGrep\AstroGrep.exe" /spath="%USERPROFILE%\AppData\Local\Temp\OnboardLogs" /stypes="app*4002*20161024*" /stext=" 13:.+((SYSTEM_STATE.+slice.+state.+changed )|(ment ac)|(system.+state.+changed )|(\[timeout)|(PRM\|1\|D)|(kpr)|(kdp)|(\|lc)|(penalty))" /e /r /s</v>
      </c>
      <c r="AG41" s="1" t="str">
        <f t="shared" si="11"/>
        <v>EC</v>
      </c>
      <c r="AH41" s="92" t="str">
        <f t="shared" si="19"/>
        <v>"%USERPROFILE%\Documents\GitHub\eaglep3\Utilities\RefineRTDCRunTimes.py" --tripid 129-24 --locoid 4002 --swversion DE.1.0.7.0 --startMP 204:462 --initTime 2016-10-24T07:12:58 --startdatetime 2016-10-24T07:15:29 --delay 1 --endMP 204:233268 --enddatetime 2016-10-24T07:52:35 --enforcementcount 1 &gt;&gt;C:\Users\stu\Documents\GitHub\eaglep3-reporting\EC\2016-10-24-refined-times.txt</v>
      </c>
      <c r="AI41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{"issue":{"subject":"","project_id":79,"tracker_id":40,"status_id":1,"priority_id":2,"assigned_to_id":23,"start_date":"2016-10-24","description":"","custom_fields":[{"id":1,"name":"Subdivision","value":"EC"},{"id":4,"name":"Milepost","value":"23.3268"},{"id":17,"name":"Train ID","value":"129-24"},{"id":16,"name":"Locomotive ID","value":"4002"},{"id":130,"name":"Impact","value":""},{"id":150,"name":"Time of Event (Mountain Time)","value":"07:52:35"},{"id":151,"name":"Denver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468</v>
      </c>
      <c r="B42" s="7">
        <v>4001</v>
      </c>
      <c r="C42" s="22" t="s">
        <v>99</v>
      </c>
      <c r="D42" s="22" t="s">
        <v>379</v>
      </c>
      <c r="E42" s="13">
        <v>42667.339189814818</v>
      </c>
      <c r="F42" s="13">
        <v>42667.341504629629</v>
      </c>
      <c r="G42" s="7">
        <v>3</v>
      </c>
      <c r="H42" s="13" t="s">
        <v>342</v>
      </c>
      <c r="I42" s="13">
        <v>42667.369895833333</v>
      </c>
      <c r="J42" s="7">
        <v>1</v>
      </c>
      <c r="K42" s="112" t="str">
        <f t="shared" si="0"/>
        <v>4001/4002</v>
      </c>
      <c r="L42" s="22" t="str">
        <f>VLOOKUP(A42,'Trips&amp;Operators'!$C$1:$E$10000,3,FALSE)</f>
        <v>MALAVE</v>
      </c>
      <c r="M42" s="6">
        <f t="shared" si="1"/>
        <v>2.8391203704813961E-2</v>
      </c>
      <c r="N42" s="7">
        <f t="shared" si="14"/>
        <v>40.883333334932104</v>
      </c>
      <c r="O42" s="7"/>
      <c r="P42" s="7"/>
      <c r="Q42" s="23"/>
      <c r="R42" s="23"/>
      <c r="S42" s="35">
        <f t="shared" si="2"/>
        <v>1</v>
      </c>
      <c r="T42" s="50" t="str">
        <f t="shared" si="3"/>
        <v>Southbound</v>
      </c>
      <c r="U42" s="1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07:08:26-0600',mode:absolute,to:'2016-10-24 09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2" s="52" t="str">
        <f t="shared" si="21"/>
        <v>N</v>
      </c>
      <c r="X42" s="171">
        <f t="shared" si="22"/>
        <v>1</v>
      </c>
      <c r="Y42" s="67">
        <f t="shared" si="5"/>
        <v>23.295300000000001</v>
      </c>
      <c r="Z42" s="67">
        <f t="shared" si="6"/>
        <v>1.67E-2</v>
      </c>
      <c r="AA42" s="67">
        <f t="shared" si="7"/>
        <v>23.278600000000001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8"/>
        <v>0130-24</v>
      </c>
      <c r="AE42" s="91" t="str">
        <f t="shared" si="9"/>
        <v>aws s3 cp s3://rtdc.mdm.uploadarchive.raw/RTDC4001/ "%USERPROFILE%\AppData\Local\Temp\OnboardLogs"\RTDC4001\2016-10-24 --exclude "*" --recursive --include "*20161024*" &amp; "%USERPROFILE%\Documents\GitHub\mrs-test-scripts\Headless Mode &amp; Sideloading\WalkAndUnGZ.bat" "%USERPROFILE%\AppData\Local\Temp\OnboardLogs"\RTDC4001\2016-10-24 &amp; 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</v>
      </c>
      <c r="AF42" s="88" t="str">
        <f t="shared" si="10"/>
        <v>"C:\Program Files (x86)\AstroGrep\AstroGrep.exe" /spath="%USERPROFILE%\AppData\Local\Temp\OnboardLogs" /stypes="app*4001*20161024*" /stext=" 14:.+((SYSTEM_STATE.+slice.+state.+changed )|(ment ac)|(system.+state.+changed )|(\[timeout)|(PRM\|1\|D)|(kpr)|(kdp)|(\|lc)|(penalty))" /e /r /s</v>
      </c>
      <c r="AG42" s="1" t="str">
        <f t="shared" si="11"/>
        <v>EC</v>
      </c>
      <c r="AH42" s="92" t="str">
        <f t="shared" si="19"/>
        <v>"%USERPROFILE%\Documents\GitHub\eaglep3\Utilities\RefineRTDCRunTimes.py" --tripid 130-24 --locoid 4001 --swversion DE.1.0.7.0 --startMP 204:232953 --initTime 2016-10-24T08:08:26 --startdatetime 2016-10-24T08:11:46 --delay 3 --endMP 204:167 --enddatetime 2016-10-24T08:52:39 --enforcementcount 1 &gt;&gt;C:\Users\stu\Documents\GitHub\eaglep3-reporting\EC\2016-10-24-refined-times.txt</v>
      </c>
      <c r="AI42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{"issue":{"subject":"","project_id":79,"tracker_id":40,"status_id":1,"priority_id":2,"assigned_to_id":23,"start_date":"2016-10-24","description":"","custom_fields":[{"id":1,"name":"Subdivision","value":"EC"},{"id":4,"name":"Milepost","value":"0.0167"},{"id":17,"name":"Train ID","value":"130-24"},{"id":16,"name":"Locomotive ID","value":"4001"},{"id":130,"name":"Impact","value":""},{"id":150,"name":"Time of Event (Mountain Time)","value":"08:52:39"},{"id":151,"name":"Denver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463</v>
      </c>
      <c r="B43" s="7">
        <v>4011</v>
      </c>
      <c r="C43" s="22" t="s">
        <v>99</v>
      </c>
      <c r="D43" s="22" t="s">
        <v>325</v>
      </c>
      <c r="E43" s="13">
        <v>42667.308472222219</v>
      </c>
      <c r="F43" s="13">
        <v>42667.312881944446</v>
      </c>
      <c r="G43" s="7">
        <v>1</v>
      </c>
      <c r="H43" s="13" t="s">
        <v>361</v>
      </c>
      <c r="I43" s="13">
        <v>42667.339872685188</v>
      </c>
      <c r="J43" s="7">
        <v>1</v>
      </c>
      <c r="K43" s="112" t="str">
        <f t="shared" si="0"/>
        <v>4011/4012</v>
      </c>
      <c r="L43" s="22" t="str">
        <f>VLOOKUP(A43,'Trips&amp;Operators'!$C$1:$E$10000,3,FALSE)</f>
        <v>ACKERMAN</v>
      </c>
      <c r="M43" s="6">
        <f t="shared" si="1"/>
        <v>2.6990740741894115E-2</v>
      </c>
      <c r="N43" s="7">
        <f t="shared" si="14"/>
        <v>38.866666668327525</v>
      </c>
      <c r="O43" s="7"/>
      <c r="P43" s="7"/>
      <c r="Q43" s="23"/>
      <c r="R43" s="23"/>
      <c r="S43" s="35">
        <f t="shared" si="2"/>
        <v>1</v>
      </c>
      <c r="T43" s="50" t="str">
        <f t="shared" si="3"/>
        <v>NorthBound</v>
      </c>
      <c r="U43" s="1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06:24:12-0600',mode:absolute,to:'2016-10-24 09:09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3" s="52" t="str">
        <f t="shared" si="21"/>
        <v>N</v>
      </c>
      <c r="X43" s="171">
        <f t="shared" si="22"/>
        <v>1</v>
      </c>
      <c r="Y43" s="67">
        <f t="shared" si="5"/>
        <v>4.4200000000000003E-2</v>
      </c>
      <c r="Z43" s="67">
        <f t="shared" si="6"/>
        <v>23.331499999999998</v>
      </c>
      <c r="AA43" s="67">
        <f t="shared" si="7"/>
        <v>23.287299999999998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8"/>
        <v>0131-24</v>
      </c>
      <c r="AE43" s="91" t="str">
        <f t="shared" si="9"/>
        <v>aws s3 cp s3://rtdc.mdm.uploadarchive.raw/RTDC4011/ "%USERPROFILE%\AppData\Local\Temp\OnboardLogs"\RTDC4011\2016-10-24 --exclude "*" --recursive --include "*20161024*" &amp; "%USERPROFILE%\Documents\GitHub\mrs-test-scripts\Headless Mode &amp; Sideloading\WalkAndUnGZ.bat" "%USERPROFILE%\AppData\Local\Temp\OnboardLogs"\RTDC4011\2016-10-24 &amp; 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</v>
      </c>
      <c r="AF43" s="88" t="str">
        <f t="shared" si="10"/>
        <v>"C:\Program Files (x86)\AstroGrep\AstroGrep.exe" /spath="%USERPROFILE%\AppData\Local\Temp\OnboardLogs" /stypes="app*4011*20161024*" /stext=" 14:.+((SYSTEM_STATE.+slice.+state.+changed )|(ment ac)|(system.+state.+changed )|(\[timeout)|(PRM\|1\|D)|(kpr)|(kdp)|(\|lc)|(penalty))" /e /r /s</v>
      </c>
      <c r="AG43" s="1" t="str">
        <f t="shared" si="11"/>
        <v>EC</v>
      </c>
      <c r="AH43" s="92" t="str">
        <f t="shared" si="19"/>
        <v>"%USERPROFILE%\Documents\GitHub\eaglep3\Utilities\RefineRTDCRunTimes.py" --tripid 131-24 --locoid 4011 --swversion DE.1.0.7.0 --startMP 204:442 --initTime 2016-10-24T07:24:12 --startdatetime 2016-10-24T07:30:33 --delay 1 --endMP 204:233315 --enddatetime 2016-10-24T08:09:25 --enforcementcount 1 &gt;&gt;C:\Users\stu\Documents\GitHub\eaglep3-reporting\EC\2016-10-24-refined-times.txt</v>
      </c>
      <c r="AI43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{"issue":{"subject":"","project_id":79,"tracker_id":40,"status_id":1,"priority_id":2,"assigned_to_id":23,"start_date":"2016-10-24","description":"","custom_fields":[{"id":1,"name":"Subdivision","value":"EC"},{"id":4,"name":"Milepost","value":"23.3315"},{"id":17,"name":"Train ID","value":"131-24"},{"id":16,"name":"Locomotive ID","value":"4011"},{"id":130,"name":"Impact","value":""},{"id":150,"name":"Time of Event (Mountain Time)","value":"08:09:25"},{"id":151,"name":"Denver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470</v>
      </c>
      <c r="B44" s="7">
        <v>4012</v>
      </c>
      <c r="C44" s="22" t="s">
        <v>99</v>
      </c>
      <c r="D44" s="22" t="s">
        <v>368</v>
      </c>
      <c r="E44" s="13">
        <v>42667.347511574073</v>
      </c>
      <c r="F44" s="13">
        <v>42667.351921296293</v>
      </c>
      <c r="G44" s="7">
        <v>1</v>
      </c>
      <c r="H44" s="13" t="s">
        <v>272</v>
      </c>
      <c r="I44" s="13">
        <v>42667.37909722222</v>
      </c>
      <c r="J44" s="7">
        <v>1</v>
      </c>
      <c r="K44" s="112" t="str">
        <f t="shared" si="0"/>
        <v>4011/4012</v>
      </c>
      <c r="L44" s="22" t="str">
        <f>VLOOKUP(A44,'Trips&amp;Operators'!$C$1:$E$10000,3,FALSE)</f>
        <v>ACKERMAN</v>
      </c>
      <c r="M44" s="6">
        <f t="shared" si="1"/>
        <v>2.7175925926712807E-2</v>
      </c>
      <c r="N44" s="7">
        <f t="shared" si="14"/>
        <v>39.133333334466442</v>
      </c>
      <c r="O44" s="7"/>
      <c r="P44" s="7"/>
      <c r="Q44" s="23"/>
      <c r="R44" s="23"/>
      <c r="S44" s="35">
        <f t="shared" si="2"/>
        <v>1</v>
      </c>
      <c r="T44" s="50" t="str">
        <f t="shared" si="3"/>
        <v>Southbound</v>
      </c>
      <c r="U44" s="1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07:20:25-0600',mode:absolute,to:'2016-10-24 10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4" s="52" t="str">
        <f t="shared" si="21"/>
        <v>N</v>
      </c>
      <c r="X44" s="171">
        <f t="shared" si="22"/>
        <v>1</v>
      </c>
      <c r="Y44" s="67">
        <f t="shared" si="5"/>
        <v>23.3002</v>
      </c>
      <c r="Z44" s="67">
        <f t="shared" si="6"/>
        <v>1.38E-2</v>
      </c>
      <c r="AA44" s="67">
        <f t="shared" si="7"/>
        <v>23.2864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8"/>
        <v>0132-24</v>
      </c>
      <c r="AE44" s="91" t="str">
        <f t="shared" si="9"/>
        <v>aws s3 cp s3://rtdc.mdm.uploadarchive.raw/RTDC4012/ "%USERPROFILE%\AppData\Local\Temp\OnboardLogs"\RTDC4012\2016-10-24 --exclude "*" --recursive --include "*20161024*" &amp; "%USERPROFILE%\Documents\GitHub\mrs-test-scripts\Headless Mode &amp; Sideloading\WalkAndUnGZ.bat" "%USERPROFILE%\AppData\Local\Temp\OnboardLogs"\RTDC4012\2016-10-24 &amp; aws s3 cp s3://rtdc.mdm.uploadarchive.raw/RTDC4012/ "%USERPROFILE%\AppData\Local\Temp\OnboardLogs"\RTDC4012\2016-10-25 --exclude "*" --recursive --include "*20161025*" &amp; "%USERPROFILE%\Documents\GitHub\mrs-test-scripts\Headless Mode &amp; Sideloading\WalkAndUnGZ.bat" "%USERPROFILE%\AppData\Local\Temp\OnboardLogs"\RTDC4012\2016-10-25</v>
      </c>
      <c r="AF44" s="88" t="str">
        <f t="shared" si="10"/>
        <v>"C:\Program Files (x86)\AstroGrep\AstroGrep.exe" /spath="%USERPROFILE%\AppData\Local\Temp\OnboardLogs" /stypes="app*4012*20161024*" /stext=" 15:.+((SYSTEM_STATE.+slice.+state.+changed )|(ment ac)|(system.+state.+changed )|(\[timeout)|(PRM\|1\|D)|(kpr)|(kdp)|(\|lc)|(penalty))" /e /r /s</v>
      </c>
      <c r="AG44" s="1" t="str">
        <f t="shared" si="11"/>
        <v>EC</v>
      </c>
      <c r="AH44" s="92" t="str">
        <f t="shared" si="19"/>
        <v>"%USERPROFILE%\Documents\GitHub\eaglep3\Utilities\RefineRTDCRunTimes.py" --tripid 132-24 --locoid 4012 --swversion DE.1.0.7.0 --startMP 204:233002 --initTime 2016-10-24T08:20:25 --startdatetime 2016-10-24T08:26:46 --delay 1 --endMP 204:138 --enddatetime 2016-10-24T09:05:54 --enforcementcount 1 &gt;&gt;C:\Users\stu\Documents\GitHub\eaglep3-reporting\EC\2016-10-24-refined-times.txt</v>
      </c>
      <c r="AI44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{"issue":{"subject":"","project_id":79,"tracker_id":40,"status_id":1,"priority_id":2,"assigned_to_id":23,"start_date":"2016-10-24","description":"","custom_fields":[{"id":1,"name":"Subdivision","value":"EC"},{"id":4,"name":"Milepost","value":"0.0138"},{"id":17,"name":"Train ID","value":"132-24"},{"id":16,"name":"Locomotive ID","value":"4012"},{"id":130,"name":"Impact","value":""},{"id":150,"name":"Time of Event (Mountain Time)","value":"09:05:54"},{"id":151,"name":"Denver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400</v>
      </c>
      <c r="B45" s="7">
        <v>4014</v>
      </c>
      <c r="C45" s="22" t="s">
        <v>99</v>
      </c>
      <c r="D45" s="22" t="s">
        <v>325</v>
      </c>
      <c r="E45" s="13">
        <v>42667.320879629631</v>
      </c>
      <c r="F45" s="13">
        <v>42667.323969907404</v>
      </c>
      <c r="G45" s="7">
        <v>2</v>
      </c>
      <c r="H45" s="13" t="s">
        <v>637</v>
      </c>
      <c r="I45" s="13">
        <v>42667.352175925924</v>
      </c>
      <c r="J45" s="7">
        <v>1</v>
      </c>
      <c r="K45" s="112" t="str">
        <f t="shared" si="0"/>
        <v>4013/4014</v>
      </c>
      <c r="L45" s="22" t="str">
        <f>VLOOKUP(A45,'Trips&amp;Operators'!$C$1:$E$10000,3,FALSE)</f>
        <v>BRANNON</v>
      </c>
      <c r="M45" s="6">
        <f t="shared" si="1"/>
        <v>2.8206018519995268E-2</v>
      </c>
      <c r="N45" s="7">
        <f t="shared" si="14"/>
        <v>40.616666668793187</v>
      </c>
      <c r="O45" s="7"/>
      <c r="P45" s="7"/>
      <c r="Q45" s="23"/>
      <c r="R45" s="23"/>
      <c r="S45" s="35">
        <f t="shared" ref="S45:S74" si="23">SUM(U45:U45)/IF(AG45="EC",12,1)</f>
        <v>1</v>
      </c>
      <c r="T45" s="50" t="str">
        <f t="shared" si="3"/>
        <v>NorthBound</v>
      </c>
      <c r="U45" s="1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06:42:04-0600',mode:absolute,to:'2016-10-24 09:27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5" s="52" t="str">
        <f t="shared" si="21"/>
        <v>N</v>
      </c>
      <c r="X45" s="171">
        <f t="shared" si="22"/>
        <v>1</v>
      </c>
      <c r="Y45" s="67">
        <f t="shared" ref="Y45:Y63" si="24">RIGHT(D45,LEN(D45)-4)/10000</f>
        <v>4.4200000000000003E-2</v>
      </c>
      <c r="Z45" s="67">
        <f t="shared" ref="Z45:Z76" si="25">RIGHT(H45,LEN(H45)-4)/10000</f>
        <v>23.325900000000001</v>
      </c>
      <c r="AA45" s="67">
        <f t="shared" si="7"/>
        <v>23.281700000000001</v>
      </c>
      <c r="AB45" s="64" t="str">
        <f>VLOOKUP(A45,Enforcements!$C$7:$K$21,8,0)</f>
        <v>Speed (6)</v>
      </c>
      <c r="AC45" s="60" t="str">
        <f>VLOOKUP(A45,Enforcements!$C$7:$E$21,3,0)</f>
        <v>PERMANENT SPEED RESTRICTION</v>
      </c>
      <c r="AD45" s="61" t="str">
        <f t="shared" si="8"/>
        <v>0133-24</v>
      </c>
      <c r="AE45" s="91" t="str">
        <f t="shared" si="9"/>
        <v>aws s3 cp s3://rtdc.mdm.uploadarchive.raw/RTDC4014/ "%USERPROFILE%\AppData\Local\Temp\OnboardLogs"\RTDC4014\2016-10-24 --exclude "*" --recursive --include "*20161024*" &amp; "%USERPROFILE%\Documents\GitHub\mrs-test-scripts\Headless Mode &amp; Sideloading\WalkAndUnGZ.bat" "%USERPROFILE%\AppData\Local\Temp\OnboardLogs"\RTDC4014\2016-10-24 &amp; aws s3 cp s3://rtdc.mdm.uploadarchive.raw/RTDC4014/ "%USERPROFILE%\AppData\Local\Temp\OnboardLogs"\RTDC4014\2016-10-25 --exclude "*" --recursive --include "*20161025*" &amp; "%USERPROFILE%\Documents\GitHub\mrs-test-scripts\Headless Mode &amp; Sideloading\WalkAndUnGZ.bat" "%USERPROFILE%\AppData\Local\Temp\OnboardLogs"\RTDC4014\2016-10-25</v>
      </c>
      <c r="AF45" s="88" t="str">
        <f t="shared" si="10"/>
        <v>"C:\Program Files (x86)\AstroGrep\AstroGrep.exe" /spath="%USERPROFILE%\AppData\Local\Temp\OnboardLogs" /stypes="app*4014*20161024*" /stext=" 14:.+((SYSTEM_STATE.+slice.+state.+changed )|(ment ac)|(system.+state.+changed )|(\[timeout)|(PRM\|1\|D)|(kpr)|(kdp)|(\|lc)|(penalty))" /e /r /s</v>
      </c>
      <c r="AG45" s="1" t="str">
        <f t="shared" si="11"/>
        <v>EC</v>
      </c>
      <c r="AH45" s="92" t="str">
        <f t="shared" si="19"/>
        <v>"%USERPROFILE%\Documents\GitHub\eaglep3\Utilities\RefineRTDCRunTimes.py" --tripid 133-24 --locoid 4014 --swversion DE.1.0.7.0 --startMP 204:442 --initTime 2016-10-24T07:42:04 --startdatetime 2016-10-24T07:46:31 --delay 2 --endMP 204:233259 --enddatetime 2016-10-24T08:27:08 --enforcementcount 1 &gt;&gt;C:\Users\stu\Documents\GitHub\eaglep3-reporting\EC\2016-10-24-refined-times.txt</v>
      </c>
      <c r="AI45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{"issue":{"subject":"","project_id":79,"tracker_id":40,"status_id":1,"priority_id":2,"assigned_to_id":23,"start_date":"2016-10-24","description":"","custom_fields":[{"id":1,"name":"Subdivision","value":"EC"},{"id":4,"name":"Milepost","value":"23.3259"},{"id":17,"name":"Train ID","value":"133-24"},{"id":16,"name":"Locomotive ID","value":"4014"},{"id":130,"name":"Impact","value":""},{"id":150,"name":"Time of Event (Mountain Time)","value":"08:27:08"},{"id":151,"name":"Denver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402</v>
      </c>
      <c r="B46" s="7">
        <v>4013</v>
      </c>
      <c r="C46" s="22" t="s">
        <v>99</v>
      </c>
      <c r="D46" s="22" t="s">
        <v>638</v>
      </c>
      <c r="E46" s="13">
        <v>42667.354421296295</v>
      </c>
      <c r="F46" s="13">
        <v>42667.36278935185</v>
      </c>
      <c r="G46" s="7">
        <v>1</v>
      </c>
      <c r="H46" s="13" t="s">
        <v>229</v>
      </c>
      <c r="I46" s="13">
        <v>42667.391597222224</v>
      </c>
      <c r="J46" s="7">
        <v>1</v>
      </c>
      <c r="K46" s="112" t="str">
        <f t="shared" si="0"/>
        <v>4013/4014</v>
      </c>
      <c r="L46" s="22" t="str">
        <f>VLOOKUP(A46,'Trips&amp;Operators'!$C$1:$E$10000,3,FALSE)</f>
        <v>BRANNON</v>
      </c>
      <c r="M46" s="6">
        <f t="shared" si="1"/>
        <v>2.8807870374293998E-2</v>
      </c>
      <c r="N46" s="7">
        <f t="shared" ref="N46:N74" si="26">24*60*SUM($M46:$M46)</f>
        <v>41.483333338983357</v>
      </c>
      <c r="O46" s="7"/>
      <c r="P46" s="7"/>
      <c r="Q46" s="23"/>
      <c r="R46" s="23"/>
      <c r="S46" s="35">
        <f t="shared" si="23"/>
        <v>1</v>
      </c>
      <c r="T46" s="50" t="str">
        <f t="shared" si="3"/>
        <v>Southbound</v>
      </c>
      <c r="U46" s="1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07:30:22-0600',mode:absolute,to:'2016-10-24 10:23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6" s="52" t="str">
        <f t="shared" si="21"/>
        <v>N</v>
      </c>
      <c r="X46" s="171">
        <f t="shared" si="22"/>
        <v>1</v>
      </c>
      <c r="Y46" s="67">
        <f t="shared" si="24"/>
        <v>23.3001</v>
      </c>
      <c r="Z46" s="67">
        <f t="shared" si="25"/>
        <v>1.34E-2</v>
      </c>
      <c r="AA46" s="67">
        <f t="shared" si="7"/>
        <v>23.2867</v>
      </c>
      <c r="AB46" s="64" t="str">
        <f>VLOOKUP(A46,Enforcements!$C$7:$K$21,8,0)</f>
        <v>Bulletin (2)</v>
      </c>
      <c r="AC46" s="60" t="str">
        <f>VLOOKUP(A46,Enforcements!$C$7:$E$21,3,0)</f>
        <v>GRADE CROSSING</v>
      </c>
      <c r="AD46" s="61" t="str">
        <f t="shared" si="8"/>
        <v>0134-24</v>
      </c>
      <c r="AE46" s="91" t="str">
        <f t="shared" si="9"/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AF46" s="88" t="str">
        <f t="shared" si="10"/>
        <v>"C:\Program Files (x86)\AstroGrep\AstroGrep.exe" /spath="%USERPROFILE%\AppData\Local\Temp\OnboardLogs" /stypes="app*4013*20161024*" /stext=" 15:.+((SYSTEM_STATE.+slice.+state.+changed )|(ment ac)|(system.+state.+changed )|(\[timeout)|(PRM\|1\|D)|(kpr)|(kdp)|(\|lc)|(penalty))" /e /r /s</v>
      </c>
      <c r="AG46" s="1" t="str">
        <f t="shared" si="11"/>
        <v>EC</v>
      </c>
      <c r="AH46" s="92" t="str">
        <f t="shared" si="19"/>
        <v>"%USERPROFILE%\Documents\GitHub\eaglep3\Utilities\RefineRTDCRunTimes.py" --tripid 134-24 --locoid 4013 --swversion DE.1.0.7.0 --startMP 204:233001 --initTime 2016-10-24T08:30:22 --startdatetime 2016-10-24T08:42:25 --delay 1 --endMP 204:134 --enddatetime 2016-10-24T09:23:54 --enforcementcount 1 &gt;&gt;C:\Users\stu\Documents\GitHub\eaglep3-reporting\EC\2016-10-24-refined-times.txt</v>
      </c>
      <c r="AI46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{"issue":{"subject":"","project_id":79,"tracker_id":40,"status_id":1,"priority_id":2,"assigned_to_id":23,"start_date":"2016-10-24","description":"","custom_fields":[{"id":1,"name":"Subdivision","value":"EC"},{"id":4,"name":"Milepost","value":"0.0134"},{"id":17,"name":"Train ID","value":"134-24"},{"id":16,"name":"Locomotive ID","value":"4013"},{"id":130,"name":"Impact","value":""},{"id":150,"name":"Time of Event (Mountain Time)","value":"09:23:54"},{"id":151,"name":"Denver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466</v>
      </c>
      <c r="B47" s="7">
        <v>4016</v>
      </c>
      <c r="C47" s="22" t="s">
        <v>99</v>
      </c>
      <c r="D47" s="22" t="s">
        <v>228</v>
      </c>
      <c r="E47" s="13">
        <v>42667.330138888887</v>
      </c>
      <c r="F47" s="13">
        <v>42667.333784722221</v>
      </c>
      <c r="G47" s="7">
        <v>1</v>
      </c>
      <c r="H47" s="13" t="s">
        <v>371</v>
      </c>
      <c r="I47" s="13">
        <v>42667.359016203707</v>
      </c>
      <c r="J47" s="7">
        <v>1</v>
      </c>
      <c r="K47" s="112" t="str">
        <f t="shared" si="0"/>
        <v>4015/4016</v>
      </c>
      <c r="L47" s="22" t="str">
        <f>VLOOKUP(A47,'Trips&amp;Operators'!$C$1:$E$10000,3,FALSE)</f>
        <v>SPECTOR</v>
      </c>
      <c r="M47" s="6">
        <f t="shared" si="1"/>
        <v>2.5231481486116536E-2</v>
      </c>
      <c r="N47" s="7">
        <f t="shared" si="26"/>
        <v>36.333333340007812</v>
      </c>
      <c r="O47" s="7"/>
      <c r="P47" s="7"/>
      <c r="Q47" s="23"/>
      <c r="R47" s="23"/>
      <c r="S47" s="35">
        <f t="shared" si="23"/>
        <v>1</v>
      </c>
      <c r="T47" s="50" t="str">
        <f t="shared" si="3"/>
        <v>NorthBound</v>
      </c>
      <c r="U47" s="1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06:55:24-0600',mode:absolute,to:'2016-10-24 09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7" s="52" t="str">
        <f t="shared" si="21"/>
        <v>N</v>
      </c>
      <c r="X47" s="171">
        <f t="shared" si="22"/>
        <v>1</v>
      </c>
      <c r="Y47" s="67">
        <f t="shared" si="24"/>
        <v>4.5499999999999999E-2</v>
      </c>
      <c r="Z47" s="67">
        <f t="shared" si="25"/>
        <v>23.332699999999999</v>
      </c>
      <c r="AA47" s="67">
        <f t="shared" si="7"/>
        <v>23.287199999999999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8"/>
        <v>0135-24</v>
      </c>
      <c r="AE47" s="91" t="str">
        <f t="shared" si="9"/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AF47" s="88" t="str">
        <f t="shared" si="10"/>
        <v>"C:\Program Files (x86)\AstroGrep\AstroGrep.exe" /spath="%USERPROFILE%\AppData\Local\Temp\OnboardLogs" /stypes="app*4016*20161024*" /stext=" 14:.+((SYSTEM_STATE.+slice.+state.+changed )|(ment ac)|(system.+state.+changed )|(\[timeout)|(PRM\|1\|D)|(kpr)|(kdp)|(\|lc)|(penalty))" /e /r /s</v>
      </c>
      <c r="AG47" s="1" t="str">
        <f t="shared" si="11"/>
        <v>EC</v>
      </c>
      <c r="AH47" s="92" t="str">
        <f t="shared" si="19"/>
        <v>"%USERPROFILE%\Documents\GitHub\eaglep3\Utilities\RefineRTDCRunTimes.py" --tripid 135-24 --locoid 4016 --swversion DE.1.0.7.0 --startMP 204:455 --initTime 2016-10-24T07:55:24 --startdatetime 2016-10-24T08:00:39 --delay 1 --endMP 204:233327 --enddatetime 2016-10-24T08:36:59 --enforcementcount 1 &gt;&gt;C:\Users\stu\Documents\GitHub\eaglep3-reporting\EC\2016-10-24-refined-times.txt</v>
      </c>
      <c r="AI47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{"issue":{"subject":"","project_id":79,"tracker_id":40,"status_id":1,"priority_id":2,"assigned_to_id":23,"start_date":"2016-10-24","description":"","custom_fields":[{"id":1,"name":"Subdivision","value":"EC"},{"id":4,"name":"Milepost","value":"23.3327"},{"id":17,"name":"Train ID","value":"135-24"},{"id":16,"name":"Locomotive ID","value":"4016"},{"id":130,"name":"Impact","value":""},{"id":150,"name":"Time of Event (Mountain Time)","value":"08:36:59"},{"id":151,"name":"Denver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475</v>
      </c>
      <c r="B48" s="7">
        <v>4015</v>
      </c>
      <c r="C48" s="22" t="s">
        <v>99</v>
      </c>
      <c r="D48" s="22" t="s">
        <v>639</v>
      </c>
      <c r="E48" s="13">
        <v>42667.36482638889</v>
      </c>
      <c r="F48" s="13">
        <v>42667.372685185182</v>
      </c>
      <c r="G48" s="7">
        <v>1</v>
      </c>
      <c r="H48" s="13" t="s">
        <v>182</v>
      </c>
      <c r="I48" s="13">
        <v>42667.398969907408</v>
      </c>
      <c r="J48" s="7">
        <v>1</v>
      </c>
      <c r="K48" s="112" t="str">
        <f t="shared" si="0"/>
        <v>4015/4016</v>
      </c>
      <c r="L48" s="22" t="str">
        <f>VLOOKUP(A48,'Trips&amp;Operators'!$C$1:$E$10000,3,FALSE)</f>
        <v>SPECTOR</v>
      </c>
      <c r="M48" s="6">
        <f t="shared" si="1"/>
        <v>2.6284722225682344E-2</v>
      </c>
      <c r="N48" s="7">
        <f t="shared" si="26"/>
        <v>37.850000004982576</v>
      </c>
      <c r="O48" s="7"/>
      <c r="P48" s="7"/>
      <c r="Q48" s="23"/>
      <c r="R48" s="23"/>
      <c r="S48" s="35">
        <f t="shared" si="23"/>
        <v>1</v>
      </c>
      <c r="T48" s="50" t="str">
        <f t="shared" si="3"/>
        <v>Southbound</v>
      </c>
      <c r="U48" s="1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07:45:21-0600',mode:absolute,to:'2016-10-24 10:34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8" s="52" t="str">
        <f t="shared" si="21"/>
        <v>N</v>
      </c>
      <c r="X48" s="171">
        <f t="shared" si="22"/>
        <v>1</v>
      </c>
      <c r="Y48" s="67">
        <f t="shared" si="24"/>
        <v>23.3017</v>
      </c>
      <c r="Z48" s="67">
        <f t="shared" si="25"/>
        <v>1.41E-2</v>
      </c>
      <c r="AA48" s="67">
        <f t="shared" si="7"/>
        <v>23.287600000000001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8"/>
        <v>0136-24</v>
      </c>
      <c r="AE48" s="91" t="str">
        <f t="shared" si="9"/>
        <v>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 &amp; 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</v>
      </c>
      <c r="AF48" s="88" t="str">
        <f t="shared" si="10"/>
        <v>"C:\Program Files (x86)\AstroGrep\AstroGrep.exe" /spath="%USERPROFILE%\AppData\Local\Temp\OnboardLogs" /stypes="app*4015*20161024*" /stext=" 15:.+((SYSTEM_STATE.+slice.+state.+changed )|(ment ac)|(system.+state.+changed )|(\[timeout)|(PRM\|1\|D)|(kpr)|(kdp)|(\|lc)|(penalty))" /e /r /s</v>
      </c>
      <c r="AG48" s="1" t="str">
        <f t="shared" si="11"/>
        <v>EC</v>
      </c>
      <c r="AH48" s="92" t="str">
        <f t="shared" si="19"/>
        <v>"%USERPROFILE%\Documents\GitHub\eaglep3\Utilities\RefineRTDCRunTimes.py" --tripid 136-24 --locoid 4015 --swversion DE.1.0.7.0 --startMP 204:233017 --initTime 2016-10-24T08:45:21 --startdatetime 2016-10-24T08:56:40 --delay 1 --endMP 204:141 --enddatetime 2016-10-24T09:34:31 --enforcementcount 1 &gt;&gt;C:\Users\stu\Documents\GitHub\eaglep3-reporting\EC\2016-10-24-refined-times.txt</v>
      </c>
      <c r="AI48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{"issue":{"subject":"","project_id":79,"tracker_id":40,"status_id":1,"priority_id":2,"assigned_to_id":23,"start_date":"2016-10-24","description":"","custom_fields":[{"id":1,"name":"Subdivision","value":"EC"},{"id":4,"name":"Milepost","value":"0.0141"},{"id":17,"name":"Train ID","value":"136-24"},{"id":16,"name":"Locomotive ID","value":"4015"},{"id":130,"name":"Impact","value":""},{"id":150,"name":"Time of Event (Mountain Time)","value":"09:34:31"},{"id":151,"name":"Denver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401</v>
      </c>
      <c r="B49" s="7">
        <v>4018</v>
      </c>
      <c r="C49" s="22" t="s">
        <v>99</v>
      </c>
      <c r="D49" s="22" t="s">
        <v>235</v>
      </c>
      <c r="E49" s="13">
        <v>42667.34034722222</v>
      </c>
      <c r="F49" s="13">
        <v>42667.344074074077</v>
      </c>
      <c r="G49" s="7">
        <v>1</v>
      </c>
      <c r="H49" s="13" t="s">
        <v>328</v>
      </c>
      <c r="I49" s="13">
        <v>42667.368819444448</v>
      </c>
      <c r="J49" s="7">
        <v>1</v>
      </c>
      <c r="K49" s="112" t="str">
        <f t="shared" si="0"/>
        <v>4017/4018</v>
      </c>
      <c r="L49" s="22" t="str">
        <f>VLOOKUP(A49,'Trips&amp;Operators'!$C$1:$E$10000,3,FALSE)</f>
        <v>YORK</v>
      </c>
      <c r="M49" s="6">
        <f t="shared" si="1"/>
        <v>2.47453703705105E-2</v>
      </c>
      <c r="N49" s="7">
        <f t="shared" si="26"/>
        <v>35.63333333353512</v>
      </c>
      <c r="O49" s="7"/>
      <c r="P49" s="7"/>
      <c r="Q49" s="23"/>
      <c r="R49" s="23"/>
      <c r="S49" s="35">
        <f t="shared" si="23"/>
        <v>1</v>
      </c>
      <c r="T49" s="50" t="str">
        <f t="shared" si="3"/>
        <v>NorthBound</v>
      </c>
      <c r="U49" s="1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07:10:06-0600',mode:absolute,to:'2016-10-24 09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9" s="52" t="str">
        <f t="shared" si="21"/>
        <v>N</v>
      </c>
      <c r="X49" s="171">
        <f t="shared" si="22"/>
        <v>1</v>
      </c>
      <c r="Y49" s="67">
        <f t="shared" si="24"/>
        <v>4.5999999999999999E-2</v>
      </c>
      <c r="Z49" s="67">
        <f t="shared" si="25"/>
        <v>23.328800000000001</v>
      </c>
      <c r="AA49" s="67">
        <f t="shared" si="7"/>
        <v>23.282800000000002</v>
      </c>
      <c r="AB49" s="64" t="str">
        <f>VLOOKUP(A49,Enforcements!$C$7:$K$21,8,0)</f>
        <v>Speed (6)</v>
      </c>
      <c r="AC49" s="60" t="str">
        <f>VLOOKUP(A49,Enforcements!$C$7:$E$21,3,0)</f>
        <v>PERMANENT SPEED RESTRICTION</v>
      </c>
      <c r="AD49" s="61" t="str">
        <f t="shared" si="8"/>
        <v>0137-24</v>
      </c>
      <c r="AE49" s="91" t="str">
        <f t="shared" si="9"/>
        <v>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 &amp; aws s3 cp s3://rtdc.mdm.uploadarchive.raw/RTDC4018/ "%USERPROFILE%\AppData\Local\Temp\OnboardLogs"\RTDC4018\2016-10-25 --exclude "*" --recursive --include "*20161025*" &amp; "%USERPROFILE%\Documents\GitHub\mrs-test-scripts\Headless Mode &amp; Sideloading\WalkAndUnGZ.bat" "%USERPROFILE%\AppData\Local\Temp\OnboardLogs"\RTDC4018\2016-10-25</v>
      </c>
      <c r="AF49" s="88" t="str">
        <f t="shared" si="10"/>
        <v>"C:\Program Files (x86)\AstroGrep\AstroGrep.exe" /spath="%USERPROFILE%\AppData\Local\Temp\OnboardLogs" /stypes="app*4018*20161024*" /stext=" 14:.+((SYSTEM_STATE.+slice.+state.+changed )|(ment ac)|(system.+state.+changed )|(\[timeout)|(PRM\|1\|D)|(kpr)|(kdp)|(\|lc)|(penalty))" /e /r /s</v>
      </c>
      <c r="AG49" s="1" t="str">
        <f t="shared" si="11"/>
        <v>EC</v>
      </c>
      <c r="AH49" s="92" t="str">
        <f t="shared" si="19"/>
        <v>"%USERPROFILE%\Documents\GitHub\eaglep3\Utilities\RefineRTDCRunTimes.py" --tripid 137-24 --locoid 4018 --swversion DE.1.0.7.0 --startMP 204:460 --initTime 2016-10-24T08:10:06 --startdatetime 2016-10-24T08:15:28 --delay 1 --endMP 204:233288 --enddatetime 2016-10-24T08:51:06 --enforcementcount 1 &gt;&gt;C:\Users\stu\Documents\GitHub\eaglep3-reporting\EC\2016-10-24-refined-times.txt</v>
      </c>
      <c r="AI49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{"issue":{"subject":"","project_id":79,"tracker_id":40,"status_id":1,"priority_id":2,"assigned_to_id":23,"start_date":"2016-10-24","description":"","custom_fields":[{"id":1,"name":"Subdivision","value":"EC"},{"id":4,"name":"Milepost","value":"23.3288"},{"id":17,"name":"Train ID","value":"137-24"},{"id":16,"name":"Locomotive ID","value":"4018"},{"id":130,"name":"Impact","value":""},{"id":150,"name":"Time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476</v>
      </c>
      <c r="B50" s="7">
        <v>4017</v>
      </c>
      <c r="C50" s="22" t="s">
        <v>99</v>
      </c>
      <c r="D50" s="22" t="s">
        <v>321</v>
      </c>
      <c r="E50" s="13">
        <v>42667.37</v>
      </c>
      <c r="F50" s="13">
        <v>42667.382974537039</v>
      </c>
      <c r="G50" s="7">
        <v>1</v>
      </c>
      <c r="H50" s="13" t="s">
        <v>182</v>
      </c>
      <c r="I50" s="13">
        <v>42667.40934027778</v>
      </c>
      <c r="J50" s="7">
        <v>1</v>
      </c>
      <c r="K50" s="112" t="str">
        <f t="shared" si="0"/>
        <v>4017/4018</v>
      </c>
      <c r="L50" s="22" t="str">
        <f>VLOOKUP(A50,'Trips&amp;Operators'!$C$1:$E$10000,3,FALSE)</f>
        <v>YORK</v>
      </c>
      <c r="M50" s="6">
        <f t="shared" si="1"/>
        <v>2.6365740741312038E-2</v>
      </c>
      <c r="N50" s="7">
        <f t="shared" si="26"/>
        <v>37.966666667489335</v>
      </c>
      <c r="O50" s="7"/>
      <c r="P50" s="7"/>
      <c r="Q50" s="23"/>
      <c r="R50" s="23"/>
      <c r="S50" s="35">
        <f t="shared" si="23"/>
        <v>1</v>
      </c>
      <c r="T50" s="50" t="str">
        <f t="shared" si="3"/>
        <v>Southbound</v>
      </c>
      <c r="U50" s="1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07:52:48-0600',mode:absolute,to:'2016-10-24 10:49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0" s="52" t="str">
        <f t="shared" si="21"/>
        <v>N</v>
      </c>
      <c r="X50" s="171">
        <f t="shared" si="22"/>
        <v>1</v>
      </c>
      <c r="Y50" s="67">
        <f t="shared" si="24"/>
        <v>23.2971</v>
      </c>
      <c r="Z50" s="67">
        <f t="shared" si="25"/>
        <v>1.41E-2</v>
      </c>
      <c r="AA50" s="67">
        <f t="shared" si="7"/>
        <v>23.283000000000001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8"/>
        <v>0138-24</v>
      </c>
      <c r="AE50" s="91" t="str">
        <f t="shared" si="9"/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AF50" s="88" t="str">
        <f t="shared" si="10"/>
        <v>"C:\Program Files (x86)\AstroGrep\AstroGrep.exe" /spath="%USERPROFILE%\AppData\Local\Temp\OnboardLogs" /stypes="app*4017*20161024*" /stext=" 15:.+((SYSTEM_STATE.+slice.+state.+changed )|(ment ac)|(system.+state.+changed )|(\[timeout)|(PRM\|1\|D)|(kpr)|(kdp)|(\|lc)|(penalty))" /e /r /s</v>
      </c>
      <c r="AG50" s="1" t="str">
        <f t="shared" si="11"/>
        <v>EC</v>
      </c>
      <c r="AH50" s="92" t="str">
        <f t="shared" si="19"/>
        <v>"%USERPROFILE%\Documents\GitHub\eaglep3\Utilities\RefineRTDCRunTimes.py" --tripid 138-24 --locoid 4017 --swversion DE.1.0.7.0 --startMP 204:232971 --initTime 2016-10-24T08:52:48 --startdatetime 2016-10-24T09:11:29 --delay 1 --endMP 204:141 --enddatetime 2016-10-24T09:49:27 --enforcementcount 1 &gt;&gt;C:\Users\stu\Documents\GitHub\eaglep3-reporting\EC\2016-10-24-refined-times.txt</v>
      </c>
      <c r="AI50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{"issue":{"subject":"","project_id":79,"tracker_id":40,"status_id":1,"priority_id":2,"assigned_to_id":23,"start_date":"2016-10-24","description":"","custom_fields":[{"id":1,"name":"Subdivision","value":"EC"},{"id":4,"name":"Milepost","value":"0.0141"},{"id":17,"name":"Train ID","value":"138-24"},{"id":16,"name":"Locomotive ID","value":"4017"},{"id":130,"name":"Impact","value":""},{"id":150,"name":"Time of Event (Mountain Time)","value":"09:49:27"},{"id":151,"name":"Denver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471</v>
      </c>
      <c r="B51" s="7">
        <v>4053</v>
      </c>
      <c r="C51" s="22" t="s">
        <v>99</v>
      </c>
      <c r="D51" s="22" t="s">
        <v>228</v>
      </c>
      <c r="E51" s="13">
        <v>42667.35193287037</v>
      </c>
      <c r="F51" s="13">
        <v>42667.354641203703</v>
      </c>
      <c r="G51" s="7">
        <v>1</v>
      </c>
      <c r="H51" s="13" t="s">
        <v>617</v>
      </c>
      <c r="I51" s="13">
        <v>42667.379293981481</v>
      </c>
      <c r="J51" s="7">
        <v>1</v>
      </c>
      <c r="K51" s="112" t="str">
        <f t="shared" si="0"/>
        <v>4053/4054</v>
      </c>
      <c r="L51" s="22" t="str">
        <f>VLOOKUP(A51,'Trips&amp;Operators'!$C$1:$E$10000,3,FALSE)</f>
        <v>STARKS</v>
      </c>
      <c r="M51" s="6">
        <f t="shared" si="1"/>
        <v>2.4652777778101154E-2</v>
      </c>
      <c r="N51" s="7">
        <f t="shared" si="26"/>
        <v>35.500000000465661</v>
      </c>
      <c r="O51" s="7"/>
      <c r="P51" s="7"/>
      <c r="Q51" s="23"/>
      <c r="R51" s="23"/>
      <c r="S51" s="35">
        <f t="shared" si="23"/>
        <v>1</v>
      </c>
      <c r="T51" s="50" t="str">
        <f t="shared" si="3"/>
        <v>NorthBound</v>
      </c>
      <c r="U51" s="1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07:26:47-0600',mode:absolute,to:'2016-10-24 10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1" s="52" t="str">
        <f t="shared" si="21"/>
        <v>N</v>
      </c>
      <c r="X51" s="171">
        <f t="shared" si="22"/>
        <v>1</v>
      </c>
      <c r="Y51" s="67">
        <f t="shared" si="24"/>
        <v>4.5499999999999999E-2</v>
      </c>
      <c r="Z51" s="67">
        <f t="shared" si="25"/>
        <v>23.331900000000001</v>
      </c>
      <c r="AA51" s="67">
        <f t="shared" si="7"/>
        <v>23.2864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8"/>
        <v>0139-24</v>
      </c>
      <c r="AE51" s="91" t="str">
        <f t="shared" si="9"/>
        <v>aws s3 cp s3://rtdc.mdm.uploadarchive.raw/RTDC4053/ "%USERPROFILE%\AppData\Local\Temp\OnboardLogs"\RTDC4053\2016-10-24 --exclude "*" --recursive --include "*20161024*" &amp; "%USERPROFILE%\Documents\GitHub\mrs-test-scripts\Headless Mode &amp; Sideloading\WalkAndUnGZ.bat" "%USERPROFILE%\AppData\Local\Temp\OnboardLogs"\RTDC4053\2016-10-24 &amp; 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</v>
      </c>
      <c r="AF51" s="88" t="str">
        <f t="shared" si="10"/>
        <v>"C:\Program Files (x86)\AstroGrep\AstroGrep.exe" /spath="%USERPROFILE%\AppData\Local\Temp\OnboardLogs" /stypes="app*4053*20161024*" /stext=" 15:.+((SYSTEM_STATE.+slice.+state.+changed )|(ment ac)|(system.+state.+changed )|(\[timeout)|(PRM\|1\|D)|(kpr)|(kdp)|(\|lc)|(penalty))" /e /r /s</v>
      </c>
      <c r="AG51" s="1" t="str">
        <f t="shared" si="11"/>
        <v>EC</v>
      </c>
      <c r="AH51" s="92" t="str">
        <f t="shared" si="19"/>
        <v>"%USERPROFILE%\Documents\GitHub\eaglep3\Utilities\RefineRTDCRunTimes.py" --tripid 139-24 --locoid 4053 --swversion DE.1.0.7.0 --startMP 204:455 --initTime 2016-10-24T08:26:47 --startdatetime 2016-10-24T08:30:41 --delay 1 --endMP 204:233319 --enddatetime 2016-10-24T09:06:11 --enforcementcount 1 &gt;&gt;C:\Users\stu\Documents\GitHub\eaglep3-reporting\EC\2016-10-24-refined-times.txt</v>
      </c>
      <c r="AI51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{"issue":{"subject":"","project_id":79,"tracker_id":40,"status_id":1,"priority_id":2,"assigned_to_id":23,"start_date":"2016-10-24","description":"","custom_fields":[{"id":1,"name":"Subdivision","value":"EC"},{"id":4,"name":"Milepost","value":"23.3319"},{"id":17,"name":"Train ID","value":"139-24"},{"id":16,"name":"Locomotive ID","value":"4053"},{"id":130,"name":"Impact","value":""},{"id":150,"name":"Time of Event (Mountain Time)","value":"09:06:11"},{"id":151,"name":"Denver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29" customFormat="1" x14ac:dyDescent="0.25">
      <c r="A52" s="37" t="s">
        <v>405</v>
      </c>
      <c r="B52" s="7">
        <v>4054</v>
      </c>
      <c r="C52" s="22" t="s">
        <v>99</v>
      </c>
      <c r="D52" s="22" t="s">
        <v>360</v>
      </c>
      <c r="E52" s="13">
        <v>42667.390706018516</v>
      </c>
      <c r="F52" s="13">
        <v>42667.393495370372</v>
      </c>
      <c r="G52" s="7">
        <v>2</v>
      </c>
      <c r="H52" s="13" t="s">
        <v>259</v>
      </c>
      <c r="I52" s="13">
        <v>42667.423078703701</v>
      </c>
      <c r="J52" s="7">
        <v>1</v>
      </c>
      <c r="K52" s="112" t="str">
        <f t="shared" si="0"/>
        <v>4053/4054</v>
      </c>
      <c r="L52" s="22" t="str">
        <f>VLOOKUP(A52,'Trips&amp;Operators'!$C$1:$E$10000,3,FALSE)</f>
        <v>STARKS</v>
      </c>
      <c r="M52" s="6">
        <f t="shared" si="1"/>
        <v>2.958333332935581E-2</v>
      </c>
      <c r="N52" s="7">
        <f t="shared" si="26"/>
        <v>42.599999994272366</v>
      </c>
      <c r="O52" s="7"/>
      <c r="P52" s="7"/>
      <c r="Q52" s="23"/>
      <c r="R52" s="23"/>
      <c r="S52" s="35">
        <f t="shared" si="23"/>
        <v>1</v>
      </c>
      <c r="T52" s="50" t="str">
        <f t="shared" si="3"/>
        <v>Southbound</v>
      </c>
      <c r="U52" s="1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08:22:37-0600',mode:absolute,to:'2016-10-24 11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2" s="52" t="str">
        <f t="shared" si="21"/>
        <v>N</v>
      </c>
      <c r="X52" s="171">
        <f t="shared" si="22"/>
        <v>1</v>
      </c>
      <c r="Y52" s="67">
        <f t="shared" si="24"/>
        <v>23.300799999999999</v>
      </c>
      <c r="Z52" s="67">
        <f t="shared" si="25"/>
        <v>1.5599999999999999E-2</v>
      </c>
      <c r="AA52" s="67">
        <f t="shared" si="7"/>
        <v>23.2852</v>
      </c>
      <c r="AB52" s="64" t="str">
        <f>VLOOKUP(A52,Enforcements!$C$7:$K$21,8,0)</f>
        <v>Bulletin (2)</v>
      </c>
      <c r="AC52" s="60" t="str">
        <f>VLOOKUP(A52,Enforcements!$C$7:$E$21,3,0)</f>
        <v>GRADE CROSSING</v>
      </c>
      <c r="AD52" s="61" t="str">
        <f t="shared" si="8"/>
        <v>0140-24</v>
      </c>
      <c r="AE52" s="91" t="str">
        <f t="shared" si="9"/>
        <v>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 &amp; 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</v>
      </c>
      <c r="AF52" s="88" t="str">
        <f t="shared" si="10"/>
        <v>"C:\Program Files (x86)\AstroGrep\AstroGrep.exe" /spath="%USERPROFILE%\AppData\Local\Temp\OnboardLogs" /stypes="app*4054*20161024*" /stext=" 16:.+((SYSTEM_STATE.+slice.+state.+changed )|(ment ac)|(system.+state.+changed )|(\[timeout)|(PRM\|1\|D)|(kpr)|(kdp)|(\|lc)|(penalty))" /e /r /s</v>
      </c>
      <c r="AG52" s="1" t="str">
        <f t="shared" si="11"/>
        <v>EC</v>
      </c>
      <c r="AH52" s="92" t="str">
        <f t="shared" si="19"/>
        <v>"%USERPROFILE%\Documents\GitHub\eaglep3\Utilities\RefineRTDCRunTimes.py" --tripid 140-24 --locoid 4054 --swversion DE.1.0.7.0 --startMP 204:233008 --initTime 2016-10-24T09:22:37 --startdatetime 2016-10-24T09:26:38 --delay 2 --endMP 204:156 --enddatetime 2016-10-24T10:09:14 --enforcementcount 1 &gt;&gt;C:\Users\stu\Documents\GitHub\eaglep3-reporting\EC\2016-10-24-refined-times.txt</v>
      </c>
      <c r="AI52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{"issue":{"subject":"","project_id":79,"tracker_id":40,"status_id":1,"priority_id":2,"assigned_to_id":23,"start_date":"2016-10-24","description":"","custom_fields":[{"id":1,"name":"Subdivision","value":"EC"},{"id":4,"name":"Milepost","value":"0.0156"},{"id":17,"name":"Train ID","value":"140-24"},{"id":16,"name":"Locomotive ID","value":"4054"},{"id":130,"name":"Impact","value":""},{"id":150,"name":"Time of Event (Mountain Time)","value":"10:09:14"},{"id":151,"name":"Denver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473</v>
      </c>
      <c r="B53" s="7">
        <v>4038</v>
      </c>
      <c r="C53" s="22" t="s">
        <v>99</v>
      </c>
      <c r="D53" s="22" t="s">
        <v>640</v>
      </c>
      <c r="E53" s="13">
        <v>42667.360324074078</v>
      </c>
      <c r="F53" s="13">
        <v>42667.36482638889</v>
      </c>
      <c r="G53" s="7">
        <v>1</v>
      </c>
      <c r="H53" s="13" t="s">
        <v>641</v>
      </c>
      <c r="I53" s="13">
        <v>42667.389780092592</v>
      </c>
      <c r="J53" s="7">
        <v>1</v>
      </c>
      <c r="K53" s="112" t="str">
        <f t="shared" si="0"/>
        <v>4037/4038</v>
      </c>
      <c r="L53" s="22" t="str">
        <f>VLOOKUP(A53,'Trips&amp;Operators'!$C$1:$E$10000,3,FALSE)</f>
        <v>KILLION</v>
      </c>
      <c r="M53" s="6">
        <f t="shared" si="1"/>
        <v>2.495370370161254E-2</v>
      </c>
      <c r="N53" s="7">
        <f t="shared" si="26"/>
        <v>35.933333330322057</v>
      </c>
      <c r="O53" s="7"/>
      <c r="P53" s="7"/>
      <c r="Q53" s="23"/>
      <c r="R53" s="23"/>
      <c r="S53" s="35">
        <f t="shared" si="23"/>
        <v>1</v>
      </c>
      <c r="T53" s="50" t="str">
        <f t="shared" si="3"/>
        <v>NorthBound</v>
      </c>
      <c r="U53" s="1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07:38:52-0600',mode:absolute,to:'2016-10-24 10:21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3" s="52" t="str">
        <f t="shared" si="21"/>
        <v>N</v>
      </c>
      <c r="X53" s="171">
        <f t="shared" ref="X53:X84" si="27">VALUE(LEFT(AD53,4))-VALUE(LEFT(AD52,4))</f>
        <v>1</v>
      </c>
      <c r="Y53" s="67">
        <f t="shared" si="24"/>
        <v>4.8000000000000001E-2</v>
      </c>
      <c r="Z53" s="67">
        <f t="shared" si="25"/>
        <v>23.327999999999999</v>
      </c>
      <c r="AA53" s="67">
        <f t="shared" si="7"/>
        <v>23.28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8"/>
        <v>0141-24</v>
      </c>
      <c r="AE53" s="91" t="str">
        <f t="shared" si="9"/>
        <v>aws s3 cp s3://rtdc.mdm.uploadarchive.raw/RTDC4038/ "%USERPROFILE%\AppData\Local\Temp\OnboardLogs"\RTDC4038\2016-10-24 --exclude "*" --recursive --include "*20161024*" &amp; "%USERPROFILE%\Documents\GitHub\mrs-test-scripts\Headless Mode &amp; Sideloading\WalkAndUnGZ.bat" "%USERPROFILE%\AppData\Local\Temp\OnboardLogs"\RTDC4038\2016-10-24 &amp; aws s3 cp s3://rtdc.mdm.uploadarchive.raw/RTDC4038/ "%USERPROFILE%\AppData\Local\Temp\OnboardLogs"\RTDC4038\2016-10-25 --exclude "*" --recursive --include "*20161025*" &amp; "%USERPROFILE%\Documents\GitHub\mrs-test-scripts\Headless Mode &amp; Sideloading\WalkAndUnGZ.bat" "%USERPROFILE%\AppData\Local\Temp\OnboardLogs"\RTDC4038\2016-10-25</v>
      </c>
      <c r="AF53" s="88" t="str">
        <f t="shared" si="10"/>
        <v>"C:\Program Files (x86)\AstroGrep\AstroGrep.exe" /spath="%USERPROFILE%\AppData\Local\Temp\OnboardLogs" /stypes="app*4038*20161024*" /stext=" 15:.+((SYSTEM_STATE.+slice.+state.+changed )|(ment ac)|(system.+state.+changed )|(\[timeout)|(PRM\|1\|D)|(kpr)|(kdp)|(\|lc)|(penalty))" /e /r /s</v>
      </c>
      <c r="AG53" s="1" t="str">
        <f t="shared" si="11"/>
        <v>EC</v>
      </c>
      <c r="AH53" s="92" t="str">
        <f t="shared" si="19"/>
        <v>"%USERPROFILE%\Documents\GitHub\eaglep3\Utilities\RefineRTDCRunTimes.py" --tripid 141-24 --locoid 4038 --swversion DE.1.0.7.0 --startMP 204:480 --initTime 2016-10-24T08:38:52 --startdatetime 2016-10-24T08:45:21 --delay 1 --endMP 204:233280 --enddatetime 2016-10-24T09:21:17 --enforcementcount 1 &gt;&gt;C:\Users\stu\Documents\GitHub\eaglep3-reporting\EC\2016-10-24-refined-times.txt</v>
      </c>
      <c r="AI53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{"issue":{"subject":"","project_id":79,"tracker_id":40,"status_id":1,"priority_id":2,"assigned_to_id":23,"start_date":"2016-10-24","description":"","custom_fields":[{"id":1,"name":"Subdivision","value":"EC"},{"id":4,"name":"Milepost","value":"23.328"},{"id":17,"name":"Train ID","value":"141-24"},{"id":16,"name":"Locomotive ID","value":"4038"},{"id":130,"name":"Impact","value":""},{"id":150,"name":"Time of Event (Mountain Time)","value":"09:21:17"},{"id":151,"name":"Denver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479</v>
      </c>
      <c r="B54" s="7">
        <v>4037</v>
      </c>
      <c r="C54" s="22" t="s">
        <v>99</v>
      </c>
      <c r="D54" s="22" t="s">
        <v>642</v>
      </c>
      <c r="E54" s="13">
        <v>42667.396111111113</v>
      </c>
      <c r="F54" s="13">
        <v>42667.403796296298</v>
      </c>
      <c r="G54" s="7">
        <v>1</v>
      </c>
      <c r="H54" s="13" t="s">
        <v>643</v>
      </c>
      <c r="I54" s="13">
        <v>42667.431805555556</v>
      </c>
      <c r="J54" s="7">
        <v>1</v>
      </c>
      <c r="K54" s="112" t="str">
        <f t="shared" si="0"/>
        <v>4037/4038</v>
      </c>
      <c r="L54" s="22" t="str">
        <f>VLOOKUP(A54,'Trips&amp;Operators'!$C$1:$E$10000,3,FALSE)</f>
        <v>KILLION</v>
      </c>
      <c r="M54" s="6">
        <f t="shared" si="1"/>
        <v>2.8009259258396924E-2</v>
      </c>
      <c r="N54" s="7">
        <f t="shared" si="26"/>
        <v>40.33333333209157</v>
      </c>
      <c r="O54" s="7"/>
      <c r="P54" s="7"/>
      <c r="Q54" s="23"/>
      <c r="R54" s="23"/>
      <c r="S54" s="35">
        <f t="shared" si="23"/>
        <v>1</v>
      </c>
      <c r="T54" s="50" t="str">
        <f t="shared" si="3"/>
        <v>Southbound</v>
      </c>
      <c r="U54" s="1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08:30:24-0600',mode:absolute,to:'2016-10-24 11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4" s="52" t="str">
        <f t="shared" si="21"/>
        <v>N</v>
      </c>
      <c r="X54" s="171">
        <f t="shared" si="27"/>
        <v>1</v>
      </c>
      <c r="Y54" s="67">
        <f t="shared" si="24"/>
        <v>23.297499999999999</v>
      </c>
      <c r="Z54" s="67">
        <f t="shared" si="25"/>
        <v>1.61E-2</v>
      </c>
      <c r="AA54" s="67">
        <f t="shared" si="7"/>
        <v>23.281399999999998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8"/>
        <v>0142-24</v>
      </c>
      <c r="AE54" s="91" t="str">
        <f t="shared" si="9"/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AF54" s="88" t="str">
        <f t="shared" si="10"/>
        <v>"C:\Program Files (x86)\AstroGrep\AstroGrep.exe" /spath="%USERPROFILE%\AppData\Local\Temp\OnboardLogs" /stypes="app*4037*20161024*" /stext=" 16:.+((SYSTEM_STATE.+slice.+state.+changed )|(ment ac)|(system.+state.+changed )|(\[timeout)|(PRM\|1\|D)|(kpr)|(kdp)|(\|lc)|(penalty))" /e /r /s</v>
      </c>
      <c r="AG54" s="1" t="str">
        <f t="shared" si="11"/>
        <v>EC</v>
      </c>
      <c r="AH54" s="92" t="str">
        <f t="shared" si="19"/>
        <v>"%USERPROFILE%\Documents\GitHub\eaglep3\Utilities\RefineRTDCRunTimes.py" --tripid 142-24 --locoid 4037 --swversion DE.1.0.7.0 --startMP 204:232975 --initTime 2016-10-24T09:30:24 --startdatetime 2016-10-24T09:41:28 --delay 1 --endMP 204:161 --enddatetime 2016-10-24T10:21:48 --enforcementcount 1 &gt;&gt;C:\Users\stu\Documents\GitHub\eaglep3-reporting\EC\2016-10-24-refined-times.txt</v>
      </c>
      <c r="AI54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{"issue":{"subject":"","project_id":79,"tracker_id":40,"status_id":1,"priority_id":2,"assigned_to_id":23,"start_date":"2016-10-24","description":"","custom_fields":[{"id":1,"name":"Subdivision","value":"EC"},{"id":4,"name":"Milepost","value":"0.0161"},{"id":17,"name":"Train ID","value":"142-24"},{"id":16,"name":"Locomotive ID","value":"4037"},{"id":130,"name":"Impact","value":""},{"id":150,"name":"Time of Event (Mountain Time)","value":"10:21:48"},{"id":151,"name":"Denver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403</v>
      </c>
      <c r="B55" s="7">
        <v>4002</v>
      </c>
      <c r="C55" s="22" t="s">
        <v>99</v>
      </c>
      <c r="D55" s="22" t="s">
        <v>230</v>
      </c>
      <c r="E55" s="13">
        <v>42667.3749537037</v>
      </c>
      <c r="F55" s="13">
        <v>42667.376192129632</v>
      </c>
      <c r="G55" s="7">
        <v>1</v>
      </c>
      <c r="H55" s="13" t="s">
        <v>320</v>
      </c>
      <c r="I55" s="13">
        <v>42667.402372685188</v>
      </c>
      <c r="J55" s="7">
        <v>1</v>
      </c>
      <c r="K55" s="112" t="str">
        <f t="shared" si="0"/>
        <v>4001/4002</v>
      </c>
      <c r="L55" s="22" t="str">
        <f>VLOOKUP(A55,'Trips&amp;Operators'!$C$1:$E$10000,3,FALSE)</f>
        <v>MALAVE</v>
      </c>
      <c r="M55" s="6">
        <f t="shared" si="1"/>
        <v>2.6180555556493346E-2</v>
      </c>
      <c r="N55" s="7">
        <f t="shared" si="26"/>
        <v>37.700000001350418</v>
      </c>
      <c r="O55" s="7"/>
      <c r="P55" s="7"/>
      <c r="Q55" s="23"/>
      <c r="R55" s="23"/>
      <c r="S55" s="35">
        <f t="shared" si="23"/>
        <v>1</v>
      </c>
      <c r="T55" s="50" t="str">
        <f t="shared" si="3"/>
        <v>NorthBound</v>
      </c>
      <c r="U55" s="1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07:59:56-0600',mode:absolute,to:'2016-10-24 10:39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5" s="52" t="str">
        <f t="shared" si="21"/>
        <v>N</v>
      </c>
      <c r="X55" s="171">
        <f t="shared" si="27"/>
        <v>1</v>
      </c>
      <c r="Y55" s="67">
        <f t="shared" si="24"/>
        <v>4.6600000000000003E-2</v>
      </c>
      <c r="Z55" s="67">
        <f t="shared" si="25"/>
        <v>23.3291</v>
      </c>
      <c r="AA55" s="67">
        <f t="shared" si="7"/>
        <v>23.282499999999999</v>
      </c>
      <c r="AB55" s="64" t="str">
        <f>VLOOKUP(A55,Enforcements!$C$7:$K$21,8,0)</f>
        <v>Bulletin (2)</v>
      </c>
      <c r="AC55" s="60" t="str">
        <f>VLOOKUP(A55,Enforcements!$C$7:$E$21,3,0)</f>
        <v>GRADE CROSSING</v>
      </c>
      <c r="AD55" s="61" t="str">
        <f t="shared" si="8"/>
        <v>0143-24</v>
      </c>
      <c r="AE55" s="91" t="str">
        <f t="shared" si="9"/>
        <v>aws s3 cp s3://rtdc.mdm.uploadarchive.raw/RTDC4002/ "%USERPROFILE%\AppData\Local\Temp\OnboardLogs"\RTDC4002\2016-10-24 --exclude "*" --recursive --include "*20161024*" &amp; "%USERPROFILE%\Documents\GitHub\mrs-test-scripts\Headless Mode &amp; Sideloading\WalkAndUnGZ.bat" "%USERPROFILE%\AppData\Local\Temp\OnboardLogs"\RTDC4002\2016-10-24 &amp; 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</v>
      </c>
      <c r="AF55" s="88" t="str">
        <f t="shared" si="10"/>
        <v>"C:\Program Files (x86)\AstroGrep\AstroGrep.exe" /spath="%USERPROFILE%\AppData\Local\Temp\OnboardLogs" /stypes="app*4002*20161024*" /stext=" 15:.+((SYSTEM_STATE.+slice.+state.+changed )|(ment ac)|(system.+state.+changed )|(\[timeout)|(PRM\|1\|D)|(kpr)|(kdp)|(\|lc)|(penalty))" /e /r /s</v>
      </c>
      <c r="AG55" s="1" t="str">
        <f t="shared" si="11"/>
        <v>EC</v>
      </c>
      <c r="AH55" s="92" t="str">
        <f t="shared" si="19"/>
        <v>"%USERPROFILE%\Documents\GitHub\eaglep3\Utilities\RefineRTDCRunTimes.py" --tripid 143-24 --locoid 4002 --swversion DE.1.0.7.0 --startMP 204:466 --initTime 2016-10-24T08:59:56 --startdatetime 2016-10-24T09:01:43 --delay 1 --endMP 204:233291 --enddatetime 2016-10-24T09:39:25 --enforcementcount 1 &gt;&gt;C:\Users\stu\Documents\GitHub\eaglep3-reporting\EC\2016-10-24-refined-times.txt</v>
      </c>
      <c r="AI55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{"issue":{"subject":"","project_id":79,"tracker_id":40,"status_id":1,"priority_id":2,"assigned_to_id":23,"start_date":"2016-10-24","description":"","custom_fields":[{"id":1,"name":"Subdivision","value":"EC"},{"id":4,"name":"Milepost","value":"23.3291"},{"id":17,"name":"Train ID","value":"143-24"},{"id":16,"name":"Locomotive ID","value":"4002"},{"id":130,"name":"Impact","value":""},{"id":150,"name":"Time of Event (Mountain Time)","value":"09:39:25"},{"id":151,"name":"Denver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407</v>
      </c>
      <c r="B56" s="7">
        <v>4001</v>
      </c>
      <c r="C56" s="22" t="s">
        <v>99</v>
      </c>
      <c r="D56" s="22" t="s">
        <v>322</v>
      </c>
      <c r="E56" s="13">
        <v>42667.412546296298</v>
      </c>
      <c r="F56" s="13">
        <v>42667.414236111108</v>
      </c>
      <c r="G56" s="7">
        <v>0</v>
      </c>
      <c r="H56" s="13" t="s">
        <v>259</v>
      </c>
      <c r="I56" s="13">
        <v>42667.441516203704</v>
      </c>
      <c r="J56" s="7">
        <v>1</v>
      </c>
      <c r="K56" s="112" t="str">
        <f t="shared" si="0"/>
        <v>4001/4002</v>
      </c>
      <c r="L56" s="22" t="str">
        <f>VLOOKUP(A56,'Trips&amp;Operators'!$C$1:$E$10000,3,FALSE)</f>
        <v>MALAVE</v>
      </c>
      <c r="M56" s="6">
        <f t="shared" si="1"/>
        <v>2.7280092595901806E-2</v>
      </c>
      <c r="N56" s="7">
        <f t="shared" si="26"/>
        <v>39.283333338098601</v>
      </c>
      <c r="O56" s="7"/>
      <c r="P56" s="7"/>
      <c r="Q56" s="23"/>
      <c r="R56" s="23"/>
      <c r="S56" s="35">
        <f t="shared" si="23"/>
        <v>1</v>
      </c>
      <c r="T56" s="50" t="str">
        <f t="shared" si="3"/>
        <v>Southbound</v>
      </c>
      <c r="U56" s="1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08:54:04-0600',mode:absolute,to:'2016-10-24 11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6" s="52" t="str">
        <f t="shared" si="21"/>
        <v>N</v>
      </c>
      <c r="X56" s="171">
        <f t="shared" si="27"/>
        <v>1</v>
      </c>
      <c r="Y56" s="67">
        <f t="shared" si="24"/>
        <v>23.298500000000001</v>
      </c>
      <c r="Z56" s="67">
        <f t="shared" si="25"/>
        <v>1.5599999999999999E-2</v>
      </c>
      <c r="AA56" s="67">
        <f t="shared" si="7"/>
        <v>23.282900000000001</v>
      </c>
      <c r="AB56" s="64" t="str">
        <f>VLOOKUP(A56,Enforcements!$C$7:$K$21,8,0)</f>
        <v>Speed (6)</v>
      </c>
      <c r="AC56" s="60" t="str">
        <f>VLOOKUP(A56,Enforcements!$C$7:$E$21,3,0)</f>
        <v>PERMANENT SPEED RESTRICTION</v>
      </c>
      <c r="AD56" s="61" t="str">
        <f t="shared" si="8"/>
        <v>0144-24</v>
      </c>
      <c r="AE56" s="91" t="str">
        <f t="shared" si="9"/>
        <v>aws s3 cp s3://rtdc.mdm.uploadarchive.raw/RTDC4001/ "%USERPROFILE%\AppData\Local\Temp\OnboardLogs"\RTDC4001\2016-10-24 --exclude "*" --recursive --include "*20161024*" &amp; "%USERPROFILE%\Documents\GitHub\mrs-test-scripts\Headless Mode &amp; Sideloading\WalkAndUnGZ.bat" "%USERPROFILE%\AppData\Local\Temp\OnboardLogs"\RTDC4001\2016-10-24 &amp; 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</v>
      </c>
      <c r="AF56" s="88" t="str">
        <f t="shared" si="10"/>
        <v>"C:\Program Files (x86)\AstroGrep\AstroGrep.exe" /spath="%USERPROFILE%\AppData\Local\Temp\OnboardLogs" /stypes="app*4001*20161024*" /stext=" 16:.+((SYSTEM_STATE.+slice.+state.+changed )|(ment ac)|(system.+state.+changed )|(\[timeout)|(PRM\|1\|D)|(kpr)|(kdp)|(\|lc)|(penalty))" /e /r /s</v>
      </c>
      <c r="AG56" s="1" t="str">
        <f t="shared" si="11"/>
        <v>EC</v>
      </c>
      <c r="AH56" s="92" t="str">
        <f t="shared" si="19"/>
        <v>"%USERPROFILE%\Documents\GitHub\eaglep3\Utilities\RefineRTDCRunTimes.py" --tripid 144-24 --locoid 4001 --swversion DE.1.0.7.0 --startMP 204:232985 --initTime 2016-10-24T09:54:04 --startdatetime 2016-10-24T09:56:30 --delay 0 --endMP 204:156 --enddatetime 2016-10-24T10:35:47 --enforcementcount 1 &gt;&gt;C:\Users\stu\Documents\GitHub\eaglep3-reporting\EC\2016-10-24-refined-times.txt</v>
      </c>
      <c r="AI56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{"issue":{"subject":"","project_id":79,"tracker_id":40,"status_id":1,"priority_id":2,"assigned_to_id":23,"start_date":"2016-10-24","description":"","custom_fields":[{"id":1,"name":"Subdivision","value":"EC"},{"id":4,"name":"Milepost","value":"0.0156"},{"id":17,"name":"Train ID","value":"144-24"},{"id":16,"name":"Locomotive ID","value":"4001"},{"id":130,"name":"Impact","value":""},{"id":150,"name":"Time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477</v>
      </c>
      <c r="B57" s="7">
        <v>4011</v>
      </c>
      <c r="C57" s="22" t="s">
        <v>99</v>
      </c>
      <c r="D57" s="22" t="s">
        <v>270</v>
      </c>
      <c r="E57" s="13">
        <v>42667.381215277775</v>
      </c>
      <c r="F57" s="13">
        <v>42667.385636574072</v>
      </c>
      <c r="G57" s="7">
        <v>6</v>
      </c>
      <c r="H57" s="13" t="s">
        <v>357</v>
      </c>
      <c r="I57" s="13">
        <v>42667.412280092591</v>
      </c>
      <c r="J57" s="7">
        <v>1</v>
      </c>
      <c r="K57" s="112" t="str">
        <f t="shared" si="0"/>
        <v>4011/4012</v>
      </c>
      <c r="L57" s="22" t="str">
        <f>VLOOKUP(A57,'Trips&amp;Operators'!$C$1:$E$10000,3,FALSE)</f>
        <v>ACKERMAN</v>
      </c>
      <c r="M57" s="6">
        <f t="shared" si="1"/>
        <v>2.6643518518540077E-2</v>
      </c>
      <c r="N57" s="7">
        <f t="shared" si="26"/>
        <v>38.366666666697711</v>
      </c>
      <c r="O57" s="7"/>
      <c r="P57" s="7"/>
      <c r="Q57" s="23"/>
      <c r="R57" s="23"/>
      <c r="S57" s="35">
        <f t="shared" si="23"/>
        <v>1</v>
      </c>
      <c r="T57" s="50" t="str">
        <f t="shared" si="3"/>
        <v>NorthBound</v>
      </c>
      <c r="U57" s="1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08:08:57-0600',mode:absolute,to:'2016-10-24 10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7" s="52" t="str">
        <f t="shared" si="21"/>
        <v>N</v>
      </c>
      <c r="X57" s="171">
        <f t="shared" si="27"/>
        <v>1</v>
      </c>
      <c r="Y57" s="67">
        <f t="shared" si="24"/>
        <v>4.4900000000000002E-2</v>
      </c>
      <c r="Z57" s="67">
        <f t="shared" si="25"/>
        <v>23.328199999999999</v>
      </c>
      <c r="AA57" s="67">
        <f t="shared" si="7"/>
        <v>23.283300000000001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8"/>
        <v>0145-24</v>
      </c>
      <c r="AE57" s="91" t="str">
        <f t="shared" si="9"/>
        <v>aws s3 cp s3://rtdc.mdm.uploadarchive.raw/RTDC4011/ "%USERPROFILE%\AppData\Local\Temp\OnboardLogs"\RTDC4011\2016-10-24 --exclude "*" --recursive --include "*20161024*" &amp; "%USERPROFILE%\Documents\GitHub\mrs-test-scripts\Headless Mode &amp; Sideloading\WalkAndUnGZ.bat" "%USERPROFILE%\AppData\Local\Temp\OnboardLogs"\RTDC4011\2016-10-24 &amp; 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</v>
      </c>
      <c r="AF57" s="88" t="str">
        <f t="shared" si="10"/>
        <v>"C:\Program Files (x86)\AstroGrep\AstroGrep.exe" /spath="%USERPROFILE%\AppData\Local\Temp\OnboardLogs" /stypes="app*4011*20161024*" /stext=" 15:.+((SYSTEM_STATE.+slice.+state.+changed )|(ment ac)|(system.+state.+changed )|(\[timeout)|(PRM\|1\|D)|(kpr)|(kdp)|(\|lc)|(penalty))" /e /r /s</v>
      </c>
      <c r="AG57" s="1" t="str">
        <f t="shared" si="11"/>
        <v>EC</v>
      </c>
      <c r="AH57" s="92" t="str">
        <f t="shared" si="19"/>
        <v>"%USERPROFILE%\Documents\GitHub\eaglep3\Utilities\RefineRTDCRunTimes.py" --tripid 145-24 --locoid 4011 --swversion DE.1.0.7.0 --startMP 204:449 --initTime 2016-10-24T09:08:57 --startdatetime 2016-10-24T09:15:19 --delay 6 --endMP 204:233282 --enddatetime 2016-10-24T09:53:41 --enforcementcount 1 &gt;&gt;C:\Users\stu\Documents\GitHub\eaglep3-reporting\EC\2016-10-24-refined-times.txt</v>
      </c>
      <c r="AI57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{"issue":{"subject":"","project_id":79,"tracker_id":40,"status_id":1,"priority_id":2,"assigned_to_id":23,"start_date":"2016-10-24","description":"","custom_fields":[{"id":1,"name":"Subdivision","value":"EC"},{"id":4,"name":"Milepost","value":"23.3282"},{"id":17,"name":"Train ID","value":"145-24"},{"id":16,"name":"Locomotive ID","value":"4011"},{"id":130,"name":"Impact","value":""},{"id":150,"name":"Time of Event (Mountain Time)","value":"09:53:41"},{"id":151,"name":"Denver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482</v>
      </c>
      <c r="B58" s="7">
        <v>4012</v>
      </c>
      <c r="C58" s="22" t="s">
        <v>99</v>
      </c>
      <c r="D58" s="22" t="s">
        <v>642</v>
      </c>
      <c r="E58" s="13">
        <v>42667.418113425927</v>
      </c>
      <c r="F58" s="13">
        <v>42667.424699074072</v>
      </c>
      <c r="G58" s="7">
        <v>1</v>
      </c>
      <c r="H58" s="13" t="s">
        <v>218</v>
      </c>
      <c r="I58" s="13">
        <v>42667.450868055559</v>
      </c>
      <c r="J58" s="7">
        <v>1</v>
      </c>
      <c r="K58" s="112" t="str">
        <f t="shared" si="0"/>
        <v>4011/4012</v>
      </c>
      <c r="L58" s="22" t="str">
        <f>VLOOKUP(A58,'Trips&amp;Operators'!$C$1:$E$10000,3,FALSE)</f>
        <v>ACKERMAN</v>
      </c>
      <c r="M58" s="6">
        <f t="shared" si="1"/>
        <v>2.6168981486989651E-2</v>
      </c>
      <c r="N58" s="7">
        <f t="shared" si="26"/>
        <v>37.683333341265097</v>
      </c>
      <c r="O58" s="7"/>
      <c r="P58" s="7"/>
      <c r="Q58" s="23"/>
      <c r="R58" s="23"/>
      <c r="S58" s="35">
        <f t="shared" si="23"/>
        <v>1</v>
      </c>
      <c r="T58" s="50" t="str">
        <f t="shared" si="3"/>
        <v>Southbound</v>
      </c>
      <c r="U58" s="1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09:02:05-0600',mode:absolute,to:'2016-10-24 11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8" s="52" t="str">
        <f t="shared" si="21"/>
        <v>N</v>
      </c>
      <c r="X58" s="171">
        <f t="shared" si="27"/>
        <v>1</v>
      </c>
      <c r="Y58" s="67">
        <f t="shared" si="24"/>
        <v>23.297499999999999</v>
      </c>
      <c r="Z58" s="67">
        <f t="shared" si="25"/>
        <v>1.54E-2</v>
      </c>
      <c r="AA58" s="67">
        <f t="shared" si="7"/>
        <v>23.2821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8"/>
        <v>0146-24</v>
      </c>
      <c r="AE58" s="91" t="str">
        <f t="shared" si="9"/>
        <v>aws s3 cp s3://rtdc.mdm.uploadarchive.raw/RTDC4012/ "%USERPROFILE%\AppData\Local\Temp\OnboardLogs"\RTDC4012\2016-10-24 --exclude "*" --recursive --include "*20161024*" &amp; "%USERPROFILE%\Documents\GitHub\mrs-test-scripts\Headless Mode &amp; Sideloading\WalkAndUnGZ.bat" "%USERPROFILE%\AppData\Local\Temp\OnboardLogs"\RTDC4012\2016-10-24 &amp; aws s3 cp s3://rtdc.mdm.uploadarchive.raw/RTDC4012/ "%USERPROFILE%\AppData\Local\Temp\OnboardLogs"\RTDC4012\2016-10-25 --exclude "*" --recursive --include "*20161025*" &amp; "%USERPROFILE%\Documents\GitHub\mrs-test-scripts\Headless Mode &amp; Sideloading\WalkAndUnGZ.bat" "%USERPROFILE%\AppData\Local\Temp\OnboardLogs"\RTDC4012\2016-10-25</v>
      </c>
      <c r="AF58" s="88" t="str">
        <f t="shared" si="10"/>
        <v>"C:\Program Files (x86)\AstroGrep\AstroGrep.exe" /spath="%USERPROFILE%\AppData\Local\Temp\OnboardLogs" /stypes="app*4012*20161024*" /stext=" 16:.+((SYSTEM_STATE.+slice.+state.+changed )|(ment ac)|(system.+state.+changed )|(\[timeout)|(PRM\|1\|D)|(kpr)|(kdp)|(\|lc)|(penalty))" /e /r /s</v>
      </c>
      <c r="AG58" s="1" t="str">
        <f t="shared" si="11"/>
        <v>EC</v>
      </c>
      <c r="AH58" s="92" t="str">
        <f t="shared" si="19"/>
        <v>"%USERPROFILE%\Documents\GitHub\eaglep3\Utilities\RefineRTDCRunTimes.py" --tripid 146-24 --locoid 4012 --swversion DE.1.0.7.0 --startMP 204:232975 --initTime 2016-10-24T10:02:05 --startdatetime 2016-10-24T10:11:34 --delay 1 --endMP 204:154 --enddatetime 2016-10-24T10:49:15 --enforcementcount 1 &gt;&gt;C:\Users\stu\Documents\GitHub\eaglep3-reporting\EC\2016-10-24-refined-times.txt</v>
      </c>
      <c r="AI58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{"issue":{"subject":"","project_id":79,"tracker_id":40,"status_id":1,"priority_id":2,"assigned_to_id":23,"start_date":"2016-10-24","description":"","custom_fields":[{"id":1,"name":"Subdivision","value":"EC"},{"id":4,"name":"Milepost","value":"0.0154"},{"id":17,"name":"Train ID","value":"146-24"},{"id":16,"name":"Locomotive ID","value":"4012"},{"id":130,"name":"Impact","value":""},{"id":150,"name":"Time of Event (Mountain Time)","value":"10:49:15"},{"id":151,"name":"Denver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478</v>
      </c>
      <c r="B59" s="7">
        <v>4014</v>
      </c>
      <c r="C59" s="22" t="s">
        <v>99</v>
      </c>
      <c r="D59" s="22" t="s">
        <v>255</v>
      </c>
      <c r="E59" s="13">
        <v>42667.393206018518</v>
      </c>
      <c r="F59" s="13">
        <v>42667.396053240744</v>
      </c>
      <c r="G59" s="7">
        <v>1</v>
      </c>
      <c r="H59" s="13" t="s">
        <v>298</v>
      </c>
      <c r="I59" s="13">
        <v>42667.4216087963</v>
      </c>
      <c r="J59" s="7">
        <v>1</v>
      </c>
      <c r="K59" s="112" t="str">
        <f t="shared" si="0"/>
        <v>4013/4014</v>
      </c>
      <c r="L59" s="22" t="str">
        <f>VLOOKUP(A59,'Trips&amp;Operators'!$C$1:$E$10000,3,FALSE)</f>
        <v>BRANNON</v>
      </c>
      <c r="M59" s="6">
        <f t="shared" si="1"/>
        <v>2.5555555555911269E-2</v>
      </c>
      <c r="N59" s="7">
        <f t="shared" si="26"/>
        <v>36.800000000512227</v>
      </c>
      <c r="O59" s="7"/>
      <c r="P59" s="7"/>
      <c r="Q59" s="23"/>
      <c r="R59" s="23"/>
      <c r="S59" s="35">
        <f t="shared" si="23"/>
        <v>1</v>
      </c>
      <c r="T59" s="50" t="str">
        <f t="shared" si="3"/>
        <v>NorthBound</v>
      </c>
      <c r="U59" s="1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08:26:13-0600',mode:absolute,to:'2016-10-24 11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9" s="52" t="str">
        <f t="shared" si="21"/>
        <v>N</v>
      </c>
      <c r="X59" s="171">
        <f t="shared" si="27"/>
        <v>1</v>
      </c>
      <c r="Y59" s="67">
        <f t="shared" si="24"/>
        <v>4.7100000000000003E-2</v>
      </c>
      <c r="Z59" s="67">
        <f t="shared" si="25"/>
        <v>23.330200000000001</v>
      </c>
      <c r="AA59" s="67">
        <f t="shared" si="7"/>
        <v>23.283100000000001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8"/>
        <v>0147-24</v>
      </c>
      <c r="AE59" s="91" t="str">
        <f t="shared" si="9"/>
        <v>aws s3 cp s3://rtdc.mdm.uploadarchive.raw/RTDC4014/ "%USERPROFILE%\AppData\Local\Temp\OnboardLogs"\RTDC4014\2016-10-24 --exclude "*" --recursive --include "*20161024*" &amp; "%USERPROFILE%\Documents\GitHub\mrs-test-scripts\Headless Mode &amp; Sideloading\WalkAndUnGZ.bat" "%USERPROFILE%\AppData\Local\Temp\OnboardLogs"\RTDC4014\2016-10-24 &amp; aws s3 cp s3://rtdc.mdm.uploadarchive.raw/RTDC4014/ "%USERPROFILE%\AppData\Local\Temp\OnboardLogs"\RTDC4014\2016-10-25 --exclude "*" --recursive --include "*20161025*" &amp; "%USERPROFILE%\Documents\GitHub\mrs-test-scripts\Headless Mode &amp; Sideloading\WalkAndUnGZ.bat" "%USERPROFILE%\AppData\Local\Temp\OnboardLogs"\RTDC4014\2016-10-25</v>
      </c>
      <c r="AF59" s="88" t="str">
        <f t="shared" si="10"/>
        <v>"C:\Program Files (x86)\AstroGrep\AstroGrep.exe" /spath="%USERPROFILE%\AppData\Local\Temp\OnboardLogs" /stypes="app*4014*20161024*" /stext=" 16:.+((SYSTEM_STATE.+slice.+state.+changed )|(ment ac)|(system.+state.+changed )|(\[timeout)|(PRM\|1\|D)|(kpr)|(kdp)|(\|lc)|(penalty))" /e /r /s</v>
      </c>
      <c r="AG59" s="1" t="str">
        <f t="shared" si="11"/>
        <v>EC</v>
      </c>
      <c r="AH59" s="92" t="str">
        <f t="shared" si="19"/>
        <v>"%USERPROFILE%\Documents\GitHub\eaglep3\Utilities\RefineRTDCRunTimes.py" --tripid 147-24 --locoid 4014 --swversion DE.1.0.7.0 --startMP 204:471 --initTime 2016-10-24T09:26:13 --startdatetime 2016-10-24T09:30:19 --delay 1 --endMP 204:233302 --enddatetime 2016-10-24T10:07:07 --enforcementcount 1 &gt;&gt;C:\Users\stu\Documents\GitHub\eaglep3-reporting\EC\2016-10-24-refined-times.txt</v>
      </c>
      <c r="AI59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{"issue":{"subject":"","project_id":79,"tracker_id":40,"status_id":1,"priority_id":2,"assigned_to_id":23,"start_date":"2016-10-24","description":"","custom_fields":[{"id":1,"name":"Subdivision","value":"EC"},{"id":4,"name":"Milepost","value":"23.3302"},{"id":17,"name":"Train ID","value":"147-24"},{"id":16,"name":"Locomotive ID","value":"4014"},{"id":130,"name":"Impact","value":""},{"id":150,"name":"Time of Event (Mountain Time)","value":"10:07:07"},{"id":151,"name":"Denver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411</v>
      </c>
      <c r="B60" s="7">
        <v>4013</v>
      </c>
      <c r="C60" s="22" t="s">
        <v>99</v>
      </c>
      <c r="D60" s="22" t="s">
        <v>254</v>
      </c>
      <c r="E60" s="13">
        <v>42667.431273148148</v>
      </c>
      <c r="F60" s="13">
        <v>42667.434895833336</v>
      </c>
      <c r="G60" s="7">
        <v>1</v>
      </c>
      <c r="H60" s="13" t="s">
        <v>644</v>
      </c>
      <c r="I60" s="13">
        <v>42667.465185185189</v>
      </c>
      <c r="J60" s="7">
        <v>1</v>
      </c>
      <c r="K60" s="112" t="str">
        <f t="shared" si="0"/>
        <v>4013/4014</v>
      </c>
      <c r="L60" s="22" t="str">
        <f>VLOOKUP(A60,'Trips&amp;Operators'!$C$1:$E$10000,3,FALSE)</f>
        <v>BRANNON</v>
      </c>
      <c r="M60" s="6">
        <f t="shared" si="1"/>
        <v>3.0289351852843538E-2</v>
      </c>
      <c r="N60" s="7">
        <f t="shared" si="26"/>
        <v>43.616666668094695</v>
      </c>
      <c r="O60" s="7"/>
      <c r="P60" s="7"/>
      <c r="Q60" s="23"/>
      <c r="R60" s="23"/>
      <c r="S60" s="35">
        <f t="shared" si="23"/>
        <v>1</v>
      </c>
      <c r="T60" s="50" t="str">
        <f t="shared" si="3"/>
        <v>Southbound</v>
      </c>
      <c r="U60" s="1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09:21:02-0600',mode:absolute,to:'2016-10-24 12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0" s="52" t="str">
        <f t="shared" si="21"/>
        <v>N</v>
      </c>
      <c r="X60" s="171">
        <f t="shared" si="27"/>
        <v>1</v>
      </c>
      <c r="Y60" s="67">
        <f t="shared" si="24"/>
        <v>23.299099999999999</v>
      </c>
      <c r="Z60" s="67">
        <f t="shared" si="25"/>
        <v>1.7600000000000001E-2</v>
      </c>
      <c r="AA60" s="67">
        <f t="shared" si="7"/>
        <v>23.281499999999998</v>
      </c>
      <c r="AB60" s="64" t="str">
        <f>VLOOKUP(A60,Enforcements!$C$7:$K$21,8,0)</f>
        <v>Speed (6)</v>
      </c>
      <c r="AC60" s="60" t="str">
        <f>VLOOKUP(A60,Enforcements!$C$7:$E$21,3,0)</f>
        <v>PERMANENT SPEED RESTRICTION</v>
      </c>
      <c r="AD60" s="61" t="str">
        <f t="shared" si="8"/>
        <v>0148-24</v>
      </c>
      <c r="AE60" s="91" t="str">
        <f t="shared" si="9"/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AF60" s="88" t="str">
        <f t="shared" si="10"/>
        <v>"C:\Program Files (x86)\AstroGrep\AstroGrep.exe" /spath="%USERPROFILE%\AppData\Local\Temp\OnboardLogs" /stypes="app*4013*20161024*" /stext=" 17:.+((SYSTEM_STATE.+slice.+state.+changed )|(ment ac)|(system.+state.+changed )|(\[timeout)|(PRM\|1\|D)|(kpr)|(kdp)|(\|lc)|(penalty))" /e /r /s</v>
      </c>
      <c r="AG60" s="1" t="str">
        <f t="shared" si="11"/>
        <v>EC</v>
      </c>
      <c r="AH60" s="92" t="str">
        <f t="shared" si="19"/>
        <v>"%USERPROFILE%\Documents\GitHub\eaglep3\Utilities\RefineRTDCRunTimes.py" --tripid 148-24 --locoid 4013 --swversion DE.1.0.7.0 --startMP 204:232991 --initTime 2016-10-24T10:21:02 --startdatetime 2016-10-24T10:26:15 --delay 1 --endMP 204:176 --enddatetime 2016-10-24T11:09:52 --enforcementcount 1 &gt;&gt;C:\Users\stu\Documents\GitHub\eaglep3-reporting\EC\2016-10-24-refined-times.txt</v>
      </c>
      <c r="AI60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{"issue":{"subject":"","project_id":79,"tracker_id":40,"status_id":1,"priority_id":2,"assigned_to_id":23,"start_date":"2016-10-24","description":"","custom_fields":[{"id":1,"name":"Subdivision","value":"EC"},{"id":4,"name":"Milepost","value":"0.0176"},{"id":17,"name":"Train ID","value":"148-24"},{"id":16,"name":"Locomotive ID","value":"4013"},{"id":130,"name":"Impact","value":""},{"id":150,"name":"Time of Event (Mountain Time)","value":"11:09:52"},{"id":151,"name":"Denver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480</v>
      </c>
      <c r="B61" s="7">
        <v>4016</v>
      </c>
      <c r="C61" s="22" t="s">
        <v>99</v>
      </c>
      <c r="D61" s="22" t="s">
        <v>236</v>
      </c>
      <c r="E61" s="13">
        <v>42667.402245370373</v>
      </c>
      <c r="F61" s="13">
        <v>42667.406423611108</v>
      </c>
      <c r="G61" s="7">
        <v>1</v>
      </c>
      <c r="H61" s="13" t="s">
        <v>645</v>
      </c>
      <c r="I61" s="13">
        <v>42667.431851851848</v>
      </c>
      <c r="J61" s="7">
        <v>1</v>
      </c>
      <c r="K61" s="112" t="str">
        <f t="shared" si="0"/>
        <v>4015/4016</v>
      </c>
      <c r="L61" s="22" t="str">
        <f>VLOOKUP(A61,'Trips&amp;Operators'!$C$1:$E$10000,3,FALSE)</f>
        <v>SPECTOR</v>
      </c>
      <c r="M61" s="6">
        <f t="shared" si="1"/>
        <v>2.5428240740438923E-2</v>
      </c>
      <c r="N61" s="7">
        <f t="shared" si="26"/>
        <v>36.616666666232049</v>
      </c>
      <c r="O61" s="7"/>
      <c r="P61" s="7"/>
      <c r="Q61" s="23"/>
      <c r="R61" s="23"/>
      <c r="S61" s="35">
        <f t="shared" si="23"/>
        <v>1</v>
      </c>
      <c r="T61" s="50" t="str">
        <f t="shared" si="3"/>
        <v>NorthBound</v>
      </c>
      <c r="U61" s="1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08:39:14-0600',mode:absolute,to:'2016-10-24 11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1" s="52" t="str">
        <f t="shared" si="21"/>
        <v>N</v>
      </c>
      <c r="X61" s="171">
        <f t="shared" si="27"/>
        <v>1</v>
      </c>
      <c r="Y61" s="67">
        <f t="shared" si="24"/>
        <v>4.6899999999999997E-2</v>
      </c>
      <c r="Z61" s="67">
        <f t="shared" si="25"/>
        <v>23.331099999999999</v>
      </c>
      <c r="AA61" s="67">
        <f t="shared" si="7"/>
        <v>23.284199999999998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8"/>
        <v>0149-24</v>
      </c>
      <c r="AE61" s="91" t="str">
        <f t="shared" si="9"/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AF61" s="88" t="str">
        <f t="shared" si="10"/>
        <v>"C:\Program Files (x86)\AstroGrep\AstroGrep.exe" /spath="%USERPROFILE%\AppData\Local\Temp\OnboardLogs" /stypes="app*4016*20161024*" /stext=" 16:.+((SYSTEM_STATE.+slice.+state.+changed )|(ment ac)|(system.+state.+changed )|(\[timeout)|(PRM\|1\|D)|(kpr)|(kdp)|(\|lc)|(penalty))" /e /r /s</v>
      </c>
      <c r="AG61" s="1" t="str">
        <f t="shared" si="11"/>
        <v>EC</v>
      </c>
      <c r="AH61" s="92" t="str">
        <f t="shared" si="19"/>
        <v>"%USERPROFILE%\Documents\GitHub\eaglep3\Utilities\RefineRTDCRunTimes.py" --tripid 149-24 --locoid 4016 --swversion DE.1.0.7.0 --startMP 204:469 --initTime 2016-10-24T09:39:14 --startdatetime 2016-10-24T09:45:15 --delay 1 --endMP 204:233311 --enddatetime 2016-10-24T10:21:52 --enforcementcount 1 &gt;&gt;C:\Users\stu\Documents\GitHub\eaglep3-reporting\EC\2016-10-24-refined-times.txt</v>
      </c>
      <c r="AI61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{"issue":{"subject":"","project_id":79,"tracker_id":40,"status_id":1,"priority_id":2,"assigned_to_id":23,"start_date":"2016-10-24","description":"","custom_fields":[{"id":1,"name":"Subdivision","value":"EC"},{"id":4,"name":"Milepost","value":"23.3311"},{"id":17,"name":"Train ID","value":"149-24"},{"id":16,"name":"Locomotive ID","value":"4016"},{"id":130,"name":"Impact","value":""},{"id":150,"name":"Time of Event (Mountain Time)","value":"10:21:52"},{"id":151,"name":"Denver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409</v>
      </c>
      <c r="B62" s="7">
        <v>4015</v>
      </c>
      <c r="C62" s="22" t="s">
        <v>99</v>
      </c>
      <c r="D62" s="22" t="s">
        <v>273</v>
      </c>
      <c r="E62" s="13">
        <v>42667.439212962963</v>
      </c>
      <c r="F62" s="13">
        <v>42667.445520833331</v>
      </c>
      <c r="G62" s="7">
        <v>1</v>
      </c>
      <c r="H62" s="13" t="s">
        <v>182</v>
      </c>
      <c r="I62" s="13">
        <v>42667.472442129627</v>
      </c>
      <c r="J62" s="7">
        <v>1</v>
      </c>
      <c r="K62" s="112" t="str">
        <f t="shared" si="0"/>
        <v>4015/4016</v>
      </c>
      <c r="L62" s="22" t="str">
        <f>VLOOKUP(A62,'Trips&amp;Operators'!$C$1:$E$10000,3,FALSE)</f>
        <v>SPECTOR</v>
      </c>
      <c r="M62" s="6">
        <f t="shared" si="1"/>
        <v>2.6921296295768116E-2</v>
      </c>
      <c r="N62" s="7">
        <f t="shared" si="26"/>
        <v>38.766666665906087</v>
      </c>
      <c r="O62" s="7"/>
      <c r="P62" s="7"/>
      <c r="Q62" s="23"/>
      <c r="R62" s="23"/>
      <c r="S62" s="35">
        <f t="shared" si="23"/>
        <v>1</v>
      </c>
      <c r="T62" s="50" t="str">
        <f t="shared" si="3"/>
        <v>Southbound</v>
      </c>
      <c r="U62" s="1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09:32:28-0600',mode:absolute,to:'2016-10-24 12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2" s="52" t="str">
        <f t="shared" si="21"/>
        <v>N</v>
      </c>
      <c r="X62" s="171">
        <f t="shared" si="27"/>
        <v>1</v>
      </c>
      <c r="Y62" s="67">
        <f t="shared" si="24"/>
        <v>23.298999999999999</v>
      </c>
      <c r="Z62" s="67">
        <f t="shared" si="25"/>
        <v>1.41E-2</v>
      </c>
      <c r="AA62" s="67">
        <f t="shared" si="7"/>
        <v>23.2849</v>
      </c>
      <c r="AB62" s="64" t="str">
        <f>VLOOKUP(A62,Enforcements!$C$7:$K$21,8,0)</f>
        <v>Speed (6)</v>
      </c>
      <c r="AC62" s="60" t="str">
        <f>VLOOKUP(A62,Enforcements!$C$7:$E$21,3,0)</f>
        <v>PERMANENT SPEED RESTRICTION</v>
      </c>
      <c r="AD62" s="61" t="str">
        <f t="shared" si="8"/>
        <v>0150-24</v>
      </c>
      <c r="AE62" s="91" t="str">
        <f t="shared" si="9"/>
        <v>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 &amp; 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</v>
      </c>
      <c r="AF62" s="88" t="str">
        <f t="shared" si="10"/>
        <v>"C:\Program Files (x86)\AstroGrep\AstroGrep.exe" /spath="%USERPROFILE%\AppData\Local\Temp\OnboardLogs" /stypes="app*4015*20161024*" /stext=" 17:.+((SYSTEM_STATE.+slice.+state.+changed )|(ment ac)|(system.+state.+changed )|(\[timeout)|(PRM\|1\|D)|(kpr)|(kdp)|(\|lc)|(penalty))" /e /r /s</v>
      </c>
      <c r="AG62" s="1" t="str">
        <f t="shared" si="11"/>
        <v>EC</v>
      </c>
      <c r="AH62" s="92" t="str">
        <f t="shared" si="19"/>
        <v>"%USERPROFILE%\Documents\GitHub\eaglep3\Utilities\RefineRTDCRunTimes.py" --tripid 150-24 --locoid 4015 --swversion DE.1.0.7.0 --startMP 204:232990 --initTime 2016-10-24T10:32:28 --startdatetime 2016-10-24T10:41:33 --delay 1 --endMP 204:141 --enddatetime 2016-10-24T11:20:19 --enforcementcount 1 &gt;&gt;C:\Users\stu\Documents\GitHub\eaglep3-reporting\EC\2016-10-24-refined-times.txt</v>
      </c>
      <c r="AI62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{"issue":{"subject":"","project_id":79,"tracker_id":40,"status_id":1,"priority_id":2,"assigned_to_id":23,"start_date":"2016-10-24","description":"","custom_fields":[{"id":1,"name":"Subdivision","value":"EC"},{"id":4,"name":"Milepost","value":"0.0141"},{"id":17,"name":"Train ID","value":"150-24"},{"id":16,"name":"Locomotive ID","value":"4015"},{"id":130,"name":"Impact","value":""},{"id":150,"name":"Time of Event (Mountain Time)","value":"11:20:19"},{"id":151,"name":"Denver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408</v>
      </c>
      <c r="B63" s="7">
        <v>4018</v>
      </c>
      <c r="C63" s="22" t="s">
        <v>99</v>
      </c>
      <c r="D63" s="22" t="s">
        <v>359</v>
      </c>
      <c r="E63" s="13">
        <v>42667.410520833335</v>
      </c>
      <c r="F63" s="13">
        <v>42667.416956018518</v>
      </c>
      <c r="G63" s="7">
        <v>1</v>
      </c>
      <c r="H63" s="13" t="s">
        <v>323</v>
      </c>
      <c r="I63" s="13">
        <v>42667.442499999997</v>
      </c>
      <c r="J63" s="7">
        <v>1</v>
      </c>
      <c r="K63" s="112" t="str">
        <f t="shared" si="0"/>
        <v>4017/4018</v>
      </c>
      <c r="L63" s="22" t="str">
        <f>VLOOKUP(A63,'Trips&amp;Operators'!$C$1:$E$10000,3,FALSE)</f>
        <v>YORK</v>
      </c>
      <c r="M63" s="6">
        <f t="shared" si="1"/>
        <v>2.5543981479131617E-2</v>
      </c>
      <c r="N63" s="7">
        <f t="shared" si="26"/>
        <v>36.783333329949528</v>
      </c>
      <c r="O63" s="7"/>
      <c r="P63" s="7"/>
      <c r="Q63" s="23"/>
      <c r="R63" s="23"/>
      <c r="S63" s="35">
        <f t="shared" si="23"/>
        <v>1</v>
      </c>
      <c r="T63" s="50" t="str">
        <f t="shared" si="3"/>
        <v>NorthBound</v>
      </c>
      <c r="U63" s="1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08:51:09-0600',mode:absolute,to:'2016-10-24 11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3" s="52" t="str">
        <f t="shared" si="21"/>
        <v>N</v>
      </c>
      <c r="X63" s="171">
        <f t="shared" si="27"/>
        <v>1</v>
      </c>
      <c r="Y63" s="67">
        <f t="shared" si="24"/>
        <v>4.3799999999999999E-2</v>
      </c>
      <c r="Z63" s="67">
        <f t="shared" si="25"/>
        <v>23.328900000000001</v>
      </c>
      <c r="AA63" s="67">
        <f t="shared" si="7"/>
        <v>23.2851</v>
      </c>
      <c r="AB63" s="64" t="str">
        <f>VLOOKUP(A63,Enforcements!$C$7:$K$21,8,0)</f>
        <v>Speed (6)</v>
      </c>
      <c r="AC63" s="60" t="str">
        <f>VLOOKUP(A63,Enforcements!$C$7:$E$21,3,0)</f>
        <v>PERMANENT SPEED RESTRICTION</v>
      </c>
      <c r="AD63" s="61" t="str">
        <f t="shared" si="8"/>
        <v>0151-24</v>
      </c>
      <c r="AE63" s="91" t="str">
        <f t="shared" si="9"/>
        <v>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 &amp; aws s3 cp s3://rtdc.mdm.uploadarchive.raw/RTDC4018/ "%USERPROFILE%\AppData\Local\Temp\OnboardLogs"\RTDC4018\2016-10-25 --exclude "*" --recursive --include "*20161025*" &amp; "%USERPROFILE%\Documents\GitHub\mrs-test-scripts\Headless Mode &amp; Sideloading\WalkAndUnGZ.bat" "%USERPROFILE%\AppData\Local\Temp\OnboardLogs"\RTDC4018\2016-10-25</v>
      </c>
      <c r="AF63" s="88" t="str">
        <f t="shared" si="10"/>
        <v>"C:\Program Files (x86)\AstroGrep\AstroGrep.exe" /spath="%USERPROFILE%\AppData\Local\Temp\OnboardLogs" /stypes="app*4018*20161024*" /stext=" 16:.+((SYSTEM_STATE.+slice.+state.+changed )|(ment ac)|(system.+state.+changed )|(\[timeout)|(PRM\|1\|D)|(kpr)|(kdp)|(\|lc)|(penalty))" /e /r /s</v>
      </c>
      <c r="AG63" s="1" t="str">
        <f t="shared" si="11"/>
        <v>EC</v>
      </c>
      <c r="AH63" s="92" t="str">
        <f t="shared" si="19"/>
        <v>"%USERPROFILE%\Documents\GitHub\eaglep3\Utilities\RefineRTDCRunTimes.py" --tripid 151-24 --locoid 4018 --swversion DE.1.0.7.0 --startMP 204:438 --initTime 2016-10-24T09:51:09 --startdatetime 2016-10-24T10:00:25 --delay 1 --endMP 204:233289 --enddatetime 2016-10-24T10:37:12 --enforcementcount 1 &gt;&gt;C:\Users\stu\Documents\GitHub\eaglep3-reporting\EC\2016-10-24-refined-times.txt</v>
      </c>
      <c r="AI63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{"issue":{"subject":"","project_id":79,"tracker_id":40,"status_id":1,"priority_id":2,"assigned_to_id":23,"start_date":"2016-10-24","description":"","custom_fields":[{"id":1,"name":"Subdivision","value":"EC"},{"id":4,"name":"Milepost","value":"23.3289"},{"id":17,"name":"Train ID","value":"151-24"},{"id":16,"name":"Locomotive ID","value":"4018"},{"id":130,"name":"Impact","value":""},{"id":150,"name":"Time of Event (Mountain Time)","value":"10:37:12"},{"id":151,"name":"Denver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488</v>
      </c>
      <c r="B64" s="7">
        <v>4017</v>
      </c>
      <c r="C64" s="22" t="s">
        <v>99</v>
      </c>
      <c r="D64" s="22" t="s">
        <v>355</v>
      </c>
      <c r="E64" s="13">
        <v>42667.443935185183</v>
      </c>
      <c r="F64" s="13">
        <v>42667.455775462964</v>
      </c>
      <c r="G64" s="7">
        <v>1</v>
      </c>
      <c r="H64" s="13" t="s">
        <v>218</v>
      </c>
      <c r="I64" s="13">
        <v>42667.482291666667</v>
      </c>
      <c r="J64" s="7">
        <v>1</v>
      </c>
      <c r="K64" s="112" t="str">
        <f t="shared" si="0"/>
        <v>4017/4018</v>
      </c>
      <c r="L64" s="22" t="str">
        <f>VLOOKUP(A64,'Trips&amp;Operators'!$C$1:$E$10000,3,FALSE)</f>
        <v>YORK</v>
      </c>
      <c r="M64" s="6">
        <f t="shared" si="1"/>
        <v>2.6516203703067731E-2</v>
      </c>
      <c r="N64" s="7">
        <f t="shared" si="26"/>
        <v>38.183333332417533</v>
      </c>
      <c r="O64" s="7"/>
      <c r="P64" s="7"/>
      <c r="Q64" s="23"/>
      <c r="R64" s="23"/>
      <c r="S64" s="35">
        <f t="shared" si="23"/>
        <v>1</v>
      </c>
      <c r="T64" s="50" t="str">
        <f t="shared" si="3"/>
        <v>Southbound</v>
      </c>
      <c r="U64" s="1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09:39:16-0600',mode:absolute,to:'2016-10-24 12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4" s="52" t="str">
        <f t="shared" si="21"/>
        <v>N</v>
      </c>
      <c r="X64" s="171">
        <f t="shared" si="27"/>
        <v>1</v>
      </c>
      <c r="Y64" s="67">
        <v>23.2758</v>
      </c>
      <c r="Z64" s="67">
        <f t="shared" si="25"/>
        <v>1.54E-2</v>
      </c>
      <c r="AA64" s="67">
        <f t="shared" si="7"/>
        <v>23.260400000000001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8"/>
        <v>0152-24</v>
      </c>
      <c r="AE64" s="91" t="str">
        <f t="shared" si="9"/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AF64" s="88" t="str">
        <f t="shared" si="10"/>
        <v>"C:\Program Files (x86)\AstroGrep\AstroGrep.exe" /spath="%USERPROFILE%\AppData\Local\Temp\OnboardLogs" /stypes="app*4017*20161024*" /stext=" 17:.+((SYSTEM_STATE.+slice.+state.+changed )|(ment ac)|(system.+state.+changed )|(\[timeout)|(PRM\|1\|D)|(kpr)|(kdp)|(\|lc)|(penalty))" /e /r /s</v>
      </c>
      <c r="AG64" s="1" t="str">
        <f t="shared" si="11"/>
        <v>EC</v>
      </c>
      <c r="AH64" s="92" t="str">
        <f t="shared" si="19"/>
        <v>"%USERPROFILE%\Documents\GitHub\eaglep3\Utilities\RefineRTDCRunTimes.py" --tripid 152-24 --locoid 4017 --swversion DE.1.0.7.0 --startMP 204:232968 --initTime 2016-10-24T10:39:16 --startdatetime 2016-10-24T10:56:19 --delay 1 --endMP 204:154 --enddatetime 2016-10-24T11:34:30 --enforcementcount 1 &gt;&gt;C:\Users\stu\Documents\GitHub\eaglep3-reporting\EC\2016-10-24-refined-times.txt</v>
      </c>
      <c r="AI64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{"issue":{"subject":"","project_id":79,"tracker_id":40,"status_id":1,"priority_id":2,"assigned_to_id":23,"start_date":"2016-10-24","description":"","custom_fields":[{"id":1,"name":"Subdivision","value":"EC"},{"id":4,"name":"Milepost","value":"0.0154"},{"id":17,"name":"Train ID","value":"152-24"},{"id":16,"name":"Locomotive ID","value":"4017"},{"id":130,"name":"Impact","value":""},{"id":150,"name":"Time of Event (Mountain Time)","value":"11:34:30"},{"id":151,"name":"Denver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483</v>
      </c>
      <c r="B65" s="7">
        <v>4053</v>
      </c>
      <c r="C65" s="22" t="s">
        <v>99</v>
      </c>
      <c r="D65" s="22" t="s">
        <v>375</v>
      </c>
      <c r="E65" s="13">
        <v>42667.424895833334</v>
      </c>
      <c r="F65" s="13">
        <v>42667.427303240744</v>
      </c>
      <c r="G65" s="7">
        <v>1</v>
      </c>
      <c r="H65" s="13" t="s">
        <v>376</v>
      </c>
      <c r="I65" s="13">
        <v>42667.453425925924</v>
      </c>
      <c r="J65" s="7">
        <v>1</v>
      </c>
      <c r="K65" s="112" t="str">
        <f t="shared" si="0"/>
        <v>4053/4054</v>
      </c>
      <c r="L65" s="22" t="str">
        <f>VLOOKUP(A65,'Trips&amp;Operators'!$C$1:$E$10000,3,FALSE)</f>
        <v>STARKS</v>
      </c>
      <c r="M65" s="6">
        <f t="shared" si="1"/>
        <v>2.6122685179871041E-2</v>
      </c>
      <c r="N65" s="7">
        <f t="shared" si="26"/>
        <v>37.6166666590143</v>
      </c>
      <c r="O65" s="7"/>
      <c r="P65" s="7"/>
      <c r="Q65" s="23"/>
      <c r="R65" s="23"/>
      <c r="S65" s="35">
        <f t="shared" si="23"/>
        <v>1</v>
      </c>
      <c r="T65" s="50" t="str">
        <f t="shared" si="3"/>
        <v>NorthBound</v>
      </c>
      <c r="U65" s="1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09:11:51-0600',mode:absolute,to:'2016-10-24 11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5" s="52" t="str">
        <f t="shared" si="21"/>
        <v>N</v>
      </c>
      <c r="X65" s="171">
        <f t="shared" si="27"/>
        <v>1</v>
      </c>
      <c r="Y65" s="67">
        <f t="shared" ref="Y65:Y96" si="28">RIGHT(D65,LEN(D65)-4)/10000</f>
        <v>4.3700000000000003E-2</v>
      </c>
      <c r="Z65" s="67">
        <f t="shared" si="25"/>
        <v>23.326799999999999</v>
      </c>
      <c r="AA65" s="67">
        <f t="shared" si="7"/>
        <v>23.283099999999997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8"/>
        <v>0153-24</v>
      </c>
      <c r="AE65" s="91" t="str">
        <f t="shared" si="9"/>
        <v>aws s3 cp s3://rtdc.mdm.uploadarchive.raw/RTDC4053/ "%USERPROFILE%\AppData\Local\Temp\OnboardLogs"\RTDC4053\2016-10-24 --exclude "*" --recursive --include "*20161024*" &amp; "%USERPROFILE%\Documents\GitHub\mrs-test-scripts\Headless Mode &amp; Sideloading\WalkAndUnGZ.bat" "%USERPROFILE%\AppData\Local\Temp\OnboardLogs"\RTDC4053\2016-10-24 &amp; 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</v>
      </c>
      <c r="AF65" s="88" t="str">
        <f t="shared" si="10"/>
        <v>"C:\Program Files (x86)\AstroGrep\AstroGrep.exe" /spath="%USERPROFILE%\AppData\Local\Temp\OnboardLogs" /stypes="app*4053*20161024*" /stext=" 16:.+((SYSTEM_STATE.+slice.+state.+changed )|(ment ac)|(system.+state.+changed )|(\[timeout)|(PRM\|1\|D)|(kpr)|(kdp)|(\|lc)|(penalty))" /e /r /s</v>
      </c>
      <c r="AG65" s="1" t="str">
        <f t="shared" si="11"/>
        <v>EC</v>
      </c>
      <c r="AH65" s="92" t="str">
        <f t="shared" si="19"/>
        <v>"%USERPROFILE%\Documents\GitHub\eaglep3\Utilities\RefineRTDCRunTimes.py" --tripid 153-24 --locoid 4053 --swversion DE.1.0.7.0 --startMP 204:437 --initTime 2016-10-24T10:11:51 --startdatetime 2016-10-24T10:15:19 --delay 1 --endMP 204:233268 --enddatetime 2016-10-24T10:52:56 --enforcementcount 1 &gt;&gt;C:\Users\stu\Documents\GitHub\eaglep3-reporting\EC\2016-10-24-refined-times.txt</v>
      </c>
      <c r="AI65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{"issue":{"subject":"","project_id":79,"tracker_id":40,"status_id":1,"priority_id":2,"assigned_to_id":23,"start_date":"2016-10-24","description":"","custom_fields":[{"id":1,"name":"Subdivision","value":"EC"},{"id":4,"name":"Milepost","value":"23.3268"},{"id":17,"name":"Train ID","value":"153-24"},{"id":16,"name":"Locomotive ID","value":"4053"},{"id":130,"name":"Impact","value":""},{"id":150,"name":"Time of Event (Mountain Time)","value":"10:52:56"},{"id":151,"name":"Denver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490</v>
      </c>
      <c r="B66" s="7">
        <v>4054</v>
      </c>
      <c r="C66" s="22" t="s">
        <v>99</v>
      </c>
      <c r="D66" s="22" t="s">
        <v>646</v>
      </c>
      <c r="E66" s="13">
        <v>42667.463796296295</v>
      </c>
      <c r="F66" s="13">
        <v>42667.466273148151</v>
      </c>
      <c r="G66" s="7">
        <v>1</v>
      </c>
      <c r="H66" s="13" t="s">
        <v>176</v>
      </c>
      <c r="I66" s="13">
        <v>42667.495011574072</v>
      </c>
      <c r="J66" s="7">
        <v>1</v>
      </c>
      <c r="K66" s="112" t="str">
        <f t="shared" si="0"/>
        <v>4053/4054</v>
      </c>
      <c r="L66" s="22" t="str">
        <f>VLOOKUP(A66,'Trips&amp;Operators'!$C$1:$E$10000,3,FALSE)</f>
        <v>STARKS</v>
      </c>
      <c r="M66" s="6">
        <f t="shared" si="1"/>
        <v>2.8738425920892041E-2</v>
      </c>
      <c r="N66" s="7">
        <f t="shared" si="26"/>
        <v>41.383333326084539</v>
      </c>
      <c r="O66" s="7"/>
      <c r="P66" s="7"/>
      <c r="Q66" s="23"/>
      <c r="R66" s="23"/>
      <c r="S66" s="35">
        <f t="shared" si="23"/>
        <v>1</v>
      </c>
      <c r="T66" s="50" t="str">
        <f t="shared" si="3"/>
        <v>Southbound</v>
      </c>
      <c r="U66" s="1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10:07:52-0600',mode:absolute,to:'2016-10-24 12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6" s="52" t="str">
        <f t="shared" si="21"/>
        <v>N</v>
      </c>
      <c r="X66" s="171">
        <f t="shared" si="27"/>
        <v>1</v>
      </c>
      <c r="Y66" s="67">
        <f t="shared" si="28"/>
        <v>23.2959</v>
      </c>
      <c r="Z66" s="67">
        <f t="shared" si="25"/>
        <v>1.47E-2</v>
      </c>
      <c r="AA66" s="67">
        <f t="shared" si="7"/>
        <v>23.281199999999998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8"/>
        <v>0154-24</v>
      </c>
      <c r="AE66" s="91" t="str">
        <f t="shared" si="9"/>
        <v>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 &amp; 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</v>
      </c>
      <c r="AF66" s="88" t="str">
        <f t="shared" si="10"/>
        <v>"C:\Program Files (x86)\AstroGrep\AstroGrep.exe" /spath="%USERPROFILE%\AppData\Local\Temp\OnboardLogs" /stypes="app*4054*20161024*" /stext=" 17:.+((SYSTEM_STATE.+slice.+state.+changed )|(ment ac)|(system.+state.+changed )|(\[timeout)|(PRM\|1\|D)|(kpr)|(kdp)|(\|lc)|(penalty))" /e /r /s</v>
      </c>
      <c r="AG66" s="1" t="str">
        <f t="shared" si="11"/>
        <v>EC</v>
      </c>
      <c r="AH66" s="92" t="str">
        <f t="shared" si="19"/>
        <v>"%USERPROFILE%\Documents\GitHub\eaglep3\Utilities\RefineRTDCRunTimes.py" --tripid 154-24 --locoid 4054 --swversion DE.1.0.7.0 --startMP 204:232959 --initTime 2016-10-24T11:07:52 --startdatetime 2016-10-24T11:11:26 --delay 1 --endMP 204:147 --enddatetime 2016-10-24T11:52:49 --enforcementcount 1 &gt;&gt;C:\Users\stu\Documents\GitHub\eaglep3-reporting\EC\2016-10-24-refined-times.txt</v>
      </c>
      <c r="AI66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{"issue":{"subject":"","project_id":79,"tracker_id":40,"status_id":1,"priority_id":2,"assigned_to_id":23,"start_date":"2016-10-24","description":"","custom_fields":[{"id":1,"name":"Subdivision","value":"EC"},{"id":4,"name":"Milepost","value":"0.0147"},{"id":17,"name":"Train ID","value":"154-24"},{"id":16,"name":"Locomotive ID","value":"4054"},{"id":130,"name":"Impact","value":""},{"id":150,"name":"Time of Event (Mountain Time)","value":"11:52:49"},{"id":151,"name":"Denver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487</v>
      </c>
      <c r="B67" s="7">
        <v>4038</v>
      </c>
      <c r="C67" s="22" t="s">
        <v>99</v>
      </c>
      <c r="D67" s="22" t="s">
        <v>640</v>
      </c>
      <c r="E67" s="13">
        <v>42667.434791666667</v>
      </c>
      <c r="F67" s="13">
        <v>42667.437685185185</v>
      </c>
      <c r="G67" s="7">
        <v>1</v>
      </c>
      <c r="H67" s="13" t="s">
        <v>231</v>
      </c>
      <c r="I67" s="13">
        <v>42667.463310185187</v>
      </c>
      <c r="J67" s="7">
        <v>1</v>
      </c>
      <c r="K67" s="112" t="str">
        <f t="shared" si="0"/>
        <v>4037/4038</v>
      </c>
      <c r="L67" s="22" t="str">
        <f>VLOOKUP(A67,'Trips&amp;Operators'!$C$1:$E$10000,3,FALSE)</f>
        <v>DAVIS</v>
      </c>
      <c r="M67" s="6">
        <f t="shared" si="1"/>
        <v>2.5625000002037268E-2</v>
      </c>
      <c r="N67" s="7">
        <f t="shared" si="26"/>
        <v>36.900000002933666</v>
      </c>
      <c r="O67" s="7"/>
      <c r="P67" s="7"/>
      <c r="Q67" s="23"/>
      <c r="R67" s="23"/>
      <c r="S67" s="35">
        <f t="shared" si="23"/>
        <v>1</v>
      </c>
      <c r="T67" s="50" t="str">
        <f t="shared" si="3"/>
        <v>NorthBound</v>
      </c>
      <c r="U67" s="1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09:26:06-0600',mode:absolute,to:'2016-10-24 12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7" s="52" t="str">
        <f t="shared" si="21"/>
        <v>N</v>
      </c>
      <c r="X67" s="171">
        <f t="shared" si="27"/>
        <v>1</v>
      </c>
      <c r="Y67" s="67">
        <f t="shared" si="28"/>
        <v>4.8000000000000001E-2</v>
      </c>
      <c r="Z67" s="67">
        <f t="shared" si="25"/>
        <v>23.329499999999999</v>
      </c>
      <c r="AA67" s="67">
        <f t="shared" si="7"/>
        <v>23.281500000000001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8"/>
        <v>0155-24</v>
      </c>
      <c r="AE67" s="91" t="str">
        <f t="shared" si="9"/>
        <v>aws s3 cp s3://rtdc.mdm.uploadarchive.raw/RTDC4038/ "%USERPROFILE%\AppData\Local\Temp\OnboardLogs"\RTDC4038\2016-10-24 --exclude "*" --recursive --include "*20161024*" &amp; "%USERPROFILE%\Documents\GitHub\mrs-test-scripts\Headless Mode &amp; Sideloading\WalkAndUnGZ.bat" "%USERPROFILE%\AppData\Local\Temp\OnboardLogs"\RTDC4038\2016-10-24 &amp; aws s3 cp s3://rtdc.mdm.uploadarchive.raw/RTDC4038/ "%USERPROFILE%\AppData\Local\Temp\OnboardLogs"\RTDC4038\2016-10-25 --exclude "*" --recursive --include "*20161025*" &amp; "%USERPROFILE%\Documents\GitHub\mrs-test-scripts\Headless Mode &amp; Sideloading\WalkAndUnGZ.bat" "%USERPROFILE%\AppData\Local\Temp\OnboardLogs"\RTDC4038\2016-10-25</v>
      </c>
      <c r="AF67" s="88" t="str">
        <f t="shared" si="10"/>
        <v>"C:\Program Files (x86)\AstroGrep\AstroGrep.exe" /spath="%USERPROFILE%\AppData\Local\Temp\OnboardLogs" /stypes="app*4038*20161024*" /stext=" 17:.+((SYSTEM_STATE.+slice.+state.+changed )|(ment ac)|(system.+state.+changed )|(\[timeout)|(PRM\|1\|D)|(kpr)|(kdp)|(\|lc)|(penalty))" /e /r /s</v>
      </c>
      <c r="AG67" s="1" t="str">
        <f t="shared" si="11"/>
        <v>EC</v>
      </c>
      <c r="AH67" s="92" t="str">
        <f t="shared" si="19"/>
        <v>"%USERPROFILE%\Documents\GitHub\eaglep3\Utilities\RefineRTDCRunTimes.py" --tripid 155-24 --locoid 4038 --swversion DE.1.0.7.0 --startMP 204:480 --initTime 2016-10-24T10:26:06 --startdatetime 2016-10-24T10:30:16 --delay 1 --endMP 204:233295 --enddatetime 2016-10-24T11:07:10 --enforcementcount 1 &gt;&gt;C:\Users\stu\Documents\GitHub\eaglep3-reporting\EC\2016-10-24-refined-times.txt</v>
      </c>
      <c r="AI67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{"issue":{"subject":"","project_id":79,"tracker_id":40,"status_id":1,"priority_id":2,"assigned_to_id":23,"start_date":"2016-10-24","description":"","custom_fields":[{"id":1,"name":"Subdivision","value":"EC"},{"id":4,"name":"Milepost","value":"23.3295"},{"id":17,"name":"Train ID","value":"155-24"},{"id":16,"name":"Locomotive ID","value":"4038"},{"id":130,"name":"Impact","value":""},{"id":150,"name":"Time of Event (Mountain Time)","value":"11:07:10"},{"id":151,"name":"Denver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495</v>
      </c>
      <c r="B68" s="7">
        <v>4037</v>
      </c>
      <c r="C68" s="22" t="s">
        <v>99</v>
      </c>
      <c r="D68" s="22" t="s">
        <v>322</v>
      </c>
      <c r="E68" s="13">
        <v>42667.472870370373</v>
      </c>
      <c r="F68" s="13">
        <v>42667.476539351854</v>
      </c>
      <c r="G68" s="7">
        <v>1</v>
      </c>
      <c r="H68" s="13" t="s">
        <v>229</v>
      </c>
      <c r="I68" s="13">
        <v>42667.504699074074</v>
      </c>
      <c r="J68" s="7">
        <v>1</v>
      </c>
      <c r="K68" s="112" t="str">
        <f t="shared" si="0"/>
        <v>4037/4038</v>
      </c>
      <c r="L68" s="22" t="str">
        <f>VLOOKUP(A68,'Trips&amp;Operators'!$C$1:$E$10000,3,FALSE)</f>
        <v>DAVIS</v>
      </c>
      <c r="M68" s="6">
        <f t="shared" si="1"/>
        <v>2.8159722220152617E-2</v>
      </c>
      <c r="N68" s="7">
        <f t="shared" si="26"/>
        <v>40.549999997019768</v>
      </c>
      <c r="O68" s="7"/>
      <c r="P68" s="7"/>
      <c r="Q68" s="23"/>
      <c r="R68" s="23"/>
      <c r="S68" s="35">
        <f t="shared" si="23"/>
        <v>1</v>
      </c>
      <c r="T68" s="50" t="str">
        <f t="shared" si="3"/>
        <v>Southbound</v>
      </c>
      <c r="U68" s="1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10:20:56-0600',mode:absolute,to:'2016-10-24 13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8" s="52" t="str">
        <f t="shared" si="21"/>
        <v>N</v>
      </c>
      <c r="X68" s="171">
        <f t="shared" si="27"/>
        <v>1</v>
      </c>
      <c r="Y68" s="67">
        <f t="shared" si="28"/>
        <v>23.298500000000001</v>
      </c>
      <c r="Z68" s="67">
        <f t="shared" si="25"/>
        <v>1.34E-2</v>
      </c>
      <c r="AA68" s="67">
        <f t="shared" si="7"/>
        <v>23.2851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8"/>
        <v>0156-24</v>
      </c>
      <c r="AE68" s="91" t="str">
        <f t="shared" si="9"/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AF68" s="88" t="str">
        <f t="shared" si="10"/>
        <v>"C:\Program Files (x86)\AstroGrep\AstroGrep.exe" /spath="%USERPROFILE%\AppData\Local\Temp\OnboardLogs" /stypes="app*4037*20161024*" /stext=" 18:.+((SYSTEM_STATE.+slice.+state.+changed )|(ment ac)|(system.+state.+changed )|(\[timeout)|(PRM\|1\|D)|(kpr)|(kdp)|(\|lc)|(penalty))" /e /r /s</v>
      </c>
      <c r="AG68" s="1" t="str">
        <f t="shared" si="11"/>
        <v>EC</v>
      </c>
      <c r="AH68" s="92" t="str">
        <f t="shared" si="19"/>
        <v>"%USERPROFILE%\Documents\GitHub\eaglep3\Utilities\RefineRTDCRunTimes.py" --tripid 156-24 --locoid 4037 --swversion DE.1.0.7.0 --startMP 204:232985 --initTime 2016-10-24T11:20:56 --startdatetime 2016-10-24T11:26:13 --delay 1 --endMP 204:134 --enddatetime 2016-10-24T12:06:46 --enforcementcount 1 &gt;&gt;C:\Users\stu\Documents\GitHub\eaglep3-reporting\EC\2016-10-24-refined-times.txt</v>
      </c>
      <c r="AI68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{"issue":{"subject":"","project_id":79,"tracker_id":40,"status_id":1,"priority_id":2,"assigned_to_id":23,"start_date":"2016-10-24","description":"","custom_fields":[{"id":1,"name":"Subdivision","value":"EC"},{"id":4,"name":"Milepost","value":"0.0134"},{"id":17,"name":"Train ID","value":"156-24"},{"id":16,"name":"Locomotive ID","value":"4037"},{"id":130,"name":"Impact","value":""},{"id":150,"name":"Time of Event (Mountain Time)","value":"12:06:46"},{"id":151,"name":"Denver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412</v>
      </c>
      <c r="B69" s="7">
        <v>4002</v>
      </c>
      <c r="C69" s="22" t="s">
        <v>99</v>
      </c>
      <c r="D69" s="22" t="s">
        <v>232</v>
      </c>
      <c r="E69" s="13">
        <v>42667.446342592593</v>
      </c>
      <c r="F69" s="13">
        <v>42667.448275462964</v>
      </c>
      <c r="G69" s="7">
        <v>1</v>
      </c>
      <c r="H69" s="13" t="s">
        <v>647</v>
      </c>
      <c r="I69" s="13">
        <v>42667.474212962959</v>
      </c>
      <c r="J69" s="7">
        <v>1</v>
      </c>
      <c r="K69" s="112" t="str">
        <f t="shared" si="0"/>
        <v>4001/4002</v>
      </c>
      <c r="L69" s="22" t="str">
        <f>VLOOKUP(A69,'Trips&amp;Operators'!$C$1:$E$10000,3,FALSE)</f>
        <v>MALAVE</v>
      </c>
      <c r="M69" s="6">
        <f t="shared" si="1"/>
        <v>2.5937499995052349E-2</v>
      </c>
      <c r="N69" s="7">
        <f t="shared" si="26"/>
        <v>37.349999992875382</v>
      </c>
      <c r="O69" s="7"/>
      <c r="P69" s="7"/>
      <c r="Q69" s="23"/>
      <c r="R69" s="23"/>
      <c r="S69" s="35">
        <f t="shared" si="23"/>
        <v>1</v>
      </c>
      <c r="T69" s="50" t="str">
        <f t="shared" si="3"/>
        <v>NorthBound</v>
      </c>
      <c r="U69" s="1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09:42:44-0600',mode:absolute,to:'2016-10-24 12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9" s="52" t="str">
        <f t="shared" si="21"/>
        <v>N</v>
      </c>
      <c r="X69" s="171">
        <f t="shared" si="27"/>
        <v>1</v>
      </c>
      <c r="Y69" s="67">
        <f t="shared" si="28"/>
        <v>4.4600000000000001E-2</v>
      </c>
      <c r="Z69" s="67">
        <f t="shared" si="25"/>
        <v>23.327200000000001</v>
      </c>
      <c r="AA69" s="67">
        <f t="shared" si="7"/>
        <v>23.282600000000002</v>
      </c>
      <c r="AB69" s="64" t="str">
        <f>VLOOKUP(A69,Enforcements!$C$7:$K$21,8,0)</f>
        <v>Speed (6)</v>
      </c>
      <c r="AC69" s="60" t="str">
        <f>VLOOKUP(A69,Enforcements!$C$7:$E$21,3,0)</f>
        <v>PERMANENT SPEED RESTRICTION</v>
      </c>
      <c r="AD69" s="61" t="str">
        <f t="shared" si="8"/>
        <v>0157-24</v>
      </c>
      <c r="AE69" s="91" t="str">
        <f t="shared" si="9"/>
        <v>aws s3 cp s3://rtdc.mdm.uploadarchive.raw/RTDC4002/ "%USERPROFILE%\AppData\Local\Temp\OnboardLogs"\RTDC4002\2016-10-24 --exclude "*" --recursive --include "*20161024*" &amp; "%USERPROFILE%\Documents\GitHub\mrs-test-scripts\Headless Mode &amp; Sideloading\WalkAndUnGZ.bat" "%USERPROFILE%\AppData\Local\Temp\OnboardLogs"\RTDC4002\2016-10-24 &amp; 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</v>
      </c>
      <c r="AF69" s="88" t="str">
        <f t="shared" si="10"/>
        <v>"C:\Program Files (x86)\AstroGrep\AstroGrep.exe" /spath="%USERPROFILE%\AppData\Local\Temp\OnboardLogs" /stypes="app*4002*20161024*" /stext=" 17:.+((SYSTEM_STATE.+slice.+state.+changed )|(ment ac)|(system.+state.+changed )|(\[timeout)|(PRM\|1\|D)|(kpr)|(kdp)|(\|lc)|(penalty))" /e /r /s</v>
      </c>
      <c r="AG69" s="1" t="str">
        <f t="shared" si="11"/>
        <v>EC</v>
      </c>
      <c r="AH69" s="92" t="str">
        <f t="shared" si="19"/>
        <v>"%USERPROFILE%\Documents\GitHub\eaglep3\Utilities\RefineRTDCRunTimes.py" --tripid 157-24 --locoid 4002 --swversion DE.1.0.7.0 --startMP 204:446 --initTime 2016-10-24T10:42:44 --startdatetime 2016-10-24T10:45:31 --delay 1 --endMP 204:233272 --enddatetime 2016-10-24T11:22:52 --enforcementcount 1 &gt;&gt;C:\Users\stu\Documents\GitHub\eaglep3-reporting\EC\2016-10-24-refined-times.txt</v>
      </c>
      <c r="AI69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{"issue":{"subject":"","project_id":79,"tracker_id":40,"status_id":1,"priority_id":2,"assigned_to_id":23,"start_date":"2016-10-24","description":"","custom_fields":[{"id":1,"name":"Subdivision","value":"EC"},{"id":4,"name":"Milepost","value":"23.3272"},{"id":17,"name":"Train ID","value":"157-24"},{"id":16,"name":"Locomotive ID","value":"4002"},{"id":130,"name":"Impact","value":""},{"id":150,"name":"Time of Event (Mountain Time)","value":"11:22:52"},{"id":151,"name":"Denver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497</v>
      </c>
      <c r="B70" s="7">
        <v>4001</v>
      </c>
      <c r="C70" s="22" t="s">
        <v>99</v>
      </c>
      <c r="D70" s="22" t="s">
        <v>648</v>
      </c>
      <c r="E70" s="13">
        <v>42667.485231481478</v>
      </c>
      <c r="F70" s="13">
        <v>42667.48704861111</v>
      </c>
      <c r="G70" s="7">
        <v>2</v>
      </c>
      <c r="H70" s="13" t="s">
        <v>381</v>
      </c>
      <c r="I70" s="13">
        <v>42667.523275462961</v>
      </c>
      <c r="J70" s="7">
        <v>1</v>
      </c>
      <c r="K70" s="112" t="str">
        <f t="shared" si="0"/>
        <v>4001/4002</v>
      </c>
      <c r="L70" s="22" t="str">
        <f>VLOOKUP(A70,'Trips&amp;Operators'!$C$1:$E$10000,3,FALSE)</f>
        <v>MALAVE</v>
      </c>
      <c r="M70" s="6">
        <f t="shared" si="1"/>
        <v>3.6226851851097308E-2</v>
      </c>
      <c r="N70" s="7">
        <f t="shared" si="26"/>
        <v>52.166666665580124</v>
      </c>
      <c r="O70" s="7"/>
      <c r="P70" s="7"/>
      <c r="Q70" s="23"/>
      <c r="R70" s="23"/>
      <c r="S70" s="35">
        <f t="shared" si="23"/>
        <v>1</v>
      </c>
      <c r="T70" s="50" t="str">
        <f t="shared" si="3"/>
        <v>Southbound</v>
      </c>
      <c r="U70" s="1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10:38:44-0600',mode:absolute,to:'2016-10-24 13:33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0" s="52" t="str">
        <f t="shared" si="21"/>
        <v>N</v>
      </c>
      <c r="X70" s="171">
        <f t="shared" si="27"/>
        <v>1</v>
      </c>
      <c r="Y70" s="67">
        <f t="shared" si="28"/>
        <v>23.2942</v>
      </c>
      <c r="Z70" s="67">
        <f t="shared" si="25"/>
        <v>0.11749999999999999</v>
      </c>
      <c r="AA70" s="67">
        <f t="shared" si="7"/>
        <v>23.1767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8"/>
        <v>0158-24</v>
      </c>
      <c r="AE70" s="91" t="str">
        <f t="shared" si="9"/>
        <v>aws s3 cp s3://rtdc.mdm.uploadarchive.raw/RTDC4001/ "%USERPROFILE%\AppData\Local\Temp\OnboardLogs"\RTDC4001\2016-10-24 --exclude "*" --recursive --include "*20161024*" &amp; "%USERPROFILE%\Documents\GitHub\mrs-test-scripts\Headless Mode &amp; Sideloading\WalkAndUnGZ.bat" "%USERPROFILE%\AppData\Local\Temp\OnboardLogs"\RTDC4001\2016-10-24 &amp; 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</v>
      </c>
      <c r="AF70" s="88" t="str">
        <f t="shared" si="10"/>
        <v>"C:\Program Files (x86)\AstroGrep\AstroGrep.exe" /spath="%USERPROFILE%\AppData\Local\Temp\OnboardLogs" /stypes="app*4001*20161024*" /stext=" 18:.+((SYSTEM_STATE.+slice.+state.+changed )|(ment ac)|(system.+state.+changed )|(\[timeout)|(PRM\|1\|D)|(kpr)|(kdp)|(\|lc)|(penalty))" /e /r /s</v>
      </c>
      <c r="AG70" s="1" t="str">
        <f t="shared" si="11"/>
        <v>EC</v>
      </c>
      <c r="AH70" s="92" t="str">
        <f t="shared" si="19"/>
        <v>"%USERPROFILE%\Documents\GitHub\eaglep3\Utilities\RefineRTDCRunTimes.py" --tripid 158-24 --locoid 4001 --swversion DE.1.0.7.0 --startMP 204:232942 --initTime 2016-10-24T11:38:44 --startdatetime 2016-10-24T11:41:21 --delay 2 --endMP 204:1175 --enddatetime 2016-10-24T12:33:31 --enforcementcount 1 &gt;&gt;C:\Users\stu\Documents\GitHub\eaglep3-reporting\EC\2016-10-24-refined-times.txt</v>
      </c>
      <c r="AI70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{"issue":{"subject":"","project_id":79,"tracker_id":40,"status_id":1,"priority_id":2,"assigned_to_id":23,"start_date":"2016-10-24","description":"","custom_fields":[{"id":1,"name":"Subdivision","value":"EC"},{"id":4,"name":"Milepost","value":"0.1175"},{"id":17,"name":"Train ID","value":"158-24"},{"id":16,"name":"Locomotive ID","value":"4001"},{"id":130,"name":"Impact","value":""},{"id":150,"name":"Time of Event (Mountain Time)","value":"12:33:31"},{"id":151,"name":"Denver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414</v>
      </c>
      <c r="B71" s="7">
        <v>4011</v>
      </c>
      <c r="C71" s="22" t="s">
        <v>99</v>
      </c>
      <c r="D71" s="22" t="s">
        <v>230</v>
      </c>
      <c r="E71" s="13">
        <v>42667.455034722225</v>
      </c>
      <c r="F71" s="13">
        <v>42667.45894675926</v>
      </c>
      <c r="G71" s="7">
        <v>1</v>
      </c>
      <c r="H71" s="13" t="s">
        <v>264</v>
      </c>
      <c r="I71" s="13">
        <v>42667.484722222223</v>
      </c>
      <c r="J71" s="7">
        <v>1</v>
      </c>
      <c r="K71" s="112" t="str">
        <f t="shared" si="0"/>
        <v>4011/4012</v>
      </c>
      <c r="L71" s="22" t="str">
        <f>VLOOKUP(A71,'Trips&amp;Operators'!$C$1:$E$10000,3,FALSE)</f>
        <v>STEWART</v>
      </c>
      <c r="M71" s="6">
        <f t="shared" si="1"/>
        <v>2.5775462963792961E-2</v>
      </c>
      <c r="N71" s="7">
        <f t="shared" si="26"/>
        <v>37.116666667861864</v>
      </c>
      <c r="O71" s="7"/>
      <c r="P71" s="7"/>
      <c r="Q71" s="23"/>
      <c r="R71" s="23"/>
      <c r="S71" s="35">
        <f t="shared" si="23"/>
        <v>1</v>
      </c>
      <c r="T71" s="50" t="str">
        <f t="shared" si="3"/>
        <v>NorthBound</v>
      </c>
      <c r="U71" s="1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09:55:15-0600',mode:absolute,to:'2016-10-24 12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1" s="52" t="str">
        <f t="shared" si="21"/>
        <v>N</v>
      </c>
      <c r="X71" s="171">
        <f t="shared" si="27"/>
        <v>1</v>
      </c>
      <c r="Y71" s="67">
        <f t="shared" si="28"/>
        <v>4.6600000000000003E-2</v>
      </c>
      <c r="Z71" s="67">
        <f t="shared" si="25"/>
        <v>23.330400000000001</v>
      </c>
      <c r="AA71" s="67">
        <f t="shared" si="7"/>
        <v>23.283799999999999</v>
      </c>
      <c r="AB71" s="64" t="str">
        <f>VLOOKUP(A71,Enforcements!$C$7:$K$21,8,0)</f>
        <v>Bulletin (2)</v>
      </c>
      <c r="AC71" s="60" t="str">
        <f>VLOOKUP(A71,Enforcements!$C$7:$E$21,3,0)</f>
        <v>GRADE CROSSING</v>
      </c>
      <c r="AD71" s="61" t="str">
        <f t="shared" si="8"/>
        <v>0159-24</v>
      </c>
      <c r="AE71" s="91" t="str">
        <f t="shared" si="9"/>
        <v>aws s3 cp s3://rtdc.mdm.uploadarchive.raw/RTDC4011/ "%USERPROFILE%\AppData\Local\Temp\OnboardLogs"\RTDC4011\2016-10-24 --exclude "*" --recursive --include "*20161024*" &amp; "%USERPROFILE%\Documents\GitHub\mrs-test-scripts\Headless Mode &amp; Sideloading\WalkAndUnGZ.bat" "%USERPROFILE%\AppData\Local\Temp\OnboardLogs"\RTDC4011\2016-10-24 &amp; 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</v>
      </c>
      <c r="AF71" s="88" t="str">
        <f t="shared" si="10"/>
        <v>"C:\Program Files (x86)\AstroGrep\AstroGrep.exe" /spath="%USERPROFILE%\AppData\Local\Temp\OnboardLogs" /stypes="app*4011*20161024*" /stext=" 17:.+((SYSTEM_STATE.+slice.+state.+changed )|(ment ac)|(system.+state.+changed )|(\[timeout)|(PRM\|1\|D)|(kpr)|(kdp)|(\|lc)|(penalty))" /e /r /s</v>
      </c>
      <c r="AG71" s="1" t="str">
        <f t="shared" si="11"/>
        <v>EC</v>
      </c>
      <c r="AH71" s="92" t="str">
        <f t="shared" si="19"/>
        <v>"%USERPROFILE%\Documents\GitHub\eaglep3\Utilities\RefineRTDCRunTimes.py" --tripid 159-24 --locoid 4011 --swversion DE.1.0.7.0 --startMP 204:466 --initTime 2016-10-24T10:55:15 --startdatetime 2016-10-24T11:00:53 --delay 1 --endMP 204:233304 --enddatetime 2016-10-24T11:38:00 --enforcementcount 1 &gt;&gt;C:\Users\stu\Documents\GitHub\eaglep3-reporting\EC\2016-10-24-refined-times.txt</v>
      </c>
      <c r="AI71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{"issue":{"subject":"","project_id":79,"tracker_id":40,"status_id":1,"priority_id":2,"assigned_to_id":23,"start_date":"2016-10-24","description":"","custom_fields":[{"id":1,"name":"Subdivision","value":"EC"},{"id":4,"name":"Milepost","value":"23.3304"},{"id":17,"name":"Train ID","value":"159-24"},{"id":16,"name":"Locomotive ID","value":"4011"},{"id":130,"name":"Impact","value":""},{"id":150,"name":"Time of Event (Mountain Time)","value":"11:38:00"},{"id":151,"name":"Denver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499</v>
      </c>
      <c r="B72" s="7">
        <v>4012</v>
      </c>
      <c r="C72" s="22" t="s">
        <v>99</v>
      </c>
      <c r="D72" s="22" t="s">
        <v>253</v>
      </c>
      <c r="E72" s="13">
        <v>42667.486979166664</v>
      </c>
      <c r="F72" s="13">
        <v>42667.497731481482</v>
      </c>
      <c r="G72" s="7">
        <v>1</v>
      </c>
      <c r="H72" s="13" t="s">
        <v>224</v>
      </c>
      <c r="I72" s="13">
        <v>42667.529930555553</v>
      </c>
      <c r="J72" s="7">
        <v>1</v>
      </c>
      <c r="K72" s="112" t="str">
        <f t="shared" si="0"/>
        <v>4011/4012</v>
      </c>
      <c r="L72" s="22" t="str">
        <f>VLOOKUP(A72,'Trips&amp;Operators'!$C$1:$E$10000,3,FALSE)</f>
        <v>STEWART</v>
      </c>
      <c r="M72" s="6">
        <f t="shared" si="1"/>
        <v>3.219907407037681E-2</v>
      </c>
      <c r="N72" s="7">
        <f t="shared" si="26"/>
        <v>46.366666661342606</v>
      </c>
      <c r="O72" s="7"/>
      <c r="P72" s="7"/>
      <c r="Q72" s="23"/>
      <c r="R72" s="23"/>
      <c r="S72" s="35">
        <f t="shared" si="23"/>
        <v>1</v>
      </c>
      <c r="T72" s="50" t="str">
        <f t="shared" si="3"/>
        <v>Southbound</v>
      </c>
      <c r="U72" s="1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10:41:15-0600',mode:absolute,to:'2016-10-24 13:43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2" s="52" t="str">
        <f t="shared" si="21"/>
        <v>N</v>
      </c>
      <c r="X72" s="171">
        <f t="shared" si="27"/>
        <v>1</v>
      </c>
      <c r="Y72" s="67">
        <f t="shared" si="28"/>
        <v>23.299399999999999</v>
      </c>
      <c r="Z72" s="67">
        <f t="shared" si="25"/>
        <v>1.4999999999999999E-2</v>
      </c>
      <c r="AA72" s="67">
        <f t="shared" si="7"/>
        <v>23.284399999999998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8"/>
        <v>0160-24</v>
      </c>
      <c r="AE72" s="91" t="str">
        <f t="shared" si="9"/>
        <v>aws s3 cp s3://rtdc.mdm.uploadarchive.raw/RTDC4012/ "%USERPROFILE%\AppData\Local\Temp\OnboardLogs"\RTDC4012\2016-10-24 --exclude "*" --recursive --include "*20161024*" &amp; "%USERPROFILE%\Documents\GitHub\mrs-test-scripts\Headless Mode &amp; Sideloading\WalkAndUnGZ.bat" "%USERPROFILE%\AppData\Local\Temp\OnboardLogs"\RTDC4012\2016-10-24 &amp; aws s3 cp s3://rtdc.mdm.uploadarchive.raw/RTDC4012/ "%USERPROFILE%\AppData\Local\Temp\OnboardLogs"\RTDC4012\2016-10-25 --exclude "*" --recursive --include "*20161025*" &amp; "%USERPROFILE%\Documents\GitHub\mrs-test-scripts\Headless Mode &amp; Sideloading\WalkAndUnGZ.bat" "%USERPROFILE%\AppData\Local\Temp\OnboardLogs"\RTDC4012\2016-10-25</v>
      </c>
      <c r="AF72" s="88" t="str">
        <f t="shared" si="10"/>
        <v>"C:\Program Files (x86)\AstroGrep\AstroGrep.exe" /spath="%USERPROFILE%\AppData\Local\Temp\OnboardLogs" /stypes="app*4012*20161024*" /stext=" 18:.+((SYSTEM_STATE.+slice.+state.+changed )|(ment ac)|(system.+state.+changed )|(\[timeout)|(PRM\|1\|D)|(kpr)|(kdp)|(\|lc)|(penalty))" /e /r /s</v>
      </c>
      <c r="AG72" s="1" t="str">
        <f t="shared" si="11"/>
        <v>EC</v>
      </c>
      <c r="AH72" s="92" t="str">
        <f t="shared" si="19"/>
        <v>"%USERPROFILE%\Documents\GitHub\eaglep3\Utilities\RefineRTDCRunTimes.py" --tripid 160-24 --locoid 4012 --swversion DE.1.0.7.0 --startMP 204:232994 --initTime 2016-10-24T11:41:15 --startdatetime 2016-10-24T11:56:44 --delay 1 --endMP 204:150 --enddatetime 2016-10-24T12:43:06 --enforcementcount 1 &gt;&gt;C:\Users\stu\Documents\GitHub\eaglep3-reporting\EC\2016-10-24-refined-times.txt</v>
      </c>
      <c r="AI72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{"issue":{"subject":"","project_id":79,"tracker_id":40,"status_id":1,"priority_id":2,"assigned_to_id":23,"start_date":"2016-10-24","description":"","custom_fields":[{"id":1,"name":"Subdivision","value":"EC"},{"id":4,"name":"Milepost","value":"0.015"},{"id":17,"name":"Train ID","value":"160-24"},{"id":16,"name":"Locomotive ID","value":"4012"},{"id":130,"name":"Impact","value":""},{"id":150,"name":"Time of Event (Mountain Time)","value":"12:43:06"},{"id":151,"name":"Denver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491</v>
      </c>
      <c r="B73" s="7">
        <v>4014</v>
      </c>
      <c r="C73" s="22" t="s">
        <v>99</v>
      </c>
      <c r="D73" s="22" t="s">
        <v>649</v>
      </c>
      <c r="E73" s="13">
        <v>42667.466828703706</v>
      </c>
      <c r="F73" s="13">
        <v>42667.469085648147</v>
      </c>
      <c r="G73" s="7">
        <v>2</v>
      </c>
      <c r="H73" s="13" t="s">
        <v>326</v>
      </c>
      <c r="I73" s="13">
        <v>42667.502349537041</v>
      </c>
      <c r="J73" s="7">
        <v>1</v>
      </c>
      <c r="K73" s="112" t="str">
        <f t="shared" si="0"/>
        <v>4013/4014</v>
      </c>
      <c r="L73" s="22" t="str">
        <f>VLOOKUP(A73,'Trips&amp;Operators'!$C$1:$E$10000,3,FALSE)</f>
        <v>SWANSON</v>
      </c>
      <c r="M73" s="6">
        <f t="shared" si="1"/>
        <v>3.3263888893998228E-2</v>
      </c>
      <c r="N73" s="7">
        <f t="shared" si="26"/>
        <v>47.900000007357448</v>
      </c>
      <c r="O73" s="7"/>
      <c r="P73" s="7"/>
      <c r="Q73" s="23"/>
      <c r="R73" s="23"/>
      <c r="S73" s="35">
        <f t="shared" si="23"/>
        <v>1</v>
      </c>
      <c r="T73" s="50" t="str">
        <f t="shared" si="3"/>
        <v>NorthBound</v>
      </c>
      <c r="U73" s="1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10:12:14-0600',mode:absolute,to:'2016-10-24 13:03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3" s="52" t="str">
        <f t="shared" si="21"/>
        <v>N</v>
      </c>
      <c r="X73" s="171">
        <f t="shared" si="27"/>
        <v>1</v>
      </c>
      <c r="Y73" s="67">
        <f t="shared" si="28"/>
        <v>4.9299999999999997E-2</v>
      </c>
      <c r="Z73" s="67">
        <f t="shared" si="25"/>
        <v>23.3307</v>
      </c>
      <c r="AA73" s="67">
        <f t="shared" si="7"/>
        <v>23.281400000000001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8"/>
        <v>0161-24</v>
      </c>
      <c r="AE73" s="91" t="str">
        <f t="shared" si="9"/>
        <v>aws s3 cp s3://rtdc.mdm.uploadarchive.raw/RTDC4014/ "%USERPROFILE%\AppData\Local\Temp\OnboardLogs"\RTDC4014\2016-10-24 --exclude "*" --recursive --include "*20161024*" &amp; "%USERPROFILE%\Documents\GitHub\mrs-test-scripts\Headless Mode &amp; Sideloading\WalkAndUnGZ.bat" "%USERPROFILE%\AppData\Local\Temp\OnboardLogs"\RTDC4014\2016-10-24 &amp; aws s3 cp s3://rtdc.mdm.uploadarchive.raw/RTDC4014/ "%USERPROFILE%\AppData\Local\Temp\OnboardLogs"\RTDC4014\2016-10-25 --exclude "*" --recursive --include "*20161025*" &amp; "%USERPROFILE%\Documents\GitHub\mrs-test-scripts\Headless Mode &amp; Sideloading\WalkAndUnGZ.bat" "%USERPROFILE%\AppData\Local\Temp\OnboardLogs"\RTDC4014\2016-10-25</v>
      </c>
      <c r="AF73" s="88" t="str">
        <f t="shared" si="10"/>
        <v>"C:\Program Files (x86)\AstroGrep\AstroGrep.exe" /spath="%USERPROFILE%\AppData\Local\Temp\OnboardLogs" /stypes="app*4014*20161024*" /stext=" 18:.+((SYSTEM_STATE.+slice.+state.+changed )|(ment ac)|(system.+state.+changed )|(\[timeout)|(PRM\|1\|D)|(kpr)|(kdp)|(\|lc)|(penalty))" /e /r /s</v>
      </c>
      <c r="AG73" s="1" t="str">
        <f t="shared" si="11"/>
        <v>EC</v>
      </c>
      <c r="AH73" s="92" t="str">
        <f t="shared" si="19"/>
        <v>"%USERPROFILE%\Documents\GitHub\eaglep3\Utilities\RefineRTDCRunTimes.py" --tripid 161-24 --locoid 4014 --swversion DE.1.0.7.0 --startMP 204:493 --initTime 2016-10-24T11:12:14 --startdatetime 2016-10-24T11:15:29 --delay 2 --endMP 204:233307 --enddatetime 2016-10-24T12:03:23 --enforcementcount 1 &gt;&gt;C:\Users\stu\Documents\GitHub\eaglep3-reporting\EC\2016-10-24-refined-times.txt</v>
      </c>
      <c r="AI73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{"issue":{"subject":"","project_id":79,"tracker_id":40,"status_id":1,"priority_id":2,"assigned_to_id":23,"start_date":"2016-10-24","description":"","custom_fields":[{"id":1,"name":"Subdivision","value":"EC"},{"id":4,"name":"Milepost","value":"23.3307"},{"id":17,"name":"Train ID","value":"161-24"},{"id":16,"name":"Locomotive ID","value":"4014"},{"id":130,"name":"Impact","value":""},{"id":150,"name":"Time of Event (Mountain Time)","value":"12:03:23"},{"id":151,"name":"Denver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503</v>
      </c>
      <c r="B74" s="7">
        <v>4013</v>
      </c>
      <c r="C74" s="22" t="s">
        <v>99</v>
      </c>
      <c r="D74" s="22" t="s">
        <v>343</v>
      </c>
      <c r="E74" s="13">
        <v>42667.504016203704</v>
      </c>
      <c r="F74" s="13">
        <v>42667.508344907408</v>
      </c>
      <c r="G74" s="7">
        <v>1</v>
      </c>
      <c r="H74" s="13" t="s">
        <v>223</v>
      </c>
      <c r="I74" s="13">
        <v>42667.540810185186</v>
      </c>
      <c r="J74" s="7">
        <v>1</v>
      </c>
      <c r="K74" s="112" t="str">
        <f t="shared" si="0"/>
        <v>4013/4014</v>
      </c>
      <c r="L74" s="22" t="str">
        <f>VLOOKUP(A74,'Trips&amp;Operators'!$C$1:$E$10000,3,FALSE)</f>
        <v>SWANSON</v>
      </c>
      <c r="M74" s="6">
        <f t="shared" si="1"/>
        <v>3.2465277778101154E-2</v>
      </c>
      <c r="N74" s="7">
        <f t="shared" si="26"/>
        <v>46.750000000465661</v>
      </c>
      <c r="O74" s="7"/>
      <c r="P74" s="7"/>
      <c r="Q74" s="23"/>
      <c r="R74" s="23"/>
      <c r="S74" s="35">
        <f t="shared" si="23"/>
        <v>1</v>
      </c>
      <c r="T74" s="50" t="str">
        <f t="shared" si="3"/>
        <v>Southbound</v>
      </c>
      <c r="U74" s="1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11:05:47-0600',mode:absolute,to:'2016-10-24 13:58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4" s="52" t="str">
        <f t="shared" si="21"/>
        <v>N</v>
      </c>
      <c r="X74" s="171">
        <f t="shared" si="27"/>
        <v>1</v>
      </c>
      <c r="Y74" s="67">
        <f t="shared" si="28"/>
        <v>23.299199999999999</v>
      </c>
      <c r="Z74" s="67">
        <f t="shared" si="25"/>
        <v>1.43E-2</v>
      </c>
      <c r="AA74" s="67">
        <f t="shared" si="7"/>
        <v>23.2849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8"/>
        <v>0162-24</v>
      </c>
      <c r="AE74" s="91" t="str">
        <f t="shared" si="9"/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AF74" s="88" t="str">
        <f t="shared" si="10"/>
        <v>"C:\Program Files (x86)\AstroGrep\AstroGrep.exe" /spath="%USERPROFILE%\AppData\Local\Temp\OnboardLogs" /stypes="app*4013*20161024*" /stext=" 18:.+((SYSTEM_STATE.+slice.+state.+changed )|(ment ac)|(system.+state.+changed )|(\[timeout)|(PRM\|1\|D)|(kpr)|(kdp)|(\|lc)|(penalty))" /e /r /s</v>
      </c>
      <c r="AG74" s="1" t="str">
        <f t="shared" si="11"/>
        <v>EC</v>
      </c>
      <c r="AH74" s="92" t="str">
        <f t="shared" si="19"/>
        <v>"%USERPROFILE%\Documents\GitHub\eaglep3\Utilities\RefineRTDCRunTimes.py" --tripid 162-24 --locoid 4013 --swversion DE.1.0.7.0 --startMP 204:232992 --initTime 2016-10-24T12:05:47 --startdatetime 2016-10-24T12:12:01 --delay 1 --endMP 204:143 --enddatetime 2016-10-24T12:58:46 --enforcementcount 1 &gt;&gt;C:\Users\stu\Documents\GitHub\eaglep3-reporting\EC\2016-10-24-refined-times.txt</v>
      </c>
      <c r="AI74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{"issue":{"subject":"","project_id":79,"tracker_id":40,"status_id":1,"priority_id":2,"assigned_to_id":23,"start_date":"2016-10-24","description":"","custom_fields":[{"id":1,"name":"Subdivision","value":"EC"},{"id":4,"name":"Milepost","value":"0.0143"},{"id":17,"name":"Train ID","value":"162-24"},{"id":16,"name":"Locomotive ID","value":"4013"},{"id":130,"name":"Impact","value":""},{"id":150,"name":"Time of Event (Mountain Time)","value":"12:58:46"},{"id":151,"name":"Denver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415</v>
      </c>
      <c r="B75" s="7">
        <v>4016</v>
      </c>
      <c r="C75" s="22" t="s">
        <v>99</v>
      </c>
      <c r="D75" s="22" t="s">
        <v>650</v>
      </c>
      <c r="E75" s="13">
        <v>42667.498379629629</v>
      </c>
      <c r="F75" s="13">
        <v>42667.498981481483</v>
      </c>
      <c r="G75" s="7">
        <v>0</v>
      </c>
      <c r="H75" s="13" t="s">
        <v>651</v>
      </c>
      <c r="I75" s="13">
        <v>42667.510254629633</v>
      </c>
      <c r="J75" s="7">
        <v>0</v>
      </c>
      <c r="K75" s="112" t="str">
        <f t="shared" si="0"/>
        <v>4015/4016</v>
      </c>
      <c r="L75" s="22" t="str">
        <f>VLOOKUP(A75,'Trips&amp;Operators'!$C$1:$E$10000,3,FALSE)</f>
        <v>BONDS</v>
      </c>
      <c r="M75" s="6">
        <f t="shared" si="1"/>
        <v>1.1273148149484769E-2</v>
      </c>
      <c r="N75" s="7"/>
      <c r="O75" s="7"/>
      <c r="P75" s="7">
        <f>24*60*SUM($M75:$M76)</f>
        <v>42.850000000325963</v>
      </c>
      <c r="Q75" s="23"/>
      <c r="R75" s="23" t="s">
        <v>810</v>
      </c>
      <c r="S75" s="35">
        <f>SUM(U75:U76)/IF(AG75="EC",12,1)</f>
        <v>0.91666666666666663</v>
      </c>
      <c r="T75" s="50" t="str">
        <f t="shared" si="3"/>
        <v>NorthBound</v>
      </c>
      <c r="U75" s="1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0</v>
      </c>
      <c r="V7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10:57:40-0600',mode:absolute,to:'2016-10-24 13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5" s="52" t="str">
        <f t="shared" si="21"/>
        <v>Y</v>
      </c>
      <c r="X75" s="171">
        <f t="shared" si="27"/>
        <v>1</v>
      </c>
      <c r="Y75" s="67">
        <f t="shared" si="28"/>
        <v>12.8268</v>
      </c>
      <c r="Z75" s="67">
        <f t="shared" si="25"/>
        <v>23.333600000000001</v>
      </c>
      <c r="AA75" s="67">
        <f t="shared" si="7"/>
        <v>10.5068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8"/>
        <v>0163-24</v>
      </c>
      <c r="AE75" s="91" t="str">
        <f t="shared" si="9"/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AF75" s="88" t="str">
        <f t="shared" si="10"/>
        <v>"C:\Program Files (x86)\AstroGrep\AstroGrep.exe" /spath="%USERPROFILE%\AppData\Local\Temp\OnboardLogs" /stypes="app*4016*20161024*" /stext=" 18:.+((SYSTEM_STATE.+slice.+state.+changed )|(ment ac)|(system.+state.+changed )|(\[timeout)|(PRM\|1\|D)|(kpr)|(kdp)|(\|lc)|(penalty))" /e /r /s</v>
      </c>
      <c r="AG75" s="1" t="str">
        <f t="shared" si="11"/>
        <v>EC</v>
      </c>
      <c r="AH75" s="92" t="str">
        <f t="shared" si="19"/>
        <v>"%USERPROFILE%\Documents\GitHub\eaglep3\Utilities\RefineRTDCRunTimes.py" --tripid 163-24 --locoid 4016 --swversion DE.1.0.7.0 --startMP 204:128268 --initTime 2016-10-24T11:57:40 --startdatetime 2016-10-24T11:58:32 --delay 0 --endMP 204:233336 --enddatetime 2016-10-24T12:14:46 --enforcementcount 0 &gt;&gt;C:\Users\stu\Documents\GitHub\eaglep3-reporting\EC\2016-10-24-refined-times.txt</v>
      </c>
      <c r="AI75" s="122" t="str">
        <f t="shared" si="20"/>
        <v>echo {"issue":{"subject":"False occupancy - Sable 2N stuck at STOP","project_id":79,"tracker_id":40,"status_id":1,"priority_id":2,"assigned_to_id":23,"start_date":"2016-10-24","description":"At 11:49:25, Sable 2N dropped from PROCEED CAB to STOP, seems like this was undesired/unexpected. Anything look wrong during this timeframe?","custom_fields":[{"id":1,"name":"Subdivision","value":"EC"},{"id":4,"name":"Milepost","value":"23.3336"},{"id":17,"name":"Train ID","value":"163-24"},{"id":16,"name":"Locomotive ID","value":"4016"},{"id":130,"name":"Impact","value":"Unexpected Cut-Out or Disengaged"},{"id":150,"name":"Time of Event (Mountain Time)","value":"12:14:46"},{"id":151,"name":"Denver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75" s="53" t="s">
        <v>805</v>
      </c>
      <c r="AK75" s="53" t="s">
        <v>132</v>
      </c>
      <c r="AL75" s="53" t="s">
        <v>131</v>
      </c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415</v>
      </c>
      <c r="B76" s="7">
        <v>4016</v>
      </c>
      <c r="C76" s="22" t="s">
        <v>99</v>
      </c>
      <c r="D76" s="22" t="s">
        <v>652</v>
      </c>
      <c r="E76" s="13">
        <v>42667.47483796296</v>
      </c>
      <c r="F76" s="13">
        <v>42667.476064814815</v>
      </c>
      <c r="G76" s="7">
        <v>1</v>
      </c>
      <c r="H76" s="13" t="s">
        <v>653</v>
      </c>
      <c r="I76" s="13">
        <v>42667.49454861111</v>
      </c>
      <c r="J76" s="7">
        <v>2</v>
      </c>
      <c r="K76" s="112" t="str">
        <f t="shared" si="0"/>
        <v>4015/4016</v>
      </c>
      <c r="L76" s="22" t="str">
        <f>VLOOKUP(A76,'Trips&amp;Operators'!$C$1:$E$10000,3,FALSE)</f>
        <v>BONDS</v>
      </c>
      <c r="M76" s="6">
        <f t="shared" si="1"/>
        <v>1.8483796295186039E-2</v>
      </c>
      <c r="N76" s="7"/>
      <c r="O76" s="7"/>
      <c r="P76" s="7"/>
      <c r="Q76" s="23"/>
      <c r="R76" s="23"/>
      <c r="S76" s="35"/>
      <c r="T76" s="50" t="str">
        <f t="shared" si="3"/>
        <v>NorthBound</v>
      </c>
      <c r="U76" s="1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11</v>
      </c>
      <c r="V7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https://search-rtdc-monitor-bjffxe2xuh6vdkpspy63sjmuny.us-east-1.es.amazonaws.com/_plugin/kibana/#/discover/Steve-Slow-Train-Analysis-(2080s-and-2083s)?_g=(refreshInterval:(display:Off,section:0,value:0),time:(from:'2016-10-24 10:23:46-0600',mode:absolute,to:'2016-10-24 12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6" s="52" t="str">
        <f t="shared" si="21"/>
        <v>Y</v>
      </c>
      <c r="X76" s="171">
        <f t="shared" si="27"/>
        <v>0</v>
      </c>
      <c r="Y76" s="67">
        <f t="shared" si="28"/>
        <v>4.3499999999999997E-2</v>
      </c>
      <c r="Z76" s="67">
        <f t="shared" si="25"/>
        <v>10.520200000000001</v>
      </c>
      <c r="AA76" s="67">
        <f t="shared" si="7"/>
        <v>10.476700000000001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8"/>
        <v>0163-24</v>
      </c>
      <c r="AE76" s="91" t="str">
        <f t="shared" si="9"/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AF76" s="88" t="str">
        <f t="shared" si="10"/>
        <v>"C:\Program Files (x86)\AstroGrep\AstroGrep.exe" /spath="%USERPROFILE%\AppData\Local\Temp\OnboardLogs" /stypes="app*4016*20161024*" /stext=" 17:.+((SYSTEM_STATE.+slice.+state.+changed )|(ment ac)|(system.+state.+changed )|(\[timeout)|(PRM\|1\|D)|(kpr)|(kdp)|(\|lc)|(penalty))" /e /r /s</v>
      </c>
      <c r="AG76" s="1" t="str">
        <f t="shared" si="11"/>
        <v>EC</v>
      </c>
      <c r="AH76" s="92" t="str">
        <f t="shared" si="19"/>
        <v>"%USERPROFILE%\Documents\GitHub\eaglep3\Utilities\RefineRTDCRunTimes.py" --tripid 163-24 --locoid 4016 --swversion DE.1.0.7.0 --startMP 204:435 --initTime 2016-10-24T11:23:46 --startdatetime 2016-10-24T11:25:32 --delay 1 --endMP 204:105202 --enddatetime 2016-10-24T11:52:09 --enforcementcount 2 &gt;&gt;C:\Users\stu\Documents\GitHub\eaglep3-reporting\EC\2016-10-24-refined-times.txt</v>
      </c>
      <c r="AI76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{"issue":{"subject":"","project_id":79,"tracker_id":40,"status_id":1,"priority_id":2,"assigned_to_id":23,"start_date":"2016-10-24","description":"","custom_fields":[{"id":1,"name":"Subdivision","value":"EC"},{"id":4,"name":"Milepost","value":"10.5202"},{"id":17,"name":"Train ID","value":"163-24"},{"id":16,"name":"Locomotive ID","value":"4016"},{"id":130,"name":"Impact","value":""},{"id":150,"name":"Time of Event (Mountain Time)","value":"11:52:09"},{"id":151,"name":"Denver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507</v>
      </c>
      <c r="B77" s="7">
        <v>4015</v>
      </c>
      <c r="C77" s="22" t="s">
        <v>99</v>
      </c>
      <c r="D77" s="22" t="s">
        <v>654</v>
      </c>
      <c r="E77" s="13">
        <v>42667.512638888889</v>
      </c>
      <c r="F77" s="13">
        <v>42667.518240740741</v>
      </c>
      <c r="G77" s="7">
        <v>2</v>
      </c>
      <c r="H77" s="13" t="s">
        <v>219</v>
      </c>
      <c r="I77" s="13">
        <v>42667.548113425924</v>
      </c>
      <c r="J77" s="7">
        <v>1</v>
      </c>
      <c r="K77" s="112" t="str">
        <f t="shared" ref="K77:K140" si="29">IF(ISEVEN(B77),(B77-1)&amp;"/"&amp;B77,B77&amp;"/"&amp;(B77+1))</f>
        <v>4015/4016</v>
      </c>
      <c r="L77" s="22" t="str">
        <f>VLOOKUP(A77,'Trips&amp;Operators'!$C$1:$E$10000,3,FALSE)</f>
        <v>BONDS</v>
      </c>
      <c r="M77" s="6">
        <f t="shared" ref="M77:M140" si="30">I77-F77</f>
        <v>2.9872685183363501E-2</v>
      </c>
      <c r="N77" s="7">
        <f t="shared" ref="N77:N108" si="31">24*60*SUM($M77:$M77)</f>
        <v>43.016666664043441</v>
      </c>
      <c r="O77" s="7"/>
      <c r="P77" s="7"/>
      <c r="Q77" s="23"/>
      <c r="R77" s="23"/>
      <c r="S77" s="35">
        <f t="shared" ref="S77:S108" si="32">SUM(U77:U77)/IF(AG77="EC",12,1)</f>
        <v>1</v>
      </c>
      <c r="T77" s="50" t="str">
        <f t="shared" ref="T77:T140" si="33">IF(ISEVEN(LEFT(AD77,4)),"Southbound","NorthBound")</f>
        <v>Southbound</v>
      </c>
      <c r="U77" s="1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4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https://search-rtdc-monitor-bjffxe2xuh6vdkpspy63sjmuny.us-east-1.es.amazonaws.com/_plugin/kibana/#/discover/Steve-Slow-Train-Analysis-(2080s-and-2083s)?_g=(refreshInterval:(display:Off,section:0,value:0),time:(from:'2016-10-24 11:18:12-0600',mode:absolute,to:'2016-10-24 14:09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7" s="52" t="str">
        <f t="shared" si="21"/>
        <v>N</v>
      </c>
      <c r="X77" s="171">
        <f t="shared" si="27"/>
        <v>1</v>
      </c>
      <c r="Y77" s="67">
        <f t="shared" si="28"/>
        <v>23.301100000000002</v>
      </c>
      <c r="Z77" s="67">
        <f t="shared" ref="Z77:Z108" si="35">RIGHT(H77,LEN(H77)-4)/10000</f>
        <v>1.4500000000000001E-2</v>
      </c>
      <c r="AA77" s="67">
        <f t="shared" ref="AA77:AA140" si="36">ABS(Z77-Y77)</f>
        <v>23.2866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37">IF(LEN(A77)=6,"0"&amp;A77,A77)</f>
        <v>0164-24</v>
      </c>
      <c r="AE77" s="91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 &amp; 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</v>
      </c>
      <c r="AF77" s="88" t="str">
        <f t="shared" ref="AF77:AF140" si="3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/stypes="app*4015*20161024*" /stext=" 19:.+((SYSTEM_STATE.+slice.+state.+changed )|(ment ac)|(system.+state.+changed )|(\[timeout)|(PRM\|1\|D)|(kpr)|(kdp)|(\|lc)|(penalty))" /e /r /s</v>
      </c>
      <c r="AG77" s="1" t="str">
        <f t="shared" ref="AG77:AG140" si="40">IFERROR(IF(VALUE(LEFT(AD77,2))&lt;=2,"EC",IF(OR(VALUE(LEFT(AD77,2))=8,VALUE(LEFT(AD77,2))=18),"NW","Other")),"Other")</f>
        <v>EC</v>
      </c>
      <c r="AH77" s="92" t="str">
        <f t="shared" si="19"/>
        <v>"%USERPROFILE%\Documents\GitHub\eaglep3\Utilities\RefineRTDCRunTimes.py" --tripid 164-24 --locoid 4015 --swversion DE.1.0.7.0 --startMP 204:233011 --initTime 2016-10-24T12:18:12 --startdatetime 2016-10-24T12:26:16 --delay 2 --endMP 204:145 --enddatetime 2016-10-24T13:09:17 --enforcementcount 1 &gt;&gt;C:\Users\stu\Documents\GitHub\eaglep3-reporting\EC\2016-10-24-refined-times.txt</v>
      </c>
      <c r="AI77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{"issue":{"subject":"","project_id":79,"tracker_id":40,"status_id":1,"priority_id":2,"assigned_to_id":23,"start_date":"2016-10-24","description":"","custom_fields":[{"id":1,"name":"Subdivision","value":"EC"},{"id":4,"name":"Milepost","value":"0.0145"},{"id":17,"name":"Train ID","value":"164-24"},{"id":16,"name":"Locomotive ID","value":"4015"},{"id":130,"name":"Impact","value":""},{"id":150,"name":"Time of Event (Mountain Time)","value":"13:09:17"},{"id":151,"name":"Denver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496</v>
      </c>
      <c r="B78" s="7">
        <v>4018</v>
      </c>
      <c r="C78" s="22" t="s">
        <v>99</v>
      </c>
      <c r="D78" s="22" t="s">
        <v>225</v>
      </c>
      <c r="E78" s="13">
        <v>42667.484351851854</v>
      </c>
      <c r="F78" s="13">
        <v>42667.489756944444</v>
      </c>
      <c r="G78" s="7">
        <v>1</v>
      </c>
      <c r="H78" s="13" t="s">
        <v>357</v>
      </c>
      <c r="I78" s="13">
        <v>42667.520937499998</v>
      </c>
      <c r="J78" s="7">
        <v>1</v>
      </c>
      <c r="K78" s="112" t="str">
        <f t="shared" si="29"/>
        <v>4017/4018</v>
      </c>
      <c r="L78" s="22" t="str">
        <f>VLOOKUP(A78,'Trips&amp;Operators'!$C$1:$E$10000,3,FALSE)</f>
        <v>CLARK</v>
      </c>
      <c r="M78" s="6">
        <f t="shared" si="30"/>
        <v>3.1180555553874001E-2</v>
      </c>
      <c r="N78" s="7">
        <f t="shared" si="31"/>
        <v>44.899999997578561</v>
      </c>
      <c r="O78" s="7"/>
      <c r="P78" s="7"/>
      <c r="Q78" s="23"/>
      <c r="R78" s="23"/>
      <c r="S78" s="35">
        <f t="shared" si="32"/>
        <v>1</v>
      </c>
      <c r="T78" s="50" t="str">
        <f t="shared" si="33"/>
        <v>NorthBound</v>
      </c>
      <c r="U78" s="1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10:37:28-0600',mode:absolute,to:'2016-10-24 13:30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8" s="52" t="str">
        <f t="shared" si="21"/>
        <v>N</v>
      </c>
      <c r="X78" s="171">
        <f t="shared" si="27"/>
        <v>1</v>
      </c>
      <c r="Y78" s="67">
        <f t="shared" si="28"/>
        <v>4.4699999999999997E-2</v>
      </c>
      <c r="Z78" s="67">
        <f t="shared" si="35"/>
        <v>23.328199999999999</v>
      </c>
      <c r="AA78" s="67">
        <f t="shared" si="36"/>
        <v>23.2835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7"/>
        <v>0165-24</v>
      </c>
      <c r="AE78" s="91" t="str">
        <f t="shared" si="38"/>
        <v>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 &amp; aws s3 cp s3://rtdc.mdm.uploadarchive.raw/RTDC4018/ "%USERPROFILE%\AppData\Local\Temp\OnboardLogs"\RTDC4018\2016-10-25 --exclude "*" --recursive --include "*20161025*" &amp; "%USERPROFILE%\Documents\GitHub\mrs-test-scripts\Headless Mode &amp; Sideloading\WalkAndUnGZ.bat" "%USERPROFILE%\AppData\Local\Temp\OnboardLogs"\RTDC4018\2016-10-25</v>
      </c>
      <c r="AF78" s="88" t="str">
        <f t="shared" si="39"/>
        <v>"C:\Program Files (x86)\AstroGrep\AstroGrep.exe" /spath="%USERPROFILE%\AppData\Local\Temp\OnboardLogs" /stypes="app*4018*20161024*" /stext=" 18:.+((SYSTEM_STATE.+slice.+state.+changed )|(ment ac)|(system.+state.+changed )|(\[timeout)|(PRM\|1\|D)|(kpr)|(kdp)|(\|lc)|(penalty))" /e /r /s</v>
      </c>
      <c r="AG78" s="1" t="str">
        <f t="shared" si="40"/>
        <v>EC</v>
      </c>
      <c r="AH78" s="92" t="str">
        <f t="shared" si="19"/>
        <v>"%USERPROFILE%\Documents\GitHub\eaglep3\Utilities\RefineRTDCRunTimes.py" --tripid 165-24 --locoid 4018 --swversion DE.1.0.7.0 --startMP 204:447 --initTime 2016-10-24T11:37:28 --startdatetime 2016-10-24T11:45:15 --delay 1 --endMP 204:233282 --enddatetime 2016-10-24T12:30:09 --enforcementcount 1 &gt;&gt;C:\Users\stu\Documents\GitHub\eaglep3-reporting\EC\2016-10-24-refined-times.txt</v>
      </c>
      <c r="AI78" s="122" t="str">
        <f t="shared" si="20"/>
        <v>echo {"issue":{"subject":"","project_id":79,"tracker_id":40,"status_id":1,"priority_id":2,"assigned_to_id":23,"start_date":"2016-10-24","description":"","custom_fields":[{"id":1,"name":"Subdivision","value":"EC"},{"id":4,"name":"Milepost","value":"23.3282"},{"id":17,"name":"Train ID","value":"165-24"},{"id":16,"name":"Locomotive ID","value":"4018"},{"id":130,"name":"Impact","value":""},{"id":150,"name":"Time of Event (Mountain Time)","value":"12:30:09"},{"id":151,"name":"Denver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510</v>
      </c>
      <c r="B79" s="7">
        <v>4017</v>
      </c>
      <c r="C79" s="22" t="s">
        <v>99</v>
      </c>
      <c r="D79" s="22" t="s">
        <v>642</v>
      </c>
      <c r="E79" s="13">
        <v>42667.525995370372</v>
      </c>
      <c r="F79" s="13">
        <v>42667.528645833336</v>
      </c>
      <c r="G79" s="7">
        <v>1</v>
      </c>
      <c r="H79" s="13" t="s">
        <v>224</v>
      </c>
      <c r="I79" s="13">
        <v>42667.558634259258</v>
      </c>
      <c r="J79" s="7">
        <v>1</v>
      </c>
      <c r="K79" s="112" t="str">
        <f t="shared" si="29"/>
        <v>4017/4018</v>
      </c>
      <c r="L79" s="22" t="str">
        <f>VLOOKUP(A79,'Trips&amp;Operators'!$C$1:$E$10000,3,FALSE)</f>
        <v>CLARK</v>
      </c>
      <c r="M79" s="6">
        <f t="shared" si="30"/>
        <v>2.9988425922056194E-2</v>
      </c>
      <c r="N79" s="7">
        <f t="shared" si="31"/>
        <v>43.18333332776092</v>
      </c>
      <c r="O79" s="7"/>
      <c r="P79" s="7"/>
      <c r="Q79" s="23"/>
      <c r="R79" s="23"/>
      <c r="S79" s="35">
        <f t="shared" si="32"/>
        <v>1</v>
      </c>
      <c r="T79" s="50" t="str">
        <f t="shared" si="33"/>
        <v>Southbound</v>
      </c>
      <c r="U79" s="1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11:37:26-0600',mode:absolute,to:'2016-10-24 14:24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9" s="52" t="str">
        <f t="shared" si="21"/>
        <v>N</v>
      </c>
      <c r="X79" s="171">
        <f t="shared" si="27"/>
        <v>1</v>
      </c>
      <c r="Y79" s="67">
        <f t="shared" si="28"/>
        <v>23.297499999999999</v>
      </c>
      <c r="Z79" s="67">
        <f t="shared" si="35"/>
        <v>1.4999999999999999E-2</v>
      </c>
      <c r="AA79" s="67">
        <f t="shared" si="36"/>
        <v>23.282499999999999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7"/>
        <v>0166-24</v>
      </c>
      <c r="AE79" s="91" t="str">
        <f t="shared" si="38"/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AF79" s="88" t="str">
        <f t="shared" si="39"/>
        <v>"C:\Program Files (x86)\AstroGrep\AstroGrep.exe" /spath="%USERPROFILE%\AppData\Local\Temp\OnboardLogs" /stypes="app*4017*20161024*" /stext=" 19:.+((SYSTEM_STATE.+slice.+state.+changed )|(ment ac)|(system.+state.+changed )|(\[timeout)|(PRM\|1\|D)|(kpr)|(kdp)|(\|lc)|(penalty))" /e /r /s</v>
      </c>
      <c r="AG79" s="1" t="str">
        <f t="shared" si="40"/>
        <v>EC</v>
      </c>
      <c r="AH79" s="92" t="str">
        <f t="shared" ref="AH79:AH142" si="41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166-24 --locoid 4017 --swversion DE.1.0.7.0 --startMP 204:232975 --initTime 2016-10-24T12:37:26 --startdatetime 2016-10-24T12:41:15 --delay 1 --endMP 204:150 --enddatetime 2016-10-24T13:24:26 --enforcementcount 1 &gt;&gt;C:\Users\stu\Documents\GitHub\eaglep3-reporting\EC\2016-10-24-refined-times.txt</v>
      </c>
      <c r="AI79" s="122" t="str">
        <f t="shared" ref="AI79:AI142" si="42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{"issue":{"subject":"","project_id":79,"tracker_id":40,"status_id":1,"priority_id":2,"assigned_to_id":23,"start_date":"2016-10-24","description":"","custom_fields":[{"id":1,"name":"Subdivision","value":"EC"},{"id":4,"name":"Milepost","value":"0.015"},{"id":17,"name":"Train ID","value":"166-24"},{"id":16,"name":"Locomotive ID","value":"4017"},{"id":130,"name":"Impact","value":""},{"id":150,"name":"Time of Event (Mountain Time)","value":"13:24:26"},{"id":151,"name":"Denver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501</v>
      </c>
      <c r="B80" s="7">
        <v>4053</v>
      </c>
      <c r="C80" s="22" t="s">
        <v>99</v>
      </c>
      <c r="D80" s="22" t="s">
        <v>359</v>
      </c>
      <c r="E80" s="13">
        <v>42667.496932870374</v>
      </c>
      <c r="F80" s="13">
        <v>42667.500509259262</v>
      </c>
      <c r="G80" s="7">
        <v>1</v>
      </c>
      <c r="H80" s="13" t="s">
        <v>264</v>
      </c>
      <c r="I80" s="13">
        <v>42667.528217592589</v>
      </c>
      <c r="J80" s="7">
        <v>1</v>
      </c>
      <c r="K80" s="112" t="str">
        <f t="shared" si="29"/>
        <v>4053/4054</v>
      </c>
      <c r="L80" s="22" t="str">
        <f>VLOOKUP(A80,'Trips&amp;Operators'!$C$1:$E$10000,3,FALSE)</f>
        <v>CRAYTON</v>
      </c>
      <c r="M80" s="6">
        <f t="shared" si="30"/>
        <v>2.770833332760958E-2</v>
      </c>
      <c r="N80" s="7">
        <f t="shared" si="31"/>
        <v>39.899999991757795</v>
      </c>
      <c r="O80" s="7"/>
      <c r="P80" s="7"/>
      <c r="Q80" s="23"/>
      <c r="R80" s="23"/>
      <c r="S80" s="35">
        <f t="shared" si="32"/>
        <v>1</v>
      </c>
      <c r="T80" s="50" t="str">
        <f t="shared" si="33"/>
        <v>NorthBound</v>
      </c>
      <c r="U80" s="1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10:55:35-0600',mode:absolute,to:'2016-10-24 13:40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0" s="52" t="str">
        <f t="shared" si="21"/>
        <v>N</v>
      </c>
      <c r="X80" s="171">
        <f t="shared" si="27"/>
        <v>1</v>
      </c>
      <c r="Y80" s="67">
        <f t="shared" si="28"/>
        <v>4.3799999999999999E-2</v>
      </c>
      <c r="Z80" s="67">
        <f t="shared" si="35"/>
        <v>23.330400000000001</v>
      </c>
      <c r="AA80" s="67">
        <f t="shared" si="36"/>
        <v>23.2866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7"/>
        <v>0167-24</v>
      </c>
      <c r="AE80" s="91" t="str">
        <f t="shared" si="38"/>
        <v>aws s3 cp s3://rtdc.mdm.uploadarchive.raw/RTDC4053/ "%USERPROFILE%\AppData\Local\Temp\OnboardLogs"\RTDC4053\2016-10-24 --exclude "*" --recursive --include "*20161024*" &amp; "%USERPROFILE%\Documents\GitHub\mrs-test-scripts\Headless Mode &amp; Sideloading\WalkAndUnGZ.bat" "%USERPROFILE%\AppData\Local\Temp\OnboardLogs"\RTDC4053\2016-10-24 &amp; 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</v>
      </c>
      <c r="AF80" s="88" t="str">
        <f t="shared" si="39"/>
        <v>"C:\Program Files (x86)\AstroGrep\AstroGrep.exe" /spath="%USERPROFILE%\AppData\Local\Temp\OnboardLogs" /stypes="app*4053*20161024*" /stext=" 18:.+((SYSTEM_STATE.+slice.+state.+changed )|(ment ac)|(system.+state.+changed )|(\[timeout)|(PRM\|1\|D)|(kpr)|(kdp)|(\|lc)|(penalty))" /e /r /s</v>
      </c>
      <c r="AG80" s="1" t="str">
        <f t="shared" si="40"/>
        <v>EC</v>
      </c>
      <c r="AH80" s="92" t="str">
        <f t="shared" si="41"/>
        <v>"%USERPROFILE%\Documents\GitHub\eaglep3\Utilities\RefineRTDCRunTimes.py" --tripid 167-24 --locoid 4053 --swversion DE.1.0.7.0 --startMP 204:438 --initTime 2016-10-24T11:55:35 --startdatetime 2016-10-24T12:00:44 --delay 1 --endMP 204:233304 --enddatetime 2016-10-24T12:40:38 --enforcementcount 1 &gt;&gt;C:\Users\stu\Documents\GitHub\eaglep3-reporting\EC\2016-10-24-refined-times.txt</v>
      </c>
      <c r="AI80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{"issue":{"subject":"","project_id":79,"tracker_id":40,"status_id":1,"priority_id":2,"assigned_to_id":23,"start_date":"2016-10-24","description":"","custom_fields":[{"id":1,"name":"Subdivision","value":"EC"},{"id":4,"name":"Milepost","value":"23.3304"},{"id":17,"name":"Train ID","value":"167-24"},{"id":16,"name":"Locomotive ID","value":"4053"},{"id":130,"name":"Impact","value":""},{"id":150,"name":"Time of Event (Mountain Time)","value":"12:40:38"},{"id":151,"name":"Denver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512</v>
      </c>
      <c r="B81" s="7">
        <v>4054</v>
      </c>
      <c r="C81" s="22" t="s">
        <v>99</v>
      </c>
      <c r="D81" s="22" t="s">
        <v>632</v>
      </c>
      <c r="E81" s="13">
        <v>42667.531747685185</v>
      </c>
      <c r="F81" s="13">
        <v>42667.539131944446</v>
      </c>
      <c r="G81" s="7">
        <v>1</v>
      </c>
      <c r="H81" s="13" t="s">
        <v>177</v>
      </c>
      <c r="I81" s="13">
        <v>42667.567511574074</v>
      </c>
      <c r="J81" s="7">
        <v>1</v>
      </c>
      <c r="K81" s="112" t="str">
        <f t="shared" si="29"/>
        <v>4053/4054</v>
      </c>
      <c r="L81" s="22" t="str">
        <f>VLOOKUP(A81,'Trips&amp;Operators'!$C$1:$E$10000,3,FALSE)</f>
        <v>CRAYTON</v>
      </c>
      <c r="M81" s="6">
        <f t="shared" si="30"/>
        <v>2.8379629628034309E-2</v>
      </c>
      <c r="N81" s="7">
        <f t="shared" si="31"/>
        <v>40.866666664369404</v>
      </c>
      <c r="O81" s="7"/>
      <c r="P81" s="7"/>
      <c r="Q81" s="23"/>
      <c r="R81" s="23"/>
      <c r="S81" s="35">
        <f t="shared" si="32"/>
        <v>1</v>
      </c>
      <c r="T81" s="50" t="str">
        <f t="shared" si="33"/>
        <v>Southbound</v>
      </c>
      <c r="U81" s="1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11:45:43-0600',mode:absolute,to:'2016-10-24 14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1" s="52" t="str">
        <f t="shared" si="21"/>
        <v>N</v>
      </c>
      <c r="X81" s="171">
        <f t="shared" si="27"/>
        <v>1</v>
      </c>
      <c r="Y81" s="67">
        <f t="shared" si="28"/>
        <v>23.2974</v>
      </c>
      <c r="Z81" s="67">
        <f t="shared" si="35"/>
        <v>1.52E-2</v>
      </c>
      <c r="AA81" s="67">
        <f t="shared" si="36"/>
        <v>23.2822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7"/>
        <v>0168-24</v>
      </c>
      <c r="AE81" s="91" t="str">
        <f t="shared" si="38"/>
        <v>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 &amp; 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</v>
      </c>
      <c r="AF81" s="88" t="str">
        <f t="shared" si="39"/>
        <v>"C:\Program Files (x86)\AstroGrep\AstroGrep.exe" /spath="%USERPROFILE%\AppData\Local\Temp\OnboardLogs" /stypes="app*4054*20161024*" /stext=" 19:.+((SYSTEM_STATE.+slice.+state.+changed )|(ment ac)|(system.+state.+changed )|(\[timeout)|(PRM\|1\|D)|(kpr)|(kdp)|(\|lc)|(penalty))" /e /r /s</v>
      </c>
      <c r="AG81" s="1" t="str">
        <f t="shared" si="40"/>
        <v>EC</v>
      </c>
      <c r="AH81" s="92" t="str">
        <f t="shared" si="41"/>
        <v>"%USERPROFILE%\Documents\GitHub\eaglep3\Utilities\RefineRTDCRunTimes.py" --tripid 168-24 --locoid 4054 --swversion DE.1.0.7.0 --startMP 204:232974 --initTime 2016-10-24T12:45:43 --startdatetime 2016-10-24T12:56:21 --delay 1 --endMP 204:152 --enddatetime 2016-10-24T13:37:13 --enforcementcount 1 &gt;&gt;C:\Users\stu\Documents\GitHub\eaglep3-reporting\EC\2016-10-24-refined-times.txt</v>
      </c>
      <c r="AI81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{"issue":{"subject":"","project_id":79,"tracker_id":40,"status_id":1,"priority_id":2,"assigned_to_id":23,"start_date":"2016-10-24","description":"","custom_fields":[{"id":1,"name":"Subdivision","value":"EC"},{"id":4,"name":"Milepost","value":"0.0152"},{"id":17,"name":"Train ID","value":"168-24"},{"id":16,"name":"Locomotive ID","value":"4054"},{"id":130,"name":"Impact","value":""},{"id":150,"name":"Time of Event (Mountain Time)","value":"13:37:13"},{"id":151,"name":"Denver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504</v>
      </c>
      <c r="B82" s="7">
        <v>4038</v>
      </c>
      <c r="C82" s="22" t="s">
        <v>99</v>
      </c>
      <c r="D82" s="22" t="s">
        <v>338</v>
      </c>
      <c r="E82" s="13">
        <v>42667.507708333331</v>
      </c>
      <c r="F82" s="13">
        <v>42667.511342592596</v>
      </c>
      <c r="G82" s="7">
        <v>1</v>
      </c>
      <c r="H82" s="13" t="s">
        <v>655</v>
      </c>
      <c r="I82" s="13">
        <v>42667.538206018522</v>
      </c>
      <c r="J82" s="7">
        <v>1</v>
      </c>
      <c r="K82" s="112" t="str">
        <f t="shared" si="29"/>
        <v>4037/4038</v>
      </c>
      <c r="L82" s="22" t="str">
        <f>VLOOKUP(A82,'Trips&amp;Operators'!$C$1:$E$10000,3,FALSE)</f>
        <v>OUN</v>
      </c>
      <c r="M82" s="6">
        <f t="shared" si="30"/>
        <v>2.6863425926421769E-2</v>
      </c>
      <c r="N82" s="7">
        <f t="shared" si="31"/>
        <v>38.683333334047347</v>
      </c>
      <c r="O82" s="7"/>
      <c r="P82" s="7"/>
      <c r="Q82" s="23"/>
      <c r="R82" s="23"/>
      <c r="S82" s="35">
        <f t="shared" si="32"/>
        <v>1</v>
      </c>
      <c r="T82" s="50" t="str">
        <f t="shared" si="33"/>
        <v>NorthBound</v>
      </c>
      <c r="U82" s="1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11:11:06-0600',mode:absolute,to:'2016-10-24 13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2" s="52" t="str">
        <f t="shared" si="21"/>
        <v>N</v>
      </c>
      <c r="X82" s="171">
        <f t="shared" si="27"/>
        <v>1</v>
      </c>
      <c r="Y82" s="67">
        <f t="shared" si="28"/>
        <v>4.5699999999999998E-2</v>
      </c>
      <c r="Z82" s="67">
        <f t="shared" si="35"/>
        <v>23.325299999999999</v>
      </c>
      <c r="AA82" s="67">
        <f t="shared" si="36"/>
        <v>23.279599999999999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7"/>
        <v>0169-24</v>
      </c>
      <c r="AE82" s="91" t="str">
        <f t="shared" si="38"/>
        <v>aws s3 cp s3://rtdc.mdm.uploadarchive.raw/RTDC4038/ "%USERPROFILE%\AppData\Local\Temp\OnboardLogs"\RTDC4038\2016-10-24 --exclude "*" --recursive --include "*20161024*" &amp; "%USERPROFILE%\Documents\GitHub\mrs-test-scripts\Headless Mode &amp; Sideloading\WalkAndUnGZ.bat" "%USERPROFILE%\AppData\Local\Temp\OnboardLogs"\RTDC4038\2016-10-24 &amp; aws s3 cp s3://rtdc.mdm.uploadarchive.raw/RTDC4038/ "%USERPROFILE%\AppData\Local\Temp\OnboardLogs"\RTDC4038\2016-10-25 --exclude "*" --recursive --include "*20161025*" &amp; "%USERPROFILE%\Documents\GitHub\mrs-test-scripts\Headless Mode &amp; Sideloading\WalkAndUnGZ.bat" "%USERPROFILE%\AppData\Local\Temp\OnboardLogs"\RTDC4038\2016-10-25</v>
      </c>
      <c r="AF82" s="88" t="str">
        <f t="shared" si="39"/>
        <v>"C:\Program Files (x86)\AstroGrep\AstroGrep.exe" /spath="%USERPROFILE%\AppData\Local\Temp\OnboardLogs" /stypes="app*4038*20161024*" /stext=" 18:.+((SYSTEM_STATE.+slice.+state.+changed )|(ment ac)|(system.+state.+changed )|(\[timeout)|(PRM\|1\|D)|(kpr)|(kdp)|(\|lc)|(penalty))" /e /r /s</v>
      </c>
      <c r="AG82" s="1" t="str">
        <f t="shared" si="40"/>
        <v>EC</v>
      </c>
      <c r="AH82" s="92" t="str">
        <f t="shared" si="41"/>
        <v>"%USERPROFILE%\Documents\GitHub\eaglep3\Utilities\RefineRTDCRunTimes.py" --tripid 169-24 --locoid 4038 --swversion DE.1.0.7.0 --startMP 204:457 --initTime 2016-10-24T12:11:06 --startdatetime 2016-10-24T12:16:20 --delay 1 --endMP 204:233253 --enddatetime 2016-10-24T12:55:01 --enforcementcount 1 &gt;&gt;C:\Users\stu\Documents\GitHub\eaglep3-reporting\EC\2016-10-24-refined-times.txt</v>
      </c>
      <c r="AI82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{"issue":{"subject":"","project_id":79,"tracker_id":40,"status_id":1,"priority_id":2,"assigned_to_id":23,"start_date":"2016-10-24","description":"","custom_fields":[{"id":1,"name":"Subdivision","value":"EC"},{"id":4,"name":"Milepost","value":"23.3253"},{"id":17,"name":"Train ID","value":"169-24"},{"id":16,"name":"Locomotive ID","value":"4038"},{"id":130,"name":"Impact","value":""},{"id":150,"name":"Time of Event (Mountain Time)","value":"12:55:01"},{"id":151,"name":"Denver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514</v>
      </c>
      <c r="B83" s="7">
        <v>4037</v>
      </c>
      <c r="C83" s="22" t="s">
        <v>99</v>
      </c>
      <c r="D83" s="22" t="s">
        <v>656</v>
      </c>
      <c r="E83" s="13">
        <v>42667.545914351853</v>
      </c>
      <c r="F83" s="13">
        <v>42667.549513888887</v>
      </c>
      <c r="G83" s="7">
        <v>1</v>
      </c>
      <c r="H83" s="13" t="s">
        <v>177</v>
      </c>
      <c r="I83" s="13">
        <v>42667.578969907408</v>
      </c>
      <c r="J83" s="7">
        <v>1</v>
      </c>
      <c r="K83" s="112" t="str">
        <f t="shared" si="29"/>
        <v>4037/4038</v>
      </c>
      <c r="L83" s="22" t="str">
        <f>VLOOKUP(A83,'Trips&amp;Operators'!$C$1:$E$10000,3,FALSE)</f>
        <v>OUN</v>
      </c>
      <c r="M83" s="6">
        <f t="shared" si="30"/>
        <v>2.9456018521159422E-2</v>
      </c>
      <c r="N83" s="7">
        <f t="shared" si="31"/>
        <v>42.416666670469567</v>
      </c>
      <c r="O83" s="7"/>
      <c r="P83" s="7"/>
      <c r="Q83" s="23"/>
      <c r="R83" s="23"/>
      <c r="S83" s="35">
        <f t="shared" si="32"/>
        <v>1</v>
      </c>
      <c r="T83" s="50" t="str">
        <f t="shared" si="33"/>
        <v>Southbound</v>
      </c>
      <c r="U83" s="1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12:06:07-0600',mode:absolute,to:'2016-10-24 14:53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3" s="52" t="str">
        <f t="shared" si="21"/>
        <v>N</v>
      </c>
      <c r="X83" s="171">
        <f t="shared" si="27"/>
        <v>1</v>
      </c>
      <c r="Y83" s="67">
        <f t="shared" si="28"/>
        <v>23.292999999999999</v>
      </c>
      <c r="Z83" s="67">
        <f t="shared" si="35"/>
        <v>1.52E-2</v>
      </c>
      <c r="AA83" s="67">
        <f t="shared" si="36"/>
        <v>23.277799999999999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7"/>
        <v>0170-24</v>
      </c>
      <c r="AE83" s="91" t="str">
        <f t="shared" si="38"/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AF83" s="88" t="str">
        <f t="shared" si="39"/>
        <v>"C:\Program Files (x86)\AstroGrep\AstroGrep.exe" /spath="%USERPROFILE%\AppData\Local\Temp\OnboardLogs" /stypes="app*4037*20161024*" /stext=" 19:.+((SYSTEM_STATE.+slice.+state.+changed )|(ment ac)|(system.+state.+changed )|(\[timeout)|(PRM\|1\|D)|(kpr)|(kdp)|(\|lc)|(penalty))" /e /r /s</v>
      </c>
      <c r="AG83" s="1" t="str">
        <f t="shared" si="40"/>
        <v>EC</v>
      </c>
      <c r="AH83" s="92" t="str">
        <f t="shared" si="41"/>
        <v>"%USERPROFILE%\Documents\GitHub\eaglep3\Utilities\RefineRTDCRunTimes.py" --tripid 170-24 --locoid 4037 --swversion DE.1.0.7.0 --startMP 204:232930 --initTime 2016-10-24T13:06:07 --startdatetime 2016-10-24T13:11:18 --delay 1 --endMP 204:152 --enddatetime 2016-10-24T13:53:43 --enforcementcount 1 &gt;&gt;C:\Users\stu\Documents\GitHub\eaglep3-reporting\EC\2016-10-24-refined-times.txt</v>
      </c>
      <c r="AI83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{"issue":{"subject":"","project_id":79,"tracker_id":40,"status_id":1,"priority_id":2,"assigned_to_id":23,"start_date":"2016-10-24","description":"","custom_fields":[{"id":1,"name":"Subdivision","value":"EC"},{"id":4,"name":"Milepost","value":"0.0152"},{"id":17,"name":"Train ID","value":"170-24"},{"id":16,"name":"Locomotive ID","value":"4037"},{"id":130,"name":"Impact","value":""},{"id":150,"name":"Time of Event (Mountain Time)","value":"13:53:43"},{"id":151,"name":"Denver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508</v>
      </c>
      <c r="B84" s="7">
        <v>4022</v>
      </c>
      <c r="C84" s="22" t="s">
        <v>99</v>
      </c>
      <c r="D84" s="22" t="s">
        <v>232</v>
      </c>
      <c r="E84" s="13">
        <v>42667.515659722223</v>
      </c>
      <c r="F84" s="13">
        <v>42667.521643518521</v>
      </c>
      <c r="G84" s="7">
        <v>1</v>
      </c>
      <c r="H84" s="13" t="s">
        <v>617</v>
      </c>
      <c r="I84" s="13">
        <v>42667.547569444447</v>
      </c>
      <c r="J84" s="7">
        <v>1</v>
      </c>
      <c r="K84" s="112" t="str">
        <f t="shared" si="29"/>
        <v>4021/4022</v>
      </c>
      <c r="L84" s="22" t="str">
        <f>VLOOKUP(A84,'Trips&amp;Operators'!$C$1:$E$10000,3,FALSE)</f>
        <v>MAHAN</v>
      </c>
      <c r="M84" s="6">
        <f t="shared" si="30"/>
        <v>2.5925925925548654E-2</v>
      </c>
      <c r="N84" s="7">
        <f t="shared" si="31"/>
        <v>37.333333332790062</v>
      </c>
      <c r="O84" s="7"/>
      <c r="P84" s="7"/>
      <c r="Q84" s="23"/>
      <c r="R84" s="23"/>
      <c r="S84" s="35">
        <f t="shared" si="32"/>
        <v>1</v>
      </c>
      <c r="T84" s="50" t="str">
        <f t="shared" si="33"/>
        <v>NorthBound</v>
      </c>
      <c r="U84" s="1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11:22:33-0600',mode:absolute,to:'2016-10-24 14:08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4" s="52" t="str">
        <f t="shared" si="21"/>
        <v>N</v>
      </c>
      <c r="X84" s="171">
        <f t="shared" si="27"/>
        <v>1</v>
      </c>
      <c r="Y84" s="67">
        <f t="shared" si="28"/>
        <v>4.4600000000000001E-2</v>
      </c>
      <c r="Z84" s="67">
        <f t="shared" si="35"/>
        <v>23.331900000000001</v>
      </c>
      <c r="AA84" s="67">
        <f t="shared" si="36"/>
        <v>23.287300000000002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7"/>
        <v>0171-24</v>
      </c>
      <c r="AE84" s="91" t="str">
        <f t="shared" si="38"/>
        <v>aws s3 cp s3://rtdc.mdm.uploadarchive.raw/RTDC4022/ "%USERPROFILE%\AppData\Local\Temp\OnboardLogs"\RTDC4022\2016-10-24 --exclude "*" --recursive --include "*20161024*" &amp; "%USERPROFILE%\Documents\GitHub\mrs-test-scripts\Headless Mode &amp; Sideloading\WalkAndUnGZ.bat" "%USERPROFILE%\AppData\Local\Temp\OnboardLogs"\RTDC4022\2016-10-24 &amp; aws s3 cp s3://rtdc.mdm.uploadarchive.raw/RTDC4022/ "%USERPROFILE%\AppData\Local\Temp\OnboardLogs"\RTDC4022\2016-10-25 --exclude "*" --recursive --include "*20161025*" &amp; "%USERPROFILE%\Documents\GitHub\mrs-test-scripts\Headless Mode &amp; Sideloading\WalkAndUnGZ.bat" "%USERPROFILE%\AppData\Local\Temp\OnboardLogs"\RTDC4022\2016-10-25</v>
      </c>
      <c r="AF84" s="88" t="str">
        <f t="shared" si="39"/>
        <v>"C:\Program Files (x86)\AstroGrep\AstroGrep.exe" /spath="%USERPROFILE%\AppData\Local\Temp\OnboardLogs" /stypes="app*4022*20161024*" /stext=" 19:.+((SYSTEM_STATE.+slice.+state.+changed )|(ment ac)|(system.+state.+changed )|(\[timeout)|(PRM\|1\|D)|(kpr)|(kdp)|(\|lc)|(penalty))" /e /r /s</v>
      </c>
      <c r="AG84" s="1" t="str">
        <f t="shared" si="40"/>
        <v>EC</v>
      </c>
      <c r="AH84" s="92" t="str">
        <f t="shared" si="41"/>
        <v>"%USERPROFILE%\Documents\GitHub\eaglep3\Utilities\RefineRTDCRunTimes.py" --tripid 171-24 --locoid 4022 --swversion DE.1.0.7.0 --startMP 204:446 --initTime 2016-10-24T12:22:33 --startdatetime 2016-10-24T12:31:10 --delay 1 --endMP 204:233319 --enddatetime 2016-10-24T13:08:30 --enforcementcount 1 &gt;&gt;C:\Users\stu\Documents\GitHub\eaglep3-reporting\EC\2016-10-24-refined-times.txt</v>
      </c>
      <c r="AI84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{"issue":{"subject":"","project_id":79,"tracker_id":40,"status_id":1,"priority_id":2,"assigned_to_id":23,"start_date":"2016-10-24","description":"","custom_fields":[{"id":1,"name":"Subdivision","value":"EC"},{"id":4,"name":"Milepost","value":"23.3319"},{"id":17,"name":"Train ID","value":"171-24"},{"id":16,"name":"Locomotive ID","value":"4022"},{"id":130,"name":"Impact","value":""},{"id":150,"name":"Time of Event (Mountain Time)","value":"13:08:30"},{"id":151,"name":"Denver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517</v>
      </c>
      <c r="B85" s="7">
        <v>4021</v>
      </c>
      <c r="C85" s="22" t="s">
        <v>99</v>
      </c>
      <c r="D85" s="22" t="s">
        <v>339</v>
      </c>
      <c r="E85" s="13">
        <v>42667.552384259259</v>
      </c>
      <c r="F85" s="13">
        <v>42667.56009259259</v>
      </c>
      <c r="G85" s="7">
        <v>1</v>
      </c>
      <c r="H85" s="13" t="s">
        <v>657</v>
      </c>
      <c r="I85" s="13">
        <v>42667.587071759262</v>
      </c>
      <c r="J85" s="7">
        <v>1</v>
      </c>
      <c r="K85" s="112" t="str">
        <f t="shared" si="29"/>
        <v>4021/4022</v>
      </c>
      <c r="L85" s="22" t="str">
        <f>VLOOKUP(A85,'Trips&amp;Operators'!$C$1:$E$10000,3,FALSE)</f>
        <v>MAHAN</v>
      </c>
      <c r="M85" s="6">
        <f t="shared" si="30"/>
        <v>2.697916667239042E-2</v>
      </c>
      <c r="N85" s="7">
        <f t="shared" si="31"/>
        <v>38.850000008242205</v>
      </c>
      <c r="O85" s="7"/>
      <c r="P85" s="7"/>
      <c r="Q85" s="23"/>
      <c r="R85" s="23"/>
      <c r="S85" s="35">
        <f t="shared" si="32"/>
        <v>1</v>
      </c>
      <c r="T85" s="50" t="str">
        <f t="shared" si="33"/>
        <v>Southbound</v>
      </c>
      <c r="U85" s="1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12:15:26-0600',mode:absolute,to:'2016-10-24 15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5" s="52" t="str">
        <f t="shared" ref="W85:W148" si="43">IF(AA85&lt;IF(AG85="EC",23,5.65),"Y","N")</f>
        <v>N</v>
      </c>
      <c r="X85" s="171">
        <f t="shared" ref="X85:X116" si="44">VALUE(LEFT(AD85,4))-VALUE(LEFT(AD84,4))</f>
        <v>1</v>
      </c>
      <c r="Y85" s="67">
        <f t="shared" si="28"/>
        <v>23.2987</v>
      </c>
      <c r="Z85" s="67">
        <f t="shared" si="35"/>
        <v>1.29E-2</v>
      </c>
      <c r="AA85" s="67">
        <f t="shared" si="36"/>
        <v>23.285800000000002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7"/>
        <v>0172-24</v>
      </c>
      <c r="AE85" s="91" t="str">
        <f t="shared" si="38"/>
        <v>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 &amp; aws s3 cp s3://rtdc.mdm.uploadarchive.raw/RTDC4021/ "%USERPROFILE%\AppData\Local\Temp\OnboardLogs"\RTDC4021\2016-10-25 --exclude "*" --recursive --include "*20161025*" &amp; "%USERPROFILE%\Documents\GitHub\mrs-test-scripts\Headless Mode &amp; Sideloading\WalkAndUnGZ.bat" "%USERPROFILE%\AppData\Local\Temp\OnboardLogs"\RTDC4021\2016-10-25</v>
      </c>
      <c r="AF85" s="88" t="str">
        <f t="shared" si="39"/>
        <v>"C:\Program Files (x86)\AstroGrep\AstroGrep.exe" /spath="%USERPROFILE%\AppData\Local\Temp\OnboardLogs" /stypes="app*4021*20161024*" /stext=" 20:.+((SYSTEM_STATE.+slice.+state.+changed )|(ment ac)|(system.+state.+changed )|(\[timeout)|(PRM\|1\|D)|(kpr)|(kdp)|(\|lc)|(penalty))" /e /r /s</v>
      </c>
      <c r="AG85" s="1" t="str">
        <f t="shared" si="40"/>
        <v>EC</v>
      </c>
      <c r="AH85" s="92" t="str">
        <f t="shared" si="41"/>
        <v>"%USERPROFILE%\Documents\GitHub\eaglep3\Utilities\RefineRTDCRunTimes.py" --tripid 172-24 --locoid 4021 --swversion DE.1.0.7.0 --startMP 204:232987 --initTime 2016-10-24T13:15:26 --startdatetime 2016-10-24T13:26:32 --delay 1 --endMP 204:129 --enddatetime 2016-10-24T14:05:23 --enforcementcount 1 &gt;&gt;C:\Users\stu\Documents\GitHub\eaglep3-reporting\EC\2016-10-24-refined-times.txt</v>
      </c>
      <c r="AI85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{"issue":{"subject":"","project_id":79,"tracker_id":40,"status_id":1,"priority_id":2,"assigned_to_id":23,"start_date":"2016-10-24","description":"","custom_fields":[{"id":1,"name":"Subdivision","value":"EC"},{"id":4,"name":"Milepost","value":"0.0129"},{"id":17,"name":"Train ID","value":"172-24"},{"id":16,"name":"Locomotive ID","value":"4021"},{"id":130,"name":"Impact","value":""},{"id":150,"name":"Time of Event (Mountain Time)","value":"14:05:23"},{"id":151,"name":"Denver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511</v>
      </c>
      <c r="B86" s="7">
        <v>4011</v>
      </c>
      <c r="C86" s="22" t="s">
        <v>99</v>
      </c>
      <c r="D86" s="22" t="s">
        <v>237</v>
      </c>
      <c r="E86" s="13">
        <v>42667.530949074076</v>
      </c>
      <c r="F86" s="13">
        <v>42667.532754629632</v>
      </c>
      <c r="G86" s="7">
        <v>1</v>
      </c>
      <c r="H86" s="13" t="s">
        <v>328</v>
      </c>
      <c r="I86" s="13">
        <v>42667.55741898148</v>
      </c>
      <c r="J86" s="7">
        <v>1</v>
      </c>
      <c r="K86" s="112" t="str">
        <f t="shared" si="29"/>
        <v>4011/4012</v>
      </c>
      <c r="L86" s="22" t="str">
        <f>VLOOKUP(A86,'Trips&amp;Operators'!$C$1:$E$10000,3,FALSE)</f>
        <v>STEWART</v>
      </c>
      <c r="M86" s="6">
        <f t="shared" si="30"/>
        <v>2.4664351847604848E-2</v>
      </c>
      <c r="N86" s="7">
        <f t="shared" si="31"/>
        <v>35.516666660550982</v>
      </c>
      <c r="O86" s="7"/>
      <c r="P86" s="7"/>
      <c r="Q86" s="23"/>
      <c r="R86" s="23"/>
      <c r="S86" s="35">
        <f t="shared" si="32"/>
        <v>1</v>
      </c>
      <c r="T86" s="50" t="str">
        <f t="shared" si="33"/>
        <v>NorthBound</v>
      </c>
      <c r="U86" s="1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11:44:34-0600',mode:absolute,to:'2016-10-24 14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6" s="52" t="str">
        <f t="shared" si="43"/>
        <v>N</v>
      </c>
      <c r="X86" s="171">
        <f t="shared" si="44"/>
        <v>1</v>
      </c>
      <c r="Y86" s="67">
        <f t="shared" si="28"/>
        <v>4.5100000000000001E-2</v>
      </c>
      <c r="Z86" s="67">
        <f t="shared" si="35"/>
        <v>23.328800000000001</v>
      </c>
      <c r="AA86" s="67">
        <f t="shared" si="36"/>
        <v>23.2837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7"/>
        <v>0173-24</v>
      </c>
      <c r="AE86" s="91" t="str">
        <f t="shared" si="38"/>
        <v>aws s3 cp s3://rtdc.mdm.uploadarchive.raw/RTDC4011/ "%USERPROFILE%\AppData\Local\Temp\OnboardLogs"\RTDC4011\2016-10-24 --exclude "*" --recursive --include "*20161024*" &amp; "%USERPROFILE%\Documents\GitHub\mrs-test-scripts\Headless Mode &amp; Sideloading\WalkAndUnGZ.bat" "%USERPROFILE%\AppData\Local\Temp\OnboardLogs"\RTDC4011\2016-10-24 &amp; 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</v>
      </c>
      <c r="AF86" s="88" t="str">
        <f t="shared" si="39"/>
        <v>"C:\Program Files (x86)\AstroGrep\AstroGrep.exe" /spath="%USERPROFILE%\AppData\Local\Temp\OnboardLogs" /stypes="app*4011*20161024*" /stext=" 19:.+((SYSTEM_STATE.+slice.+state.+changed )|(ment ac)|(system.+state.+changed )|(\[timeout)|(PRM\|1\|D)|(kpr)|(kdp)|(\|lc)|(penalty))" /e /r /s</v>
      </c>
      <c r="AG86" s="1" t="str">
        <f t="shared" si="40"/>
        <v>EC</v>
      </c>
      <c r="AH86" s="92" t="str">
        <f t="shared" si="41"/>
        <v>"%USERPROFILE%\Documents\GitHub\eaglep3\Utilities\RefineRTDCRunTimes.py" --tripid 173-24 --locoid 4011 --swversion DE.1.0.7.0 --startMP 204:451 --initTime 2016-10-24T12:44:34 --startdatetime 2016-10-24T12:47:10 --delay 1 --endMP 204:233288 --enddatetime 2016-10-24T13:22:41 --enforcementcount 1 &gt;&gt;C:\Users\stu\Documents\GitHub\eaglep3-reporting\EC\2016-10-24-refined-times.txt</v>
      </c>
      <c r="AI86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{"issue":{"subject":"","project_id":79,"tracker_id":40,"status_id":1,"priority_id":2,"assigned_to_id":23,"start_date":"2016-10-24","description":"","custom_fields":[{"id":1,"name":"Subdivision","value":"EC"},{"id":4,"name":"Milepost","value":"23.3288"},{"id":17,"name":"Train ID","value":"173-24"},{"id":16,"name":"Locomotive ID","value":"4011"},{"id":130,"name":"Impact","value":""},{"id":150,"name":"Time of Event (Mountain Time)","value":"13:22:41"},{"id":151,"name":"Denver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518</v>
      </c>
      <c r="B87" s="7">
        <v>4012</v>
      </c>
      <c r="C87" s="22" t="s">
        <v>99</v>
      </c>
      <c r="D87" s="22" t="s">
        <v>291</v>
      </c>
      <c r="E87" s="13">
        <v>42667.560694444444</v>
      </c>
      <c r="F87" s="13">
        <v>42667.570335648146</v>
      </c>
      <c r="G87" s="7">
        <v>1</v>
      </c>
      <c r="H87" s="13" t="s">
        <v>219</v>
      </c>
      <c r="I87" s="13">
        <v>42667.598622685182</v>
      </c>
      <c r="J87" s="7">
        <v>1</v>
      </c>
      <c r="K87" s="112" t="str">
        <f t="shared" si="29"/>
        <v>4011/4012</v>
      </c>
      <c r="L87" s="22" t="str">
        <f>VLOOKUP(A87,'Trips&amp;Operators'!$C$1:$E$10000,3,FALSE)</f>
        <v>STEWART</v>
      </c>
      <c r="M87" s="6">
        <f t="shared" si="30"/>
        <v>2.8287037035624962E-2</v>
      </c>
      <c r="N87" s="7">
        <f t="shared" si="31"/>
        <v>40.733333331299946</v>
      </c>
      <c r="O87" s="7"/>
      <c r="P87" s="7"/>
      <c r="Q87" s="23"/>
      <c r="R87" s="23"/>
      <c r="S87" s="35">
        <f t="shared" si="32"/>
        <v>1</v>
      </c>
      <c r="T87" s="50" t="str">
        <f t="shared" si="33"/>
        <v>Southbound</v>
      </c>
      <c r="U87" s="1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12:27:24-0600',mode:absolute,to:'2016-10-24 15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7" s="52" t="str">
        <f t="shared" si="43"/>
        <v>N</v>
      </c>
      <c r="X87" s="171">
        <f t="shared" si="44"/>
        <v>1</v>
      </c>
      <c r="Y87" s="67">
        <f t="shared" si="28"/>
        <v>23.298400000000001</v>
      </c>
      <c r="Z87" s="67">
        <f t="shared" si="35"/>
        <v>1.4500000000000001E-2</v>
      </c>
      <c r="AA87" s="67">
        <f t="shared" si="36"/>
        <v>23.283899999999999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7"/>
        <v>0174-24</v>
      </c>
      <c r="AE87" s="91" t="str">
        <f t="shared" si="38"/>
        <v>aws s3 cp s3://rtdc.mdm.uploadarchive.raw/RTDC4012/ "%USERPROFILE%\AppData\Local\Temp\OnboardLogs"\RTDC4012\2016-10-24 --exclude "*" --recursive --include "*20161024*" &amp; "%USERPROFILE%\Documents\GitHub\mrs-test-scripts\Headless Mode &amp; Sideloading\WalkAndUnGZ.bat" "%USERPROFILE%\AppData\Local\Temp\OnboardLogs"\RTDC4012\2016-10-24 &amp; aws s3 cp s3://rtdc.mdm.uploadarchive.raw/RTDC4012/ "%USERPROFILE%\AppData\Local\Temp\OnboardLogs"\RTDC4012\2016-10-25 --exclude "*" --recursive --include "*20161025*" &amp; "%USERPROFILE%\Documents\GitHub\mrs-test-scripts\Headless Mode &amp; Sideloading\WalkAndUnGZ.bat" "%USERPROFILE%\AppData\Local\Temp\OnboardLogs"\RTDC4012\2016-10-25</v>
      </c>
      <c r="AF87" s="88" t="str">
        <f t="shared" si="39"/>
        <v>"C:\Program Files (x86)\AstroGrep\AstroGrep.exe" /spath="%USERPROFILE%\AppData\Local\Temp\OnboardLogs" /stypes="app*4012*20161024*" /stext=" 20:.+((SYSTEM_STATE.+slice.+state.+changed )|(ment ac)|(system.+state.+changed )|(\[timeout)|(PRM\|1\|D)|(kpr)|(kdp)|(\|lc)|(penalty))" /e /r /s</v>
      </c>
      <c r="AG87" s="1" t="str">
        <f t="shared" si="40"/>
        <v>EC</v>
      </c>
      <c r="AH87" s="92" t="str">
        <f t="shared" si="41"/>
        <v>"%USERPROFILE%\Documents\GitHub\eaglep3\Utilities\RefineRTDCRunTimes.py" --tripid 174-24 --locoid 4012 --swversion DE.1.0.7.0 --startMP 204:232984 --initTime 2016-10-24T13:27:24 --startdatetime 2016-10-24T13:41:17 --delay 1 --endMP 204:145 --enddatetime 2016-10-24T14:22:01 --enforcementcount 1 &gt;&gt;C:\Users\stu\Documents\GitHub\eaglep3-reporting\EC\2016-10-24-refined-times.txt</v>
      </c>
      <c r="AI87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{"issue":{"subject":"","project_id":79,"tracker_id":40,"status_id":1,"priority_id":2,"assigned_to_id":23,"start_date":"2016-10-24","description":"","custom_fields":[{"id":1,"name":"Subdivision","value":"EC"},{"id":4,"name":"Milepost","value":"0.0145"},{"id":17,"name":"Train ID","value":"174-24"},{"id":16,"name":"Locomotive ID","value":"4012"},{"id":130,"name":"Impact","value":""},{"id":150,"name":"Time of Event (Mountain Time)","value":"14:22:01"},{"id":151,"name":"Denver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513</v>
      </c>
      <c r="B88" s="7">
        <v>4014</v>
      </c>
      <c r="C88" s="22" t="s">
        <v>99</v>
      </c>
      <c r="D88" s="22" t="s">
        <v>292</v>
      </c>
      <c r="E88" s="13">
        <v>42667.542210648149</v>
      </c>
      <c r="F88" s="13">
        <v>42667.544560185182</v>
      </c>
      <c r="G88" s="7">
        <v>1</v>
      </c>
      <c r="H88" s="13" t="s">
        <v>264</v>
      </c>
      <c r="I88" s="13">
        <v>42667.573217592595</v>
      </c>
      <c r="J88" s="7">
        <v>1</v>
      </c>
      <c r="K88" s="112" t="str">
        <f t="shared" si="29"/>
        <v>4013/4014</v>
      </c>
      <c r="L88" s="22" t="str">
        <f>VLOOKUP(A88,'Trips&amp;Operators'!$C$1:$E$10000,3,FALSE)</f>
        <v>SWANSON</v>
      </c>
      <c r="M88" s="6">
        <f t="shared" si="30"/>
        <v>2.8657407412538305E-2</v>
      </c>
      <c r="N88" s="7">
        <f t="shared" si="31"/>
        <v>41.266666674055159</v>
      </c>
      <c r="O88" s="7"/>
      <c r="P88" s="7"/>
      <c r="Q88" s="23"/>
      <c r="R88" s="23"/>
      <c r="S88" s="35">
        <f t="shared" si="32"/>
        <v>1</v>
      </c>
      <c r="T88" s="50" t="str">
        <f t="shared" si="33"/>
        <v>NorthBound</v>
      </c>
      <c r="U88" s="1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12:00:47-0600',mode:absolute,to:'2016-10-24 14:45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8" s="52" t="str">
        <f t="shared" si="43"/>
        <v>N</v>
      </c>
      <c r="X88" s="171">
        <f t="shared" si="44"/>
        <v>1</v>
      </c>
      <c r="Y88" s="67">
        <f t="shared" si="28"/>
        <v>4.6199999999999998E-2</v>
      </c>
      <c r="Z88" s="67">
        <f t="shared" si="35"/>
        <v>23.330400000000001</v>
      </c>
      <c r="AA88" s="67">
        <f t="shared" si="36"/>
        <v>23.284200000000002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7"/>
        <v>0175-24</v>
      </c>
      <c r="AE88" s="91" t="str">
        <f t="shared" si="38"/>
        <v>aws s3 cp s3://rtdc.mdm.uploadarchive.raw/RTDC4014/ "%USERPROFILE%\AppData\Local\Temp\OnboardLogs"\RTDC4014\2016-10-24 --exclude "*" --recursive --include "*20161024*" &amp; "%USERPROFILE%\Documents\GitHub\mrs-test-scripts\Headless Mode &amp; Sideloading\WalkAndUnGZ.bat" "%USERPROFILE%\AppData\Local\Temp\OnboardLogs"\RTDC4014\2016-10-24 &amp; aws s3 cp s3://rtdc.mdm.uploadarchive.raw/RTDC4014/ "%USERPROFILE%\AppData\Local\Temp\OnboardLogs"\RTDC4014\2016-10-25 --exclude "*" --recursive --include "*20161025*" &amp; "%USERPROFILE%\Documents\GitHub\mrs-test-scripts\Headless Mode &amp; Sideloading\WalkAndUnGZ.bat" "%USERPROFILE%\AppData\Local\Temp\OnboardLogs"\RTDC4014\2016-10-25</v>
      </c>
      <c r="AF88" s="88" t="str">
        <f t="shared" si="39"/>
        <v>"C:\Program Files (x86)\AstroGrep\AstroGrep.exe" /spath="%USERPROFILE%\AppData\Local\Temp\OnboardLogs" /stypes="app*4014*20161024*" /stext=" 19:.+((SYSTEM_STATE.+slice.+state.+changed )|(ment ac)|(system.+state.+changed )|(\[timeout)|(PRM\|1\|D)|(kpr)|(kdp)|(\|lc)|(penalty))" /e /r /s</v>
      </c>
      <c r="AG88" s="1" t="str">
        <f t="shared" si="40"/>
        <v>EC</v>
      </c>
      <c r="AH88" s="92" t="str">
        <f t="shared" si="41"/>
        <v>"%USERPROFILE%\Documents\GitHub\eaglep3\Utilities\RefineRTDCRunTimes.py" --tripid 175-24 --locoid 4014 --swversion DE.1.0.7.0 --startMP 204:462 --initTime 2016-10-24T13:00:47 --startdatetime 2016-10-24T13:04:10 --delay 1 --endMP 204:233304 --enddatetime 2016-10-24T13:45:26 --enforcementcount 1 &gt;&gt;C:\Users\stu\Documents\GitHub\eaglep3-reporting\EC\2016-10-24-refined-times.txt</v>
      </c>
      <c r="AI88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{"issue":{"subject":"","project_id":79,"tracker_id":40,"status_id":1,"priority_id":2,"assigned_to_id":23,"start_date":"2016-10-24","description":"","custom_fields":[{"id":1,"name":"Subdivision","value":"EC"},{"id":4,"name":"Milepost","value":"23.3304"},{"id":17,"name":"Train ID","value":"175-24"},{"id":16,"name":"Locomotive ID","value":"4014"},{"id":130,"name":"Impact","value":""},{"id":150,"name":"Time of Event (Mountain Time)","value":"13:45:26"},{"id":151,"name":"Denver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520</v>
      </c>
      <c r="B89" s="7">
        <v>4013</v>
      </c>
      <c r="C89" s="22" t="s">
        <v>99</v>
      </c>
      <c r="D89" s="22" t="s">
        <v>252</v>
      </c>
      <c r="E89" s="13">
        <v>42667.574675925927</v>
      </c>
      <c r="F89" s="13">
        <v>42667.580775462964</v>
      </c>
      <c r="G89" s="7">
        <v>1</v>
      </c>
      <c r="H89" s="13" t="s">
        <v>263</v>
      </c>
      <c r="I89" s="13">
        <v>42667.610219907408</v>
      </c>
      <c r="J89" s="7">
        <v>1</v>
      </c>
      <c r="K89" s="112" t="str">
        <f t="shared" si="29"/>
        <v>4013/4014</v>
      </c>
      <c r="L89" s="22" t="str">
        <f>VLOOKUP(A89,'Trips&amp;Operators'!$C$1:$E$10000,3,FALSE)</f>
        <v>SWANSON</v>
      </c>
      <c r="M89" s="6">
        <f t="shared" si="30"/>
        <v>2.9444444444379769E-2</v>
      </c>
      <c r="N89" s="7">
        <f t="shared" si="31"/>
        <v>42.399999999906868</v>
      </c>
      <c r="O89" s="7"/>
      <c r="P89" s="7"/>
      <c r="Q89" s="23"/>
      <c r="R89" s="23"/>
      <c r="S89" s="35">
        <f t="shared" si="32"/>
        <v>1</v>
      </c>
      <c r="T89" s="50" t="str">
        <f t="shared" si="33"/>
        <v>Southbound</v>
      </c>
      <c r="U89" s="1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12:47:32-0600',mode:absolute,to:'2016-10-24 15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9" s="52" t="str">
        <f t="shared" si="43"/>
        <v>N</v>
      </c>
      <c r="X89" s="171">
        <f t="shared" si="44"/>
        <v>1</v>
      </c>
      <c r="Y89" s="67">
        <f t="shared" si="28"/>
        <v>23.297699999999999</v>
      </c>
      <c r="Z89" s="67">
        <f t="shared" si="35"/>
        <v>1.3899999999999999E-2</v>
      </c>
      <c r="AA89" s="67">
        <f t="shared" si="36"/>
        <v>23.283799999999999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7"/>
        <v>0176-24</v>
      </c>
      <c r="AE89" s="91" t="str">
        <f t="shared" si="38"/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AF89" s="88" t="str">
        <f t="shared" si="39"/>
        <v>"C:\Program Files (x86)\AstroGrep\AstroGrep.exe" /spath="%USERPROFILE%\AppData\Local\Temp\OnboardLogs" /stypes="app*4013*20161024*" /stext=" 20:.+((SYSTEM_STATE.+slice.+state.+changed )|(ment ac)|(system.+state.+changed )|(\[timeout)|(PRM\|1\|D)|(kpr)|(kdp)|(\|lc)|(penalty))" /e /r /s</v>
      </c>
      <c r="AG89" s="1" t="str">
        <f t="shared" si="40"/>
        <v>EC</v>
      </c>
      <c r="AH89" s="92" t="str">
        <f t="shared" si="41"/>
        <v>"%USERPROFILE%\Documents\GitHub\eaglep3\Utilities\RefineRTDCRunTimes.py" --tripid 176-24 --locoid 4013 --swversion DE.1.0.7.0 --startMP 204:232977 --initTime 2016-10-24T13:47:32 --startdatetime 2016-10-24T13:56:19 --delay 1 --endMP 204:139 --enddatetime 2016-10-24T14:38:43 --enforcementcount 1 &gt;&gt;C:\Users\stu\Documents\GitHub\eaglep3-reporting\EC\2016-10-24-refined-times.txt</v>
      </c>
      <c r="AI89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{"issue":{"subject":"","project_id":79,"tracker_id":40,"status_id":1,"priority_id":2,"assigned_to_id":23,"start_date":"2016-10-24","description":"","custom_fields":[{"id":1,"name":"Subdivision","value":"EC"},{"id":4,"name":"Milepost","value":"0.0139"},{"id":17,"name":"Train ID","value":"176-24"},{"id":16,"name":"Locomotive ID","value":"4013"},{"id":130,"name":"Impact","value":""},{"id":150,"name":"Time of Event (Mountain Time)","value":"14:38:43"},{"id":151,"name":"Denver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516</v>
      </c>
      <c r="B90" s="7">
        <v>4016</v>
      </c>
      <c r="C90" s="22" t="s">
        <v>99</v>
      </c>
      <c r="D90" s="22" t="s">
        <v>225</v>
      </c>
      <c r="E90" s="13">
        <v>42667.549212962964</v>
      </c>
      <c r="F90" s="13">
        <v>42667.552442129629</v>
      </c>
      <c r="G90" s="7">
        <v>1</v>
      </c>
      <c r="H90" s="13" t="s">
        <v>373</v>
      </c>
      <c r="I90" s="13">
        <v>42667.579016203701</v>
      </c>
      <c r="J90" s="7">
        <v>1</v>
      </c>
      <c r="K90" s="112" t="str">
        <f t="shared" si="29"/>
        <v>4015/4016</v>
      </c>
      <c r="L90" s="22" t="str">
        <f>VLOOKUP(A90,'Trips&amp;Operators'!$C$1:$E$10000,3,FALSE)</f>
        <v>BONDS</v>
      </c>
      <c r="M90" s="6">
        <f t="shared" si="30"/>
        <v>2.6574074072414078E-2</v>
      </c>
      <c r="N90" s="7">
        <f t="shared" si="31"/>
        <v>38.266666664276272</v>
      </c>
      <c r="O90" s="7"/>
      <c r="P90" s="7"/>
      <c r="Q90" s="23"/>
      <c r="R90" s="23"/>
      <c r="S90" s="35">
        <f t="shared" si="32"/>
        <v>1</v>
      </c>
      <c r="T90" s="50" t="str">
        <f t="shared" si="33"/>
        <v>NorthBound</v>
      </c>
      <c r="U90" s="1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12:10:52-0600',mode:absolute,to:'2016-10-24 14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0" s="52" t="str">
        <f t="shared" si="43"/>
        <v>N</v>
      </c>
      <c r="X90" s="171">
        <f t="shared" si="44"/>
        <v>1</v>
      </c>
      <c r="Y90" s="67">
        <f t="shared" si="28"/>
        <v>4.4699999999999997E-2</v>
      </c>
      <c r="Z90" s="67">
        <f t="shared" si="35"/>
        <v>23.332599999999999</v>
      </c>
      <c r="AA90" s="67">
        <f t="shared" si="36"/>
        <v>23.2879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7"/>
        <v>0177-24</v>
      </c>
      <c r="AE90" s="91" t="str">
        <f t="shared" si="38"/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AF90" s="88" t="str">
        <f t="shared" si="39"/>
        <v>"C:\Program Files (x86)\AstroGrep\AstroGrep.exe" /spath="%USERPROFILE%\AppData\Local\Temp\OnboardLogs" /stypes="app*4016*20161024*" /stext=" 19:.+((SYSTEM_STATE.+slice.+state.+changed )|(ment ac)|(system.+state.+changed )|(\[timeout)|(PRM\|1\|D)|(kpr)|(kdp)|(\|lc)|(penalty))" /e /r /s</v>
      </c>
      <c r="AG90" s="1" t="str">
        <f t="shared" si="40"/>
        <v>EC</v>
      </c>
      <c r="AH90" s="92" t="str">
        <f t="shared" si="41"/>
        <v>"%USERPROFILE%\Documents\GitHub\eaglep3\Utilities\RefineRTDCRunTimes.py" --tripid 177-24 --locoid 4016 --swversion DE.1.0.7.0 --startMP 204:447 --initTime 2016-10-24T13:10:52 --startdatetime 2016-10-24T13:15:31 --delay 1 --endMP 204:233326 --enddatetime 2016-10-24T13:53:47 --enforcementcount 1 &gt;&gt;C:\Users\stu\Documents\GitHub\eaglep3-reporting\EC\2016-10-24-refined-times.txt</v>
      </c>
      <c r="AI90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{"issue":{"subject":"","project_id":79,"tracker_id":40,"status_id":1,"priority_id":2,"assigned_to_id":23,"start_date":"2016-10-24","description":"","custom_fields":[{"id":1,"name":"Subdivision","value":"EC"},{"id":4,"name":"Milepost","value":"23.3326"},{"id":17,"name":"Train ID","value":"177-24"},{"id":16,"name":"Locomotive ID","value":"4016"},{"id":130,"name":"Impact","value":""},{"id":150,"name":"Time of Event (Mountain Time)","value":"13:53:47"},{"id":151,"name":"Denver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523</v>
      </c>
      <c r="B91" s="7">
        <v>4015</v>
      </c>
      <c r="C91" s="22" t="s">
        <v>99</v>
      </c>
      <c r="D91" s="22" t="s">
        <v>291</v>
      </c>
      <c r="E91" s="13">
        <v>42667.584247685183</v>
      </c>
      <c r="F91" s="13">
        <v>42667.591469907406</v>
      </c>
      <c r="G91" s="7">
        <v>1</v>
      </c>
      <c r="H91" s="13" t="s">
        <v>224</v>
      </c>
      <c r="I91" s="13">
        <v>42667.619733796295</v>
      </c>
      <c r="J91" s="7">
        <v>1</v>
      </c>
      <c r="K91" s="112" t="str">
        <f t="shared" si="29"/>
        <v>4015/4016</v>
      </c>
      <c r="L91" s="22" t="str">
        <f>VLOOKUP(A91,'Trips&amp;Operators'!$C$1:$E$10000,3,FALSE)</f>
        <v>BONDS</v>
      </c>
      <c r="M91" s="6">
        <f t="shared" si="30"/>
        <v>2.8263888889341615E-2</v>
      </c>
      <c r="N91" s="7">
        <f t="shared" si="31"/>
        <v>40.700000000651926</v>
      </c>
      <c r="O91" s="7"/>
      <c r="P91" s="7"/>
      <c r="Q91" s="23"/>
      <c r="R91" s="23"/>
      <c r="S91" s="35">
        <f t="shared" si="32"/>
        <v>1</v>
      </c>
      <c r="T91" s="50" t="str">
        <f t="shared" si="33"/>
        <v>Southbound</v>
      </c>
      <c r="U91" s="1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13:01:19-0600',mode:absolute,to:'2016-10-24 15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1" s="52" t="str">
        <f t="shared" si="43"/>
        <v>N</v>
      </c>
      <c r="X91" s="171">
        <f t="shared" si="44"/>
        <v>1</v>
      </c>
      <c r="Y91" s="67">
        <f t="shared" si="28"/>
        <v>23.298400000000001</v>
      </c>
      <c r="Z91" s="67">
        <f t="shared" si="35"/>
        <v>1.4999999999999999E-2</v>
      </c>
      <c r="AA91" s="67">
        <f t="shared" si="36"/>
        <v>23.2834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7"/>
        <v>0178-24</v>
      </c>
      <c r="AE91" s="91" t="str">
        <f t="shared" si="38"/>
        <v>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 &amp; 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</v>
      </c>
      <c r="AF91" s="88" t="str">
        <f t="shared" si="39"/>
        <v>"C:\Program Files (x86)\AstroGrep\AstroGrep.exe" /spath="%USERPROFILE%\AppData\Local\Temp\OnboardLogs" /stypes="app*4015*20161024*" /stext=" 20:.+((SYSTEM_STATE.+slice.+state.+changed )|(ment ac)|(system.+state.+changed )|(\[timeout)|(PRM\|1\|D)|(kpr)|(kdp)|(\|lc)|(penalty))" /e /r /s</v>
      </c>
      <c r="AG91" s="1" t="str">
        <f t="shared" si="40"/>
        <v>EC</v>
      </c>
      <c r="AH91" s="92" t="str">
        <f t="shared" si="41"/>
        <v>"%USERPROFILE%\Documents\GitHub\eaglep3\Utilities\RefineRTDCRunTimes.py" --tripid 178-24 --locoid 4015 --swversion DE.1.0.7.0 --startMP 204:232984 --initTime 2016-10-24T14:01:19 --startdatetime 2016-10-24T14:11:43 --delay 1 --endMP 204:150 --enddatetime 2016-10-24T14:52:25 --enforcementcount 1 &gt;&gt;C:\Users\stu\Documents\GitHub\eaglep3-reporting\EC\2016-10-24-refined-times.txt</v>
      </c>
      <c r="AI91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{"issue":{"subject":"","project_id":79,"tracker_id":40,"status_id":1,"priority_id":2,"assigned_to_id":23,"start_date":"2016-10-24","description":"","custom_fields":[{"id":1,"name":"Subdivision","value":"EC"},{"id":4,"name":"Milepost","value":"0.015"},{"id":17,"name":"Train ID","value":"178-24"},{"id":16,"name":"Locomotive ID","value":"4015"},{"id":130,"name":"Impact","value":""},{"id":150,"name":"Time of Event (Mountain Time)","value":"14:52:25"},{"id":151,"name":"Denver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419</v>
      </c>
      <c r="B92" s="7">
        <v>4018</v>
      </c>
      <c r="C92" s="22" t="s">
        <v>99</v>
      </c>
      <c r="D92" s="22" t="s">
        <v>375</v>
      </c>
      <c r="E92" s="13">
        <v>42667.559756944444</v>
      </c>
      <c r="F92" s="13">
        <v>42667.562743055554</v>
      </c>
      <c r="G92" s="7">
        <v>1</v>
      </c>
      <c r="H92" s="13" t="s">
        <v>297</v>
      </c>
      <c r="I92" s="13">
        <v>42667.590636574074</v>
      </c>
      <c r="J92" s="7">
        <v>1</v>
      </c>
      <c r="K92" s="112" t="str">
        <f t="shared" si="29"/>
        <v>4017/4018</v>
      </c>
      <c r="L92" s="22" t="str">
        <f>VLOOKUP(A92,'Trips&amp;Operators'!$C$1:$E$10000,3,FALSE)</f>
        <v>CLARK</v>
      </c>
      <c r="M92" s="6">
        <f t="shared" si="30"/>
        <v>2.789351851970423E-2</v>
      </c>
      <c r="N92" s="7">
        <f t="shared" si="31"/>
        <v>40.166666668374091</v>
      </c>
      <c r="O92" s="7"/>
      <c r="P92" s="7"/>
      <c r="Q92" s="23"/>
      <c r="R92" s="23"/>
      <c r="S92" s="35">
        <f t="shared" si="32"/>
        <v>1</v>
      </c>
      <c r="T92" s="50" t="str">
        <f t="shared" si="33"/>
        <v>NorthBound</v>
      </c>
      <c r="U92" s="1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12:26:03-0600',mode:absolute,to:'2016-10-24 15:10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2" s="52" t="str">
        <f t="shared" si="43"/>
        <v>N</v>
      </c>
      <c r="X92" s="171">
        <f t="shared" si="44"/>
        <v>1</v>
      </c>
      <c r="Y92" s="67">
        <f t="shared" si="28"/>
        <v>4.3700000000000003E-2</v>
      </c>
      <c r="Z92" s="67">
        <f t="shared" si="35"/>
        <v>23.331</v>
      </c>
      <c r="AA92" s="67">
        <f t="shared" si="36"/>
        <v>23.287299999999998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7"/>
        <v>0179-24</v>
      </c>
      <c r="AE92" s="91" t="str">
        <f t="shared" si="38"/>
        <v>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 &amp; aws s3 cp s3://rtdc.mdm.uploadarchive.raw/RTDC4018/ "%USERPROFILE%\AppData\Local\Temp\OnboardLogs"\RTDC4018\2016-10-25 --exclude "*" --recursive --include "*20161025*" &amp; "%USERPROFILE%\Documents\GitHub\mrs-test-scripts\Headless Mode &amp; Sideloading\WalkAndUnGZ.bat" "%USERPROFILE%\AppData\Local\Temp\OnboardLogs"\RTDC4018\2016-10-25</v>
      </c>
      <c r="AF92" s="88" t="str">
        <f t="shared" si="39"/>
        <v>"C:\Program Files (x86)\AstroGrep\AstroGrep.exe" /spath="%USERPROFILE%\AppData\Local\Temp\OnboardLogs" /stypes="app*4018*20161024*" /stext=" 20:.+((SYSTEM_STATE.+slice.+state.+changed )|(ment ac)|(system.+state.+changed )|(\[timeout)|(PRM\|1\|D)|(kpr)|(kdp)|(\|lc)|(penalty))" /e /r /s</v>
      </c>
      <c r="AG92" s="1" t="str">
        <f t="shared" si="40"/>
        <v>EC</v>
      </c>
      <c r="AH92" s="92" t="str">
        <f t="shared" si="41"/>
        <v>"%USERPROFILE%\Documents\GitHub\eaglep3\Utilities\RefineRTDCRunTimes.py" --tripid 179-24 --locoid 4018 --swversion DE.1.0.7.0 --startMP 204:437 --initTime 2016-10-24T13:26:03 --startdatetime 2016-10-24T13:30:21 --delay 1 --endMP 204:233310 --enddatetime 2016-10-24T14:10:31 --enforcementcount 1 &gt;&gt;C:\Users\stu\Documents\GitHub\eaglep3-reporting\EC\2016-10-24-refined-times.txt</v>
      </c>
      <c r="AI92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{"issue":{"subject":"","project_id":79,"tracker_id":40,"status_id":1,"priority_id":2,"assigned_to_id":23,"start_date":"2016-10-24","description":"","custom_fields":[{"id":1,"name":"Subdivision","value":"EC"},{"id":4,"name":"Milepost","value":"23.331"},{"id":17,"name":"Train ID","value":"179-24"},{"id":16,"name":"Locomotive ID","value":"4018"},{"id":130,"name":"Impact","value":""},{"id":150,"name":"Time of Event (Mountain Time)","value":"14:10:31"},{"id":151,"name":"Denver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525</v>
      </c>
      <c r="B93" s="7">
        <v>4017</v>
      </c>
      <c r="C93" s="22" t="s">
        <v>99</v>
      </c>
      <c r="D93" s="22" t="s">
        <v>372</v>
      </c>
      <c r="E93" s="13">
        <v>42667.598333333335</v>
      </c>
      <c r="F93" s="13">
        <v>42667.6015625</v>
      </c>
      <c r="G93" s="7">
        <v>1</v>
      </c>
      <c r="H93" s="13" t="s">
        <v>272</v>
      </c>
      <c r="I93" s="13">
        <v>42667.63076388889</v>
      </c>
      <c r="J93" s="7">
        <v>1</v>
      </c>
      <c r="K93" s="112" t="str">
        <f t="shared" si="29"/>
        <v>4017/4018</v>
      </c>
      <c r="L93" s="22" t="str">
        <f>VLOOKUP(A93,'Trips&amp;Operators'!$C$1:$E$10000,3,FALSE)</f>
        <v>CLARK</v>
      </c>
      <c r="M93" s="6">
        <f t="shared" si="30"/>
        <v>2.920138889021473E-2</v>
      </c>
      <c r="N93" s="7">
        <f t="shared" si="31"/>
        <v>42.050000001909211</v>
      </c>
      <c r="O93" s="7"/>
      <c r="P93" s="7"/>
      <c r="Q93" s="23"/>
      <c r="R93" s="23"/>
      <c r="S93" s="35">
        <f t="shared" si="32"/>
        <v>1</v>
      </c>
      <c r="T93" s="50" t="str">
        <f t="shared" si="33"/>
        <v>Southbound</v>
      </c>
      <c r="U93" s="1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13:21:36-0600',mode:absolute,to:'2016-10-24 16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3" s="52" t="str">
        <f t="shared" si="43"/>
        <v>N</v>
      </c>
      <c r="X93" s="171">
        <f t="shared" si="44"/>
        <v>1</v>
      </c>
      <c r="Y93" s="67">
        <f t="shared" si="28"/>
        <v>23.299600000000002</v>
      </c>
      <c r="Z93" s="67">
        <f t="shared" si="35"/>
        <v>1.38E-2</v>
      </c>
      <c r="AA93" s="67">
        <f t="shared" si="36"/>
        <v>23.285800000000002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7"/>
        <v>0180-24</v>
      </c>
      <c r="AE93" s="91" t="str">
        <f t="shared" si="38"/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AF93" s="88" t="str">
        <f t="shared" si="39"/>
        <v>"C:\Program Files (x86)\AstroGrep\AstroGrep.exe" /spath="%USERPROFILE%\AppData\Local\Temp\OnboardLogs" /stypes="app*4017*20161024*" /stext=" 21:.+((SYSTEM_STATE.+slice.+state.+changed )|(ment ac)|(system.+state.+changed )|(\[timeout)|(PRM\|1\|D)|(kpr)|(kdp)|(\|lc)|(penalty))" /e /r /s</v>
      </c>
      <c r="AG93" s="1" t="str">
        <f t="shared" si="40"/>
        <v>EC</v>
      </c>
      <c r="AH93" s="92" t="str">
        <f t="shared" si="41"/>
        <v>"%USERPROFILE%\Documents\GitHub\eaglep3\Utilities\RefineRTDCRunTimes.py" --tripid 180-24 --locoid 4017 --swversion DE.1.0.7.0 --startMP 204:232996 --initTime 2016-10-24T14:21:36 --startdatetime 2016-10-24T14:26:15 --delay 1 --endMP 204:138 --enddatetime 2016-10-24T15:08:18 --enforcementcount 1 &gt;&gt;C:\Users\stu\Documents\GitHub\eaglep3-reporting\EC\2016-10-24-refined-times.txt</v>
      </c>
      <c r="AI93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{"issue":{"subject":"","project_id":79,"tracker_id":40,"status_id":1,"priority_id":2,"assigned_to_id":23,"start_date":"2016-10-24","description":"","custom_fields":[{"id":1,"name":"Subdivision","value":"EC"},{"id":4,"name":"Milepost","value":"0.0138"},{"id":17,"name":"Train ID","value":"180-24"},{"id":16,"name":"Locomotive ID","value":"4017"},{"id":130,"name":"Impact","value":""},{"id":150,"name":"Time of Event (Mountain Time)","value":"15:08:18"},{"id":151,"name":"Denver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519</v>
      </c>
      <c r="B94" s="7">
        <v>4053</v>
      </c>
      <c r="C94" s="22" t="s">
        <v>99</v>
      </c>
      <c r="D94" s="22" t="s">
        <v>235</v>
      </c>
      <c r="E94" s="13">
        <v>42667.571076388886</v>
      </c>
      <c r="F94" s="13">
        <v>42667.573622685188</v>
      </c>
      <c r="G94" s="7">
        <v>1</v>
      </c>
      <c r="H94" s="13" t="s">
        <v>195</v>
      </c>
      <c r="I94" s="13">
        <v>42667.599629629629</v>
      </c>
      <c r="J94" s="7">
        <v>1</v>
      </c>
      <c r="K94" s="112" t="str">
        <f t="shared" si="29"/>
        <v>4053/4054</v>
      </c>
      <c r="L94" s="22" t="str">
        <f>VLOOKUP(A94,'Trips&amp;Operators'!$C$1:$E$10000,3,FALSE)</f>
        <v>YOUNG</v>
      </c>
      <c r="M94" s="6">
        <f t="shared" si="30"/>
        <v>2.6006944441178348E-2</v>
      </c>
      <c r="N94" s="7">
        <f t="shared" si="31"/>
        <v>37.449999995296821</v>
      </c>
      <c r="O94" s="7"/>
      <c r="P94" s="7"/>
      <c r="Q94" s="23"/>
      <c r="R94" s="23"/>
      <c r="S94" s="35">
        <f t="shared" si="32"/>
        <v>1</v>
      </c>
      <c r="T94" s="50" t="str">
        <f t="shared" si="33"/>
        <v>NorthBound</v>
      </c>
      <c r="U94" s="1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12:42:21-0600',mode:absolute,to:'2016-10-24 15:23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4" s="52" t="str">
        <f t="shared" si="43"/>
        <v>N</v>
      </c>
      <c r="X94" s="171">
        <f t="shared" si="44"/>
        <v>1</v>
      </c>
      <c r="Y94" s="67">
        <f t="shared" si="28"/>
        <v>4.5999999999999999E-2</v>
      </c>
      <c r="Z94" s="67">
        <f t="shared" si="35"/>
        <v>23.329699999999999</v>
      </c>
      <c r="AA94" s="67">
        <f t="shared" si="36"/>
        <v>23.2837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7"/>
        <v>0181-24</v>
      </c>
      <c r="AE94" s="91" t="str">
        <f t="shared" si="38"/>
        <v>aws s3 cp s3://rtdc.mdm.uploadarchive.raw/RTDC4053/ "%USERPROFILE%\AppData\Local\Temp\OnboardLogs"\RTDC4053\2016-10-24 --exclude "*" --recursive --include "*20161024*" &amp; "%USERPROFILE%\Documents\GitHub\mrs-test-scripts\Headless Mode &amp; Sideloading\WalkAndUnGZ.bat" "%USERPROFILE%\AppData\Local\Temp\OnboardLogs"\RTDC4053\2016-10-24 &amp; 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</v>
      </c>
      <c r="AF94" s="88" t="str">
        <f t="shared" si="39"/>
        <v>"C:\Program Files (x86)\AstroGrep\AstroGrep.exe" /spath="%USERPROFILE%\AppData\Local\Temp\OnboardLogs" /stypes="app*4053*20161024*" /stext=" 20:.+((SYSTEM_STATE.+slice.+state.+changed )|(ment ac)|(system.+state.+changed )|(\[timeout)|(PRM\|1\|D)|(kpr)|(kdp)|(\|lc)|(penalty))" /e /r /s</v>
      </c>
      <c r="AG94" s="1" t="str">
        <f t="shared" si="40"/>
        <v>EC</v>
      </c>
      <c r="AH94" s="92" t="str">
        <f t="shared" si="41"/>
        <v>"%USERPROFILE%\Documents\GitHub\eaglep3\Utilities\RefineRTDCRunTimes.py" --tripid 181-24 --locoid 4053 --swversion DE.1.0.7.0 --startMP 204:460 --initTime 2016-10-24T13:42:21 --startdatetime 2016-10-24T13:46:01 --delay 1 --endMP 204:233297 --enddatetime 2016-10-24T14:23:28 --enforcementcount 1 &gt;&gt;C:\Users\stu\Documents\GitHub\eaglep3-reporting\EC\2016-10-24-refined-times.txt</v>
      </c>
      <c r="AI94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{"issue":{"subject":"","project_id":79,"tracker_id":40,"status_id":1,"priority_id":2,"assigned_to_id":23,"start_date":"2016-10-24","description":"","custom_fields":[{"id":1,"name":"Subdivision","value":"EC"},{"id":4,"name":"Milepost","value":"23.3297"},{"id":17,"name":"Train ID","value":"181-24"},{"id":16,"name":"Locomotive ID","value":"4053"},{"id":130,"name":"Impact","value":""},{"id":150,"name":"Time of Event (Mountain Time)","value":"14:23:28"},{"id":151,"name":"Denver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527</v>
      </c>
      <c r="B95" s="7">
        <v>4054</v>
      </c>
      <c r="C95" s="22" t="s">
        <v>99</v>
      </c>
      <c r="D95" s="22" t="s">
        <v>658</v>
      </c>
      <c r="E95" s="13">
        <v>42667.603530092594</v>
      </c>
      <c r="F95" s="13">
        <v>42667.612245370372</v>
      </c>
      <c r="G95" s="7">
        <v>1</v>
      </c>
      <c r="H95" s="13" t="s">
        <v>659</v>
      </c>
      <c r="I95" s="13">
        <v>42667.640601851854</v>
      </c>
      <c r="J95" s="7">
        <v>1</v>
      </c>
      <c r="K95" s="112" t="str">
        <f t="shared" si="29"/>
        <v>4053/4054</v>
      </c>
      <c r="L95" s="22" t="str">
        <f>VLOOKUP(A95,'Trips&amp;Operators'!$C$1:$E$10000,3,FALSE)</f>
        <v>YOUNG</v>
      </c>
      <c r="M95" s="6">
        <f t="shared" si="30"/>
        <v>2.8356481481750961E-2</v>
      </c>
      <c r="N95" s="7">
        <f t="shared" si="31"/>
        <v>40.833333333721384</v>
      </c>
      <c r="O95" s="7"/>
      <c r="P95" s="7"/>
      <c r="Q95" s="23"/>
      <c r="R95" s="23"/>
      <c r="S95" s="35">
        <f t="shared" si="32"/>
        <v>1</v>
      </c>
      <c r="T95" s="50" t="str">
        <f t="shared" si="33"/>
        <v>Southbound</v>
      </c>
      <c r="U95" s="1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13:29:05-0600',mode:absolute,to:'2016-10-24 16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5" s="52" t="str">
        <f t="shared" si="43"/>
        <v>N</v>
      </c>
      <c r="X95" s="171">
        <f t="shared" si="44"/>
        <v>1</v>
      </c>
      <c r="Y95" s="67">
        <f t="shared" si="28"/>
        <v>23.297999999999998</v>
      </c>
      <c r="Z95" s="67">
        <f t="shared" si="35"/>
        <v>1.6899999999999998E-2</v>
      </c>
      <c r="AA95" s="67">
        <f t="shared" si="36"/>
        <v>23.281099999999999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7"/>
        <v>0182-24</v>
      </c>
      <c r="AE95" s="91" t="str">
        <f t="shared" si="38"/>
        <v>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 &amp; 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</v>
      </c>
      <c r="AF95" s="88" t="str">
        <f t="shared" si="39"/>
        <v>"C:\Program Files (x86)\AstroGrep\AstroGrep.exe" /spath="%USERPROFILE%\AppData\Local\Temp\OnboardLogs" /stypes="app*4054*20161024*" /stext=" 21:.+((SYSTEM_STATE.+slice.+state.+changed )|(ment ac)|(system.+state.+changed )|(\[timeout)|(PRM\|1\|D)|(kpr)|(kdp)|(\|lc)|(penalty))" /e /r /s</v>
      </c>
      <c r="AG95" s="1" t="str">
        <f t="shared" si="40"/>
        <v>EC</v>
      </c>
      <c r="AH95" s="92" t="str">
        <f t="shared" si="41"/>
        <v>"%USERPROFILE%\Documents\GitHub\eaglep3\Utilities\RefineRTDCRunTimes.py" --tripid 182-24 --locoid 4054 --swversion DE.1.0.7.0 --startMP 204:232980 --initTime 2016-10-24T14:29:05 --startdatetime 2016-10-24T14:41:38 --delay 1 --endMP 204:169 --enddatetime 2016-10-24T15:22:28 --enforcementcount 1 &gt;&gt;C:\Users\stu\Documents\GitHub\eaglep3-reporting\EC\2016-10-24-refined-times.txt</v>
      </c>
      <c r="AI95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{"issue":{"subject":"","project_id":79,"tracker_id":40,"status_id":1,"priority_id":2,"assigned_to_id":23,"start_date":"2016-10-24","description":"","custom_fields":[{"id":1,"name":"Subdivision","value":"EC"},{"id":4,"name":"Milepost","value":"0.0169"},{"id":17,"name":"Train ID","value":"182-24"},{"id":16,"name":"Locomotive ID","value":"4054"},{"id":130,"name":"Impact","value":""},{"id":150,"name":"Time of Event (Mountain Time)","value":"15:22:28"},{"id":151,"name":"Denver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521</v>
      </c>
      <c r="B96" s="7">
        <v>4038</v>
      </c>
      <c r="C96" s="22" t="s">
        <v>99</v>
      </c>
      <c r="D96" s="22" t="s">
        <v>230</v>
      </c>
      <c r="E96" s="13">
        <v>42667.581365740742</v>
      </c>
      <c r="F96" s="13">
        <v>42667.584398148145</v>
      </c>
      <c r="G96" s="7">
        <v>3</v>
      </c>
      <c r="H96" s="13" t="s">
        <v>297</v>
      </c>
      <c r="I96" s="13">
        <v>42667.609826388885</v>
      </c>
      <c r="J96" s="7">
        <v>1</v>
      </c>
      <c r="K96" s="112" t="str">
        <f t="shared" si="29"/>
        <v>4037/4038</v>
      </c>
      <c r="L96" s="22" t="str">
        <f>VLOOKUP(A96,'Trips&amp;Operators'!$C$1:$E$10000,3,FALSE)</f>
        <v>HELVIE</v>
      </c>
      <c r="M96" s="6">
        <f t="shared" si="30"/>
        <v>2.5428240740438923E-2</v>
      </c>
      <c r="N96" s="7">
        <f t="shared" si="31"/>
        <v>36.616666666232049</v>
      </c>
      <c r="O96" s="7"/>
      <c r="P96" s="7"/>
      <c r="Q96" s="23"/>
      <c r="R96" s="23"/>
      <c r="S96" s="35">
        <f t="shared" si="32"/>
        <v>1</v>
      </c>
      <c r="T96" s="50" t="str">
        <f t="shared" si="33"/>
        <v>NorthBound</v>
      </c>
      <c r="U96" s="1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12:57:10-0600',mode:absolute,to:'2016-10-24 15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6" s="52" t="str">
        <f t="shared" si="43"/>
        <v>N</v>
      </c>
      <c r="X96" s="171">
        <f t="shared" si="44"/>
        <v>1</v>
      </c>
      <c r="Y96" s="67">
        <f t="shared" si="28"/>
        <v>4.6600000000000003E-2</v>
      </c>
      <c r="Z96" s="67">
        <f t="shared" si="35"/>
        <v>23.331</v>
      </c>
      <c r="AA96" s="67">
        <f t="shared" si="36"/>
        <v>23.284399999999998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7"/>
        <v>0183-24</v>
      </c>
      <c r="AE96" s="91" t="str">
        <f t="shared" si="38"/>
        <v>aws s3 cp s3://rtdc.mdm.uploadarchive.raw/RTDC4038/ "%USERPROFILE%\AppData\Local\Temp\OnboardLogs"\RTDC4038\2016-10-24 --exclude "*" --recursive --include "*20161024*" &amp; "%USERPROFILE%\Documents\GitHub\mrs-test-scripts\Headless Mode &amp; Sideloading\WalkAndUnGZ.bat" "%USERPROFILE%\AppData\Local\Temp\OnboardLogs"\RTDC4038\2016-10-24 &amp; aws s3 cp s3://rtdc.mdm.uploadarchive.raw/RTDC4038/ "%USERPROFILE%\AppData\Local\Temp\OnboardLogs"\RTDC4038\2016-10-25 --exclude "*" --recursive --include "*20161025*" &amp; "%USERPROFILE%\Documents\GitHub\mrs-test-scripts\Headless Mode &amp; Sideloading\WalkAndUnGZ.bat" "%USERPROFILE%\AppData\Local\Temp\OnboardLogs"\RTDC4038\2016-10-25</v>
      </c>
      <c r="AF96" s="88" t="str">
        <f t="shared" si="39"/>
        <v>"C:\Program Files (x86)\AstroGrep\AstroGrep.exe" /spath="%USERPROFILE%\AppData\Local\Temp\OnboardLogs" /stypes="app*4038*20161024*" /stext=" 20:.+((SYSTEM_STATE.+slice.+state.+changed )|(ment ac)|(system.+state.+changed )|(\[timeout)|(PRM\|1\|D)|(kpr)|(kdp)|(\|lc)|(penalty))" /e /r /s</v>
      </c>
      <c r="AG96" s="1" t="str">
        <f t="shared" si="40"/>
        <v>EC</v>
      </c>
      <c r="AH96" s="92" t="str">
        <f t="shared" si="41"/>
        <v>"%USERPROFILE%\Documents\GitHub\eaglep3\Utilities\RefineRTDCRunTimes.py" --tripid 183-24 --locoid 4038 --swversion DE.1.0.7.0 --startMP 204:466 --initTime 2016-10-24T13:57:10 --startdatetime 2016-10-24T14:01:32 --delay 3 --endMP 204:233310 --enddatetime 2016-10-24T14:38:09 --enforcementcount 1 &gt;&gt;C:\Users\stu\Documents\GitHub\eaglep3-reporting\EC\2016-10-24-refined-times.txt</v>
      </c>
      <c r="AI96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{"issue":{"subject":"","project_id":79,"tracker_id":40,"status_id":1,"priority_id":2,"assigned_to_id":23,"start_date":"2016-10-24","description":"","custom_fields":[{"id":1,"name":"Subdivision","value":"EC"},{"id":4,"name":"Milepost","value":"23.331"},{"id":17,"name":"Train ID","value":"183-24"},{"id":16,"name":"Locomotive ID","value":"4038"},{"id":130,"name":"Impact","value":""},{"id":150,"name":"Time of Event (Mountain Time)","value":"14:38:09"},{"id":151,"name":"Denver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530</v>
      </c>
      <c r="B97" s="7">
        <v>4037</v>
      </c>
      <c r="C97" s="22" t="s">
        <v>99</v>
      </c>
      <c r="D97" s="22" t="s">
        <v>660</v>
      </c>
      <c r="E97" s="13">
        <v>42667.614629629628</v>
      </c>
      <c r="F97" s="13">
        <v>42667.622615740744</v>
      </c>
      <c r="G97" s="7">
        <v>7</v>
      </c>
      <c r="H97" s="13" t="s">
        <v>659</v>
      </c>
      <c r="I97" s="13">
        <v>42667.649328703701</v>
      </c>
      <c r="J97" s="7">
        <v>1</v>
      </c>
      <c r="K97" s="112" t="str">
        <f t="shared" si="29"/>
        <v>4037/4038</v>
      </c>
      <c r="L97" s="22" t="str">
        <f>VLOOKUP(A97,'Trips&amp;Operators'!$C$1:$E$10000,3,FALSE)</f>
        <v>HELVIE</v>
      </c>
      <c r="M97" s="6">
        <f t="shared" si="30"/>
        <v>2.6712962957390118E-2</v>
      </c>
      <c r="N97" s="7">
        <f t="shared" si="31"/>
        <v>38.46666665864177</v>
      </c>
      <c r="O97" s="7"/>
      <c r="P97" s="7"/>
      <c r="Q97" s="23"/>
      <c r="R97" s="23"/>
      <c r="S97" s="35">
        <f t="shared" si="32"/>
        <v>1</v>
      </c>
      <c r="T97" s="50" t="str">
        <f t="shared" si="33"/>
        <v>Southbound</v>
      </c>
      <c r="U97" s="1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13:45:04-0600',mode:absolute,to:'2016-10-24 16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7" s="52" t="str">
        <f t="shared" si="43"/>
        <v>N</v>
      </c>
      <c r="X97" s="171">
        <f t="shared" si="44"/>
        <v>1</v>
      </c>
      <c r="Y97" s="67">
        <f t="shared" ref="Y97:Y128" si="45">RIGHT(D97,LEN(D97)-4)/10000</f>
        <v>23.2972</v>
      </c>
      <c r="Z97" s="67">
        <f t="shared" si="35"/>
        <v>1.6899999999999998E-2</v>
      </c>
      <c r="AA97" s="67">
        <f t="shared" si="36"/>
        <v>23.2803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7"/>
        <v>0184-24</v>
      </c>
      <c r="AE97" s="91" t="str">
        <f t="shared" si="38"/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AF97" s="88" t="str">
        <f t="shared" si="39"/>
        <v>"C:\Program Files (x86)\AstroGrep\AstroGrep.exe" /spath="%USERPROFILE%\AppData\Local\Temp\OnboardLogs" /stypes="app*4037*20161024*" /stext=" 21:.+((SYSTEM_STATE.+slice.+state.+changed )|(ment ac)|(system.+state.+changed )|(\[timeout)|(PRM\|1\|D)|(kpr)|(kdp)|(\|lc)|(penalty))" /e /r /s</v>
      </c>
      <c r="AG97" s="1" t="str">
        <f t="shared" si="40"/>
        <v>EC</v>
      </c>
      <c r="AH97" s="92" t="str">
        <f t="shared" si="41"/>
        <v>"%USERPROFILE%\Documents\GitHub\eaglep3\Utilities\RefineRTDCRunTimes.py" --tripid 184-24 --locoid 4037 --swversion DE.1.0.7.0 --startMP 204:232972 --initTime 2016-10-24T14:45:04 --startdatetime 2016-10-24T14:56:34 --delay 7 --endMP 204:169 --enddatetime 2016-10-24T15:35:02 --enforcementcount 1 &gt;&gt;C:\Users\stu\Documents\GitHub\eaglep3-reporting\EC\2016-10-24-refined-times.txt</v>
      </c>
      <c r="AI97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{"issue":{"subject":"","project_id":79,"tracker_id":40,"status_id":1,"priority_id":2,"assigned_to_id":23,"start_date":"2016-10-24","description":"","custom_fields":[{"id":1,"name":"Subdivision","value":"EC"},{"id":4,"name":"Milepost","value":"0.0169"},{"id":17,"name":"Train ID","value":"184-24"},{"id":16,"name":"Locomotive ID","value":"4037"},{"id":130,"name":"Impact","value":""},{"id":150,"name":"Time of Event (Mountain Time)","value":"15:35:02"},{"id":151,"name":"Denver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524</v>
      </c>
      <c r="B98" s="7">
        <v>4022</v>
      </c>
      <c r="C98" s="22" t="s">
        <v>99</v>
      </c>
      <c r="D98" s="22" t="s">
        <v>232</v>
      </c>
      <c r="E98" s="13">
        <v>42667.588819444441</v>
      </c>
      <c r="F98" s="13">
        <v>42667.594351851854</v>
      </c>
      <c r="G98" s="7">
        <v>1</v>
      </c>
      <c r="H98" s="13" t="s">
        <v>344</v>
      </c>
      <c r="I98" s="13">
        <v>42667.619398148148</v>
      </c>
      <c r="J98" s="7">
        <v>1</v>
      </c>
      <c r="K98" s="112" t="str">
        <f t="shared" si="29"/>
        <v>4021/4022</v>
      </c>
      <c r="L98" s="22" t="str">
        <f>VLOOKUP(A98,'Trips&amp;Operators'!$C$1:$E$10000,3,FALSE)</f>
        <v>MAHAN</v>
      </c>
      <c r="M98" s="6">
        <f t="shared" si="30"/>
        <v>2.5046296294021886E-2</v>
      </c>
      <c r="N98" s="7">
        <f t="shared" si="31"/>
        <v>36.066666663391516</v>
      </c>
      <c r="O98" s="7"/>
      <c r="P98" s="7"/>
      <c r="Q98" s="23"/>
      <c r="R98" s="23"/>
      <c r="S98" s="35">
        <f t="shared" si="32"/>
        <v>1</v>
      </c>
      <c r="T98" s="50" t="str">
        <f t="shared" si="33"/>
        <v>NorthBound</v>
      </c>
      <c r="U98" s="1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13:07:54-0600',mode:absolute,to:'2016-10-24 15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8" s="52" t="str">
        <f t="shared" si="43"/>
        <v>N</v>
      </c>
      <c r="X98" s="171">
        <f t="shared" si="44"/>
        <v>1</v>
      </c>
      <c r="Y98" s="67">
        <f t="shared" si="45"/>
        <v>4.4600000000000001E-2</v>
      </c>
      <c r="Z98" s="67">
        <f t="shared" si="35"/>
        <v>23.330300000000001</v>
      </c>
      <c r="AA98" s="67">
        <f t="shared" si="36"/>
        <v>23.285700000000002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7"/>
        <v>0185-24</v>
      </c>
      <c r="AE98" s="91" t="str">
        <f t="shared" si="38"/>
        <v>aws s3 cp s3://rtdc.mdm.uploadarchive.raw/RTDC4022/ "%USERPROFILE%\AppData\Local\Temp\OnboardLogs"\RTDC4022\2016-10-24 --exclude "*" --recursive --include "*20161024*" &amp; "%USERPROFILE%\Documents\GitHub\mrs-test-scripts\Headless Mode &amp; Sideloading\WalkAndUnGZ.bat" "%USERPROFILE%\AppData\Local\Temp\OnboardLogs"\RTDC4022\2016-10-24 &amp; aws s3 cp s3://rtdc.mdm.uploadarchive.raw/RTDC4022/ "%USERPROFILE%\AppData\Local\Temp\OnboardLogs"\RTDC4022\2016-10-25 --exclude "*" --recursive --include "*20161025*" &amp; "%USERPROFILE%\Documents\GitHub\mrs-test-scripts\Headless Mode &amp; Sideloading\WalkAndUnGZ.bat" "%USERPROFILE%\AppData\Local\Temp\OnboardLogs"\RTDC4022\2016-10-25</v>
      </c>
      <c r="AF98" s="88" t="str">
        <f t="shared" si="39"/>
        <v>"C:\Program Files (x86)\AstroGrep\AstroGrep.exe" /spath="%USERPROFILE%\AppData\Local\Temp\OnboardLogs" /stypes="app*4022*20161024*" /stext=" 20:.+((SYSTEM_STATE.+slice.+state.+changed )|(ment ac)|(system.+state.+changed )|(\[timeout)|(PRM\|1\|D)|(kpr)|(kdp)|(\|lc)|(penalty))" /e /r /s</v>
      </c>
      <c r="AG98" s="1" t="str">
        <f t="shared" si="40"/>
        <v>EC</v>
      </c>
      <c r="AH98" s="92" t="str">
        <f t="shared" si="41"/>
        <v>"%USERPROFILE%\Documents\GitHub\eaglep3\Utilities\RefineRTDCRunTimes.py" --tripid 185-24 --locoid 4022 --swversion DE.1.0.7.0 --startMP 204:446 --initTime 2016-10-24T14:07:54 --startdatetime 2016-10-24T14:15:52 --delay 1 --endMP 204:233303 --enddatetime 2016-10-24T14:51:56 --enforcementcount 1 &gt;&gt;C:\Users\stu\Documents\GitHub\eaglep3-reporting\EC\2016-10-24-refined-times.txt</v>
      </c>
      <c r="AI98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{"issue":{"subject":"","project_id":79,"tracker_id":40,"status_id":1,"priority_id":2,"assigned_to_id":23,"start_date":"2016-10-24","description":"","custom_fields":[{"id":1,"name":"Subdivision","value":"EC"},{"id":4,"name":"Milepost","value":"23.3303"},{"id":17,"name":"Train ID","value":"185-24"},{"id":16,"name":"Locomotive ID","value":"4022"},{"id":130,"name":"Impact","value":""},{"id":150,"name":"Time of Event (Mountain Time)","value":"14:51:56"},{"id":151,"name":"Denver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421</v>
      </c>
      <c r="B99" s="7">
        <v>4021</v>
      </c>
      <c r="C99" s="22" t="s">
        <v>99</v>
      </c>
      <c r="D99" s="22" t="s">
        <v>271</v>
      </c>
      <c r="E99" s="13">
        <v>42667.621967592589</v>
      </c>
      <c r="F99" s="13">
        <v>42667.633217592593</v>
      </c>
      <c r="G99" s="7">
        <v>1</v>
      </c>
      <c r="H99" s="13" t="s">
        <v>224</v>
      </c>
      <c r="I99" s="13">
        <v>42667.661215277774</v>
      </c>
      <c r="J99" s="7">
        <v>1</v>
      </c>
      <c r="K99" s="112" t="str">
        <f t="shared" si="29"/>
        <v>4021/4022</v>
      </c>
      <c r="L99" s="22" t="str">
        <f>VLOOKUP(A99,'Trips&amp;Operators'!$C$1:$E$10000,3,FALSE)</f>
        <v>MAHAN</v>
      </c>
      <c r="M99" s="6">
        <f t="shared" si="30"/>
        <v>2.7997685181617271E-2</v>
      </c>
      <c r="N99" s="7">
        <f t="shared" si="31"/>
        <v>40.31666666152887</v>
      </c>
      <c r="O99" s="7"/>
      <c r="P99" s="7"/>
      <c r="Q99" s="23"/>
      <c r="R99" s="23"/>
      <c r="S99" s="35">
        <f t="shared" si="32"/>
        <v>1</v>
      </c>
      <c r="T99" s="50" t="str">
        <f t="shared" si="33"/>
        <v>Southbound</v>
      </c>
      <c r="U99" s="1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13:55:38-0600',mode:absolute,to:'2016-10-24 16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9" s="52" t="str">
        <f t="shared" si="43"/>
        <v>N</v>
      </c>
      <c r="X99" s="171">
        <f t="shared" si="44"/>
        <v>1</v>
      </c>
      <c r="Y99" s="67">
        <f t="shared" si="45"/>
        <v>23.2986</v>
      </c>
      <c r="Z99" s="67">
        <f t="shared" si="35"/>
        <v>1.4999999999999999E-2</v>
      </c>
      <c r="AA99" s="67">
        <f t="shared" si="36"/>
        <v>23.2836</v>
      </c>
      <c r="AB99" s="64" t="str">
        <f>VLOOKUP(A99,Enforcements!$C$7:$K$21,8,0)</f>
        <v>Speed (6)</v>
      </c>
      <c r="AC99" s="60" t="str">
        <f>VLOOKUP(A99,Enforcements!$C$7:$E$21,3,0)</f>
        <v>PERMANENT SPEED RESTRICTION</v>
      </c>
      <c r="AD99" s="61" t="str">
        <f t="shared" si="37"/>
        <v>0186-24</v>
      </c>
      <c r="AE99" s="91" t="str">
        <f t="shared" si="38"/>
        <v>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 &amp; aws s3 cp s3://rtdc.mdm.uploadarchive.raw/RTDC4021/ "%USERPROFILE%\AppData\Local\Temp\OnboardLogs"\RTDC4021\2016-10-25 --exclude "*" --recursive --include "*20161025*" &amp; "%USERPROFILE%\Documents\GitHub\mrs-test-scripts\Headless Mode &amp; Sideloading\WalkAndUnGZ.bat" "%USERPROFILE%\AppData\Local\Temp\OnboardLogs"\RTDC4021\2016-10-25</v>
      </c>
      <c r="AF99" s="88" t="str">
        <f t="shared" si="39"/>
        <v>"C:\Program Files (x86)\AstroGrep\AstroGrep.exe" /spath="%USERPROFILE%\AppData\Local\Temp\OnboardLogs" /stypes="app*4021*20161024*" /stext=" 21:.+((SYSTEM_STATE.+slice.+state.+changed )|(ment ac)|(system.+state.+changed )|(\[timeout)|(PRM\|1\|D)|(kpr)|(kdp)|(\|lc)|(penalty))" /e /r /s</v>
      </c>
      <c r="AG99" s="1" t="str">
        <f t="shared" si="40"/>
        <v>EC</v>
      </c>
      <c r="AH99" s="92" t="str">
        <f t="shared" si="41"/>
        <v>"%USERPROFILE%\Documents\GitHub\eaglep3\Utilities\RefineRTDCRunTimes.py" --tripid 186-24 --locoid 4021 --swversion DE.1.0.7.0 --startMP 204:232986 --initTime 2016-10-24T14:55:38 --startdatetime 2016-10-24T15:11:50 --delay 1 --endMP 204:150 --enddatetime 2016-10-24T15:52:09 --enforcementcount 1 &gt;&gt;C:\Users\stu\Documents\GitHub\eaglep3-reporting\EC\2016-10-24-refined-times.txt</v>
      </c>
      <c r="AI99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{"issue":{"subject":"","project_id":79,"tracker_id":40,"status_id":1,"priority_id":2,"assigned_to_id":23,"start_date":"2016-10-24","description":"","custom_fields":[{"id":1,"name":"Subdivision","value":"EC"},{"id":4,"name":"Milepost","value":"0.015"},{"id":17,"name":"Train ID","value":"186-24"},{"id":16,"name":"Locomotive ID","value":"4021"},{"id":130,"name":"Impact","value":""},{"id":150,"name":"Time of Event (Mountain Time)","value":"15:52:09"},{"id":151,"name":"Denver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526</v>
      </c>
      <c r="B100" s="7">
        <v>4011</v>
      </c>
      <c r="C100" s="22" t="s">
        <v>99</v>
      </c>
      <c r="D100" s="22" t="s">
        <v>237</v>
      </c>
      <c r="E100" s="13">
        <v>42667.600428240738</v>
      </c>
      <c r="F100" s="13">
        <v>42667.604432870372</v>
      </c>
      <c r="G100" s="7">
        <v>1</v>
      </c>
      <c r="H100" s="13" t="s">
        <v>222</v>
      </c>
      <c r="I100" s="13">
        <v>42667.629525462966</v>
      </c>
      <c r="J100" s="7">
        <v>1</v>
      </c>
      <c r="K100" s="112" t="str">
        <f t="shared" si="29"/>
        <v>4011/4012</v>
      </c>
      <c r="L100" s="22" t="str">
        <f>VLOOKUP(A100,'Trips&amp;Operators'!$C$1:$E$10000,3,FALSE)</f>
        <v>STEWART</v>
      </c>
      <c r="M100" s="6">
        <f t="shared" si="30"/>
        <v>2.5092592593864538E-2</v>
      </c>
      <c r="N100" s="7">
        <f t="shared" si="31"/>
        <v>36.133333335164934</v>
      </c>
      <c r="O100" s="7"/>
      <c r="P100" s="7"/>
      <c r="Q100" s="23"/>
      <c r="R100" s="23"/>
      <c r="S100" s="35">
        <f t="shared" si="32"/>
        <v>1</v>
      </c>
      <c r="T100" s="50" t="str">
        <f t="shared" si="33"/>
        <v>NorthBound</v>
      </c>
      <c r="U100" s="1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13:24:37-0600',mode:absolute,to:'2016-10-24 16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0" s="52" t="str">
        <f t="shared" si="43"/>
        <v>N</v>
      </c>
      <c r="X100" s="171">
        <f t="shared" si="44"/>
        <v>1</v>
      </c>
      <c r="Y100" s="67">
        <f t="shared" si="45"/>
        <v>4.5100000000000001E-2</v>
      </c>
      <c r="Z100" s="67">
        <f t="shared" si="35"/>
        <v>23.3293</v>
      </c>
      <c r="AA100" s="67">
        <f t="shared" si="36"/>
        <v>23.284199999999998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7"/>
        <v>0187-24</v>
      </c>
      <c r="AE100" s="91" t="str">
        <f t="shared" si="38"/>
        <v>aws s3 cp s3://rtdc.mdm.uploadarchive.raw/RTDC4011/ "%USERPROFILE%\AppData\Local\Temp\OnboardLogs"\RTDC4011\2016-10-24 --exclude "*" --recursive --include "*20161024*" &amp; "%USERPROFILE%\Documents\GitHub\mrs-test-scripts\Headless Mode &amp; Sideloading\WalkAndUnGZ.bat" "%USERPROFILE%\AppData\Local\Temp\OnboardLogs"\RTDC4011\2016-10-24 &amp; 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</v>
      </c>
      <c r="AF100" s="88" t="str">
        <f t="shared" si="39"/>
        <v>"C:\Program Files (x86)\AstroGrep\AstroGrep.exe" /spath="%USERPROFILE%\AppData\Local\Temp\OnboardLogs" /stypes="app*4011*20161024*" /stext=" 21:.+((SYSTEM_STATE.+slice.+state.+changed )|(ment ac)|(system.+state.+changed )|(\[timeout)|(PRM\|1\|D)|(kpr)|(kdp)|(\|lc)|(penalty))" /e /r /s</v>
      </c>
      <c r="AG100" s="1" t="str">
        <f t="shared" si="40"/>
        <v>EC</v>
      </c>
      <c r="AH100" s="92" t="str">
        <f t="shared" si="41"/>
        <v>"%USERPROFILE%\Documents\GitHub\eaglep3\Utilities\RefineRTDCRunTimes.py" --tripid 187-24 --locoid 4011 --swversion DE.1.0.7.0 --startMP 204:451 --initTime 2016-10-24T14:24:37 --startdatetime 2016-10-24T14:30:23 --delay 1 --endMP 204:233293 --enddatetime 2016-10-24T15:06:31 --enforcementcount 1 &gt;&gt;C:\Users\stu\Documents\GitHub\eaglep3-reporting\EC\2016-10-24-refined-times.txt</v>
      </c>
      <c r="AI100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{"issue":{"subject":"","project_id":79,"tracker_id":40,"status_id":1,"priority_id":2,"assigned_to_id":23,"start_date":"2016-10-24","description":"","custom_fields":[{"id":1,"name":"Subdivision","value":"EC"},{"id":4,"name":"Milepost","value":"23.3293"},{"id":17,"name":"Train ID","value":"187-24"},{"id":16,"name":"Locomotive ID","value":"4011"},{"id":130,"name":"Impact","value":""},{"id":150,"name":"Time of Event (Mountain Time)","value":"15:06:31"},{"id":151,"name":"Denver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7" t="s">
        <v>533</v>
      </c>
      <c r="B101" s="7">
        <v>4012</v>
      </c>
      <c r="C101" s="22" t="s">
        <v>99</v>
      </c>
      <c r="D101" s="22" t="s">
        <v>252</v>
      </c>
      <c r="E101" s="13">
        <v>42667.631724537037</v>
      </c>
      <c r="F101" s="13">
        <v>42667.643738425926</v>
      </c>
      <c r="G101" s="7">
        <v>1</v>
      </c>
      <c r="H101" s="13" t="s">
        <v>182</v>
      </c>
      <c r="I101" s="13">
        <v>42667.670254629629</v>
      </c>
      <c r="J101" s="7">
        <v>1</v>
      </c>
      <c r="K101" s="112" t="str">
        <f t="shared" si="29"/>
        <v>4011/4012</v>
      </c>
      <c r="L101" s="22" t="str">
        <f>VLOOKUP(A101,'Trips&amp;Operators'!$C$1:$E$10000,3,FALSE)</f>
        <v>STEWART</v>
      </c>
      <c r="M101" s="6">
        <f t="shared" si="30"/>
        <v>2.6516203703067731E-2</v>
      </c>
      <c r="N101" s="7">
        <f t="shared" si="31"/>
        <v>38.183333332417533</v>
      </c>
      <c r="O101" s="7"/>
      <c r="P101" s="7"/>
      <c r="Q101" s="23"/>
      <c r="R101" s="23"/>
      <c r="S101" s="35">
        <f t="shared" si="32"/>
        <v>1</v>
      </c>
      <c r="T101" s="50" t="str">
        <f t="shared" si="33"/>
        <v>Southbound</v>
      </c>
      <c r="U101" s="1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14:09:41-0600',mode:absolute,to:'2016-10-24 17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1" s="52" t="str">
        <f t="shared" si="43"/>
        <v>N</v>
      </c>
      <c r="X101" s="171">
        <f t="shared" si="44"/>
        <v>1</v>
      </c>
      <c r="Y101" s="67">
        <f t="shared" si="45"/>
        <v>23.297699999999999</v>
      </c>
      <c r="Z101" s="67">
        <f t="shared" si="35"/>
        <v>1.41E-2</v>
      </c>
      <c r="AA101" s="67">
        <f t="shared" si="36"/>
        <v>23.2836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7"/>
        <v>0188-24</v>
      </c>
      <c r="AE101" s="91" t="str">
        <f t="shared" si="38"/>
        <v>aws s3 cp s3://rtdc.mdm.uploadarchive.raw/RTDC4012/ "%USERPROFILE%\AppData\Local\Temp\OnboardLogs"\RTDC4012\2016-10-24 --exclude "*" --recursive --include "*20161024*" &amp; "%USERPROFILE%\Documents\GitHub\mrs-test-scripts\Headless Mode &amp; Sideloading\WalkAndUnGZ.bat" "%USERPROFILE%\AppData\Local\Temp\OnboardLogs"\RTDC4012\2016-10-24 &amp; aws s3 cp s3://rtdc.mdm.uploadarchive.raw/RTDC4012/ "%USERPROFILE%\AppData\Local\Temp\OnboardLogs"\RTDC4012\2016-10-25 --exclude "*" --recursive --include "*20161025*" &amp; "%USERPROFILE%\Documents\GitHub\mrs-test-scripts\Headless Mode &amp; Sideloading\WalkAndUnGZ.bat" "%USERPROFILE%\AppData\Local\Temp\OnboardLogs"\RTDC4012\2016-10-25</v>
      </c>
      <c r="AF101" s="88" t="str">
        <f t="shared" si="39"/>
        <v>"C:\Program Files (x86)\AstroGrep\AstroGrep.exe" /spath="%USERPROFILE%\AppData\Local\Temp\OnboardLogs" /stypes="app*4012*20161024*" /stext=" 22:.+((SYSTEM_STATE.+slice.+state.+changed )|(ment ac)|(system.+state.+changed )|(\[timeout)|(PRM\|1\|D)|(kpr)|(kdp)|(\|lc)|(penalty))" /e /r /s</v>
      </c>
      <c r="AG101" s="1" t="str">
        <f t="shared" si="40"/>
        <v>EC</v>
      </c>
      <c r="AH101" s="92" t="str">
        <f t="shared" si="41"/>
        <v>"%USERPROFILE%\Documents\GitHub\eaglep3\Utilities\RefineRTDCRunTimes.py" --tripid 188-24 --locoid 4012 --swversion DE.1.0.7.0 --startMP 204:232977 --initTime 2016-10-24T15:09:41 --startdatetime 2016-10-24T15:26:59 --delay 1 --endMP 204:141 --enddatetime 2016-10-24T16:05:10 --enforcementcount 1 &gt;&gt;C:\Users\stu\Documents\GitHub\eaglep3-reporting\EC\2016-10-24-refined-times.txt</v>
      </c>
      <c r="AI101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{"issue":{"subject":"","project_id":79,"tracker_id":40,"status_id":1,"priority_id":2,"assigned_to_id":23,"start_date":"2016-10-24","description":"","custom_fields":[{"id":1,"name":"Subdivision","value":"EC"},{"id":4,"name":"Milepost","value":"0.0141"},{"id":17,"name":"Train ID","value":"188-24"},{"id":16,"name":"Locomotive ID","value":"4012"},{"id":130,"name":"Impact","value":""},{"id":150,"name":"Time of Event (Mountain Time)","value":"16:05:10"},{"id":151,"name":"Denver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529</v>
      </c>
      <c r="B102" s="7">
        <v>4014</v>
      </c>
      <c r="C102" s="22" t="s">
        <v>99</v>
      </c>
      <c r="D102" s="22" t="s">
        <v>232</v>
      </c>
      <c r="E102" s="13">
        <v>42667.611527777779</v>
      </c>
      <c r="F102" s="13">
        <v>42667.614837962959</v>
      </c>
      <c r="G102" s="7">
        <v>1</v>
      </c>
      <c r="H102" s="13" t="s">
        <v>222</v>
      </c>
      <c r="I102" s="13">
        <v>42667.639907407407</v>
      </c>
      <c r="J102" s="7">
        <v>1</v>
      </c>
      <c r="K102" s="112" t="str">
        <f t="shared" si="29"/>
        <v>4013/4014</v>
      </c>
      <c r="L102" s="22" t="str">
        <f>VLOOKUP(A102,'Trips&amp;Operators'!$C$1:$E$10000,3,FALSE)</f>
        <v>BARTLETT</v>
      </c>
      <c r="M102" s="6">
        <f t="shared" si="30"/>
        <v>2.5069444447581191E-2</v>
      </c>
      <c r="N102" s="7">
        <f t="shared" si="31"/>
        <v>36.100000004516914</v>
      </c>
      <c r="O102" s="7"/>
      <c r="P102" s="7"/>
      <c r="Q102" s="23"/>
      <c r="R102" s="23"/>
      <c r="S102" s="35">
        <f t="shared" si="32"/>
        <v>1</v>
      </c>
      <c r="T102" s="50" t="str">
        <f t="shared" si="33"/>
        <v>NorthBound</v>
      </c>
      <c r="U102" s="1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13:40:36-0600',mode:absolute,to:'2016-10-24 16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2" s="52" t="str">
        <f t="shared" si="43"/>
        <v>N</v>
      </c>
      <c r="X102" s="171">
        <f t="shared" si="44"/>
        <v>1</v>
      </c>
      <c r="Y102" s="67">
        <f t="shared" si="45"/>
        <v>4.4600000000000001E-2</v>
      </c>
      <c r="Z102" s="67">
        <f t="shared" si="35"/>
        <v>23.3293</v>
      </c>
      <c r="AA102" s="67">
        <f t="shared" si="36"/>
        <v>23.284700000000001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7"/>
        <v>0189-24</v>
      </c>
      <c r="AE102" s="91" t="str">
        <f t="shared" si="38"/>
        <v>aws s3 cp s3://rtdc.mdm.uploadarchive.raw/RTDC4014/ "%USERPROFILE%\AppData\Local\Temp\OnboardLogs"\RTDC4014\2016-10-24 --exclude "*" --recursive --include "*20161024*" &amp; "%USERPROFILE%\Documents\GitHub\mrs-test-scripts\Headless Mode &amp; Sideloading\WalkAndUnGZ.bat" "%USERPROFILE%\AppData\Local\Temp\OnboardLogs"\RTDC4014\2016-10-24 &amp; aws s3 cp s3://rtdc.mdm.uploadarchive.raw/RTDC4014/ "%USERPROFILE%\AppData\Local\Temp\OnboardLogs"\RTDC4014\2016-10-25 --exclude "*" --recursive --include "*20161025*" &amp; "%USERPROFILE%\Documents\GitHub\mrs-test-scripts\Headless Mode &amp; Sideloading\WalkAndUnGZ.bat" "%USERPROFILE%\AppData\Local\Temp\OnboardLogs"\RTDC4014\2016-10-25</v>
      </c>
      <c r="AF102" s="88" t="str">
        <f t="shared" si="39"/>
        <v>"C:\Program Files (x86)\AstroGrep\AstroGrep.exe" /spath="%USERPROFILE%\AppData\Local\Temp\OnboardLogs" /stypes="app*4014*20161024*" /stext=" 21:.+((SYSTEM_STATE.+slice.+state.+changed )|(ment ac)|(system.+state.+changed )|(\[timeout)|(PRM\|1\|D)|(kpr)|(kdp)|(\|lc)|(penalty))" /e /r /s</v>
      </c>
      <c r="AG102" s="1" t="str">
        <f t="shared" si="40"/>
        <v>EC</v>
      </c>
      <c r="AH102" s="92" t="str">
        <f t="shared" si="41"/>
        <v>"%USERPROFILE%\Documents\GitHub\eaglep3\Utilities\RefineRTDCRunTimes.py" --tripid 189-24 --locoid 4014 --swversion DE.1.0.7.0 --startMP 204:446 --initTime 2016-10-24T14:40:36 --startdatetime 2016-10-24T14:45:22 --delay 1 --endMP 204:233293 --enddatetime 2016-10-24T15:21:28 --enforcementcount 1 &gt;&gt;C:\Users\stu\Documents\GitHub\eaglep3-reporting\EC\2016-10-24-refined-times.txt</v>
      </c>
      <c r="AI102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{"issue":{"subject":"","project_id":79,"tracker_id":40,"status_id":1,"priority_id":2,"assigned_to_id":23,"start_date":"2016-10-24","description":"","custom_fields":[{"id":1,"name":"Subdivision","value":"EC"},{"id":4,"name":"Milepost","value":"23.3293"},{"id":17,"name":"Train ID","value":"189-24"},{"id":16,"name":"Locomotive ID","value":"4014"},{"id":130,"name":"Impact","value":""},{"id":150,"name":"Time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536</v>
      </c>
      <c r="B103" s="7">
        <v>4013</v>
      </c>
      <c r="C103" s="22" t="s">
        <v>99</v>
      </c>
      <c r="D103" s="22" t="s">
        <v>661</v>
      </c>
      <c r="E103" s="13">
        <v>42667.642523148148</v>
      </c>
      <c r="F103" s="13">
        <v>42667.653784722221</v>
      </c>
      <c r="G103" s="7">
        <v>1</v>
      </c>
      <c r="H103" s="13" t="s">
        <v>644</v>
      </c>
      <c r="I103" s="13">
        <v>42667.681805555556</v>
      </c>
      <c r="J103" s="7">
        <v>1</v>
      </c>
      <c r="K103" s="112" t="str">
        <f t="shared" si="29"/>
        <v>4013/4014</v>
      </c>
      <c r="L103" s="22" t="str">
        <f>VLOOKUP(A103,'Trips&amp;Operators'!$C$1:$E$10000,3,FALSE)</f>
        <v>BARTLETT</v>
      </c>
      <c r="M103" s="6">
        <f t="shared" si="30"/>
        <v>2.8020833335176576E-2</v>
      </c>
      <c r="N103" s="7">
        <f t="shared" si="31"/>
        <v>40.350000002654269</v>
      </c>
      <c r="O103" s="7"/>
      <c r="P103" s="7"/>
      <c r="Q103" s="23"/>
      <c r="R103" s="23"/>
      <c r="S103" s="35">
        <f t="shared" si="32"/>
        <v>1</v>
      </c>
      <c r="T103" s="50" t="str">
        <f t="shared" si="33"/>
        <v>Southbound</v>
      </c>
      <c r="U103" s="1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14:25:14-0600',mode:absolute,to:'2016-10-24 17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3" s="52" t="str">
        <f t="shared" si="43"/>
        <v>N</v>
      </c>
      <c r="X103" s="171">
        <f t="shared" si="44"/>
        <v>1</v>
      </c>
      <c r="Y103" s="67">
        <f t="shared" si="45"/>
        <v>23.3003</v>
      </c>
      <c r="Z103" s="67">
        <f t="shared" si="35"/>
        <v>1.7600000000000001E-2</v>
      </c>
      <c r="AA103" s="67">
        <f t="shared" si="36"/>
        <v>23.282699999999998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7"/>
        <v>0190-24</v>
      </c>
      <c r="AE103" s="91" t="str">
        <f t="shared" si="38"/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AF103" s="88" t="str">
        <f t="shared" si="39"/>
        <v>"C:\Program Files (x86)\AstroGrep\AstroGrep.exe" /spath="%USERPROFILE%\AppData\Local\Temp\OnboardLogs" /stypes="app*4013*20161024*" /stext=" 22:.+((SYSTEM_STATE.+slice.+state.+changed )|(ment ac)|(system.+state.+changed )|(\[timeout)|(PRM\|1\|D)|(kpr)|(kdp)|(\|lc)|(penalty))" /e /r /s</v>
      </c>
      <c r="AG103" s="1" t="str">
        <f t="shared" si="40"/>
        <v>EC</v>
      </c>
      <c r="AH103" s="92" t="str">
        <f t="shared" si="41"/>
        <v>"%USERPROFILE%\Documents\GitHub\eaglep3\Utilities\RefineRTDCRunTimes.py" --tripid 190-24 --locoid 4013 --swversion DE.1.0.7.0 --startMP 204:233003 --initTime 2016-10-24T15:25:14 --startdatetime 2016-10-24T15:41:27 --delay 1 --endMP 204:176 --enddatetime 2016-10-24T16:21:48 --enforcementcount 1 &gt;&gt;C:\Users\stu\Documents\GitHub\eaglep3-reporting\EC\2016-10-24-refined-times.txt</v>
      </c>
      <c r="AI103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{"issue":{"subject":"","project_id":79,"tracker_id":40,"status_id":1,"priority_id":2,"assigned_to_id":23,"start_date":"2016-10-24","description":"","custom_fields":[{"id":1,"name":"Subdivision","value":"EC"},{"id":4,"name":"Milepost","value":"0.0176"},{"id":17,"name":"Train ID","value":"190-24"},{"id":16,"name":"Locomotive ID","value":"4013"},{"id":130,"name":"Impact","value":""},{"id":150,"name":"Time of Event (Mountain Time)","value":"16:21:48"},{"id":151,"name":"Denver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531</v>
      </c>
      <c r="B104" s="7">
        <v>4016</v>
      </c>
      <c r="C104" s="22" t="s">
        <v>99</v>
      </c>
      <c r="D104" s="22" t="s">
        <v>338</v>
      </c>
      <c r="E104" s="13">
        <v>42667.621168981481</v>
      </c>
      <c r="F104" s="13">
        <v>42667.625277777777</v>
      </c>
      <c r="G104" s="7">
        <v>1</v>
      </c>
      <c r="H104" s="13" t="s">
        <v>324</v>
      </c>
      <c r="I104" s="13">
        <v>42667.650752314818</v>
      </c>
      <c r="J104" s="7">
        <v>1</v>
      </c>
      <c r="K104" s="112" t="str">
        <f t="shared" si="29"/>
        <v>4015/4016</v>
      </c>
      <c r="L104" s="22" t="str">
        <f>VLOOKUP(A104,'Trips&amp;Operators'!$C$1:$E$10000,3,FALSE)</f>
        <v>BONDS</v>
      </c>
      <c r="M104" s="6">
        <f t="shared" si="30"/>
        <v>2.5474537040281575E-2</v>
      </c>
      <c r="N104" s="7">
        <f t="shared" si="31"/>
        <v>36.683333338005468</v>
      </c>
      <c r="O104" s="7"/>
      <c r="P104" s="7"/>
      <c r="Q104" s="23"/>
      <c r="R104" s="23"/>
      <c r="S104" s="35">
        <f t="shared" si="32"/>
        <v>1</v>
      </c>
      <c r="T104" s="50" t="str">
        <f t="shared" si="33"/>
        <v>NorthBound</v>
      </c>
      <c r="U104" s="1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13:54:29-0600',mode:absolute,to:'2016-10-24 16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4" s="52" t="str">
        <f t="shared" si="43"/>
        <v>N</v>
      </c>
      <c r="X104" s="171">
        <f t="shared" si="44"/>
        <v>1</v>
      </c>
      <c r="Y104" s="67">
        <f t="shared" si="45"/>
        <v>4.5699999999999998E-2</v>
      </c>
      <c r="Z104" s="67">
        <f t="shared" si="35"/>
        <v>23.329799999999999</v>
      </c>
      <c r="AA104" s="67">
        <f t="shared" si="36"/>
        <v>23.284099999999999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7"/>
        <v>0191-24</v>
      </c>
      <c r="AE104" s="91" t="str">
        <f t="shared" si="38"/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AF104" s="88" t="str">
        <f t="shared" si="39"/>
        <v>"C:\Program Files (x86)\AstroGrep\AstroGrep.exe" /spath="%USERPROFILE%\AppData\Local\Temp\OnboardLogs" /stypes="app*4016*20161024*" /stext=" 21:.+((SYSTEM_STATE.+slice.+state.+changed )|(ment ac)|(system.+state.+changed )|(\[timeout)|(PRM\|1\|D)|(kpr)|(kdp)|(\|lc)|(penalty))" /e /r /s</v>
      </c>
      <c r="AG104" s="1" t="str">
        <f t="shared" si="40"/>
        <v>EC</v>
      </c>
      <c r="AH104" s="92" t="str">
        <f t="shared" si="41"/>
        <v>"%USERPROFILE%\Documents\GitHub\eaglep3\Utilities\RefineRTDCRunTimes.py" --tripid 191-24 --locoid 4016 --swversion DE.1.0.7.0 --startMP 204:457 --initTime 2016-10-24T14:54:29 --startdatetime 2016-10-24T15:00:24 --delay 1 --endMP 204:233298 --enddatetime 2016-10-24T15:37:05 --enforcementcount 1 &gt;&gt;C:\Users\stu\Documents\GitHub\eaglep3-reporting\EC\2016-10-24-refined-times.txt</v>
      </c>
      <c r="AI104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{"issue":{"subject":"","project_id":79,"tracker_id":40,"status_id":1,"priority_id":2,"assigned_to_id":23,"start_date":"2016-10-24","description":"","custom_fields":[{"id":1,"name":"Subdivision","value":"EC"},{"id":4,"name":"Milepost","value":"23.3298"},{"id":17,"name":"Train ID","value":"191-24"},{"id":16,"name":"Locomotive ID","value":"4016"},{"id":130,"name":"Impact","value":""},{"id":150,"name":"Time of Event (Mountain Time)","value":"15:37:05"},{"id":151,"name":"Denver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422</v>
      </c>
      <c r="B105" s="7">
        <v>4015</v>
      </c>
      <c r="C105" s="22" t="s">
        <v>99</v>
      </c>
      <c r="D105" s="22" t="s">
        <v>269</v>
      </c>
      <c r="E105" s="13">
        <v>42667.654629629629</v>
      </c>
      <c r="F105" s="13">
        <v>42667.664155092592</v>
      </c>
      <c r="G105" s="7">
        <v>1</v>
      </c>
      <c r="H105" s="13" t="s">
        <v>218</v>
      </c>
      <c r="I105" s="13">
        <v>42667.692164351851</v>
      </c>
      <c r="J105" s="7">
        <v>1</v>
      </c>
      <c r="K105" s="112" t="str">
        <f t="shared" si="29"/>
        <v>4015/4016</v>
      </c>
      <c r="L105" s="22" t="str">
        <f>VLOOKUP(A105,'Trips&amp;Operators'!$C$1:$E$10000,3,FALSE)</f>
        <v>BONDS</v>
      </c>
      <c r="M105" s="6">
        <f t="shared" si="30"/>
        <v>2.8009259258396924E-2</v>
      </c>
      <c r="N105" s="7">
        <f t="shared" si="31"/>
        <v>40.33333333209157</v>
      </c>
      <c r="O105" s="7"/>
      <c r="P105" s="7"/>
      <c r="Q105" s="23"/>
      <c r="R105" s="23"/>
      <c r="S105" s="35">
        <f t="shared" si="32"/>
        <v>1</v>
      </c>
      <c r="T105" s="50" t="str">
        <f t="shared" si="33"/>
        <v>Southbound</v>
      </c>
      <c r="U105" s="1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14:42:40-0600',mode:absolute,to:'2016-10-24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5" s="52" t="str">
        <f t="shared" si="43"/>
        <v>N</v>
      </c>
      <c r="X105" s="171">
        <f t="shared" si="44"/>
        <v>1</v>
      </c>
      <c r="Y105" s="67">
        <f t="shared" si="45"/>
        <v>23.298300000000001</v>
      </c>
      <c r="Z105" s="67">
        <f t="shared" si="35"/>
        <v>1.54E-2</v>
      </c>
      <c r="AA105" s="67">
        <f t="shared" si="36"/>
        <v>23.282900000000001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7"/>
        <v>0192-24</v>
      </c>
      <c r="AE105" s="91" t="str">
        <f t="shared" si="38"/>
        <v>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 &amp; 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</v>
      </c>
      <c r="AF105" s="88" t="str">
        <f t="shared" si="39"/>
        <v>"C:\Program Files (x86)\AstroGrep\AstroGrep.exe" /spath="%USERPROFILE%\AppData\Local\Temp\OnboardLogs" /stypes="app*4015*20161024*" /stext=" 22:.+((SYSTEM_STATE.+slice.+state.+changed )|(ment ac)|(system.+state.+changed )|(\[timeout)|(PRM\|1\|D)|(kpr)|(kdp)|(\|lc)|(penalty))" /e /r /s</v>
      </c>
      <c r="AG105" s="1" t="str">
        <f t="shared" si="40"/>
        <v>EC</v>
      </c>
      <c r="AH105" s="92" t="str">
        <f t="shared" si="41"/>
        <v>"%USERPROFILE%\Documents\GitHub\eaglep3\Utilities\RefineRTDCRunTimes.py" --tripid 192-24 --locoid 4015 --swversion DE.1.0.7.0 --startMP 204:232983 --initTime 2016-10-24T15:42:40 --startdatetime 2016-10-24T15:56:23 --delay 1 --endMP 204:154 --enddatetime 2016-10-24T16:36:43 --enforcementcount 1 &gt;&gt;C:\Users\stu\Documents\GitHub\eaglep3-reporting\EC\2016-10-24-refined-times.txt</v>
      </c>
      <c r="AI105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{"issue":{"subject":"","project_id":79,"tracker_id":40,"status_id":1,"priority_id":2,"assigned_to_id":23,"start_date":"2016-10-24","description":"","custom_fields":[{"id":1,"name":"Subdivision","value":"EC"},{"id":4,"name":"Milepost","value":"0.0154"},{"id":17,"name":"Train ID","value":"192-24"},{"id":16,"name":"Locomotive ID","value":"4015"},{"id":130,"name":"Impact","value":""},{"id":150,"name":"Time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534</v>
      </c>
      <c r="B106" s="7">
        <v>4018</v>
      </c>
      <c r="C106" s="22" t="s">
        <v>99</v>
      </c>
      <c r="D106" s="22" t="s">
        <v>228</v>
      </c>
      <c r="E106" s="13">
        <v>42667.632974537039</v>
      </c>
      <c r="F106" s="13">
        <v>42667.635636574072</v>
      </c>
      <c r="G106" s="7">
        <v>1</v>
      </c>
      <c r="H106" s="13" t="s">
        <v>183</v>
      </c>
      <c r="I106" s="13">
        <v>42667.662557870368</v>
      </c>
      <c r="J106" s="7">
        <v>1</v>
      </c>
      <c r="K106" s="112" t="str">
        <f t="shared" si="29"/>
        <v>4017/4018</v>
      </c>
      <c r="L106" s="22" t="str">
        <f>VLOOKUP(A106,'Trips&amp;Operators'!$C$1:$E$10000,3,FALSE)</f>
        <v>SWANSON</v>
      </c>
      <c r="M106" s="6">
        <f t="shared" si="30"/>
        <v>2.6921296295768116E-2</v>
      </c>
      <c r="N106" s="7">
        <f t="shared" si="31"/>
        <v>38.766666665906087</v>
      </c>
      <c r="O106" s="7"/>
      <c r="P106" s="7"/>
      <c r="Q106" s="23"/>
      <c r="R106" s="23"/>
      <c r="S106" s="35">
        <f t="shared" si="32"/>
        <v>1</v>
      </c>
      <c r="T106" s="50" t="str">
        <f t="shared" si="33"/>
        <v>NorthBound</v>
      </c>
      <c r="U106" s="1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14:11:29-0600',mode:absolute,to:'2016-10-24 16:54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6" s="52" t="str">
        <f t="shared" si="43"/>
        <v>N</v>
      </c>
      <c r="X106" s="171">
        <f t="shared" si="44"/>
        <v>1</v>
      </c>
      <c r="Y106" s="67">
        <f t="shared" si="45"/>
        <v>4.5499999999999999E-2</v>
      </c>
      <c r="Z106" s="67">
        <f t="shared" si="35"/>
        <v>23.331199999999999</v>
      </c>
      <c r="AA106" s="67">
        <f t="shared" si="36"/>
        <v>23.285699999999999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7"/>
        <v>0193-24</v>
      </c>
      <c r="AE106" s="91" t="str">
        <f t="shared" si="38"/>
        <v>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 &amp; aws s3 cp s3://rtdc.mdm.uploadarchive.raw/RTDC4018/ "%USERPROFILE%\AppData\Local\Temp\OnboardLogs"\RTDC4018\2016-10-25 --exclude "*" --recursive --include "*20161025*" &amp; "%USERPROFILE%\Documents\GitHub\mrs-test-scripts\Headless Mode &amp; Sideloading\WalkAndUnGZ.bat" "%USERPROFILE%\AppData\Local\Temp\OnboardLogs"\RTDC4018\2016-10-25</v>
      </c>
      <c r="AF106" s="88" t="str">
        <f t="shared" si="39"/>
        <v>"C:\Program Files (x86)\AstroGrep\AstroGrep.exe" /spath="%USERPROFILE%\AppData\Local\Temp\OnboardLogs" /stypes="app*4018*20161024*" /stext=" 21:.+((SYSTEM_STATE.+slice.+state.+changed )|(ment ac)|(system.+state.+changed )|(\[timeout)|(PRM\|1\|D)|(kpr)|(kdp)|(\|lc)|(penalty))" /e /r /s</v>
      </c>
      <c r="AG106" s="1" t="str">
        <f t="shared" si="40"/>
        <v>EC</v>
      </c>
      <c r="AH106" s="92" t="str">
        <f t="shared" si="41"/>
        <v>"%USERPROFILE%\Documents\GitHub\eaglep3\Utilities\RefineRTDCRunTimes.py" --tripid 193-24 --locoid 4018 --swversion DE.1.0.7.0 --startMP 204:455 --initTime 2016-10-24T15:11:29 --startdatetime 2016-10-24T15:15:19 --delay 1 --endMP 204:233312 --enddatetime 2016-10-24T15:54:05 --enforcementcount 1 &gt;&gt;C:\Users\stu\Documents\GitHub\eaglep3-reporting\EC\2016-10-24-refined-times.txt</v>
      </c>
      <c r="AI106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{"issue":{"subject":"","project_id":79,"tracker_id":40,"status_id":1,"priority_id":2,"assigned_to_id":23,"start_date":"2016-10-24","description":"","custom_fields":[{"id":1,"name":"Subdivision","value":"EC"},{"id":4,"name":"Milepost","value":"23.3312"},{"id":17,"name":"Train ID","value":"193-24"},{"id":16,"name":"Locomotive ID","value":"4018"},{"id":130,"name":"Impact","value":""},{"id":150,"name":"Time of Event (Mountain Time)","value":"15:54:05"},{"id":151,"name":"Denver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541</v>
      </c>
      <c r="B107" s="7">
        <v>4017</v>
      </c>
      <c r="C107" s="22" t="s">
        <v>99</v>
      </c>
      <c r="D107" s="22" t="s">
        <v>642</v>
      </c>
      <c r="E107" s="13">
        <v>42667.664467592593</v>
      </c>
      <c r="F107" s="13">
        <v>42667.67454861111</v>
      </c>
      <c r="G107" s="7">
        <v>1</v>
      </c>
      <c r="H107" s="13" t="s">
        <v>221</v>
      </c>
      <c r="I107" s="13">
        <v>42667.702314814815</v>
      </c>
      <c r="J107" s="7">
        <v>1</v>
      </c>
      <c r="K107" s="112" t="str">
        <f t="shared" si="29"/>
        <v>4017/4018</v>
      </c>
      <c r="L107" s="22" t="str">
        <f>VLOOKUP(A107,'Trips&amp;Operators'!$C$1:$E$10000,3,FALSE)</f>
        <v>SWANSON</v>
      </c>
      <c r="M107" s="6">
        <f t="shared" si="30"/>
        <v>2.7766203704231884E-2</v>
      </c>
      <c r="N107" s="7">
        <f t="shared" si="31"/>
        <v>39.983333334093913</v>
      </c>
      <c r="O107" s="7"/>
      <c r="P107" s="7"/>
      <c r="Q107" s="23"/>
      <c r="R107" s="23"/>
      <c r="S107" s="35">
        <f t="shared" si="32"/>
        <v>1</v>
      </c>
      <c r="T107" s="50" t="str">
        <f t="shared" si="33"/>
        <v>Southbound</v>
      </c>
      <c r="U107" s="1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14:56:50-0600',mode:absolute,to:'2016-10-24 17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7" s="52" t="str">
        <f t="shared" si="43"/>
        <v>N</v>
      </c>
      <c r="X107" s="171">
        <f t="shared" si="44"/>
        <v>1</v>
      </c>
      <c r="Y107" s="67">
        <f t="shared" si="45"/>
        <v>23.297499999999999</v>
      </c>
      <c r="Z107" s="67">
        <f t="shared" si="35"/>
        <v>1.49E-2</v>
      </c>
      <c r="AA107" s="67">
        <f t="shared" si="36"/>
        <v>23.282599999999999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7"/>
        <v>0194-24</v>
      </c>
      <c r="AE107" s="91" t="str">
        <f t="shared" si="38"/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AF107" s="88" t="str">
        <f t="shared" si="39"/>
        <v>"C:\Program Files (x86)\AstroGrep\AstroGrep.exe" /spath="%USERPROFILE%\AppData\Local\Temp\OnboardLogs" /stypes="app*4017*20161024*" /stext=" 22:.+((SYSTEM_STATE.+slice.+state.+changed )|(ment ac)|(system.+state.+changed )|(\[timeout)|(PRM\|1\|D)|(kpr)|(kdp)|(\|lc)|(penalty))" /e /r /s</v>
      </c>
      <c r="AG107" s="1" t="str">
        <f t="shared" si="40"/>
        <v>EC</v>
      </c>
      <c r="AH107" s="92" t="str">
        <f t="shared" si="41"/>
        <v>"%USERPROFILE%\Documents\GitHub\eaglep3\Utilities\RefineRTDCRunTimes.py" --tripid 194-24 --locoid 4017 --swversion DE.1.0.7.0 --startMP 204:232975 --initTime 2016-10-24T15:56:50 --startdatetime 2016-10-24T16:11:21 --delay 1 --endMP 204:149 --enddatetime 2016-10-24T16:51:20 --enforcementcount 1 &gt;&gt;C:\Users\stu\Documents\GitHub\eaglep3-reporting\EC\2016-10-24-refined-times.txt</v>
      </c>
      <c r="AI107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{"issue":{"subject":"","project_id":79,"tracker_id":40,"status_id":1,"priority_id":2,"assigned_to_id":23,"start_date":"2016-10-24","description":"","custom_fields":[{"id":1,"name":"Subdivision","value":"EC"},{"id":4,"name":"Milepost","value":"0.0149"},{"id":17,"name":"Train ID","value":"194-24"},{"id":16,"name":"Locomotive ID","value":"4017"},{"id":130,"name":"Impact","value":""},{"id":150,"name":"Time of Event (Mountain Time)","value":"16:51:20"},{"id":151,"name":"Denver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x14ac:dyDescent="0.25">
      <c r="A108" s="37" t="s">
        <v>535</v>
      </c>
      <c r="B108" s="7">
        <v>4053</v>
      </c>
      <c r="C108" s="22" t="s">
        <v>99</v>
      </c>
      <c r="D108" s="22" t="s">
        <v>662</v>
      </c>
      <c r="E108" s="13">
        <v>42667.642523148148</v>
      </c>
      <c r="F108" s="13">
        <v>42667.646180555559</v>
      </c>
      <c r="G108" s="7">
        <v>1</v>
      </c>
      <c r="H108" s="13" t="s">
        <v>297</v>
      </c>
      <c r="I108" s="13">
        <v>42667.672280092593</v>
      </c>
      <c r="J108" s="7">
        <v>1</v>
      </c>
      <c r="K108" s="112" t="str">
        <f t="shared" si="29"/>
        <v>4053/4054</v>
      </c>
      <c r="L108" s="22" t="str">
        <f>VLOOKUP(A108,'Trips&amp;Operators'!$C$1:$E$10000,3,FALSE)</f>
        <v>YOUNG</v>
      </c>
      <c r="M108" s="6">
        <f t="shared" si="30"/>
        <v>2.6099537033587694E-2</v>
      </c>
      <c r="N108" s="7">
        <f t="shared" si="31"/>
        <v>37.58333332836628</v>
      </c>
      <c r="O108" s="7"/>
      <c r="P108" s="7"/>
      <c r="Q108" s="23"/>
      <c r="R108" s="23"/>
      <c r="S108" s="35">
        <f t="shared" si="32"/>
        <v>1</v>
      </c>
      <c r="T108" s="50" t="str">
        <f t="shared" si="33"/>
        <v>NorthBound</v>
      </c>
      <c r="U108" s="1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14:25:14-0600',mode:absolute,to:'2016-10-24 17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8" s="52" t="str">
        <f t="shared" si="43"/>
        <v>N</v>
      </c>
      <c r="X108" s="171">
        <f t="shared" si="44"/>
        <v>1</v>
      </c>
      <c r="Y108" s="67">
        <f t="shared" si="45"/>
        <v>4.7300000000000002E-2</v>
      </c>
      <c r="Z108" s="67">
        <f t="shared" si="35"/>
        <v>23.331</v>
      </c>
      <c r="AA108" s="67">
        <f t="shared" si="36"/>
        <v>23.2837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7"/>
        <v>0195-24</v>
      </c>
      <c r="AE108" s="91" t="str">
        <f t="shared" si="38"/>
        <v>aws s3 cp s3://rtdc.mdm.uploadarchive.raw/RTDC4053/ "%USERPROFILE%\AppData\Local\Temp\OnboardLogs"\RTDC4053\2016-10-24 --exclude "*" --recursive --include "*20161024*" &amp; "%USERPROFILE%\Documents\GitHub\mrs-test-scripts\Headless Mode &amp; Sideloading\WalkAndUnGZ.bat" "%USERPROFILE%\AppData\Local\Temp\OnboardLogs"\RTDC4053\2016-10-24 &amp; 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</v>
      </c>
      <c r="AF108" s="88" t="str">
        <f t="shared" si="39"/>
        <v>"C:\Program Files (x86)\AstroGrep\AstroGrep.exe" /spath="%USERPROFILE%\AppData\Local\Temp\OnboardLogs" /stypes="app*4053*20161024*" /stext=" 22:.+((SYSTEM_STATE.+slice.+state.+changed )|(ment ac)|(system.+state.+changed )|(\[timeout)|(PRM\|1\|D)|(kpr)|(kdp)|(\|lc)|(penalty))" /e /r /s</v>
      </c>
      <c r="AG108" s="1" t="str">
        <f t="shared" si="40"/>
        <v>EC</v>
      </c>
      <c r="AH108" s="92" t="str">
        <f t="shared" si="41"/>
        <v>"%USERPROFILE%\Documents\GitHub\eaglep3\Utilities\RefineRTDCRunTimes.py" --tripid 195-24 --locoid 4053 --swversion DE.1.0.7.0 --startMP 204:473 --initTime 2016-10-24T15:25:14 --startdatetime 2016-10-24T15:30:30 --delay 1 --endMP 204:233310 --enddatetime 2016-10-24T16:08:05 --enforcementcount 1 &gt;&gt;C:\Users\stu\Documents\GitHub\eaglep3-reporting\EC\2016-10-24-refined-times.txt</v>
      </c>
      <c r="AI108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{"issue":{"subject":"","project_id":79,"tracker_id":40,"status_id":1,"priority_id":2,"assigned_to_id":23,"start_date":"2016-10-24","description":"","custom_fields":[{"id":1,"name":"Subdivision","value":"EC"},{"id":4,"name":"Milepost","value":"23.331"},{"id":17,"name":"Train ID","value":"195-24"},{"id":16,"name":"Locomotive ID","value":"4053"},{"id":130,"name":"Impact","value":""},{"id":150,"name":"Time of Event (Mountain Time)","value":"16:08:05"},{"id":151,"name":"Denver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544</v>
      </c>
      <c r="B109" s="7">
        <v>4054</v>
      </c>
      <c r="C109" s="22" t="s">
        <v>99</v>
      </c>
      <c r="D109" s="22" t="s">
        <v>253</v>
      </c>
      <c r="E109" s="13">
        <v>42667.674270833333</v>
      </c>
      <c r="F109" s="13">
        <v>42667.684988425928</v>
      </c>
      <c r="G109" s="7">
        <v>3</v>
      </c>
      <c r="H109" s="13" t="s">
        <v>659</v>
      </c>
      <c r="I109" s="13">
        <v>42667.713807870372</v>
      </c>
      <c r="J109" s="7">
        <v>1</v>
      </c>
      <c r="K109" s="112" t="str">
        <f t="shared" si="29"/>
        <v>4053/4054</v>
      </c>
      <c r="L109" s="22" t="str">
        <f>VLOOKUP(A109,'Trips&amp;Operators'!$C$1:$E$10000,3,FALSE)</f>
        <v>YOUNG</v>
      </c>
      <c r="M109" s="6">
        <f t="shared" si="30"/>
        <v>2.8819444443797693E-2</v>
      </c>
      <c r="N109" s="7">
        <f t="shared" ref="N109:N140" si="46">24*60*SUM($M109:$M109)</f>
        <v>41.499999999068677</v>
      </c>
      <c r="O109" s="7"/>
      <c r="P109" s="7"/>
      <c r="Q109" s="23"/>
      <c r="R109" s="23"/>
      <c r="S109" s="35">
        <f t="shared" ref="S109:S140" si="47">SUM(U109:U109)/IF(AG109="EC",12,1)</f>
        <v>1</v>
      </c>
      <c r="T109" s="50" t="str">
        <f t="shared" si="33"/>
        <v>Southbound</v>
      </c>
      <c r="U109" s="1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15:10:57-0600',mode:absolute,to:'2016-10-24 18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9" s="52" t="str">
        <f t="shared" si="43"/>
        <v>N</v>
      </c>
      <c r="X109" s="171">
        <f t="shared" si="44"/>
        <v>1</v>
      </c>
      <c r="Y109" s="67">
        <f t="shared" si="45"/>
        <v>23.299399999999999</v>
      </c>
      <c r="Z109" s="67">
        <f t="shared" ref="Z109:Z140" si="48">RIGHT(H109,LEN(H109)-4)/10000</f>
        <v>1.6899999999999998E-2</v>
      </c>
      <c r="AA109" s="67">
        <f t="shared" si="36"/>
        <v>23.282499999999999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7"/>
        <v>0196-24</v>
      </c>
      <c r="AE109" s="91" t="str">
        <f t="shared" si="38"/>
        <v>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 &amp; 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</v>
      </c>
      <c r="AF109" s="88" t="str">
        <f t="shared" si="39"/>
        <v>"C:\Program Files (x86)\AstroGrep\AstroGrep.exe" /spath="%USERPROFILE%\AppData\Local\Temp\OnboardLogs" /stypes="app*4054*20161024*" /stext=" 23:.+((SYSTEM_STATE.+slice.+state.+changed )|(ment ac)|(system.+state.+changed )|(\[timeout)|(PRM\|1\|D)|(kpr)|(kdp)|(\|lc)|(penalty))" /e /r /s</v>
      </c>
      <c r="AG109" s="1" t="str">
        <f t="shared" si="40"/>
        <v>EC</v>
      </c>
      <c r="AH109" s="92" t="str">
        <f t="shared" si="41"/>
        <v>"%USERPROFILE%\Documents\GitHub\eaglep3\Utilities\RefineRTDCRunTimes.py" --tripid 196-24 --locoid 4054 --swversion DE.1.0.7.0 --startMP 204:232994 --initTime 2016-10-24T16:10:57 --startdatetime 2016-10-24T16:26:23 --delay 3 --endMP 204:169 --enddatetime 2016-10-24T17:07:53 --enforcementcount 1 &gt;&gt;C:\Users\stu\Documents\GitHub\eaglep3-reporting\EC\2016-10-24-refined-times.txt</v>
      </c>
      <c r="AI109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{"issue":{"subject":"","project_id":79,"tracker_id":40,"status_id":1,"priority_id":2,"assigned_to_id":23,"start_date":"2016-10-24","description":"","custom_fields":[{"id":1,"name":"Subdivision","value":"EC"},{"id":4,"name":"Milepost","value":"0.0169"},{"id":17,"name":"Train ID","value":"196-24"},{"id":16,"name":"Locomotive ID","value":"4054"},{"id":130,"name":"Impact","value":""},{"id":150,"name":"Time of Event (Mountain Time)","value":"17:07:53"},{"id":151,"name":"Denver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539</v>
      </c>
      <c r="B110" s="7">
        <v>4038</v>
      </c>
      <c r="C110" s="22" t="s">
        <v>99</v>
      </c>
      <c r="D110" s="22" t="s">
        <v>336</v>
      </c>
      <c r="E110" s="13">
        <v>42667.652685185189</v>
      </c>
      <c r="F110" s="13">
        <v>42667.65662037037</v>
      </c>
      <c r="G110" s="7">
        <v>1</v>
      </c>
      <c r="H110" s="13" t="s">
        <v>231</v>
      </c>
      <c r="I110" s="13">
        <v>42667.680173611108</v>
      </c>
      <c r="J110" s="7">
        <v>1</v>
      </c>
      <c r="K110" s="112" t="str">
        <f t="shared" si="29"/>
        <v>4037/4038</v>
      </c>
      <c r="L110" s="22" t="str">
        <f>VLOOKUP(A110,'Trips&amp;Operators'!$C$1:$E$10000,3,FALSE)</f>
        <v>HELVIE</v>
      </c>
      <c r="M110" s="6">
        <f t="shared" si="30"/>
        <v>2.3553240738692693E-2</v>
      </c>
      <c r="N110" s="7">
        <f t="shared" si="46"/>
        <v>33.916666663717479</v>
      </c>
      <c r="O110" s="7"/>
      <c r="P110" s="7"/>
      <c r="Q110" s="23"/>
      <c r="R110" s="23"/>
      <c r="S110" s="35">
        <f t="shared" si="47"/>
        <v>1</v>
      </c>
      <c r="T110" s="50" t="str">
        <f t="shared" si="33"/>
        <v>NorthBound</v>
      </c>
      <c r="U110" s="1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14:39:52-0600',mode:absolute,to:'2016-10-24 17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0" s="52" t="str">
        <f t="shared" si="43"/>
        <v>N</v>
      </c>
      <c r="X110" s="171">
        <f t="shared" si="44"/>
        <v>1</v>
      </c>
      <c r="Y110" s="67">
        <f t="shared" si="45"/>
        <v>4.7699999999999999E-2</v>
      </c>
      <c r="Z110" s="67">
        <f t="shared" si="48"/>
        <v>23.329499999999999</v>
      </c>
      <c r="AA110" s="67">
        <f t="shared" si="36"/>
        <v>23.2818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7"/>
        <v>0197-24</v>
      </c>
      <c r="AE110" s="91" t="str">
        <f t="shared" si="38"/>
        <v>aws s3 cp s3://rtdc.mdm.uploadarchive.raw/RTDC4038/ "%USERPROFILE%\AppData\Local\Temp\OnboardLogs"\RTDC4038\2016-10-24 --exclude "*" --recursive --include "*20161024*" &amp; "%USERPROFILE%\Documents\GitHub\mrs-test-scripts\Headless Mode &amp; Sideloading\WalkAndUnGZ.bat" "%USERPROFILE%\AppData\Local\Temp\OnboardLogs"\RTDC4038\2016-10-24 &amp; aws s3 cp s3://rtdc.mdm.uploadarchive.raw/RTDC4038/ "%USERPROFILE%\AppData\Local\Temp\OnboardLogs"\RTDC4038\2016-10-25 --exclude "*" --recursive --include "*20161025*" &amp; "%USERPROFILE%\Documents\GitHub\mrs-test-scripts\Headless Mode &amp; Sideloading\WalkAndUnGZ.bat" "%USERPROFILE%\AppData\Local\Temp\OnboardLogs"\RTDC4038\2016-10-25</v>
      </c>
      <c r="AF110" s="88" t="str">
        <f t="shared" si="39"/>
        <v>"C:\Program Files (x86)\AstroGrep\AstroGrep.exe" /spath="%USERPROFILE%\AppData\Local\Temp\OnboardLogs" /stypes="app*4038*20161024*" /stext=" 22:.+((SYSTEM_STATE.+slice.+state.+changed )|(ment ac)|(system.+state.+changed )|(\[timeout)|(PRM\|1\|D)|(kpr)|(kdp)|(\|lc)|(penalty))" /e /r /s</v>
      </c>
      <c r="AG110" s="1" t="str">
        <f t="shared" si="40"/>
        <v>EC</v>
      </c>
      <c r="AH110" s="92" t="str">
        <f t="shared" si="41"/>
        <v>"%USERPROFILE%\Documents\GitHub\eaglep3\Utilities\RefineRTDCRunTimes.py" --tripid 197-24 --locoid 4038 --swversion DE.1.0.7.0 --startMP 204:477 --initTime 2016-10-24T15:39:52 --startdatetime 2016-10-24T15:45:32 --delay 1 --endMP 204:233295 --enddatetime 2016-10-24T16:19:27 --enforcementcount 1 &gt;&gt;C:\Users\stu\Documents\GitHub\eaglep3-reporting\EC\2016-10-24-refined-times.txt</v>
      </c>
      <c r="AI110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{"issue":{"subject":"","project_id":79,"tracker_id":40,"status_id":1,"priority_id":2,"assigned_to_id":23,"start_date":"2016-10-24","description":"","custom_fields":[{"id":1,"name":"Subdivision","value":"EC"},{"id":4,"name":"Milepost","value":"23.3295"},{"id":17,"name":"Train ID","value":"197-24"},{"id":16,"name":"Locomotive ID","value":"4038"},{"id":130,"name":"Impact","value":""},{"id":150,"name":"Time of Event (Mountain Time)","value":"16:19:27"},{"id":151,"name":"Denver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547</v>
      </c>
      <c r="B111" s="7">
        <v>4037</v>
      </c>
      <c r="C111" s="22" t="s">
        <v>99</v>
      </c>
      <c r="D111" s="22" t="s">
        <v>663</v>
      </c>
      <c r="E111" s="13">
        <v>42667.691145833334</v>
      </c>
      <c r="F111" s="13">
        <v>42667.695636574077</v>
      </c>
      <c r="G111" s="7">
        <v>1</v>
      </c>
      <c r="H111" s="13" t="s">
        <v>307</v>
      </c>
      <c r="I111" s="13">
        <v>42667.722187500003</v>
      </c>
      <c r="J111" s="7">
        <v>1</v>
      </c>
      <c r="K111" s="112" t="str">
        <f t="shared" si="29"/>
        <v>4037/4038</v>
      </c>
      <c r="L111" s="22" t="str">
        <f>VLOOKUP(A111,'Trips&amp;Operators'!$C$1:$E$10000,3,FALSE)</f>
        <v>HELVIE</v>
      </c>
      <c r="M111" s="6">
        <f t="shared" si="30"/>
        <v>2.6550925926130731E-2</v>
      </c>
      <c r="N111" s="7">
        <f t="shared" si="46"/>
        <v>38.233333333628252</v>
      </c>
      <c r="O111" s="7"/>
      <c r="P111" s="7"/>
      <c r="Q111" s="23"/>
      <c r="R111" s="23"/>
      <c r="S111" s="35">
        <f t="shared" si="47"/>
        <v>1</v>
      </c>
      <c r="T111" s="50" t="str">
        <f t="shared" si="33"/>
        <v>Southbound</v>
      </c>
      <c r="U111" s="1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15:35:15-0600',mode:absolute,to:'2016-10-24 18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1" s="52" t="str">
        <f t="shared" si="43"/>
        <v>N</v>
      </c>
      <c r="X111" s="171">
        <f t="shared" si="44"/>
        <v>1</v>
      </c>
      <c r="Y111" s="67">
        <f t="shared" si="45"/>
        <v>23.2973</v>
      </c>
      <c r="Z111" s="67">
        <f t="shared" si="48"/>
        <v>1.6299999999999999E-2</v>
      </c>
      <c r="AA111" s="67">
        <f t="shared" si="36"/>
        <v>23.280999999999999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7"/>
        <v>0198-24</v>
      </c>
      <c r="AE111" s="91" t="str">
        <f t="shared" si="38"/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AF111" s="88" t="str">
        <f t="shared" si="39"/>
        <v>"C:\Program Files (x86)\AstroGrep\AstroGrep.exe" /spath="%USERPROFILE%\AppData\Local\Temp\OnboardLogs" /stypes="app*4037*20161024*" /stext=" 23:.+((SYSTEM_STATE.+slice.+state.+changed )|(ment ac)|(system.+state.+changed )|(\[timeout)|(PRM\|1\|D)|(kpr)|(kdp)|(\|lc)|(penalty))" /e /r /s</v>
      </c>
      <c r="AG111" s="1" t="str">
        <f t="shared" si="40"/>
        <v>EC</v>
      </c>
      <c r="AH111" s="92" t="str">
        <f t="shared" si="41"/>
        <v>"%USERPROFILE%\Documents\GitHub\eaglep3\Utilities\RefineRTDCRunTimes.py" --tripid 198-24 --locoid 4037 --swversion DE.1.0.7.0 --startMP 204:232973 --initTime 2016-10-24T16:35:15 --startdatetime 2016-10-24T16:41:43 --delay 1 --endMP 204:163 --enddatetime 2016-10-24T17:19:57 --enforcementcount 1 &gt;&gt;C:\Users\stu\Documents\GitHub\eaglep3-reporting\EC\2016-10-24-refined-times.txt</v>
      </c>
      <c r="AI111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{"issue":{"subject":"","project_id":79,"tracker_id":40,"status_id":1,"priority_id":2,"assigned_to_id":23,"start_date":"2016-10-24","description":"","custom_fields":[{"id":1,"name":"Subdivision","value":"EC"},{"id":4,"name":"Milepost","value":"0.0163"},{"id":17,"name":"Train ID","value":"198-24"},{"id":16,"name":"Locomotive ID","value":"4037"},{"id":130,"name":"Impact","value":""},{"id":150,"name":"Time of Event (Mountain Time)","value":"17:19:57"},{"id":151,"name":"Denver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423</v>
      </c>
      <c r="B112" s="7">
        <v>4022</v>
      </c>
      <c r="C112" s="22" t="s">
        <v>99</v>
      </c>
      <c r="D112" s="22" t="s">
        <v>237</v>
      </c>
      <c r="E112" s="13">
        <v>42667.662789351853</v>
      </c>
      <c r="F112" s="13">
        <v>42667.667233796295</v>
      </c>
      <c r="G112" s="7">
        <v>1</v>
      </c>
      <c r="H112" s="13" t="s">
        <v>617</v>
      </c>
      <c r="I112" s="13">
        <v>42667.692800925928</v>
      </c>
      <c r="J112" s="7">
        <v>1</v>
      </c>
      <c r="K112" s="112" t="str">
        <f t="shared" si="29"/>
        <v>4021/4022</v>
      </c>
      <c r="L112" s="22" t="str">
        <f>VLOOKUP(A112,'Trips&amp;Operators'!$C$1:$E$10000,3,FALSE)</f>
        <v>MAHAN</v>
      </c>
      <c r="M112" s="6">
        <f t="shared" si="30"/>
        <v>2.5567129632690921E-2</v>
      </c>
      <c r="N112" s="7">
        <f t="shared" si="46"/>
        <v>36.816666671074927</v>
      </c>
      <c r="O112" s="7"/>
      <c r="P112" s="7"/>
      <c r="Q112" s="23"/>
      <c r="R112" s="23"/>
      <c r="S112" s="35">
        <f t="shared" si="47"/>
        <v>1</v>
      </c>
      <c r="T112" s="50" t="str">
        <f t="shared" si="33"/>
        <v>NorthBound</v>
      </c>
      <c r="U112" s="1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14:54:25-0600',mode:absolute,to:'2016-10-24 17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2" s="52" t="str">
        <f t="shared" si="43"/>
        <v>N</v>
      </c>
      <c r="X112" s="171">
        <f t="shared" si="44"/>
        <v>1</v>
      </c>
      <c r="Y112" s="67">
        <f t="shared" si="45"/>
        <v>4.5100000000000001E-2</v>
      </c>
      <c r="Z112" s="67">
        <f t="shared" si="48"/>
        <v>23.331900000000001</v>
      </c>
      <c r="AA112" s="67">
        <f t="shared" si="36"/>
        <v>23.286799999999999</v>
      </c>
      <c r="AB112" s="64" t="str">
        <f>VLOOKUP(A112,Enforcements!$C$7:$K$21,8,0)</f>
        <v>Speed (6)</v>
      </c>
      <c r="AC112" s="60" t="str">
        <f>VLOOKUP(A112,Enforcements!$C$7:$E$21,3,0)</f>
        <v>PERMANENT SPEED RESTRICTION</v>
      </c>
      <c r="AD112" s="61" t="str">
        <f t="shared" si="37"/>
        <v>0199-24</v>
      </c>
      <c r="AE112" s="91" t="str">
        <f t="shared" si="38"/>
        <v>aws s3 cp s3://rtdc.mdm.uploadarchive.raw/RTDC4022/ "%USERPROFILE%\AppData\Local\Temp\OnboardLogs"\RTDC4022\2016-10-24 --exclude "*" --recursive --include "*20161024*" &amp; "%USERPROFILE%\Documents\GitHub\mrs-test-scripts\Headless Mode &amp; Sideloading\WalkAndUnGZ.bat" "%USERPROFILE%\AppData\Local\Temp\OnboardLogs"\RTDC4022\2016-10-24 &amp; aws s3 cp s3://rtdc.mdm.uploadarchive.raw/RTDC4022/ "%USERPROFILE%\AppData\Local\Temp\OnboardLogs"\RTDC4022\2016-10-25 --exclude "*" --recursive --include "*20161025*" &amp; "%USERPROFILE%\Documents\GitHub\mrs-test-scripts\Headless Mode &amp; Sideloading\WalkAndUnGZ.bat" "%USERPROFILE%\AppData\Local\Temp\OnboardLogs"\RTDC4022\2016-10-25</v>
      </c>
      <c r="AF112" s="88" t="str">
        <f t="shared" si="39"/>
        <v>"C:\Program Files (x86)\AstroGrep\AstroGrep.exe" /spath="%USERPROFILE%\AppData\Local\Temp\OnboardLogs" /stypes="app*4022*20161024*" /stext=" 22:.+((SYSTEM_STATE.+slice.+state.+changed )|(ment ac)|(system.+state.+changed )|(\[timeout)|(PRM\|1\|D)|(kpr)|(kdp)|(\|lc)|(penalty))" /e /r /s</v>
      </c>
      <c r="AG112" s="1" t="str">
        <f t="shared" si="40"/>
        <v>EC</v>
      </c>
      <c r="AH112" s="92" t="str">
        <f t="shared" si="41"/>
        <v>"%USERPROFILE%\Documents\GitHub\eaglep3\Utilities\RefineRTDCRunTimes.py" --tripid 199-24 --locoid 4022 --swversion DE.1.0.7.0 --startMP 204:451 --initTime 2016-10-24T15:54:25 --startdatetime 2016-10-24T16:00:49 --delay 1 --endMP 204:233319 --enddatetime 2016-10-24T16:37:38 --enforcementcount 1 &gt;&gt;C:\Users\stu\Documents\GitHub\eaglep3-reporting\EC\2016-10-24-refined-times.txt</v>
      </c>
      <c r="AI112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{"issue":{"subject":"","project_id":79,"tracker_id":40,"status_id":1,"priority_id":2,"assigned_to_id":23,"start_date":"2016-10-24","description":"","custom_fields":[{"id":1,"name":"Subdivision","value":"EC"},{"id":4,"name":"Milepost","value":"23.3319"},{"id":17,"name":"Train ID","value":"199-24"},{"id":16,"name":"Locomotive ID","value":"4022"},{"id":130,"name":"Impact","value":""},{"id":150,"name":"Time of Event (Mountain Time)","value":"16:37:38"},{"id":151,"name":"Denver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551</v>
      </c>
      <c r="B113" s="7">
        <v>4021</v>
      </c>
      <c r="C113" s="22" t="s">
        <v>99</v>
      </c>
      <c r="D113" s="22" t="s">
        <v>296</v>
      </c>
      <c r="E113" s="13">
        <v>42667.70140046296</v>
      </c>
      <c r="F113" s="13">
        <v>42667.705995370372</v>
      </c>
      <c r="G113" s="7">
        <v>1</v>
      </c>
      <c r="H113" s="13" t="s">
        <v>224</v>
      </c>
      <c r="I113" s="13">
        <v>42667.734594907408</v>
      </c>
      <c r="J113" s="7">
        <v>1</v>
      </c>
      <c r="K113" s="112" t="str">
        <f t="shared" si="29"/>
        <v>4021/4022</v>
      </c>
      <c r="L113" s="22" t="str">
        <f>VLOOKUP(A113,'Trips&amp;Operators'!$C$1:$E$10000,3,FALSE)</f>
        <v>MAHAN</v>
      </c>
      <c r="M113" s="6">
        <f t="shared" si="30"/>
        <v>2.8599537035916001E-2</v>
      </c>
      <c r="N113" s="7">
        <f t="shared" si="46"/>
        <v>41.183333331719041</v>
      </c>
      <c r="O113" s="7"/>
      <c r="P113" s="7"/>
      <c r="Q113" s="23"/>
      <c r="R113" s="23"/>
      <c r="S113" s="35">
        <f t="shared" si="47"/>
        <v>1</v>
      </c>
      <c r="T113" s="50" t="str">
        <f t="shared" si="33"/>
        <v>Southbound</v>
      </c>
      <c r="U113" s="1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15:50:01-0600',mode:absolute,to:'2016-10-24 18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3" s="52" t="str">
        <f t="shared" si="43"/>
        <v>N</v>
      </c>
      <c r="X113" s="171">
        <f t="shared" si="44"/>
        <v>1</v>
      </c>
      <c r="Y113" s="67">
        <f t="shared" si="45"/>
        <v>23.299299999999999</v>
      </c>
      <c r="Z113" s="67">
        <f t="shared" si="48"/>
        <v>1.4999999999999999E-2</v>
      </c>
      <c r="AA113" s="67">
        <f t="shared" si="36"/>
        <v>23.284299999999998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7"/>
        <v>0200-24</v>
      </c>
      <c r="AE113" s="91" t="str">
        <f t="shared" si="38"/>
        <v>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 &amp; aws s3 cp s3://rtdc.mdm.uploadarchive.raw/RTDC4021/ "%USERPROFILE%\AppData\Local\Temp\OnboardLogs"\RTDC4021\2016-10-25 --exclude "*" --recursive --include "*20161025*" &amp; "%USERPROFILE%\Documents\GitHub\mrs-test-scripts\Headless Mode &amp; Sideloading\WalkAndUnGZ.bat" "%USERPROFILE%\AppData\Local\Temp\OnboardLogs"\RTDC4021\2016-10-25</v>
      </c>
      <c r="AF113" s="88" t="str">
        <f t="shared" si="39"/>
        <v>"C:\Program Files (x86)\AstroGrep\AstroGrep.exe" /spath="%USERPROFILE%\AppData\Local\Temp\OnboardLogs" /stypes="app*4021*20161024*" /stext=" 23:.+((SYSTEM_STATE.+slice.+state.+changed )|(ment ac)|(system.+state.+changed )|(\[timeout)|(PRM\|1\|D)|(kpr)|(kdp)|(\|lc)|(penalty))" /e /r /s</v>
      </c>
      <c r="AG113" s="1" t="str">
        <f t="shared" si="40"/>
        <v>EC</v>
      </c>
      <c r="AH113" s="92" t="str">
        <f t="shared" si="41"/>
        <v>"%USERPROFILE%\Documents\GitHub\eaglep3\Utilities\RefineRTDCRunTimes.py" --tripid 200-24 --locoid 4021 --swversion DE.1.0.7.0 --startMP 204:232993 --initTime 2016-10-24T16:50:01 --startdatetime 2016-10-24T16:56:38 --delay 1 --endMP 204:150 --enddatetime 2016-10-24T17:37:49 --enforcementcount 1 &gt;&gt;C:\Users\stu\Documents\GitHub\eaglep3-reporting\EC\2016-10-24-refined-times.txt</v>
      </c>
      <c r="AI113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{"issue":{"subject":"","project_id":79,"tracker_id":40,"status_id":1,"priority_id":2,"assigned_to_id":23,"start_date":"2016-10-24","description":"","custom_fields":[{"id":1,"name":"Subdivision","value":"EC"},{"id":4,"name":"Milepost","value":"0.015"},{"id":17,"name":"Train ID","value":"200-24"},{"id":16,"name":"Locomotive ID","value":"4021"},{"id":130,"name":"Impact","value":""},{"id":150,"name":"Time of Event (Mountain Time)","value":"17:37:49"},{"id":151,"name":"Denver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542</v>
      </c>
      <c r="B114" s="7">
        <v>4011</v>
      </c>
      <c r="C114" s="22" t="s">
        <v>99</v>
      </c>
      <c r="D114" s="22" t="s">
        <v>652</v>
      </c>
      <c r="E114" s="13">
        <v>42667.672951388886</v>
      </c>
      <c r="F114" s="13">
        <v>42667.677314814813</v>
      </c>
      <c r="G114" s="7">
        <v>1</v>
      </c>
      <c r="H114" s="13" t="s">
        <v>233</v>
      </c>
      <c r="I114" s="13">
        <v>42667.701932870368</v>
      </c>
      <c r="J114" s="7">
        <v>1</v>
      </c>
      <c r="K114" s="112" t="str">
        <f t="shared" si="29"/>
        <v>4011/4012</v>
      </c>
      <c r="L114" s="22" t="str">
        <f>VLOOKUP(A114,'Trips&amp;Operators'!$C$1:$E$10000,3,FALSE)</f>
        <v>STEWART</v>
      </c>
      <c r="M114" s="6">
        <f t="shared" si="30"/>
        <v>2.4618055555038154E-2</v>
      </c>
      <c r="N114" s="7">
        <f t="shared" si="46"/>
        <v>35.449999999254942</v>
      </c>
      <c r="O114" s="7"/>
      <c r="P114" s="7"/>
      <c r="Q114" s="23"/>
      <c r="R114" s="23"/>
      <c r="S114" s="35">
        <f t="shared" si="47"/>
        <v>1</v>
      </c>
      <c r="T114" s="50" t="str">
        <f t="shared" si="33"/>
        <v>NorthBound</v>
      </c>
      <c r="U114" s="1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15:09:03-0600',mode:absolute,to:'2016-10-24 17:50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4" s="52" t="str">
        <f t="shared" si="43"/>
        <v>N</v>
      </c>
      <c r="X114" s="171">
        <f t="shared" si="44"/>
        <v>1</v>
      </c>
      <c r="Y114" s="67">
        <f t="shared" si="45"/>
        <v>4.3499999999999997E-2</v>
      </c>
      <c r="Z114" s="67">
        <f t="shared" si="48"/>
        <v>23.329899999999999</v>
      </c>
      <c r="AA114" s="67">
        <f t="shared" si="36"/>
        <v>23.286399999999997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7"/>
        <v>0201-24</v>
      </c>
      <c r="AE114" s="91" t="str">
        <f t="shared" si="38"/>
        <v>aws s3 cp s3://rtdc.mdm.uploadarchive.raw/RTDC4011/ "%USERPROFILE%\AppData\Local\Temp\OnboardLogs"\RTDC4011\2016-10-24 --exclude "*" --recursive --include "*20161024*" &amp; "%USERPROFILE%\Documents\GitHub\mrs-test-scripts\Headless Mode &amp; Sideloading\WalkAndUnGZ.bat" "%USERPROFILE%\AppData\Local\Temp\OnboardLogs"\RTDC4011\2016-10-24 &amp; 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</v>
      </c>
      <c r="AF114" s="88" t="str">
        <f t="shared" si="39"/>
        <v>"C:\Program Files (x86)\AstroGrep\AstroGrep.exe" /spath="%USERPROFILE%\AppData\Local\Temp\OnboardLogs" /stypes="app*4011*20161024*" /stext=" 22:.+((SYSTEM_STATE.+slice.+state.+changed )|(ment ac)|(system.+state.+changed )|(\[timeout)|(PRM\|1\|D)|(kpr)|(kdp)|(\|lc)|(penalty))" /e /r /s</v>
      </c>
      <c r="AG114" s="1" t="str">
        <f t="shared" si="40"/>
        <v>EC</v>
      </c>
      <c r="AH114" s="92" t="str">
        <f t="shared" si="41"/>
        <v>"%USERPROFILE%\Documents\GitHub\eaglep3\Utilities\RefineRTDCRunTimes.py" --tripid 201-24 --locoid 4011 --swversion DE.1.0.7.0 --startMP 204:435 --initTime 2016-10-24T16:09:03 --startdatetime 2016-10-24T16:15:20 --delay 1 --endMP 204:233299 --enddatetime 2016-10-24T16:50:47 --enforcementcount 1 &gt;&gt;C:\Users\stu\Documents\GitHub\eaglep3-reporting\EC\2016-10-24-refined-times.txt</v>
      </c>
      <c r="AI114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{"issue":{"subject":"","project_id":79,"tracker_id":40,"status_id":1,"priority_id":2,"assigned_to_id":23,"start_date":"2016-10-24","description":"","custom_fields":[{"id":1,"name":"Subdivision","value":"EC"},{"id":4,"name":"Milepost","value":"23.3299"},{"id":17,"name":"Train ID","value":"201-24"},{"id":16,"name":"Locomotive ID","value":"4011"},{"id":130,"name":"Impact","value":""},{"id":150,"name":"Time of Event (Mountain Time)","value":"16:50:47"},{"id":151,"name":"Denver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553</v>
      </c>
      <c r="B115" s="7">
        <v>4012</v>
      </c>
      <c r="C115" s="22" t="s">
        <v>99</v>
      </c>
      <c r="D115" s="22" t="s">
        <v>664</v>
      </c>
      <c r="E115" s="13">
        <v>42667.704259259262</v>
      </c>
      <c r="F115" s="13">
        <v>42667.716458333336</v>
      </c>
      <c r="G115" s="7">
        <v>1</v>
      </c>
      <c r="H115" s="13" t="s">
        <v>259</v>
      </c>
      <c r="I115" s="13">
        <v>42667.742604166669</v>
      </c>
      <c r="J115" s="7">
        <v>1</v>
      </c>
      <c r="K115" s="112" t="str">
        <f t="shared" si="29"/>
        <v>4011/4012</v>
      </c>
      <c r="L115" s="22" t="str">
        <f>VLOOKUP(A115,'Trips&amp;Operators'!$C$1:$E$10000,3,FALSE)</f>
        <v>STEWART</v>
      </c>
      <c r="M115" s="6">
        <f t="shared" si="30"/>
        <v>2.6145833333430346E-2</v>
      </c>
      <c r="N115" s="7">
        <f t="shared" si="46"/>
        <v>37.650000000139698</v>
      </c>
      <c r="O115" s="7"/>
      <c r="P115" s="7"/>
      <c r="Q115" s="23"/>
      <c r="R115" s="23"/>
      <c r="S115" s="35">
        <f t="shared" si="47"/>
        <v>1</v>
      </c>
      <c r="T115" s="50" t="str">
        <f t="shared" si="33"/>
        <v>Southbound</v>
      </c>
      <c r="U115" s="1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15:54:08-0600',mode:absolute,to:'2016-10-24 18:49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5" s="52" t="str">
        <f t="shared" si="43"/>
        <v>N</v>
      </c>
      <c r="X115" s="171">
        <f t="shared" si="44"/>
        <v>1</v>
      </c>
      <c r="Y115" s="67">
        <f t="shared" si="45"/>
        <v>23.296500000000002</v>
      </c>
      <c r="Z115" s="67">
        <f t="shared" si="48"/>
        <v>1.5599999999999999E-2</v>
      </c>
      <c r="AA115" s="67">
        <f t="shared" si="36"/>
        <v>23.280900000000003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7"/>
        <v>0202-24</v>
      </c>
      <c r="AE115" s="91" t="str">
        <f t="shared" si="38"/>
        <v>aws s3 cp s3://rtdc.mdm.uploadarchive.raw/RTDC4012/ "%USERPROFILE%\AppData\Local\Temp\OnboardLogs"\RTDC4012\2016-10-24 --exclude "*" --recursive --include "*20161024*" &amp; "%USERPROFILE%\Documents\GitHub\mrs-test-scripts\Headless Mode &amp; Sideloading\WalkAndUnGZ.bat" "%USERPROFILE%\AppData\Local\Temp\OnboardLogs"\RTDC4012\2016-10-24 &amp; aws s3 cp s3://rtdc.mdm.uploadarchive.raw/RTDC4012/ "%USERPROFILE%\AppData\Local\Temp\OnboardLogs"\RTDC4012\2016-10-25 --exclude "*" --recursive --include "*20161025*" &amp; "%USERPROFILE%\Documents\GitHub\mrs-test-scripts\Headless Mode &amp; Sideloading\WalkAndUnGZ.bat" "%USERPROFILE%\AppData\Local\Temp\OnboardLogs"\RTDC4012\2016-10-25</v>
      </c>
      <c r="AF115" s="88" t="str">
        <f t="shared" si="39"/>
        <v>"C:\Program Files (x86)\AstroGrep\AstroGrep.exe" /spath="%USERPROFILE%\AppData\Local\Temp\OnboardLogs" /stypes="app*4012*20161024*" /stext=" 23:.+((SYSTEM_STATE.+slice.+state.+changed )|(ment ac)|(system.+state.+changed )|(\[timeout)|(PRM\|1\|D)|(kpr)|(kdp)|(\|lc)|(penalty))" /e /r /s</v>
      </c>
      <c r="AG115" s="1" t="str">
        <f t="shared" si="40"/>
        <v>EC</v>
      </c>
      <c r="AH115" s="92" t="str">
        <f t="shared" si="41"/>
        <v>"%USERPROFILE%\Documents\GitHub\eaglep3\Utilities\RefineRTDCRunTimes.py" --tripid 202-24 --locoid 4012 --swversion DE.1.0.7.0 --startMP 204:232965 --initTime 2016-10-24T16:54:08 --startdatetime 2016-10-24T17:11:42 --delay 1 --endMP 204:156 --enddatetime 2016-10-24T17:49:21 --enforcementcount 1 &gt;&gt;C:\Users\stu\Documents\GitHub\eaglep3-reporting\EC\2016-10-24-refined-times.txt</v>
      </c>
      <c r="AI115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{"issue":{"subject":"","project_id":79,"tracker_id":40,"status_id":1,"priority_id":2,"assigned_to_id":23,"start_date":"2016-10-24","description":"","custom_fields":[{"id":1,"name":"Subdivision","value":"EC"},{"id":4,"name":"Milepost","value":"0.0156"},{"id":17,"name":"Train ID","value":"202-24"},{"id":16,"name":"Locomotive ID","value":"4012"},{"id":130,"name":"Impact","value":""},{"id":150,"name":"Time of Event (Mountain Time)","value":"17:49:21"},{"id":151,"name":"Denver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546</v>
      </c>
      <c r="B116" s="7">
        <v>4014</v>
      </c>
      <c r="C116" s="22" t="s">
        <v>99</v>
      </c>
      <c r="D116" s="22" t="s">
        <v>338</v>
      </c>
      <c r="E116" s="13">
        <v>42667.683506944442</v>
      </c>
      <c r="F116" s="13">
        <v>42667.687997685185</v>
      </c>
      <c r="G116" s="7">
        <v>0</v>
      </c>
      <c r="H116" s="13" t="s">
        <v>665</v>
      </c>
      <c r="I116" s="13">
        <v>42667.713449074072</v>
      </c>
      <c r="J116" s="7">
        <v>1</v>
      </c>
      <c r="K116" s="112" t="str">
        <f t="shared" si="29"/>
        <v>4013/4014</v>
      </c>
      <c r="L116" s="22" t="str">
        <f>VLOOKUP(A116,'Trips&amp;Operators'!$C$1:$E$10000,3,FALSE)</f>
        <v>BARTLETT</v>
      </c>
      <c r="M116" s="6">
        <f t="shared" si="30"/>
        <v>2.545138888672227E-2</v>
      </c>
      <c r="N116" s="7">
        <f t="shared" si="46"/>
        <v>36.649999996880069</v>
      </c>
      <c r="O116" s="7"/>
      <c r="P116" s="7"/>
      <c r="Q116" s="23"/>
      <c r="R116" s="23"/>
      <c r="S116" s="35">
        <f t="shared" si="47"/>
        <v>1</v>
      </c>
      <c r="T116" s="50" t="str">
        <f t="shared" si="33"/>
        <v>NorthBound</v>
      </c>
      <c r="U116" s="1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15:24:15-0600',mode:absolute,to:'2016-10-24 18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6" s="52" t="str">
        <f t="shared" si="43"/>
        <v>N</v>
      </c>
      <c r="X116" s="171">
        <f t="shared" si="44"/>
        <v>1</v>
      </c>
      <c r="Y116" s="67">
        <f t="shared" si="45"/>
        <v>4.5699999999999998E-2</v>
      </c>
      <c r="Z116" s="67">
        <f t="shared" si="48"/>
        <v>23.337800000000001</v>
      </c>
      <c r="AA116" s="67">
        <f t="shared" si="36"/>
        <v>23.292100000000001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7"/>
        <v>0203-24</v>
      </c>
      <c r="AE116" s="91" t="str">
        <f t="shared" si="38"/>
        <v>aws s3 cp s3://rtdc.mdm.uploadarchive.raw/RTDC4014/ "%USERPROFILE%\AppData\Local\Temp\OnboardLogs"\RTDC4014\2016-10-24 --exclude "*" --recursive --include "*20161024*" &amp; "%USERPROFILE%\Documents\GitHub\mrs-test-scripts\Headless Mode &amp; Sideloading\WalkAndUnGZ.bat" "%USERPROFILE%\AppData\Local\Temp\OnboardLogs"\RTDC4014\2016-10-24 &amp; aws s3 cp s3://rtdc.mdm.uploadarchive.raw/RTDC4014/ "%USERPROFILE%\AppData\Local\Temp\OnboardLogs"\RTDC4014\2016-10-25 --exclude "*" --recursive --include "*20161025*" &amp; "%USERPROFILE%\Documents\GitHub\mrs-test-scripts\Headless Mode &amp; Sideloading\WalkAndUnGZ.bat" "%USERPROFILE%\AppData\Local\Temp\OnboardLogs"\RTDC4014\2016-10-25</v>
      </c>
      <c r="AF116" s="88" t="str">
        <f t="shared" si="39"/>
        <v>"C:\Program Files (x86)\AstroGrep\AstroGrep.exe" /spath="%USERPROFILE%\AppData\Local\Temp\OnboardLogs" /stypes="app*4014*20161024*" /stext=" 23:.+((SYSTEM_STATE.+slice.+state.+changed )|(ment ac)|(system.+state.+changed )|(\[timeout)|(PRM\|1\|D)|(kpr)|(kdp)|(\|lc)|(penalty))" /e /r /s</v>
      </c>
      <c r="AG116" s="1" t="str">
        <f t="shared" si="40"/>
        <v>EC</v>
      </c>
      <c r="AH116" s="92" t="str">
        <f t="shared" si="41"/>
        <v>"%USERPROFILE%\Documents\GitHub\eaglep3\Utilities\RefineRTDCRunTimes.py" --tripid 203-24 --locoid 4014 --swversion DE.1.0.7.0 --startMP 204:457 --initTime 2016-10-24T16:24:15 --startdatetime 2016-10-24T16:30:43 --delay 0 --endMP 204:233378 --enddatetime 2016-10-24T17:07:22 --enforcementcount 1 &gt;&gt;C:\Users\stu\Documents\GitHub\eaglep3-reporting\EC\2016-10-24-refined-times.txt</v>
      </c>
      <c r="AI116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{"issue":{"subject":"","project_id":79,"tracker_id":40,"status_id":1,"priority_id":2,"assigned_to_id":23,"start_date":"2016-10-24","description":"","custom_fields":[{"id":1,"name":"Subdivision","value":"EC"},{"id":4,"name":"Milepost","value":"23.3378"},{"id":17,"name":"Train ID","value":"203-24"},{"id":16,"name":"Locomotive ID","value":"4014"},{"id":130,"name":"Impact","value":""},{"id":150,"name":"Time of Event (Mountain Time)","value":"17:07:22"},{"id":151,"name":"Denver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556</v>
      </c>
      <c r="B117" s="7">
        <v>4013</v>
      </c>
      <c r="C117" s="22" t="s">
        <v>99</v>
      </c>
      <c r="D117" s="22" t="s">
        <v>666</v>
      </c>
      <c r="E117" s="13">
        <v>42667.715775462966</v>
      </c>
      <c r="F117" s="13">
        <v>42667.726793981485</v>
      </c>
      <c r="G117" s="7">
        <v>1</v>
      </c>
      <c r="H117" s="13" t="s">
        <v>259</v>
      </c>
      <c r="I117" s="13">
        <v>42667.753761574073</v>
      </c>
      <c r="J117" s="7">
        <v>1</v>
      </c>
      <c r="K117" s="112" t="str">
        <f t="shared" si="29"/>
        <v>4013/4014</v>
      </c>
      <c r="L117" s="22" t="str">
        <f>VLOOKUP(A117,'Trips&amp;Operators'!$C$1:$E$10000,3,FALSE)</f>
        <v>BARTLETT</v>
      </c>
      <c r="M117" s="6">
        <f t="shared" si="30"/>
        <v>2.696759258833481E-2</v>
      </c>
      <c r="N117" s="7">
        <f t="shared" si="46"/>
        <v>38.833333327202126</v>
      </c>
      <c r="O117" s="7"/>
      <c r="P117" s="7"/>
      <c r="Q117" s="23"/>
      <c r="R117" s="23"/>
      <c r="S117" s="35">
        <f t="shared" si="47"/>
        <v>1</v>
      </c>
      <c r="T117" s="50" t="str">
        <f t="shared" si="33"/>
        <v>Southbound</v>
      </c>
      <c r="U117" s="1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16:10:43-0600',mode:absolute,to:'2016-10-24 19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7" s="52" t="str">
        <f t="shared" si="43"/>
        <v>N</v>
      </c>
      <c r="X117" s="171">
        <f t="shared" ref="X117:X146" si="49">VALUE(LEFT(AD117,4))-VALUE(LEFT(AD116,4))</f>
        <v>1</v>
      </c>
      <c r="Y117" s="67">
        <f t="shared" si="45"/>
        <v>23.3062</v>
      </c>
      <c r="Z117" s="67">
        <f t="shared" si="48"/>
        <v>1.5599999999999999E-2</v>
      </c>
      <c r="AA117" s="67">
        <f t="shared" si="36"/>
        <v>23.290600000000001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7"/>
        <v>0204-24</v>
      </c>
      <c r="AE117" s="91" t="str">
        <f t="shared" si="38"/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AF117" s="88" t="str">
        <f t="shared" si="39"/>
        <v>"C:\Program Files (x86)\AstroGrep\AstroGrep.exe" /spath="%USERPROFILE%\AppData\Local\Temp\OnboardLogs" /stypes="app*4013*20161025*" /stext=" 00:.+((SYSTEM_STATE.+slice.+state.+changed )|(ment ac)|(system.+state.+changed )|(\[timeout)|(PRM\|1\|D)|(kpr)|(kdp)|(\|lc)|(penalty))" /e /r /s</v>
      </c>
      <c r="AG117" s="1" t="str">
        <f t="shared" si="40"/>
        <v>EC</v>
      </c>
      <c r="AH117" s="92" t="str">
        <f t="shared" si="41"/>
        <v>"%USERPROFILE%\Documents\GitHub\eaglep3\Utilities\RefineRTDCRunTimes.py" --tripid 204-24 --locoid 4013 --swversion DE.1.0.7.0 --startMP 204:233062 --initTime 2016-10-24T17:10:43 --startdatetime 2016-10-24T17:26:35 --delay 1 --endMP 204:156 --enddatetime 2016-10-24T18:05:25 --enforcementcount 1 &gt;&gt;C:\Users\stu\Documents\GitHub\eaglep3-reporting\EC\2016-10-24-refined-times.txt</v>
      </c>
      <c r="AI117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{"issue":{"subject":"","project_id":79,"tracker_id":40,"status_id":1,"priority_id":2,"assigned_to_id":23,"start_date":"2016-10-24","description":"","custom_fields":[{"id":1,"name":"Subdivision","value":"EC"},{"id":4,"name":"Milepost","value":"0.0156"},{"id":17,"name":"Train ID","value":"204-24"},{"id":16,"name":"Locomotive ID","value":"4013"},{"id":130,"name":"Impact","value":""},{"id":150,"name":"Time of Event (Mountain Time)","value":"18:05:25"},{"id":151,"name":"Denver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549</v>
      </c>
      <c r="B118" s="7">
        <v>4016</v>
      </c>
      <c r="C118" s="22" t="s">
        <v>99</v>
      </c>
      <c r="D118" s="22" t="s">
        <v>237</v>
      </c>
      <c r="E118" s="13">
        <v>42667.693703703706</v>
      </c>
      <c r="F118" s="13">
        <v>42667.698067129626</v>
      </c>
      <c r="G118" s="7">
        <v>1</v>
      </c>
      <c r="H118" s="13" t="s">
        <v>233</v>
      </c>
      <c r="I118" s="13">
        <v>42667.722754629627</v>
      </c>
      <c r="J118" s="7">
        <v>1</v>
      </c>
      <c r="K118" s="112" t="str">
        <f t="shared" si="29"/>
        <v>4015/4016</v>
      </c>
      <c r="L118" s="22" t="str">
        <f>VLOOKUP(A118,'Trips&amp;Operators'!$C$1:$E$10000,3,FALSE)</f>
        <v>BONDS</v>
      </c>
      <c r="M118" s="6">
        <f t="shared" si="30"/>
        <v>2.4687500001164153E-2</v>
      </c>
      <c r="N118" s="7">
        <f t="shared" si="46"/>
        <v>35.550000001676381</v>
      </c>
      <c r="O118" s="7"/>
      <c r="P118" s="7"/>
      <c r="Q118" s="23"/>
      <c r="R118" s="23"/>
      <c r="S118" s="35">
        <f t="shared" si="47"/>
        <v>1</v>
      </c>
      <c r="T118" s="50" t="str">
        <f t="shared" si="33"/>
        <v>NorthBound</v>
      </c>
      <c r="U118" s="1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15:38:56-0600',mode:absolute,to:'2016-10-24 18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8" s="52" t="str">
        <f t="shared" si="43"/>
        <v>N</v>
      </c>
      <c r="X118" s="171">
        <f t="shared" si="49"/>
        <v>1</v>
      </c>
      <c r="Y118" s="67">
        <f t="shared" si="45"/>
        <v>4.5100000000000001E-2</v>
      </c>
      <c r="Z118" s="67">
        <f t="shared" si="48"/>
        <v>23.329899999999999</v>
      </c>
      <c r="AA118" s="67">
        <f t="shared" si="36"/>
        <v>23.284799999999997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7"/>
        <v>0205-24</v>
      </c>
      <c r="AE118" s="91" t="str">
        <f t="shared" si="38"/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AF118" s="88" t="str">
        <f t="shared" si="39"/>
        <v>"C:\Program Files (x86)\AstroGrep\AstroGrep.exe" /spath="%USERPROFILE%\AppData\Local\Temp\OnboardLogs" /stypes="app*4016*20161024*" /stext=" 23:.+((SYSTEM_STATE.+slice.+state.+changed )|(ment ac)|(system.+state.+changed )|(\[timeout)|(PRM\|1\|D)|(kpr)|(kdp)|(\|lc)|(penalty))" /e /r /s</v>
      </c>
      <c r="AG118" s="1" t="str">
        <f t="shared" si="40"/>
        <v>EC</v>
      </c>
      <c r="AH118" s="92" t="str">
        <f t="shared" si="41"/>
        <v>"%USERPROFILE%\Documents\GitHub\eaglep3\Utilities\RefineRTDCRunTimes.py" --tripid 205-24 --locoid 4016 --swversion DE.1.0.7.0 --startMP 204:451 --initTime 2016-10-24T16:38:56 --startdatetime 2016-10-24T16:45:13 --delay 1 --endMP 204:233299 --enddatetime 2016-10-24T17:20:46 --enforcementcount 1 &gt;&gt;C:\Users\stu\Documents\GitHub\eaglep3-reporting\EC\2016-10-24-refined-times.txt</v>
      </c>
      <c r="AI118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{"issue":{"subject":"","project_id":79,"tracker_id":40,"status_id":1,"priority_id":2,"assigned_to_id":23,"start_date":"2016-10-24","description":"","custom_fields":[{"id":1,"name":"Subdivision","value":"EC"},{"id":4,"name":"Milepost","value":"23.3299"},{"id":17,"name":"Train ID","value":"205-24"},{"id":16,"name":"Locomotive ID","value":"4016"},{"id":130,"name":"Impact","value":""},{"id":150,"name":"Time of Event (Mountain Time)","value":"17:20:46"},{"id":151,"name":"Denver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559</v>
      </c>
      <c r="B119" s="7">
        <v>4015</v>
      </c>
      <c r="C119" s="22" t="s">
        <v>99</v>
      </c>
      <c r="D119" s="22" t="s">
        <v>291</v>
      </c>
      <c r="E119" s="13">
        <v>42667.727013888885</v>
      </c>
      <c r="F119" s="13">
        <v>42667.737013888887</v>
      </c>
      <c r="G119" s="7">
        <v>1</v>
      </c>
      <c r="H119" s="13" t="s">
        <v>218</v>
      </c>
      <c r="I119" s="13">
        <v>42667.765219907407</v>
      </c>
      <c r="J119" s="7">
        <v>1</v>
      </c>
      <c r="K119" s="112" t="str">
        <f t="shared" si="29"/>
        <v>4015/4016</v>
      </c>
      <c r="L119" s="22" t="str">
        <f>VLOOKUP(A119,'Trips&amp;Operators'!$C$1:$E$10000,3,FALSE)</f>
        <v>BONDS</v>
      </c>
      <c r="M119" s="6">
        <f t="shared" si="30"/>
        <v>2.8206018519995268E-2</v>
      </c>
      <c r="N119" s="7">
        <f t="shared" si="46"/>
        <v>40.616666668793187</v>
      </c>
      <c r="O119" s="7"/>
      <c r="P119" s="7"/>
      <c r="Q119" s="23"/>
      <c r="R119" s="23"/>
      <c r="S119" s="35">
        <f t="shared" si="47"/>
        <v>1</v>
      </c>
      <c r="T119" s="50" t="str">
        <f t="shared" si="33"/>
        <v>Southbound</v>
      </c>
      <c r="U119" s="1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16:26:54-0600',mode:absolute,to:'2016-10-24 19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9" s="52" t="str">
        <f t="shared" si="43"/>
        <v>N</v>
      </c>
      <c r="X119" s="171">
        <f t="shared" si="49"/>
        <v>1</v>
      </c>
      <c r="Y119" s="67">
        <f t="shared" si="45"/>
        <v>23.298400000000001</v>
      </c>
      <c r="Z119" s="67">
        <f t="shared" si="48"/>
        <v>1.54E-2</v>
      </c>
      <c r="AA119" s="67">
        <f t="shared" si="36"/>
        <v>23.283000000000001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7"/>
        <v>0206-24</v>
      </c>
      <c r="AE119" s="91" t="str">
        <f t="shared" si="38"/>
        <v>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 &amp; 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</v>
      </c>
      <c r="AF119" s="88" t="str">
        <f t="shared" si="39"/>
        <v>"C:\Program Files (x86)\AstroGrep\AstroGrep.exe" /spath="%USERPROFILE%\AppData\Local\Temp\OnboardLogs" /stypes="app*4015*20161025*" /stext=" 00:.+((SYSTEM_STATE.+slice.+state.+changed )|(ment ac)|(system.+state.+changed )|(\[timeout)|(PRM\|1\|D)|(kpr)|(kdp)|(\|lc)|(penalty))" /e /r /s</v>
      </c>
      <c r="AG119" s="1" t="str">
        <f t="shared" si="40"/>
        <v>EC</v>
      </c>
      <c r="AH119" s="92" t="str">
        <f t="shared" si="41"/>
        <v>"%USERPROFILE%\Documents\GitHub\eaglep3\Utilities\RefineRTDCRunTimes.py" --tripid 206-24 --locoid 4015 --swversion DE.1.0.7.0 --startMP 204:232984 --initTime 2016-10-24T17:26:54 --startdatetime 2016-10-24T17:41:18 --delay 1 --endMP 204:154 --enddatetime 2016-10-24T18:21:55 --enforcementcount 1 &gt;&gt;C:\Users\stu\Documents\GitHub\eaglep3-reporting\EC\2016-10-24-refined-times.txt</v>
      </c>
      <c r="AI119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{"issue":{"subject":"","project_id":79,"tracker_id":40,"status_id":1,"priority_id":2,"assigned_to_id":23,"start_date":"2016-10-24","description":"","custom_fields":[{"id":1,"name":"Subdivision","value":"EC"},{"id":4,"name":"Milepost","value":"0.0154"},{"id":17,"name":"Train ID","value":"206-24"},{"id":16,"name":"Locomotive ID","value":"4015"},{"id":130,"name":"Impact","value":""},{"id":150,"name":"Time of Event (Mountain Time)","value":"18:21:55"},{"id":151,"name":"Denver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552</v>
      </c>
      <c r="B120" s="7">
        <v>4018</v>
      </c>
      <c r="C120" s="22" t="s">
        <v>99</v>
      </c>
      <c r="D120" s="22" t="s">
        <v>306</v>
      </c>
      <c r="E120" s="13">
        <v>42667.703958333332</v>
      </c>
      <c r="F120" s="13">
        <v>42667.708506944444</v>
      </c>
      <c r="G120" s="7">
        <v>1</v>
      </c>
      <c r="H120" s="13" t="s">
        <v>329</v>
      </c>
      <c r="I120" s="13">
        <v>42667.734525462962</v>
      </c>
      <c r="J120" s="7">
        <v>1</v>
      </c>
      <c r="K120" s="112" t="str">
        <f t="shared" si="29"/>
        <v>4017/4018</v>
      </c>
      <c r="L120" s="22" t="str">
        <f>VLOOKUP(A120,'Trips&amp;Operators'!$C$1:$E$10000,3,FALSE)</f>
        <v>CLARK</v>
      </c>
      <c r="M120" s="6">
        <f t="shared" si="30"/>
        <v>2.6018518517958E-2</v>
      </c>
      <c r="N120" s="7">
        <f t="shared" si="46"/>
        <v>37.46666666585952</v>
      </c>
      <c r="O120" s="7"/>
      <c r="P120" s="7"/>
      <c r="Q120" s="23"/>
      <c r="R120" s="23"/>
      <c r="S120" s="35">
        <f t="shared" si="47"/>
        <v>1</v>
      </c>
      <c r="T120" s="50" t="str">
        <f t="shared" si="33"/>
        <v>NorthBound</v>
      </c>
      <c r="U120" s="1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15:53:42-0600',mode:absolute,to:'2016-10-24 18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0" s="52" t="str">
        <f t="shared" si="43"/>
        <v>N</v>
      </c>
      <c r="X120" s="171">
        <f t="shared" si="49"/>
        <v>1</v>
      </c>
      <c r="Y120" s="67">
        <f t="shared" si="45"/>
        <v>4.6699999999999998E-2</v>
      </c>
      <c r="Z120" s="67">
        <f t="shared" si="48"/>
        <v>23.3306</v>
      </c>
      <c r="AA120" s="67">
        <f t="shared" si="36"/>
        <v>23.283899999999999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7"/>
        <v>0207-24</v>
      </c>
      <c r="AE120" s="91" t="str">
        <f t="shared" si="38"/>
        <v>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 &amp; aws s3 cp s3://rtdc.mdm.uploadarchive.raw/RTDC4018/ "%USERPROFILE%\AppData\Local\Temp\OnboardLogs"\RTDC4018\2016-10-25 --exclude "*" --recursive --include "*20161025*" &amp; "%USERPROFILE%\Documents\GitHub\mrs-test-scripts\Headless Mode &amp; Sideloading\WalkAndUnGZ.bat" "%USERPROFILE%\AppData\Local\Temp\OnboardLogs"\RTDC4018\2016-10-25</v>
      </c>
      <c r="AF120" s="88" t="str">
        <f t="shared" si="39"/>
        <v>"C:\Program Files (x86)\AstroGrep\AstroGrep.exe" /spath="%USERPROFILE%\AppData\Local\Temp\OnboardLogs" /stypes="app*4018*20161024*" /stext=" 23:.+((SYSTEM_STATE.+slice.+state.+changed )|(ment ac)|(system.+state.+changed )|(\[timeout)|(PRM\|1\|D)|(kpr)|(kdp)|(\|lc)|(penalty))" /e /r /s</v>
      </c>
      <c r="AG120" s="1" t="str">
        <f t="shared" si="40"/>
        <v>EC</v>
      </c>
      <c r="AH120" s="92" t="str">
        <f t="shared" si="41"/>
        <v>"%USERPROFILE%\Documents\GitHub\eaglep3\Utilities\RefineRTDCRunTimes.py" --tripid 207-24 --locoid 4018 --swversion DE.1.0.7.0 --startMP 204:467 --initTime 2016-10-24T16:53:42 --startdatetime 2016-10-24T17:00:15 --delay 1 --endMP 204:233306 --enddatetime 2016-10-24T17:37:43 --enforcementcount 1 &gt;&gt;C:\Users\stu\Documents\GitHub\eaglep3-reporting\EC\2016-10-24-refined-times.txt</v>
      </c>
      <c r="AI120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{"issue":{"subject":"","project_id":79,"tracker_id":40,"status_id":1,"priority_id":2,"assigned_to_id":23,"start_date":"2016-10-24","description":"","custom_fields":[{"id":1,"name":"Subdivision","value":"EC"},{"id":4,"name":"Milepost","value":"23.3306"},{"id":17,"name":"Train ID","value":"207-24"},{"id":16,"name":"Locomotive ID","value":"4018"},{"id":130,"name":"Impact","value":""},{"id":150,"name":"Time of Event (Mountain Time)","value":"17:37:43"},{"id":151,"name":"Denver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427</v>
      </c>
      <c r="B121" s="7">
        <v>4017</v>
      </c>
      <c r="C121" s="22" t="s">
        <v>99</v>
      </c>
      <c r="D121" s="22" t="s">
        <v>253</v>
      </c>
      <c r="E121" s="13">
        <v>42667.744201388887</v>
      </c>
      <c r="F121" s="13">
        <v>42667.747384259259</v>
      </c>
      <c r="G121" s="7">
        <v>1</v>
      </c>
      <c r="H121" s="13" t="s">
        <v>667</v>
      </c>
      <c r="I121" s="13">
        <v>42667.778240740743</v>
      </c>
      <c r="J121" s="7">
        <v>1</v>
      </c>
      <c r="K121" s="112" t="str">
        <f t="shared" si="29"/>
        <v>4017/4018</v>
      </c>
      <c r="L121" s="22" t="str">
        <f>VLOOKUP(A121,'Trips&amp;Operators'!$C$1:$E$10000,3,FALSE)</f>
        <v>CLARK</v>
      </c>
      <c r="M121" s="6">
        <f t="shared" si="30"/>
        <v>3.0856481484079268E-2</v>
      </c>
      <c r="N121" s="7">
        <f t="shared" si="46"/>
        <v>44.433333337074146</v>
      </c>
      <c r="O121" s="7"/>
      <c r="P121" s="7"/>
      <c r="Q121" s="23"/>
      <c r="R121" s="23"/>
      <c r="S121" s="35">
        <f t="shared" si="47"/>
        <v>1</v>
      </c>
      <c r="T121" s="50" t="str">
        <f t="shared" si="33"/>
        <v>Southbound</v>
      </c>
      <c r="U121" s="1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16:51:39-0600',mode:absolute,to:'2016-10-24 19:40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1" s="52" t="str">
        <f t="shared" si="43"/>
        <v>N</v>
      </c>
      <c r="X121" s="171">
        <f t="shared" si="49"/>
        <v>1</v>
      </c>
      <c r="Y121" s="67">
        <f t="shared" si="45"/>
        <v>23.299399999999999</v>
      </c>
      <c r="Z121" s="67">
        <f t="shared" si="48"/>
        <v>9.3100000000000002E-2</v>
      </c>
      <c r="AA121" s="67">
        <f t="shared" si="36"/>
        <v>23.206299999999999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7"/>
        <v>0208-24</v>
      </c>
      <c r="AE121" s="91" t="str">
        <f t="shared" si="38"/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AF121" s="88" t="str">
        <f t="shared" si="39"/>
        <v>"C:\Program Files (x86)\AstroGrep\AstroGrep.exe" /spath="%USERPROFILE%\AppData\Local\Temp\OnboardLogs" /stypes="app*4017*20161025*" /stext=" 00:.+((SYSTEM_STATE.+slice.+state.+changed )|(ment ac)|(system.+state.+changed )|(\[timeout)|(PRM\|1\|D)|(kpr)|(kdp)|(\|lc)|(penalty))" /e /r /s</v>
      </c>
      <c r="AG121" s="1" t="str">
        <f t="shared" si="40"/>
        <v>EC</v>
      </c>
      <c r="AH121" s="92" t="str">
        <f t="shared" si="41"/>
        <v>"%USERPROFILE%\Documents\GitHub\eaglep3\Utilities\RefineRTDCRunTimes.py" --tripid 208-24 --locoid 4017 --swversion DE.1.0.7.0 --startMP 204:232994 --initTime 2016-10-24T17:51:39 --startdatetime 2016-10-24T17:56:14 --delay 1 --endMP 204:931 --enddatetime 2016-10-24T18:40:40 --enforcementcount 1 &gt;&gt;C:\Users\stu\Documents\GitHub\eaglep3-reporting\EC\2016-10-24-refined-times.txt</v>
      </c>
      <c r="AI121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{"issue":{"subject":"","project_id":79,"tracker_id":40,"status_id":1,"priority_id":2,"assigned_to_id":23,"start_date":"2016-10-24","description":"","custom_fields":[{"id":1,"name":"Subdivision","value":"EC"},{"id":4,"name":"Milepost","value":"0.0931"},{"id":17,"name":"Train ID","value":"208-24"},{"id":16,"name":"Locomotive ID","value":"4017"},{"id":130,"name":"Impact","value":""},{"id":150,"name":"Time of Event (Mountain Time)","value":"18:40:40"},{"id":151,"name":"Denver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557</v>
      </c>
      <c r="B122" s="7">
        <v>4053</v>
      </c>
      <c r="C122" s="22" t="s">
        <v>99</v>
      </c>
      <c r="D122" s="22" t="s">
        <v>377</v>
      </c>
      <c r="E122" s="13">
        <v>42667.716597222221</v>
      </c>
      <c r="F122" s="13">
        <v>42667.719328703701</v>
      </c>
      <c r="G122" s="7">
        <v>2</v>
      </c>
      <c r="H122" s="13" t="s">
        <v>320</v>
      </c>
      <c r="I122" s="13">
        <v>42667.745567129627</v>
      </c>
      <c r="J122" s="7">
        <v>1</v>
      </c>
      <c r="K122" s="112" t="str">
        <f t="shared" si="29"/>
        <v>4053/4054</v>
      </c>
      <c r="L122" s="22" t="str">
        <f>VLOOKUP(A122,'Trips&amp;Operators'!$C$1:$E$10000,3,FALSE)</f>
        <v>LEVERE</v>
      </c>
      <c r="M122" s="6">
        <f t="shared" si="30"/>
        <v>2.6238425925839692E-2</v>
      </c>
      <c r="N122" s="7">
        <f t="shared" si="46"/>
        <v>37.783333333209157</v>
      </c>
      <c r="O122" s="7"/>
      <c r="P122" s="7"/>
      <c r="Q122" s="23"/>
      <c r="R122" s="23"/>
      <c r="S122" s="35">
        <f t="shared" si="47"/>
        <v>1</v>
      </c>
      <c r="T122" s="50" t="str">
        <f t="shared" si="33"/>
        <v>NorthBound</v>
      </c>
      <c r="U122" s="1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16:11:54-0600',mode:absolute,to:'2016-10-24 18:53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2" s="52" t="str">
        <f t="shared" si="43"/>
        <v>N</v>
      </c>
      <c r="X122" s="171">
        <f t="shared" si="49"/>
        <v>1</v>
      </c>
      <c r="Y122" s="67">
        <f t="shared" si="45"/>
        <v>4.7500000000000001E-2</v>
      </c>
      <c r="Z122" s="67">
        <f t="shared" si="48"/>
        <v>23.3291</v>
      </c>
      <c r="AA122" s="67">
        <f t="shared" si="36"/>
        <v>23.281600000000001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7"/>
        <v>0209-24</v>
      </c>
      <c r="AE122" s="91" t="str">
        <f t="shared" si="38"/>
        <v>aws s3 cp s3://rtdc.mdm.uploadarchive.raw/RTDC4053/ "%USERPROFILE%\AppData\Local\Temp\OnboardLogs"\RTDC4053\2016-10-24 --exclude "*" --recursive --include "*20161024*" &amp; "%USERPROFILE%\Documents\GitHub\mrs-test-scripts\Headless Mode &amp; Sideloading\WalkAndUnGZ.bat" "%USERPROFILE%\AppData\Local\Temp\OnboardLogs"\RTDC4053\2016-10-24 &amp; 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</v>
      </c>
      <c r="AF122" s="88" t="str">
        <f t="shared" si="39"/>
        <v>"C:\Program Files (x86)\AstroGrep\AstroGrep.exe" /spath="%USERPROFILE%\AppData\Local\Temp\OnboardLogs" /stypes="app*4053*20161024*" /stext=" 23:.+((SYSTEM_STATE.+slice.+state.+changed )|(ment ac)|(system.+state.+changed )|(\[timeout)|(PRM\|1\|D)|(kpr)|(kdp)|(\|lc)|(penalty))" /e /r /s</v>
      </c>
      <c r="AG122" s="1" t="str">
        <f t="shared" si="40"/>
        <v>EC</v>
      </c>
      <c r="AH122" s="92" t="str">
        <f t="shared" si="41"/>
        <v>"%USERPROFILE%\Documents\GitHub\eaglep3\Utilities\RefineRTDCRunTimes.py" --tripid 209-24 --locoid 4053 --swversion DE.1.0.7.0 --startMP 204:475 --initTime 2016-10-24T17:11:54 --startdatetime 2016-10-24T17:15:50 --delay 2 --endMP 204:233291 --enddatetime 2016-10-24T17:53:37 --enforcementcount 1 &gt;&gt;C:\Users\stu\Documents\GitHub\eaglep3-reporting\EC\2016-10-24-refined-times.txt</v>
      </c>
      <c r="AI122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{"issue":{"subject":"","project_id":79,"tracker_id":40,"status_id":1,"priority_id":2,"assigned_to_id":23,"start_date":"2016-10-24","description":"","custom_fields":[{"id":1,"name":"Subdivision","value":"EC"},{"id":4,"name":"Milepost","value":"23.3291"},{"id":17,"name":"Train ID","value":"209-24"},{"id":16,"name":"Locomotive ID","value":"4053"},{"id":130,"name":"Impact","value":""},{"id":150,"name":"Time of Event (Mountain Time)","value":"17:53:37"},{"id":151,"name":"Denver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566</v>
      </c>
      <c r="B123" s="7">
        <v>4054</v>
      </c>
      <c r="C123" s="22" t="s">
        <v>99</v>
      </c>
      <c r="D123" s="22" t="s">
        <v>321</v>
      </c>
      <c r="E123" s="13">
        <v>42667.751168981478</v>
      </c>
      <c r="F123" s="13">
        <v>42667.758009259262</v>
      </c>
      <c r="G123" s="7">
        <v>1</v>
      </c>
      <c r="H123" s="13" t="s">
        <v>177</v>
      </c>
      <c r="I123" s="13">
        <v>42667.785601851851</v>
      </c>
      <c r="J123" s="7">
        <v>1</v>
      </c>
      <c r="K123" s="112" t="str">
        <f t="shared" si="29"/>
        <v>4053/4054</v>
      </c>
      <c r="L123" s="22" t="str">
        <f>VLOOKUP(A123,'Trips&amp;Operators'!$C$1:$E$10000,3,FALSE)</f>
        <v>LEVERE</v>
      </c>
      <c r="M123" s="6">
        <f t="shared" si="30"/>
        <v>2.7592592588916887E-2</v>
      </c>
      <c r="N123" s="7">
        <f t="shared" si="46"/>
        <v>39.733333328040317</v>
      </c>
      <c r="O123" s="7"/>
      <c r="P123" s="7"/>
      <c r="Q123" s="23"/>
      <c r="R123" s="23"/>
      <c r="S123" s="35">
        <f t="shared" si="47"/>
        <v>1</v>
      </c>
      <c r="T123" s="50" t="str">
        <f t="shared" si="33"/>
        <v>Southbound</v>
      </c>
      <c r="U123" s="1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17:01:41-0600',mode:absolute,to:'2016-10-24 19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3" s="52" t="str">
        <f t="shared" si="43"/>
        <v>N</v>
      </c>
      <c r="X123" s="171">
        <f t="shared" si="49"/>
        <v>1</v>
      </c>
      <c r="Y123" s="67">
        <f t="shared" si="45"/>
        <v>23.2971</v>
      </c>
      <c r="Z123" s="67">
        <f t="shared" si="48"/>
        <v>1.52E-2</v>
      </c>
      <c r="AA123" s="67">
        <f t="shared" si="36"/>
        <v>23.2819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7"/>
        <v>0210-24</v>
      </c>
      <c r="AE123" s="91" t="str">
        <f t="shared" si="38"/>
        <v>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 &amp; 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</v>
      </c>
      <c r="AF123" s="88" t="str">
        <f t="shared" si="39"/>
        <v>"C:\Program Files (x86)\AstroGrep\AstroGrep.exe" /spath="%USERPROFILE%\AppData\Local\Temp\OnboardLogs" /stypes="app*4054*20161025*" /stext=" 00:.+((SYSTEM_STATE.+slice.+state.+changed )|(ment ac)|(system.+state.+changed )|(\[timeout)|(PRM\|1\|D)|(kpr)|(kdp)|(\|lc)|(penalty))" /e /r /s</v>
      </c>
      <c r="AG123" s="1" t="str">
        <f t="shared" si="40"/>
        <v>EC</v>
      </c>
      <c r="AH123" s="92" t="str">
        <f t="shared" si="41"/>
        <v>"%USERPROFILE%\Documents\GitHub\eaglep3\Utilities\RefineRTDCRunTimes.py" --tripid 210-24 --locoid 4054 --swversion DE.1.0.7.0 --startMP 204:232971 --initTime 2016-10-24T18:01:41 --startdatetime 2016-10-24T18:11:32 --delay 1 --endMP 204:152 --enddatetime 2016-10-24T18:51:16 --enforcementcount 1 &gt;&gt;C:\Users\stu\Documents\GitHub\eaglep3-reporting\EC\2016-10-24-refined-times.txt</v>
      </c>
      <c r="AI123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{"issue":{"subject":"","project_id":79,"tracker_id":40,"status_id":1,"priority_id":2,"assigned_to_id":23,"start_date":"2016-10-24","description":"","custom_fields":[{"id":1,"name":"Subdivision","value":"EC"},{"id":4,"name":"Milepost","value":"0.0152"},{"id":17,"name":"Train ID","value":"210-24"},{"id":16,"name":"Locomotive ID","value":"4054"},{"id":130,"name":"Impact","value":""},{"id":150,"name":"Time of Event (Mountain Time)","value":"18:51:16"},{"id":151,"name":"Denver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558</v>
      </c>
      <c r="B124" s="7">
        <v>4038</v>
      </c>
      <c r="C124" s="22" t="s">
        <v>99</v>
      </c>
      <c r="D124" s="22" t="s">
        <v>292</v>
      </c>
      <c r="E124" s="13">
        <v>42667.724907407406</v>
      </c>
      <c r="F124" s="13">
        <v>42667.729490740741</v>
      </c>
      <c r="G124" s="7">
        <v>6</v>
      </c>
      <c r="H124" s="13" t="s">
        <v>183</v>
      </c>
      <c r="I124" s="13">
        <v>42667.756689814814</v>
      </c>
      <c r="J124" s="7">
        <v>1</v>
      </c>
      <c r="K124" s="112" t="str">
        <f t="shared" si="29"/>
        <v>4037/4038</v>
      </c>
      <c r="L124" s="22" t="str">
        <f>VLOOKUP(A124,'Trips&amp;Operators'!$C$1:$E$10000,3,FALSE)</f>
        <v>YOUNG</v>
      </c>
      <c r="M124" s="6">
        <f t="shared" si="30"/>
        <v>2.7199074072996154E-2</v>
      </c>
      <c r="N124" s="7">
        <f t="shared" si="46"/>
        <v>39.166666665114462</v>
      </c>
      <c r="O124" s="7"/>
      <c r="P124" s="7"/>
      <c r="Q124" s="23"/>
      <c r="R124" s="23"/>
      <c r="S124" s="35">
        <f t="shared" si="47"/>
        <v>1</v>
      </c>
      <c r="T124" s="50" t="str">
        <f t="shared" si="33"/>
        <v>NorthBound</v>
      </c>
      <c r="U124" s="1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16:23:52-0600',mode:absolute,to:'2016-10-24 19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4" s="52" t="str">
        <f t="shared" si="43"/>
        <v>N</v>
      </c>
      <c r="X124" s="171">
        <f t="shared" si="49"/>
        <v>1</v>
      </c>
      <c r="Y124" s="67">
        <f t="shared" si="45"/>
        <v>4.6199999999999998E-2</v>
      </c>
      <c r="Z124" s="67">
        <f t="shared" si="48"/>
        <v>23.331199999999999</v>
      </c>
      <c r="AA124" s="67">
        <f t="shared" si="36"/>
        <v>23.285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7"/>
        <v>0211-24</v>
      </c>
      <c r="AE124" s="91" t="str">
        <f t="shared" si="38"/>
        <v>aws s3 cp s3://rtdc.mdm.uploadarchive.raw/RTDC4038/ "%USERPROFILE%\AppData\Local\Temp\OnboardLogs"\RTDC4038\2016-10-24 --exclude "*" --recursive --include "*20161024*" &amp; "%USERPROFILE%\Documents\GitHub\mrs-test-scripts\Headless Mode &amp; Sideloading\WalkAndUnGZ.bat" "%USERPROFILE%\AppData\Local\Temp\OnboardLogs"\RTDC4038\2016-10-24 &amp; aws s3 cp s3://rtdc.mdm.uploadarchive.raw/RTDC4038/ "%USERPROFILE%\AppData\Local\Temp\OnboardLogs"\RTDC4038\2016-10-25 --exclude "*" --recursive --include "*20161025*" &amp; "%USERPROFILE%\Documents\GitHub\mrs-test-scripts\Headless Mode &amp; Sideloading\WalkAndUnGZ.bat" "%USERPROFILE%\AppData\Local\Temp\OnboardLogs"\RTDC4038\2016-10-25</v>
      </c>
      <c r="AF124" s="88" t="str">
        <f t="shared" si="39"/>
        <v>"C:\Program Files (x86)\AstroGrep\AstroGrep.exe" /spath="%USERPROFILE%\AppData\Local\Temp\OnboardLogs" /stypes="app*4038*20161025*" /stext=" 00:.+((SYSTEM_STATE.+slice.+state.+changed )|(ment ac)|(system.+state.+changed )|(\[timeout)|(PRM\|1\|D)|(kpr)|(kdp)|(\|lc)|(penalty))" /e /r /s</v>
      </c>
      <c r="AG124" s="1" t="str">
        <f t="shared" si="40"/>
        <v>EC</v>
      </c>
      <c r="AH124" s="92" t="str">
        <f t="shared" si="41"/>
        <v>"%USERPROFILE%\Documents\GitHub\eaglep3\Utilities\RefineRTDCRunTimes.py" --tripid 211-24 --locoid 4038 --swversion DE.1.0.7.0 --startMP 204:462 --initTime 2016-10-24T17:23:52 --startdatetime 2016-10-24T17:30:28 --delay 6 --endMP 204:233312 --enddatetime 2016-10-24T18:09:38 --enforcementcount 1 &gt;&gt;C:\Users\stu\Documents\GitHub\eaglep3-reporting\EC\2016-10-24-refined-times.txt</v>
      </c>
      <c r="AI124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{"issue":{"subject":"","project_id":79,"tracker_id":40,"status_id":1,"priority_id":2,"assigned_to_id":23,"start_date":"2016-10-24","description":"","custom_fields":[{"id":1,"name":"Subdivision","value":"EC"},{"id":4,"name":"Milepost","value":"23.3312"},{"id":17,"name":"Train ID","value":"211-24"},{"id":16,"name":"Locomotive ID","value":"4038"},{"id":130,"name":"Impact","value":""},{"id":150,"name":"Time of Event (Mountain Time)","value":"18:09:38"},{"id":151,"name":"Denver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569</v>
      </c>
      <c r="B125" s="7">
        <v>4037</v>
      </c>
      <c r="C125" s="22" t="s">
        <v>99</v>
      </c>
      <c r="D125" s="22" t="s">
        <v>296</v>
      </c>
      <c r="E125" s="13">
        <v>42667.76253472222</v>
      </c>
      <c r="F125" s="13">
        <v>42667.76835648148</v>
      </c>
      <c r="G125" s="7">
        <v>1</v>
      </c>
      <c r="H125" s="13" t="s">
        <v>342</v>
      </c>
      <c r="I125" s="13">
        <v>42667.79855324074</v>
      </c>
      <c r="J125" s="7">
        <v>1</v>
      </c>
      <c r="K125" s="112" t="str">
        <f t="shared" si="29"/>
        <v>4037/4038</v>
      </c>
      <c r="L125" s="22" t="str">
        <f>VLOOKUP(A125,'Trips&amp;Operators'!$C$1:$E$10000,3,FALSE)</f>
        <v>YOUNG</v>
      </c>
      <c r="M125" s="6">
        <f t="shared" si="30"/>
        <v>3.0196759260434192E-2</v>
      </c>
      <c r="N125" s="7">
        <f t="shared" si="46"/>
        <v>43.483333335025236</v>
      </c>
      <c r="O125" s="7"/>
      <c r="P125" s="7"/>
      <c r="Q125" s="23"/>
      <c r="R125" s="23"/>
      <c r="S125" s="35">
        <f t="shared" si="47"/>
        <v>1</v>
      </c>
      <c r="T125" s="50" t="str">
        <f t="shared" si="33"/>
        <v>Southbound</v>
      </c>
      <c r="U125" s="1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17:18:03-0600',mode:absolute,to:'2016-10-24 20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5" s="52" t="str">
        <f t="shared" si="43"/>
        <v>N</v>
      </c>
      <c r="X125" s="171">
        <f t="shared" si="49"/>
        <v>1</v>
      </c>
      <c r="Y125" s="67">
        <f t="shared" si="45"/>
        <v>23.299299999999999</v>
      </c>
      <c r="Z125" s="67">
        <f t="shared" si="48"/>
        <v>1.67E-2</v>
      </c>
      <c r="AA125" s="67">
        <f t="shared" si="36"/>
        <v>23.282599999999999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7"/>
        <v>0212-24</v>
      </c>
      <c r="AE125" s="91" t="str">
        <f t="shared" si="38"/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AF125" s="88" t="str">
        <f t="shared" si="39"/>
        <v>"C:\Program Files (x86)\AstroGrep\AstroGrep.exe" /spath="%USERPROFILE%\AppData\Local\Temp\OnboardLogs" /stypes="app*4037*20161025*" /stext=" 01:.+((SYSTEM_STATE.+slice.+state.+changed )|(ment ac)|(system.+state.+changed )|(\[timeout)|(PRM\|1\|D)|(kpr)|(kdp)|(\|lc)|(penalty))" /e /r /s</v>
      </c>
      <c r="AG125" s="1" t="str">
        <f t="shared" si="40"/>
        <v>EC</v>
      </c>
      <c r="AH125" s="92" t="str">
        <f t="shared" si="41"/>
        <v>"%USERPROFILE%\Documents\GitHub\eaglep3\Utilities\RefineRTDCRunTimes.py" --tripid 212-24 --locoid 4037 --swversion DE.1.0.7.0 --startMP 204:232993 --initTime 2016-10-24T18:18:03 --startdatetime 2016-10-24T18:26:26 --delay 1 --endMP 204:167 --enddatetime 2016-10-24T19:09:55 --enforcementcount 1 &gt;&gt;C:\Users\stu\Documents\GitHub\eaglep3-reporting\EC\2016-10-24-refined-times.txt</v>
      </c>
      <c r="AI125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{"issue":{"subject":"","project_id":79,"tracker_id":40,"status_id":1,"priority_id":2,"assigned_to_id":23,"start_date":"2016-10-24","description":"","custom_fields":[{"id":1,"name":"Subdivision","value":"EC"},{"id":4,"name":"Milepost","value":"0.0167"},{"id":17,"name":"Train ID","value":"212-24"},{"id":16,"name":"Locomotive ID","value":"4037"},{"id":130,"name":"Impact","value":""},{"id":150,"name":"Time of Event (Mountain Time)","value":"19:09:55"},{"id":151,"name":"Denver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562</v>
      </c>
      <c r="B126" s="7">
        <v>4022</v>
      </c>
      <c r="C126" s="22" t="s">
        <v>99</v>
      </c>
      <c r="D126" s="22" t="s">
        <v>327</v>
      </c>
      <c r="E126" s="13">
        <v>42667.73746527778</v>
      </c>
      <c r="F126" s="13">
        <v>42667.739791666667</v>
      </c>
      <c r="G126" s="7">
        <v>2</v>
      </c>
      <c r="H126" s="13" t="s">
        <v>641</v>
      </c>
      <c r="I126" s="13">
        <v>42667.763888888891</v>
      </c>
      <c r="J126" s="7">
        <v>1</v>
      </c>
      <c r="K126" s="112" t="str">
        <f t="shared" si="29"/>
        <v>4021/4022</v>
      </c>
      <c r="L126" s="22" t="str">
        <f>VLOOKUP(A126,'Trips&amp;Operators'!$C$1:$E$10000,3,FALSE)</f>
        <v>NEWELL</v>
      </c>
      <c r="M126" s="6">
        <f t="shared" si="30"/>
        <v>2.4097222223645076E-2</v>
      </c>
      <c r="N126" s="7">
        <f t="shared" si="46"/>
        <v>34.70000000204891</v>
      </c>
      <c r="O126" s="7"/>
      <c r="P126" s="7"/>
      <c r="Q126" s="23"/>
      <c r="R126" s="23"/>
      <c r="S126" s="35">
        <f t="shared" si="47"/>
        <v>1</v>
      </c>
      <c r="T126" s="50" t="str">
        <f t="shared" si="33"/>
        <v>NorthBound</v>
      </c>
      <c r="U126" s="1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16:41:57-0600',mode:absolute,to:'2016-10-24 19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6" s="52" t="str">
        <f t="shared" si="43"/>
        <v>N</v>
      </c>
      <c r="X126" s="171">
        <f t="shared" si="49"/>
        <v>1</v>
      </c>
      <c r="Y126" s="67">
        <f t="shared" si="45"/>
        <v>4.7800000000000002E-2</v>
      </c>
      <c r="Z126" s="67">
        <f t="shared" si="48"/>
        <v>23.327999999999999</v>
      </c>
      <c r="AA126" s="67">
        <f t="shared" si="36"/>
        <v>23.280200000000001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7"/>
        <v>0213-24</v>
      </c>
      <c r="AE126" s="91" t="str">
        <f t="shared" si="38"/>
        <v>aws s3 cp s3://rtdc.mdm.uploadarchive.raw/RTDC4022/ "%USERPROFILE%\AppData\Local\Temp\OnboardLogs"\RTDC4022\2016-10-24 --exclude "*" --recursive --include "*20161024*" &amp; "%USERPROFILE%\Documents\GitHub\mrs-test-scripts\Headless Mode &amp; Sideloading\WalkAndUnGZ.bat" "%USERPROFILE%\AppData\Local\Temp\OnboardLogs"\RTDC4022\2016-10-24 &amp; aws s3 cp s3://rtdc.mdm.uploadarchive.raw/RTDC4022/ "%USERPROFILE%\AppData\Local\Temp\OnboardLogs"\RTDC4022\2016-10-25 --exclude "*" --recursive --include "*20161025*" &amp; "%USERPROFILE%\Documents\GitHub\mrs-test-scripts\Headless Mode &amp; Sideloading\WalkAndUnGZ.bat" "%USERPROFILE%\AppData\Local\Temp\OnboardLogs"\RTDC4022\2016-10-25</v>
      </c>
      <c r="AF126" s="88" t="str">
        <f t="shared" si="39"/>
        <v>"C:\Program Files (x86)\AstroGrep\AstroGrep.exe" /spath="%USERPROFILE%\AppData\Local\Temp\OnboardLogs" /stypes="app*4022*20161025*" /stext=" 00:.+((SYSTEM_STATE.+slice.+state.+changed )|(ment ac)|(system.+state.+changed )|(\[timeout)|(PRM\|1\|D)|(kpr)|(kdp)|(\|lc)|(penalty))" /e /r /s</v>
      </c>
      <c r="AG126" s="1" t="str">
        <f t="shared" si="40"/>
        <v>EC</v>
      </c>
      <c r="AH126" s="92" t="str">
        <f t="shared" si="41"/>
        <v>"%USERPROFILE%\Documents\GitHub\eaglep3\Utilities\RefineRTDCRunTimes.py" --tripid 213-24 --locoid 4022 --swversion DE.1.0.7.0 --startMP 204:478 --initTime 2016-10-24T17:41:57 --startdatetime 2016-10-24T17:45:18 --delay 2 --endMP 204:233280 --enddatetime 2016-10-24T18:20:00 --enforcementcount 1 &gt;&gt;C:\Users\stu\Documents\GitHub\eaglep3-reporting\EC\2016-10-24-refined-times.txt</v>
      </c>
      <c r="AI126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{"issue":{"subject":"","project_id":79,"tracker_id":40,"status_id":1,"priority_id":2,"assigned_to_id":23,"start_date":"2016-10-24","description":"","custom_fields":[{"id":1,"name":"Subdivision","value":"EC"},{"id":4,"name":"Milepost","value":"23.328"},{"id":17,"name":"Train ID","value":"213-24"},{"id":16,"name":"Locomotive ID","value":"4022"},{"id":130,"name":"Impact","value":""},{"id":150,"name":"Time of Event (Mountain Time)","value":"18:20:00"},{"id":151,"name":"Denver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571</v>
      </c>
      <c r="B127" s="7">
        <v>4021</v>
      </c>
      <c r="C127" s="22" t="s">
        <v>99</v>
      </c>
      <c r="D127" s="22" t="s">
        <v>273</v>
      </c>
      <c r="E127" s="13">
        <v>42667.770335648151</v>
      </c>
      <c r="F127" s="13">
        <v>42667.778796296298</v>
      </c>
      <c r="G127" s="7">
        <v>1</v>
      </c>
      <c r="H127" s="13" t="s">
        <v>218</v>
      </c>
      <c r="I127" s="13">
        <v>42667.804907407408</v>
      </c>
      <c r="J127" s="7">
        <v>1</v>
      </c>
      <c r="K127" s="112" t="str">
        <f t="shared" si="29"/>
        <v>4021/4022</v>
      </c>
      <c r="L127" s="22" t="str">
        <f>VLOOKUP(A127,'Trips&amp;Operators'!$C$1:$E$10000,3,FALSE)</f>
        <v>NEWELL</v>
      </c>
      <c r="M127" s="6">
        <f t="shared" si="30"/>
        <v>2.6111111110367347E-2</v>
      </c>
      <c r="N127" s="7">
        <f t="shared" si="46"/>
        <v>37.599999998928979</v>
      </c>
      <c r="O127" s="7"/>
      <c r="P127" s="7"/>
      <c r="Q127" s="23"/>
      <c r="R127" s="23"/>
      <c r="S127" s="35">
        <f t="shared" si="47"/>
        <v>1</v>
      </c>
      <c r="T127" s="50" t="str">
        <f t="shared" si="33"/>
        <v>Southbound</v>
      </c>
      <c r="U127" s="1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17:29:17-0600',mode:absolute,to:'2016-10-24 20:19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7" s="52" t="str">
        <f t="shared" si="43"/>
        <v>N</v>
      </c>
      <c r="X127" s="171">
        <f t="shared" si="49"/>
        <v>1</v>
      </c>
      <c r="Y127" s="67">
        <f t="shared" si="45"/>
        <v>23.298999999999999</v>
      </c>
      <c r="Z127" s="67">
        <f t="shared" si="48"/>
        <v>1.54E-2</v>
      </c>
      <c r="AA127" s="67">
        <f t="shared" si="36"/>
        <v>23.2836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7"/>
        <v>0214-24</v>
      </c>
      <c r="AE127" s="91" t="str">
        <f t="shared" si="38"/>
        <v>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 &amp; aws s3 cp s3://rtdc.mdm.uploadarchive.raw/RTDC4021/ "%USERPROFILE%\AppData\Local\Temp\OnboardLogs"\RTDC4021\2016-10-25 --exclude "*" --recursive --include "*20161025*" &amp; "%USERPROFILE%\Documents\GitHub\mrs-test-scripts\Headless Mode &amp; Sideloading\WalkAndUnGZ.bat" "%USERPROFILE%\AppData\Local\Temp\OnboardLogs"\RTDC4021\2016-10-25</v>
      </c>
      <c r="AF127" s="88" t="str">
        <f t="shared" si="39"/>
        <v>"C:\Program Files (x86)\AstroGrep\AstroGrep.exe" /spath="%USERPROFILE%\AppData\Local\Temp\OnboardLogs" /stypes="app*4021*20161025*" /stext=" 01:.+((SYSTEM_STATE.+slice.+state.+changed )|(ment ac)|(system.+state.+changed )|(\[timeout)|(PRM\|1\|D)|(kpr)|(kdp)|(\|lc)|(penalty))" /e /r /s</v>
      </c>
      <c r="AG127" s="1" t="str">
        <f t="shared" si="40"/>
        <v>EC</v>
      </c>
      <c r="AH127" s="92" t="str">
        <f t="shared" si="41"/>
        <v>"%USERPROFILE%\Documents\GitHub\eaglep3\Utilities\RefineRTDCRunTimes.py" --tripid 214-24 --locoid 4021 --swversion DE.1.0.7.0 --startMP 204:232990 --initTime 2016-10-24T18:29:17 --startdatetime 2016-10-24T18:41:28 --delay 1 --endMP 204:154 --enddatetime 2016-10-24T19:19:04 --enforcementcount 1 &gt;&gt;C:\Users\stu\Documents\GitHub\eaglep3-reporting\EC\2016-10-24-refined-times.txt</v>
      </c>
      <c r="AI127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{"issue":{"subject":"","project_id":79,"tracker_id":40,"status_id":1,"priority_id":2,"assigned_to_id":23,"start_date":"2016-10-24","description":"","custom_fields":[{"id":1,"name":"Subdivision","value":"EC"},{"id":4,"name":"Milepost","value":"0.0154"},{"id":17,"name":"Train ID","value":"214-24"},{"id":16,"name":"Locomotive ID","value":"4021"},{"id":130,"name":"Impact","value":""},{"id":150,"name":"Time of Event (Mountain Time)","value":"19:19:04"},{"id":151,"name":"Denver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565</v>
      </c>
      <c r="B128" s="7">
        <v>4011</v>
      </c>
      <c r="C128" s="22" t="s">
        <v>99</v>
      </c>
      <c r="D128" s="22" t="s">
        <v>220</v>
      </c>
      <c r="E128" s="13">
        <v>42667.744976851849</v>
      </c>
      <c r="F128" s="13">
        <v>42667.750243055554</v>
      </c>
      <c r="G128" s="7">
        <v>2</v>
      </c>
      <c r="H128" s="13" t="s">
        <v>227</v>
      </c>
      <c r="I128" s="13">
        <v>42667.776076388887</v>
      </c>
      <c r="J128" s="7">
        <v>1</v>
      </c>
      <c r="K128" s="112" t="str">
        <f t="shared" si="29"/>
        <v>4011/4012</v>
      </c>
      <c r="L128" s="22" t="str">
        <f>VLOOKUP(A128,'Trips&amp;Operators'!$C$1:$E$10000,3,FALSE)</f>
        <v>MAHAN</v>
      </c>
      <c r="M128" s="6">
        <f t="shared" si="30"/>
        <v>2.5833333333139308E-2</v>
      </c>
      <c r="N128" s="7">
        <f t="shared" si="46"/>
        <v>37.199999999720603</v>
      </c>
      <c r="O128" s="7"/>
      <c r="P128" s="7"/>
      <c r="Q128" s="23"/>
      <c r="R128" s="23"/>
      <c r="S128" s="35">
        <f t="shared" si="47"/>
        <v>1</v>
      </c>
      <c r="T128" s="50" t="str">
        <f t="shared" si="33"/>
        <v>NorthBound</v>
      </c>
      <c r="U128" s="1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16:52:46-0600',mode:absolute,to:'2016-10-24 19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8" s="52" t="str">
        <f t="shared" si="43"/>
        <v>N</v>
      </c>
      <c r="X128" s="171">
        <f t="shared" si="49"/>
        <v>1</v>
      </c>
      <c r="Y128" s="67">
        <f t="shared" si="45"/>
        <v>4.58E-2</v>
      </c>
      <c r="Z128" s="67">
        <f t="shared" si="48"/>
        <v>23.33</v>
      </c>
      <c r="AA128" s="67">
        <f t="shared" si="36"/>
        <v>23.284199999999998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7"/>
        <v>0215-24</v>
      </c>
      <c r="AE128" s="91" t="str">
        <f t="shared" si="38"/>
        <v>aws s3 cp s3://rtdc.mdm.uploadarchive.raw/RTDC4011/ "%USERPROFILE%\AppData\Local\Temp\OnboardLogs"\RTDC4011\2016-10-24 --exclude "*" --recursive --include "*20161024*" &amp; "%USERPROFILE%\Documents\GitHub\mrs-test-scripts\Headless Mode &amp; Sideloading\WalkAndUnGZ.bat" "%USERPROFILE%\AppData\Local\Temp\OnboardLogs"\RTDC4011\2016-10-24 &amp; 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</v>
      </c>
      <c r="AF128" s="88" t="str">
        <f t="shared" si="39"/>
        <v>"C:\Program Files (x86)\AstroGrep\AstroGrep.exe" /spath="%USERPROFILE%\AppData\Local\Temp\OnboardLogs" /stypes="app*4011*20161025*" /stext=" 00:.+((SYSTEM_STATE.+slice.+state.+changed )|(ment ac)|(system.+state.+changed )|(\[timeout)|(PRM\|1\|D)|(kpr)|(kdp)|(\|lc)|(penalty))" /e /r /s</v>
      </c>
      <c r="AG128" s="1" t="str">
        <f t="shared" si="40"/>
        <v>EC</v>
      </c>
      <c r="AH128" s="92" t="str">
        <f t="shared" si="41"/>
        <v>"%USERPROFILE%\Documents\GitHub\eaglep3\Utilities\RefineRTDCRunTimes.py" --tripid 215-24 --locoid 4011 --swversion DE.1.0.7.0 --startMP 204:458 --initTime 2016-10-24T17:52:46 --startdatetime 2016-10-24T18:00:21 --delay 2 --endMP 204:233300 --enddatetime 2016-10-24T18:37:33 --enforcementcount 1 &gt;&gt;C:\Users\stu\Documents\GitHub\eaglep3-reporting\EC\2016-10-24-refined-times.txt</v>
      </c>
      <c r="AI128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{"issue":{"subject":"","project_id":79,"tracker_id":40,"status_id":1,"priority_id":2,"assigned_to_id":23,"start_date":"2016-10-24","description":"","custom_fields":[{"id":1,"name":"Subdivision","value":"EC"},{"id":4,"name":"Milepost","value":"23.33"},{"id":17,"name":"Train ID","value":"215-24"},{"id":16,"name":"Locomotive ID","value":"4011"},{"id":130,"name":"Impact","value":""},{"id":150,"name":"Time of Event (Mountain Time)","value":"18:37:33"},{"id":151,"name":"Denver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429</v>
      </c>
      <c r="B129" s="7">
        <v>4012</v>
      </c>
      <c r="C129" s="22" t="s">
        <v>99</v>
      </c>
      <c r="D129" s="22" t="s">
        <v>358</v>
      </c>
      <c r="E129" s="13">
        <v>42667.782418981478</v>
      </c>
      <c r="F129" s="13">
        <v>42667.789201388892</v>
      </c>
      <c r="G129" s="7">
        <v>1</v>
      </c>
      <c r="H129" s="13" t="s">
        <v>668</v>
      </c>
      <c r="I129" s="13">
        <v>42667.817685185182</v>
      </c>
      <c r="J129" s="7">
        <v>1</v>
      </c>
      <c r="K129" s="112" t="str">
        <f t="shared" si="29"/>
        <v>4011/4012</v>
      </c>
      <c r="L129" s="22" t="str">
        <f>VLOOKUP(A129,'Trips&amp;Operators'!$C$1:$E$10000,3,FALSE)</f>
        <v>MAHAN</v>
      </c>
      <c r="M129" s="6">
        <f t="shared" si="30"/>
        <v>2.848379628994735E-2</v>
      </c>
      <c r="N129" s="7">
        <f t="shared" si="46"/>
        <v>41.016666657524183</v>
      </c>
      <c r="O129" s="7"/>
      <c r="P129" s="7"/>
      <c r="Q129" s="23"/>
      <c r="R129" s="23"/>
      <c r="S129" s="35">
        <f t="shared" si="47"/>
        <v>1</v>
      </c>
      <c r="T129" s="50" t="str">
        <f t="shared" si="33"/>
        <v>Southbound</v>
      </c>
      <c r="U129" s="1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17:46:41-0600',mode:absolute,to:'2016-10-24 20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9" s="52" t="str">
        <f t="shared" si="43"/>
        <v>N</v>
      </c>
      <c r="X129" s="171">
        <f t="shared" si="49"/>
        <v>1</v>
      </c>
      <c r="Y129" s="67">
        <f t="shared" ref="Y129:Y160" si="50">RIGHT(D129,LEN(D129)-4)/10000</f>
        <v>23.299800000000001</v>
      </c>
      <c r="Z129" s="67">
        <f t="shared" si="48"/>
        <v>3.2500000000000001E-2</v>
      </c>
      <c r="AA129" s="67">
        <f t="shared" si="36"/>
        <v>23.267300000000002</v>
      </c>
      <c r="AB129" s="64" t="str">
        <f>VLOOKUP(A129,Enforcements!$C$7:$K$21,8,0)</f>
        <v>Bulletin (2)</v>
      </c>
      <c r="AC129" s="60" t="str">
        <f>VLOOKUP(A129,Enforcements!$C$7:$E$21,3,0)</f>
        <v>GRADE CROSSING</v>
      </c>
      <c r="AD129" s="61" t="str">
        <f t="shared" si="37"/>
        <v>0216-24</v>
      </c>
      <c r="AE129" s="91" t="str">
        <f t="shared" si="38"/>
        <v>aws s3 cp s3://rtdc.mdm.uploadarchive.raw/RTDC4012/ "%USERPROFILE%\AppData\Local\Temp\OnboardLogs"\RTDC4012\2016-10-24 --exclude "*" --recursive --include "*20161024*" &amp; "%USERPROFILE%\Documents\GitHub\mrs-test-scripts\Headless Mode &amp; Sideloading\WalkAndUnGZ.bat" "%USERPROFILE%\AppData\Local\Temp\OnboardLogs"\RTDC4012\2016-10-24 &amp; aws s3 cp s3://rtdc.mdm.uploadarchive.raw/RTDC4012/ "%USERPROFILE%\AppData\Local\Temp\OnboardLogs"\RTDC4012\2016-10-25 --exclude "*" --recursive --include "*20161025*" &amp; "%USERPROFILE%\Documents\GitHub\mrs-test-scripts\Headless Mode &amp; Sideloading\WalkAndUnGZ.bat" "%USERPROFILE%\AppData\Local\Temp\OnboardLogs"\RTDC4012\2016-10-25</v>
      </c>
      <c r="AF129" s="88" t="str">
        <f t="shared" si="39"/>
        <v>"C:\Program Files (x86)\AstroGrep\AstroGrep.exe" /spath="%USERPROFILE%\AppData\Local\Temp\OnboardLogs" /stypes="app*4012*20161025*" /stext=" 01:.+((SYSTEM_STATE.+slice.+state.+changed )|(ment ac)|(system.+state.+changed )|(\[timeout)|(PRM\|1\|D)|(kpr)|(kdp)|(\|lc)|(penalty))" /e /r /s</v>
      </c>
      <c r="AG129" s="1" t="str">
        <f t="shared" si="40"/>
        <v>EC</v>
      </c>
      <c r="AH129" s="92" t="str">
        <f t="shared" si="41"/>
        <v>"%USERPROFILE%\Documents\GitHub\eaglep3\Utilities\RefineRTDCRunTimes.py" --tripid 216-24 --locoid 4012 --swversion DE.1.0.7.0 --startMP 204:232998 --initTime 2016-10-24T18:46:41 --startdatetime 2016-10-24T18:56:27 --delay 1 --endMP 204:325 --enddatetime 2016-10-24T19:37:28 --enforcementcount 1 &gt;&gt;C:\Users\stu\Documents\GitHub\eaglep3-reporting\EC\2016-10-24-refined-times.txt</v>
      </c>
      <c r="AI129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{"issue":{"subject":"","project_id":79,"tracker_id":40,"status_id":1,"priority_id":2,"assigned_to_id":23,"start_date":"2016-10-24","description":"","custom_fields":[{"id":1,"name":"Subdivision","value":"EC"},{"id":4,"name":"Milepost","value":"0.0325"},{"id":17,"name":"Train ID","value":"216-24"},{"id":16,"name":"Locomotive ID","value":"4012"},{"id":130,"name":"Impact","value":""},{"id":150,"name":"Time of Event (Mountain Time)","value":"19:37:28"},{"id":151,"name":"Denver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568</v>
      </c>
      <c r="B130" s="7">
        <v>4014</v>
      </c>
      <c r="C130" s="22" t="s">
        <v>99</v>
      </c>
      <c r="D130" s="22" t="s">
        <v>306</v>
      </c>
      <c r="E130" s="13">
        <v>42667.758981481478</v>
      </c>
      <c r="F130" s="13">
        <v>42667.76090277778</v>
      </c>
      <c r="G130" s="7">
        <v>1</v>
      </c>
      <c r="H130" s="13" t="s">
        <v>323</v>
      </c>
      <c r="I130" s="13">
        <v>42667.786249999997</v>
      </c>
      <c r="J130" s="7">
        <v>1</v>
      </c>
      <c r="K130" s="112" t="str">
        <f t="shared" si="29"/>
        <v>4013/4014</v>
      </c>
      <c r="L130" s="22" t="str">
        <f>VLOOKUP(A130,'Trips&amp;Operators'!$C$1:$E$10000,3,FALSE)</f>
        <v>CHANDLER</v>
      </c>
      <c r="M130" s="6">
        <f t="shared" si="30"/>
        <v>2.5347222217533272E-2</v>
      </c>
      <c r="N130" s="7">
        <f t="shared" si="46"/>
        <v>36.499999993247911</v>
      </c>
      <c r="O130" s="7"/>
      <c r="P130" s="7"/>
      <c r="Q130" s="23"/>
      <c r="R130" s="23"/>
      <c r="S130" s="35">
        <f t="shared" si="47"/>
        <v>1</v>
      </c>
      <c r="T130" s="50" t="str">
        <f t="shared" si="33"/>
        <v>NorthBound</v>
      </c>
      <c r="U130" s="1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17:12:56-0600',mode:absolute,to:'2016-10-24 19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0" s="52" t="str">
        <f t="shared" si="43"/>
        <v>N</v>
      </c>
      <c r="X130" s="171">
        <f t="shared" si="49"/>
        <v>1</v>
      </c>
      <c r="Y130" s="67">
        <f t="shared" si="50"/>
        <v>4.6699999999999998E-2</v>
      </c>
      <c r="Z130" s="67">
        <f t="shared" si="48"/>
        <v>23.328900000000001</v>
      </c>
      <c r="AA130" s="67">
        <f t="shared" si="36"/>
        <v>23.2822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7"/>
        <v>0217-24</v>
      </c>
      <c r="AE130" s="91" t="str">
        <f t="shared" si="38"/>
        <v>aws s3 cp s3://rtdc.mdm.uploadarchive.raw/RTDC4014/ "%USERPROFILE%\AppData\Local\Temp\OnboardLogs"\RTDC4014\2016-10-24 --exclude "*" --recursive --include "*20161024*" &amp; "%USERPROFILE%\Documents\GitHub\mrs-test-scripts\Headless Mode &amp; Sideloading\WalkAndUnGZ.bat" "%USERPROFILE%\AppData\Local\Temp\OnboardLogs"\RTDC4014\2016-10-24 &amp; aws s3 cp s3://rtdc.mdm.uploadarchive.raw/RTDC4014/ "%USERPROFILE%\AppData\Local\Temp\OnboardLogs"\RTDC4014\2016-10-25 --exclude "*" --recursive --include "*20161025*" &amp; "%USERPROFILE%\Documents\GitHub\mrs-test-scripts\Headless Mode &amp; Sideloading\WalkAndUnGZ.bat" "%USERPROFILE%\AppData\Local\Temp\OnboardLogs"\RTDC4014\2016-10-25</v>
      </c>
      <c r="AF130" s="88" t="str">
        <f t="shared" si="39"/>
        <v>"C:\Program Files (x86)\AstroGrep\AstroGrep.exe" /spath="%USERPROFILE%\AppData\Local\Temp\OnboardLogs" /stypes="app*4014*20161025*" /stext=" 00:.+((SYSTEM_STATE.+slice.+state.+changed )|(ment ac)|(system.+state.+changed )|(\[timeout)|(PRM\|1\|D)|(kpr)|(kdp)|(\|lc)|(penalty))" /e /r /s</v>
      </c>
      <c r="AG130" s="1" t="str">
        <f t="shared" si="40"/>
        <v>EC</v>
      </c>
      <c r="AH130" s="92" t="str">
        <f t="shared" si="41"/>
        <v>"%USERPROFILE%\Documents\GitHub\eaglep3\Utilities\RefineRTDCRunTimes.py" --tripid 217-24 --locoid 4014 --swversion DE.1.0.7.0 --startMP 204:467 --initTime 2016-10-24T18:12:56 --startdatetime 2016-10-24T18:15:42 --delay 1 --endMP 204:233289 --enddatetime 2016-10-24T18:52:12 --enforcementcount 1 &gt;&gt;C:\Users\stu\Documents\GitHub\eaglep3-reporting\EC\2016-10-24-refined-times.txt</v>
      </c>
      <c r="AI130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{"issue":{"subject":"","project_id":79,"tracker_id":40,"status_id":1,"priority_id":2,"assigned_to_id":23,"start_date":"2016-10-24","description":"","custom_fields":[{"id":1,"name":"Subdivision","value":"EC"},{"id":4,"name":"Milepost","value":"23.3289"},{"id":17,"name":"Train ID","value":"217-24"},{"id":16,"name":"Locomotive ID","value":"4014"},{"id":130,"name":"Impact","value":""},{"id":150,"name":"Time of Event (Mountain Time)","value":"18:52:12"},{"id":151,"name":"Denver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576</v>
      </c>
      <c r="B131" s="7">
        <v>4013</v>
      </c>
      <c r="C131" s="22" t="s">
        <v>99</v>
      </c>
      <c r="D131" s="22" t="s">
        <v>337</v>
      </c>
      <c r="E131" s="13">
        <v>42667.797997685186</v>
      </c>
      <c r="F131" s="13">
        <v>42667.799687500003</v>
      </c>
      <c r="G131" s="7">
        <v>1</v>
      </c>
      <c r="H131" s="13" t="s">
        <v>234</v>
      </c>
      <c r="I131" s="13">
        <v>42667.827152777776</v>
      </c>
      <c r="J131" s="7">
        <v>1</v>
      </c>
      <c r="K131" s="112" t="str">
        <f t="shared" si="29"/>
        <v>4013/4014</v>
      </c>
      <c r="L131" s="22" t="str">
        <f>VLOOKUP(A131,'Trips&amp;Operators'!$C$1:$E$10000,3,FALSE)</f>
        <v>CHANDLER</v>
      </c>
      <c r="M131" s="6">
        <f t="shared" si="30"/>
        <v>2.7465277773444541E-2</v>
      </c>
      <c r="N131" s="7">
        <f t="shared" si="46"/>
        <v>39.549999993760139</v>
      </c>
      <c r="O131" s="7"/>
      <c r="P131" s="7"/>
      <c r="Q131" s="23"/>
      <c r="R131" s="23"/>
      <c r="S131" s="35">
        <f t="shared" si="47"/>
        <v>1</v>
      </c>
      <c r="T131" s="50" t="str">
        <f t="shared" si="33"/>
        <v>Southbound</v>
      </c>
      <c r="U131" s="1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18:09:07-0600',mode:absolute,to:'2016-10-24 20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1" s="52" t="str">
        <f t="shared" si="43"/>
        <v>N</v>
      </c>
      <c r="X131" s="171">
        <f t="shared" si="49"/>
        <v>1</v>
      </c>
      <c r="Y131" s="67">
        <f t="shared" si="50"/>
        <v>23.296099999999999</v>
      </c>
      <c r="Z131" s="67">
        <f t="shared" si="48"/>
        <v>1.6E-2</v>
      </c>
      <c r="AA131" s="67">
        <f t="shared" si="36"/>
        <v>23.280100000000001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7"/>
        <v>0218-24</v>
      </c>
      <c r="AE131" s="91" t="str">
        <f t="shared" si="38"/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AF131" s="88" t="str">
        <f t="shared" si="39"/>
        <v>"C:\Program Files (x86)\AstroGrep\AstroGrep.exe" /spath="%USERPROFILE%\AppData\Local\Temp\OnboardLogs" /stypes="app*4013*20161025*" /stext=" 01:.+((SYSTEM_STATE.+slice.+state.+changed )|(ment ac)|(system.+state.+changed )|(\[timeout)|(PRM\|1\|D)|(kpr)|(kdp)|(\|lc)|(penalty))" /e /r /s</v>
      </c>
      <c r="AG131" s="1" t="str">
        <f t="shared" si="40"/>
        <v>EC</v>
      </c>
      <c r="AH131" s="92" t="str">
        <f t="shared" si="41"/>
        <v>"%USERPROFILE%\Documents\GitHub\eaglep3\Utilities\RefineRTDCRunTimes.py" --tripid 218-24 --locoid 4013 --swversion DE.1.0.7.0 --startMP 204:232961 --initTime 2016-10-24T19:09:07 --startdatetime 2016-10-24T19:11:33 --delay 1 --endMP 204:160 --enddatetime 2016-10-24T19:51:06 --enforcementcount 1 &gt;&gt;C:\Users\stu\Documents\GitHub\eaglep3-reporting\EC\2016-10-24-refined-times.txt</v>
      </c>
      <c r="AI131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{"issue":{"subject":"","project_id":79,"tracker_id":40,"status_id":1,"priority_id":2,"assigned_to_id":23,"start_date":"2016-10-24","description":"","custom_fields":[{"id":1,"name":"Subdivision","value":"EC"},{"id":4,"name":"Milepost","value":"0.016"},{"id":17,"name":"Train ID","value":"218-24"},{"id":16,"name":"Locomotive ID","value":"4013"},{"id":130,"name":"Impact","value":""},{"id":150,"name":"Time of Event (Mountain Time)","value":"19:51:06"},{"id":151,"name":"Denver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570</v>
      </c>
      <c r="B132" s="7">
        <v>4016</v>
      </c>
      <c r="C132" s="22" t="s">
        <v>99</v>
      </c>
      <c r="D132" s="22" t="s">
        <v>292</v>
      </c>
      <c r="E132" s="13">
        <v>42667.769305555557</v>
      </c>
      <c r="F132" s="13">
        <v>42667.771018518521</v>
      </c>
      <c r="G132" s="7">
        <v>1</v>
      </c>
      <c r="H132" s="13" t="s">
        <v>324</v>
      </c>
      <c r="I132" s="13">
        <v>42667.795405092591</v>
      </c>
      <c r="J132" s="7">
        <v>1</v>
      </c>
      <c r="K132" s="112" t="str">
        <f t="shared" si="29"/>
        <v>4015/4016</v>
      </c>
      <c r="L132" s="22" t="str">
        <f>VLOOKUP(A132,'Trips&amp;Operators'!$C$1:$E$10000,3,FALSE)</f>
        <v>YANAI</v>
      </c>
      <c r="M132" s="6">
        <f t="shared" si="30"/>
        <v>2.438657407037681E-2</v>
      </c>
      <c r="N132" s="7">
        <f t="shared" si="46"/>
        <v>35.116666661342606</v>
      </c>
      <c r="O132" s="7"/>
      <c r="P132" s="7"/>
      <c r="Q132" s="23"/>
      <c r="R132" s="23"/>
      <c r="S132" s="35">
        <f t="shared" si="47"/>
        <v>1</v>
      </c>
      <c r="T132" s="50" t="str">
        <f t="shared" si="33"/>
        <v>NorthBound</v>
      </c>
      <c r="U132" s="1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17:27:48-0600',mode:absolute,to:'2016-10-24 20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2" s="52" t="str">
        <f t="shared" si="43"/>
        <v>N</v>
      </c>
      <c r="X132" s="171">
        <f t="shared" si="49"/>
        <v>1</v>
      </c>
      <c r="Y132" s="67">
        <f t="shared" si="50"/>
        <v>4.6199999999999998E-2</v>
      </c>
      <c r="Z132" s="67">
        <f t="shared" si="48"/>
        <v>23.329799999999999</v>
      </c>
      <c r="AA132" s="67">
        <f t="shared" si="36"/>
        <v>23.2836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7"/>
        <v>0219-24</v>
      </c>
      <c r="AE132" s="91" t="str">
        <f t="shared" si="38"/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AF132" s="88" t="str">
        <f t="shared" si="39"/>
        <v>"C:\Program Files (x86)\AstroGrep\AstroGrep.exe" /spath="%USERPROFILE%\AppData\Local\Temp\OnboardLogs" /stypes="app*4016*20161025*" /stext=" 01:.+((SYSTEM_STATE.+slice.+state.+changed )|(ment ac)|(system.+state.+changed )|(\[timeout)|(PRM\|1\|D)|(kpr)|(kdp)|(\|lc)|(penalty))" /e /r /s</v>
      </c>
      <c r="AG132" s="1" t="str">
        <f t="shared" si="40"/>
        <v>EC</v>
      </c>
      <c r="AH132" s="92" t="str">
        <f t="shared" si="41"/>
        <v>"%USERPROFILE%\Documents\GitHub\eaglep3\Utilities\RefineRTDCRunTimes.py" --tripid 219-24 --locoid 4016 --swversion DE.1.0.7.0 --startMP 204:462 --initTime 2016-10-24T18:27:48 --startdatetime 2016-10-24T18:30:16 --delay 1 --endMP 204:233298 --enddatetime 2016-10-24T19:05:23 --enforcementcount 1 &gt;&gt;C:\Users\stu\Documents\GitHub\eaglep3-reporting\EC\2016-10-24-refined-times.txt</v>
      </c>
      <c r="AI132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{"issue":{"subject":"","project_id":79,"tracker_id":40,"status_id":1,"priority_id":2,"assigned_to_id":23,"start_date":"2016-10-24","description":"","custom_fields":[{"id":1,"name":"Subdivision","value":"EC"},{"id":4,"name":"Milepost","value":"23.3298"},{"id":17,"name":"Train ID","value":"219-24"},{"id":16,"name":"Locomotive ID","value":"4016"},{"id":130,"name":"Impact","value":""},{"id":150,"name":"Time of Event (Mountain Time)","value":"19:05:23"},{"id":151,"name":"Denver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577</v>
      </c>
      <c r="B133" s="7">
        <v>4015</v>
      </c>
      <c r="C133" s="22" t="s">
        <v>99</v>
      </c>
      <c r="D133" s="22" t="s">
        <v>341</v>
      </c>
      <c r="E133" s="13">
        <v>42667.79891203704</v>
      </c>
      <c r="F133" s="13">
        <v>42667.809965277775</v>
      </c>
      <c r="G133" s="7">
        <v>1</v>
      </c>
      <c r="H133" s="13" t="s">
        <v>255</v>
      </c>
      <c r="I133" s="13">
        <v>42667.836689814816</v>
      </c>
      <c r="J133" s="7">
        <v>1</v>
      </c>
      <c r="K133" s="112" t="str">
        <f t="shared" si="29"/>
        <v>4015/4016</v>
      </c>
      <c r="L133" s="22" t="str">
        <f>VLOOKUP(A133,'Trips&amp;Operators'!$C$1:$E$10000,3,FALSE)</f>
        <v>YANAI</v>
      </c>
      <c r="M133" s="6">
        <f t="shared" si="30"/>
        <v>2.6724537041445728E-2</v>
      </c>
      <c r="N133" s="7">
        <f t="shared" si="46"/>
        <v>38.483333339681849</v>
      </c>
      <c r="O133" s="7"/>
      <c r="P133" s="7"/>
      <c r="Q133" s="23"/>
      <c r="R133" s="23"/>
      <c r="S133" s="35">
        <f t="shared" si="47"/>
        <v>1</v>
      </c>
      <c r="T133" s="50" t="str">
        <f t="shared" si="33"/>
        <v>Southbound</v>
      </c>
      <c r="U133" s="1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18:10:26-0600',mode:absolute,to:'2016-10-24 21:04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3" s="52" t="str">
        <f t="shared" si="43"/>
        <v>N</v>
      </c>
      <c r="X133" s="171">
        <f t="shared" si="49"/>
        <v>1</v>
      </c>
      <c r="Y133" s="67">
        <f t="shared" si="50"/>
        <v>23.297899999999998</v>
      </c>
      <c r="Z133" s="67">
        <f t="shared" si="48"/>
        <v>4.7100000000000003E-2</v>
      </c>
      <c r="AA133" s="67">
        <f t="shared" si="36"/>
        <v>23.250799999999998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7"/>
        <v>0220-24</v>
      </c>
      <c r="AE133" s="91" t="str">
        <f t="shared" si="38"/>
        <v>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 &amp; 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</v>
      </c>
      <c r="AF133" s="88" t="str">
        <f t="shared" si="39"/>
        <v>"C:\Program Files (x86)\AstroGrep\AstroGrep.exe" /spath="%USERPROFILE%\AppData\Local\Temp\OnboardLogs" /stypes="app*4015*20161025*" /stext=" 02:.+((SYSTEM_STATE.+slice.+state.+changed )|(ment ac)|(system.+state.+changed )|(\[timeout)|(PRM\|1\|D)|(kpr)|(kdp)|(\|lc)|(penalty))" /e /r /s</v>
      </c>
      <c r="AG133" s="1" t="str">
        <f t="shared" si="40"/>
        <v>EC</v>
      </c>
      <c r="AH133" s="92" t="str">
        <f t="shared" si="41"/>
        <v>"%USERPROFILE%\Documents\GitHub\eaglep3\Utilities\RefineRTDCRunTimes.py" --tripid 220-24 --locoid 4015 --swversion DE.1.0.7.0 --startMP 204:232979 --initTime 2016-10-24T19:10:26 --startdatetime 2016-10-24T19:26:21 --delay 1 --endMP 204:471 --enddatetime 2016-10-24T20:04:50 --enforcementcount 1 &gt;&gt;C:\Users\stu\Documents\GitHub\eaglep3-reporting\EC\2016-10-24-refined-times.txt</v>
      </c>
      <c r="AI133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{"issue":{"subject":"","project_id":79,"tracker_id":40,"status_id":1,"priority_id":2,"assigned_to_id":23,"start_date":"2016-10-24","description":"","custom_fields":[{"id":1,"name":"Subdivision","value":"EC"},{"id":4,"name":"Milepost","value":"0.0471"},{"id":17,"name":"Train ID","value":"220-24"},{"id":16,"name":"Locomotive ID","value":"4015"},{"id":130,"name":"Impact","value":""},{"id":150,"name":"Time of Event (Mountain Time)","value":"20:04:50"},{"id":151,"name":"Denver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573</v>
      </c>
      <c r="B134" s="7">
        <v>4053</v>
      </c>
      <c r="C134" s="22" t="s">
        <v>99</v>
      </c>
      <c r="D134" s="22" t="s">
        <v>237</v>
      </c>
      <c r="E134" s="13">
        <v>42667.7887962963</v>
      </c>
      <c r="F134" s="13">
        <v>42667.792534722219</v>
      </c>
      <c r="G134" s="7">
        <v>1</v>
      </c>
      <c r="H134" s="13" t="s">
        <v>195</v>
      </c>
      <c r="I134" s="13">
        <v>42667.819768518515</v>
      </c>
      <c r="J134" s="7">
        <v>1</v>
      </c>
      <c r="K134" s="112" t="str">
        <f t="shared" si="29"/>
        <v>4053/4054</v>
      </c>
      <c r="L134" s="22" t="str">
        <f>VLOOKUP(A134,'Trips&amp;Operators'!$C$1:$E$10000,3,FALSE)</f>
        <v>LEVERE</v>
      </c>
      <c r="M134" s="6">
        <f t="shared" si="30"/>
        <v>2.7233796296059154E-2</v>
      </c>
      <c r="N134" s="7">
        <f t="shared" si="46"/>
        <v>39.216666666325182</v>
      </c>
      <c r="O134" s="7"/>
      <c r="P134" s="7"/>
      <c r="Q134" s="23"/>
      <c r="R134" s="23"/>
      <c r="S134" s="35">
        <f t="shared" si="47"/>
        <v>1</v>
      </c>
      <c r="T134" s="50" t="str">
        <f t="shared" si="33"/>
        <v>NorthBound</v>
      </c>
      <c r="U134" s="1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17:55:52-0600',mode:absolute,to:'2016-10-24 20:40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4" s="52" t="str">
        <f t="shared" si="43"/>
        <v>N</v>
      </c>
      <c r="X134" s="171">
        <f t="shared" si="49"/>
        <v>1</v>
      </c>
      <c r="Y134" s="67">
        <f t="shared" si="50"/>
        <v>4.5100000000000001E-2</v>
      </c>
      <c r="Z134" s="67">
        <f t="shared" si="48"/>
        <v>23.329699999999999</v>
      </c>
      <c r="AA134" s="67">
        <f t="shared" si="36"/>
        <v>23.284599999999998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7"/>
        <v>0221-24</v>
      </c>
      <c r="AE134" s="91" t="str">
        <f t="shared" si="38"/>
        <v>aws s3 cp s3://rtdc.mdm.uploadarchive.raw/RTDC4053/ "%USERPROFILE%\AppData\Local\Temp\OnboardLogs"\RTDC4053\2016-10-24 --exclude "*" --recursive --include "*20161024*" &amp; "%USERPROFILE%\Documents\GitHub\mrs-test-scripts\Headless Mode &amp; Sideloading\WalkAndUnGZ.bat" "%USERPROFILE%\AppData\Local\Temp\OnboardLogs"\RTDC4053\2016-10-24 &amp; 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</v>
      </c>
      <c r="AF134" s="88" t="str">
        <f t="shared" si="39"/>
        <v>"C:\Program Files (x86)\AstroGrep\AstroGrep.exe" /spath="%USERPROFILE%\AppData\Local\Temp\OnboardLogs" /stypes="app*4053*20161025*" /stext=" 01:.+((SYSTEM_STATE.+slice.+state.+changed )|(ment ac)|(system.+state.+changed )|(\[timeout)|(PRM\|1\|D)|(kpr)|(kdp)|(\|lc)|(penalty))" /e /r /s</v>
      </c>
      <c r="AG134" s="1" t="str">
        <f t="shared" si="40"/>
        <v>EC</v>
      </c>
      <c r="AH134" s="92" t="str">
        <f t="shared" si="41"/>
        <v>"%USERPROFILE%\Documents\GitHub\eaglep3\Utilities\RefineRTDCRunTimes.py" --tripid 221-24 --locoid 4053 --swversion DE.1.0.7.0 --startMP 204:451 --initTime 2016-10-24T18:55:52 --startdatetime 2016-10-24T19:01:15 --delay 1 --endMP 204:233297 --enddatetime 2016-10-24T19:40:28 --enforcementcount 1 &gt;&gt;C:\Users\stu\Documents\GitHub\eaglep3-reporting\EC\2016-10-24-refined-times.txt</v>
      </c>
      <c r="AI134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{"issue":{"subject":"","project_id":79,"tracker_id":40,"status_id":1,"priority_id":2,"assigned_to_id":23,"start_date":"2016-10-24","description":"","custom_fields":[{"id":1,"name":"Subdivision","value":"EC"},{"id":4,"name":"Milepost","value":"23.3297"},{"id":17,"name":"Train ID","value":"221-24"},{"id":16,"name":"Locomotive ID","value":"4053"},{"id":130,"name":"Impact","value":""},{"id":150,"name":"Time of Event (Mountain Time)","value":"19:40:28"},{"id":151,"name":"Denver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580</v>
      </c>
      <c r="B135" s="7">
        <v>4054</v>
      </c>
      <c r="C135" s="22" t="s">
        <v>99</v>
      </c>
      <c r="D135" s="22" t="s">
        <v>339</v>
      </c>
      <c r="E135" s="13">
        <v>42667.8278125</v>
      </c>
      <c r="F135" s="13">
        <v>42667.831157407411</v>
      </c>
      <c r="G135" s="7">
        <v>1</v>
      </c>
      <c r="H135" s="13" t="s">
        <v>644</v>
      </c>
      <c r="I135" s="13">
        <v>42667.857986111114</v>
      </c>
      <c r="J135" s="7">
        <v>1</v>
      </c>
      <c r="K135" s="112" t="str">
        <f t="shared" si="29"/>
        <v>4053/4054</v>
      </c>
      <c r="L135" s="22" t="str">
        <f>VLOOKUP(A135,'Trips&amp;Operators'!$C$1:$E$10000,3,FALSE)</f>
        <v>LEVERE</v>
      </c>
      <c r="M135" s="6">
        <f t="shared" si="30"/>
        <v>2.6828703703358769E-2</v>
      </c>
      <c r="N135" s="7">
        <f t="shared" si="46"/>
        <v>38.633333332836628</v>
      </c>
      <c r="O135" s="7"/>
      <c r="P135" s="7"/>
      <c r="Q135" s="23"/>
      <c r="R135" s="23"/>
      <c r="S135" s="35">
        <f t="shared" si="47"/>
        <v>1</v>
      </c>
      <c r="T135" s="50" t="str">
        <f t="shared" si="33"/>
        <v>Southbound</v>
      </c>
      <c r="U135" s="1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18:52:03-0600',mode:absolute,to:'2016-10-24 21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5" s="52" t="str">
        <f t="shared" si="43"/>
        <v>N</v>
      </c>
      <c r="X135" s="171">
        <f t="shared" si="49"/>
        <v>1</v>
      </c>
      <c r="Y135" s="67">
        <f t="shared" si="50"/>
        <v>23.2987</v>
      </c>
      <c r="Z135" s="67">
        <f t="shared" si="48"/>
        <v>1.7600000000000001E-2</v>
      </c>
      <c r="AA135" s="67">
        <f t="shared" si="36"/>
        <v>23.281099999999999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7"/>
        <v>0222-24</v>
      </c>
      <c r="AE135" s="91" t="str">
        <f t="shared" si="38"/>
        <v>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 &amp; 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</v>
      </c>
      <c r="AF135" s="88" t="str">
        <f t="shared" si="39"/>
        <v>"C:\Program Files (x86)\AstroGrep\AstroGrep.exe" /spath="%USERPROFILE%\AppData\Local\Temp\OnboardLogs" /stypes="app*4054*20161025*" /stext=" 02:.+((SYSTEM_STATE.+slice.+state.+changed )|(ment ac)|(system.+state.+changed )|(\[timeout)|(PRM\|1\|D)|(kpr)|(kdp)|(\|lc)|(penalty))" /e /r /s</v>
      </c>
      <c r="AG135" s="1" t="str">
        <f t="shared" si="40"/>
        <v>EC</v>
      </c>
      <c r="AH135" s="92" t="str">
        <f t="shared" si="41"/>
        <v>"%USERPROFILE%\Documents\GitHub\eaglep3\Utilities\RefineRTDCRunTimes.py" --tripid 222-24 --locoid 4054 --swversion DE.1.0.7.0 --startMP 204:232987 --initTime 2016-10-24T19:52:03 --startdatetime 2016-10-24T19:56:52 --delay 1 --endMP 204:176 --enddatetime 2016-10-24T20:35:30 --enforcementcount 1 &gt;&gt;C:\Users\stu\Documents\GitHub\eaglep3-reporting\EC\2016-10-24-refined-times.txt</v>
      </c>
      <c r="AI135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{"issue":{"subject":"","project_id":79,"tracker_id":40,"status_id":1,"priority_id":2,"assigned_to_id":23,"start_date":"2016-10-24","description":"","custom_fields":[{"id":1,"name":"Subdivision","value":"EC"},{"id":4,"name":"Milepost","value":"0.0176"},{"id":17,"name":"Train ID","value":"222-24"},{"id":16,"name":"Locomotive ID","value":"4054"},{"id":130,"name":"Impact","value":""},{"id":150,"name":"Time of Event (Mountain Time)","value":"20:35:30"},{"id":151,"name":"Denver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578</v>
      </c>
      <c r="B136" s="7">
        <v>4022</v>
      </c>
      <c r="C136" s="22" t="s">
        <v>99</v>
      </c>
      <c r="D136" s="22" t="s">
        <v>225</v>
      </c>
      <c r="E136" s="13">
        <v>42667.807557870372</v>
      </c>
      <c r="F136" s="13">
        <v>42667.812719907408</v>
      </c>
      <c r="G136" s="7">
        <v>1</v>
      </c>
      <c r="H136" s="13" t="s">
        <v>329</v>
      </c>
      <c r="I136" s="13">
        <v>42667.836909722224</v>
      </c>
      <c r="J136" s="7">
        <v>1</v>
      </c>
      <c r="K136" s="112" t="str">
        <f t="shared" si="29"/>
        <v>4021/4022</v>
      </c>
      <c r="L136" s="22" t="str">
        <f>VLOOKUP(A136,'Trips&amp;Operators'!$C$1:$E$10000,3,FALSE)</f>
        <v>NEWELL</v>
      </c>
      <c r="M136" s="6">
        <f t="shared" si="30"/>
        <v>2.4189814816054422E-2</v>
      </c>
      <c r="N136" s="7">
        <f t="shared" si="46"/>
        <v>34.833333335118368</v>
      </c>
      <c r="O136" s="7"/>
      <c r="P136" s="7"/>
      <c r="Q136" s="23"/>
      <c r="R136" s="23"/>
      <c r="S136" s="35">
        <f t="shared" si="47"/>
        <v>1</v>
      </c>
      <c r="T136" s="50" t="str">
        <f t="shared" si="33"/>
        <v>NorthBound</v>
      </c>
      <c r="U136" s="1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18:22:53-0600',mode:absolute,to:'2016-10-24 21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6" s="52" t="str">
        <f t="shared" si="43"/>
        <v>N</v>
      </c>
      <c r="X136" s="171">
        <f t="shared" si="49"/>
        <v>1</v>
      </c>
      <c r="Y136" s="67">
        <f t="shared" si="50"/>
        <v>4.4699999999999997E-2</v>
      </c>
      <c r="Z136" s="67">
        <f t="shared" si="48"/>
        <v>23.3306</v>
      </c>
      <c r="AA136" s="67">
        <f t="shared" si="36"/>
        <v>23.285900000000002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7"/>
        <v>0223-24</v>
      </c>
      <c r="AE136" s="91" t="str">
        <f t="shared" si="38"/>
        <v>aws s3 cp s3://rtdc.mdm.uploadarchive.raw/RTDC4022/ "%USERPROFILE%\AppData\Local\Temp\OnboardLogs"\RTDC4022\2016-10-24 --exclude "*" --recursive --include "*20161024*" &amp; "%USERPROFILE%\Documents\GitHub\mrs-test-scripts\Headless Mode &amp; Sideloading\WalkAndUnGZ.bat" "%USERPROFILE%\AppData\Local\Temp\OnboardLogs"\RTDC4022\2016-10-24 &amp; aws s3 cp s3://rtdc.mdm.uploadarchive.raw/RTDC4022/ "%USERPROFILE%\AppData\Local\Temp\OnboardLogs"\RTDC4022\2016-10-25 --exclude "*" --recursive --include "*20161025*" &amp; "%USERPROFILE%\Documents\GitHub\mrs-test-scripts\Headless Mode &amp; Sideloading\WalkAndUnGZ.bat" "%USERPROFILE%\AppData\Local\Temp\OnboardLogs"\RTDC4022\2016-10-25</v>
      </c>
      <c r="AF136" s="88" t="str">
        <f t="shared" si="39"/>
        <v>"C:\Program Files (x86)\AstroGrep\AstroGrep.exe" /spath="%USERPROFILE%\AppData\Local\Temp\OnboardLogs" /stypes="app*4022*20161025*" /stext=" 02:.+((SYSTEM_STATE.+slice.+state.+changed )|(ment ac)|(system.+state.+changed )|(\[timeout)|(PRM\|1\|D)|(kpr)|(kdp)|(\|lc)|(penalty))" /e /r /s</v>
      </c>
      <c r="AG136" s="1" t="str">
        <f t="shared" si="40"/>
        <v>EC</v>
      </c>
      <c r="AH136" s="92" t="str">
        <f t="shared" si="41"/>
        <v>"%USERPROFILE%\Documents\GitHub\eaglep3\Utilities\RefineRTDCRunTimes.py" --tripid 223-24 --locoid 4022 --swversion DE.1.0.7.0 --startMP 204:447 --initTime 2016-10-24T19:22:53 --startdatetime 2016-10-24T19:30:19 --delay 1 --endMP 204:233306 --enddatetime 2016-10-24T20:05:09 --enforcementcount 1 &gt;&gt;C:\Users\stu\Documents\GitHub\eaglep3-reporting\EC\2016-10-24-refined-times.txt</v>
      </c>
      <c r="AI136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{"issue":{"subject":"","project_id":79,"tracker_id":40,"status_id":1,"priority_id":2,"assigned_to_id":23,"start_date":"2016-10-24","description":"","custom_fields":[{"id":1,"name":"Subdivision","value":"EC"},{"id":4,"name":"Milepost","value":"23.3306"},{"id":17,"name":"Train ID","value":"223-24"},{"id":16,"name":"Locomotive ID","value":"4022"},{"id":130,"name":"Impact","value":""},{"id":150,"name":"Time of Event (Mountain Time)","value":"20:05:09"},{"id":151,"name":"Denver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583</v>
      </c>
      <c r="B137" s="7">
        <v>4021</v>
      </c>
      <c r="C137" s="22" t="s">
        <v>99</v>
      </c>
      <c r="D137" s="22" t="s">
        <v>322</v>
      </c>
      <c r="E137" s="13">
        <v>42667.841597222221</v>
      </c>
      <c r="F137" s="13">
        <v>42667.85224537037</v>
      </c>
      <c r="G137" s="7">
        <v>1</v>
      </c>
      <c r="H137" s="13" t="s">
        <v>669</v>
      </c>
      <c r="I137" s="13">
        <v>42667.878518518519</v>
      </c>
      <c r="J137" s="7">
        <v>1</v>
      </c>
      <c r="K137" s="112" t="str">
        <f t="shared" si="29"/>
        <v>4021/4022</v>
      </c>
      <c r="L137" s="22" t="str">
        <f>VLOOKUP(A137,'Trips&amp;Operators'!$C$1:$E$10000,3,FALSE)</f>
        <v>NEWELL</v>
      </c>
      <c r="M137" s="6">
        <f t="shared" si="30"/>
        <v>2.6273148148902692E-2</v>
      </c>
      <c r="N137" s="7">
        <f t="shared" si="46"/>
        <v>37.833333334419876</v>
      </c>
      <c r="O137" s="7"/>
      <c r="P137" s="7"/>
      <c r="Q137" s="23"/>
      <c r="R137" s="23"/>
      <c r="S137" s="35">
        <f t="shared" si="47"/>
        <v>1</v>
      </c>
      <c r="T137" s="50" t="str">
        <f t="shared" si="33"/>
        <v>Southbound</v>
      </c>
      <c r="U137" s="1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19:11:54-0600',mode:absolute,to:'2016-10-24 22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7" s="52" t="str">
        <f t="shared" si="43"/>
        <v>N</v>
      </c>
      <c r="X137" s="171">
        <f t="shared" si="49"/>
        <v>1</v>
      </c>
      <c r="Y137" s="67">
        <f t="shared" si="50"/>
        <v>23.298500000000001</v>
      </c>
      <c r="Z137" s="67">
        <f t="shared" si="48"/>
        <v>3.5299999999999998E-2</v>
      </c>
      <c r="AA137" s="67">
        <f t="shared" si="36"/>
        <v>23.263200000000001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7"/>
        <v>0224-24</v>
      </c>
      <c r="AE137" s="91" t="str">
        <f t="shared" si="38"/>
        <v>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 &amp; aws s3 cp s3://rtdc.mdm.uploadarchive.raw/RTDC4021/ "%USERPROFILE%\AppData\Local\Temp\OnboardLogs"\RTDC4021\2016-10-25 --exclude "*" --recursive --include "*20161025*" &amp; "%USERPROFILE%\Documents\GitHub\mrs-test-scripts\Headless Mode &amp; Sideloading\WalkAndUnGZ.bat" "%USERPROFILE%\AppData\Local\Temp\OnboardLogs"\RTDC4021\2016-10-25</v>
      </c>
      <c r="AF137" s="88" t="str">
        <f t="shared" si="39"/>
        <v>"C:\Program Files (x86)\AstroGrep\AstroGrep.exe" /spath="%USERPROFILE%\AppData\Local\Temp\OnboardLogs" /stypes="app*4021*20161025*" /stext=" 03:.+((SYSTEM_STATE.+slice.+state.+changed )|(ment ac)|(system.+state.+changed )|(\[timeout)|(PRM\|1\|D)|(kpr)|(kdp)|(\|lc)|(penalty))" /e /r /s</v>
      </c>
      <c r="AG137" s="1" t="str">
        <f t="shared" si="40"/>
        <v>EC</v>
      </c>
      <c r="AH137" s="92" t="str">
        <f t="shared" si="41"/>
        <v>"%USERPROFILE%\Documents\GitHub\eaglep3\Utilities\RefineRTDCRunTimes.py" --tripid 224-24 --locoid 4021 --swversion DE.1.0.7.0 --startMP 204:232985 --initTime 2016-10-24T20:11:54 --startdatetime 2016-10-24T20:27:14 --delay 1 --endMP 204:353 --enddatetime 2016-10-24T21:05:04 --enforcementcount 1 &gt;&gt;C:\Users\stu\Documents\GitHub\eaglep3-reporting\EC\2016-10-24-refined-times.txt</v>
      </c>
      <c r="AI137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{"issue":{"subject":"","project_id":79,"tracker_id":40,"status_id":1,"priority_id":2,"assigned_to_id":23,"start_date":"2016-10-24","description":"","custom_fields":[{"id":1,"name":"Subdivision","value":"EC"},{"id":4,"name":"Milepost","value":"0.0353"},{"id":17,"name":"Train ID","value":"224-24"},{"id":16,"name":"Locomotive ID","value":"4021"},{"id":130,"name":"Impact","value":""},{"id":150,"name":"Time of Event (Mountain Time)","value":"21:05:04"},{"id":151,"name":"Denver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582</v>
      </c>
      <c r="B138" s="7">
        <v>4011</v>
      </c>
      <c r="C138" s="22" t="s">
        <v>99</v>
      </c>
      <c r="D138" s="22" t="s">
        <v>670</v>
      </c>
      <c r="E138" s="13">
        <v>42667.832719907405</v>
      </c>
      <c r="F138" s="13">
        <v>42667.833958333336</v>
      </c>
      <c r="G138" s="7">
        <v>1</v>
      </c>
      <c r="H138" s="13" t="s">
        <v>671</v>
      </c>
      <c r="I138" s="13">
        <v>42667.860462962963</v>
      </c>
      <c r="J138" s="7">
        <v>1</v>
      </c>
      <c r="K138" s="112" t="str">
        <f t="shared" si="29"/>
        <v>4011/4012</v>
      </c>
      <c r="L138" s="22" t="str">
        <f>VLOOKUP(A138,'Trips&amp;Operators'!$C$1:$E$10000,3,FALSE)</f>
        <v>CHANDLER</v>
      </c>
      <c r="M138" s="6">
        <f t="shared" si="30"/>
        <v>2.6504629626288079E-2</v>
      </c>
      <c r="N138" s="7">
        <f t="shared" si="46"/>
        <v>38.166666661854833</v>
      </c>
      <c r="O138" s="7"/>
      <c r="P138" s="7"/>
      <c r="Q138" s="23"/>
      <c r="R138" s="23"/>
      <c r="S138" s="35">
        <f t="shared" si="47"/>
        <v>1</v>
      </c>
      <c r="T138" s="50" t="str">
        <f t="shared" si="33"/>
        <v>NorthBound</v>
      </c>
      <c r="U138" s="1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18:59:07-0600',mode:absolute,to:'2016-10-24 21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8" s="52" t="str">
        <f t="shared" si="43"/>
        <v>N</v>
      </c>
      <c r="X138" s="171">
        <f t="shared" si="49"/>
        <v>1</v>
      </c>
      <c r="Y138" s="67">
        <f t="shared" si="50"/>
        <v>6.3700000000000007E-2</v>
      </c>
      <c r="Z138" s="67">
        <f t="shared" si="48"/>
        <v>23.333100000000002</v>
      </c>
      <c r="AA138" s="67">
        <f t="shared" si="36"/>
        <v>23.269400000000001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7"/>
        <v>0225-24</v>
      </c>
      <c r="AE138" s="91" t="str">
        <f t="shared" si="38"/>
        <v>aws s3 cp s3://rtdc.mdm.uploadarchive.raw/RTDC4011/ "%USERPROFILE%\AppData\Local\Temp\OnboardLogs"\RTDC4011\2016-10-24 --exclude "*" --recursive --include "*20161024*" &amp; "%USERPROFILE%\Documents\GitHub\mrs-test-scripts\Headless Mode &amp; Sideloading\WalkAndUnGZ.bat" "%USERPROFILE%\AppData\Local\Temp\OnboardLogs"\RTDC4011\2016-10-24 &amp; 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</v>
      </c>
      <c r="AF138" s="88" t="str">
        <f t="shared" si="39"/>
        <v>"C:\Program Files (x86)\AstroGrep\AstroGrep.exe" /spath="%USERPROFILE%\AppData\Local\Temp\OnboardLogs" /stypes="app*4011*20161025*" /stext=" 02:.+((SYSTEM_STATE.+slice.+state.+changed )|(ment ac)|(system.+state.+changed )|(\[timeout)|(PRM\|1\|D)|(kpr)|(kdp)|(\|lc)|(penalty))" /e /r /s</v>
      </c>
      <c r="AG138" s="1" t="str">
        <f t="shared" si="40"/>
        <v>EC</v>
      </c>
      <c r="AH138" s="92" t="str">
        <f t="shared" si="41"/>
        <v>"%USERPROFILE%\Documents\GitHub\eaglep3\Utilities\RefineRTDCRunTimes.py" --tripid 225-24 --locoid 4011 --swversion DE.1.0.7.0 --startMP 204:637 --initTime 2016-10-24T19:59:07 --startdatetime 2016-10-24T20:00:54 --delay 1 --endMP 204:233331 --enddatetime 2016-10-24T20:39:04 --enforcementcount 1 &gt;&gt;C:\Users\stu\Documents\GitHub\eaglep3-reporting\EC\2016-10-24-refined-times.txt</v>
      </c>
      <c r="AI138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{"issue":{"subject":"","project_id":79,"tracker_id":40,"status_id":1,"priority_id":2,"assigned_to_id":23,"start_date":"2016-10-24","description":"","custom_fields":[{"id":1,"name":"Subdivision","value":"EC"},{"id":4,"name":"Milepost","value":"23.3331"},{"id":17,"name":"Train ID","value":"225-24"},{"id":16,"name":"Locomotive ID","value":"4011"},{"id":130,"name":"Impact","value":""},{"id":150,"name":"Time of Event (Mountain Time)","value":"20:39:04"},{"id":151,"name":"Denver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587</v>
      </c>
      <c r="B139" s="7">
        <v>4037</v>
      </c>
      <c r="C139" s="22" t="s">
        <v>99</v>
      </c>
      <c r="D139" s="22" t="s">
        <v>672</v>
      </c>
      <c r="E139" s="13">
        <v>42667.87222222222</v>
      </c>
      <c r="F139" s="13">
        <v>42667.95648148148</v>
      </c>
      <c r="G139" s="7">
        <v>1</v>
      </c>
      <c r="H139" s="13" t="s">
        <v>673</v>
      </c>
      <c r="I139" s="13">
        <v>42667.984305555554</v>
      </c>
      <c r="J139" s="7">
        <v>1</v>
      </c>
      <c r="K139" s="112" t="str">
        <f t="shared" si="29"/>
        <v>4037/4038</v>
      </c>
      <c r="L139" s="22" t="str">
        <f>VLOOKUP(A139,'Trips&amp;Operators'!$C$1:$E$10000,3,FALSE)</f>
        <v>CHANDLER</v>
      </c>
      <c r="M139" s="6">
        <f t="shared" si="30"/>
        <v>2.7824074073578231E-2</v>
      </c>
      <c r="N139" s="7">
        <f t="shared" si="46"/>
        <v>40.066666665952653</v>
      </c>
      <c r="O139" s="7"/>
      <c r="P139" s="7"/>
      <c r="Q139" s="23"/>
      <c r="R139" s="23"/>
      <c r="S139" s="35">
        <f t="shared" si="47"/>
        <v>1</v>
      </c>
      <c r="T139" s="50" t="str">
        <f t="shared" si="33"/>
        <v>Southbound</v>
      </c>
      <c r="U139" s="1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19:56:00-0600',mode:absolute,to:'2016-10-25 00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9" s="52" t="str">
        <f t="shared" si="43"/>
        <v>N</v>
      </c>
      <c r="X139" s="171">
        <f t="shared" si="49"/>
        <v>1</v>
      </c>
      <c r="Y139" s="67">
        <f t="shared" si="50"/>
        <v>23.2681</v>
      </c>
      <c r="Z139" s="67">
        <f t="shared" si="48"/>
        <v>6.3E-3</v>
      </c>
      <c r="AA139" s="67">
        <f t="shared" si="36"/>
        <v>23.261800000000001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7"/>
        <v>0226-24</v>
      </c>
      <c r="AE139" s="91" t="str">
        <f t="shared" si="38"/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AF139" s="88" t="str">
        <f t="shared" si="39"/>
        <v>"C:\Program Files (x86)\AstroGrep\AstroGrep.exe" /spath="%USERPROFILE%\AppData\Local\Temp\OnboardLogs" /stypes="app*4037*20161025*" /stext=" 05:.+((SYSTEM_STATE.+slice.+state.+changed )|(ment ac)|(system.+state.+changed )|(\[timeout)|(PRM\|1\|D)|(kpr)|(kdp)|(\|lc)|(penalty))" /e /r /s</v>
      </c>
      <c r="AG139" s="1" t="str">
        <f t="shared" si="40"/>
        <v>EC</v>
      </c>
      <c r="AH139" s="92" t="str">
        <f t="shared" si="41"/>
        <v>"%USERPROFILE%\Documents\GitHub\eaglep3\Utilities\RefineRTDCRunTimes.py" --tripid 226-24 --locoid 4037 --swversion DE.1.0.7.0 --startMP 204:232681 --initTime 2016-10-24T20:56:00 --startdatetime 2016-10-24T22:57:20 --delay 1 --endMP 204:63 --enddatetime 2016-10-24T23:37:24 --enforcementcount 1 &gt;&gt;C:\Users\stu\Documents\GitHub\eaglep3-reporting\EC\2016-10-24-refined-times.txt</v>
      </c>
      <c r="AI139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{"issue":{"subject":"","project_id":79,"tracker_id":40,"status_id":1,"priority_id":2,"assigned_to_id":23,"start_date":"2016-10-24","description":"","custom_fields":[{"id":1,"name":"Subdivision","value":"EC"},{"id":4,"name":"Milepost","value":"0.0063"},{"id":17,"name":"Train ID","value":"226-24"},{"id":16,"name":"Locomotive ID","value":"4037"},{"id":130,"name":"Impact","value":""},{"id":150,"name":"Time of Event (Mountain Time)","value":"23:37:24"},{"id":151,"name":"Denver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584</v>
      </c>
      <c r="B140" s="7">
        <v>4016</v>
      </c>
      <c r="C140" s="22" t="s">
        <v>99</v>
      </c>
      <c r="D140" s="22" t="s">
        <v>674</v>
      </c>
      <c r="E140" s="13">
        <v>42667.845497685186</v>
      </c>
      <c r="F140" s="13">
        <v>42667.854432870372</v>
      </c>
      <c r="G140" s="7">
        <v>1</v>
      </c>
      <c r="H140" s="13" t="s">
        <v>675</v>
      </c>
      <c r="I140" s="13">
        <v>42667.878946759258</v>
      </c>
      <c r="J140" s="7">
        <v>1</v>
      </c>
      <c r="K140" s="112" t="str">
        <f t="shared" si="29"/>
        <v>4015/4016</v>
      </c>
      <c r="L140" s="22" t="str">
        <f>VLOOKUP(A140,'Trips&amp;Operators'!$C$1:$E$10000,3,FALSE)</f>
        <v>YANAI</v>
      </c>
      <c r="M140" s="6">
        <f t="shared" si="30"/>
        <v>2.4513888885849155E-2</v>
      </c>
      <c r="N140" s="7">
        <f t="shared" si="46"/>
        <v>35.299999995622784</v>
      </c>
      <c r="O140" s="7"/>
      <c r="P140" s="7"/>
      <c r="Q140" s="23"/>
      <c r="R140" s="23"/>
      <c r="S140" s="35">
        <f t="shared" si="47"/>
        <v>1</v>
      </c>
      <c r="T140" s="50" t="str">
        <f t="shared" si="33"/>
        <v>NorthBound</v>
      </c>
      <c r="U140" s="1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https://search-rtdc-monitor-bjffxe2xuh6vdkpspy63sjmuny.us-east-1.es.amazonaws.com/_plugin/kibana/#/discover/Steve-Slow-Train-Analysis-(2080s-and-2083s)?_g=(refreshInterval:(display:Off,section:0,value:0),time:(from:'2016-10-24 19:17:31-0600',mode:absolute,to:'2016-10-24 22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0" s="52" t="str">
        <f t="shared" si="43"/>
        <v>N</v>
      </c>
      <c r="X140" s="171">
        <f t="shared" si="49"/>
        <v>1</v>
      </c>
      <c r="Y140" s="67">
        <f t="shared" si="50"/>
        <v>7.3700000000000002E-2</v>
      </c>
      <c r="Z140" s="67">
        <f t="shared" si="48"/>
        <v>23.3368</v>
      </c>
      <c r="AA140" s="67">
        <f t="shared" si="36"/>
        <v>23.263100000000001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37"/>
        <v>0227-24</v>
      </c>
      <c r="AE140" s="91" t="str">
        <f t="shared" si="38"/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AF140" s="88" t="str">
        <f t="shared" si="39"/>
        <v>"C:\Program Files (x86)\AstroGrep\AstroGrep.exe" /spath="%USERPROFILE%\AppData\Local\Temp\OnboardLogs" /stypes="app*4016*20161025*" /stext=" 03:.+((SYSTEM_STATE.+slice.+state.+changed )|(ment ac)|(system.+state.+changed )|(\[timeout)|(PRM\|1\|D)|(kpr)|(kdp)|(\|lc)|(penalty))" /e /r /s</v>
      </c>
      <c r="AG140" s="1" t="str">
        <f t="shared" si="40"/>
        <v>EC</v>
      </c>
      <c r="AH140" s="92" t="str">
        <f t="shared" si="41"/>
        <v>"%USERPROFILE%\Documents\GitHub\eaglep3\Utilities\RefineRTDCRunTimes.py" --tripid 227-24 --locoid 4016 --swversion DE.1.0.7.0 --startMP 204:737 --initTime 2016-10-24T20:17:31 --startdatetime 2016-10-24T20:30:23 --delay 1 --endMP 204:233368 --enddatetime 2016-10-24T21:05:41 --enforcementcount 1 &gt;&gt;C:\Users\stu\Documents\GitHub\eaglep3-reporting\EC\2016-10-24-refined-times.txt</v>
      </c>
      <c r="AI140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{"issue":{"subject":"","project_id":79,"tracker_id":40,"status_id":1,"priority_id":2,"assigned_to_id":23,"start_date":"2016-10-24","description":"","custom_fields":[{"id":1,"name":"Subdivision","value":"EC"},{"id":4,"name":"Milepost","value":"23.3368"},{"id":17,"name":"Train ID","value":"227-24"},{"id":16,"name":"Locomotive ID","value":"4016"},{"id":130,"name":"Impact","value":""},{"id":150,"name":"Time of Event (Mountain Time)","value":"21:05:41"},{"id":151,"name":"Denver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590</v>
      </c>
      <c r="B141" s="7">
        <v>4013</v>
      </c>
      <c r="C141" s="22" t="s">
        <v>99</v>
      </c>
      <c r="D141" s="22" t="s">
        <v>676</v>
      </c>
      <c r="E141" s="13">
        <v>42667.890810185185</v>
      </c>
      <c r="F141" s="13">
        <v>42667.893287037034</v>
      </c>
      <c r="G141" s="7">
        <v>0</v>
      </c>
      <c r="H141" s="13" t="s">
        <v>223</v>
      </c>
      <c r="I141" s="13">
        <v>42667.920972222222</v>
      </c>
      <c r="J141" s="7">
        <v>1</v>
      </c>
      <c r="K141" s="112" t="str">
        <f t="shared" ref="K141:K204" si="51">IF(ISEVEN(B141),(B141-1)&amp;"/"&amp;B141,B141&amp;"/"&amp;(B141+1))</f>
        <v>4013/4014</v>
      </c>
      <c r="L141" s="22" t="str">
        <f>VLOOKUP(A141,'Trips&amp;Operators'!$C$1:$E$10000,3,FALSE)</f>
        <v>YANAI</v>
      </c>
      <c r="M141" s="6">
        <f t="shared" ref="M141:M204" si="52">I141-F141</f>
        <v>2.768518518860219E-2</v>
      </c>
      <c r="N141" s="7">
        <f t="shared" ref="N141:N171" si="53">24*60*SUM($M141:$M141)</f>
        <v>39.866666671587154</v>
      </c>
      <c r="O141" s="7"/>
      <c r="P141" s="7"/>
      <c r="Q141" s="23"/>
      <c r="R141" s="23"/>
      <c r="S141" s="35">
        <f t="shared" ref="S141:S172" si="54">SUM(U141:U141)/IF(AG141="EC",12,1)</f>
        <v>1</v>
      </c>
      <c r="T141" s="50" t="str">
        <f t="shared" ref="T141:T204" si="55">IF(ISEVEN(LEFT(AD141,4)),"Southbound","NorthBound")</f>
        <v>Southbound</v>
      </c>
      <c r="U141" s="1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6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https://search-rtdc-monitor-bjffxe2xuh6vdkpspy63sjmuny.us-east-1.es.amazonaws.com/_plugin/kibana/#/discover/Steve-Slow-Train-Analysis-(2080s-and-2083s)?_g=(refreshInterval:(display:Off,section:0,value:0),time:(from:'2016-10-24 20:22:46-0600',mode:absolute,to:'2016-10-24 23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1" s="52" t="str">
        <f t="shared" si="43"/>
        <v>N</v>
      </c>
      <c r="X141" s="171">
        <f t="shared" si="49"/>
        <v>1</v>
      </c>
      <c r="Y141" s="67">
        <f t="shared" si="50"/>
        <v>23.275099999999998</v>
      </c>
      <c r="Z141" s="67">
        <f t="shared" ref="Z141:Z171" si="57">RIGHT(H141,LEN(H141)-4)/10000</f>
        <v>1.43E-2</v>
      </c>
      <c r="AA141" s="67">
        <f t="shared" ref="AA141:AA204" si="58">ABS(Z141-Y141)</f>
        <v>23.2608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4" si="59">IF(LEN(A141)=6,"0"&amp;A141,A141)</f>
        <v>0228-24</v>
      </c>
      <c r="AE141" s="91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AF141" s="88" t="str">
        <f t="shared" ref="AF141:AF204" si="6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/stypes="app*4013*20161025*" /stext=" 04:.+((SYSTEM_STATE.+slice.+state.+changed )|(ment ac)|(system.+state.+changed )|(\[timeout)|(PRM\|1\|D)|(kpr)|(kdp)|(\|lc)|(penalty))" /e /r /s</v>
      </c>
      <c r="AG141" s="1" t="str">
        <f t="shared" ref="AG141:AG204" si="62">IFERROR(IF(VALUE(LEFT(AD141,2))&lt;=2,"EC",IF(OR(VALUE(LEFT(AD141,2))=8,VALUE(LEFT(AD141,2))=18),"NW","Other")),"Other")</f>
        <v>EC</v>
      </c>
      <c r="AH141" s="92" t="str">
        <f t="shared" si="41"/>
        <v>"%USERPROFILE%\Documents\GitHub\eaglep3\Utilities\RefineRTDCRunTimes.py" --tripid 228-24 --locoid 4013 --swversion DE.1.0.7.0 --startMP 204:232751 --initTime 2016-10-24T21:22:46 --startdatetime 2016-10-24T21:26:20 --delay 0 --endMP 204:143 --enddatetime 2016-10-24T22:06:12 --enforcementcount 1 &gt;&gt;C:\Users\stu\Documents\GitHub\eaglep3-reporting\EC\2016-10-24-refined-times.txt</v>
      </c>
      <c r="AI141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{"issue":{"subject":"","project_id":79,"tracker_id":40,"status_id":1,"priority_id":2,"assigned_to_id":23,"start_date":"2016-10-24","description":"","custom_fields":[{"id":1,"name":"Subdivision","value":"EC"},{"id":4,"name":"Milepost","value":"0.0143"},{"id":17,"name":"Train ID","value":"228-24"},{"id":16,"name":"Locomotive ID","value":"4013"},{"id":130,"name":"Impact","value":""},{"id":150,"name":"Time of Event (Mountain Time)","value":"22:06:12"},{"id":151,"name":"Denver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586</v>
      </c>
      <c r="B142" s="7">
        <v>4002</v>
      </c>
      <c r="C142" s="22" t="s">
        <v>99</v>
      </c>
      <c r="D142" s="22" t="s">
        <v>677</v>
      </c>
      <c r="E142" s="13">
        <v>42667.870150462964</v>
      </c>
      <c r="F142" s="13">
        <v>42667.875752314816</v>
      </c>
      <c r="G142" s="7">
        <v>1</v>
      </c>
      <c r="H142" s="13" t="s">
        <v>678</v>
      </c>
      <c r="I142" s="13">
        <v>42667.901990740742</v>
      </c>
      <c r="J142" s="7">
        <v>1</v>
      </c>
      <c r="K142" s="112" t="str">
        <f t="shared" si="51"/>
        <v>4001/4002</v>
      </c>
      <c r="L142" s="22" t="str">
        <f>VLOOKUP(A142,'Trips&amp;Operators'!$C$1:$E$10000,3,FALSE)</f>
        <v>LEVERE</v>
      </c>
      <c r="M142" s="6">
        <f t="shared" si="52"/>
        <v>2.6238425925839692E-2</v>
      </c>
      <c r="N142" s="7">
        <f t="shared" si="53"/>
        <v>37.783333333209157</v>
      </c>
      <c r="O142" s="7"/>
      <c r="P142" s="7"/>
      <c r="Q142" s="23"/>
      <c r="R142" s="23"/>
      <c r="S142" s="35">
        <f t="shared" si="54"/>
        <v>1</v>
      </c>
      <c r="T142" s="50" t="str">
        <f t="shared" si="55"/>
        <v>NorthBound</v>
      </c>
      <c r="U142" s="1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19:53:01-0600',mode:absolute,to:'2016-10-24 22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2" s="52" t="str">
        <f t="shared" si="43"/>
        <v>N</v>
      </c>
      <c r="X142" s="171">
        <f t="shared" si="49"/>
        <v>1</v>
      </c>
      <c r="Y142" s="67">
        <f t="shared" si="50"/>
        <v>7.6600000000000001E-2</v>
      </c>
      <c r="Z142" s="67">
        <f t="shared" si="57"/>
        <v>23.328099999999999</v>
      </c>
      <c r="AA142" s="67">
        <f t="shared" si="58"/>
        <v>23.2515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59"/>
        <v>0229-24</v>
      </c>
      <c r="AE142" s="91" t="str">
        <f t="shared" si="60"/>
        <v>aws s3 cp s3://rtdc.mdm.uploadarchive.raw/RTDC4002/ "%USERPROFILE%\AppData\Local\Temp\OnboardLogs"\RTDC4002\2016-10-24 --exclude "*" --recursive --include "*20161024*" &amp; "%USERPROFILE%\Documents\GitHub\mrs-test-scripts\Headless Mode &amp; Sideloading\WalkAndUnGZ.bat" "%USERPROFILE%\AppData\Local\Temp\OnboardLogs"\RTDC4002\2016-10-24 &amp; 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</v>
      </c>
      <c r="AF142" s="88" t="str">
        <f t="shared" si="61"/>
        <v>"C:\Program Files (x86)\AstroGrep\AstroGrep.exe" /spath="%USERPROFILE%\AppData\Local\Temp\OnboardLogs" /stypes="app*4002*20161025*" /stext=" 03:.+((SYSTEM_STATE.+slice.+state.+changed )|(ment ac)|(system.+state.+changed )|(\[timeout)|(PRM\|1\|D)|(kpr)|(kdp)|(\|lc)|(penalty))" /e /r /s</v>
      </c>
      <c r="AG142" s="1" t="str">
        <f t="shared" si="62"/>
        <v>EC</v>
      </c>
      <c r="AH142" s="92" t="str">
        <f t="shared" si="41"/>
        <v>"%USERPROFILE%\Documents\GitHub\eaglep3\Utilities\RefineRTDCRunTimes.py" --tripid 229-24 --locoid 4002 --swversion DE.1.0.7.0 --startMP 204:766 --initTime 2016-10-24T20:53:01 --startdatetime 2016-10-24T21:01:05 --delay 1 --endMP 204:233281 --enddatetime 2016-10-24T21:38:52 --enforcementcount 1 &gt;&gt;C:\Users\stu\Documents\GitHub\eaglep3-reporting\EC\2016-10-24-refined-times.txt</v>
      </c>
      <c r="AI142" s="122" t="str">
        <f t="shared" si="42"/>
        <v>echo {"issue":{"subject":"","project_id":79,"tracker_id":40,"status_id":1,"priority_id":2,"assigned_to_id":23,"start_date":"2016-10-24","description":"","custom_fields":[{"id":1,"name":"Subdivision","value":"EC"},{"id":4,"name":"Milepost","value":"23.3281"},{"id":17,"name":"Train ID","value":"229-24"},{"id":16,"name":"Locomotive ID","value":"4002"},{"id":130,"name":"Impact","value":""},{"id":150,"name":"Time of Event (Mountain Time)","value":"21:38:52"},{"id":151,"name":"Denver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592</v>
      </c>
      <c r="B143" s="7">
        <v>4017</v>
      </c>
      <c r="C143" s="22" t="s">
        <v>99</v>
      </c>
      <c r="D143" s="22" t="s">
        <v>679</v>
      </c>
      <c r="E143" s="13">
        <v>42667.908483796295</v>
      </c>
      <c r="F143" s="13">
        <v>42667.914664351854</v>
      </c>
      <c r="G143" s="7">
        <v>2</v>
      </c>
      <c r="H143" s="13" t="s">
        <v>378</v>
      </c>
      <c r="I143" s="13">
        <v>42667.943124999998</v>
      </c>
      <c r="J143" s="7">
        <v>1</v>
      </c>
      <c r="K143" s="112" t="str">
        <f t="shared" si="51"/>
        <v>4017/4018</v>
      </c>
      <c r="L143" s="22" t="str">
        <f>VLOOKUP(A143,'Trips&amp;Operators'!$C$1:$E$10000,3,FALSE)</f>
        <v>LEVERE</v>
      </c>
      <c r="M143" s="6">
        <f t="shared" si="52"/>
        <v>2.8460648143664002E-2</v>
      </c>
      <c r="N143" s="7">
        <f t="shared" si="53"/>
        <v>40.983333326876163</v>
      </c>
      <c r="O143" s="7"/>
      <c r="P143" s="7"/>
      <c r="Q143" s="23"/>
      <c r="R143" s="23"/>
      <c r="S143" s="35">
        <f t="shared" si="54"/>
        <v>1</v>
      </c>
      <c r="T143" s="50" t="str">
        <f t="shared" si="55"/>
        <v>Southbound</v>
      </c>
      <c r="U143" s="1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20:48:13-0600',mode:absolute,to:'2016-10-24 23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3" s="52" t="str">
        <f t="shared" si="43"/>
        <v>N</v>
      </c>
      <c r="X143" s="171">
        <f t="shared" si="49"/>
        <v>1</v>
      </c>
      <c r="Y143" s="67">
        <f t="shared" si="50"/>
        <v>23.265799999999999</v>
      </c>
      <c r="Z143" s="67">
        <f t="shared" si="57"/>
        <v>1.14E-2</v>
      </c>
      <c r="AA143" s="67">
        <f t="shared" si="58"/>
        <v>23.2544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59"/>
        <v>0230-24</v>
      </c>
      <c r="AE143" s="91" t="str">
        <f t="shared" si="60"/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AF143" s="88" t="str">
        <f t="shared" si="61"/>
        <v>"C:\Program Files (x86)\AstroGrep\AstroGrep.exe" /spath="%USERPROFILE%\AppData\Local\Temp\OnboardLogs" /stypes="app*4017*20161025*" /stext=" 04:.+((SYSTEM_STATE.+slice.+state.+changed )|(ment ac)|(system.+state.+changed )|(\[timeout)|(PRM\|1\|D)|(kpr)|(kdp)|(\|lc)|(penalty))" /e /r /s</v>
      </c>
      <c r="AG143" s="1" t="str">
        <f t="shared" si="62"/>
        <v>EC</v>
      </c>
      <c r="AH143" s="92" t="str">
        <f t="shared" ref="AH143:AH203" si="63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230-24 --locoid 4017 --swversion DE.1.0.7.0 --startMP 204:232658 --initTime 2016-10-24T21:48:13 --startdatetime 2016-10-24T21:57:07 --delay 2 --endMP 204:114 --enddatetime 2016-10-24T22:38:06 --enforcementcount 1 &gt;&gt;C:\Users\stu\Documents\GitHub\eaglep3-reporting\EC\2016-10-24-refined-times.txt</v>
      </c>
      <c r="AI143" s="122" t="str">
        <f t="shared" ref="AI143:AI203" si="64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{"issue":{"subject":"","project_id":79,"tracker_id":40,"status_id":1,"priority_id":2,"assigned_to_id":23,"start_date":"2016-10-24","description":"","custom_fields":[{"id":1,"name":"Subdivision","value":"EC"},{"id":4,"name":"Milepost","value":"0.0114"},{"id":17,"name":"Train ID","value":"230-24"},{"id":16,"name":"Locomotive ID","value":"4017"},{"id":130,"name":"Impact","value":""},{"id":150,"name":"Time of Event (Mountain Time)","value":"22:38:06"},{"id":151,"name":"Denver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589</v>
      </c>
      <c r="B144" s="7">
        <v>4022</v>
      </c>
      <c r="C144" s="22" t="s">
        <v>99</v>
      </c>
      <c r="D144" s="22" t="s">
        <v>630</v>
      </c>
      <c r="E144" s="13">
        <v>42667.888402777775</v>
      </c>
      <c r="F144" s="13">
        <v>42667.896041666667</v>
      </c>
      <c r="G144" s="7">
        <v>1</v>
      </c>
      <c r="H144" s="13" t="s">
        <v>680</v>
      </c>
      <c r="I144" s="13">
        <v>42667.920937499999</v>
      </c>
      <c r="J144" s="7">
        <v>1</v>
      </c>
      <c r="K144" s="112" t="str">
        <f t="shared" si="51"/>
        <v>4021/4022</v>
      </c>
      <c r="L144" s="22" t="str">
        <f>VLOOKUP(A144,'Trips&amp;Operators'!$C$1:$E$10000,3,FALSE)</f>
        <v>NEWELL</v>
      </c>
      <c r="M144" s="6">
        <f t="shared" si="52"/>
        <v>2.4895833332266193E-2</v>
      </c>
      <c r="N144" s="7">
        <f t="shared" si="53"/>
        <v>35.849999998463318</v>
      </c>
      <c r="O144" s="7"/>
      <c r="P144" s="7"/>
      <c r="Q144" s="23"/>
      <c r="R144" s="23"/>
      <c r="S144" s="35">
        <f t="shared" si="54"/>
        <v>1</v>
      </c>
      <c r="T144" s="50" t="str">
        <f t="shared" si="55"/>
        <v>NorthBound</v>
      </c>
      <c r="U144" s="1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20:19:18-0600',mode:absolute,to:'2016-10-24 23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4" s="52" t="str">
        <f t="shared" si="43"/>
        <v>N</v>
      </c>
      <c r="X144" s="171">
        <f t="shared" si="49"/>
        <v>1</v>
      </c>
      <c r="Y144" s="67">
        <f t="shared" si="50"/>
        <v>6.4799999999999996E-2</v>
      </c>
      <c r="Z144" s="67">
        <f t="shared" si="57"/>
        <v>23.331700000000001</v>
      </c>
      <c r="AA144" s="67">
        <f t="shared" si="58"/>
        <v>23.2669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59"/>
        <v>0231-24</v>
      </c>
      <c r="AE144" s="91" t="str">
        <f t="shared" si="60"/>
        <v>aws s3 cp s3://rtdc.mdm.uploadarchive.raw/RTDC4022/ "%USERPROFILE%\AppData\Local\Temp\OnboardLogs"\RTDC4022\2016-10-24 --exclude "*" --recursive --include "*20161024*" &amp; "%USERPROFILE%\Documents\GitHub\mrs-test-scripts\Headless Mode &amp; Sideloading\WalkAndUnGZ.bat" "%USERPROFILE%\AppData\Local\Temp\OnboardLogs"\RTDC4022\2016-10-24 &amp; aws s3 cp s3://rtdc.mdm.uploadarchive.raw/RTDC4022/ "%USERPROFILE%\AppData\Local\Temp\OnboardLogs"\RTDC4022\2016-10-25 --exclude "*" --recursive --include "*20161025*" &amp; "%USERPROFILE%\Documents\GitHub\mrs-test-scripts\Headless Mode &amp; Sideloading\WalkAndUnGZ.bat" "%USERPROFILE%\AppData\Local\Temp\OnboardLogs"\RTDC4022\2016-10-25</v>
      </c>
      <c r="AF144" s="88" t="str">
        <f t="shared" si="61"/>
        <v>"C:\Program Files (x86)\AstroGrep\AstroGrep.exe" /spath="%USERPROFILE%\AppData\Local\Temp\OnboardLogs" /stypes="app*4022*20161025*" /stext=" 04:.+((SYSTEM_STATE.+slice.+state.+changed )|(ment ac)|(system.+state.+changed )|(\[timeout)|(PRM\|1\|D)|(kpr)|(kdp)|(\|lc)|(penalty))" /e /r /s</v>
      </c>
      <c r="AG144" s="1" t="str">
        <f t="shared" si="62"/>
        <v>EC</v>
      </c>
      <c r="AH144" s="92" t="str">
        <f t="shared" si="63"/>
        <v>"%USERPROFILE%\Documents\GitHub\eaglep3\Utilities\RefineRTDCRunTimes.py" --tripid 231-24 --locoid 4022 --swversion DE.1.0.7.0 --startMP 204:648 --initTime 2016-10-24T21:19:18 --startdatetime 2016-10-24T21:30:18 --delay 1 --endMP 204:233317 --enddatetime 2016-10-24T22:06:09 --enforcementcount 1 &gt;&gt;C:\Users\stu\Documents\GitHub\eaglep3-reporting\EC\2016-10-24-refined-times.txt</v>
      </c>
      <c r="AI144" s="122" t="str">
        <f t="shared" si="64"/>
        <v>echo {"issue":{"subject":"","project_id":79,"tracker_id":40,"status_id":1,"priority_id":2,"assigned_to_id":23,"start_date":"2016-10-24","description":"","custom_fields":[{"id":1,"name":"Subdivision","value":"EC"},{"id":4,"name":"Milepost","value":"23.3317"},{"id":17,"name":"Train ID","value":"231-24"},{"id":16,"name":"Locomotive ID","value":"4022"},{"id":130,"name":"Impact","value":""},{"id":150,"name":"Time of Event (Mountain Time)","value":"22:06:09"},{"id":151,"name":"Denver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596</v>
      </c>
      <c r="B145" s="7">
        <v>4054</v>
      </c>
      <c r="C145" s="22" t="s">
        <v>99</v>
      </c>
      <c r="D145" s="22" t="s">
        <v>356</v>
      </c>
      <c r="E145" s="13">
        <v>42667.92827546296</v>
      </c>
      <c r="F145" s="13">
        <v>42667.934907407405</v>
      </c>
      <c r="G145" s="7">
        <v>1</v>
      </c>
      <c r="H145" s="13" t="s">
        <v>681</v>
      </c>
      <c r="I145" s="13">
        <v>42667.962638888886</v>
      </c>
      <c r="J145" s="7">
        <v>1</v>
      </c>
      <c r="K145" s="112" t="str">
        <f t="shared" si="51"/>
        <v>4053/4054</v>
      </c>
      <c r="L145" s="22" t="str">
        <f>VLOOKUP(A145,'Trips&amp;Operators'!$C$1:$E$10000,3,FALSE)</f>
        <v>NEWELL</v>
      </c>
      <c r="M145" s="6">
        <f t="shared" si="52"/>
        <v>2.7731481481168885E-2</v>
      </c>
      <c r="N145" s="7">
        <f t="shared" si="53"/>
        <v>39.933333332883194</v>
      </c>
      <c r="O145" s="7"/>
      <c r="P145" s="7"/>
      <c r="Q145" s="23"/>
      <c r="R145" s="23"/>
      <c r="S145" s="35">
        <f t="shared" si="54"/>
        <v>1</v>
      </c>
      <c r="T145" s="50" t="str">
        <f t="shared" si="55"/>
        <v>Southbound</v>
      </c>
      <c r="U145" s="1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21:16:43-0600',mode:absolute,to:'2016-10-25 00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5" s="52" t="str">
        <f t="shared" si="43"/>
        <v>N</v>
      </c>
      <c r="X145" s="171">
        <f t="shared" si="49"/>
        <v>1</v>
      </c>
      <c r="Y145" s="67">
        <f t="shared" si="50"/>
        <v>23.267700000000001</v>
      </c>
      <c r="Z145" s="67">
        <f t="shared" si="57"/>
        <v>1.2699999999999999E-2</v>
      </c>
      <c r="AA145" s="67">
        <f t="shared" si="58"/>
        <v>23.255000000000003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59"/>
        <v>0232-24</v>
      </c>
      <c r="AE145" s="91" t="str">
        <f t="shared" si="60"/>
        <v>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 &amp; 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</v>
      </c>
      <c r="AF145" s="88" t="str">
        <f t="shared" si="61"/>
        <v>"C:\Program Files (x86)\AstroGrep\AstroGrep.exe" /spath="%USERPROFILE%\AppData\Local\Temp\OnboardLogs" /stypes="app*4054*20161025*" /stext=" 05:.+((SYSTEM_STATE.+slice.+state.+changed )|(ment ac)|(system.+state.+changed )|(\[timeout)|(PRM\|1\|D)|(kpr)|(kdp)|(\|lc)|(penalty))" /e /r /s</v>
      </c>
      <c r="AG145" s="1" t="str">
        <f t="shared" si="62"/>
        <v>EC</v>
      </c>
      <c r="AH145" s="92" t="str">
        <f t="shared" si="63"/>
        <v>"%USERPROFILE%\Documents\GitHub\eaglep3\Utilities\RefineRTDCRunTimes.py" --tripid 232-24 --locoid 4054 --swversion DE.1.0.7.0 --startMP 204:232677 --initTime 2016-10-24T22:16:43 --startdatetime 2016-10-24T22:26:16 --delay 1 --endMP 204:127 --enddatetime 2016-10-24T23:06:12 --enforcementcount 1 &gt;&gt;C:\Users\stu\Documents\GitHub\eaglep3-reporting\EC\2016-10-24-refined-times.txt</v>
      </c>
      <c r="AI145" s="122" t="str">
        <f t="shared" si="64"/>
        <v>echo {"issue":{"subject":"","project_id":79,"tracker_id":40,"status_id":1,"priority_id":2,"assigned_to_id":23,"start_date":"2016-10-24","description":"","custom_fields":[{"id":1,"name":"Subdivision","value":"EC"},{"id":4,"name":"Milepost","value":"0.0127"},{"id":17,"name":"Train ID","value":"232-24"},{"id":16,"name":"Locomotive ID","value":"4054"},{"id":130,"name":"Impact","value":""},{"id":150,"name":"Time of Event (Mountain Time)","value":"23:06:12"},{"id":151,"name":"Denver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593</v>
      </c>
      <c r="B146" s="7">
        <v>4011</v>
      </c>
      <c r="C146" s="22" t="s">
        <v>99</v>
      </c>
      <c r="D146" s="22" t="s">
        <v>682</v>
      </c>
      <c r="E146" s="13">
        <v>42667.915925925925</v>
      </c>
      <c r="F146" s="13">
        <v>42667.917083333334</v>
      </c>
      <c r="G146" s="7">
        <v>1</v>
      </c>
      <c r="H146" s="13" t="s">
        <v>683</v>
      </c>
      <c r="I146" s="13">
        <v>42667.942766203705</v>
      </c>
      <c r="J146" s="7">
        <v>1</v>
      </c>
      <c r="K146" s="112" t="str">
        <f t="shared" si="51"/>
        <v>4011/4012</v>
      </c>
      <c r="L146" s="22" t="str">
        <f>VLOOKUP(A146,'Trips&amp;Operators'!$C$1:$E$10000,3,FALSE)</f>
        <v>CHANDLER</v>
      </c>
      <c r="M146" s="6">
        <f t="shared" si="52"/>
        <v>2.5682870371383615E-2</v>
      </c>
      <c r="N146" s="7">
        <f t="shared" si="53"/>
        <v>36.983333334792405</v>
      </c>
      <c r="O146" s="7"/>
      <c r="P146" s="7"/>
      <c r="Q146" s="23"/>
      <c r="R146" s="23"/>
      <c r="S146" s="35">
        <f t="shared" si="54"/>
        <v>1</v>
      </c>
      <c r="T146" s="50" t="str">
        <f t="shared" si="55"/>
        <v>NorthBound</v>
      </c>
      <c r="U146" s="1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20:58:56-0600',mode:absolute,to:'2016-10-24 23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6" s="52" t="str">
        <f t="shared" si="43"/>
        <v>N</v>
      </c>
      <c r="X146" s="171">
        <f t="shared" si="49"/>
        <v>1</v>
      </c>
      <c r="Y146" s="67">
        <f t="shared" si="50"/>
        <v>6.9199999999999998E-2</v>
      </c>
      <c r="Z146" s="67">
        <f t="shared" si="57"/>
        <v>23.3247</v>
      </c>
      <c r="AA146" s="67">
        <f t="shared" si="58"/>
        <v>23.255500000000001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59"/>
        <v>0233-24</v>
      </c>
      <c r="AE146" s="91" t="str">
        <f t="shared" si="60"/>
        <v>aws s3 cp s3://rtdc.mdm.uploadarchive.raw/RTDC4011/ "%USERPROFILE%\AppData\Local\Temp\OnboardLogs"\RTDC4011\2016-10-24 --exclude "*" --recursive --include "*20161024*" &amp; "%USERPROFILE%\Documents\GitHub\mrs-test-scripts\Headless Mode &amp; Sideloading\WalkAndUnGZ.bat" "%USERPROFILE%\AppData\Local\Temp\OnboardLogs"\RTDC4011\2016-10-24 &amp; 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</v>
      </c>
      <c r="AF146" s="88" t="str">
        <f t="shared" si="61"/>
        <v>"C:\Program Files (x86)\AstroGrep\AstroGrep.exe" /spath="%USERPROFILE%\AppData\Local\Temp\OnboardLogs" /stypes="app*4011*20161025*" /stext=" 04:.+((SYSTEM_STATE.+slice.+state.+changed )|(ment ac)|(system.+state.+changed )|(\[timeout)|(PRM\|1\|D)|(kpr)|(kdp)|(\|lc)|(penalty))" /e /r /s</v>
      </c>
      <c r="AG146" s="1" t="str">
        <f t="shared" si="62"/>
        <v>EC</v>
      </c>
      <c r="AH146" s="92" t="str">
        <f t="shared" si="63"/>
        <v>"%USERPROFILE%\Documents\GitHub\eaglep3\Utilities\RefineRTDCRunTimes.py" --tripid 233-24 --locoid 4011 --swversion DE.1.0.7.0 --startMP 204:692 --initTime 2016-10-24T21:58:56 --startdatetime 2016-10-24T22:00:36 --delay 1 --endMP 204:233247 --enddatetime 2016-10-24T22:37:35 --enforcementcount 1 &gt;&gt;C:\Users\stu\Documents\GitHub\eaglep3-reporting\EC\2016-10-24-refined-times.txt</v>
      </c>
      <c r="AI146" s="122" t="str">
        <f t="shared" si="64"/>
        <v>echo {"issue":{"subject":"","project_id":79,"tracker_id":40,"status_id":1,"priority_id":2,"assigned_to_id":23,"start_date":"2016-10-24","description":"","custom_fields":[{"id":1,"name":"Subdivision","value":"EC"},{"id":4,"name":"Milepost","value":"23.3247"},{"id":17,"name":"Train ID","value":"233-24"},{"id":16,"name":"Locomotive ID","value":"4011"},{"id":130,"name":"Impact","value":""},{"id":150,"name":"Time of Event (Mountain Time)","value":"22:37:35"},{"id":151,"name":"Denver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430</v>
      </c>
      <c r="B147" s="7">
        <v>4037</v>
      </c>
      <c r="C147" s="22" t="s">
        <v>99</v>
      </c>
      <c r="D147" s="22" t="s">
        <v>684</v>
      </c>
      <c r="E147" s="13">
        <v>42667.955543981479</v>
      </c>
      <c r="F147" s="13">
        <v>42667.95648148148</v>
      </c>
      <c r="G147" s="7">
        <v>1</v>
      </c>
      <c r="H147" s="13" t="s">
        <v>685</v>
      </c>
      <c r="I147" s="13">
        <v>42667.984305555554</v>
      </c>
      <c r="J147" s="7">
        <v>1</v>
      </c>
      <c r="K147" s="112" t="str">
        <f t="shared" si="51"/>
        <v>4037/4038</v>
      </c>
      <c r="L147" s="22" t="str">
        <f>VLOOKUP(A147,'Trips&amp;Operators'!$C$1:$E$10000,3,FALSE)</f>
        <v>CHANDLER</v>
      </c>
      <c r="M147" s="6">
        <f t="shared" si="52"/>
        <v>2.7824074073578231E-2</v>
      </c>
      <c r="N147" s="7">
        <f t="shared" si="53"/>
        <v>40.066666665952653</v>
      </c>
      <c r="O147" s="7"/>
      <c r="P147" s="7"/>
      <c r="Q147" s="23"/>
      <c r="R147" s="23"/>
      <c r="S147" s="35">
        <f t="shared" si="54"/>
        <v>1</v>
      </c>
      <c r="T147" s="50" t="str">
        <f t="shared" si="55"/>
        <v>Southbound</v>
      </c>
      <c r="U147" s="1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21:55:59-0600',mode:absolute,to:'2016-10-25 00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7" s="52" t="str">
        <f t="shared" si="43"/>
        <v>N</v>
      </c>
      <c r="X147" s="171">
        <f t="shared" ref="X147:X149" si="65">VALUE(LEFT(AD147,4))-VALUE(LEFT(AD146,4))</f>
        <v>1</v>
      </c>
      <c r="Y147" s="67">
        <f t="shared" si="50"/>
        <v>23.265000000000001</v>
      </c>
      <c r="Z147" s="67">
        <f t="shared" si="57"/>
        <v>7.4000000000000003E-3</v>
      </c>
      <c r="AA147" s="67">
        <f t="shared" si="58"/>
        <v>23.2576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59"/>
        <v>0234-24</v>
      </c>
      <c r="AE147" s="91" t="str">
        <f t="shared" si="60"/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AF147" s="88" t="str">
        <f t="shared" si="61"/>
        <v>"C:\Program Files (x86)\AstroGrep\AstroGrep.exe" /spath="%USERPROFILE%\AppData\Local\Temp\OnboardLogs" /stypes="app*4037*20161025*" /stext=" 05:.+((SYSTEM_STATE.+slice.+state.+changed )|(ment ac)|(system.+state.+changed )|(\[timeout)|(PRM\|1\|D)|(kpr)|(kdp)|(\|lc)|(penalty))" /e /r /s</v>
      </c>
      <c r="AG147" s="1" t="str">
        <f t="shared" si="62"/>
        <v>EC</v>
      </c>
      <c r="AH147" s="92" t="str">
        <f t="shared" si="63"/>
        <v>"%USERPROFILE%\Documents\GitHub\eaglep3\Utilities\RefineRTDCRunTimes.py" --tripid 234-24 --locoid 4037 --swversion DE.1.0.7.0 --startMP 204:232650 --initTime 2016-10-24T22:55:59 --startdatetime 2016-10-24T22:57:20 --delay 1 --endMP 204:74 --enddatetime 2016-10-24T23:37:24 --enforcementcount 1 &gt;&gt;C:\Users\stu\Documents\GitHub\eaglep3-reporting\EC\2016-10-24-refined-times.txt</v>
      </c>
      <c r="AI147" s="122" t="str">
        <f t="shared" si="64"/>
        <v>echo {"issue":{"subject":"","project_id":79,"tracker_id":40,"status_id":1,"priority_id":2,"assigned_to_id":23,"start_date":"2016-10-24","description":"","custom_fields":[{"id":1,"name":"Subdivision","value":"EC"},{"id":4,"name":"Milepost","value":"0.0074"},{"id":17,"name":"Train ID","value":"234-24"},{"id":16,"name":"Locomotive ID","value":"4037"},{"id":130,"name":"Impact","value":""},{"id":150,"name":"Time of Event (Mountain Time)","value":"23:37:24"},{"id":151,"name":"Denver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594</v>
      </c>
      <c r="B148" s="7">
        <v>4016</v>
      </c>
      <c r="C148" s="22" t="s">
        <v>99</v>
      </c>
      <c r="D148" s="22" t="s">
        <v>686</v>
      </c>
      <c r="E148" s="13">
        <v>42667.922534722224</v>
      </c>
      <c r="F148" s="13">
        <v>42667.937743055554</v>
      </c>
      <c r="G148" s="7">
        <v>1</v>
      </c>
      <c r="H148" s="13" t="s">
        <v>687</v>
      </c>
      <c r="I148" s="13">
        <v>42667.963368055556</v>
      </c>
      <c r="J148" s="7">
        <v>1</v>
      </c>
      <c r="K148" s="112" t="str">
        <f t="shared" si="51"/>
        <v>4015/4016</v>
      </c>
      <c r="L148" s="22" t="str">
        <f>VLOOKUP(A148,'Trips&amp;Operators'!$C$1:$E$10000,3,FALSE)</f>
        <v>YANAI</v>
      </c>
      <c r="M148" s="6">
        <f t="shared" si="52"/>
        <v>2.5625000002037268E-2</v>
      </c>
      <c r="N148" s="7">
        <f t="shared" si="53"/>
        <v>36.900000002933666</v>
      </c>
      <c r="O148" s="7"/>
      <c r="P148" s="7"/>
      <c r="Q148" s="23"/>
      <c r="R148" s="23"/>
      <c r="S148" s="35">
        <f t="shared" si="54"/>
        <v>1</v>
      </c>
      <c r="T148" s="50" t="str">
        <f t="shared" si="55"/>
        <v>NorthBound</v>
      </c>
      <c r="U148" s="1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21:08:27-0600',mode:absolute,to:'2016-10-25 00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8" s="52" t="str">
        <f t="shared" si="43"/>
        <v>N</v>
      </c>
      <c r="X148" s="171">
        <f t="shared" si="65"/>
        <v>1</v>
      </c>
      <c r="Y148" s="67">
        <f t="shared" si="50"/>
        <v>7.4999999999999997E-2</v>
      </c>
      <c r="Z148" s="67">
        <f t="shared" si="57"/>
        <v>23.334099999999999</v>
      </c>
      <c r="AA148" s="67">
        <f t="shared" si="58"/>
        <v>23.2591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59"/>
        <v>0235-24</v>
      </c>
      <c r="AE148" s="91" t="str">
        <f t="shared" si="60"/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AF148" s="88" t="str">
        <f t="shared" si="61"/>
        <v>"C:\Program Files (x86)\AstroGrep\AstroGrep.exe" /spath="%USERPROFILE%\AppData\Local\Temp\OnboardLogs" /stypes="app*4016*20161025*" /stext=" 05:.+((SYSTEM_STATE.+slice.+state.+changed )|(ment ac)|(system.+state.+changed )|(\[timeout)|(PRM\|1\|D)|(kpr)|(kdp)|(\|lc)|(penalty))" /e /r /s</v>
      </c>
      <c r="AG148" s="1" t="str">
        <f t="shared" si="62"/>
        <v>EC</v>
      </c>
      <c r="AH148" s="92" t="str">
        <f t="shared" si="63"/>
        <v>"%USERPROFILE%\Documents\GitHub\eaglep3\Utilities\RefineRTDCRunTimes.py" --tripid 235-24 --locoid 4016 --swversion DE.1.0.7.0 --startMP 204:750 --initTime 2016-10-24T22:08:27 --startdatetime 2016-10-24T22:30:21 --delay 1 --endMP 204:233341 --enddatetime 2016-10-24T23:07:15 --enforcementcount 1 &gt;&gt;C:\Users\stu\Documents\GitHub\eaglep3-reporting\EC\2016-10-24-refined-times.txt</v>
      </c>
      <c r="AI148" s="122" t="str">
        <f t="shared" si="64"/>
        <v>echo {"issue":{"subject":"","project_id":79,"tracker_id":40,"status_id":1,"priority_id":2,"assigned_to_id":23,"start_date":"2016-10-24","description":"","custom_fields":[{"id":1,"name":"Subdivision","value":"EC"},{"id":4,"name":"Milepost","value":"23.3341"},{"id":17,"name":"Train ID","value":"235-24"},{"id":16,"name":"Locomotive ID","value":"4016"},{"id":130,"name":"Impact","value":""},{"id":150,"name":"Time of Event (Mountain Time)","value":"23:07:15"},{"id":151,"name":"Denver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600</v>
      </c>
      <c r="B149" s="7">
        <v>4013</v>
      </c>
      <c r="C149" s="22" t="s">
        <v>99</v>
      </c>
      <c r="D149" s="22" t="s">
        <v>688</v>
      </c>
      <c r="E149" s="13">
        <v>42667.973460648151</v>
      </c>
      <c r="F149" s="13">
        <v>42667.9765625</v>
      </c>
      <c r="G149" s="7">
        <v>1</v>
      </c>
      <c r="H149" s="13" t="s">
        <v>218</v>
      </c>
      <c r="I149" s="13">
        <v>42668.004791666666</v>
      </c>
      <c r="J149" s="7">
        <v>1</v>
      </c>
      <c r="K149" s="112" t="str">
        <f t="shared" si="51"/>
        <v>4013/4014</v>
      </c>
      <c r="L149" s="22" t="str">
        <f>VLOOKUP(A149,'Trips&amp;Operators'!$C$1:$E$10000,3,FALSE)</f>
        <v>YANAI</v>
      </c>
      <c r="M149" s="6">
        <f t="shared" si="52"/>
        <v>2.8229166666278616E-2</v>
      </c>
      <c r="N149" s="7">
        <f t="shared" si="53"/>
        <v>40.649999999441206</v>
      </c>
      <c r="O149" s="7"/>
      <c r="P149" s="7"/>
      <c r="Q149" s="23"/>
      <c r="R149" s="23"/>
      <c r="S149" s="35">
        <f t="shared" si="54"/>
        <v>1</v>
      </c>
      <c r="T149" s="50" t="str">
        <f t="shared" si="55"/>
        <v>Southbound</v>
      </c>
      <c r="U149" s="1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22:21:47-0600',mode:absolute,to:'2016-10-25 01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9" s="52" t="str">
        <f t="shared" ref="W149:W212" si="66">IF(AA149&lt;IF(AG149="EC",23,5.65),"Y","N")</f>
        <v>N</v>
      </c>
      <c r="X149" s="171">
        <f t="shared" si="65"/>
        <v>1</v>
      </c>
      <c r="Y149" s="67">
        <f t="shared" si="50"/>
        <v>23.270800000000001</v>
      </c>
      <c r="Z149" s="67">
        <f t="shared" si="57"/>
        <v>1.54E-2</v>
      </c>
      <c r="AA149" s="67">
        <f t="shared" si="58"/>
        <v>23.255400000000002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59"/>
        <v>0236-24</v>
      </c>
      <c r="AE149" s="91" t="str">
        <f t="shared" si="60"/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AF149" s="88" t="str">
        <f t="shared" si="61"/>
        <v>"C:\Program Files (x86)\AstroGrep\AstroGrep.exe" /spath="%USERPROFILE%\AppData\Local\Temp\OnboardLogs" /stypes="app*4013*20161025*" /stext=" 06:.+((SYSTEM_STATE.+slice.+state.+changed )|(ment ac)|(system.+state.+changed )|(\[timeout)|(PRM\|1\|D)|(kpr)|(kdp)|(\|lc)|(penalty))" /e /r /s</v>
      </c>
      <c r="AG149" s="1" t="str">
        <f t="shared" si="62"/>
        <v>EC</v>
      </c>
      <c r="AH149" s="92" t="str">
        <f t="shared" si="63"/>
        <v>"%USERPROFILE%\Documents\GitHub\eaglep3\Utilities\RefineRTDCRunTimes.py" --tripid 236-24 --locoid 4013 --swversion DE.1.0.7.0 --startMP 204:232708 --initTime 2016-10-24T23:21:47 --startdatetime 2016-10-24T23:26:15 --delay 1 --endMP 204:154 --enddatetime 2016-10-25T00:06:54 --enforcementcount 1 &gt;&gt;C:\Users\stu\Documents\GitHub\eaglep3-reporting\EC\2016-10-24-refined-times.txt</v>
      </c>
      <c r="AI149" s="122" t="str">
        <f t="shared" si="64"/>
        <v>echo {"issue":{"subject":"","project_id":79,"tracker_id":40,"status_id":1,"priority_id":2,"assigned_to_id":23,"start_date":"2016-10-25","description":"","custom_fields":[{"id":1,"name":"Subdivision","value":"EC"},{"id":4,"name":"Milepost","value":"0.0154"},{"id":17,"name":"Train ID","value":"236-24"},{"id":16,"name":"Locomotive ID","value":"4013"},{"id":130,"name":"Impact","value":""},{"id":150,"name":"Time of Event (Mountain Time)","value":"00:06:54"},{"id":151,"name":"Denver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598</v>
      </c>
      <c r="B150" s="7">
        <v>4002</v>
      </c>
      <c r="C150" s="22" t="s">
        <v>99</v>
      </c>
      <c r="D150" s="22" t="s">
        <v>365</v>
      </c>
      <c r="E150" s="13">
        <v>42667.954421296294</v>
      </c>
      <c r="F150" s="13">
        <v>42667.958784722221</v>
      </c>
      <c r="G150" s="7">
        <v>2</v>
      </c>
      <c r="H150" s="13" t="s">
        <v>305</v>
      </c>
      <c r="I150" s="13">
        <v>42667.985659722224</v>
      </c>
      <c r="J150" s="7">
        <v>1</v>
      </c>
      <c r="K150" s="112" t="str">
        <f t="shared" si="51"/>
        <v>4001/4002</v>
      </c>
      <c r="L150" s="22" t="str">
        <f>VLOOKUP(A150,'Trips&amp;Operators'!$C$1:$E$10000,3,FALSE)</f>
        <v>LEVERE</v>
      </c>
      <c r="M150" s="6">
        <f t="shared" si="52"/>
        <v>2.6875000003201421E-2</v>
      </c>
      <c r="N150" s="7">
        <f t="shared" si="53"/>
        <v>38.700000004610047</v>
      </c>
      <c r="O150" s="7"/>
      <c r="P150" s="7"/>
      <c r="Q150" s="23"/>
      <c r="R150" s="23"/>
      <c r="S150" s="35">
        <f t="shared" si="54"/>
        <v>1</v>
      </c>
      <c r="T150" s="50" t="str">
        <f t="shared" si="55"/>
        <v>NorthBound</v>
      </c>
      <c r="U150" s="1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21:54:22-0600',mode:absolute,to:'2016-10-25 00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0" s="52" t="str">
        <f t="shared" si="66"/>
        <v>N</v>
      </c>
      <c r="X150" s="171">
        <f t="shared" ref="X150:X170" si="67">VALUE(LEFT(AD150,4))-VALUE(LEFT(AD149,4))</f>
        <v>1</v>
      </c>
      <c r="Y150" s="67">
        <f t="shared" si="50"/>
        <v>7.2599999999999998E-2</v>
      </c>
      <c r="Z150" s="67">
        <f t="shared" si="57"/>
        <v>23.3309</v>
      </c>
      <c r="AA150" s="67">
        <f t="shared" si="58"/>
        <v>23.258299999999998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59"/>
        <v>0237-24</v>
      </c>
      <c r="AE150" s="91" t="str">
        <f t="shared" si="60"/>
        <v>aws s3 cp s3://rtdc.mdm.uploadarchive.raw/RTDC4002/ "%USERPROFILE%\AppData\Local\Temp\OnboardLogs"\RTDC4002\2016-10-24 --exclude "*" --recursive --include "*20161024*" &amp; "%USERPROFILE%\Documents\GitHub\mrs-test-scripts\Headless Mode &amp; Sideloading\WalkAndUnGZ.bat" "%USERPROFILE%\AppData\Local\Temp\OnboardLogs"\RTDC4002\2016-10-24 &amp; 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</v>
      </c>
      <c r="AF150" s="88" t="str">
        <f t="shared" si="61"/>
        <v>"C:\Program Files (x86)\AstroGrep\AstroGrep.exe" /spath="%USERPROFILE%\AppData\Local\Temp\OnboardLogs" /stypes="app*4002*20161025*" /stext=" 05:.+((SYSTEM_STATE.+slice.+state.+changed )|(ment ac)|(system.+state.+changed )|(\[timeout)|(PRM\|1\|D)|(kpr)|(kdp)|(\|lc)|(penalty))" /e /r /s</v>
      </c>
      <c r="AG150" s="1" t="str">
        <f t="shared" si="62"/>
        <v>EC</v>
      </c>
      <c r="AH150" s="92" t="str">
        <f t="shared" si="63"/>
        <v>"%USERPROFILE%\Documents\GitHub\eaglep3\Utilities\RefineRTDCRunTimes.py" --tripid 237-24 --locoid 4002 --swversion DE.1.0.7.0 --startMP 204:726 --initTime 2016-10-24T22:54:22 --startdatetime 2016-10-24T23:00:39 --delay 2 --endMP 204:233309 --enddatetime 2016-10-24T23:39:21 --enforcementcount 1 &gt;&gt;C:\Users\stu\Documents\GitHub\eaglep3-reporting\EC\2016-10-24-refined-times.txt</v>
      </c>
      <c r="AI150" s="122" t="str">
        <f t="shared" si="64"/>
        <v>echo {"issue":{"subject":"","project_id":79,"tracker_id":40,"status_id":1,"priority_id":2,"assigned_to_id":23,"start_date":"2016-10-24","description":"","custom_fields":[{"id":1,"name":"Subdivision","value":"EC"},{"id":4,"name":"Milepost","value":"23.3309"},{"id":17,"name":"Train ID","value":"237-24"},{"id":16,"name":"Locomotive ID","value":"4002"},{"id":130,"name":"Impact","value":""},{"id":150,"name":"Time of Event (Mountain Time)","value":"23:39:21"},{"id":151,"name":"Denver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601</v>
      </c>
      <c r="B151" s="7">
        <v>4017</v>
      </c>
      <c r="C151" s="22" t="s">
        <v>99</v>
      </c>
      <c r="D151" s="22" t="s">
        <v>689</v>
      </c>
      <c r="E151" s="13">
        <v>42667.996435185189</v>
      </c>
      <c r="F151" s="13">
        <v>42667.997928240744</v>
      </c>
      <c r="G151" s="7">
        <v>1</v>
      </c>
      <c r="H151" s="13" t="s">
        <v>643</v>
      </c>
      <c r="I151" s="13">
        <v>42668.02615740741</v>
      </c>
      <c r="J151" s="7">
        <v>1</v>
      </c>
      <c r="K151" s="112" t="str">
        <f t="shared" si="51"/>
        <v>4017/4018</v>
      </c>
      <c r="L151" s="22" t="str">
        <f>VLOOKUP(A151,'Trips&amp;Operators'!$C$1:$E$10000,3,FALSE)</f>
        <v>LEVERE</v>
      </c>
      <c r="M151" s="6">
        <f t="shared" si="52"/>
        <v>2.8229166666278616E-2</v>
      </c>
      <c r="N151" s="7">
        <f t="shared" si="53"/>
        <v>40.649999999441206</v>
      </c>
      <c r="O151" s="7"/>
      <c r="P151" s="7"/>
      <c r="Q151" s="23"/>
      <c r="R151" s="23"/>
      <c r="S151" s="35">
        <f t="shared" si="54"/>
        <v>1</v>
      </c>
      <c r="T151" s="50" t="str">
        <f t="shared" si="55"/>
        <v>Southbound</v>
      </c>
      <c r="U151" s="1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22:54:52-0600',mode:absolute,to:'2016-10-25 01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1" s="52" t="str">
        <f t="shared" si="66"/>
        <v>N</v>
      </c>
      <c r="X151" s="171">
        <f t="shared" si="67"/>
        <v>1</v>
      </c>
      <c r="Y151" s="67">
        <f t="shared" si="50"/>
        <v>23.2639</v>
      </c>
      <c r="Z151" s="67">
        <f t="shared" si="57"/>
        <v>1.61E-2</v>
      </c>
      <c r="AA151" s="67">
        <f t="shared" si="58"/>
        <v>23.247799999999998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59"/>
        <v>0238-24</v>
      </c>
      <c r="AE151" s="91" t="str">
        <f t="shared" si="60"/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AF151" s="88" t="str">
        <f t="shared" si="61"/>
        <v>"C:\Program Files (x86)\AstroGrep\AstroGrep.exe" /spath="%USERPROFILE%\AppData\Local\Temp\OnboardLogs" /stypes="app*4017*20161025*" /stext=" 06:.+((SYSTEM_STATE.+slice.+state.+changed )|(ment ac)|(system.+state.+changed )|(\[timeout)|(PRM\|1\|D)|(kpr)|(kdp)|(\|lc)|(penalty))" /e /r /s</v>
      </c>
      <c r="AG151" s="1" t="str">
        <f t="shared" si="62"/>
        <v>EC</v>
      </c>
      <c r="AH151" s="92" t="str">
        <f t="shared" si="63"/>
        <v>"%USERPROFILE%\Documents\GitHub\eaglep3\Utilities\RefineRTDCRunTimes.py" --tripid 238-24 --locoid 4017 --swversion DE.1.0.7.0 --startMP 204:232639 --initTime 2016-10-24T23:54:52 --startdatetime 2016-10-24T23:57:01 --delay 1 --endMP 204:161 --enddatetime 2016-10-25T00:37:40 --enforcementcount 1 &gt;&gt;C:\Users\stu\Documents\GitHub\eaglep3-reporting\EC\2016-10-24-refined-times.txt</v>
      </c>
      <c r="AI151" s="122" t="str">
        <f t="shared" si="64"/>
        <v>echo {"issue":{"subject":"","project_id":79,"tracker_id":40,"status_id":1,"priority_id":2,"assigned_to_id":23,"start_date":"2016-10-25","description":"","custom_fields":[{"id":1,"name":"Subdivision","value":"EC"},{"id":4,"name":"Milepost","value":"0.0161"},{"id":17,"name":"Train ID","value":"238-24"},{"id":16,"name":"Locomotive ID","value":"4017"},{"id":130,"name":"Impact","value":""},{"id":150,"name":"Time of Event (Mountain Time)","value":"00:37:40"},{"id":151,"name":"Denver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599</v>
      </c>
      <c r="B152" s="7">
        <v>4022</v>
      </c>
      <c r="C152" s="22" t="s">
        <v>99</v>
      </c>
      <c r="D152" s="22" t="s">
        <v>690</v>
      </c>
      <c r="E152" s="13">
        <v>42667.970960648148</v>
      </c>
      <c r="F152" s="13">
        <v>42667.979328703703</v>
      </c>
      <c r="G152" s="7">
        <v>1</v>
      </c>
      <c r="H152" s="13" t="s">
        <v>195</v>
      </c>
      <c r="I152" s="13">
        <v>42668.003472222219</v>
      </c>
      <c r="J152" s="7">
        <v>1</v>
      </c>
      <c r="K152" s="112" t="str">
        <f t="shared" si="51"/>
        <v>4021/4022</v>
      </c>
      <c r="L152" s="22" t="str">
        <f>VLOOKUP(A152,'Trips&amp;Operators'!$C$1:$E$10000,3,FALSE)</f>
        <v>NEWELL</v>
      </c>
      <c r="M152" s="6">
        <f t="shared" si="52"/>
        <v>2.414351851621177E-2</v>
      </c>
      <c r="N152" s="7">
        <f t="shared" si="53"/>
        <v>34.766666663344949</v>
      </c>
      <c r="O152" s="7"/>
      <c r="P152" s="7"/>
      <c r="Q152" s="23"/>
      <c r="R152" s="23"/>
      <c r="S152" s="35">
        <f t="shared" si="54"/>
        <v>1</v>
      </c>
      <c r="T152" s="50" t="str">
        <f t="shared" si="55"/>
        <v>NorthBound</v>
      </c>
      <c r="U152" s="1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22:18:11-0600',mode:absolute,to:'2016-10-25 01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2" s="52" t="str">
        <f t="shared" si="66"/>
        <v>N</v>
      </c>
      <c r="X152" s="171">
        <f t="shared" si="67"/>
        <v>1</v>
      </c>
      <c r="Y152" s="67">
        <f t="shared" si="50"/>
        <v>7.2800000000000004E-2</v>
      </c>
      <c r="Z152" s="67">
        <f t="shared" si="57"/>
        <v>23.329699999999999</v>
      </c>
      <c r="AA152" s="67">
        <f t="shared" si="58"/>
        <v>23.256899999999998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59"/>
        <v>0239-24</v>
      </c>
      <c r="AE152" s="91" t="str">
        <f t="shared" si="60"/>
        <v>aws s3 cp s3://rtdc.mdm.uploadarchive.raw/RTDC4022/ "%USERPROFILE%\AppData\Local\Temp\OnboardLogs"\RTDC4022\2016-10-24 --exclude "*" --recursive --include "*20161024*" &amp; "%USERPROFILE%\Documents\GitHub\mrs-test-scripts\Headless Mode &amp; Sideloading\WalkAndUnGZ.bat" "%USERPROFILE%\AppData\Local\Temp\OnboardLogs"\RTDC4022\2016-10-24 &amp; aws s3 cp s3://rtdc.mdm.uploadarchive.raw/RTDC4022/ "%USERPROFILE%\AppData\Local\Temp\OnboardLogs"\RTDC4022\2016-10-25 --exclude "*" --recursive --include "*20161025*" &amp; "%USERPROFILE%\Documents\GitHub\mrs-test-scripts\Headless Mode &amp; Sideloading\WalkAndUnGZ.bat" "%USERPROFILE%\AppData\Local\Temp\OnboardLogs"\RTDC4022\2016-10-25</v>
      </c>
      <c r="AF152" s="88" t="str">
        <f t="shared" si="61"/>
        <v>"C:\Program Files (x86)\AstroGrep\AstroGrep.exe" /spath="%USERPROFILE%\AppData\Local\Temp\OnboardLogs" /stypes="app*4022*20161025*" /stext=" 06:.+((SYSTEM_STATE.+slice.+state.+changed )|(ment ac)|(system.+state.+changed )|(\[timeout)|(PRM\|1\|D)|(kpr)|(kdp)|(\|lc)|(penalty))" /e /r /s</v>
      </c>
      <c r="AG152" s="1" t="str">
        <f t="shared" si="62"/>
        <v>EC</v>
      </c>
      <c r="AH152" s="92" t="str">
        <f t="shared" si="63"/>
        <v>"%USERPROFILE%\Documents\GitHub\eaglep3\Utilities\RefineRTDCRunTimes.py" --tripid 239-24 --locoid 4022 --swversion DE.1.0.7.0 --startMP 204:728 --initTime 2016-10-24T23:18:11 --startdatetime 2016-10-24T23:30:14 --delay 1 --endMP 204:233297 --enddatetime 2016-10-25T00:05:00 --enforcementcount 1 &gt;&gt;C:\Users\stu\Documents\GitHub\eaglep3-reporting\EC\2016-10-24-refined-times.txt</v>
      </c>
      <c r="AI152" s="122" t="str">
        <f t="shared" si="64"/>
        <v>echo {"issue":{"subject":"","project_id":79,"tracker_id":40,"status_id":1,"priority_id":2,"assigned_to_id":23,"start_date":"2016-10-25","description":"","custom_fields":[{"id":1,"name":"Subdivision","value":"EC"},{"id":4,"name":"Milepost","value":"23.3297"},{"id":17,"name":"Train ID","value":"239-24"},{"id":16,"name":"Locomotive ID","value":"4022"},{"id":130,"name":"Impact","value":""},{"id":150,"name":"Time of Event (Mountain Time)","value":"00:05:00"},{"id":151,"name":"Denver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x14ac:dyDescent="0.25">
      <c r="A153" s="37" t="s">
        <v>604</v>
      </c>
      <c r="B153" s="7">
        <v>4054</v>
      </c>
      <c r="C153" s="22" t="s">
        <v>99</v>
      </c>
      <c r="D153" s="22" t="s">
        <v>691</v>
      </c>
      <c r="E153" s="13">
        <v>42668.013749999998</v>
      </c>
      <c r="F153" s="13">
        <v>42668.018252314818</v>
      </c>
      <c r="G153" s="7">
        <v>1</v>
      </c>
      <c r="H153" s="13" t="s">
        <v>659</v>
      </c>
      <c r="I153" s="13">
        <v>42668.044421296298</v>
      </c>
      <c r="J153" s="7">
        <v>1</v>
      </c>
      <c r="K153" s="112" t="str">
        <f t="shared" si="51"/>
        <v>4053/4054</v>
      </c>
      <c r="L153" s="22" t="str">
        <f>VLOOKUP(A153,'Trips&amp;Operators'!$C$1:$E$10000,3,FALSE)</f>
        <v>NEWELL</v>
      </c>
      <c r="M153" s="6">
        <f t="shared" si="52"/>
        <v>2.6168981479713693E-2</v>
      </c>
      <c r="N153" s="7">
        <f t="shared" si="53"/>
        <v>37.683333330787718</v>
      </c>
      <c r="O153" s="7"/>
      <c r="P153" s="7"/>
      <c r="Q153" s="23"/>
      <c r="R153" s="23"/>
      <c r="S153" s="35">
        <f t="shared" si="54"/>
        <v>1</v>
      </c>
      <c r="T153" s="50" t="str">
        <f t="shared" si="55"/>
        <v>Southbound</v>
      </c>
      <c r="U153" s="1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23:19:48-0600',mode:absolute,to:'2016-10-25 02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3" s="52" t="str">
        <f t="shared" si="66"/>
        <v>N</v>
      </c>
      <c r="X153" s="171">
        <f t="shared" si="67"/>
        <v>1</v>
      </c>
      <c r="Y153" s="67">
        <f t="shared" si="50"/>
        <v>23.2652</v>
      </c>
      <c r="Z153" s="67">
        <f t="shared" si="57"/>
        <v>1.6899999999999998E-2</v>
      </c>
      <c r="AA153" s="67">
        <f t="shared" si="58"/>
        <v>23.2483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59"/>
        <v>0240-24</v>
      </c>
      <c r="AE153" s="91" t="str">
        <f t="shared" si="60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53" s="88" t="str">
        <f t="shared" si="61"/>
        <v>"C:\Program Files (x86)\AstroGrep\AstroGrep.exe" /spath="%USERPROFILE%\AppData\Local\Temp\OnboardLogs" /stypes="app*4054*20161025*" /stext=" 07:.+((SYSTEM_STATE.+slice.+state.+changed )|(ment ac)|(system.+state.+changed )|(\[timeout)|(PRM\|1\|D)|(kpr)|(kdp)|(\|lc)|(penalty))" /e /r /s</v>
      </c>
      <c r="AG153" s="1" t="str">
        <f t="shared" si="62"/>
        <v>EC</v>
      </c>
      <c r="AH153" s="92" t="str">
        <f t="shared" si="63"/>
        <v>"%USERPROFILE%\Documents\GitHub\eaglep3\Utilities\RefineRTDCRunTimes.py" --tripid 240-24 --locoid 4054 --swversion DE.1.0.7.0 --startMP 204:232652 --initTime 2016-10-25T00:19:48 --startdatetime 2016-10-25T00:26:17 --delay 1 --endMP 204:169 --enddatetime 2016-10-25T01:03:58 --enforcementcount 1 &gt;&gt;C:\Users\stu\Documents\GitHub\eaglep3-reporting\EC\2016-10-24-refined-times.txt</v>
      </c>
      <c r="AI153" s="122" t="str">
        <f t="shared" si="64"/>
        <v>echo {"issue":{"subject":"","project_id":79,"tracker_id":40,"status_id":1,"priority_id":2,"assigned_to_id":23,"start_date":"2016-10-25","description":"","custom_fields":[{"id":1,"name":"Subdivision","value":"EC"},{"id":4,"name":"Milepost","value":"0.0169"},{"id":17,"name":"Train ID","value":"240-24"},{"id":16,"name":"Locomotive ID","value":"4054"},{"id":130,"name":"Impact","value":""},{"id":150,"name":"Time of Event (Mountain Time)","value":"01:03:58"},{"id":151,"name":"Denver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602</v>
      </c>
      <c r="B154" s="7">
        <v>4011</v>
      </c>
      <c r="C154" s="22" t="s">
        <v>99</v>
      </c>
      <c r="D154" s="22" t="s">
        <v>692</v>
      </c>
      <c r="E154" s="13">
        <v>42667.999525462961</v>
      </c>
      <c r="F154" s="13">
        <v>42668.000821759262</v>
      </c>
      <c r="G154" s="7">
        <v>1</v>
      </c>
      <c r="H154" s="13" t="s">
        <v>308</v>
      </c>
      <c r="I154" s="13">
        <v>42668.025787037041</v>
      </c>
      <c r="J154" s="7">
        <v>1</v>
      </c>
      <c r="K154" s="112" t="str">
        <f t="shared" si="51"/>
        <v>4011/4012</v>
      </c>
      <c r="L154" s="22" t="str">
        <f>VLOOKUP(A154,'Trips&amp;Operators'!$C$1:$E$10000,3,FALSE)</f>
        <v>CHANDLER</v>
      </c>
      <c r="M154" s="6">
        <f t="shared" si="52"/>
        <v>2.4965277778392192E-2</v>
      </c>
      <c r="N154" s="7">
        <f t="shared" si="53"/>
        <v>35.950000000884756</v>
      </c>
      <c r="O154" s="7"/>
      <c r="P154" s="7"/>
      <c r="Q154" s="23"/>
      <c r="R154" s="23"/>
      <c r="S154" s="35">
        <f t="shared" si="54"/>
        <v>1</v>
      </c>
      <c r="T154" s="50" t="str">
        <f t="shared" si="55"/>
        <v>NorthBound</v>
      </c>
      <c r="U154" s="1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22:59:19-0600',mode:absolute,to:'2016-10-25 01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4" s="52" t="str">
        <f t="shared" si="66"/>
        <v>N</v>
      </c>
      <c r="X154" s="171">
        <f t="shared" si="67"/>
        <v>1</v>
      </c>
      <c r="Y154" s="67">
        <f t="shared" si="50"/>
        <v>6.7299999999999999E-2</v>
      </c>
      <c r="Z154" s="67">
        <f t="shared" si="57"/>
        <v>23.332000000000001</v>
      </c>
      <c r="AA154" s="67">
        <f t="shared" si="58"/>
        <v>23.264700000000001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59"/>
        <v>0241-24</v>
      </c>
      <c r="AE154" s="91" t="str">
        <f t="shared" si="60"/>
        <v>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 &amp; aws s3 cp s3://rtdc.mdm.uploadarchive.raw/RTDC4011/ "%USERPROFILE%\AppData\Local\Temp\OnboardLogs"\RTDC4011\2016-10-26 --exclude "*" --recursive --include "*20161026*" &amp; "%USERPROFILE%\Documents\GitHub\mrs-test-scripts\Headless Mode &amp; Sideloading\WalkAndUnGZ.bat" "%USERPROFILE%\AppData\Local\Temp\OnboardLogs"\RTDC4011\2016-10-26</v>
      </c>
      <c r="AF154" s="88" t="str">
        <f t="shared" si="61"/>
        <v>"C:\Program Files (x86)\AstroGrep\AstroGrep.exe" /spath="%USERPROFILE%\AppData\Local\Temp\OnboardLogs" /stypes="app*4011*20161025*" /stext=" 06:.+((SYSTEM_STATE.+slice.+state.+changed )|(ment ac)|(system.+state.+changed )|(\[timeout)|(PRM\|1\|D)|(kpr)|(kdp)|(\|lc)|(penalty))" /e /r /s</v>
      </c>
      <c r="AG154" s="1" t="str">
        <f t="shared" si="62"/>
        <v>EC</v>
      </c>
      <c r="AH154" s="92" t="str">
        <f t="shared" si="63"/>
        <v>"%USERPROFILE%\Documents\GitHub\eaglep3\Utilities\RefineRTDCRunTimes.py" --tripid 241-24 --locoid 4011 --swversion DE.1.0.7.0 --startMP 204:673 --initTime 2016-10-24T23:59:19 --startdatetime 2016-10-25T00:01:11 --delay 1 --endMP 204:233320 --enddatetime 2016-10-25T00:37:08 --enforcementcount 1 &gt;&gt;C:\Users\stu\Documents\GitHub\eaglep3-reporting\EC\2016-10-24-refined-times.txt</v>
      </c>
      <c r="AI154" s="122" t="str">
        <f t="shared" si="64"/>
        <v>echo {"issue":{"subject":"","project_id":79,"tracker_id":40,"status_id":1,"priority_id":2,"assigned_to_id":23,"start_date":"2016-10-25","description":"","custom_fields":[{"id":1,"name":"Subdivision","value":"EC"},{"id":4,"name":"Milepost","value":"23.332"},{"id":17,"name":"Train ID","value":"241-24"},{"id":16,"name":"Locomotive ID","value":"4011"},{"id":130,"name":"Impact","value":""},{"id":150,"name":"Time of Event (Mountain Time)","value":"00:37:08"},{"id":151,"name":"Denver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606</v>
      </c>
      <c r="B155" s="7">
        <v>4037</v>
      </c>
      <c r="C155" s="22" t="s">
        <v>99</v>
      </c>
      <c r="D155" s="22" t="s">
        <v>679</v>
      </c>
      <c r="E155" s="13">
        <v>42668.039189814815</v>
      </c>
      <c r="F155" s="13">
        <v>42668.040185185186</v>
      </c>
      <c r="G155" s="7">
        <v>1</v>
      </c>
      <c r="H155" s="13" t="s">
        <v>693</v>
      </c>
      <c r="I155" s="13">
        <v>42668.073807870373</v>
      </c>
      <c r="J155" s="7">
        <v>1</v>
      </c>
      <c r="K155" s="112" t="str">
        <f t="shared" si="51"/>
        <v>4037/4038</v>
      </c>
      <c r="L155" s="22" t="str">
        <f>VLOOKUP(A155,'Trips&amp;Operators'!$C$1:$E$10000,3,FALSE)</f>
        <v>CHANDLER</v>
      </c>
      <c r="M155" s="6">
        <f t="shared" si="52"/>
        <v>3.3622685186855961E-2</v>
      </c>
      <c r="N155" s="7">
        <f t="shared" si="53"/>
        <v>48.416666669072583</v>
      </c>
      <c r="O155" s="7"/>
      <c r="P155" s="7"/>
      <c r="Q155" s="23"/>
      <c r="R155" s="23"/>
      <c r="S155" s="35">
        <f t="shared" si="54"/>
        <v>1</v>
      </c>
      <c r="T155" s="50" t="str">
        <f t="shared" si="55"/>
        <v>Southbound</v>
      </c>
      <c r="U155" s="1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23:56:26-0600',mode:absolute,to:'2016-10-25 02:46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5" s="52" t="str">
        <f t="shared" si="66"/>
        <v>N</v>
      </c>
      <c r="X155" s="171">
        <f t="shared" si="67"/>
        <v>1</v>
      </c>
      <c r="Y155" s="67">
        <f t="shared" si="50"/>
        <v>23.265799999999999</v>
      </c>
      <c r="Z155" s="67">
        <f t="shared" si="57"/>
        <v>8.8000000000000005E-3</v>
      </c>
      <c r="AA155" s="67">
        <f t="shared" si="58"/>
        <v>23.256999999999998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59"/>
        <v>0242-24</v>
      </c>
      <c r="AE155" s="91" t="str">
        <f t="shared" si="60"/>
        <v>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 &amp; aws s3 cp s3://rtdc.mdm.uploadarchive.raw/RTDC4037/ "%USERPROFILE%\AppData\Local\Temp\OnboardLogs"\RTDC4037\2016-10-26 --exclude "*" --recursive --include "*20161026*" &amp; "%USERPROFILE%\Documents\GitHub\mrs-test-scripts\Headless Mode &amp; Sideloading\WalkAndUnGZ.bat" "%USERPROFILE%\AppData\Local\Temp\OnboardLogs"\RTDC4037\2016-10-26</v>
      </c>
      <c r="AF155" s="88" t="str">
        <f t="shared" si="61"/>
        <v>"C:\Program Files (x86)\AstroGrep\AstroGrep.exe" /spath="%USERPROFILE%\AppData\Local\Temp\OnboardLogs" /stypes="app*4037*20161025*" /stext=" 07:.+((SYSTEM_STATE.+slice.+state.+changed )|(ment ac)|(system.+state.+changed )|(\[timeout)|(PRM\|1\|D)|(kpr)|(kdp)|(\|lc)|(penalty))" /e /r /s</v>
      </c>
      <c r="AG155" s="1" t="str">
        <f t="shared" si="62"/>
        <v>EC</v>
      </c>
      <c r="AH155" s="92" t="str">
        <f t="shared" si="63"/>
        <v>"%USERPROFILE%\Documents\GitHub\eaglep3\Utilities\RefineRTDCRunTimes.py" --tripid 242-24 --locoid 4037 --swversion DE.1.0.7.0 --startMP 204:232658 --initTime 2016-10-25T00:56:26 --startdatetime 2016-10-25T00:57:52 --delay 1 --endMP 204:88 --enddatetime 2016-10-25T01:46:17 --enforcementcount 1 &gt;&gt;C:\Users\stu\Documents\GitHub\eaglep3-reporting\EC\2016-10-24-refined-times.txt</v>
      </c>
      <c r="AI155" s="122" t="str">
        <f t="shared" si="64"/>
        <v>echo {"issue":{"subject":"","project_id":79,"tracker_id":40,"status_id":1,"priority_id":2,"assigned_to_id":23,"start_date":"2016-10-25","description":"","custom_fields":[{"id":1,"name":"Subdivision","value":"EC"},{"id":4,"name":"Milepost","value":"0.0088"},{"id":17,"name":"Train ID","value":"242-24"},{"id":16,"name":"Locomotive ID","value":"4037"},{"id":130,"name":"Impact","value":""},{"id":150,"name":"Time of Event (Mountain Time)","value":"01:46:17"},{"id":151,"name":"Denver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603</v>
      </c>
      <c r="B156" s="7">
        <v>4016</v>
      </c>
      <c r="C156" s="22" t="s">
        <v>99</v>
      </c>
      <c r="D156" s="22" t="s">
        <v>694</v>
      </c>
      <c r="E156" s="13">
        <v>42668.009606481479</v>
      </c>
      <c r="F156" s="13">
        <v>42668.02103009259</v>
      </c>
      <c r="G156" s="7">
        <v>1</v>
      </c>
      <c r="H156" s="13" t="s">
        <v>695</v>
      </c>
      <c r="I156" s="13">
        <v>42668.049340277779</v>
      </c>
      <c r="J156" s="7">
        <v>1</v>
      </c>
      <c r="K156" s="112" t="str">
        <f t="shared" si="51"/>
        <v>4015/4016</v>
      </c>
      <c r="L156" s="22" t="str">
        <f>VLOOKUP(A156,'Trips&amp;Operators'!$C$1:$E$10000,3,FALSE)</f>
        <v>YANAI</v>
      </c>
      <c r="M156" s="6">
        <f t="shared" si="52"/>
        <v>2.8310185189184267E-2</v>
      </c>
      <c r="N156" s="7">
        <f t="shared" si="53"/>
        <v>40.766666672425345</v>
      </c>
      <c r="O156" s="7"/>
      <c r="P156" s="7"/>
      <c r="Q156" s="23"/>
      <c r="R156" s="23"/>
      <c r="S156" s="35">
        <f t="shared" si="54"/>
        <v>1</v>
      </c>
      <c r="T156" s="50" t="str">
        <f t="shared" si="55"/>
        <v>NorthBound</v>
      </c>
      <c r="U156" s="1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23:13:50-0600',mode:absolute,to:'2016-10-25 02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6" s="52" t="str">
        <f t="shared" si="66"/>
        <v>N</v>
      </c>
      <c r="X156" s="171">
        <f t="shared" si="67"/>
        <v>1</v>
      </c>
      <c r="Y156" s="67">
        <f t="shared" si="50"/>
        <v>7.3899999999999993E-2</v>
      </c>
      <c r="Z156" s="67">
        <f t="shared" si="57"/>
        <v>23.335699999999999</v>
      </c>
      <c r="AA156" s="67">
        <f t="shared" si="58"/>
        <v>23.261800000000001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59"/>
        <v>0243-24</v>
      </c>
      <c r="AE156" s="91" t="str">
        <f t="shared" si="60"/>
        <v>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 &amp; 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</v>
      </c>
      <c r="AF156" s="88" t="str">
        <f t="shared" si="61"/>
        <v>"C:\Program Files (x86)\AstroGrep\AstroGrep.exe" /spath="%USERPROFILE%\AppData\Local\Temp\OnboardLogs" /stypes="app*4016*20161025*" /stext=" 07:.+((SYSTEM_STATE.+slice.+state.+changed )|(ment ac)|(system.+state.+changed )|(\[timeout)|(PRM\|1\|D)|(kpr)|(kdp)|(\|lc)|(penalty))" /e /r /s</v>
      </c>
      <c r="AG156" s="1" t="str">
        <f t="shared" si="62"/>
        <v>EC</v>
      </c>
      <c r="AH156" s="92" t="str">
        <f t="shared" si="63"/>
        <v>"%USERPROFILE%\Documents\GitHub\eaglep3\Utilities\RefineRTDCRunTimes.py" --tripid 243-24 --locoid 4016 --swversion DE.1.0.7.0 --startMP 204:739 --initTime 2016-10-25T00:13:50 --startdatetime 2016-10-25T00:30:17 --delay 1 --endMP 204:233357 --enddatetime 2016-10-25T01:11:03 --enforcementcount 1 &gt;&gt;C:\Users\stu\Documents\GitHub\eaglep3-reporting\EC\2016-10-24-refined-times.txt</v>
      </c>
      <c r="AI156" s="122" t="str">
        <f t="shared" si="64"/>
        <v>echo {"issue":{"subject":"","project_id":79,"tracker_id":40,"status_id":1,"priority_id":2,"assigned_to_id":23,"start_date":"2016-10-25","description":"","custom_fields":[{"id":1,"name":"Subdivision","value":"EC"},{"id":4,"name":"Milepost","value":"23.3357"},{"id":17,"name":"Train ID","value":"243-24"},{"id":16,"name":"Locomotive ID","value":"4016"},{"id":130,"name":"Impact","value":""},{"id":150,"name":"Time of Event (Mountain Time)","value":"01:11:03"},{"id":151,"name":"Denver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608</v>
      </c>
      <c r="B157" s="7">
        <v>4013</v>
      </c>
      <c r="C157" s="22" t="s">
        <v>99</v>
      </c>
      <c r="D157" s="22" t="s">
        <v>696</v>
      </c>
      <c r="E157" s="13">
        <v>42668.057395833333</v>
      </c>
      <c r="F157" s="13">
        <v>42668.059953703705</v>
      </c>
      <c r="G157" s="7">
        <v>1</v>
      </c>
      <c r="H157" s="13" t="s">
        <v>221</v>
      </c>
      <c r="I157" s="13">
        <v>42668.086215277777</v>
      </c>
      <c r="J157" s="7">
        <v>1</v>
      </c>
      <c r="K157" s="112" t="str">
        <f t="shared" si="51"/>
        <v>4013/4014</v>
      </c>
      <c r="L157" s="22" t="str">
        <f>VLOOKUP(A157,'Trips&amp;Operators'!$C$1:$E$10000,3,FALSE)</f>
        <v>YANAI</v>
      </c>
      <c r="M157" s="6">
        <f t="shared" si="52"/>
        <v>2.626157407212304E-2</v>
      </c>
      <c r="N157" s="7">
        <f t="shared" si="53"/>
        <v>37.816666663857177</v>
      </c>
      <c r="O157" s="7"/>
      <c r="P157" s="7"/>
      <c r="Q157" s="23"/>
      <c r="R157" s="23"/>
      <c r="S157" s="35">
        <f t="shared" si="54"/>
        <v>1</v>
      </c>
      <c r="T157" s="50" t="str">
        <f t="shared" si="55"/>
        <v>Southbound</v>
      </c>
      <c r="U157" s="1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https://search-rtdc-monitor-bjffxe2xuh6vdkpspy63sjmuny.us-east-1.es.amazonaws.com/_plugin/kibana/#/discover/Steve-Slow-Train-Analysis-(2080s-and-2083s)?_g=(refreshInterval:(display:Off,section:0,value:0),time:(from:'2016-10-25 00:22:39-0600',mode:absolute,to:'2016-10-25 03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7" s="52" t="str">
        <f t="shared" si="66"/>
        <v>N</v>
      </c>
      <c r="X157" s="171">
        <f t="shared" si="67"/>
        <v>1</v>
      </c>
      <c r="Y157" s="67">
        <f t="shared" si="50"/>
        <v>23.2714</v>
      </c>
      <c r="Z157" s="67">
        <f t="shared" si="57"/>
        <v>1.49E-2</v>
      </c>
      <c r="AA157" s="67">
        <f t="shared" si="58"/>
        <v>23.256499999999999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59"/>
        <v>0244-24</v>
      </c>
      <c r="AE157" s="91" t="str">
        <f t="shared" si="60"/>
        <v>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 &amp; aws s3 cp s3://rtdc.mdm.uploadarchive.raw/RTDC4013/ "%USERPROFILE%\AppData\Local\Temp\OnboardLogs"\RTDC4013\2016-10-26 --exclude "*" --recursive --include "*20161026*" &amp; "%USERPROFILE%\Documents\GitHub\mrs-test-scripts\Headless Mode &amp; Sideloading\WalkAndUnGZ.bat" "%USERPROFILE%\AppData\Local\Temp\OnboardLogs"\RTDC4013\2016-10-26</v>
      </c>
      <c r="AF157" s="88" t="str">
        <f t="shared" si="61"/>
        <v>"C:\Program Files (x86)\AstroGrep\AstroGrep.exe" /spath="%USERPROFILE%\AppData\Local\Temp\OnboardLogs" /stypes="app*4013*20161025*" /stext=" 08:.+((SYSTEM_STATE.+slice.+state.+changed )|(ment ac)|(system.+state.+changed )|(\[timeout)|(PRM\|1\|D)|(kpr)|(kdp)|(\|lc)|(penalty))" /e /r /s</v>
      </c>
      <c r="AG157" s="1" t="str">
        <f t="shared" si="62"/>
        <v>EC</v>
      </c>
      <c r="AH157" s="92" t="str">
        <f t="shared" si="63"/>
        <v>"%USERPROFILE%\Documents\GitHub\eaglep3\Utilities\RefineRTDCRunTimes.py" --tripid 244-24 --locoid 4013 --swversion DE.1.0.7.0 --startMP 204:232714 --initTime 2016-10-25T01:22:39 --startdatetime 2016-10-25T01:26:20 --delay 1 --endMP 204:149 --enddatetime 2016-10-25T02:04:09 --enforcementcount 1 &gt;&gt;C:\Users\stu\Documents\GitHub\eaglep3-reporting\EC\2016-10-24-refined-times.txt</v>
      </c>
      <c r="AI157" s="122" t="str">
        <f t="shared" si="64"/>
        <v>echo {"issue":{"subject":"","project_id":79,"tracker_id":40,"status_id":1,"priority_id":2,"assigned_to_id":23,"start_date":"2016-10-25","description":"","custom_fields":[{"id":1,"name":"Subdivision","value":"EC"},{"id":4,"name":"Milepost","value":"0.0149"},{"id":17,"name":"Train ID","value":"244-24"},{"id":16,"name":"Locomotive ID","value":"4013"},{"id":130,"name":"Impact","value":""},{"id":150,"name":"Time of Event (Mountain Time)","value":"02:04:09"},{"id":151,"name":"Denver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390</v>
      </c>
      <c r="B158" s="7">
        <v>4010</v>
      </c>
      <c r="C158" s="22" t="s">
        <v>99</v>
      </c>
      <c r="D158" s="22" t="s">
        <v>721</v>
      </c>
      <c r="E158" s="13">
        <v>42667.214004629626</v>
      </c>
      <c r="F158" s="13">
        <v>42667.21539351852</v>
      </c>
      <c r="G158" s="7">
        <v>1</v>
      </c>
      <c r="H158" s="13" t="s">
        <v>722</v>
      </c>
      <c r="I158" s="13">
        <v>42667.226527777777</v>
      </c>
      <c r="J158" s="7">
        <v>1</v>
      </c>
      <c r="K158" s="112" t="str">
        <f t="shared" si="51"/>
        <v>4009/4010</v>
      </c>
      <c r="L158" s="22" t="str">
        <f>VLOOKUP(A158,'Trips&amp;Operators'!$C$1:$E$10000,3,FALSE)</f>
        <v>DAVIS</v>
      </c>
      <c r="M158" s="6">
        <f t="shared" si="52"/>
        <v>1.113425925723277E-2</v>
      </c>
      <c r="N158" s="7">
        <f t="shared" si="53"/>
        <v>16.033333330415189</v>
      </c>
      <c r="O158" s="7"/>
      <c r="P158" s="7"/>
      <c r="Q158" s="23"/>
      <c r="R158" s="23"/>
      <c r="S158" s="35">
        <f t="shared" si="54"/>
        <v>1</v>
      </c>
      <c r="T158" s="50" t="str">
        <f t="shared" si="55"/>
        <v>Southbound</v>
      </c>
      <c r="U158" s="17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04:08:10-0600',mode:absolute,to:'2016-10-24 06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8" s="52" t="str">
        <f t="shared" si="66"/>
        <v>N</v>
      </c>
      <c r="X158" s="171">
        <f t="shared" si="67"/>
        <v>556</v>
      </c>
      <c r="Y158" s="67">
        <f t="shared" si="50"/>
        <v>5.8701999999999996</v>
      </c>
      <c r="Z158" s="67">
        <f t="shared" si="57"/>
        <v>6.4299999999999996E-2</v>
      </c>
      <c r="AA158" s="67">
        <f t="shared" si="58"/>
        <v>5.8058999999999994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59"/>
        <v>0800-24</v>
      </c>
      <c r="AE158" s="91" t="str">
        <f t="shared" si="60"/>
        <v>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 &amp; 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</v>
      </c>
      <c r="AF158" s="88" t="str">
        <f t="shared" si="61"/>
        <v>"C:\Program Files (x86)\AstroGrep\AstroGrep.exe" /spath="%USERPROFILE%\AppData\Local\Temp\OnboardLogs" /stypes="app*4010*20161024*" /stext=" 11:.+((SYSTEM_STATE.+slice.+state.+changed )|(ment ac)|(system.+state.+changed )|(\[timeout)|(PRM\|1\|D)|(kpr)|(kdp)|(\|lc)|(penalty))" /e /r /s</v>
      </c>
      <c r="AG158" s="1" t="str">
        <f t="shared" si="62"/>
        <v>NW</v>
      </c>
      <c r="AH158" s="92" t="str">
        <f t="shared" si="63"/>
        <v>"%USERPROFILE%\Documents\GitHub\eaglep3\Utilities\RefineRTDCRunTimes.py" --tripid 800-24 --locoid 4010 --swversion DE.1.0.7.0 --startMP 300:58702 --initTime 2016-10-24T05:08:10 --startdatetime 2016-10-24T05:10:10 --delay 1 --endMP 204:643 --enddatetime 2016-10-24T05:26:12 --enforcementcount 1 &gt;&gt;C:\Users\stu\Documents\GitHub\eaglep3-reporting\EC\2016-10-24-refined-times.txt</v>
      </c>
      <c r="AI158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{"issue":{"subject":"","project_id":79,"tracker_id":40,"status_id":1,"priority_id":2,"assigned_to_id":23,"start_date":"2016-10-24","description":"","custom_fields":[{"id":1,"name":"Subdivision","value":"NW"},{"id":4,"name":"Milepost","value":"0.0643"},{"id":17,"name":"Train ID","value":"800-24"},{"id":16,"name":"Locomotive ID","value":"4010"},{"id":130,"name":"Impact","value":""},{"id":150,"name":"Time of Event (Mountain Time)","value":"05:26:12"},{"id":151,"name":"Denver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391</v>
      </c>
      <c r="B159" s="7">
        <v>4009</v>
      </c>
      <c r="C159" s="22" t="s">
        <v>99</v>
      </c>
      <c r="D159" s="22" t="s">
        <v>369</v>
      </c>
      <c r="E159" s="13">
        <v>42667.238900462966</v>
      </c>
      <c r="F159" s="13">
        <v>42667.243900462963</v>
      </c>
      <c r="G159" s="7">
        <v>1</v>
      </c>
      <c r="H159" s="13" t="s">
        <v>723</v>
      </c>
      <c r="I159" s="13">
        <v>42667.253807870373</v>
      </c>
      <c r="J159" s="7">
        <v>1</v>
      </c>
      <c r="K159" s="112" t="str">
        <f t="shared" si="51"/>
        <v>4009/4010</v>
      </c>
      <c r="L159" s="22" t="str">
        <f>VLOOKUP(A159,'Trips&amp;Operators'!$C$1:$E$10000,3,FALSE)</f>
        <v>DAVIS</v>
      </c>
      <c r="M159" s="6">
        <f t="shared" si="52"/>
        <v>9.9074074096279219E-3</v>
      </c>
      <c r="N159" s="7">
        <f t="shared" si="53"/>
        <v>14.266666669864208</v>
      </c>
      <c r="O159" s="7"/>
      <c r="P159" s="7"/>
      <c r="Q159" s="23"/>
      <c r="R159" s="23"/>
      <c r="S159" s="35">
        <f t="shared" si="54"/>
        <v>1</v>
      </c>
      <c r="T159" s="50" t="str">
        <f t="shared" si="55"/>
        <v>NorthBound</v>
      </c>
      <c r="U159" s="17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04:44:01-0600',mode:absolute,to:'2016-10-24 07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9" s="52" t="str">
        <f t="shared" si="66"/>
        <v>N</v>
      </c>
      <c r="X159" s="171">
        <f t="shared" si="67"/>
        <v>1</v>
      </c>
      <c r="Y159" s="67">
        <f t="shared" si="50"/>
        <v>9.2700000000000005E-2</v>
      </c>
      <c r="Z159" s="67">
        <f t="shared" si="57"/>
        <v>5.9016000000000002</v>
      </c>
      <c r="AA159" s="67">
        <f t="shared" si="58"/>
        <v>5.8089000000000004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59"/>
        <v>0801-24</v>
      </c>
      <c r="AE159" s="91" t="str">
        <f t="shared" si="60"/>
        <v>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 &amp; 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</v>
      </c>
      <c r="AF159" s="88" t="str">
        <f t="shared" si="61"/>
        <v>"C:\Program Files (x86)\AstroGrep\AstroGrep.exe" /spath="%USERPROFILE%\AppData\Local\Temp\OnboardLogs" /stypes="app*4009*20161024*" /stext=" 12:.+((SYSTEM_STATE.+slice.+state.+changed )|(ment ac)|(system.+state.+changed )|(\[timeout)|(PRM\|1\|D)|(kpr)|(kdp)|(\|lc)|(penalty))" /e /r /s</v>
      </c>
      <c r="AG159" s="1" t="str">
        <f t="shared" si="62"/>
        <v>NW</v>
      </c>
      <c r="AH159" s="92" t="str">
        <f t="shared" si="63"/>
        <v>"%USERPROFILE%\Documents\GitHub\eaglep3\Utilities\RefineRTDCRunTimes.py" --tripid 801-24 --locoid 4009 --swversion DE.1.0.7.0 --startMP 204:927 --initTime 2016-10-24T05:44:01 --startdatetime 2016-10-24T05:51:13 --delay 1 --endMP 300:59016 --enddatetime 2016-10-24T06:05:29 --enforcementcount 1 &gt;&gt;C:\Users\stu\Documents\GitHub\eaglep3-reporting\EC\2016-10-24-refined-times.txt</v>
      </c>
      <c r="AI159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{"issue":{"subject":"","project_id":79,"tracker_id":40,"status_id":1,"priority_id":2,"assigned_to_id":23,"start_date":"2016-10-24","description":"","custom_fields":[{"id":1,"name":"Subdivision","value":"NW"},{"id":4,"name":"Milepost","value":"5.9016"},{"id":17,"name":"Train ID","value":"801-24"},{"id":16,"name":"Locomotive ID","value":"4009"},{"id":130,"name":"Impact","value":""},{"id":150,"name":"Time of Event (Mountain Time)","value":"06:05:29"},{"id":151,"name":"Denver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450</v>
      </c>
      <c r="B160" s="7">
        <v>4010</v>
      </c>
      <c r="C160" s="22" t="s">
        <v>99</v>
      </c>
      <c r="D160" s="22" t="s">
        <v>721</v>
      </c>
      <c r="E160" s="13">
        <v>42667.254699074074</v>
      </c>
      <c r="F160" s="13">
        <v>42667.256030092591</v>
      </c>
      <c r="G160" s="7">
        <v>1</v>
      </c>
      <c r="H160" s="13" t="s">
        <v>724</v>
      </c>
      <c r="I160" s="13">
        <v>42667.268483796295</v>
      </c>
      <c r="J160" s="7">
        <v>1</v>
      </c>
      <c r="K160" s="112" t="str">
        <f t="shared" si="51"/>
        <v>4009/4010</v>
      </c>
      <c r="L160" s="22" t="str">
        <f>VLOOKUP(A160,'Trips&amp;Operators'!$C$1:$E$10000,3,FALSE)</f>
        <v>DAVIS</v>
      </c>
      <c r="M160" s="6">
        <f t="shared" si="52"/>
        <v>1.2453703704522923E-2</v>
      </c>
      <c r="N160" s="7">
        <f t="shared" si="53"/>
        <v>17.933333334513009</v>
      </c>
      <c r="O160" s="7"/>
      <c r="P160" s="7"/>
      <c r="Q160" s="23"/>
      <c r="R160" s="23"/>
      <c r="S160" s="35">
        <f t="shared" si="54"/>
        <v>1</v>
      </c>
      <c r="T160" s="50" t="str">
        <f t="shared" si="55"/>
        <v>Southbound</v>
      </c>
      <c r="U160" s="17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05:06:46-0600',mode:absolute,to:'2016-10-24 07:26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0" s="52" t="str">
        <f t="shared" si="66"/>
        <v>N</v>
      </c>
      <c r="X160" s="171">
        <f t="shared" si="67"/>
        <v>1</v>
      </c>
      <c r="Y160" s="67">
        <f t="shared" si="50"/>
        <v>5.8701999999999996</v>
      </c>
      <c r="Z160" s="67">
        <f t="shared" si="57"/>
        <v>6.3100000000000003E-2</v>
      </c>
      <c r="AA160" s="67">
        <f t="shared" si="58"/>
        <v>5.8070999999999993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59"/>
        <v>0802-24</v>
      </c>
      <c r="AE160" s="91" t="str">
        <f t="shared" si="60"/>
        <v>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 &amp; 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</v>
      </c>
      <c r="AF160" s="88" t="str">
        <f t="shared" si="61"/>
        <v>"C:\Program Files (x86)\AstroGrep\AstroGrep.exe" /spath="%USERPROFILE%\AppData\Local\Temp\OnboardLogs" /stypes="app*4010*20161024*" /stext=" 12:.+((SYSTEM_STATE.+slice.+state.+changed )|(ment ac)|(system.+state.+changed )|(\[timeout)|(PRM\|1\|D)|(kpr)|(kdp)|(\|lc)|(penalty))" /e /r /s</v>
      </c>
      <c r="AG160" s="1" t="str">
        <f t="shared" si="62"/>
        <v>NW</v>
      </c>
      <c r="AH160" s="92" t="str">
        <f t="shared" si="63"/>
        <v>"%USERPROFILE%\Documents\GitHub\eaglep3\Utilities\RefineRTDCRunTimes.py" --tripid 802-24 --locoid 4010 --swversion DE.1.0.7.0 --startMP 300:58702 --initTime 2016-10-24T06:06:46 --startdatetime 2016-10-24T06:08:41 --delay 1 --endMP 204:631 --enddatetime 2016-10-24T06:26:37 --enforcementcount 1 &gt;&gt;C:\Users\stu\Documents\GitHub\eaglep3-reporting\EC\2016-10-24-refined-times.txt</v>
      </c>
      <c r="AI160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{"issue":{"subject":"","project_id":79,"tracker_id":40,"status_id":1,"priority_id":2,"assigned_to_id":23,"start_date":"2016-10-24","description":"","custom_fields":[{"id":1,"name":"Subdivision","value":"NW"},{"id":4,"name":"Milepost","value":"0.0631"},{"id":17,"name":"Train ID","value":"802-24"},{"id":16,"name":"Locomotive ID","value":"4010"},{"id":130,"name":"Impact","value":""},{"id":150,"name":"Time of Event (Mountain Time)","value":"06:26:37"},{"id":151,"name":"Denver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453</v>
      </c>
      <c r="B161" s="7">
        <v>4027</v>
      </c>
      <c r="C161" s="22" t="s">
        <v>99</v>
      </c>
      <c r="D161" s="22" t="s">
        <v>725</v>
      </c>
      <c r="E161" s="13">
        <v>42667.26290509259</v>
      </c>
      <c r="F161" s="13">
        <v>42667.265081018515</v>
      </c>
      <c r="G161" s="7">
        <v>1</v>
      </c>
      <c r="H161" s="13" t="s">
        <v>726</v>
      </c>
      <c r="I161" s="13">
        <v>42667.274560185186</v>
      </c>
      <c r="J161" s="7">
        <v>1</v>
      </c>
      <c r="K161" s="112" t="str">
        <f t="shared" si="51"/>
        <v>4027/4028</v>
      </c>
      <c r="L161" s="22" t="str">
        <f>VLOOKUP(A161,'Trips&amp;Operators'!$C$1:$E$10000,3,FALSE)</f>
        <v>ROCHA</v>
      </c>
      <c r="M161" s="6">
        <f t="shared" si="52"/>
        <v>9.4791666706441902E-3</v>
      </c>
      <c r="N161" s="7">
        <f t="shared" si="53"/>
        <v>13.650000005727634</v>
      </c>
      <c r="O161" s="7"/>
      <c r="P161" s="7"/>
      <c r="Q161" s="23"/>
      <c r="R161" s="23"/>
      <c r="S161" s="35">
        <f t="shared" si="54"/>
        <v>1</v>
      </c>
      <c r="T161" s="50" t="str">
        <f t="shared" si="55"/>
        <v>NorthBound</v>
      </c>
      <c r="U161" s="1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05:18:35-0600',mode:absolute,to:'2016-10-24 07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1" s="52" t="str">
        <f t="shared" si="66"/>
        <v>N</v>
      </c>
      <c r="X161" s="171">
        <f t="shared" si="67"/>
        <v>1</v>
      </c>
      <c r="Y161" s="67">
        <f t="shared" ref="Y161:Y192" si="68">RIGHT(D161,LEN(D161)-4)/10000</f>
        <v>9.69E-2</v>
      </c>
      <c r="Z161" s="67">
        <f t="shared" si="57"/>
        <v>5.8940999999999999</v>
      </c>
      <c r="AA161" s="67">
        <f t="shared" si="58"/>
        <v>5.7972000000000001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59"/>
        <v>0803-24</v>
      </c>
      <c r="AE161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61" s="88" t="str">
        <f t="shared" si="61"/>
        <v>"C:\Program Files (x86)\AstroGrep\AstroGrep.exe" /spath="%USERPROFILE%\AppData\Local\Temp\OnboardLogs" /stypes="app*4027*20161024*" /stext=" 12:.+((SYSTEM_STATE.+slice.+state.+changed )|(ment ac)|(system.+state.+changed )|(\[timeout)|(PRM\|1\|D)|(kpr)|(kdp)|(\|lc)|(penalty))" /e /r /s</v>
      </c>
      <c r="AG161" s="1" t="str">
        <f t="shared" si="62"/>
        <v>NW</v>
      </c>
      <c r="AH161" s="92" t="str">
        <f t="shared" si="63"/>
        <v>"%USERPROFILE%\Documents\GitHub\eaglep3\Utilities\RefineRTDCRunTimes.py" --tripid 803-24 --locoid 4027 --swversion DE.1.0.7.0 --startMP 204:969 --initTime 2016-10-24T06:18:35 --startdatetime 2016-10-24T06:21:43 --delay 1 --endMP 300:58941 --enddatetime 2016-10-24T06:35:22 --enforcementcount 1 &gt;&gt;C:\Users\stu\Documents\GitHub\eaglep3-reporting\EC\2016-10-24-refined-times.txt</v>
      </c>
      <c r="AI161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{"issue":{"subject":"","project_id":79,"tracker_id":40,"status_id":1,"priority_id":2,"assigned_to_id":23,"start_date":"2016-10-24","description":"","custom_fields":[{"id":1,"name":"Subdivision","value":"NW"},{"id":4,"name":"Milepost","value":"5.8941"},{"id":17,"name":"Train ID","value":"803-24"},{"id":16,"name":"Locomotive ID","value":"4027"},{"id":130,"name":"Impact","value":""},{"id":150,"name":"Time of Event (Mountain Time)","value":"06:35:22"},{"id":151,"name":"Denver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457</v>
      </c>
      <c r="B162" s="7">
        <v>4028</v>
      </c>
      <c r="C162" s="22" t="s">
        <v>99</v>
      </c>
      <c r="D162" s="22" t="s">
        <v>727</v>
      </c>
      <c r="E162" s="13">
        <v>42667.275937500002</v>
      </c>
      <c r="F162" s="13">
        <v>42667.277499999997</v>
      </c>
      <c r="G162" s="7">
        <v>1</v>
      </c>
      <c r="H162" s="13" t="s">
        <v>728</v>
      </c>
      <c r="I162" s="13">
        <v>42667.288645833331</v>
      </c>
      <c r="J162" s="7">
        <v>1</v>
      </c>
      <c r="K162" s="112" t="str">
        <f t="shared" si="51"/>
        <v>4027/4028</v>
      </c>
      <c r="L162" s="22" t="str">
        <f>VLOOKUP(A162,'Trips&amp;Operators'!$C$1:$E$10000,3,FALSE)</f>
        <v>ROCHA</v>
      </c>
      <c r="M162" s="6">
        <f t="shared" si="52"/>
        <v>1.1145833334012423E-2</v>
      </c>
      <c r="N162" s="7">
        <f t="shared" si="53"/>
        <v>16.050000000977889</v>
      </c>
      <c r="O162" s="7"/>
      <c r="P162" s="7"/>
      <c r="Q162" s="23"/>
      <c r="R162" s="23"/>
      <c r="S162" s="35">
        <f t="shared" si="54"/>
        <v>1</v>
      </c>
      <c r="T162" s="50" t="str">
        <f t="shared" si="55"/>
        <v>Southbound</v>
      </c>
      <c r="U162" s="1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05:37:21-0600',mode:absolute,to:'2016-10-24 07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2" s="52" t="str">
        <f t="shared" si="66"/>
        <v>N</v>
      </c>
      <c r="X162" s="171">
        <f t="shared" si="67"/>
        <v>1</v>
      </c>
      <c r="Y162" s="67">
        <f t="shared" si="68"/>
        <v>5.8630000000000004</v>
      </c>
      <c r="Z162" s="67">
        <f t="shared" si="57"/>
        <v>6.6299999999999998E-2</v>
      </c>
      <c r="AA162" s="67">
        <f t="shared" si="58"/>
        <v>5.7967000000000004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59"/>
        <v>0804-24</v>
      </c>
      <c r="AE162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62" s="88" t="str">
        <f t="shared" si="61"/>
        <v>"C:\Program Files (x86)\AstroGrep\AstroGrep.exe" /spath="%USERPROFILE%\AppData\Local\Temp\OnboardLogs" /stypes="app*4028*20161024*" /stext=" 12:.+((SYSTEM_STATE.+slice.+state.+changed )|(ment ac)|(system.+state.+changed )|(\[timeout)|(PRM\|1\|D)|(kpr)|(kdp)|(\|lc)|(penalty))" /e /r /s</v>
      </c>
      <c r="AG162" s="1" t="str">
        <f t="shared" si="62"/>
        <v>NW</v>
      </c>
      <c r="AH162" s="92" t="str">
        <f t="shared" si="63"/>
        <v>"%USERPROFILE%\Documents\GitHub\eaglep3\Utilities\RefineRTDCRunTimes.py" --tripid 804-24 --locoid 4028 --swversion DE.1.0.7.0 --startMP 300:58630 --initTime 2016-10-24T06:37:21 --startdatetime 2016-10-24T06:39:36 --delay 1 --endMP 204:663 --enddatetime 2016-10-24T06:55:39 --enforcementcount 1 &gt;&gt;C:\Users\stu\Documents\GitHub\eaglep3-reporting\EC\2016-10-24-refined-times.txt</v>
      </c>
      <c r="AI162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{"issue":{"subject":"","project_id":79,"tracker_id":40,"status_id":1,"priority_id":2,"assigned_to_id":23,"start_date":"2016-10-24","description":"","custom_fields":[{"id":1,"name":"Subdivision","value":"NW"},{"id":4,"name":"Milepost","value":"0.0663"},{"id":17,"name":"Train ID","value":"804-24"},{"id":16,"name":"Locomotive ID","value":"4028"},{"id":130,"name":"Impact","value":""},{"id":150,"name":"Time of Event (Mountain Time)","value":"06:55:39"},{"id":151,"name":"Denver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394</v>
      </c>
      <c r="B163" s="7">
        <v>4009</v>
      </c>
      <c r="C163" s="22" t="s">
        <v>99</v>
      </c>
      <c r="D163" s="22" t="s">
        <v>380</v>
      </c>
      <c r="E163" s="13">
        <v>42667.280428240738</v>
      </c>
      <c r="F163" s="13">
        <v>42667.285567129627</v>
      </c>
      <c r="G163" s="7">
        <v>1</v>
      </c>
      <c r="H163" s="13" t="s">
        <v>729</v>
      </c>
      <c r="I163" s="13">
        <v>42667.29583333333</v>
      </c>
      <c r="J163" s="7">
        <v>1</v>
      </c>
      <c r="K163" s="112" t="str">
        <f t="shared" si="51"/>
        <v>4009/4010</v>
      </c>
      <c r="L163" s="22" t="str">
        <f>VLOOKUP(A163,'Trips&amp;Operators'!$C$1:$E$10000,3,FALSE)</f>
        <v>DAVIS</v>
      </c>
      <c r="M163" s="6">
        <f t="shared" si="52"/>
        <v>1.0266203702485655E-2</v>
      </c>
      <c r="N163" s="7">
        <f t="shared" si="53"/>
        <v>14.783333331579342</v>
      </c>
      <c r="O163" s="7"/>
      <c r="P163" s="7"/>
      <c r="Q163" s="23"/>
      <c r="R163" s="23"/>
      <c r="S163" s="35">
        <f t="shared" si="54"/>
        <v>1</v>
      </c>
      <c r="T163" s="50" t="str">
        <f t="shared" si="55"/>
        <v>NorthBound</v>
      </c>
      <c r="U163" s="1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05:43:49-0600',mode:absolute,to:'2016-10-24 08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3" s="52" t="str">
        <f t="shared" si="66"/>
        <v>N</v>
      </c>
      <c r="X163" s="171">
        <f t="shared" si="67"/>
        <v>1</v>
      </c>
      <c r="Y163" s="67">
        <f t="shared" si="68"/>
        <v>9.1999999999999998E-2</v>
      </c>
      <c r="Z163" s="67">
        <f t="shared" si="57"/>
        <v>5.8186999999999998</v>
      </c>
      <c r="AA163" s="67">
        <f t="shared" si="58"/>
        <v>5.7267000000000001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59"/>
        <v>0805-24</v>
      </c>
      <c r="AE163" s="91" t="str">
        <f t="shared" si="60"/>
        <v>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 &amp; 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</v>
      </c>
      <c r="AF163" s="88" t="str">
        <f t="shared" si="61"/>
        <v>"C:\Program Files (x86)\AstroGrep\AstroGrep.exe" /spath="%USERPROFILE%\AppData\Local\Temp\OnboardLogs" /stypes="app*4009*20161024*" /stext=" 13:.+((SYSTEM_STATE.+slice.+state.+changed )|(ment ac)|(system.+state.+changed )|(\[timeout)|(PRM\|1\|D)|(kpr)|(kdp)|(\|lc)|(penalty))" /e /r /s</v>
      </c>
      <c r="AG163" s="1" t="str">
        <f t="shared" si="62"/>
        <v>NW</v>
      </c>
      <c r="AH163" s="92" t="str">
        <f t="shared" si="63"/>
        <v>"%USERPROFILE%\Documents\GitHub\eaglep3\Utilities\RefineRTDCRunTimes.py" --tripid 805-24 --locoid 4009 --swversion DE.1.0.7.0 --startMP 204:920 --initTime 2016-10-24T06:43:49 --startdatetime 2016-10-24T06:51:13 --delay 1 --endMP 300:58187 --enddatetime 2016-10-24T07:06:00 --enforcementcount 1 &gt;&gt;C:\Users\stu\Documents\GitHub\eaglep3-reporting\EC\2016-10-24-refined-times.txt</v>
      </c>
      <c r="AI163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{"issue":{"subject":"","project_id":79,"tracker_id":40,"status_id":1,"priority_id":2,"assigned_to_id":23,"start_date":"2016-10-24","description":"","custom_fields":[{"id":1,"name":"Subdivision","value":"NW"},{"id":4,"name":"Milepost","value":"5.8187"},{"id":17,"name":"Train ID","value":"805-24"},{"id":16,"name":"Locomotive ID","value":"4009"},{"id":130,"name":"Impact","value":""},{"id":150,"name":"Time of Event (Mountain Time)","value":"07:06:00"},{"id":151,"name":"Denver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396</v>
      </c>
      <c r="B164" s="7">
        <v>4010</v>
      </c>
      <c r="C164" s="22" t="s">
        <v>99</v>
      </c>
      <c r="D164" s="22" t="s">
        <v>730</v>
      </c>
      <c r="E164" s="13">
        <v>42667.296689814815</v>
      </c>
      <c r="F164" s="13">
        <v>42667.297754629632</v>
      </c>
      <c r="G164" s="7">
        <v>1</v>
      </c>
      <c r="H164" s="13" t="s">
        <v>731</v>
      </c>
      <c r="I164" s="13">
        <v>42667.310196759259</v>
      </c>
      <c r="J164" s="7">
        <v>1</v>
      </c>
      <c r="K164" s="112" t="str">
        <f t="shared" si="51"/>
        <v>4009/4010</v>
      </c>
      <c r="L164" s="22" t="str">
        <f>VLOOKUP(A164,'Trips&amp;Operators'!$C$1:$E$10000,3,FALSE)</f>
        <v>DAVIS</v>
      </c>
      <c r="M164" s="6">
        <f t="shared" si="52"/>
        <v>1.244212962774327E-2</v>
      </c>
      <c r="N164" s="7">
        <f t="shared" si="53"/>
        <v>17.916666663950309</v>
      </c>
      <c r="O164" s="7"/>
      <c r="P164" s="7"/>
      <c r="Q164" s="23"/>
      <c r="R164" s="23"/>
      <c r="S164" s="35">
        <f t="shared" si="54"/>
        <v>1</v>
      </c>
      <c r="T164" s="50" t="str">
        <f t="shared" si="55"/>
        <v>Southbound</v>
      </c>
      <c r="U164" s="1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06:07:14-0600',mode:absolute,to:'2016-10-24 08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4" s="52" t="str">
        <f t="shared" si="66"/>
        <v>N</v>
      </c>
      <c r="X164" s="171">
        <f t="shared" si="67"/>
        <v>1</v>
      </c>
      <c r="Y164" s="67">
        <f t="shared" si="68"/>
        <v>5.87</v>
      </c>
      <c r="Z164" s="67">
        <f t="shared" si="57"/>
        <v>6.1699999999999998E-2</v>
      </c>
      <c r="AA164" s="67">
        <f t="shared" si="58"/>
        <v>5.8083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59"/>
        <v>0806-24</v>
      </c>
      <c r="AE164" s="91" t="str">
        <f t="shared" si="60"/>
        <v>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 &amp; 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</v>
      </c>
      <c r="AF164" s="88" t="str">
        <f t="shared" si="61"/>
        <v>"C:\Program Files (x86)\AstroGrep\AstroGrep.exe" /spath="%USERPROFILE%\AppData\Local\Temp\OnboardLogs" /stypes="app*4010*20161024*" /stext=" 13:.+((SYSTEM_STATE.+slice.+state.+changed )|(ment ac)|(system.+state.+changed )|(\[timeout)|(PRM\|1\|D)|(kpr)|(kdp)|(\|lc)|(penalty))" /e /r /s</v>
      </c>
      <c r="AG164" s="1" t="str">
        <f t="shared" si="62"/>
        <v>NW</v>
      </c>
      <c r="AH164" s="92" t="str">
        <f t="shared" si="63"/>
        <v>"%USERPROFILE%\Documents\GitHub\eaglep3\Utilities\RefineRTDCRunTimes.py" --tripid 806-24 --locoid 4010 --swversion DE.1.0.7.0 --startMP 300:58700 --initTime 2016-10-24T07:07:14 --startdatetime 2016-10-24T07:08:46 --delay 1 --endMP 204:617 --enddatetime 2016-10-24T07:26:41 --enforcementcount 1 &gt;&gt;C:\Users\stu\Documents\GitHub\eaglep3-reporting\EC\2016-10-24-refined-times.txt</v>
      </c>
      <c r="AI164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{"issue":{"subject":"","project_id":79,"tracker_id":40,"status_id":1,"priority_id":2,"assigned_to_id":23,"start_date":"2016-10-24","description":"","custom_fields":[{"id":1,"name":"Subdivision","value":"NW"},{"id":4,"name":"Milepost","value":"0.0617"},{"id":17,"name":"Train ID","value":"806-24"},{"id":16,"name":"Locomotive ID","value":"4010"},{"id":130,"name":"Impact","value":""},{"id":150,"name":"Time of Event (Mountain Time)","value":"07:26:41"},{"id":151,"name":"Denver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462</v>
      </c>
      <c r="B165" s="7">
        <v>4027</v>
      </c>
      <c r="C165" s="22" t="s">
        <v>99</v>
      </c>
      <c r="D165" s="22" t="s">
        <v>732</v>
      </c>
      <c r="E165" s="13">
        <v>42667.305150462962</v>
      </c>
      <c r="F165" s="13">
        <v>42667.306875000002</v>
      </c>
      <c r="G165" s="7">
        <v>1</v>
      </c>
      <c r="H165" s="13" t="s">
        <v>733</v>
      </c>
      <c r="I165" s="13">
        <v>42667.317557870374</v>
      </c>
      <c r="J165" s="7">
        <v>1</v>
      </c>
      <c r="K165" s="112" t="str">
        <f t="shared" si="51"/>
        <v>4027/4028</v>
      </c>
      <c r="L165" s="22" t="str">
        <f>VLOOKUP(A165,'Trips&amp;Operators'!$C$1:$E$10000,3,FALSE)</f>
        <v>ROCHA</v>
      </c>
      <c r="M165" s="6">
        <f t="shared" si="52"/>
        <v>1.0682870371965691E-2</v>
      </c>
      <c r="N165" s="7">
        <f t="shared" si="53"/>
        <v>15.383333335630596</v>
      </c>
      <c r="O165" s="7"/>
      <c r="P165" s="7"/>
      <c r="Q165" s="23"/>
      <c r="R165" s="23"/>
      <c r="S165" s="35">
        <f t="shared" si="54"/>
        <v>1</v>
      </c>
      <c r="T165" s="50" t="str">
        <f t="shared" si="55"/>
        <v>NorthBound</v>
      </c>
      <c r="U165" s="1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06:19:25-0600',mode:absolute,to:'2016-10-24 08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5" s="52" t="str">
        <f t="shared" si="66"/>
        <v>N</v>
      </c>
      <c r="X165" s="171">
        <f t="shared" si="67"/>
        <v>1</v>
      </c>
      <c r="Y165" s="67">
        <f t="shared" si="68"/>
        <v>9.4100000000000003E-2</v>
      </c>
      <c r="Z165" s="67">
        <f t="shared" si="57"/>
        <v>5.8894000000000002</v>
      </c>
      <c r="AA165" s="67">
        <f t="shared" si="58"/>
        <v>5.7953000000000001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59"/>
        <v>0807-24</v>
      </c>
      <c r="AE165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65" s="88" t="str">
        <f t="shared" si="61"/>
        <v>"C:\Program Files (x86)\AstroGrep\AstroGrep.exe" /spath="%USERPROFILE%\AppData\Local\Temp\OnboardLogs" /stypes="app*4027*20161024*" /stext=" 13:.+((SYSTEM_STATE.+slice.+state.+changed )|(ment ac)|(system.+state.+changed )|(\[timeout)|(PRM\|1\|D)|(kpr)|(kdp)|(\|lc)|(penalty))" /e /r /s</v>
      </c>
      <c r="AG165" s="1" t="str">
        <f t="shared" si="62"/>
        <v>NW</v>
      </c>
      <c r="AH165" s="92" t="str">
        <f t="shared" si="63"/>
        <v>"%USERPROFILE%\Documents\GitHub\eaglep3\Utilities\RefineRTDCRunTimes.py" --tripid 807-24 --locoid 4027 --swversion DE.1.0.7.0 --startMP 204:941 --initTime 2016-10-24T07:19:25 --startdatetime 2016-10-24T07:21:54 --delay 1 --endMP 300:58894 --enddatetime 2016-10-24T07:37:17 --enforcementcount 1 &gt;&gt;C:\Users\stu\Documents\GitHub\eaglep3-reporting\EC\2016-10-24-refined-times.txt</v>
      </c>
      <c r="AI165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{"issue":{"subject":"","project_id":79,"tracker_id":40,"status_id":1,"priority_id":2,"assigned_to_id":23,"start_date":"2016-10-24","description":"","custom_fields":[{"id":1,"name":"Subdivision","value":"NW"},{"id":4,"name":"Milepost","value":"5.8894"},{"id":17,"name":"Train ID","value":"807-24"},{"id":16,"name":"Locomotive ID","value":"4027"},{"id":130,"name":"Impact","value":""},{"id":150,"name":"Time of Event (Mountain Time)","value":"07:37:17"},{"id":151,"name":"Denver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7" t="s">
        <v>465</v>
      </c>
      <c r="B166" s="7">
        <v>4028</v>
      </c>
      <c r="C166" s="22" t="s">
        <v>99</v>
      </c>
      <c r="D166" s="22" t="s">
        <v>734</v>
      </c>
      <c r="E166" s="13">
        <v>42667.318969907406</v>
      </c>
      <c r="F166" s="13">
        <v>42667.320497685185</v>
      </c>
      <c r="G166" s="7">
        <v>1</v>
      </c>
      <c r="H166" s="13" t="s">
        <v>370</v>
      </c>
      <c r="I166" s="13">
        <v>42667.330995370372</v>
      </c>
      <c r="J166" s="7">
        <v>1</v>
      </c>
      <c r="K166" s="112" t="str">
        <f t="shared" si="51"/>
        <v>4027/4028</v>
      </c>
      <c r="L166" s="22" t="str">
        <f>VLOOKUP(A166,'Trips&amp;Operators'!$C$1:$E$10000,3,FALSE)</f>
        <v>ROCHA</v>
      </c>
      <c r="M166" s="6">
        <f t="shared" si="52"/>
        <v>1.0497685187146999E-2</v>
      </c>
      <c r="N166" s="7">
        <f t="shared" si="53"/>
        <v>15.116666669491678</v>
      </c>
      <c r="O166" s="7"/>
      <c r="P166" s="7"/>
      <c r="Q166" s="23"/>
      <c r="R166" s="23"/>
      <c r="S166" s="35">
        <f t="shared" si="54"/>
        <v>1</v>
      </c>
      <c r="T166" s="50" t="str">
        <f t="shared" si="55"/>
        <v>Southbound</v>
      </c>
      <c r="U166" s="1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06:39:19-0600',mode:absolute,to:'2016-10-24 08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6" s="52" t="str">
        <f t="shared" si="66"/>
        <v>N</v>
      </c>
      <c r="X166" s="171">
        <f t="shared" si="67"/>
        <v>1</v>
      </c>
      <c r="Y166" s="67">
        <f t="shared" si="68"/>
        <v>5.8586999999999998</v>
      </c>
      <c r="Z166" s="67">
        <f t="shared" si="57"/>
        <v>6.54E-2</v>
      </c>
      <c r="AA166" s="67">
        <f t="shared" si="58"/>
        <v>5.7932999999999995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59"/>
        <v>0808-24</v>
      </c>
      <c r="AE166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66" s="88" t="str">
        <f t="shared" si="61"/>
        <v>"C:\Program Files (x86)\AstroGrep\AstroGrep.exe" /spath="%USERPROFILE%\AppData\Local\Temp\OnboardLogs" /stypes="app*4028*20161024*" /stext=" 13:.+((SYSTEM_STATE.+slice.+state.+changed )|(ment ac)|(system.+state.+changed )|(\[timeout)|(PRM\|1\|D)|(kpr)|(kdp)|(\|lc)|(penalty))" /e /r /s</v>
      </c>
      <c r="AG166" s="1" t="str">
        <f t="shared" si="62"/>
        <v>NW</v>
      </c>
      <c r="AH166" s="92" t="str">
        <f t="shared" si="63"/>
        <v>"%USERPROFILE%\Documents\GitHub\eaglep3\Utilities\RefineRTDCRunTimes.py" --tripid 808-24 --locoid 4028 --swversion DE.1.0.7.0 --startMP 300:58587 --initTime 2016-10-24T07:39:19 --startdatetime 2016-10-24T07:41:31 --delay 1 --endMP 204:654 --enddatetime 2016-10-24T07:56:38 --enforcementcount 1 &gt;&gt;C:\Users\stu\Documents\GitHub\eaglep3-reporting\EC\2016-10-24-refined-times.txt</v>
      </c>
      <c r="AI166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{"issue":{"subject":"","project_id":79,"tracker_id":40,"status_id":1,"priority_id":2,"assigned_to_id":23,"start_date":"2016-10-24","description":"","custom_fields":[{"id":1,"name":"Subdivision","value":"NW"},{"id":4,"name":"Milepost","value":"0.0654"},{"id":17,"name":"Train ID","value":"808-24"},{"id":16,"name":"Locomotive ID","value":"4028"},{"id":130,"name":"Impact","value":""},{"id":150,"name":"Time of Event (Mountain Time)","value":"07:56:38"},{"id":151,"name":"Denver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s="21" customFormat="1" x14ac:dyDescent="0.25">
      <c r="A167" s="37" t="s">
        <v>398</v>
      </c>
      <c r="B167" s="7">
        <v>4009</v>
      </c>
      <c r="C167" s="22" t="s">
        <v>99</v>
      </c>
      <c r="D167" s="22" t="s">
        <v>735</v>
      </c>
      <c r="E167" s="13">
        <v>42667.32366898148</v>
      </c>
      <c r="F167" s="13">
        <v>42667.327233796299</v>
      </c>
      <c r="G167" s="7">
        <v>1</v>
      </c>
      <c r="H167" s="13" t="s">
        <v>736</v>
      </c>
      <c r="I167" s="13">
        <v>42667.337222222224</v>
      </c>
      <c r="J167" s="7">
        <v>1</v>
      </c>
      <c r="K167" s="112" t="str">
        <f t="shared" si="51"/>
        <v>4009/4010</v>
      </c>
      <c r="L167" s="22" t="str">
        <f>VLOOKUP(A167,'Trips&amp;Operators'!$C$1:$E$10000,3,FALSE)</f>
        <v>DAVIS</v>
      </c>
      <c r="M167" s="6">
        <f t="shared" si="52"/>
        <v>9.9884259252576157E-3</v>
      </c>
      <c r="N167" s="7">
        <f t="shared" si="53"/>
        <v>14.383333332370967</v>
      </c>
      <c r="O167" s="7"/>
      <c r="P167" s="7"/>
      <c r="Q167" s="23"/>
      <c r="R167" s="23"/>
      <c r="S167" s="35">
        <f t="shared" si="54"/>
        <v>1</v>
      </c>
      <c r="T167" s="50" t="str">
        <f t="shared" si="55"/>
        <v>NorthBound</v>
      </c>
      <c r="U167" s="1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06:46:05-0600',mode:absolute,to:'2016-10-24 09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7" s="52" t="str">
        <f t="shared" si="66"/>
        <v>N</v>
      </c>
      <c r="X167" s="171">
        <f t="shared" si="67"/>
        <v>1</v>
      </c>
      <c r="Y167" s="67">
        <f t="shared" si="68"/>
        <v>9.1300000000000006E-2</v>
      </c>
      <c r="Z167" s="67">
        <f t="shared" si="57"/>
        <v>5.8101000000000003</v>
      </c>
      <c r="AA167" s="67">
        <f t="shared" si="58"/>
        <v>5.7187999999999999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59"/>
        <v>0809-24</v>
      </c>
      <c r="AE167" s="91" t="str">
        <f t="shared" si="60"/>
        <v>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 &amp; 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</v>
      </c>
      <c r="AF167" s="88" t="str">
        <f t="shared" si="61"/>
        <v>"C:\Program Files (x86)\AstroGrep\AstroGrep.exe" /spath="%USERPROFILE%\AppData\Local\Temp\OnboardLogs" /stypes="app*4009*20161024*" /stext=" 14:.+((SYSTEM_STATE.+slice.+state.+changed )|(ment ac)|(system.+state.+changed )|(\[timeout)|(PRM\|1\|D)|(kpr)|(kdp)|(\|lc)|(penalty))" /e /r /s</v>
      </c>
      <c r="AG167" s="1" t="str">
        <f t="shared" si="62"/>
        <v>NW</v>
      </c>
      <c r="AH167" s="92" t="str">
        <f t="shared" si="63"/>
        <v>"%USERPROFILE%\Documents\GitHub\eaglep3\Utilities\RefineRTDCRunTimes.py" --tripid 809-24 --locoid 4009 --swversion DE.1.0.7.0 --startMP 204:913 --initTime 2016-10-24T07:46:05 --startdatetime 2016-10-24T07:51:13 --delay 1 --endMP 300:58101 --enddatetime 2016-10-24T08:05:36 --enforcementcount 1 &gt;&gt;C:\Users\stu\Documents\GitHub\eaglep3-reporting\EC\2016-10-24-refined-times.txt</v>
      </c>
      <c r="AI167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{"issue":{"subject":"","project_id":79,"tracker_id":40,"status_id":1,"priority_id":2,"assigned_to_id":23,"start_date":"2016-10-24","description":"","custom_fields":[{"id":1,"name":"Subdivision","value":"NW"},{"id":4,"name":"Milepost","value":"5.8101"},{"id":17,"name":"Train ID","value":"809-24"},{"id":16,"name":"Locomotive ID","value":"4009"},{"id":130,"name":"Impact","value":""},{"id":150,"name":"Time of Event (Mountain Time)","value":"08:05:36"},{"id":151,"name":"Denver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467</v>
      </c>
      <c r="B168" s="7">
        <v>4010</v>
      </c>
      <c r="C168" s="22" t="s">
        <v>99</v>
      </c>
      <c r="D168" s="22" t="s">
        <v>737</v>
      </c>
      <c r="E168" s="13">
        <v>42667.337951388887</v>
      </c>
      <c r="F168" s="13">
        <v>42667.339166666665</v>
      </c>
      <c r="G168" s="7">
        <v>1</v>
      </c>
      <c r="H168" s="13" t="s">
        <v>738</v>
      </c>
      <c r="I168" s="13">
        <v>42667.351736111108</v>
      </c>
      <c r="J168" s="7">
        <v>1</v>
      </c>
      <c r="K168" s="112" t="str">
        <f t="shared" si="51"/>
        <v>4009/4010</v>
      </c>
      <c r="L168" s="22" t="str">
        <f>VLOOKUP(A168,'Trips&amp;Operators'!$C$1:$E$10000,3,FALSE)</f>
        <v>DAVIS</v>
      </c>
      <c r="M168" s="6">
        <f t="shared" si="52"/>
        <v>1.2569444443215616E-2</v>
      </c>
      <c r="N168" s="7">
        <f t="shared" si="53"/>
        <v>18.099999998230487</v>
      </c>
      <c r="O168" s="7"/>
      <c r="P168" s="7"/>
      <c r="Q168" s="23"/>
      <c r="R168" s="23"/>
      <c r="S168" s="35">
        <f t="shared" si="54"/>
        <v>1</v>
      </c>
      <c r="T168" s="50" t="str">
        <f t="shared" si="55"/>
        <v>Southbound</v>
      </c>
      <c r="U168" s="1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07:06:39-0600',mode:absolute,to:'2016-10-24 09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8" s="52" t="str">
        <f t="shared" si="66"/>
        <v>N</v>
      </c>
      <c r="X168" s="171">
        <f t="shared" si="67"/>
        <v>1</v>
      </c>
      <c r="Y168" s="67">
        <f t="shared" si="68"/>
        <v>5.8711000000000002</v>
      </c>
      <c r="Z168" s="67">
        <f t="shared" si="57"/>
        <v>6.5000000000000002E-2</v>
      </c>
      <c r="AA168" s="67">
        <f t="shared" si="58"/>
        <v>5.8060999999999998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59"/>
        <v>0810-24</v>
      </c>
      <c r="AE168" s="91" t="str">
        <f t="shared" si="60"/>
        <v>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 &amp; 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</v>
      </c>
      <c r="AF168" s="88" t="str">
        <f t="shared" si="61"/>
        <v>"C:\Program Files (x86)\AstroGrep\AstroGrep.exe" /spath="%USERPROFILE%\AppData\Local\Temp\OnboardLogs" /stypes="app*4010*20161024*" /stext=" 14:.+((SYSTEM_STATE.+slice.+state.+changed )|(ment ac)|(system.+state.+changed )|(\[timeout)|(PRM\|1\|D)|(kpr)|(kdp)|(\|lc)|(penalty))" /e /r /s</v>
      </c>
      <c r="AG168" s="1" t="str">
        <f t="shared" si="62"/>
        <v>NW</v>
      </c>
      <c r="AH168" s="92" t="str">
        <f t="shared" si="63"/>
        <v>"%USERPROFILE%\Documents\GitHub\eaglep3\Utilities\RefineRTDCRunTimes.py" --tripid 810-24 --locoid 4010 --swversion DE.1.0.7.0 --startMP 300:58711 --initTime 2016-10-24T08:06:39 --startdatetime 2016-10-24T08:08:24 --delay 1 --endMP 204:650 --enddatetime 2016-10-24T08:26:30 --enforcementcount 1 &gt;&gt;C:\Users\stu\Documents\GitHub\eaglep3-reporting\EC\2016-10-24-refined-times.txt</v>
      </c>
      <c r="AI168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{"issue":{"subject":"","project_id":79,"tracker_id":40,"status_id":1,"priority_id":2,"assigned_to_id":23,"start_date":"2016-10-24","description":"","custom_fields":[{"id":1,"name":"Subdivision","value":"NW"},{"id":4,"name":"Milepost","value":"0.065"},{"id":17,"name":"Train ID","value":"810-24"},{"id":16,"name":"Locomotive ID","value":"4010"},{"id":130,"name":"Impact","value":""},{"id":150,"name":"Time of Event (Mountain Time)","value":"08:26:30"},{"id":151,"name":"Denver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x14ac:dyDescent="0.25">
      <c r="A169" s="37" t="s">
        <v>469</v>
      </c>
      <c r="B169" s="7">
        <v>4027</v>
      </c>
      <c r="C169" s="22" t="s">
        <v>99</v>
      </c>
      <c r="D169" s="22" t="s">
        <v>364</v>
      </c>
      <c r="E169" s="13">
        <v>42667.343611111108</v>
      </c>
      <c r="F169" s="13">
        <v>42667.348252314812</v>
      </c>
      <c r="G169" s="7">
        <v>1</v>
      </c>
      <c r="H169" s="13" t="s">
        <v>739</v>
      </c>
      <c r="I169" s="13">
        <v>42667.360127314816</v>
      </c>
      <c r="J169" s="7">
        <v>1</v>
      </c>
      <c r="K169" s="112" t="str">
        <f t="shared" si="51"/>
        <v>4027/4028</v>
      </c>
      <c r="L169" s="22" t="str">
        <f>VLOOKUP(A169,'Trips&amp;Operators'!$C$1:$E$10000,3,FALSE)</f>
        <v>ROCHA</v>
      </c>
      <c r="M169" s="6">
        <f t="shared" si="52"/>
        <v>1.1875000003783498E-2</v>
      </c>
      <c r="N169" s="7">
        <f t="shared" si="53"/>
        <v>17.100000005448237</v>
      </c>
      <c r="O169" s="7"/>
      <c r="P169" s="7"/>
      <c r="Q169" s="23"/>
      <c r="R169" s="23"/>
      <c r="S169" s="35">
        <f t="shared" si="54"/>
        <v>1</v>
      </c>
      <c r="T169" s="50" t="str">
        <f t="shared" si="55"/>
        <v>NorthBound</v>
      </c>
      <c r="U169" s="1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07:14:48-0600',mode:absolute,to:'2016-10-24 09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9" s="52" t="str">
        <f t="shared" si="66"/>
        <v>N</v>
      </c>
      <c r="X169" s="171">
        <f t="shared" si="67"/>
        <v>1</v>
      </c>
      <c r="Y169" s="67">
        <f t="shared" si="68"/>
        <v>9.9299999999999999E-2</v>
      </c>
      <c r="Z169" s="67">
        <f t="shared" si="57"/>
        <v>5.8909000000000002</v>
      </c>
      <c r="AA169" s="67">
        <f t="shared" si="58"/>
        <v>5.7915999999999999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59"/>
        <v>0811-24</v>
      </c>
      <c r="AE169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69" s="88" t="str">
        <f t="shared" si="61"/>
        <v>"C:\Program Files (x86)\AstroGrep\AstroGrep.exe" /spath="%USERPROFILE%\AppData\Local\Temp\OnboardLogs" /stypes="app*4027*20161024*" /stext=" 14:.+((SYSTEM_STATE.+slice.+state.+changed )|(ment ac)|(system.+state.+changed )|(\[timeout)|(PRM\|1\|D)|(kpr)|(kdp)|(\|lc)|(penalty))" /e /r /s</v>
      </c>
      <c r="AG169" s="1" t="str">
        <f t="shared" si="62"/>
        <v>NW</v>
      </c>
      <c r="AH169" s="92" t="str">
        <f t="shared" si="63"/>
        <v>"%USERPROFILE%\Documents\GitHub\eaglep3\Utilities\RefineRTDCRunTimes.py" --tripid 811-24 --locoid 4027 --swversion DE.1.0.7.0 --startMP 204:993 --initTime 2016-10-24T08:14:48 --startdatetime 2016-10-24T08:21:29 --delay 1 --endMP 300:58909 --enddatetime 2016-10-24T08:38:35 --enforcementcount 1 &gt;&gt;C:\Users\stu\Documents\GitHub\eaglep3-reporting\EC\2016-10-24-refined-times.txt</v>
      </c>
      <c r="AI169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{"issue":{"subject":"","project_id":79,"tracker_id":40,"status_id":1,"priority_id":2,"assigned_to_id":23,"start_date":"2016-10-24","description":"","custom_fields":[{"id":1,"name":"Subdivision","value":"NW"},{"id":4,"name":"Milepost","value":"5.8909"},{"id":17,"name":"Train ID","value":"811-24"},{"id":16,"name":"Locomotive ID","value":"4027"},{"id":130,"name":"Impact","value":""},{"id":150,"name":"Time of Event (Mountain Time)","value":"08:38:35"},{"id":151,"name":"Denver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474</v>
      </c>
      <c r="B170" s="7">
        <v>4028</v>
      </c>
      <c r="C170" s="22" t="s">
        <v>99</v>
      </c>
      <c r="D170" s="22" t="s">
        <v>740</v>
      </c>
      <c r="E170" s="13">
        <v>42667.360972222225</v>
      </c>
      <c r="F170" s="13">
        <v>42667.36215277778</v>
      </c>
      <c r="G170" s="7">
        <v>0</v>
      </c>
      <c r="H170" s="13" t="s">
        <v>741</v>
      </c>
      <c r="I170" s="13">
        <v>42667.374675925923</v>
      </c>
      <c r="J170" s="7">
        <v>1</v>
      </c>
      <c r="K170" s="112" t="str">
        <f t="shared" si="51"/>
        <v>4027/4028</v>
      </c>
      <c r="L170" s="22" t="str">
        <f>VLOOKUP(A170,'Trips&amp;Operators'!$C$1:$E$10000,3,FALSE)</f>
        <v>ROCHA</v>
      </c>
      <c r="M170" s="6">
        <f t="shared" si="52"/>
        <v>1.2523148143372964E-2</v>
      </c>
      <c r="N170" s="7">
        <f t="shared" si="53"/>
        <v>18.033333326457068</v>
      </c>
      <c r="O170" s="7"/>
      <c r="P170" s="7"/>
      <c r="Q170" s="23"/>
      <c r="R170" s="23"/>
      <c r="S170" s="35">
        <f t="shared" si="54"/>
        <v>1</v>
      </c>
      <c r="T170" s="50" t="str">
        <f t="shared" si="55"/>
        <v>Southbound</v>
      </c>
      <c r="U170" s="1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07:39:48-0600',mode:absolute,to:'2016-10-24 09:59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0" s="52" t="str">
        <f t="shared" si="66"/>
        <v>N</v>
      </c>
      <c r="X170" s="171">
        <f t="shared" si="67"/>
        <v>1</v>
      </c>
      <c r="Y170" s="67">
        <f t="shared" si="68"/>
        <v>5.8577000000000004</v>
      </c>
      <c r="Z170" s="67">
        <f t="shared" si="57"/>
        <v>6.59E-2</v>
      </c>
      <c r="AA170" s="67">
        <f t="shared" si="58"/>
        <v>5.7918000000000003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59"/>
        <v>0812-24</v>
      </c>
      <c r="AE170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70" s="88" t="str">
        <f t="shared" si="61"/>
        <v>"C:\Program Files (x86)\AstroGrep\AstroGrep.exe" /spath="%USERPROFILE%\AppData\Local\Temp\OnboardLogs" /stypes="app*4028*20161024*" /stext=" 14:.+((SYSTEM_STATE.+slice.+state.+changed )|(ment ac)|(system.+state.+changed )|(\[timeout)|(PRM\|1\|D)|(kpr)|(kdp)|(\|lc)|(penalty))" /e /r /s</v>
      </c>
      <c r="AG170" s="1" t="str">
        <f t="shared" si="62"/>
        <v>NW</v>
      </c>
      <c r="AH170" s="92" t="str">
        <f t="shared" si="63"/>
        <v>"%USERPROFILE%\Documents\GitHub\eaglep3\Utilities\RefineRTDCRunTimes.py" --tripid 812-24 --locoid 4028 --swversion DE.1.0.7.0 --startMP 300:58577 --initTime 2016-10-24T08:39:48 --startdatetime 2016-10-24T08:41:30 --delay 0 --endMP 204:659 --enddatetime 2016-10-24T08:59:32 --enforcementcount 1 &gt;&gt;C:\Users\stu\Documents\GitHub\eaglep3-reporting\EC\2016-10-24-refined-times.txt</v>
      </c>
      <c r="AI170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{"issue":{"subject":"","project_id":79,"tracker_id":40,"status_id":1,"priority_id":2,"assigned_to_id":23,"start_date":"2016-10-24","description":"","custom_fields":[{"id":1,"name":"Subdivision","value":"NW"},{"id":4,"name":"Milepost","value":"0.0659"},{"id":17,"name":"Train ID","value":"812-24"},{"id":16,"name":"Locomotive ID","value":"4028"},{"id":130,"name":"Impact","value":""},{"id":150,"name":"Time of Event (Mountain Time)","value":"08:59:32"},{"id":151,"name":"Denver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404</v>
      </c>
      <c r="B171" s="7">
        <v>4027</v>
      </c>
      <c r="C171" s="22" t="s">
        <v>99</v>
      </c>
      <c r="D171" s="22" t="s">
        <v>742</v>
      </c>
      <c r="E171" s="13">
        <v>42667.383645833332</v>
      </c>
      <c r="F171" s="13">
        <v>42667.389907407407</v>
      </c>
      <c r="G171" s="7">
        <v>1</v>
      </c>
      <c r="H171" s="13" t="s">
        <v>743</v>
      </c>
      <c r="I171" s="13">
        <v>42667.401030092595</v>
      </c>
      <c r="J171" s="7">
        <v>1</v>
      </c>
      <c r="K171" s="112" t="str">
        <f t="shared" si="51"/>
        <v>4027/4028</v>
      </c>
      <c r="L171" s="22" t="str">
        <f>VLOOKUP(A171,'Trips&amp;Operators'!$C$1:$E$10000,3,FALSE)</f>
        <v>ROCHA</v>
      </c>
      <c r="M171" s="6">
        <f t="shared" si="52"/>
        <v>1.1122685187729076E-2</v>
      </c>
      <c r="N171" s="7">
        <f t="shared" si="53"/>
        <v>16.016666670329869</v>
      </c>
      <c r="O171" s="7"/>
      <c r="P171" s="7"/>
      <c r="Q171" s="23"/>
      <c r="R171" s="23"/>
      <c r="S171" s="35">
        <f t="shared" si="54"/>
        <v>1</v>
      </c>
      <c r="T171" s="50" t="str">
        <f t="shared" si="55"/>
        <v>NorthBound</v>
      </c>
      <c r="U171" s="1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08:12:27-0600',mode:absolute,to:'2016-10-24 10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1" s="52" t="str">
        <f t="shared" si="66"/>
        <v>N</v>
      </c>
      <c r="X171" s="171">
        <f t="shared" ref="X171:X176" si="69">VALUE(LEFT(AD171,4))-VALUE(LEFT(AD170,4))</f>
        <v>1</v>
      </c>
      <c r="Y171" s="67">
        <f t="shared" si="68"/>
        <v>9.5299999999999996E-2</v>
      </c>
      <c r="Z171" s="67">
        <f t="shared" si="57"/>
        <v>5.8905000000000003</v>
      </c>
      <c r="AA171" s="67">
        <f t="shared" si="58"/>
        <v>5.7952000000000004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59"/>
        <v>0813-24</v>
      </c>
      <c r="AE171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71" s="88" t="str">
        <f t="shared" si="61"/>
        <v>"C:\Program Files (x86)\AstroGrep\AstroGrep.exe" /spath="%USERPROFILE%\AppData\Local\Temp\OnboardLogs" /stypes="app*4027*20161024*" /stext=" 15:.+((SYSTEM_STATE.+slice.+state.+changed )|(ment ac)|(system.+state.+changed )|(\[timeout)|(PRM\|1\|D)|(kpr)|(kdp)|(\|lc)|(penalty))" /e /r /s</v>
      </c>
      <c r="AG171" s="1" t="str">
        <f t="shared" si="62"/>
        <v>NW</v>
      </c>
      <c r="AH171" s="92" t="str">
        <f t="shared" si="63"/>
        <v>"%USERPROFILE%\Documents\GitHub\eaglep3\Utilities\RefineRTDCRunTimes.py" --tripid 813-24 --locoid 4027 --swversion DE.1.0.7.0 --startMP 204:953 --initTime 2016-10-24T09:12:27 --startdatetime 2016-10-24T09:21:28 --delay 1 --endMP 300:58905 --enddatetime 2016-10-24T09:37:29 --enforcementcount 1 &gt;&gt;C:\Users\stu\Documents\GitHub\eaglep3-reporting\EC\2016-10-24-refined-times.txt</v>
      </c>
      <c r="AI171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{"issue":{"subject":"","project_id":79,"tracker_id":40,"status_id":1,"priority_id":2,"assigned_to_id":23,"start_date":"2016-10-24","description":"","custom_fields":[{"id":1,"name":"Subdivision","value":"NW"},{"id":4,"name":"Milepost","value":"5.8905"},{"id":17,"name":"Train ID","value":"813-24"},{"id":16,"name":"Locomotive ID","value":"4027"},{"id":130,"name":"Impact","value":""},{"id":150,"name":"Time of Event (Mountain Time)","value":"09:37:29"},{"id":151,"name":"Denver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481</v>
      </c>
      <c r="B172" s="7">
        <v>4028</v>
      </c>
      <c r="C172" s="22" t="s">
        <v>99</v>
      </c>
      <c r="D172" s="22" t="s">
        <v>744</v>
      </c>
      <c r="E172" s="13">
        <v>42667.404016203705</v>
      </c>
      <c r="F172" s="13">
        <v>42667.402314814812</v>
      </c>
      <c r="G172" s="7">
        <v>2</v>
      </c>
      <c r="H172" s="13" t="s">
        <v>745</v>
      </c>
      <c r="I172" s="13">
        <v>42667.409398148149</v>
      </c>
      <c r="J172" s="7">
        <v>1</v>
      </c>
      <c r="K172" s="112" t="str">
        <f t="shared" si="51"/>
        <v>4027/4028</v>
      </c>
      <c r="L172" s="22" t="str">
        <f>VLOOKUP(A172,'Trips&amp;Operators'!$C$1:$E$10000,3,FALSE)</f>
        <v>ROCHA</v>
      </c>
      <c r="M172" s="6">
        <f t="shared" si="52"/>
        <v>7.0833333375048824E-3</v>
      </c>
      <c r="N172" s="7"/>
      <c r="O172" s="7"/>
      <c r="P172" s="7">
        <f>24*60*SUM($M172:$M172)</f>
        <v>10.200000006007031</v>
      </c>
      <c r="Q172" s="23"/>
      <c r="R172" s="23" t="s">
        <v>382</v>
      </c>
      <c r="S172" s="35">
        <f t="shared" si="54"/>
        <v>0</v>
      </c>
      <c r="T172" s="50" t="str">
        <f t="shared" si="55"/>
        <v>Southbound</v>
      </c>
      <c r="U172" s="1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08:41:47-0600',mode:absolute,to:'2016-10-24 10:49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2" s="52" t="str">
        <f t="shared" si="66"/>
        <v>Y</v>
      </c>
      <c r="X172" s="171">
        <f t="shared" si="69"/>
        <v>1</v>
      </c>
      <c r="Y172" s="67">
        <f t="shared" si="68"/>
        <v>5.8426</v>
      </c>
      <c r="Z172" s="67">
        <v>5.7</v>
      </c>
      <c r="AA172" s="67">
        <f t="shared" si="58"/>
        <v>0.14259999999999984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59"/>
        <v>0814-24</v>
      </c>
      <c r="AE172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72" s="88" t="str">
        <f t="shared" si="61"/>
        <v>"C:\Program Files (x86)\AstroGrep\AstroGrep.exe" /spath="%USERPROFILE%\AppData\Local\Temp\OnboardLogs" /stypes="app*4028*20161024*" /stext=" 15:.+((SYSTEM_STATE.+slice.+state.+changed )|(ment ac)|(system.+state.+changed )|(\[timeout)|(PRM\|1\|D)|(kpr)|(kdp)|(\|lc)|(penalty))" /e /r /s</v>
      </c>
      <c r="AG172" s="1" t="str">
        <f t="shared" si="62"/>
        <v>NW</v>
      </c>
      <c r="AH172" s="92" t="str">
        <f t="shared" si="63"/>
        <v>"%USERPROFILE%\Documents\GitHub\eaglep3\Utilities\RefineRTDCRunTimes.py" --tripid 814-24 --locoid 4028 --swversion DE.1.0.7.0 --startMP 300:58426 --initTime 2016-10-24T09:41:47 --startdatetime 2016-10-24T09:39:20 --delay 2 --endMP 204:698 --enddatetime 2016-10-24T09:49:32 --enforcementcount 1 &gt;&gt;C:\Users\stu\Documents\GitHub\eaglep3-reporting\EC\2016-10-24-refined-times.txt</v>
      </c>
      <c r="AI172" s="122" t="str">
        <f t="shared" si="64"/>
        <v>echo {"issue":{"subject":"Onboard in-route failure","project_id":79,"tracker_id":40,"status_id":1,"priority_id":2,"assigned_to_id":23,"start_date":"2016-10-24","description":"Slice fights for primary at 2016-10-24 09:40:53 and at 2016-10-24 09:42:52","custom_fields":[{"id":1,"name":"Subdivision","value":"NW"},{"id":4,"name":"Milepost","value":"5.7"},{"id":17,"name":"Train ID","value":"814-24"},{"id":16,"name":"Locomotive ID","value":"4028"},{"id":130,"name":"Impact","value":"Initialization Problem"},{"id":150,"name":"Time of Event (Mountain Time)","value":"09:49:32"},{"id":151,"name":"Denver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72" s="53" t="s">
        <v>806</v>
      </c>
      <c r="AK172" s="53" t="s">
        <v>134</v>
      </c>
      <c r="AL172" s="53" t="s">
        <v>179</v>
      </c>
    </row>
    <row r="173" spans="1:91" x14ac:dyDescent="0.25">
      <c r="A173" s="37" t="s">
        <v>484</v>
      </c>
      <c r="B173" s="7">
        <v>4027</v>
      </c>
      <c r="C173" s="22" t="s">
        <v>99</v>
      </c>
      <c r="D173" s="22" t="s">
        <v>746</v>
      </c>
      <c r="E173" s="13">
        <v>42667.43074074074</v>
      </c>
      <c r="F173" s="13">
        <v>42667.432743055557</v>
      </c>
      <c r="G173" s="7">
        <v>1</v>
      </c>
      <c r="H173" s="13" t="s">
        <v>747</v>
      </c>
      <c r="I173" s="13">
        <v>42667.443009259259</v>
      </c>
      <c r="J173" s="7">
        <v>1</v>
      </c>
      <c r="K173" s="112" t="str">
        <f t="shared" si="51"/>
        <v>4027/4028</v>
      </c>
      <c r="L173" s="22" t="str">
        <f>VLOOKUP(A173,'Trips&amp;Operators'!$C$1:$E$10000,3,FALSE)</f>
        <v>ROCHA</v>
      </c>
      <c r="M173" s="6">
        <f t="shared" si="52"/>
        <v>1.0266203702485655E-2</v>
      </c>
      <c r="N173" s="7">
        <f t="shared" ref="N173:N204" si="70">24*60*SUM($M173:$M173)</f>
        <v>14.783333331579342</v>
      </c>
      <c r="O173" s="7"/>
      <c r="P173" s="7"/>
      <c r="Q173" s="23"/>
      <c r="R173" s="23"/>
      <c r="S173" s="35">
        <f t="shared" ref="S173:S204" si="71">SUM(U173:U173)/IF(AG173="EC",12,1)</f>
        <v>1</v>
      </c>
      <c r="T173" s="50" t="str">
        <f t="shared" si="55"/>
        <v>NorthBound</v>
      </c>
      <c r="U173" s="1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09:20:16-0600',mode:absolute,to:'2016-10-24 11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3" s="52" t="str">
        <f t="shared" si="66"/>
        <v>N</v>
      </c>
      <c r="X173" s="171">
        <f t="shared" si="69"/>
        <v>1</v>
      </c>
      <c r="Y173" s="67">
        <f t="shared" si="68"/>
        <v>9.0399999999999994E-2</v>
      </c>
      <c r="Z173" s="67">
        <f t="shared" ref="Z173:Z204" si="72">RIGHT(H173,LEN(H173)-4)/10000</f>
        <v>5.8916000000000004</v>
      </c>
      <c r="AA173" s="67">
        <f t="shared" si="58"/>
        <v>5.8012000000000006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59"/>
        <v>0815-24</v>
      </c>
      <c r="AE173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73" s="88" t="str">
        <f t="shared" si="61"/>
        <v>"C:\Program Files (x86)\AstroGrep\AstroGrep.exe" /spath="%USERPROFILE%\AppData\Local\Temp\OnboardLogs" /stypes="app*4027*20161024*" /stext=" 16:.+((SYSTEM_STATE.+slice.+state.+changed )|(ment ac)|(system.+state.+changed )|(\[timeout)|(PRM\|1\|D)|(kpr)|(kdp)|(\|lc)|(penalty))" /e /r /s</v>
      </c>
      <c r="AG173" s="1" t="str">
        <f t="shared" si="62"/>
        <v>NW</v>
      </c>
      <c r="AH173" s="92" t="str">
        <f t="shared" si="63"/>
        <v>"%USERPROFILE%\Documents\GitHub\eaglep3\Utilities\RefineRTDCRunTimes.py" --tripid 815-24 --locoid 4027 --swversion DE.1.0.7.0 --startMP 204:904 --initTime 2016-10-24T10:20:16 --startdatetime 2016-10-24T10:23:09 --delay 1 --endMP 300:58916 --enddatetime 2016-10-24T10:37:56 --enforcementcount 1 &gt;&gt;C:\Users\stu\Documents\GitHub\eaglep3-reporting\EC\2016-10-24-refined-times.txt</v>
      </c>
      <c r="AI173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{"issue":{"subject":"","project_id":79,"tracker_id":40,"status_id":1,"priority_id":2,"assigned_to_id":23,"start_date":"2016-10-24","description":"","custom_fields":[{"id":1,"name":"Subdivision","value":"NW"},{"id":4,"name":"Milepost","value":"5.8916"},{"id":17,"name":"Train ID","value":"815-24"},{"id":16,"name":"Locomotive ID","value":"4027"},{"id":130,"name":"Impact","value":""},{"id":150,"name":"Time of Event (Mountain Time)","value":"10:37:56"},{"id":151,"name":"Denver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410</v>
      </c>
      <c r="B174" s="7">
        <v>4028</v>
      </c>
      <c r="C174" s="22" t="s">
        <v>99</v>
      </c>
      <c r="D174" s="22" t="s">
        <v>748</v>
      </c>
      <c r="E174" s="13">
        <v>42667.444652777776</v>
      </c>
      <c r="F174" s="13">
        <v>42667.446759259263</v>
      </c>
      <c r="G174" s="7">
        <v>1</v>
      </c>
      <c r="H174" s="13" t="s">
        <v>745</v>
      </c>
      <c r="I174" s="13">
        <v>42667.458344907405</v>
      </c>
      <c r="J174" s="7">
        <v>1</v>
      </c>
      <c r="K174" s="112" t="str">
        <f t="shared" si="51"/>
        <v>4027/4028</v>
      </c>
      <c r="L174" s="22" t="str">
        <f>VLOOKUP(A174,'Trips&amp;Operators'!$C$1:$E$10000,3,FALSE)</f>
        <v>ROCHA</v>
      </c>
      <c r="M174" s="6">
        <f t="shared" si="52"/>
        <v>1.1585648142499849E-2</v>
      </c>
      <c r="N174" s="7">
        <f t="shared" si="70"/>
        <v>16.683333325199783</v>
      </c>
      <c r="O174" s="7"/>
      <c r="P174" s="7"/>
      <c r="Q174" s="23"/>
      <c r="R174" s="23"/>
      <c r="S174" s="35">
        <f t="shared" si="71"/>
        <v>1</v>
      </c>
      <c r="T174" s="50" t="str">
        <f t="shared" si="55"/>
        <v>Southbound</v>
      </c>
      <c r="U174" s="1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09:40:18-0600',mode:absolute,to:'2016-10-24 12:00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4" s="52" t="str">
        <f t="shared" si="66"/>
        <v>N</v>
      </c>
      <c r="X174" s="171">
        <f t="shared" si="69"/>
        <v>1</v>
      </c>
      <c r="Y174" s="67">
        <f t="shared" si="68"/>
        <v>5.8596000000000004</v>
      </c>
      <c r="Z174" s="67">
        <f t="shared" si="72"/>
        <v>6.9800000000000001E-2</v>
      </c>
      <c r="AA174" s="67">
        <f t="shared" si="58"/>
        <v>5.7898000000000005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59"/>
        <v>0816-24</v>
      </c>
      <c r="AE174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74" s="88" t="str">
        <f t="shared" si="61"/>
        <v>"C:\Program Files (x86)\AstroGrep\AstroGrep.exe" /spath="%USERPROFILE%\AppData\Local\Temp\OnboardLogs" /stypes="app*4028*20161024*" /stext=" 17:.+((SYSTEM_STATE.+slice.+state.+changed )|(ment ac)|(system.+state.+changed )|(\[timeout)|(PRM\|1\|D)|(kpr)|(kdp)|(\|lc)|(penalty))" /e /r /s</v>
      </c>
      <c r="AG174" s="1" t="str">
        <f t="shared" si="62"/>
        <v>NW</v>
      </c>
      <c r="AH174" s="92" t="str">
        <f t="shared" si="63"/>
        <v>"%USERPROFILE%\Documents\GitHub\eaglep3\Utilities\RefineRTDCRunTimes.py" --tripid 816-24 --locoid 4028 --swversion DE.1.0.7.0 --startMP 300:58596 --initTime 2016-10-24T10:40:18 --startdatetime 2016-10-24T10:43:20 --delay 1 --endMP 204:698 --enddatetime 2016-10-24T11:00:01 --enforcementcount 1 &gt;&gt;C:\Users\stu\Documents\GitHub\eaglep3-reporting\EC\2016-10-24-refined-times.txt</v>
      </c>
      <c r="AI174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{"issue":{"subject":"","project_id":79,"tracker_id":40,"status_id":1,"priority_id":2,"assigned_to_id":23,"start_date":"2016-10-24","description":"","custom_fields":[{"id":1,"name":"Subdivision","value":"NW"},{"id":4,"name":"Milepost","value":"0.0698"},{"id":17,"name":"Train ID","value":"816-24"},{"id":16,"name":"Locomotive ID","value":"4028"},{"id":130,"name":"Impact","value":""},{"id":150,"name":"Time of Event (Mountain Time)","value":"11:00:01"},{"id":151,"name":"Denver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492</v>
      </c>
      <c r="B175" s="7">
        <v>4027</v>
      </c>
      <c r="C175" s="22" t="s">
        <v>99</v>
      </c>
      <c r="D175" s="22" t="s">
        <v>749</v>
      </c>
      <c r="E175" s="13">
        <v>42667.470937500002</v>
      </c>
      <c r="F175" s="13">
        <v>42667.473379629628</v>
      </c>
      <c r="G175" s="7">
        <v>1</v>
      </c>
      <c r="H175" s="13" t="s">
        <v>743</v>
      </c>
      <c r="I175" s="13">
        <v>42667.484189814815</v>
      </c>
      <c r="J175" s="7">
        <v>1</v>
      </c>
      <c r="K175" s="112" t="str">
        <f t="shared" si="51"/>
        <v>4027/4028</v>
      </c>
      <c r="L175" s="22" t="str">
        <f>VLOOKUP(A175,'Trips&amp;Operators'!$C$1:$E$10000,3,FALSE)</f>
        <v>ROCHA</v>
      </c>
      <c r="M175" s="6">
        <f t="shared" si="52"/>
        <v>1.0810185187438037E-2</v>
      </c>
      <c r="N175" s="7">
        <f t="shared" si="70"/>
        <v>15.566666669910774</v>
      </c>
      <c r="O175" s="7"/>
      <c r="P175" s="7"/>
      <c r="Q175" s="23"/>
      <c r="R175" s="23"/>
      <c r="S175" s="35">
        <f t="shared" si="71"/>
        <v>1</v>
      </c>
      <c r="T175" s="50" t="str">
        <f t="shared" si="55"/>
        <v>NorthBound</v>
      </c>
      <c r="U175" s="1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10:18:09-0600',mode:absolute,to:'2016-10-24 12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5" s="52" t="str">
        <f t="shared" si="66"/>
        <v>N</v>
      </c>
      <c r="X175" s="171">
        <f t="shared" si="69"/>
        <v>1</v>
      </c>
      <c r="Y175" s="67">
        <f t="shared" si="68"/>
        <v>9.9699999999999997E-2</v>
      </c>
      <c r="Z175" s="67">
        <f t="shared" si="72"/>
        <v>5.8905000000000003</v>
      </c>
      <c r="AA175" s="67">
        <f t="shared" si="58"/>
        <v>5.7907999999999999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59"/>
        <v>0817-24</v>
      </c>
      <c r="AE175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75" s="88" t="str">
        <f t="shared" si="61"/>
        <v>"C:\Program Files (x86)\AstroGrep\AstroGrep.exe" /spath="%USERPROFILE%\AppData\Local\Temp\OnboardLogs" /stypes="app*4027*20161024*" /stext=" 17:.+((SYSTEM_STATE.+slice.+state.+changed )|(ment ac)|(system.+state.+changed )|(\[timeout)|(PRM\|1\|D)|(kpr)|(kdp)|(\|lc)|(penalty))" /e /r /s</v>
      </c>
      <c r="AG175" s="1" t="str">
        <f t="shared" si="62"/>
        <v>NW</v>
      </c>
      <c r="AH175" s="92" t="str">
        <f t="shared" si="63"/>
        <v>"%USERPROFILE%\Documents\GitHub\eaglep3\Utilities\RefineRTDCRunTimes.py" --tripid 817-24 --locoid 4027 --swversion DE.1.0.7.0 --startMP 204:997 --initTime 2016-10-24T11:18:09 --startdatetime 2016-10-24T11:21:40 --delay 1 --endMP 300:58905 --enddatetime 2016-10-24T11:37:14 --enforcementcount 1 &gt;&gt;C:\Users\stu\Documents\GitHub\eaglep3-reporting\EC\2016-10-24-refined-times.txt</v>
      </c>
      <c r="AI175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{"issue":{"subject":"","project_id":79,"tracker_id":40,"status_id":1,"priority_id":2,"assigned_to_id":23,"start_date":"2016-10-24","description":"","custom_fields":[{"id":1,"name":"Subdivision","value":"NW"},{"id":4,"name":"Milepost","value":"5.8905"},{"id":17,"name":"Train ID","value":"817-24"},{"id":16,"name":"Locomotive ID","value":"4027"},{"id":130,"name":"Impact","value":""},{"id":150,"name":"Time of Event (Mountain Time)","value":"11:37:14"},{"id":151,"name":"Denver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498</v>
      </c>
      <c r="B176" s="7">
        <v>4028</v>
      </c>
      <c r="C176" s="22" t="s">
        <v>99</v>
      </c>
      <c r="D176" s="22" t="s">
        <v>740</v>
      </c>
      <c r="E176" s="13">
        <v>42667.485000000001</v>
      </c>
      <c r="F176" s="13">
        <v>42667.486932870372</v>
      </c>
      <c r="G176" s="7">
        <v>1</v>
      </c>
      <c r="H176" s="13" t="s">
        <v>750</v>
      </c>
      <c r="I176" s="13">
        <v>42667.497141203705</v>
      </c>
      <c r="J176" s="7">
        <v>1</v>
      </c>
      <c r="K176" s="112" t="str">
        <f t="shared" si="51"/>
        <v>4027/4028</v>
      </c>
      <c r="L176" s="22" t="str">
        <f>VLOOKUP(A176,'Trips&amp;Operators'!$C$1:$E$10000,3,FALSE)</f>
        <v>ROCHA</v>
      </c>
      <c r="M176" s="6">
        <f t="shared" si="52"/>
        <v>1.0208333333139308E-2</v>
      </c>
      <c r="N176" s="7">
        <f t="shared" si="70"/>
        <v>14.699999999720603</v>
      </c>
      <c r="O176" s="7"/>
      <c r="P176" s="7"/>
      <c r="Q176" s="23"/>
      <c r="R176" s="23"/>
      <c r="S176" s="35">
        <f t="shared" si="71"/>
        <v>1</v>
      </c>
      <c r="T176" s="50" t="str">
        <f t="shared" si="55"/>
        <v>Southbound</v>
      </c>
      <c r="U176" s="1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10:38:24-0600',mode:absolute,to:'2016-10-24 12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6" s="52" t="str">
        <f t="shared" si="66"/>
        <v>N</v>
      </c>
      <c r="X176" s="171">
        <f t="shared" si="69"/>
        <v>1</v>
      </c>
      <c r="Y176" s="67">
        <f t="shared" si="68"/>
        <v>5.8577000000000004</v>
      </c>
      <c r="Z176" s="67">
        <f t="shared" si="72"/>
        <v>6.7799999999999999E-2</v>
      </c>
      <c r="AA176" s="67">
        <f t="shared" si="58"/>
        <v>5.7899000000000003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59"/>
        <v>0818-24</v>
      </c>
      <c r="AE176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76" s="88" t="str">
        <f t="shared" si="61"/>
        <v>"C:\Program Files (x86)\AstroGrep\AstroGrep.exe" /spath="%USERPROFILE%\AppData\Local\Temp\OnboardLogs" /stypes="app*4028*20161024*" /stext=" 17:.+((SYSTEM_STATE.+slice.+state.+changed )|(ment ac)|(system.+state.+changed )|(\[timeout)|(PRM\|1\|D)|(kpr)|(kdp)|(\|lc)|(penalty))" /e /r /s</v>
      </c>
      <c r="AG176" s="1" t="str">
        <f t="shared" si="62"/>
        <v>NW</v>
      </c>
      <c r="AH176" s="92" t="str">
        <f t="shared" si="63"/>
        <v>"%USERPROFILE%\Documents\GitHub\eaglep3\Utilities\RefineRTDCRunTimes.py" --tripid 818-24 --locoid 4028 --swversion DE.1.0.7.0 --startMP 300:58577 --initTime 2016-10-24T11:38:24 --startdatetime 2016-10-24T11:41:11 --delay 1 --endMP 204:678 --enddatetime 2016-10-24T11:55:53 --enforcementcount 1 &gt;&gt;C:\Users\stu\Documents\GitHub\eaglep3-reporting\EC\2016-10-24-refined-times.txt</v>
      </c>
      <c r="AI176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{"issue":{"subject":"","project_id":79,"tracker_id":40,"status_id":1,"priority_id":2,"assigned_to_id":23,"start_date":"2016-10-24","description":"","custom_fields":[{"id":1,"name":"Subdivision","value":"NW"},{"id":4,"name":"Milepost","value":"0.0678"},{"id":17,"name":"Train ID","value":"818-24"},{"id":16,"name":"Locomotive ID","value":"4028"},{"id":130,"name":"Impact","value":""},{"id":150,"name":"Time of Event (Mountain Time)","value":"11:55:53"},{"id":151,"name":"Denver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506</v>
      </c>
      <c r="B177" s="7">
        <v>4027</v>
      </c>
      <c r="C177" s="22" t="s">
        <v>99</v>
      </c>
      <c r="D177" s="22" t="s">
        <v>751</v>
      </c>
      <c r="E177" s="13">
        <v>42667.50986111111</v>
      </c>
      <c r="F177" s="13">
        <v>42667.514976851853</v>
      </c>
      <c r="G177" s="7">
        <v>1</v>
      </c>
      <c r="H177" s="13" t="s">
        <v>739</v>
      </c>
      <c r="I177" s="13">
        <v>42667.524953703702</v>
      </c>
      <c r="J177" s="7">
        <v>1</v>
      </c>
      <c r="K177" s="112" t="str">
        <f t="shared" si="51"/>
        <v>4027/4028</v>
      </c>
      <c r="L177" s="22" t="str">
        <f>VLOOKUP(A177,'Trips&amp;Operators'!$C$1:$E$10000,3,FALSE)</f>
        <v>ROCHA</v>
      </c>
      <c r="M177" s="6">
        <f t="shared" si="52"/>
        <v>9.9768518484779634E-3</v>
      </c>
      <c r="N177" s="7">
        <f t="shared" si="70"/>
        <v>14.366666661808267</v>
      </c>
      <c r="O177" s="7"/>
      <c r="P177" s="7"/>
      <c r="Q177" s="23"/>
      <c r="R177" s="23"/>
      <c r="S177" s="35">
        <f t="shared" si="71"/>
        <v>1</v>
      </c>
      <c r="T177" s="50" t="str">
        <f t="shared" si="55"/>
        <v>NorthBound</v>
      </c>
      <c r="U177" s="1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11:14:12-0600',mode:absolute,to:'2016-10-24 13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7" s="52" t="str">
        <f t="shared" si="66"/>
        <v>N</v>
      </c>
      <c r="X177" s="171">
        <f t="shared" ref="X177:X199" si="73">VALUE(LEFT(AD177,4))-VALUE(LEFT(AD176,4))</f>
        <v>1</v>
      </c>
      <c r="Y177" s="67">
        <f t="shared" si="68"/>
        <v>9.7199999999999995E-2</v>
      </c>
      <c r="Z177" s="67">
        <f t="shared" si="72"/>
        <v>5.8909000000000002</v>
      </c>
      <c r="AA177" s="67">
        <f t="shared" si="58"/>
        <v>5.7937000000000003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59"/>
        <v>0819-24</v>
      </c>
      <c r="AE177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77" s="88" t="str">
        <f t="shared" si="61"/>
        <v>"C:\Program Files (x86)\AstroGrep\AstroGrep.exe" /spath="%USERPROFILE%\AppData\Local\Temp\OnboardLogs" /stypes="app*4027*20161024*" /stext=" 18:.+((SYSTEM_STATE.+slice.+state.+changed )|(ment ac)|(system.+state.+changed )|(\[timeout)|(PRM\|1\|D)|(kpr)|(kdp)|(\|lc)|(penalty))" /e /r /s</v>
      </c>
      <c r="AG177" s="1" t="str">
        <f t="shared" si="62"/>
        <v>NW</v>
      </c>
      <c r="AH177" s="92" t="str">
        <f t="shared" si="63"/>
        <v>"%USERPROFILE%\Documents\GitHub\eaglep3\Utilities\RefineRTDCRunTimes.py" --tripid 819-24 --locoid 4027 --swversion DE.1.0.7.0 --startMP 204:972 --initTime 2016-10-24T12:14:12 --startdatetime 2016-10-24T12:21:34 --delay 1 --endMP 300:58909 --enddatetime 2016-10-24T12:35:56 --enforcementcount 1 &gt;&gt;C:\Users\stu\Documents\GitHub\eaglep3-reporting\EC\2016-10-24-refined-times.txt</v>
      </c>
      <c r="AI177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{"issue":{"subject":"","project_id":79,"tracker_id":40,"status_id":1,"priority_id":2,"assigned_to_id":23,"start_date":"2016-10-24","description":"","custom_fields":[{"id":1,"name":"Subdivision","value":"NW"},{"id":4,"name":"Milepost","value":"5.8909"},{"id":17,"name":"Train ID","value":"819-24"},{"id":16,"name":"Locomotive ID","value":"4027"},{"id":130,"name":"Impact","value":""},{"id":150,"name":"Time of Event (Mountain Time)","value":"12:35:56"},{"id":151,"name":"Denver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416</v>
      </c>
      <c r="B178" s="7">
        <v>4028</v>
      </c>
      <c r="C178" s="22" t="s">
        <v>99</v>
      </c>
      <c r="D178" s="22" t="s">
        <v>752</v>
      </c>
      <c r="E178" s="13">
        <v>42667.526284722226</v>
      </c>
      <c r="F178" s="13">
        <v>42667.52752314815</v>
      </c>
      <c r="G178" s="7">
        <v>1</v>
      </c>
      <c r="H178" s="13" t="s">
        <v>753</v>
      </c>
      <c r="I178" s="13">
        <v>42667.538842592592</v>
      </c>
      <c r="J178" s="7">
        <v>1</v>
      </c>
      <c r="K178" s="112" t="str">
        <f t="shared" si="51"/>
        <v>4027/4028</v>
      </c>
      <c r="L178" s="22" t="str">
        <f>VLOOKUP(A178,'Trips&amp;Operators'!$C$1:$E$10000,3,FALSE)</f>
        <v>ROCHA</v>
      </c>
      <c r="M178" s="6">
        <f t="shared" si="52"/>
        <v>1.1319444442051463E-2</v>
      </c>
      <c r="N178" s="7">
        <f t="shared" si="70"/>
        <v>16.299999996554106</v>
      </c>
      <c r="O178" s="7"/>
      <c r="P178" s="7"/>
      <c r="Q178" s="23"/>
      <c r="R178" s="23"/>
      <c r="S178" s="35">
        <f t="shared" si="71"/>
        <v>1</v>
      </c>
      <c r="T178" s="50" t="str">
        <f t="shared" si="55"/>
        <v>Southbound</v>
      </c>
      <c r="U178" s="1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11:37:51-0600',mode:absolute,to:'2016-10-24 13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8" s="52" t="str">
        <f t="shared" si="66"/>
        <v>N</v>
      </c>
      <c r="X178" s="171">
        <f t="shared" si="73"/>
        <v>1</v>
      </c>
      <c r="Y178" s="67">
        <f t="shared" si="68"/>
        <v>5.8592000000000004</v>
      </c>
      <c r="Z178" s="67">
        <f t="shared" si="72"/>
        <v>6.6600000000000006E-2</v>
      </c>
      <c r="AA178" s="67">
        <f t="shared" si="58"/>
        <v>5.7926000000000002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59"/>
        <v>0820-24</v>
      </c>
      <c r="AE178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78" s="88" t="str">
        <f t="shared" si="61"/>
        <v>"C:\Program Files (x86)\AstroGrep\AstroGrep.exe" /spath="%USERPROFILE%\AppData\Local\Temp\OnboardLogs" /stypes="app*4028*20161024*" /stext=" 18:.+((SYSTEM_STATE.+slice.+state.+changed )|(ment ac)|(system.+state.+changed )|(\[timeout)|(PRM\|1\|D)|(kpr)|(kdp)|(\|lc)|(penalty))" /e /r /s</v>
      </c>
      <c r="AG178" s="1" t="str">
        <f t="shared" si="62"/>
        <v>NW</v>
      </c>
      <c r="AH178" s="92" t="str">
        <f t="shared" si="63"/>
        <v>"%USERPROFILE%\Documents\GitHub\eaglep3\Utilities\RefineRTDCRunTimes.py" --tripid 820-24 --locoid 4028 --swversion DE.1.0.7.0 --startMP 300:58592 --initTime 2016-10-24T12:37:51 --startdatetime 2016-10-24T12:39:38 --delay 1 --endMP 204:666 --enddatetime 2016-10-24T12:55:56 --enforcementcount 1 &gt;&gt;C:\Users\stu\Documents\GitHub\eaglep3-reporting\EC\2016-10-24-refined-times.txt</v>
      </c>
      <c r="AI178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{"issue":{"subject":"","project_id":79,"tracker_id":40,"status_id":1,"priority_id":2,"assigned_to_id":23,"start_date":"2016-10-24","description":"","custom_fields":[{"id":1,"name":"Subdivision","value":"NW"},{"id":4,"name":"Milepost","value":"0.0666"},{"id":17,"name":"Train ID","value":"820-24"},{"id":16,"name":"Locomotive ID","value":"4028"},{"id":130,"name":"Impact","value":""},{"id":150,"name":"Time of Event (Mountain Time)","value":"12:55:56"},{"id":151,"name":"Denver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515</v>
      </c>
      <c r="B179" s="7">
        <v>4027</v>
      </c>
      <c r="C179" s="22" t="s">
        <v>99</v>
      </c>
      <c r="D179" s="22" t="s">
        <v>754</v>
      </c>
      <c r="E179" s="13">
        <v>42667.54515046296</v>
      </c>
      <c r="F179" s="13">
        <v>42667.556481481479</v>
      </c>
      <c r="G179" s="7">
        <v>5</v>
      </c>
      <c r="H179" s="13" t="s">
        <v>755</v>
      </c>
      <c r="I179" s="13">
        <v>42667.565937500003</v>
      </c>
      <c r="J179" s="7">
        <v>1</v>
      </c>
      <c r="K179" s="112" t="str">
        <f t="shared" si="51"/>
        <v>4027/4028</v>
      </c>
      <c r="L179" s="22" t="str">
        <f>VLOOKUP(A179,'Trips&amp;Operators'!$C$1:$E$10000,3,FALSE)</f>
        <v>BRUDER</v>
      </c>
      <c r="M179" s="6">
        <f t="shared" si="52"/>
        <v>9.456018524360843E-3</v>
      </c>
      <c r="N179" s="7">
        <f t="shared" si="70"/>
        <v>13.616666675079614</v>
      </c>
      <c r="O179" s="7"/>
      <c r="P179" s="7"/>
      <c r="Q179" s="23"/>
      <c r="R179" s="23"/>
      <c r="S179" s="35">
        <f t="shared" si="71"/>
        <v>1</v>
      </c>
      <c r="T179" s="50" t="str">
        <f t="shared" si="55"/>
        <v>NorthBound</v>
      </c>
      <c r="U179" s="1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12:05:01-0600',mode:absolute,to:'2016-10-24 14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9" s="52" t="str">
        <f t="shared" si="66"/>
        <v>N</v>
      </c>
      <c r="X179" s="171">
        <f t="shared" si="73"/>
        <v>1</v>
      </c>
      <c r="Y179" s="67">
        <f t="shared" si="68"/>
        <v>9.4799999999999995E-2</v>
      </c>
      <c r="Z179" s="67">
        <f t="shared" si="72"/>
        <v>5.8948</v>
      </c>
      <c r="AA179" s="67">
        <f t="shared" si="58"/>
        <v>5.8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59"/>
        <v>0821-24</v>
      </c>
      <c r="AE179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79" s="88" t="str">
        <f t="shared" si="61"/>
        <v>"C:\Program Files (x86)\AstroGrep\AstroGrep.exe" /spath="%USERPROFILE%\AppData\Local\Temp\OnboardLogs" /stypes="app*4027*20161024*" /stext=" 19:.+((SYSTEM_STATE.+slice.+state.+changed )|(ment ac)|(system.+state.+changed )|(\[timeout)|(PRM\|1\|D)|(kpr)|(kdp)|(\|lc)|(penalty))" /e /r /s</v>
      </c>
      <c r="AG179" s="1" t="str">
        <f t="shared" si="62"/>
        <v>NW</v>
      </c>
      <c r="AH179" s="92" t="str">
        <f t="shared" si="63"/>
        <v>"%USERPROFILE%\Documents\GitHub\eaglep3\Utilities\RefineRTDCRunTimes.py" --tripid 821-24 --locoid 4027 --swversion DE.1.0.7.0 --startMP 204:948 --initTime 2016-10-24T13:05:01 --startdatetime 2016-10-24T13:21:20 --delay 5 --endMP 300:58948 --enddatetime 2016-10-24T13:34:57 --enforcementcount 1 &gt;&gt;C:\Users\stu\Documents\GitHub\eaglep3-reporting\EC\2016-10-24-refined-times.txt</v>
      </c>
      <c r="AI179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{"issue":{"subject":"","project_id":79,"tracker_id":40,"status_id":1,"priority_id":2,"assigned_to_id":23,"start_date":"2016-10-24","description":"","custom_fields":[{"id":1,"name":"Subdivision","value":"NW"},{"id":4,"name":"Milepost","value":"5.8948"},{"id":17,"name":"Train ID","value":"821-24"},{"id":16,"name":"Locomotive ID","value":"4027"},{"id":130,"name":"Impact","value":""},{"id":150,"name":"Time of Event (Mountain Time)","value":"13:34:57"},{"id":151,"name":"Denver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418</v>
      </c>
      <c r="B180" s="7">
        <v>4028</v>
      </c>
      <c r="C180" s="22" t="s">
        <v>99</v>
      </c>
      <c r="D180" s="22" t="s">
        <v>756</v>
      </c>
      <c r="E180" s="13">
        <v>42667.56763888889</v>
      </c>
      <c r="F180" s="13">
        <v>42667.569594907407</v>
      </c>
      <c r="G180" s="7">
        <v>1</v>
      </c>
      <c r="H180" s="13" t="s">
        <v>362</v>
      </c>
      <c r="I180" s="13">
        <v>42667.579930555556</v>
      </c>
      <c r="J180" s="7">
        <v>1</v>
      </c>
      <c r="K180" s="112" t="str">
        <f t="shared" si="51"/>
        <v>4027/4028</v>
      </c>
      <c r="L180" s="22" t="str">
        <f>VLOOKUP(A180,'Trips&amp;Operators'!$C$1:$E$10000,3,FALSE)</f>
        <v>BRUDER</v>
      </c>
      <c r="M180" s="6">
        <f t="shared" si="52"/>
        <v>1.0335648148611654E-2</v>
      </c>
      <c r="N180" s="7">
        <f t="shared" si="70"/>
        <v>14.883333334000781</v>
      </c>
      <c r="O180" s="7"/>
      <c r="P180" s="7"/>
      <c r="Q180" s="23"/>
      <c r="R180" s="23"/>
      <c r="S180" s="35">
        <f t="shared" si="71"/>
        <v>1</v>
      </c>
      <c r="T180" s="50" t="str">
        <f t="shared" si="55"/>
        <v>Southbound</v>
      </c>
      <c r="U180" s="1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12:37:24-0600',mode:absolute,to:'2016-10-24 14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0" s="52" t="str">
        <f t="shared" si="66"/>
        <v>N</v>
      </c>
      <c r="X180" s="171">
        <f t="shared" si="73"/>
        <v>1</v>
      </c>
      <c r="Y180" s="67">
        <f t="shared" si="68"/>
        <v>5.8644999999999996</v>
      </c>
      <c r="Z180" s="67">
        <f t="shared" si="72"/>
        <v>7.3099999999999998E-2</v>
      </c>
      <c r="AA180" s="67">
        <f t="shared" si="58"/>
        <v>5.7913999999999994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59"/>
        <v>0822-24</v>
      </c>
      <c r="AE180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80" s="88" t="str">
        <f t="shared" si="61"/>
        <v>"C:\Program Files (x86)\AstroGrep\AstroGrep.exe" /spath="%USERPROFILE%\AppData\Local\Temp\OnboardLogs" /stypes="app*4028*20161024*" /stext=" 19:.+((SYSTEM_STATE.+slice.+state.+changed )|(ment ac)|(system.+state.+changed )|(\[timeout)|(PRM\|1\|D)|(kpr)|(kdp)|(\|lc)|(penalty))" /e /r /s</v>
      </c>
      <c r="AG180" s="1" t="str">
        <f t="shared" si="62"/>
        <v>NW</v>
      </c>
      <c r="AH180" s="92" t="str">
        <f t="shared" si="63"/>
        <v>"%USERPROFILE%\Documents\GitHub\eaglep3\Utilities\RefineRTDCRunTimes.py" --tripid 822-24 --locoid 4028 --swversion DE.1.0.7.0 --startMP 300:58645 --initTime 2016-10-24T13:37:24 --startdatetime 2016-10-24T13:40:13 --delay 1 --endMP 204:731 --enddatetime 2016-10-24T13:55:06 --enforcementcount 1 &gt;&gt;C:\Users\stu\Documents\GitHub\eaglep3-reporting\EC\2016-10-24-refined-times.txt</v>
      </c>
      <c r="AI180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{"issue":{"subject":"","project_id":79,"tracker_id":40,"status_id":1,"priority_id":2,"assigned_to_id":23,"start_date":"2016-10-24","description":"","custom_fields":[{"id":1,"name":"Subdivision","value":"NW"},{"id":4,"name":"Milepost","value":"0.0731"},{"id":17,"name":"Train ID","value":"822-24"},{"id":16,"name":"Locomotive ID","value":"4028"},{"id":130,"name":"Impact","value":""},{"id":150,"name":"Time of Event (Mountain Time)","value":"13:55:06"},{"id":151,"name":"Denver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420</v>
      </c>
      <c r="B181" s="7">
        <v>4027</v>
      </c>
      <c r="C181" s="22" t="s">
        <v>99</v>
      </c>
      <c r="D181" s="22" t="s">
        <v>757</v>
      </c>
      <c r="E181" s="13">
        <v>42667.592627314814</v>
      </c>
      <c r="F181" s="13">
        <v>42667.598182870373</v>
      </c>
      <c r="G181" s="7">
        <v>1</v>
      </c>
      <c r="H181" s="13" t="s">
        <v>755</v>
      </c>
      <c r="I181" s="13">
        <v>42667.607476851852</v>
      </c>
      <c r="J181" s="7">
        <v>1</v>
      </c>
      <c r="K181" s="112" t="str">
        <f t="shared" si="51"/>
        <v>4027/4028</v>
      </c>
      <c r="L181" s="22" t="str">
        <f>VLOOKUP(A181,'Trips&amp;Operators'!$C$1:$E$10000,3,FALSE)</f>
        <v>BRUDER</v>
      </c>
      <c r="M181" s="6">
        <f t="shared" si="52"/>
        <v>9.29398147854954E-3</v>
      </c>
      <c r="N181" s="7">
        <f t="shared" si="70"/>
        <v>13.383333329111338</v>
      </c>
      <c r="O181" s="7"/>
      <c r="P181" s="7"/>
      <c r="Q181" s="23"/>
      <c r="R181" s="23"/>
      <c r="S181" s="35">
        <f t="shared" si="71"/>
        <v>1</v>
      </c>
      <c r="T181" s="50" t="str">
        <f t="shared" si="55"/>
        <v>NorthBound</v>
      </c>
      <c r="U181" s="1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13:13:23-0600',mode:absolute,to:'2016-10-24 15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1" s="52" t="str">
        <f t="shared" si="66"/>
        <v>N</v>
      </c>
      <c r="X181" s="171">
        <f t="shared" si="73"/>
        <v>1</v>
      </c>
      <c r="Y181" s="67">
        <f t="shared" si="68"/>
        <v>0.10349999999999999</v>
      </c>
      <c r="Z181" s="67">
        <f t="shared" si="72"/>
        <v>5.8948</v>
      </c>
      <c r="AA181" s="67">
        <f t="shared" si="58"/>
        <v>5.7912999999999997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59"/>
        <v>0823-24</v>
      </c>
      <c r="AE181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81" s="88" t="str">
        <f t="shared" si="61"/>
        <v>"C:\Program Files (x86)\AstroGrep\AstroGrep.exe" /spath="%USERPROFILE%\AppData\Local\Temp\OnboardLogs" /stypes="app*4027*20161024*" /stext=" 20:.+((SYSTEM_STATE.+slice.+state.+changed )|(ment ac)|(system.+state.+changed )|(\[timeout)|(PRM\|1\|D)|(kpr)|(kdp)|(\|lc)|(penalty))" /e /r /s</v>
      </c>
      <c r="AG181" s="1" t="str">
        <f t="shared" si="62"/>
        <v>NW</v>
      </c>
      <c r="AH181" s="92" t="str">
        <f t="shared" si="63"/>
        <v>"%USERPROFILE%\Documents\GitHub\eaglep3\Utilities\RefineRTDCRunTimes.py" --tripid 823-24 --locoid 4027 --swversion DE.1.0.7.0 --startMP 204:1035 --initTime 2016-10-24T14:13:23 --startdatetime 2016-10-24T14:21:23 --delay 1 --endMP 300:58948 --enddatetime 2016-10-24T14:34:46 --enforcementcount 1 &gt;&gt;C:\Users\stu\Documents\GitHub\eaglep3-reporting\EC\2016-10-24-refined-times.txt</v>
      </c>
      <c r="AI181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{"issue":{"subject":"","project_id":79,"tracker_id":40,"status_id":1,"priority_id":2,"assigned_to_id":23,"start_date":"2016-10-24","description":"","custom_fields":[{"id":1,"name":"Subdivision","value":"NW"},{"id":4,"name":"Milepost","value":"5.8948"},{"id":17,"name":"Train ID","value":"823-24"},{"id":16,"name":"Locomotive ID","value":"4027"},{"id":130,"name":"Impact","value":""},{"id":150,"name":"Time of Event (Mountain Time)","value":"14:34:46"},{"id":151,"name":"Denver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528</v>
      </c>
      <c r="B182" s="7">
        <v>4028</v>
      </c>
      <c r="C182" s="22" t="s">
        <v>99</v>
      </c>
      <c r="D182" s="22" t="s">
        <v>758</v>
      </c>
      <c r="E182" s="13">
        <v>42667.608854166669</v>
      </c>
      <c r="F182" s="13">
        <v>42667.610231481478</v>
      </c>
      <c r="G182" s="7">
        <v>1</v>
      </c>
      <c r="H182" s="13" t="s">
        <v>759</v>
      </c>
      <c r="I182" s="13">
        <v>42667.621076388888</v>
      </c>
      <c r="J182" s="7">
        <v>1</v>
      </c>
      <c r="K182" s="112" t="str">
        <f t="shared" si="51"/>
        <v>4027/4028</v>
      </c>
      <c r="L182" s="22" t="str">
        <f>VLOOKUP(A182,'Trips&amp;Operators'!$C$1:$E$10000,3,FALSE)</f>
        <v>BRUDER</v>
      </c>
      <c r="M182" s="6">
        <f t="shared" si="52"/>
        <v>1.0844907410501037E-2</v>
      </c>
      <c r="N182" s="7">
        <f t="shared" si="70"/>
        <v>15.616666671121493</v>
      </c>
      <c r="O182" s="7"/>
      <c r="P182" s="7"/>
      <c r="Q182" s="23"/>
      <c r="R182" s="23"/>
      <c r="S182" s="35">
        <f t="shared" si="71"/>
        <v>1</v>
      </c>
      <c r="T182" s="50" t="str">
        <f t="shared" si="55"/>
        <v>Southbound</v>
      </c>
      <c r="U182" s="1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13:36:45-0600',mode:absolute,to:'2016-10-24 15:54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2" s="52" t="str">
        <f t="shared" si="66"/>
        <v>N</v>
      </c>
      <c r="X182" s="171">
        <f t="shared" si="73"/>
        <v>1</v>
      </c>
      <c r="Y182" s="67">
        <f t="shared" si="68"/>
        <v>5.8632</v>
      </c>
      <c r="Z182" s="67">
        <f t="shared" si="72"/>
        <v>6.9900000000000004E-2</v>
      </c>
      <c r="AA182" s="67">
        <f t="shared" si="58"/>
        <v>5.7933000000000003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59"/>
        <v>0824-24</v>
      </c>
      <c r="AE182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82" s="88" t="str">
        <f t="shared" si="61"/>
        <v>"C:\Program Files (x86)\AstroGrep\AstroGrep.exe" /spath="%USERPROFILE%\AppData\Local\Temp\OnboardLogs" /stypes="app*4028*20161024*" /stext=" 20:.+((SYSTEM_STATE.+slice.+state.+changed )|(ment ac)|(system.+state.+changed )|(\[timeout)|(PRM\|1\|D)|(kpr)|(kdp)|(\|lc)|(penalty))" /e /r /s</v>
      </c>
      <c r="AG182" s="1" t="str">
        <f t="shared" si="62"/>
        <v>NW</v>
      </c>
      <c r="AH182" s="92" t="str">
        <f t="shared" si="63"/>
        <v>"%USERPROFILE%\Documents\GitHub\eaglep3\Utilities\RefineRTDCRunTimes.py" --tripid 824-24 --locoid 4028 --swversion DE.1.0.7.0 --startMP 300:58632 --initTime 2016-10-24T14:36:45 --startdatetime 2016-10-24T14:38:44 --delay 1 --endMP 204:699 --enddatetime 2016-10-24T14:54:21 --enforcementcount 1 &gt;&gt;C:\Users\stu\Documents\GitHub\eaglep3-reporting\EC\2016-10-24-refined-times.txt</v>
      </c>
      <c r="AI182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{"issue":{"subject":"","project_id":79,"tracker_id":40,"status_id":1,"priority_id":2,"assigned_to_id":23,"start_date":"2016-10-24","description":"","custom_fields":[{"id":1,"name":"Subdivision","value":"NW"},{"id":4,"name":"Milepost","value":"0.0699"},{"id":17,"name":"Train ID","value":"824-24"},{"id":16,"name":"Locomotive ID","value":"4028"},{"id":130,"name":"Impact","value":""},{"id":150,"name":"Time of Event (Mountain Time)","value":"14:54:21"},{"id":151,"name":"Denver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532</v>
      </c>
      <c r="B183" s="7">
        <v>4027</v>
      </c>
      <c r="C183" s="22" t="s">
        <v>99</v>
      </c>
      <c r="D183" s="22" t="s">
        <v>760</v>
      </c>
      <c r="E183" s="13">
        <v>42667.628935185188</v>
      </c>
      <c r="F183" s="13">
        <v>42667.639803240738</v>
      </c>
      <c r="G183" s="7">
        <v>2</v>
      </c>
      <c r="H183" s="13" t="s">
        <v>761</v>
      </c>
      <c r="I183" s="13">
        <v>42667.649537037039</v>
      </c>
      <c r="J183" s="7">
        <v>1</v>
      </c>
      <c r="K183" s="112" t="str">
        <f t="shared" si="51"/>
        <v>4027/4028</v>
      </c>
      <c r="L183" s="22" t="str">
        <f>VLOOKUP(A183,'Trips&amp;Operators'!$C$1:$E$10000,3,FALSE)</f>
        <v>BRUDER</v>
      </c>
      <c r="M183" s="6">
        <f t="shared" si="52"/>
        <v>9.7337963015888818E-3</v>
      </c>
      <c r="N183" s="7">
        <f t="shared" si="70"/>
        <v>14.01666667428799</v>
      </c>
      <c r="O183" s="7"/>
      <c r="P183" s="7"/>
      <c r="Q183" s="23"/>
      <c r="R183" s="23"/>
      <c r="S183" s="35">
        <f t="shared" si="71"/>
        <v>1</v>
      </c>
      <c r="T183" s="50" t="str">
        <f t="shared" si="55"/>
        <v>NorthBound</v>
      </c>
      <c r="U183" s="1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14:05:40-0600',mode:absolute,to:'2016-10-24 16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3" s="52" t="str">
        <f t="shared" si="66"/>
        <v>N</v>
      </c>
      <c r="X183" s="171">
        <f t="shared" si="73"/>
        <v>1</v>
      </c>
      <c r="Y183" s="67">
        <f t="shared" si="68"/>
        <v>9.7600000000000006E-2</v>
      </c>
      <c r="Z183" s="67">
        <f t="shared" si="72"/>
        <v>5.8968999999999996</v>
      </c>
      <c r="AA183" s="67">
        <f t="shared" si="58"/>
        <v>5.7992999999999997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59"/>
        <v>0825-24</v>
      </c>
      <c r="AE183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83" s="88" t="str">
        <f t="shared" si="61"/>
        <v>"C:\Program Files (x86)\AstroGrep\AstroGrep.exe" /spath="%USERPROFILE%\AppData\Local\Temp\OnboardLogs" /stypes="app*4027*20161024*" /stext=" 21:.+((SYSTEM_STATE.+slice.+state.+changed )|(ment ac)|(system.+state.+changed )|(\[timeout)|(PRM\|1\|D)|(kpr)|(kdp)|(\|lc)|(penalty))" /e /r /s</v>
      </c>
      <c r="AG183" s="1" t="str">
        <f t="shared" si="62"/>
        <v>NW</v>
      </c>
      <c r="AH183" s="92" t="str">
        <f t="shared" si="63"/>
        <v>"%USERPROFILE%\Documents\GitHub\eaglep3\Utilities\RefineRTDCRunTimes.py" --tripid 825-24 --locoid 4027 --swversion DE.1.0.7.0 --startMP 204:976 --initTime 2016-10-24T15:05:40 --startdatetime 2016-10-24T15:21:19 --delay 2 --endMP 300:58969 --enddatetime 2016-10-24T15:35:20 --enforcementcount 1 &gt;&gt;C:\Users\stu\Documents\GitHub\eaglep3-reporting\EC\2016-10-24-refined-times.txt</v>
      </c>
      <c r="AI183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{"issue":{"subject":"","project_id":79,"tracker_id":40,"status_id":1,"priority_id":2,"assigned_to_id":23,"start_date":"2016-10-24","description":"","custom_fields":[{"id":1,"name":"Subdivision","value":"NW"},{"id":4,"name":"Milepost","value":"5.8969"},{"id":17,"name":"Train ID","value":"825-24"},{"id":16,"name":"Locomotive ID","value":"4027"},{"id":130,"name":"Impact","value":""},{"id":150,"name":"Time of Event (Mountain Time)","value":"15:35:20"},{"id":151,"name":"Denver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537</v>
      </c>
      <c r="B184" s="7">
        <v>4028</v>
      </c>
      <c r="C184" s="22" t="s">
        <v>99</v>
      </c>
      <c r="D184" s="22" t="s">
        <v>762</v>
      </c>
      <c r="E184" s="13">
        <v>42667.650821759256</v>
      </c>
      <c r="F184" s="13">
        <v>42667.652569444443</v>
      </c>
      <c r="G184" s="7">
        <v>1</v>
      </c>
      <c r="H184" s="13" t="s">
        <v>272</v>
      </c>
      <c r="I184" s="13">
        <v>42667.6640625</v>
      </c>
      <c r="J184" s="7">
        <v>1</v>
      </c>
      <c r="K184" s="112" t="str">
        <f t="shared" si="51"/>
        <v>4027/4028</v>
      </c>
      <c r="L184" s="22" t="str">
        <f>VLOOKUP(A184,'Trips&amp;Operators'!$C$1:$E$10000,3,FALSE)</f>
        <v>BRUDER</v>
      </c>
      <c r="M184" s="6">
        <f t="shared" si="52"/>
        <v>1.1493055557366461E-2</v>
      </c>
      <c r="N184" s="7">
        <f t="shared" si="70"/>
        <v>16.550000002607703</v>
      </c>
      <c r="O184" s="7"/>
      <c r="P184" s="7"/>
      <c r="Q184" s="23"/>
      <c r="R184" s="23"/>
      <c r="S184" s="35">
        <f t="shared" si="71"/>
        <v>1</v>
      </c>
      <c r="T184" s="50" t="str">
        <f t="shared" si="55"/>
        <v>Southbound</v>
      </c>
      <c r="U184" s="1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14:37:11-0600',mode:absolute,to:'2016-10-24 16:56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4" s="52" t="str">
        <f t="shared" si="66"/>
        <v>N</v>
      </c>
      <c r="X184" s="171">
        <f t="shared" si="73"/>
        <v>1</v>
      </c>
      <c r="Y184" s="67">
        <f t="shared" si="68"/>
        <v>5.8654999999999999</v>
      </c>
      <c r="Z184" s="67">
        <f t="shared" si="72"/>
        <v>1.38E-2</v>
      </c>
      <c r="AA184" s="67">
        <f t="shared" si="58"/>
        <v>5.8517000000000001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59"/>
        <v>0826-24</v>
      </c>
      <c r="AE184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84" s="88" t="str">
        <f t="shared" si="61"/>
        <v>"C:\Program Files (x86)\AstroGrep\AstroGrep.exe" /spath="%USERPROFILE%\AppData\Local\Temp\OnboardLogs" /stypes="app*4028*20161024*" /stext=" 21:.+((SYSTEM_STATE.+slice.+state.+changed )|(ment ac)|(system.+state.+changed )|(\[timeout)|(PRM\|1\|D)|(kpr)|(kdp)|(\|lc)|(penalty))" /e /r /s</v>
      </c>
      <c r="AG184" s="1" t="str">
        <f t="shared" si="62"/>
        <v>NW</v>
      </c>
      <c r="AH184" s="92" t="str">
        <f t="shared" si="63"/>
        <v>"%USERPROFILE%\Documents\GitHub\eaglep3\Utilities\RefineRTDCRunTimes.py" --tripid 826-24 --locoid 4028 --swversion DE.1.0.7.0 --startMP 300:58655 --initTime 2016-10-24T15:37:11 --startdatetime 2016-10-24T15:39:42 --delay 1 --endMP 204:138 --enddatetime 2016-10-24T15:56:15 --enforcementcount 1 &gt;&gt;C:\Users\stu\Documents\GitHub\eaglep3-reporting\EC\2016-10-24-refined-times.txt</v>
      </c>
      <c r="AI184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{"issue":{"subject":"","project_id":79,"tracker_id":40,"status_id":1,"priority_id":2,"assigned_to_id":23,"start_date":"2016-10-24","description":"","custom_fields":[{"id":1,"name":"Subdivision","value":"NW"},{"id":4,"name":"Milepost","value":"0.0138"},{"id":17,"name":"Train ID","value":"826-24"},{"id":16,"name":"Locomotive ID","value":"4028"},{"id":130,"name":"Impact","value":""},{"id":150,"name":"Time of Event (Mountain Time)","value":"15:56:15"},{"id":151,"name":"Denver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540</v>
      </c>
      <c r="B185" s="7">
        <v>4009</v>
      </c>
      <c r="C185" s="22" t="s">
        <v>99</v>
      </c>
      <c r="D185" s="22" t="s">
        <v>763</v>
      </c>
      <c r="E185" s="13">
        <v>42667.661990740744</v>
      </c>
      <c r="F185" s="13">
        <v>42667.663298611114</v>
      </c>
      <c r="G185" s="7">
        <v>1</v>
      </c>
      <c r="H185" s="13" t="s">
        <v>330</v>
      </c>
      <c r="I185" s="13">
        <v>42667.673101851855</v>
      </c>
      <c r="J185" s="7">
        <v>1</v>
      </c>
      <c r="K185" s="112" t="str">
        <f t="shared" si="51"/>
        <v>4009/4010</v>
      </c>
      <c r="L185" s="22" t="str">
        <f>VLOOKUP(A185,'Trips&amp;Operators'!$C$1:$E$10000,3,FALSE)</f>
        <v>DELGADO</v>
      </c>
      <c r="M185" s="6">
        <f t="shared" si="52"/>
        <v>9.8032407404389232E-3</v>
      </c>
      <c r="N185" s="7">
        <f t="shared" si="70"/>
        <v>14.116666666232049</v>
      </c>
      <c r="O185" s="7"/>
      <c r="P185" s="7"/>
      <c r="Q185" s="23"/>
      <c r="R185" s="23"/>
      <c r="S185" s="35">
        <f t="shared" si="71"/>
        <v>1</v>
      </c>
      <c r="T185" s="50" t="str">
        <f t="shared" si="55"/>
        <v>NorthBound</v>
      </c>
      <c r="U185" s="1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14:53:16-0600',mode:absolute,to:'2016-10-24 17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5" s="52" t="str">
        <f t="shared" si="66"/>
        <v>N</v>
      </c>
      <c r="X185" s="171">
        <f t="shared" si="73"/>
        <v>1</v>
      </c>
      <c r="Y185" s="67">
        <f t="shared" si="68"/>
        <v>0.1205</v>
      </c>
      <c r="Z185" s="67">
        <f t="shared" si="72"/>
        <v>5.8921999999999999</v>
      </c>
      <c r="AA185" s="67">
        <f t="shared" si="58"/>
        <v>5.7717000000000001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59"/>
        <v>0827-24</v>
      </c>
      <c r="AE185" s="91" t="str">
        <f t="shared" si="60"/>
        <v>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 &amp; 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</v>
      </c>
      <c r="AF185" s="88" t="str">
        <f t="shared" si="61"/>
        <v>"C:\Program Files (x86)\AstroGrep\AstroGrep.exe" /spath="%USERPROFILE%\AppData\Local\Temp\OnboardLogs" /stypes="app*4009*20161024*" /stext=" 22:.+((SYSTEM_STATE.+slice.+state.+changed )|(ment ac)|(system.+state.+changed )|(\[timeout)|(PRM\|1\|D)|(kpr)|(kdp)|(\|lc)|(penalty))" /e /r /s</v>
      </c>
      <c r="AG185" s="1" t="str">
        <f t="shared" si="62"/>
        <v>NW</v>
      </c>
      <c r="AH185" s="92" t="str">
        <f t="shared" si="63"/>
        <v>"%USERPROFILE%\Documents\GitHub\eaglep3\Utilities\RefineRTDCRunTimes.py" --tripid 827-24 --locoid 4009 --swversion DE.1.0.7.0 --startMP 204:1205 --initTime 2016-10-24T15:53:16 --startdatetime 2016-10-24T15:55:09 --delay 1 --endMP 300:58922 --enddatetime 2016-10-24T16:09:16 --enforcementcount 1 &gt;&gt;C:\Users\stu\Documents\GitHub\eaglep3-reporting\EC\2016-10-24-refined-times.txt</v>
      </c>
      <c r="AI185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{"issue":{"subject":"","project_id":79,"tracker_id":40,"status_id":1,"priority_id":2,"assigned_to_id":23,"start_date":"2016-10-24","description":"","custom_fields":[{"id":1,"name":"Subdivision","value":"NW"},{"id":4,"name":"Milepost","value":"5.8922"},{"id":17,"name":"Train ID","value":"827-24"},{"id":16,"name":"Locomotive ID","value":"4009"},{"id":130,"name":"Impact","value":""},{"id":150,"name":"Time of Event (Mountain Time)","value":"16:09:16"},{"id":151,"name":"Denver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543</v>
      </c>
      <c r="B186" s="7">
        <v>4010</v>
      </c>
      <c r="C186" s="22" t="s">
        <v>99</v>
      </c>
      <c r="D186" s="22" t="s">
        <v>764</v>
      </c>
      <c r="E186" s="13">
        <v>42667.673773148148</v>
      </c>
      <c r="F186" s="13">
        <v>42667.67491898148</v>
      </c>
      <c r="G186" s="7">
        <v>1</v>
      </c>
      <c r="H186" s="13" t="s">
        <v>765</v>
      </c>
      <c r="I186" s="13">
        <v>42667.685601851852</v>
      </c>
      <c r="J186" s="7">
        <v>1</v>
      </c>
      <c r="K186" s="112" t="str">
        <f t="shared" si="51"/>
        <v>4009/4010</v>
      </c>
      <c r="L186" s="22" t="str">
        <f>VLOOKUP(A186,'Trips&amp;Operators'!$C$1:$E$10000,3,FALSE)</f>
        <v>DELGADO</v>
      </c>
      <c r="M186" s="6">
        <f t="shared" si="52"/>
        <v>1.0682870371965691E-2</v>
      </c>
      <c r="N186" s="7">
        <f t="shared" si="70"/>
        <v>15.383333335630596</v>
      </c>
      <c r="O186" s="7"/>
      <c r="P186" s="7"/>
      <c r="Q186" s="23"/>
      <c r="R186" s="23"/>
      <c r="S186" s="35">
        <f t="shared" si="71"/>
        <v>1</v>
      </c>
      <c r="T186" s="50" t="str">
        <f t="shared" si="55"/>
        <v>Southbound</v>
      </c>
      <c r="U186" s="1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15:10:14-0600',mode:absolute,to:'2016-10-24 17:27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6" s="52" t="str">
        <f t="shared" si="66"/>
        <v>N</v>
      </c>
      <c r="X186" s="171">
        <f t="shared" si="73"/>
        <v>1</v>
      </c>
      <c r="Y186" s="67">
        <f t="shared" si="68"/>
        <v>5.86</v>
      </c>
      <c r="Z186" s="67">
        <f t="shared" si="72"/>
        <v>7.9399999999999998E-2</v>
      </c>
      <c r="AA186" s="67">
        <f t="shared" si="58"/>
        <v>5.7806000000000006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59"/>
        <v>0828-24</v>
      </c>
      <c r="AE186" s="91" t="str">
        <f t="shared" si="60"/>
        <v>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 &amp; 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</v>
      </c>
      <c r="AF186" s="88" t="str">
        <f t="shared" si="61"/>
        <v>"C:\Program Files (x86)\AstroGrep\AstroGrep.exe" /spath="%USERPROFILE%\AppData\Local\Temp\OnboardLogs" /stypes="app*4010*20161024*" /stext=" 22:.+((SYSTEM_STATE.+slice.+state.+changed )|(ment ac)|(system.+state.+changed )|(\[timeout)|(PRM\|1\|D)|(kpr)|(kdp)|(\|lc)|(penalty))" /e /r /s</v>
      </c>
      <c r="AG186" s="1" t="str">
        <f t="shared" si="62"/>
        <v>NW</v>
      </c>
      <c r="AH186" s="92" t="str">
        <f t="shared" si="63"/>
        <v>"%USERPROFILE%\Documents\GitHub\eaglep3\Utilities\RefineRTDCRunTimes.py" --tripid 828-24 --locoid 4010 --swversion DE.1.0.7.0 --startMP 300:58600 --initTime 2016-10-24T16:10:14 --startdatetime 2016-10-24T16:11:53 --delay 1 --endMP 204:794 --enddatetime 2016-10-24T16:27:16 --enforcementcount 1 &gt;&gt;C:\Users\stu\Documents\GitHub\eaglep3-reporting\EC\2016-10-24-refined-times.txt</v>
      </c>
      <c r="AI186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{"issue":{"subject":"","project_id":79,"tracker_id":40,"status_id":1,"priority_id":2,"assigned_to_id":23,"start_date":"2016-10-24","description":"","custom_fields":[{"id":1,"name":"Subdivision","value":"NW"},{"id":4,"name":"Milepost","value":"0.0794"},{"id":17,"name":"Train ID","value":"828-24"},{"id":16,"name":"Locomotive ID","value":"4010"},{"id":130,"name":"Impact","value":""},{"id":150,"name":"Time of Event (Mountain Time)","value":"16:27:16"},{"id":151,"name":"Denver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545</v>
      </c>
      <c r="B187" s="7">
        <v>4027</v>
      </c>
      <c r="C187" s="22" t="s">
        <v>99</v>
      </c>
      <c r="D187" s="22" t="s">
        <v>374</v>
      </c>
      <c r="E187" s="13">
        <v>42667.675208333334</v>
      </c>
      <c r="F187" s="13">
        <v>42667.681516203702</v>
      </c>
      <c r="G187" s="7">
        <v>1</v>
      </c>
      <c r="H187" s="13" t="s">
        <v>766</v>
      </c>
      <c r="I187" s="13">
        <v>42667.691203703704</v>
      </c>
      <c r="J187" s="7">
        <v>1</v>
      </c>
      <c r="K187" s="112" t="str">
        <f t="shared" si="51"/>
        <v>4027/4028</v>
      </c>
      <c r="L187" s="22" t="str">
        <f>VLOOKUP(A187,'Trips&amp;Operators'!$C$1:$E$10000,3,FALSE)</f>
        <v>BRUDER</v>
      </c>
      <c r="M187" s="6">
        <f t="shared" si="52"/>
        <v>9.6875000017462298E-3</v>
      </c>
      <c r="N187" s="7">
        <f t="shared" si="70"/>
        <v>13.950000002514571</v>
      </c>
      <c r="O187" s="7"/>
      <c r="P187" s="7"/>
      <c r="Q187" s="23"/>
      <c r="R187" s="23"/>
      <c r="S187" s="35">
        <f t="shared" si="71"/>
        <v>1</v>
      </c>
      <c r="T187" s="50" t="str">
        <f t="shared" si="55"/>
        <v>NorthBound</v>
      </c>
      <c r="U187" s="1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15:12:18-0600',mode:absolute,to:'2016-10-24 17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7" s="52" t="str">
        <f t="shared" si="66"/>
        <v>N</v>
      </c>
      <c r="X187" s="171">
        <f t="shared" si="73"/>
        <v>1</v>
      </c>
      <c r="Y187" s="67">
        <f t="shared" si="68"/>
        <v>4.2599999999999999E-2</v>
      </c>
      <c r="Z187" s="67">
        <f t="shared" si="72"/>
        <v>5.8960999999999997</v>
      </c>
      <c r="AA187" s="67">
        <f t="shared" si="58"/>
        <v>5.8534999999999995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59"/>
        <v>0829-24</v>
      </c>
      <c r="AE187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87" s="88" t="str">
        <f t="shared" si="61"/>
        <v>"C:\Program Files (x86)\AstroGrep\AstroGrep.exe" /spath="%USERPROFILE%\AppData\Local\Temp\OnboardLogs" /stypes="app*4027*20161024*" /stext=" 22:.+((SYSTEM_STATE.+slice.+state.+changed )|(ment ac)|(system.+state.+changed )|(\[timeout)|(PRM\|1\|D)|(kpr)|(kdp)|(\|lc)|(penalty))" /e /r /s</v>
      </c>
      <c r="AG187" s="1" t="str">
        <f t="shared" si="62"/>
        <v>NW</v>
      </c>
      <c r="AH187" s="92" t="str">
        <f t="shared" si="63"/>
        <v>"%USERPROFILE%\Documents\GitHub\eaglep3\Utilities\RefineRTDCRunTimes.py" --tripid 829-24 --locoid 4027 --swversion DE.1.0.7.0 --startMP 204:426 --initTime 2016-10-24T16:12:18 --startdatetime 2016-10-24T16:21:23 --delay 1 --endMP 300:58961 --enddatetime 2016-10-24T16:35:20 --enforcementcount 1 &gt;&gt;C:\Users\stu\Documents\GitHub\eaglep3-reporting\EC\2016-10-24-refined-times.txt</v>
      </c>
      <c r="AI187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{"issue":{"subject":"","project_id":79,"tracker_id":40,"status_id":1,"priority_id":2,"assigned_to_id":23,"start_date":"2016-10-24","description":"","custom_fields":[{"id":1,"name":"Subdivision","value":"NW"},{"id":4,"name":"Milepost","value":"5.8961"},{"id":17,"name":"Train ID","value":"829-24"},{"id":16,"name":"Locomotive ID","value":"4027"},{"id":130,"name":"Impact","value":""},{"id":150,"name":"Time of Event (Mountain Time)","value":"16:35:20"},{"id":151,"name":"Denver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548</v>
      </c>
      <c r="B188" s="7">
        <v>4028</v>
      </c>
      <c r="C188" s="22" t="s">
        <v>99</v>
      </c>
      <c r="D188" s="22" t="s">
        <v>756</v>
      </c>
      <c r="E188" s="13">
        <v>42667.692488425928</v>
      </c>
      <c r="F188" s="13">
        <v>42667.694305555553</v>
      </c>
      <c r="G188" s="7">
        <v>1</v>
      </c>
      <c r="H188" s="13" t="s">
        <v>767</v>
      </c>
      <c r="I188" s="13">
        <v>42667.705590277779</v>
      </c>
      <c r="J188" s="7">
        <v>1</v>
      </c>
      <c r="K188" s="112" t="str">
        <f t="shared" si="51"/>
        <v>4027/4028</v>
      </c>
      <c r="L188" s="22" t="str">
        <f>VLOOKUP(A188,'Trips&amp;Operators'!$C$1:$E$10000,3,FALSE)</f>
        <v>BRUDER</v>
      </c>
      <c r="M188" s="6">
        <f t="shared" si="52"/>
        <v>1.1284722226264421E-2</v>
      </c>
      <c r="N188" s="7">
        <f t="shared" si="70"/>
        <v>16.250000005820766</v>
      </c>
      <c r="O188" s="7"/>
      <c r="P188" s="7"/>
      <c r="Q188" s="23"/>
      <c r="R188" s="23"/>
      <c r="S188" s="35">
        <f t="shared" si="71"/>
        <v>1</v>
      </c>
      <c r="T188" s="50" t="str">
        <f t="shared" si="55"/>
        <v>Southbound</v>
      </c>
      <c r="U188" s="1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15:37:11-0600',mode:absolute,to:'2016-10-24 17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8" s="52" t="str">
        <f t="shared" si="66"/>
        <v>N</v>
      </c>
      <c r="X188" s="171">
        <f t="shared" si="73"/>
        <v>1</v>
      </c>
      <c r="Y188" s="67">
        <f t="shared" si="68"/>
        <v>5.8644999999999996</v>
      </c>
      <c r="Z188" s="67">
        <f t="shared" si="72"/>
        <v>6.7500000000000004E-2</v>
      </c>
      <c r="AA188" s="67">
        <f t="shared" si="58"/>
        <v>5.7969999999999997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59"/>
        <v>0830-24</v>
      </c>
      <c r="AE188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88" s="88" t="str">
        <f t="shared" si="61"/>
        <v>"C:\Program Files (x86)\AstroGrep\AstroGrep.exe" /spath="%USERPROFILE%\AppData\Local\Temp\OnboardLogs" /stypes="app*4028*20161024*" /stext=" 22:.+((SYSTEM_STATE.+slice.+state.+changed )|(ment ac)|(system.+state.+changed )|(\[timeout)|(PRM\|1\|D)|(kpr)|(kdp)|(\|lc)|(penalty))" /e /r /s</v>
      </c>
      <c r="AG188" s="1" t="str">
        <f t="shared" si="62"/>
        <v>NW</v>
      </c>
      <c r="AH188" s="92" t="str">
        <f t="shared" si="63"/>
        <v>"%USERPROFILE%\Documents\GitHub\eaglep3\Utilities\RefineRTDCRunTimes.py" --tripid 830-24 --locoid 4028 --swversion DE.1.0.7.0 --startMP 300:58645 --initTime 2016-10-24T16:37:11 --startdatetime 2016-10-24T16:39:48 --delay 1 --endMP 204:675 --enddatetime 2016-10-24T16:56:03 --enforcementcount 1 &gt;&gt;C:\Users\stu\Documents\GitHub\eaglep3-reporting\EC\2016-10-24-refined-times.txt</v>
      </c>
      <c r="AI188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{"issue":{"subject":"","project_id":79,"tracker_id":40,"status_id":1,"priority_id":2,"assigned_to_id":23,"start_date":"2016-10-24","description":"","custom_fields":[{"id":1,"name":"Subdivision","value":"NW"},{"id":4,"name":"Milepost","value":"0.0675"},{"id":17,"name":"Train ID","value":"830-24"},{"id":16,"name":"Locomotive ID","value":"4028"},{"id":130,"name":"Impact","value":""},{"id":150,"name":"Time of Event (Mountain Time)","value":"16:56:03"},{"id":151,"name":"Denver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550</v>
      </c>
      <c r="B189" s="7">
        <v>4009</v>
      </c>
      <c r="C189" s="22" t="s">
        <v>99</v>
      </c>
      <c r="D189" s="22" t="s">
        <v>768</v>
      </c>
      <c r="E189" s="13">
        <v>42667.696064814816</v>
      </c>
      <c r="F189" s="13">
        <v>42667.702314814815</v>
      </c>
      <c r="G189" s="7">
        <v>1</v>
      </c>
      <c r="H189" s="13" t="s">
        <v>747</v>
      </c>
      <c r="I189" s="13">
        <v>42667.712604166663</v>
      </c>
      <c r="J189" s="7">
        <v>1</v>
      </c>
      <c r="K189" s="112" t="str">
        <f t="shared" si="51"/>
        <v>4009/4010</v>
      </c>
      <c r="L189" s="22" t="str">
        <f>VLOOKUP(A189,'Trips&amp;Operators'!$C$1:$E$10000,3,FALSE)</f>
        <v>DELGADO</v>
      </c>
      <c r="M189" s="6">
        <f t="shared" si="52"/>
        <v>1.0289351848769002E-2</v>
      </c>
      <c r="N189" s="7">
        <f t="shared" si="70"/>
        <v>14.816666662227362</v>
      </c>
      <c r="O189" s="7"/>
      <c r="P189" s="7"/>
      <c r="Q189" s="23"/>
      <c r="R189" s="23"/>
      <c r="S189" s="35">
        <f t="shared" si="71"/>
        <v>1</v>
      </c>
      <c r="T189" s="50" t="str">
        <f t="shared" si="55"/>
        <v>NorthBound</v>
      </c>
      <c r="U189" s="1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15:42:20-0600',mode:absolute,to:'2016-10-24 18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9" s="52" t="str">
        <f t="shared" si="66"/>
        <v>N</v>
      </c>
      <c r="X189" s="171">
        <f t="shared" si="73"/>
        <v>1</v>
      </c>
      <c r="Y189" s="67">
        <f t="shared" si="68"/>
        <v>0.1079</v>
      </c>
      <c r="Z189" s="67">
        <f t="shared" si="72"/>
        <v>5.8916000000000004</v>
      </c>
      <c r="AA189" s="67">
        <f t="shared" si="58"/>
        <v>5.7837000000000005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59"/>
        <v>0831-24</v>
      </c>
      <c r="AE189" s="91" t="str">
        <f t="shared" si="60"/>
        <v>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 &amp; 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</v>
      </c>
      <c r="AF189" s="88" t="str">
        <f t="shared" si="61"/>
        <v>"C:\Program Files (x86)\AstroGrep\AstroGrep.exe" /spath="%USERPROFILE%\AppData\Local\Temp\OnboardLogs" /stypes="app*4009*20161024*" /stext=" 23:.+((SYSTEM_STATE.+slice.+state.+changed )|(ment ac)|(system.+state.+changed )|(\[timeout)|(PRM\|1\|D)|(kpr)|(kdp)|(\|lc)|(penalty))" /e /r /s</v>
      </c>
      <c r="AG189" s="1" t="str">
        <f t="shared" si="62"/>
        <v>NW</v>
      </c>
      <c r="AH189" s="92" t="str">
        <f t="shared" si="63"/>
        <v>"%USERPROFILE%\Documents\GitHub\eaglep3\Utilities\RefineRTDCRunTimes.py" --tripid 831-24 --locoid 4009 --swversion DE.1.0.7.0 --startMP 204:1079 --initTime 2016-10-24T16:42:20 --startdatetime 2016-10-24T16:51:20 --delay 1 --endMP 300:58916 --enddatetime 2016-10-24T17:06:09 --enforcementcount 1 &gt;&gt;C:\Users\stu\Documents\GitHub\eaglep3-reporting\EC\2016-10-24-refined-times.txt</v>
      </c>
      <c r="AI189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{"issue":{"subject":"","project_id":79,"tracker_id":40,"status_id":1,"priority_id":2,"assigned_to_id":23,"start_date":"2016-10-24","description":"","custom_fields":[{"id":1,"name":"Subdivision","value":"NW"},{"id":4,"name":"Milepost","value":"5.8916"},{"id":17,"name":"Train ID","value":"831-24"},{"id":16,"name":"Locomotive ID","value":"4009"},{"id":130,"name":"Impact","value":""},{"id":150,"name":"Time of Event (Mountain Time)","value":"17:06:09"},{"id":151,"name":"Denver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555</v>
      </c>
      <c r="B190" s="7">
        <v>4010</v>
      </c>
      <c r="C190" s="22" t="s">
        <v>99</v>
      </c>
      <c r="D190" s="22" t="s">
        <v>764</v>
      </c>
      <c r="E190" s="13">
        <v>42667.71365740741</v>
      </c>
      <c r="F190" s="13">
        <v>42667.715509259258</v>
      </c>
      <c r="G190" s="7">
        <v>1</v>
      </c>
      <c r="H190" s="13" t="s">
        <v>677</v>
      </c>
      <c r="I190" s="13">
        <v>42667.726793981485</v>
      </c>
      <c r="J190" s="7">
        <v>1</v>
      </c>
      <c r="K190" s="112" t="str">
        <f t="shared" si="51"/>
        <v>4009/4010</v>
      </c>
      <c r="L190" s="22" t="str">
        <f>VLOOKUP(A190,'Trips&amp;Operators'!$C$1:$E$10000,3,FALSE)</f>
        <v>DELGADO</v>
      </c>
      <c r="M190" s="6">
        <f t="shared" si="52"/>
        <v>1.1284722226264421E-2</v>
      </c>
      <c r="N190" s="7">
        <f t="shared" si="70"/>
        <v>16.250000005820766</v>
      </c>
      <c r="O190" s="7"/>
      <c r="P190" s="7"/>
      <c r="Q190" s="23"/>
      <c r="R190" s="23"/>
      <c r="S190" s="35">
        <f t="shared" si="71"/>
        <v>1</v>
      </c>
      <c r="T190" s="50" t="str">
        <f t="shared" si="55"/>
        <v>Southbound</v>
      </c>
      <c r="U190" s="1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16:07:40-0600',mode:absolute,to:'2016-10-24 18:26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0" s="52" t="str">
        <f t="shared" si="66"/>
        <v>N</v>
      </c>
      <c r="X190" s="171">
        <f t="shared" si="73"/>
        <v>1</v>
      </c>
      <c r="Y190" s="67">
        <f t="shared" si="68"/>
        <v>5.86</v>
      </c>
      <c r="Z190" s="67">
        <f t="shared" si="72"/>
        <v>7.6600000000000001E-2</v>
      </c>
      <c r="AA190" s="67">
        <f t="shared" si="58"/>
        <v>5.7834000000000003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59"/>
        <v>0832-24</v>
      </c>
      <c r="AE190" s="91" t="str">
        <f t="shared" si="60"/>
        <v>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 &amp; 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</v>
      </c>
      <c r="AF190" s="88" t="str">
        <f t="shared" si="61"/>
        <v>"C:\Program Files (x86)\AstroGrep\AstroGrep.exe" /spath="%USERPROFILE%\AppData\Local\Temp\OnboardLogs" /stypes="app*4010*20161024*" /stext=" 23:.+((SYSTEM_STATE.+slice.+state.+changed )|(ment ac)|(system.+state.+changed )|(\[timeout)|(PRM\|1\|D)|(kpr)|(kdp)|(\|lc)|(penalty))" /e /r /s</v>
      </c>
      <c r="AG190" s="1" t="str">
        <f t="shared" si="62"/>
        <v>NW</v>
      </c>
      <c r="AH190" s="92" t="str">
        <f t="shared" si="63"/>
        <v>"%USERPROFILE%\Documents\GitHub\eaglep3\Utilities\RefineRTDCRunTimes.py" --tripid 832-24 --locoid 4010 --swversion DE.1.0.7.0 --startMP 300:58600 --initTime 2016-10-24T17:07:40 --startdatetime 2016-10-24T17:10:20 --delay 1 --endMP 204:766 --enddatetime 2016-10-24T17:26:35 --enforcementcount 1 &gt;&gt;C:\Users\stu\Documents\GitHub\eaglep3-reporting\EC\2016-10-24-refined-times.txt</v>
      </c>
      <c r="AI190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{"issue":{"subject":"","project_id":79,"tracker_id":40,"status_id":1,"priority_id":2,"assigned_to_id":23,"start_date":"2016-10-24","description":"","custom_fields":[{"id":1,"name":"Subdivision","value":"NW"},{"id":4,"name":"Milepost","value":"0.0766"},{"id":17,"name":"Train ID","value":"832-24"},{"id":16,"name":"Locomotive ID","value":"4010"},{"id":130,"name":"Impact","value":""},{"id":150,"name":"Time of Event (Mountain Time)","value":"17:26:35"},{"id":151,"name":"Denver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554</v>
      </c>
      <c r="B191" s="7">
        <v>4027</v>
      </c>
      <c r="C191" s="22" t="s">
        <v>99</v>
      </c>
      <c r="D191" s="22" t="s">
        <v>769</v>
      </c>
      <c r="E191" s="13">
        <v>42667.707118055558</v>
      </c>
      <c r="F191" s="13">
        <v>42667.723275462966</v>
      </c>
      <c r="G191" s="7">
        <v>1</v>
      </c>
      <c r="H191" s="13" t="s">
        <v>367</v>
      </c>
      <c r="I191" s="13">
        <v>42667.732847222222</v>
      </c>
      <c r="J191" s="7">
        <v>1</v>
      </c>
      <c r="K191" s="112" t="str">
        <f t="shared" si="51"/>
        <v>4027/4028</v>
      </c>
      <c r="L191" s="22" t="str">
        <f>VLOOKUP(A191,'Trips&amp;Operators'!$C$1:$E$10000,3,FALSE)</f>
        <v>BRUDER</v>
      </c>
      <c r="M191" s="6">
        <f t="shared" si="52"/>
        <v>9.5717592557775788E-3</v>
      </c>
      <c r="N191" s="7">
        <f t="shared" si="70"/>
        <v>13.783333328319713</v>
      </c>
      <c r="O191" s="7"/>
      <c r="P191" s="7"/>
      <c r="Q191" s="23"/>
      <c r="R191" s="23"/>
      <c r="S191" s="35">
        <f t="shared" si="71"/>
        <v>1</v>
      </c>
      <c r="T191" s="50" t="str">
        <f t="shared" si="55"/>
        <v>NorthBound</v>
      </c>
      <c r="U191" s="1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15:58:15-0600',mode:absolute,to:'2016-10-24 18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1" s="52" t="str">
        <f t="shared" si="66"/>
        <v>N</v>
      </c>
      <c r="X191" s="171">
        <f t="shared" si="73"/>
        <v>1</v>
      </c>
      <c r="Y191" s="67">
        <f t="shared" si="68"/>
        <v>9.64E-2</v>
      </c>
      <c r="Z191" s="67">
        <f t="shared" si="72"/>
        <v>5.8954000000000004</v>
      </c>
      <c r="AA191" s="67">
        <f t="shared" si="58"/>
        <v>5.7990000000000004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59"/>
        <v>0833-24</v>
      </c>
      <c r="AE191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91" s="88" t="str">
        <f t="shared" si="61"/>
        <v>"C:\Program Files (x86)\AstroGrep\AstroGrep.exe" /spath="%USERPROFILE%\AppData\Local\Temp\OnboardLogs" /stypes="app*4027*20161024*" /stext=" 23:.+((SYSTEM_STATE.+slice.+state.+changed )|(ment ac)|(system.+state.+changed )|(\[timeout)|(PRM\|1\|D)|(kpr)|(kdp)|(\|lc)|(penalty))" /e /r /s</v>
      </c>
      <c r="AG191" s="1" t="str">
        <f t="shared" si="62"/>
        <v>NW</v>
      </c>
      <c r="AH191" s="92" t="str">
        <f t="shared" si="63"/>
        <v>"%USERPROFILE%\Documents\GitHub\eaglep3\Utilities\RefineRTDCRunTimes.py" --tripid 833-24 --locoid 4027 --swversion DE.1.0.7.0 --startMP 204:964 --initTime 2016-10-24T16:58:15 --startdatetime 2016-10-24T17:21:31 --delay 1 --endMP 300:58954 --enddatetime 2016-10-24T17:35:18 --enforcementcount 1 &gt;&gt;C:\Users\stu\Documents\GitHub\eaglep3-reporting\EC\2016-10-24-refined-times.txt</v>
      </c>
      <c r="AI191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{"issue":{"subject":"","project_id":79,"tracker_id":40,"status_id":1,"priority_id":2,"assigned_to_id":23,"start_date":"2016-10-24","description":"","custom_fields":[{"id":1,"name":"Subdivision","value":"NW"},{"id":4,"name":"Milepost","value":"5.8954"},{"id":17,"name":"Train ID","value":"833-24"},{"id":16,"name":"Locomotive ID","value":"4027"},{"id":130,"name":"Impact","value":""},{"id":150,"name":"Time of Event (Mountain Time)","value":"17:35:18"},{"id":151,"name":"Denver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561</v>
      </c>
      <c r="B192" s="7">
        <v>4028</v>
      </c>
      <c r="C192" s="22" t="s">
        <v>99</v>
      </c>
      <c r="D192" s="22" t="s">
        <v>770</v>
      </c>
      <c r="E192" s="13">
        <v>42667.733877314815</v>
      </c>
      <c r="F192" s="13">
        <v>42667.735810185186</v>
      </c>
      <c r="G192" s="7">
        <v>1</v>
      </c>
      <c r="H192" s="13" t="s">
        <v>771</v>
      </c>
      <c r="I192" s="13">
        <v>42667.749756944446</v>
      </c>
      <c r="J192" s="7">
        <v>1</v>
      </c>
      <c r="K192" s="112" t="str">
        <f t="shared" si="51"/>
        <v>4027/4028</v>
      </c>
      <c r="L192" s="22" t="str">
        <f>VLOOKUP(A192,'Trips&amp;Operators'!$C$1:$E$10000,3,FALSE)</f>
        <v>BRUDER</v>
      </c>
      <c r="M192" s="6">
        <f t="shared" si="52"/>
        <v>1.3946759259852115E-2</v>
      </c>
      <c r="N192" s="7">
        <f t="shared" si="70"/>
        <v>20.083333334187046</v>
      </c>
      <c r="O192" s="7"/>
      <c r="P192" s="7"/>
      <c r="Q192" s="23"/>
      <c r="R192" s="23"/>
      <c r="S192" s="35">
        <f t="shared" si="71"/>
        <v>1</v>
      </c>
      <c r="T192" s="50" t="str">
        <f t="shared" si="55"/>
        <v>Southbound</v>
      </c>
      <c r="U192" s="1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16:36:47-0600',mode:absolute,to:'2016-10-24 18:59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2" s="52" t="str">
        <f t="shared" si="66"/>
        <v>N</v>
      </c>
      <c r="X192" s="171">
        <f t="shared" si="73"/>
        <v>1</v>
      </c>
      <c r="Y192" s="67">
        <f t="shared" si="68"/>
        <v>5.8639999999999999</v>
      </c>
      <c r="Z192" s="67">
        <f t="shared" si="72"/>
        <v>6.7100000000000007E-2</v>
      </c>
      <c r="AA192" s="67">
        <f t="shared" si="58"/>
        <v>5.7968999999999999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59"/>
        <v>0834-24</v>
      </c>
      <c r="AE192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92" s="88" t="str">
        <f t="shared" si="61"/>
        <v>"C:\Program Files (x86)\AstroGrep\AstroGrep.exe" /spath="%USERPROFILE%\AppData\Local\Temp\OnboardLogs" /stypes="app*4028*20161024*" /stext=" 23:.+((SYSTEM_STATE.+slice.+state.+changed )|(ment ac)|(system.+state.+changed )|(\[timeout)|(PRM\|1\|D)|(kpr)|(kdp)|(\|lc)|(penalty))" /e /r /s</v>
      </c>
      <c r="AG192" s="1" t="str">
        <f t="shared" si="62"/>
        <v>NW</v>
      </c>
      <c r="AH192" s="92" t="str">
        <f t="shared" si="63"/>
        <v>"%USERPROFILE%\Documents\GitHub\eaglep3\Utilities\RefineRTDCRunTimes.py" --tripid 834-24 --locoid 4028 --swversion DE.1.0.7.0 --startMP 300:58640 --initTime 2016-10-24T17:36:47 --startdatetime 2016-10-24T17:39:34 --delay 1 --endMP 204:671 --enddatetime 2016-10-24T17:59:39 --enforcementcount 1 &gt;&gt;C:\Users\stu\Documents\GitHub\eaglep3-reporting\EC\2016-10-24-refined-times.txt</v>
      </c>
      <c r="AI192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{"issue":{"subject":"","project_id":79,"tracker_id":40,"status_id":1,"priority_id":2,"assigned_to_id":23,"start_date":"2016-10-24","description":"","custom_fields":[{"id":1,"name":"Subdivision","value":"NW"},{"id":4,"name":"Milepost","value":"0.0671"},{"id":17,"name":"Train ID","value":"834-24"},{"id":16,"name":"Locomotive ID","value":"4028"},{"id":130,"name":"Impact","value":""},{"id":150,"name":"Time of Event (Mountain Time)","value":"17:59:39"},{"id":151,"name":"Denver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563</v>
      </c>
      <c r="B193" s="7">
        <v>4009</v>
      </c>
      <c r="C193" s="22" t="s">
        <v>99</v>
      </c>
      <c r="D193" s="22" t="s">
        <v>772</v>
      </c>
      <c r="E193" s="13">
        <v>42667.738553240742</v>
      </c>
      <c r="F193" s="13">
        <v>42667.743958333333</v>
      </c>
      <c r="G193" s="7">
        <v>1</v>
      </c>
      <c r="H193" s="13" t="s">
        <v>309</v>
      </c>
      <c r="I193" s="13">
        <v>42667.753877314812</v>
      </c>
      <c r="J193" s="7">
        <v>1</v>
      </c>
      <c r="K193" s="112" t="str">
        <f t="shared" si="51"/>
        <v>4009/4010</v>
      </c>
      <c r="L193" s="22" t="str">
        <f>VLOOKUP(A193,'Trips&amp;Operators'!$C$1:$E$10000,3,FALSE)</f>
        <v>DELGADO</v>
      </c>
      <c r="M193" s="6">
        <f t="shared" si="52"/>
        <v>9.9189814791316167E-3</v>
      </c>
      <c r="N193" s="7">
        <f t="shared" si="70"/>
        <v>14.283333329949528</v>
      </c>
      <c r="O193" s="7"/>
      <c r="P193" s="7"/>
      <c r="Q193" s="23"/>
      <c r="R193" s="23"/>
      <c r="S193" s="35">
        <f t="shared" si="71"/>
        <v>1</v>
      </c>
      <c r="T193" s="50" t="str">
        <f t="shared" si="55"/>
        <v>NorthBound</v>
      </c>
      <c r="U193" s="1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16:43:31-0600',mode:absolute,to:'2016-10-24 19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3" s="52" t="str">
        <f t="shared" si="66"/>
        <v>N</v>
      </c>
      <c r="X193" s="171">
        <f t="shared" si="73"/>
        <v>1</v>
      </c>
      <c r="Y193" s="67">
        <f t="shared" ref="Y193:Y199" si="74">RIGHT(D193,LEN(D193)-4)/10000</f>
        <v>0.1056</v>
      </c>
      <c r="Z193" s="67">
        <f t="shared" si="72"/>
        <v>5.8929</v>
      </c>
      <c r="AA193" s="67">
        <f t="shared" si="58"/>
        <v>5.7873000000000001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59"/>
        <v>0835-24</v>
      </c>
      <c r="AE193" s="91" t="str">
        <f t="shared" si="60"/>
        <v>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 &amp; 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</v>
      </c>
      <c r="AF193" s="88" t="str">
        <f t="shared" si="61"/>
        <v>"C:\Program Files (x86)\AstroGrep\AstroGrep.exe" /spath="%USERPROFILE%\AppData\Local\Temp\OnboardLogs" /stypes="app*4009*20161025*" /stext=" 00:.+((SYSTEM_STATE.+slice.+state.+changed )|(ment ac)|(system.+state.+changed )|(\[timeout)|(PRM\|1\|D)|(kpr)|(kdp)|(\|lc)|(penalty))" /e /r /s</v>
      </c>
      <c r="AG193" s="1" t="str">
        <f t="shared" si="62"/>
        <v>NW</v>
      </c>
      <c r="AH193" s="92" t="str">
        <f t="shared" si="63"/>
        <v>"%USERPROFILE%\Documents\GitHub\eaglep3\Utilities\RefineRTDCRunTimes.py" --tripid 835-24 --locoid 4009 --swversion DE.1.0.7.0 --startMP 204:1056 --initTime 2016-10-24T17:43:31 --startdatetime 2016-10-24T17:51:18 --delay 1 --endMP 300:58929 --enddatetime 2016-10-24T18:05:35 --enforcementcount 1 &gt;&gt;C:\Users\stu\Documents\GitHub\eaglep3-reporting\EC\2016-10-24-refined-times.txt</v>
      </c>
      <c r="AI193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{"issue":{"subject":"","project_id":79,"tracker_id":40,"status_id":1,"priority_id":2,"assigned_to_id":23,"start_date":"2016-10-24","description":"","custom_fields":[{"id":1,"name":"Subdivision","value":"NW"},{"id":4,"name":"Milepost","value":"5.8929"},{"id":17,"name":"Train ID","value":"835-24"},{"id":16,"name":"Locomotive ID","value":"4009"},{"id":130,"name":"Impact","value":""},{"id":150,"name":"Time of Event (Mountain Time)","value":"18:05:35"},{"id":151,"name":"Denver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567</v>
      </c>
      <c r="B194" s="7">
        <v>4010</v>
      </c>
      <c r="C194" s="22" t="s">
        <v>99</v>
      </c>
      <c r="D194" s="22" t="s">
        <v>773</v>
      </c>
      <c r="E194" s="13">
        <v>42667.755104166667</v>
      </c>
      <c r="F194" s="13">
        <v>42667.756608796299</v>
      </c>
      <c r="G194" s="7">
        <v>1</v>
      </c>
      <c r="H194" s="13" t="s">
        <v>774</v>
      </c>
      <c r="I194" s="13">
        <v>42667.770972222221</v>
      </c>
      <c r="J194" s="7">
        <v>1</v>
      </c>
      <c r="K194" s="112" t="str">
        <f t="shared" si="51"/>
        <v>4009/4010</v>
      </c>
      <c r="L194" s="22" t="str">
        <f>VLOOKUP(A194,'Trips&amp;Operators'!$C$1:$E$10000,3,FALSE)</f>
        <v>DELGADO</v>
      </c>
      <c r="M194" s="6">
        <f t="shared" si="52"/>
        <v>1.4363425922056194E-2</v>
      </c>
      <c r="N194" s="7">
        <f t="shared" si="70"/>
        <v>20.68333332776092</v>
      </c>
      <c r="O194" s="7"/>
      <c r="P194" s="7"/>
      <c r="Q194" s="23"/>
      <c r="R194" s="23"/>
      <c r="S194" s="35">
        <f t="shared" si="71"/>
        <v>1</v>
      </c>
      <c r="T194" s="50" t="str">
        <f t="shared" si="55"/>
        <v>Southbound</v>
      </c>
      <c r="U194" s="1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17:07:21-0600',mode:absolute,to:'2016-10-24 19:30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4" s="52" t="str">
        <f t="shared" si="66"/>
        <v>N</v>
      </c>
      <c r="X194" s="171">
        <f t="shared" si="73"/>
        <v>1</v>
      </c>
      <c r="Y194" s="67">
        <f t="shared" si="74"/>
        <v>5.8615000000000004</v>
      </c>
      <c r="Z194" s="67">
        <f t="shared" si="72"/>
        <v>7.6899999999999996E-2</v>
      </c>
      <c r="AA194" s="67">
        <f t="shared" si="58"/>
        <v>5.7846000000000002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59"/>
        <v>0836-24</v>
      </c>
      <c r="AE194" s="91" t="str">
        <f t="shared" si="60"/>
        <v>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 &amp; 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</v>
      </c>
      <c r="AF194" s="88" t="str">
        <f t="shared" si="61"/>
        <v>"C:\Program Files (x86)\AstroGrep\AstroGrep.exe" /spath="%USERPROFILE%\AppData\Local\Temp\OnboardLogs" /stypes="app*4010*20161025*" /stext=" 00:.+((SYSTEM_STATE.+slice.+state.+changed )|(ment ac)|(system.+state.+changed )|(\[timeout)|(PRM\|1\|D)|(kpr)|(kdp)|(\|lc)|(penalty))" /e /r /s</v>
      </c>
      <c r="AG194" s="1" t="str">
        <f t="shared" si="62"/>
        <v>NW</v>
      </c>
      <c r="AH194" s="92" t="str">
        <f t="shared" si="63"/>
        <v>"%USERPROFILE%\Documents\GitHub\eaglep3\Utilities\RefineRTDCRunTimes.py" --tripid 836-24 --locoid 4010 --swversion DE.1.0.7.0 --startMP 300:58615 --initTime 2016-10-24T18:07:21 --startdatetime 2016-10-24T18:09:31 --delay 1 --endMP 204:769 --enddatetime 2016-10-24T18:30:12 --enforcementcount 1 &gt;&gt;C:\Users\stu\Documents\GitHub\eaglep3-reporting\EC\2016-10-24-refined-times.txt</v>
      </c>
      <c r="AI194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{"issue":{"subject":"","project_id":79,"tracker_id":40,"status_id":1,"priority_id":2,"assigned_to_id":23,"start_date":"2016-10-24","description":"","custom_fields":[{"id":1,"name":"Subdivision","value":"NW"},{"id":4,"name":"Milepost","value":"0.0769"},{"id":17,"name":"Train ID","value":"836-24"},{"id":16,"name":"Locomotive ID","value":"4010"},{"id":130,"name":"Impact","value":""},{"id":150,"name":"Time of Event (Mountain Time)","value":"18:30:12"},{"id":151,"name":"Denver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426</v>
      </c>
      <c r="B195" s="7">
        <v>4027</v>
      </c>
      <c r="C195" s="22" t="s">
        <v>99</v>
      </c>
      <c r="D195" s="22" t="s">
        <v>775</v>
      </c>
      <c r="E195" s="13">
        <v>42667.75104166667</v>
      </c>
      <c r="F195" s="13">
        <v>42667.764826388891</v>
      </c>
      <c r="G195" s="7">
        <v>1</v>
      </c>
      <c r="H195" s="13" t="s">
        <v>776</v>
      </c>
      <c r="I195" s="13">
        <v>42667.774756944447</v>
      </c>
      <c r="J195" s="7">
        <v>1</v>
      </c>
      <c r="K195" s="112" t="str">
        <f t="shared" si="51"/>
        <v>4027/4028</v>
      </c>
      <c r="L195" s="22" t="str">
        <f>VLOOKUP(A195,'Trips&amp;Operators'!$C$1:$E$10000,3,FALSE)</f>
        <v>BRUDER</v>
      </c>
      <c r="M195" s="6">
        <f t="shared" si="52"/>
        <v>9.930555555911269E-3</v>
      </c>
      <c r="N195" s="7">
        <f t="shared" si="70"/>
        <v>14.300000000512227</v>
      </c>
      <c r="O195" s="7"/>
      <c r="P195" s="7"/>
      <c r="Q195" s="23"/>
      <c r="R195" s="23"/>
      <c r="S195" s="35">
        <f t="shared" si="71"/>
        <v>1</v>
      </c>
      <c r="T195" s="50" t="str">
        <f t="shared" si="55"/>
        <v>NorthBound</v>
      </c>
      <c r="U195" s="1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17:01:30-0600',mode:absolute,to:'2016-10-24 19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5" s="52" t="str">
        <f t="shared" si="66"/>
        <v>N</v>
      </c>
      <c r="X195" s="171">
        <f t="shared" si="73"/>
        <v>1</v>
      </c>
      <c r="Y195" s="67">
        <f t="shared" si="74"/>
        <v>9.6699999999999994E-2</v>
      </c>
      <c r="Z195" s="67">
        <f t="shared" si="72"/>
        <v>5.8943000000000003</v>
      </c>
      <c r="AA195" s="67">
        <f t="shared" si="58"/>
        <v>5.7976000000000001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59"/>
        <v>0837-24</v>
      </c>
      <c r="AE195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95" s="88" t="str">
        <f t="shared" si="61"/>
        <v>"C:\Program Files (x86)\AstroGrep\AstroGrep.exe" /spath="%USERPROFILE%\AppData\Local\Temp\OnboardLogs" /stypes="app*4027*20161025*" /stext=" 00:.+((SYSTEM_STATE.+slice.+state.+changed )|(ment ac)|(system.+state.+changed )|(\[timeout)|(PRM\|1\|D)|(kpr)|(kdp)|(\|lc)|(penalty))" /e /r /s</v>
      </c>
      <c r="AG195" s="1" t="str">
        <f t="shared" si="62"/>
        <v>NW</v>
      </c>
      <c r="AH195" s="92" t="str">
        <f t="shared" si="63"/>
        <v>"%USERPROFILE%\Documents\GitHub\eaglep3\Utilities\RefineRTDCRunTimes.py" --tripid 837-24 --locoid 4027 --swversion DE.1.0.7.0 --startMP 204:967 --initTime 2016-10-24T18:01:30 --startdatetime 2016-10-24T18:21:21 --delay 1 --endMP 300:58943 --enddatetime 2016-10-24T18:35:39 --enforcementcount 1 &gt;&gt;C:\Users\stu\Documents\GitHub\eaglep3-reporting\EC\2016-10-24-refined-times.txt</v>
      </c>
      <c r="AI195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{"issue":{"subject":"","project_id":79,"tracker_id":40,"status_id":1,"priority_id":2,"assigned_to_id":23,"start_date":"2016-10-24","description":"","custom_fields":[{"id":1,"name":"Subdivision","value":"NW"},{"id":4,"name":"Milepost","value":"5.8943"},{"id":17,"name":"Train ID","value":"837-24"},{"id":16,"name":"Locomotive ID","value":"4027"},{"id":130,"name":"Impact","value":""},{"id":150,"name":"Time of Event (Mountain Time)","value":"18:35:39"},{"id":151,"name":"Denver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428</v>
      </c>
      <c r="B196" s="7">
        <v>4028</v>
      </c>
      <c r="C196" s="22" t="s">
        <v>99</v>
      </c>
      <c r="D196" s="22" t="s">
        <v>777</v>
      </c>
      <c r="E196" s="13">
        <v>42667.776030092595</v>
      </c>
      <c r="F196" s="13">
        <v>42667.777789351851</v>
      </c>
      <c r="G196" s="7">
        <v>1</v>
      </c>
      <c r="H196" s="13" t="s">
        <v>759</v>
      </c>
      <c r="I196" s="13">
        <v>42667.789409722223</v>
      </c>
      <c r="J196" s="7">
        <v>1</v>
      </c>
      <c r="K196" s="112" t="str">
        <f t="shared" si="51"/>
        <v>4027/4028</v>
      </c>
      <c r="L196" s="22" t="str">
        <f>VLOOKUP(A196,'Trips&amp;Operators'!$C$1:$E$10000,3,FALSE)</f>
        <v>BRUDER</v>
      </c>
      <c r="M196" s="6">
        <f t="shared" si="52"/>
        <v>1.1620370372838806E-2</v>
      </c>
      <c r="N196" s="7">
        <f t="shared" si="70"/>
        <v>16.733333336887881</v>
      </c>
      <c r="O196" s="7"/>
      <c r="P196" s="7"/>
      <c r="Q196" s="23"/>
      <c r="R196" s="23"/>
      <c r="S196" s="35">
        <f t="shared" si="71"/>
        <v>1</v>
      </c>
      <c r="T196" s="50" t="str">
        <f t="shared" si="55"/>
        <v>Southbound</v>
      </c>
      <c r="U196" s="1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17:37:29-0600',mode:absolute,to:'2016-10-24 19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6" s="52" t="str">
        <f t="shared" si="66"/>
        <v>N</v>
      </c>
      <c r="X196" s="171">
        <f t="shared" si="73"/>
        <v>1</v>
      </c>
      <c r="Y196" s="67">
        <f t="shared" si="74"/>
        <v>5.8625999999999996</v>
      </c>
      <c r="Z196" s="67">
        <f t="shared" si="72"/>
        <v>6.9900000000000004E-2</v>
      </c>
      <c r="AA196" s="67">
        <f t="shared" si="58"/>
        <v>5.7927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59"/>
        <v>0838-24</v>
      </c>
      <c r="AE196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96" s="88" t="str">
        <f t="shared" si="61"/>
        <v>"C:\Program Files (x86)\AstroGrep\AstroGrep.exe" /spath="%USERPROFILE%\AppData\Local\Temp\OnboardLogs" /stypes="app*4028*20161025*" /stext=" 00:.+((SYSTEM_STATE.+slice.+state.+changed )|(ment ac)|(system.+state.+changed )|(\[timeout)|(PRM\|1\|D)|(kpr)|(kdp)|(\|lc)|(penalty))" /e /r /s</v>
      </c>
      <c r="AG196" s="1" t="str">
        <f t="shared" si="62"/>
        <v>NW</v>
      </c>
      <c r="AH196" s="92" t="str">
        <f t="shared" si="63"/>
        <v>"%USERPROFILE%\Documents\GitHub\eaglep3\Utilities\RefineRTDCRunTimes.py" --tripid 838-24 --locoid 4028 --swversion DE.1.0.7.0 --startMP 300:58626 --initTime 2016-10-24T18:37:29 --startdatetime 2016-10-24T18:40:01 --delay 1 --endMP 204:699 --enddatetime 2016-10-24T18:56:45 --enforcementcount 1 &gt;&gt;C:\Users\stu\Documents\GitHub\eaglep3-reporting\EC\2016-10-24-refined-times.txt</v>
      </c>
      <c r="AI196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{"issue":{"subject":"","project_id":79,"tracker_id":40,"status_id":1,"priority_id":2,"assigned_to_id":23,"start_date":"2016-10-24","description":"","custom_fields":[{"id":1,"name":"Subdivision","value":"NW"},{"id":4,"name":"Milepost","value":"0.0699"},{"id":17,"name":"Train ID","value":"838-24"},{"id":16,"name":"Locomotive ID","value":"4028"},{"id":130,"name":"Impact","value":""},{"id":150,"name":"Time of Event (Mountain Time)","value":"18:56:45"},{"id":151,"name":"Denver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572</v>
      </c>
      <c r="B197" s="7">
        <v>4009</v>
      </c>
      <c r="C197" s="22" t="s">
        <v>99</v>
      </c>
      <c r="D197" s="22" t="s">
        <v>778</v>
      </c>
      <c r="E197" s="13">
        <v>42667.781597222223</v>
      </c>
      <c r="F197" s="13">
        <v>42667.785624999997</v>
      </c>
      <c r="G197" s="7">
        <v>1</v>
      </c>
      <c r="H197" s="13" t="s">
        <v>779</v>
      </c>
      <c r="I197" s="13">
        <v>42667.795555555553</v>
      </c>
      <c r="J197" s="7">
        <v>1</v>
      </c>
      <c r="K197" s="112" t="str">
        <f t="shared" si="51"/>
        <v>4009/4010</v>
      </c>
      <c r="L197" s="22" t="str">
        <f>VLOOKUP(A197,'Trips&amp;Operators'!$C$1:$E$10000,3,FALSE)</f>
        <v>DELGADO</v>
      </c>
      <c r="M197" s="6">
        <f t="shared" si="52"/>
        <v>9.930555555911269E-3</v>
      </c>
      <c r="N197" s="7">
        <f t="shared" si="70"/>
        <v>14.300000000512227</v>
      </c>
      <c r="O197" s="7"/>
      <c r="P197" s="7"/>
      <c r="Q197" s="23"/>
      <c r="R197" s="23"/>
      <c r="S197" s="35">
        <f t="shared" si="71"/>
        <v>1</v>
      </c>
      <c r="T197" s="50" t="str">
        <f t="shared" si="55"/>
        <v>NorthBound</v>
      </c>
      <c r="U197" s="1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17:45:30-0600',mode:absolute,to:'2016-10-24 20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7" s="52" t="str">
        <f t="shared" si="66"/>
        <v>N</v>
      </c>
      <c r="X197" s="171">
        <f t="shared" si="73"/>
        <v>1</v>
      </c>
      <c r="Y197" s="67">
        <f t="shared" si="74"/>
        <v>0.10489999999999999</v>
      </c>
      <c r="Z197" s="67">
        <f t="shared" si="72"/>
        <v>5.8936999999999999</v>
      </c>
      <c r="AA197" s="67">
        <f t="shared" si="58"/>
        <v>5.7888000000000002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59"/>
        <v>0839-24</v>
      </c>
      <c r="AE197" s="91" t="str">
        <f t="shared" si="60"/>
        <v>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 &amp; 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</v>
      </c>
      <c r="AF197" s="88" t="str">
        <f t="shared" si="61"/>
        <v>"C:\Program Files (x86)\AstroGrep\AstroGrep.exe" /spath="%USERPROFILE%\AppData\Local\Temp\OnboardLogs" /stypes="app*4009*20161025*" /stext=" 01:.+((SYSTEM_STATE.+slice.+state.+changed )|(ment ac)|(system.+state.+changed )|(\[timeout)|(PRM\|1\|D)|(kpr)|(kdp)|(\|lc)|(penalty))" /e /r /s</v>
      </c>
      <c r="AG197" s="1" t="str">
        <f t="shared" si="62"/>
        <v>NW</v>
      </c>
      <c r="AH197" s="92" t="str">
        <f t="shared" si="63"/>
        <v>"%USERPROFILE%\Documents\GitHub\eaglep3\Utilities\RefineRTDCRunTimes.py" --tripid 839-24 --locoid 4009 --swversion DE.1.0.7.0 --startMP 204:1049 --initTime 2016-10-24T18:45:30 --startdatetime 2016-10-24T18:51:18 --delay 1 --endMP 300:58937 --enddatetime 2016-10-24T19:05:36 --enforcementcount 1 &gt;&gt;C:\Users\stu\Documents\GitHub\eaglep3-reporting\EC\2016-10-24-refined-times.txt</v>
      </c>
      <c r="AI197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{"issue":{"subject":"","project_id":79,"tracker_id":40,"status_id":1,"priority_id":2,"assigned_to_id":23,"start_date":"2016-10-24","description":"","custom_fields":[{"id":1,"name":"Subdivision","value":"NW"},{"id":4,"name":"Milepost","value":"5.8937"},{"id":17,"name":"Train ID","value":"839-24"},{"id":16,"name":"Locomotive ID","value":"4009"},{"id":130,"name":"Impact","value":""},{"id":150,"name":"Time of Event (Mountain Time)","value":"19:05:36"},{"id":151,"name":"Denver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7" t="s">
        <v>579</v>
      </c>
      <c r="B198" s="7">
        <v>4028</v>
      </c>
      <c r="C198" s="22" t="s">
        <v>99</v>
      </c>
      <c r="D198" s="22" t="s">
        <v>773</v>
      </c>
      <c r="E198" s="13">
        <v>42667.817361111112</v>
      </c>
      <c r="F198" s="13">
        <v>42667.819699074076</v>
      </c>
      <c r="G198" s="7">
        <v>1</v>
      </c>
      <c r="H198" s="13" t="s">
        <v>780</v>
      </c>
      <c r="I198" s="13">
        <v>42667.829988425925</v>
      </c>
      <c r="J198" s="7">
        <v>1</v>
      </c>
      <c r="K198" s="112" t="str">
        <f t="shared" si="51"/>
        <v>4027/4028</v>
      </c>
      <c r="L198" s="22" t="str">
        <f>VLOOKUP(A198,'Trips&amp;Operators'!$C$1:$E$10000,3,FALSE)</f>
        <v>BRUDER</v>
      </c>
      <c r="M198" s="6">
        <f t="shared" si="52"/>
        <v>1.0289351848769002E-2</v>
      </c>
      <c r="N198" s="7">
        <f t="shared" si="70"/>
        <v>14.816666662227362</v>
      </c>
      <c r="O198" s="7"/>
      <c r="P198" s="7"/>
      <c r="Q198" s="23"/>
      <c r="R198" s="23"/>
      <c r="S198" s="35">
        <f t="shared" si="71"/>
        <v>1</v>
      </c>
      <c r="T198" s="50" t="str">
        <f t="shared" si="55"/>
        <v>Southbound</v>
      </c>
      <c r="U198" s="1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18:37:00-0600',mode:absolute,to:'2016-10-24 20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8" s="52" t="str">
        <f t="shared" si="66"/>
        <v>N</v>
      </c>
      <c r="X198" s="171">
        <f t="shared" si="73"/>
        <v>1</v>
      </c>
      <c r="Y198" s="67">
        <f t="shared" si="74"/>
        <v>5.8615000000000004</v>
      </c>
      <c r="Z198" s="67">
        <f t="shared" si="72"/>
        <v>6.8900000000000003E-2</v>
      </c>
      <c r="AA198" s="67">
        <f t="shared" si="58"/>
        <v>5.7926000000000002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59"/>
        <v>0840-24</v>
      </c>
      <c r="AE198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198" s="88" t="str">
        <f t="shared" si="61"/>
        <v>"C:\Program Files (x86)\AstroGrep\AstroGrep.exe" /spath="%USERPROFILE%\AppData\Local\Temp\OnboardLogs" /stypes="app*4028*20161025*" /stext=" 01:.+((SYSTEM_STATE.+slice.+state.+changed )|(ment ac)|(system.+state.+changed )|(\[timeout)|(PRM\|1\|D)|(kpr)|(kdp)|(\|lc)|(penalty))" /e /r /s</v>
      </c>
      <c r="AG198" s="1" t="str">
        <f t="shared" si="62"/>
        <v>NW</v>
      </c>
      <c r="AH198" s="92" t="str">
        <f t="shared" si="63"/>
        <v>"%USERPROFILE%\Documents\GitHub\eaglep3\Utilities\RefineRTDCRunTimes.py" --tripid 840-24 --locoid 4028 --swversion DE.1.0.7.0 --startMP 300:58615 --initTime 2016-10-24T19:37:00 --startdatetime 2016-10-24T19:40:22 --delay 1 --endMP 204:689 --enddatetime 2016-10-24T19:55:11 --enforcementcount 1 &gt;&gt;C:\Users\stu\Documents\GitHub\eaglep3-reporting\EC\2016-10-24-refined-times.txt</v>
      </c>
      <c r="AI198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{"issue":{"subject":"","project_id":79,"tracker_id":40,"status_id":1,"priority_id":2,"assigned_to_id":23,"start_date":"2016-10-24","description":"","custom_fields":[{"id":1,"name":"Subdivision","value":"NW"},{"id":4,"name":"Milepost","value":"0.0689"},{"id":17,"name":"Train ID","value":"840-24"},{"id":16,"name":"Locomotive ID","value":"4028"},{"id":130,"name":"Impact","value":""},{"id":150,"name":"Time of Event (Mountain Time)","value":"19:55:11"},{"id":151,"name":"Denver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574</v>
      </c>
      <c r="B199" s="7">
        <v>4027</v>
      </c>
      <c r="C199" s="22" t="s">
        <v>99</v>
      </c>
      <c r="D199" s="22" t="s">
        <v>781</v>
      </c>
      <c r="E199" s="13">
        <v>42667.794085648151</v>
      </c>
      <c r="F199" s="13">
        <v>42667.806481481479</v>
      </c>
      <c r="G199" s="7">
        <v>1</v>
      </c>
      <c r="H199" s="13" t="s">
        <v>310</v>
      </c>
      <c r="I199" s="13">
        <v>42667.816377314812</v>
      </c>
      <c r="J199" s="7">
        <v>1</v>
      </c>
      <c r="K199" s="112" t="str">
        <f t="shared" si="51"/>
        <v>4027/4028</v>
      </c>
      <c r="L199" s="22" t="str">
        <f>VLOOKUP(A199,'Trips&amp;Operators'!$C$1:$E$10000,3,FALSE)</f>
        <v>BRUDER</v>
      </c>
      <c r="M199" s="6">
        <f t="shared" si="52"/>
        <v>9.8958333328482695E-3</v>
      </c>
      <c r="N199" s="7">
        <f t="shared" si="70"/>
        <v>14.249999999301508</v>
      </c>
      <c r="O199" s="7"/>
      <c r="P199" s="7"/>
      <c r="Q199" s="23"/>
      <c r="R199" s="23"/>
      <c r="S199" s="35">
        <f t="shared" si="71"/>
        <v>1</v>
      </c>
      <c r="T199" s="50" t="str">
        <f t="shared" si="55"/>
        <v>NorthBound</v>
      </c>
      <c r="U199" s="1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18:03:29-0600',mode:absolute,to:'2016-10-24 20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9" s="52" t="str">
        <f t="shared" si="66"/>
        <v>N</v>
      </c>
      <c r="X199" s="171">
        <f t="shared" si="73"/>
        <v>1</v>
      </c>
      <c r="Y199" s="67">
        <f t="shared" si="74"/>
        <v>9.7100000000000006E-2</v>
      </c>
      <c r="Z199" s="67">
        <f t="shared" si="72"/>
        <v>5.8924000000000003</v>
      </c>
      <c r="AA199" s="67">
        <f t="shared" si="58"/>
        <v>5.7953000000000001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59"/>
        <v>0841-24</v>
      </c>
      <c r="AE199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199" s="88" t="str">
        <f t="shared" si="61"/>
        <v>"C:\Program Files (x86)\AstroGrep\AstroGrep.exe" /spath="%USERPROFILE%\AppData\Local\Temp\OnboardLogs" /stypes="app*4027*20161025*" /stext=" 01:.+((SYSTEM_STATE.+slice.+state.+changed )|(ment ac)|(system.+state.+changed )|(\[timeout)|(PRM\|1\|D)|(kpr)|(kdp)|(\|lc)|(penalty))" /e /r /s</v>
      </c>
      <c r="AG199" s="1" t="str">
        <f t="shared" si="62"/>
        <v>NW</v>
      </c>
      <c r="AH199" s="92" t="str">
        <f t="shared" si="63"/>
        <v>"%USERPROFILE%\Documents\GitHub\eaglep3\Utilities\RefineRTDCRunTimes.py" --tripid 841-24 --locoid 4027 --swversion DE.1.0.7.0 --startMP 204:971 --initTime 2016-10-24T19:03:29 --startdatetime 2016-10-24T19:21:20 --delay 1 --endMP 300:58924 --enddatetime 2016-10-24T19:35:35 --enforcementcount 1 &gt;&gt;C:\Users\stu\Documents\GitHub\eaglep3-reporting\EC\2016-10-24-refined-times.txt</v>
      </c>
      <c r="AI199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{"issue":{"subject":"","project_id":79,"tracker_id":40,"status_id":1,"priority_id":2,"assigned_to_id":23,"start_date":"2016-10-24","description":"","custom_fields":[{"id":1,"name":"Subdivision","value":"NW"},{"id":4,"name":"Milepost","value":"5.8924"},{"id":17,"name":"Train ID","value":"841-24"},{"id":16,"name":"Locomotive ID","value":"4027"},{"id":130,"name":"Impact","value":""},{"id":150,"name":"Time of Event (Mountain Time)","value":"19:35:35"},{"id":151,"name":"Denver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585</v>
      </c>
      <c r="B200" s="7">
        <v>4028</v>
      </c>
      <c r="C200" s="22" t="s">
        <v>99</v>
      </c>
      <c r="D200" s="22" t="s">
        <v>770</v>
      </c>
      <c r="E200" s="13">
        <v>42667.859027777777</v>
      </c>
      <c r="F200" s="13">
        <v>42667.860486111109</v>
      </c>
      <c r="G200" s="7">
        <v>1</v>
      </c>
      <c r="H200" s="13" t="s">
        <v>753</v>
      </c>
      <c r="I200" s="13">
        <v>42667.871157407404</v>
      </c>
      <c r="J200" s="7">
        <v>1</v>
      </c>
      <c r="K200" s="112" t="str">
        <f t="shared" si="51"/>
        <v>4027/4028</v>
      </c>
      <c r="L200" s="22" t="str">
        <f>VLOOKUP(A200,'Trips&amp;Operators'!$C$1:$E$10000,3,FALSE)</f>
        <v>BRUDER</v>
      </c>
      <c r="M200" s="6">
        <f t="shared" si="52"/>
        <v>1.0671296295186039E-2</v>
      </c>
      <c r="N200" s="7">
        <f t="shared" si="70"/>
        <v>15.366666665067896</v>
      </c>
      <c r="O200" s="7"/>
      <c r="P200" s="7"/>
      <c r="Q200" s="23"/>
      <c r="R200" s="23"/>
      <c r="S200" s="35">
        <f t="shared" si="71"/>
        <v>1</v>
      </c>
      <c r="T200" s="50" t="str">
        <f t="shared" si="55"/>
        <v>Southbound</v>
      </c>
      <c r="U200" s="1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19:37:00-0600',mode:absolute,to:'2016-10-24 21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0" s="52" t="str">
        <f t="shared" si="66"/>
        <v>N</v>
      </c>
      <c r="X200" s="171">
        <f t="shared" ref="X200:X204" si="75">VALUE(LEFT(AD200,4))-VALUE(LEFT(AD199,4))</f>
        <v>1</v>
      </c>
      <c r="Y200" s="67">
        <f t="shared" ref="Y200:Y204" si="76">RIGHT(D200,LEN(D200)-4)/10000</f>
        <v>5.8639999999999999</v>
      </c>
      <c r="Z200" s="67">
        <f t="shared" si="72"/>
        <v>6.6600000000000006E-2</v>
      </c>
      <c r="AA200" s="67">
        <f t="shared" si="58"/>
        <v>5.7973999999999997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59"/>
        <v>0842-24</v>
      </c>
      <c r="AE200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200" s="88" t="str">
        <f t="shared" si="61"/>
        <v>"C:\Program Files (x86)\AstroGrep\AstroGrep.exe" /spath="%USERPROFILE%\AppData\Local\Temp\OnboardLogs" /stypes="app*4028*20161025*" /stext=" 02:.+((SYSTEM_STATE.+slice.+state.+changed )|(ment ac)|(system.+state.+changed )|(\[timeout)|(PRM\|1\|D)|(kpr)|(kdp)|(\|lc)|(penalty))" /e /r /s</v>
      </c>
      <c r="AG200" s="1" t="str">
        <f t="shared" si="62"/>
        <v>NW</v>
      </c>
      <c r="AH200" s="92" t="str">
        <f t="shared" si="63"/>
        <v>"%USERPROFILE%\Documents\GitHub\eaglep3\Utilities\RefineRTDCRunTimes.py" --tripid 842-24 --locoid 4028 --swversion DE.1.0.7.0 --startMP 300:58640 --initTime 2016-10-24T20:37:00 --startdatetime 2016-10-24T20:39:06 --delay 1 --endMP 204:666 --enddatetime 2016-10-24T20:54:28 --enforcementcount 1 &gt;&gt;C:\Users\stu\Documents\GitHub\eaglep3-reporting\EC\2016-10-24-refined-times.txt</v>
      </c>
      <c r="AI200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{"issue":{"subject":"","project_id":79,"tracker_id":40,"status_id":1,"priority_id":2,"assigned_to_id":23,"start_date":"2016-10-24","description":"","custom_fields":[{"id":1,"name":"Subdivision","value":"NW"},{"id":4,"name":"Milepost","value":"0.0666"},{"id":17,"name":"Train ID","value":"842-24"},{"id":16,"name":"Locomotive ID","value":"4028"},{"id":130,"name":"Impact","value":""},{"id":150,"name":"Time of Event (Mountain Time)","value":"20:54:28"},{"id":151,"name":"Denver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581</v>
      </c>
      <c r="B201" s="7">
        <v>4027</v>
      </c>
      <c r="C201" s="22" t="s">
        <v>99</v>
      </c>
      <c r="D201" s="22" t="s">
        <v>782</v>
      </c>
      <c r="E201" s="13">
        <v>42667.831747685188</v>
      </c>
      <c r="F201" s="13">
        <v>42667.848124999997</v>
      </c>
      <c r="G201" s="7">
        <v>3</v>
      </c>
      <c r="H201" s="13" t="s">
        <v>766</v>
      </c>
      <c r="I201" s="13">
        <v>42667.857719907406</v>
      </c>
      <c r="J201" s="7">
        <v>1</v>
      </c>
      <c r="K201" s="112" t="str">
        <f t="shared" si="51"/>
        <v>4027/4028</v>
      </c>
      <c r="L201" s="22" t="str">
        <f>VLOOKUP(A201,'Trips&amp;Operators'!$C$1:$E$10000,3,FALSE)</f>
        <v>BRUDER</v>
      </c>
      <c r="M201" s="6">
        <f t="shared" si="52"/>
        <v>9.5949074093368836E-3</v>
      </c>
      <c r="N201" s="7">
        <f t="shared" si="70"/>
        <v>13.816666669445112</v>
      </c>
      <c r="O201" s="7"/>
      <c r="P201" s="7"/>
      <c r="Q201" s="23"/>
      <c r="R201" s="23"/>
      <c r="S201" s="35">
        <f t="shared" si="71"/>
        <v>1</v>
      </c>
      <c r="T201" s="50" t="str">
        <f t="shared" si="55"/>
        <v>NorthBound</v>
      </c>
      <c r="U201" s="1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18:57:43-0600',mode:absolute,to:'2016-10-24 21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1" s="52" t="str">
        <f t="shared" si="66"/>
        <v>N</v>
      </c>
      <c r="X201" s="171">
        <f t="shared" si="75"/>
        <v>1</v>
      </c>
      <c r="Y201" s="67">
        <f t="shared" si="76"/>
        <v>9.6199999999999994E-2</v>
      </c>
      <c r="Z201" s="67">
        <f t="shared" si="72"/>
        <v>5.8960999999999997</v>
      </c>
      <c r="AA201" s="67">
        <f t="shared" si="58"/>
        <v>5.7999000000000001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59"/>
        <v>0843-24</v>
      </c>
      <c r="AE201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201" s="88" t="str">
        <f t="shared" si="61"/>
        <v>"C:\Program Files (x86)\AstroGrep\AstroGrep.exe" /spath="%USERPROFILE%\AppData\Local\Temp\OnboardLogs" /stypes="app*4027*20161025*" /stext=" 02:.+((SYSTEM_STATE.+slice.+state.+changed )|(ment ac)|(system.+state.+changed )|(\[timeout)|(PRM\|1\|D)|(kpr)|(kdp)|(\|lc)|(penalty))" /e /r /s</v>
      </c>
      <c r="AG201" s="1" t="str">
        <f t="shared" si="62"/>
        <v>NW</v>
      </c>
      <c r="AH201" s="92" t="str">
        <f t="shared" si="63"/>
        <v>"%USERPROFILE%\Documents\GitHub\eaglep3\Utilities\RefineRTDCRunTimes.py" --tripid 843-24 --locoid 4027 --swversion DE.1.0.7.0 --startMP 204:962 --initTime 2016-10-24T19:57:43 --startdatetime 2016-10-24T20:21:18 --delay 3 --endMP 300:58961 --enddatetime 2016-10-24T20:35:07 --enforcementcount 1 &gt;&gt;C:\Users\stu\Documents\GitHub\eaglep3-reporting\EC\2016-10-24-refined-times.txt</v>
      </c>
      <c r="AI201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{"issue":{"subject":"","project_id":79,"tracker_id":40,"status_id":1,"priority_id":2,"assigned_to_id":23,"start_date":"2016-10-24","description":"","custom_fields":[{"id":1,"name":"Subdivision","value":"NW"},{"id":4,"name":"Milepost","value":"5.8961"},{"id":17,"name":"Train ID","value":"843-24"},{"id":16,"name":"Locomotive ID","value":"4027"},{"id":130,"name":"Impact","value":""},{"id":150,"name":"Time of Event (Mountain Time)","value":"20:35:07"},{"id":151,"name":"Denver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591</v>
      </c>
      <c r="B202" s="7">
        <v>4028</v>
      </c>
      <c r="C202" s="22" t="s">
        <v>99</v>
      </c>
      <c r="D202" s="22" t="s">
        <v>363</v>
      </c>
      <c r="E202" s="13">
        <v>42667.900659722225</v>
      </c>
      <c r="F202" s="13">
        <v>42667.902268518519</v>
      </c>
      <c r="G202" s="7">
        <v>1</v>
      </c>
      <c r="H202" s="13" t="s">
        <v>677</v>
      </c>
      <c r="I202" s="13">
        <v>42667.913958333331</v>
      </c>
      <c r="J202" s="7">
        <v>1</v>
      </c>
      <c r="K202" s="112" t="str">
        <f t="shared" si="51"/>
        <v>4027/4028</v>
      </c>
      <c r="L202" s="22" t="str">
        <f>VLOOKUP(A202,'Trips&amp;Operators'!$C$1:$E$10000,3,FALSE)</f>
        <v>DELGADO</v>
      </c>
      <c r="M202" s="6">
        <f t="shared" si="52"/>
        <v>1.1689814811688848E-2</v>
      </c>
      <c r="N202" s="7">
        <f t="shared" si="70"/>
        <v>16.833333328831941</v>
      </c>
      <c r="O202" s="7"/>
      <c r="P202" s="7"/>
      <c r="Q202" s="23"/>
      <c r="R202" s="23"/>
      <c r="S202" s="35">
        <f t="shared" si="71"/>
        <v>1</v>
      </c>
      <c r="T202" s="50" t="str">
        <f t="shared" si="55"/>
        <v>Southbound</v>
      </c>
      <c r="U202" s="1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20:36:57-0600',mode:absolute,to:'2016-10-24 22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2" s="52" t="str">
        <f t="shared" si="66"/>
        <v>N</v>
      </c>
      <c r="X202" s="171">
        <f t="shared" si="75"/>
        <v>1</v>
      </c>
      <c r="Y202" s="67">
        <f t="shared" si="76"/>
        <v>5.8604000000000003</v>
      </c>
      <c r="Z202" s="67">
        <f t="shared" si="72"/>
        <v>7.6600000000000001E-2</v>
      </c>
      <c r="AA202" s="67">
        <f t="shared" si="58"/>
        <v>5.7838000000000003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59"/>
        <v>0844-24</v>
      </c>
      <c r="AE202" s="91" t="str">
        <f t="shared" si="6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202" s="88" t="str">
        <f t="shared" si="61"/>
        <v>"C:\Program Files (x86)\AstroGrep\AstroGrep.exe" /spath="%USERPROFILE%\AppData\Local\Temp\OnboardLogs" /stypes="app*4028*20161025*" /stext=" 03:.+((SYSTEM_STATE.+slice.+state.+changed )|(ment ac)|(system.+state.+changed )|(\[timeout)|(PRM\|1\|D)|(kpr)|(kdp)|(\|lc)|(penalty))" /e /r /s</v>
      </c>
      <c r="AG202" s="1" t="str">
        <f t="shared" si="62"/>
        <v>NW</v>
      </c>
      <c r="AH202" s="92" t="str">
        <f t="shared" si="63"/>
        <v>"%USERPROFILE%\Documents\GitHub\eaglep3\Utilities\RefineRTDCRunTimes.py" --tripid 844-24 --locoid 4028 --swversion DE.1.0.7.0 --startMP 300:58604 --initTime 2016-10-24T21:36:57 --startdatetime 2016-10-24T21:39:16 --delay 1 --endMP 204:766 --enddatetime 2016-10-24T21:56:06 --enforcementcount 1 &gt;&gt;C:\Users\stu\Documents\GitHub\eaglep3-reporting\EC\2016-10-24-refined-times.txt</v>
      </c>
      <c r="AI202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{"issue":{"subject":"","project_id":79,"tracker_id":40,"status_id":1,"priority_id":2,"assigned_to_id":23,"start_date":"2016-10-24","description":"","custom_fields":[{"id":1,"name":"Subdivision","value":"NW"},{"id":4,"name":"Milepost","value":"0.0766"},{"id":17,"name":"Train ID","value":"844-24"},{"id":16,"name":"Locomotive ID","value":"4028"},{"id":130,"name":"Impact","value":""},{"id":150,"name":"Time of Event (Mountain Time)","value":"21:56:06"},{"id":151,"name":"Denver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s="21" customFormat="1" x14ac:dyDescent="0.25">
      <c r="A203" s="37" t="s">
        <v>588</v>
      </c>
      <c r="B203" s="7">
        <v>4027</v>
      </c>
      <c r="C203" s="22" t="s">
        <v>99</v>
      </c>
      <c r="D203" s="22" t="s">
        <v>783</v>
      </c>
      <c r="E203" s="13">
        <v>42667.884166666663</v>
      </c>
      <c r="F203" s="13">
        <v>42667.889803240738</v>
      </c>
      <c r="G203" s="7">
        <v>1</v>
      </c>
      <c r="H203" s="13" t="s">
        <v>309</v>
      </c>
      <c r="I203" s="13">
        <v>42667.899594907409</v>
      </c>
      <c r="J203" s="7">
        <v>1</v>
      </c>
      <c r="K203" s="112" t="str">
        <f t="shared" si="51"/>
        <v>4027/4028</v>
      </c>
      <c r="L203" s="22" t="str">
        <f>VLOOKUP(A203,'Trips&amp;Operators'!$C$1:$E$10000,3,FALSE)</f>
        <v>DELGADO</v>
      </c>
      <c r="M203" s="6">
        <f t="shared" si="52"/>
        <v>9.7916666709352285E-3</v>
      </c>
      <c r="N203" s="7">
        <f t="shared" si="70"/>
        <v>14.100000006146729</v>
      </c>
      <c r="O203" s="7"/>
      <c r="P203" s="7"/>
      <c r="Q203" s="23"/>
      <c r="R203" s="23"/>
      <c r="S203" s="35">
        <f t="shared" si="71"/>
        <v>1</v>
      </c>
      <c r="T203" s="50" t="str">
        <f t="shared" si="55"/>
        <v>NorthBound</v>
      </c>
      <c r="U203" s="1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20:13:12-0600',mode:absolute,to:'2016-10-24 22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3" s="52" t="str">
        <f t="shared" si="66"/>
        <v>N</v>
      </c>
      <c r="X203" s="171">
        <f t="shared" si="75"/>
        <v>1</v>
      </c>
      <c r="Y203" s="67">
        <f t="shared" si="76"/>
        <v>9.7799999999999998E-2</v>
      </c>
      <c r="Z203" s="67">
        <f t="shared" si="72"/>
        <v>5.8929</v>
      </c>
      <c r="AA203" s="67">
        <f t="shared" si="58"/>
        <v>5.7950999999999997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59"/>
        <v>0845-24</v>
      </c>
      <c r="AE203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203" s="88" t="str">
        <f t="shared" si="61"/>
        <v>"C:\Program Files (x86)\AstroGrep\AstroGrep.exe" /spath="%USERPROFILE%\AppData\Local\Temp\OnboardLogs" /stypes="app*4027*20161025*" /stext=" 03:.+((SYSTEM_STATE.+slice.+state.+changed )|(ment ac)|(system.+state.+changed )|(\[timeout)|(PRM\|1\|D)|(kpr)|(kdp)|(\|lc)|(penalty))" /e /r /s</v>
      </c>
      <c r="AG203" s="1" t="str">
        <f t="shared" si="62"/>
        <v>NW</v>
      </c>
      <c r="AH203" s="92" t="str">
        <f t="shared" si="63"/>
        <v>"%USERPROFILE%\Documents\GitHub\eaglep3\Utilities\RefineRTDCRunTimes.py" --tripid 845-24 --locoid 4027 --swversion DE.1.0.7.0 --startMP 204:978 --initTime 2016-10-24T21:13:12 --startdatetime 2016-10-24T21:21:19 --delay 1 --endMP 300:58929 --enddatetime 2016-10-24T21:35:25 --enforcementcount 1 &gt;&gt;C:\Users\stu\Documents\GitHub\eaglep3-reporting\EC\2016-10-24-refined-times.txt</v>
      </c>
      <c r="AI203" s="122" t="str">
        <f t="shared" si="64"/>
        <v>echo {"issue":{"subject":"","project_id":79,"tracker_id":40,"status_id":1,"priority_id":2,"assigned_to_id":23,"start_date":"2016-10-24","description":"","custom_fields":[{"id":1,"name":"Subdivision","value":"NW"},{"id":4,"name":"Milepost","value":"5.8929"},{"id":17,"name":"Train ID","value":"845-24"},{"id":16,"name":"Locomotive ID","value":"4027"},{"id":130,"name":"Impact","value":""},{"id":150,"name":"Time of Event (Mountain Time)","value":"21:35:25"},{"id":151,"name":"Denver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595</v>
      </c>
      <c r="B204" s="7">
        <v>4027</v>
      </c>
      <c r="C204" s="22" t="s">
        <v>99</v>
      </c>
      <c r="D204" s="22" t="s">
        <v>757</v>
      </c>
      <c r="E204" s="13">
        <v>42667.925856481481</v>
      </c>
      <c r="F204" s="13">
        <v>42667.931539351855</v>
      </c>
      <c r="G204" s="7">
        <v>1</v>
      </c>
      <c r="H204" s="13" t="s">
        <v>784</v>
      </c>
      <c r="I204" s="13">
        <v>42667.942002314812</v>
      </c>
      <c r="J204" s="7">
        <v>1</v>
      </c>
      <c r="K204" s="112" t="str">
        <f t="shared" si="51"/>
        <v>4027/4028</v>
      </c>
      <c r="L204" s="22" t="str">
        <f>VLOOKUP(A204,'Trips&amp;Operators'!$C$1:$E$10000,3,FALSE)</f>
        <v>DELGADO</v>
      </c>
      <c r="M204" s="6">
        <f t="shared" si="52"/>
        <v>1.0462962956808042E-2</v>
      </c>
      <c r="N204" s="7">
        <f t="shared" si="70"/>
        <v>15.06666665780358</v>
      </c>
      <c r="O204" s="7"/>
      <c r="P204" s="7"/>
      <c r="Q204" s="23"/>
      <c r="R204" s="23"/>
      <c r="S204" s="35">
        <f t="shared" si="71"/>
        <v>1</v>
      </c>
      <c r="T204" s="50" t="str">
        <f t="shared" si="55"/>
        <v>NorthBound</v>
      </c>
      <c r="U204" s="1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https://search-rtdc-monitor-bjffxe2xuh6vdkpspy63sjmuny.us-east-1.es.amazonaws.com/_plugin/kibana/#/discover/Steve-Slow-Train-Analysis-(2080s-and-2083s)?_g=(refreshInterval:(display:Off,section:0,value:0),time:(from:'2016-10-24 21:13:14-0600',mode:absolute,to:'2016-10-24 23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4" s="52" t="str">
        <f t="shared" si="66"/>
        <v>N</v>
      </c>
      <c r="X204" s="171">
        <f t="shared" si="75"/>
        <v>2</v>
      </c>
      <c r="Y204" s="67">
        <f t="shared" si="76"/>
        <v>0.10349999999999999</v>
      </c>
      <c r="Z204" s="67">
        <f t="shared" si="72"/>
        <v>5.8920000000000003</v>
      </c>
      <c r="AA204" s="67">
        <f t="shared" si="58"/>
        <v>5.7885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59"/>
        <v>0847-24</v>
      </c>
      <c r="AE204" s="91" t="str">
        <f t="shared" si="60"/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AF204" s="88" t="str">
        <f t="shared" si="61"/>
        <v>"C:\Program Files (x86)\AstroGrep\AstroGrep.exe" /spath="%USERPROFILE%\AppData\Local\Temp\OnboardLogs" /stypes="app*4027*20161025*" /stext=" 04:.+((SYSTEM_STATE.+slice.+state.+changed )|(ment ac)|(system.+state.+changed )|(\[timeout)|(PRM\|1\|D)|(kpr)|(kdp)|(\|lc)|(penalty))" /e /r /s</v>
      </c>
      <c r="AG204" s="1" t="str">
        <f t="shared" si="62"/>
        <v>NW</v>
      </c>
      <c r="AH204" s="92" t="str">
        <f t="shared" ref="AH204:AH225" si="77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847-24 --locoid 4027 --swversion DE.1.0.7.0 --startMP 204:1035 --initTime 2016-10-24T22:13:14 --startdatetime 2016-10-24T22:21:25 --delay 1 --endMP 300:58920 --enddatetime 2016-10-24T22:36:29 --enforcementcount 1 &gt;&gt;C:\Users\stu\Documents\GitHub\eaglep3-reporting\EC\2016-10-24-refined-times.txt</v>
      </c>
      <c r="AI204" s="122" t="str">
        <f t="shared" ref="AI204:AI225" si="78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{"issue":{"subject":"","project_id":79,"tracker_id":40,"status_id":1,"priority_id":2,"assigned_to_id":23,"start_date":"2016-10-24","description":"","custom_fields":[{"id":1,"name":"Subdivision","value":"NW"},{"id":4,"name":"Milepost","value":"5.892"},{"id":17,"name":"Train ID","value":"847-24"},{"id":16,"name":"Locomotive ID","value":"4027"},{"id":130,"name":"Impact","value":""},{"id":150,"name":"Time of Event (Mountain Time)","value":"22:36:29"},{"id":151,"name":"Denver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7" t="s">
        <v>431</v>
      </c>
      <c r="B205" s="7">
        <v>4054</v>
      </c>
      <c r="C205" s="22" t="s">
        <v>99</v>
      </c>
      <c r="D205" s="22" t="s">
        <v>697</v>
      </c>
      <c r="E205" s="13">
        <v>42667.167812500003</v>
      </c>
      <c r="F205" s="13">
        <v>42667.169016203705</v>
      </c>
      <c r="G205" s="7">
        <v>1</v>
      </c>
      <c r="H205" s="13" t="s">
        <v>177</v>
      </c>
      <c r="I205" s="13">
        <v>42667.174699074072</v>
      </c>
      <c r="J205" s="7">
        <v>1</v>
      </c>
      <c r="K205" s="112" t="str">
        <f t="shared" ref="K205:K225" si="79">IF(ISEVEN(B205),(B205-1)&amp;"/"&amp;B205,B205&amp;"/"&amp;(B205+1))</f>
        <v>4053/4054</v>
      </c>
      <c r="L205" s="22" t="str">
        <f>VLOOKUP(A205,'Trips&amp;Operators'!$C$1:$E$10000,3,FALSE)</f>
        <v>BRANNON</v>
      </c>
      <c r="M205" s="6">
        <f t="shared" ref="M205:M225" si="80">I205-F205</f>
        <v>5.6828703673090786E-3</v>
      </c>
      <c r="N205" s="7">
        <f t="shared" ref="N205:N225" si="81">24*60*SUM($M205:$M205)</f>
        <v>8.1833333289250731</v>
      </c>
      <c r="O205" s="7"/>
      <c r="P205" s="7"/>
      <c r="Q205" s="23"/>
      <c r="R205" s="23"/>
      <c r="S205" s="35">
        <f t="shared" ref="S205:S225" si="82">SUM(U205:U205)/IF(AG205="EC",12,1)</f>
        <v>1</v>
      </c>
      <c r="T205" s="50" t="str">
        <f t="shared" ref="T205:T225" si="83">IF(ISEVEN(LEFT(AD205,4)),"Southbound","NorthBound")</f>
        <v>Southbound</v>
      </c>
      <c r="U205" s="1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5" si="84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https://search-rtdc-monitor-bjffxe2xuh6vdkpspy63sjmuny.us-east-1.es.amazonaws.com/_plugin/kibana/#/discover/Steve-Slow-Train-Analysis-(2080s-and-2083s)?_g=(refreshInterval:(display:Off,section:0,value:0),time:(from:'2016-10-24 03:01:39-0600',mode:absolute,to:'2016-10-24 05:11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5" s="52" t="str">
        <f t="shared" si="66"/>
        <v>Y</v>
      </c>
      <c r="X205" s="171">
        <f t="shared" ref="X205:X225" si="85">VALUE(LEFT(AD205,4))-VALUE(LEFT(AD204,4))</f>
        <v>-541</v>
      </c>
      <c r="Y205" s="67">
        <f t="shared" ref="Y205:Y225" si="86">RIGHT(D205,LEN(D205)-4)/10000</f>
        <v>2.3603000000000001</v>
      </c>
      <c r="Z205" s="67">
        <f t="shared" ref="Z205:Z225" si="87">RIGHT(H205,LEN(H205)-4)/10000</f>
        <v>1.52E-2</v>
      </c>
      <c r="AA205" s="67">
        <f t="shared" ref="AA205:AA268" si="88">ABS(Z205-Y205)</f>
        <v>2.3451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:AD225" si="89">IF(LEN(A205)=6,"0"&amp;A205,A205)</f>
        <v>0306-24</v>
      </c>
      <c r="AE205" s="91" t="str">
        <f t="shared" ref="AE205:AE225" si="9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 &amp; 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</v>
      </c>
      <c r="AF205" s="88" t="str">
        <f t="shared" ref="AF205:AF225" si="91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/stypes="app*4054*20161024*" /stext=" 10:.+((SYSTEM_STATE.+slice.+state.+changed )|(ment ac)|(system.+state.+changed )|(\[timeout)|(PRM\|1\|D)|(kpr)|(kdp)|(\|lc)|(penalty))" /e /r /s</v>
      </c>
      <c r="AG205" s="1" t="str">
        <f t="shared" ref="AG205:AG225" si="92">IFERROR(IF(VALUE(LEFT(AD205,2))&lt;=2,"EC",IF(OR(VALUE(LEFT(AD205,2))=8,VALUE(LEFT(AD205,2))=18),"NW","Other")),"Other")</f>
        <v>Other</v>
      </c>
      <c r="AH205" s="92" t="str">
        <f t="shared" si="77"/>
        <v>"%USERPROFILE%\Documents\GitHub\eaglep3\Utilities\RefineRTDCRunTimes.py" --tripid 306-24 --locoid 4054 --swversion DE.1.0.7.0 --startMP 300:23603 --initTime 2016-10-24T04:01:39 --startdatetime 2016-10-24T04:03:23 --delay 1 --endMP 204:152 --enddatetime 2016-10-24T04:11:34 --enforcementcount 1 &gt;&gt;C:\Users\stu\Documents\GitHub\eaglep3-reporting\EC\2016-10-24-refined-times.txt</v>
      </c>
      <c r="AI205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{"issue":{"subject":"","project_id":79,"tracker_id":40,"status_id":1,"priority_id":2,"assigned_to_id":23,"start_date":"2016-10-24","description":"","custom_fields":[{"id":1,"name":"Subdivision","value":"Other"},{"id":4,"name":"Milepost","value":"0.0152"},{"id":17,"name":"Train ID","value":"306-24"},{"id":16,"name":"Locomotive ID","value":"4054"},{"id":130,"name":"Impact","value":""},{"id":150,"name":"Time of Event (Mountain Time)","value":"04:11:34"},{"id":151,"name":"Denver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s="21" customFormat="1" x14ac:dyDescent="0.25">
      <c r="A206" s="37" t="s">
        <v>434</v>
      </c>
      <c r="B206" s="7">
        <v>4015</v>
      </c>
      <c r="C206" s="22" t="s">
        <v>99</v>
      </c>
      <c r="D206" s="22" t="s">
        <v>698</v>
      </c>
      <c r="E206" s="13">
        <v>42667.171689814815</v>
      </c>
      <c r="F206" s="13">
        <v>42667.173275462963</v>
      </c>
      <c r="G206" s="7">
        <v>1</v>
      </c>
      <c r="H206" s="13" t="s">
        <v>224</v>
      </c>
      <c r="I206" s="13">
        <v>42667.179675925923</v>
      </c>
      <c r="J206" s="7">
        <v>1</v>
      </c>
      <c r="K206" s="112" t="str">
        <f t="shared" si="79"/>
        <v>4015/4016</v>
      </c>
      <c r="L206" s="22" t="str">
        <f>VLOOKUP(A206,'Trips&amp;Operators'!$C$1:$E$10000,3,FALSE)</f>
        <v>SPECTOR</v>
      </c>
      <c r="M206" s="6">
        <f t="shared" si="80"/>
        <v>6.4004629603005014E-3</v>
      </c>
      <c r="N206" s="7">
        <f t="shared" si="81"/>
        <v>9.2166666628327221</v>
      </c>
      <c r="O206" s="7"/>
      <c r="P206" s="7"/>
      <c r="Q206" s="23"/>
      <c r="R206" s="23"/>
      <c r="S206" s="35">
        <f t="shared" si="82"/>
        <v>1</v>
      </c>
      <c r="T206" s="50" t="str">
        <f t="shared" si="83"/>
        <v>Southbound</v>
      </c>
      <c r="U206" s="1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03:07:14-0600',mode:absolute,to:'2016-10-24 05:18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6" s="52" t="str">
        <f t="shared" si="66"/>
        <v>Y</v>
      </c>
      <c r="X206" s="171">
        <f t="shared" si="85"/>
        <v>2</v>
      </c>
      <c r="Y206" s="67">
        <f t="shared" si="86"/>
        <v>2.3359999999999999</v>
      </c>
      <c r="Z206" s="67">
        <f t="shared" si="87"/>
        <v>1.4999999999999999E-2</v>
      </c>
      <c r="AA206" s="67">
        <f t="shared" si="88"/>
        <v>2.3209999999999997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89"/>
        <v>0308-24</v>
      </c>
      <c r="AE206" s="91" t="str">
        <f t="shared" si="90"/>
        <v>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 &amp; 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</v>
      </c>
      <c r="AF206" s="88" t="str">
        <f t="shared" si="91"/>
        <v>"C:\Program Files (x86)\AstroGrep\AstroGrep.exe" /spath="%USERPROFILE%\AppData\Local\Temp\OnboardLogs" /stypes="app*4015*20161024*" /stext=" 10:.+((SYSTEM_STATE.+slice.+state.+changed )|(ment ac)|(system.+state.+changed )|(\[timeout)|(PRM\|1\|D)|(kpr)|(kdp)|(\|lc)|(penalty))" /e /r /s</v>
      </c>
      <c r="AG206" s="1" t="str">
        <f t="shared" si="92"/>
        <v>Other</v>
      </c>
      <c r="AH206" s="92" t="str">
        <f t="shared" si="77"/>
        <v>"%USERPROFILE%\Documents\GitHub\eaglep3\Utilities\RefineRTDCRunTimes.py" --tripid 308-24 --locoid 4015 --swversion DE.1.0.7.0 --startMP 300:23360 --initTime 2016-10-24T04:07:14 --startdatetime 2016-10-24T04:09:31 --delay 1 --endMP 204:150 --enddatetime 2016-10-24T04:18:44 --enforcementcount 1 &gt;&gt;C:\Users\stu\Documents\GitHub\eaglep3-reporting\EC\2016-10-24-refined-times.txt</v>
      </c>
      <c r="AI206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{"issue":{"subject":"","project_id":79,"tracker_id":40,"status_id":1,"priority_id":2,"assigned_to_id":23,"start_date":"2016-10-24","description":"","custom_fields":[{"id":1,"name":"Subdivision","value":"Other"},{"id":4,"name":"Milepost","value":"0.015"},{"id":17,"name":"Train ID","value":"308-24"},{"id":16,"name":"Locomotive ID","value":"4015"},{"id":130,"name":"Impact","value":""},{"id":150,"name":"Time of Event (Mountain Time)","value":"04:18:44"},{"id":151,"name":"Denver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605</v>
      </c>
      <c r="B207" s="7">
        <v>4002</v>
      </c>
      <c r="C207" s="22" t="s">
        <v>99</v>
      </c>
      <c r="D207" s="22" t="s">
        <v>366</v>
      </c>
      <c r="E207" s="13">
        <v>42668.029918981483</v>
      </c>
      <c r="F207" s="13">
        <v>42668.032638888886</v>
      </c>
      <c r="G207" s="7">
        <v>2</v>
      </c>
      <c r="H207" s="13" t="s">
        <v>699</v>
      </c>
      <c r="I207" s="13">
        <v>42668.038564814815</v>
      </c>
      <c r="J207" s="7">
        <v>1</v>
      </c>
      <c r="K207" s="112" t="str">
        <f t="shared" si="79"/>
        <v>4001/4002</v>
      </c>
      <c r="L207" s="22" t="str">
        <f>VLOOKUP(A207,'Trips&amp;Operators'!$C$1:$E$10000,3,FALSE)</f>
        <v>LEVERE</v>
      </c>
      <c r="M207" s="6">
        <f t="shared" si="80"/>
        <v>5.9259259287500754E-3</v>
      </c>
      <c r="N207" s="7">
        <f t="shared" si="81"/>
        <v>8.5333333374001086</v>
      </c>
      <c r="O207" s="7"/>
      <c r="P207" s="7"/>
      <c r="Q207" s="23"/>
      <c r="R207" s="23"/>
      <c r="S207" s="35">
        <f t="shared" si="82"/>
        <v>1</v>
      </c>
      <c r="T207" s="50" t="str">
        <f t="shared" si="83"/>
        <v>NorthBound</v>
      </c>
      <c r="U207" s="1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23:43:05-0600',mode:absolute,to:'2016-10-25 01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7" s="52" t="str">
        <f t="shared" si="66"/>
        <v>Y</v>
      </c>
      <c r="X207" s="171">
        <f t="shared" si="85"/>
        <v>1</v>
      </c>
      <c r="Y207" s="67">
        <f t="shared" si="86"/>
        <v>7.0800000000000002E-2</v>
      </c>
      <c r="Z207" s="67">
        <f t="shared" si="87"/>
        <v>2.2776999999999998</v>
      </c>
      <c r="AA207" s="67">
        <f t="shared" si="88"/>
        <v>2.2068999999999996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89"/>
        <v>0309-24</v>
      </c>
      <c r="AE207" s="91" t="str">
        <f t="shared" si="90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207" s="88" t="str">
        <f t="shared" si="91"/>
        <v>"C:\Program Files (x86)\AstroGrep\AstroGrep.exe" /spath="%USERPROFILE%\AppData\Local\Temp\OnboardLogs" /stypes="app*4002*20161025*" /stext=" 06:.+((SYSTEM_STATE.+slice.+state.+changed )|(ment ac)|(system.+state.+changed )|(\[timeout)|(PRM\|1\|D)|(kpr)|(kdp)|(\|lc)|(penalty))" /e /r /s</v>
      </c>
      <c r="AG207" s="1" t="str">
        <f t="shared" si="92"/>
        <v>Other</v>
      </c>
      <c r="AH207" s="92" t="str">
        <f t="shared" si="77"/>
        <v>"%USERPROFILE%\Documents\GitHub\eaglep3\Utilities\RefineRTDCRunTimes.py" --tripid 309-24 --locoid 4002 --swversion DE.1.0.7.0 --startMP 204:708 --initTime 2016-10-25T00:43:05 --startdatetime 2016-10-25T00:47:00 --delay 2 --endMP 300:22777 --enddatetime 2016-10-25T00:55:32 --enforcementcount 1 &gt;&gt;C:\Users\stu\Documents\GitHub\eaglep3-reporting\EC\2016-10-24-refined-times.txt</v>
      </c>
      <c r="AI207" s="122" t="str">
        <f t="shared" si="78"/>
        <v>echo {"issue":{"subject":"","project_id":79,"tracker_id":40,"status_id":1,"priority_id":2,"assigned_to_id":23,"start_date":"2016-10-25","description":"","custom_fields":[{"id":1,"name":"Subdivision","value":"Other"},{"id":4,"name":"Milepost","value":"2.2777"},{"id":17,"name":"Train ID","value":"309-24"},{"id":16,"name":"Locomotive ID","value":"4002"},{"id":130,"name":"Impact","value":""},{"id":150,"name":"Time of Event (Mountain Time)","value":"00:55:32"},{"id":151,"name":"Denver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1" customFormat="1" x14ac:dyDescent="0.25">
      <c r="A208" s="37" t="s">
        <v>437</v>
      </c>
      <c r="B208" s="7">
        <v>4017</v>
      </c>
      <c r="C208" s="22" t="s">
        <v>99</v>
      </c>
      <c r="D208" s="22" t="s">
        <v>700</v>
      </c>
      <c r="E208" s="13">
        <v>42667.180335648147</v>
      </c>
      <c r="F208" s="13">
        <v>42667.181481481479</v>
      </c>
      <c r="G208" s="7">
        <v>1</v>
      </c>
      <c r="H208" s="13" t="s">
        <v>624</v>
      </c>
      <c r="I208" s="13">
        <v>42667.188194444447</v>
      </c>
      <c r="J208" s="7">
        <v>1</v>
      </c>
      <c r="K208" s="112" t="str">
        <f t="shared" si="79"/>
        <v>4017/4018</v>
      </c>
      <c r="L208" s="22" t="str">
        <f>VLOOKUP(A208,'Trips&amp;Operators'!$C$1:$E$10000,3,FALSE)</f>
        <v>YORK</v>
      </c>
      <c r="M208" s="6">
        <f t="shared" si="80"/>
        <v>6.7129629678674974E-3</v>
      </c>
      <c r="N208" s="7">
        <f t="shared" si="81"/>
        <v>9.6666666737291962</v>
      </c>
      <c r="O208" s="7"/>
      <c r="P208" s="7"/>
      <c r="Q208" s="23"/>
      <c r="R208" s="23"/>
      <c r="S208" s="35">
        <f t="shared" si="82"/>
        <v>1</v>
      </c>
      <c r="T208" s="50" t="str">
        <f t="shared" si="83"/>
        <v>Southbound</v>
      </c>
      <c r="U208" s="1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03:19:41-0600',mode:absolute,to:'2016-10-24 05:31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8" s="52" t="str">
        <f t="shared" si="66"/>
        <v>Y</v>
      </c>
      <c r="X208" s="171">
        <f t="shared" si="85"/>
        <v>1</v>
      </c>
      <c r="Y208" s="67">
        <f t="shared" si="86"/>
        <v>2.3468</v>
      </c>
      <c r="Z208" s="67">
        <f t="shared" si="87"/>
        <v>1.5800000000000002E-2</v>
      </c>
      <c r="AA208" s="67">
        <f t="shared" si="88"/>
        <v>2.331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89"/>
        <v>0310-24</v>
      </c>
      <c r="AE208" s="91" t="str">
        <f t="shared" si="90"/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AF208" s="88" t="str">
        <f t="shared" si="91"/>
        <v>"C:\Program Files (x86)\AstroGrep\AstroGrep.exe" /spath="%USERPROFILE%\AppData\Local\Temp\OnboardLogs" /stypes="app*4017*20161024*" /stext=" 10:.+((SYSTEM_STATE.+slice.+state.+changed )|(ment ac)|(system.+state.+changed )|(\[timeout)|(PRM\|1\|D)|(kpr)|(kdp)|(\|lc)|(penalty))" /e /r /s</v>
      </c>
      <c r="AG208" s="1" t="str">
        <f t="shared" si="92"/>
        <v>Other</v>
      </c>
      <c r="AH208" s="92" t="str">
        <f t="shared" si="77"/>
        <v>"%USERPROFILE%\Documents\GitHub\eaglep3\Utilities\RefineRTDCRunTimes.py" --tripid 310-24 --locoid 4017 --swversion DE.1.0.7.0 --startMP 300:23468 --initTime 2016-10-24T04:19:41 --startdatetime 2016-10-24T04:21:20 --delay 1 --endMP 204:158 --enddatetime 2016-10-24T04:31:00 --enforcementcount 1 &gt;&gt;C:\Users\stu\Documents\GitHub\eaglep3-reporting\EC\2016-10-24-refined-times.txt</v>
      </c>
      <c r="AI208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{"issue":{"subject":"","project_id":79,"tracker_id":40,"status_id":1,"priority_id":2,"assigned_to_id":23,"start_date":"2016-10-24","description":"","custom_fields":[{"id":1,"name":"Subdivision","value":"Other"},{"id":4,"name":"Milepost","value":"0.0158"},{"id":17,"name":"Train ID","value":"310-24"},{"id":16,"name":"Locomotive ID","value":"4017"},{"id":130,"name":"Impact","value":""},{"id":150,"name":"Time of Event (Mountain Time)","value":"04:31:00"},{"id":151,"name":"Denver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607</v>
      </c>
      <c r="B209" s="7">
        <v>4022</v>
      </c>
      <c r="C209" s="22" t="s">
        <v>99</v>
      </c>
      <c r="D209" s="22" t="s">
        <v>701</v>
      </c>
      <c r="E209" s="13">
        <v>42668.047997685186</v>
      </c>
      <c r="F209" s="13">
        <v>25568.708333333332</v>
      </c>
      <c r="G209" s="7">
        <v>1</v>
      </c>
      <c r="H209" s="13" t="s">
        <v>702</v>
      </c>
      <c r="I209" s="13">
        <v>25568.708333333332</v>
      </c>
      <c r="J209" s="7">
        <v>1</v>
      </c>
      <c r="K209" s="112" t="str">
        <f t="shared" si="79"/>
        <v>4021/4022</v>
      </c>
      <c r="L209" s="22" t="str">
        <f>VLOOKUP(A209,'Trips&amp;Operators'!$C$1:$E$10000,3,FALSE)</f>
        <v>NEWELL</v>
      </c>
      <c r="M209" s="6">
        <f t="shared" si="80"/>
        <v>0</v>
      </c>
      <c r="N209" s="7">
        <f t="shared" si="81"/>
        <v>0</v>
      </c>
      <c r="O209" s="7"/>
      <c r="P209" s="7"/>
      <c r="Q209" s="23"/>
      <c r="R209" s="23"/>
      <c r="S209" s="35">
        <f t="shared" si="82"/>
        <v>1</v>
      </c>
      <c r="T209" s="50" t="str">
        <f t="shared" si="83"/>
        <v>NorthBound</v>
      </c>
      <c r="U209" s="1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https://search-rtdc-monitor-bjffxe2xuh6vdkpspy63sjmuny.us-east-1.es.amazonaws.com/_plugin/kibana/#/discover/Steve-Slow-Train-Analysis-(2080s-and-2083s)?_g=(refreshInterval:(display:Off,section:0,value:0),time:(from:'2016-10-25 00:09:07-0600',mode:absolute,to:'1969-12-31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9" s="52" t="str">
        <f t="shared" si="66"/>
        <v>Y</v>
      </c>
      <c r="X209" s="171">
        <f t="shared" si="85"/>
        <v>1</v>
      </c>
      <c r="Y209" s="67">
        <f t="shared" si="86"/>
        <v>7.4099999999999999E-2</v>
      </c>
      <c r="Z209" s="67">
        <f t="shared" si="87"/>
        <v>2.3300999999999998</v>
      </c>
      <c r="AA209" s="67">
        <f t="shared" si="88"/>
        <v>2.2559999999999998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89"/>
        <v>0311-24</v>
      </c>
      <c r="AE209" s="91" t="str">
        <f t="shared" si="90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9" s="88" t="str">
        <f t="shared" si="91"/>
        <v>"C:\Program Files (x86)\AstroGrep\AstroGrep.exe" /spath="%USERPROFILE%\AppData\Local\Temp\OnboardLogs" /stypes="app*4022*19691231*" /stext=" 23:.+((SYSTEM_STATE.+slice.+state.+changed )|(ment ac)|(system.+state.+changed )|(\[timeout)|(PRM\|1\|D)|(kpr)|(kdp)|(\|lc)|(penalty))" /e /r /s</v>
      </c>
      <c r="AG209" s="1" t="str">
        <f t="shared" si="92"/>
        <v>Other</v>
      </c>
      <c r="AH209" s="92" t="str">
        <f t="shared" si="77"/>
        <v>"%USERPROFILE%\Documents\GitHub\eaglep3\Utilities\RefineRTDCRunTimes.py" --tripid 311-24 --locoid 4022 --swversion DE.1.0.7.0 --startMP 204:741 --initTime 2016-10-25T01:09:07 --startdatetime 1969-12-31T17:00:00 --delay 1 --endMP 300:23301 --enddatetime 1969-12-31T17:00:00 --enforcementcount 1 &gt;&gt;C:\Users\stu\Documents\GitHub\eaglep3-reporting\EC\2016-10-24-refined-times.txt</v>
      </c>
      <c r="AI209" s="122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ID","value":"311-24"},{"id":16,"name":"Locomotive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7" t="s">
        <v>609</v>
      </c>
      <c r="B210" s="7">
        <v>4011</v>
      </c>
      <c r="C210" s="22" t="s">
        <v>99</v>
      </c>
      <c r="D210" s="22" t="s">
        <v>703</v>
      </c>
      <c r="E210" s="13">
        <v>42668.077430555553</v>
      </c>
      <c r="F210" s="13">
        <v>42668.07916666667</v>
      </c>
      <c r="G210" s="7">
        <v>2</v>
      </c>
      <c r="H210" s="13" t="s">
        <v>704</v>
      </c>
      <c r="I210" s="13">
        <v>42668.085324074076</v>
      </c>
      <c r="J210" s="7">
        <v>1</v>
      </c>
      <c r="K210" s="112" t="str">
        <f t="shared" si="79"/>
        <v>4011/4012</v>
      </c>
      <c r="L210" s="22" t="str">
        <f>VLOOKUP(A210,'Trips&amp;Operators'!$C$1:$E$10000,3,FALSE)</f>
        <v>CHANDLER</v>
      </c>
      <c r="M210" s="6">
        <f t="shared" si="80"/>
        <v>6.1574074061354622E-3</v>
      </c>
      <c r="N210" s="7">
        <f t="shared" si="81"/>
        <v>8.8666666648350656</v>
      </c>
      <c r="O210" s="7"/>
      <c r="P210" s="7"/>
      <c r="Q210" s="23"/>
      <c r="R210" s="23"/>
      <c r="S210" s="35">
        <f t="shared" si="82"/>
        <v>1</v>
      </c>
      <c r="T210" s="50" t="str">
        <f t="shared" si="83"/>
        <v>NorthBound</v>
      </c>
      <c r="U210" s="1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https://search-rtdc-monitor-bjffxe2xuh6vdkpspy63sjmuny.us-east-1.es.amazonaws.com/_plugin/kibana/#/discover/Steve-Slow-Train-Analysis-(2080s-and-2083s)?_g=(refreshInterval:(display:Off,section:0,value:0),time:(from:'2016-10-25 00:51:30-0600',mode:absolute,to:'2016-10-25 03:02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0" s="52" t="str">
        <f t="shared" si="66"/>
        <v>Y</v>
      </c>
      <c r="X210" s="171">
        <f t="shared" si="85"/>
        <v>2</v>
      </c>
      <c r="Y210" s="67">
        <f t="shared" si="86"/>
        <v>7.1900000000000006E-2</v>
      </c>
      <c r="Z210" s="67">
        <f t="shared" si="87"/>
        <v>2.2242000000000002</v>
      </c>
      <c r="AA210" s="67">
        <f t="shared" si="88"/>
        <v>2.1523000000000003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89"/>
        <v>0313-24</v>
      </c>
      <c r="AE210" s="91" t="str">
        <f t="shared" si="90"/>
        <v>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 &amp; aws s3 cp s3://rtdc.mdm.uploadarchive.raw/RTDC4011/ "%USERPROFILE%\AppData\Local\Temp\OnboardLogs"\RTDC4011\2016-10-26 --exclude "*" --recursive --include "*20161026*" &amp; "%USERPROFILE%\Documents\GitHub\mrs-test-scripts\Headless Mode &amp; Sideloading\WalkAndUnGZ.bat" "%USERPROFILE%\AppData\Local\Temp\OnboardLogs"\RTDC4011\2016-10-26</v>
      </c>
      <c r="AF210" s="88" t="str">
        <f t="shared" si="91"/>
        <v>"C:\Program Files (x86)\AstroGrep\AstroGrep.exe" /spath="%USERPROFILE%\AppData\Local\Temp\OnboardLogs" /stypes="app*4011*20161025*" /stext=" 08:.+((SYSTEM_STATE.+slice.+state.+changed )|(ment ac)|(system.+state.+changed )|(\[timeout)|(PRM\|1\|D)|(kpr)|(kdp)|(\|lc)|(penalty))" /e /r /s</v>
      </c>
      <c r="AG210" s="1" t="str">
        <f t="shared" si="92"/>
        <v>Other</v>
      </c>
      <c r="AH210" s="92" t="str">
        <f t="shared" si="77"/>
        <v>"%USERPROFILE%\Documents\GitHub\eaglep3\Utilities\RefineRTDCRunTimes.py" --tripid 313-24 --locoid 4011 --swversion DE.1.0.7.0 --startMP 204:719 --initTime 2016-10-25T01:51:30 --startdatetime 2016-10-25T01:54:00 --delay 2 --endMP 300:22242 --enddatetime 2016-10-25T02:02:52 --enforcementcount 1 &gt;&gt;C:\Users\stu\Documents\GitHub\eaglep3-reporting\EC\2016-10-24-refined-times.txt</v>
      </c>
      <c r="AI210" s="122" t="str">
        <f t="shared" si="78"/>
        <v>echo {"issue":{"subject":"","project_id":79,"tracker_id":40,"status_id":1,"priority_id":2,"assigned_to_id":23,"start_date":"2016-10-25","description":"","custom_fields":[{"id":1,"name":"Subdivision","value":"Other"},{"id":4,"name":"Milepost","value":"2.2242"},{"id":17,"name":"Train ID","value":"313-24"},{"id":16,"name":"Locomotive ID","value":"4011"},{"id":130,"name":"Impact","value":""},{"id":150,"name":"Time of Event (Mountain Time)","value":"02:02:52"},{"id":151,"name":"Denver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x14ac:dyDescent="0.25">
      <c r="A211" s="37" t="s">
        <v>610</v>
      </c>
      <c r="B211" s="7">
        <v>4016</v>
      </c>
      <c r="C211" s="22" t="s">
        <v>99</v>
      </c>
      <c r="D211" s="22" t="s">
        <v>340</v>
      </c>
      <c r="E211" s="13">
        <v>42668.08865740741</v>
      </c>
      <c r="F211" s="13">
        <v>25568.708333333332</v>
      </c>
      <c r="G211" s="7">
        <v>1</v>
      </c>
      <c r="H211" s="13" t="s">
        <v>705</v>
      </c>
      <c r="I211" s="13">
        <v>25568.708333333332</v>
      </c>
      <c r="J211" s="7">
        <v>1</v>
      </c>
      <c r="K211" s="112" t="str">
        <f t="shared" si="79"/>
        <v>4015/4016</v>
      </c>
      <c r="L211" s="22" t="str">
        <f>VLOOKUP(A211,'Trips&amp;Operators'!$C$1:$E$10000,3,FALSE)</f>
        <v>YANAI</v>
      </c>
      <c r="M211" s="6">
        <f t="shared" si="80"/>
        <v>0</v>
      </c>
      <c r="N211" s="7">
        <f t="shared" si="81"/>
        <v>0</v>
      </c>
      <c r="O211" s="7"/>
      <c r="P211" s="7"/>
      <c r="Q211" s="23"/>
      <c r="R211" s="23"/>
      <c r="S211" s="35">
        <f t="shared" si="82"/>
        <v>1</v>
      </c>
      <c r="T211" s="50" t="str">
        <f t="shared" si="83"/>
        <v>NorthBound</v>
      </c>
      <c r="U211" s="17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https://search-rtdc-monitor-bjffxe2xuh6vdkpspy63sjmuny.us-east-1.es.amazonaws.com/_plugin/kibana/#/discover/Steve-Slow-Train-Analysis-(2080s-and-2083s)?_g=(refreshInterval:(display:Off,section:0,value:0),time:(from:'2016-10-25 01:07:40-0600',mode:absolute,to:'1969-12-31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1" s="52" t="str">
        <f t="shared" si="66"/>
        <v>Y</v>
      </c>
      <c r="X211" s="171">
        <f t="shared" si="85"/>
        <v>2</v>
      </c>
      <c r="Y211" s="67">
        <f t="shared" si="86"/>
        <v>7.5200000000000003E-2</v>
      </c>
      <c r="Z211" s="67">
        <f t="shared" si="87"/>
        <v>2.3108</v>
      </c>
      <c r="AA211" s="67">
        <f t="shared" si="88"/>
        <v>2.2355999999999998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89"/>
        <v>0315-24</v>
      </c>
      <c r="AE211" s="91" t="str">
        <f t="shared" si="90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1" s="88" t="str">
        <f t="shared" si="91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11" s="1" t="str">
        <f t="shared" si="92"/>
        <v>Other</v>
      </c>
      <c r="AH211" s="92" t="str">
        <f t="shared" si="77"/>
        <v>"%USERPROFILE%\Documents\GitHub\eaglep3\Utilities\RefineRTDCRunTimes.py" --tripid 315-24 --locoid 4016 --swversion DE.1.0.7.0 --startMP 204:752 --initTime 2016-10-25T02:07:40 --startdatetime 1969-12-31T17:00:00 --delay 1 --endMP 300:23108 --enddatetime 1969-12-31T17:00:00 --enforcementcount 1 &gt;&gt;C:\Users\stu\Documents\GitHub\eaglep3-reporting\EC\2016-10-24-refined-times.txt</v>
      </c>
      <c r="AI211" s="122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{"issue":{"subject":"","project_id":79,"tracker_id":40,"status_id":1,"priority_id":2,"assigned_to_id":23,"start_date":"1969-12-31","description":"","custom_fields":[{"id":1,"name":"Subdivision","value":"Other"},{"id":4,"name":"Milepost","value":"2.3108"},{"id":17,"name":"Train ID","value":"315-24"},{"id":16,"name":"Locomotive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s="21" customFormat="1" x14ac:dyDescent="0.25">
      <c r="A212" s="37" t="s">
        <v>389</v>
      </c>
      <c r="B212" s="7">
        <v>4009</v>
      </c>
      <c r="C212" s="22" t="s">
        <v>99</v>
      </c>
      <c r="D212" s="22" t="s">
        <v>785</v>
      </c>
      <c r="E212" s="13">
        <v>42667.20584490741</v>
      </c>
      <c r="F212" s="13">
        <v>42667.207002314812</v>
      </c>
      <c r="G212" s="7">
        <v>1</v>
      </c>
      <c r="H212" s="13" t="s">
        <v>786</v>
      </c>
      <c r="I212" s="13">
        <v>42667.213009259256</v>
      </c>
      <c r="J212" s="7">
        <v>1</v>
      </c>
      <c r="K212" s="112" t="str">
        <f t="shared" si="79"/>
        <v>4009/4010</v>
      </c>
      <c r="L212" s="22" t="str">
        <f>VLOOKUP(A212,'Trips&amp;Operators'!$C$1:$E$10000,3,FALSE)</f>
        <v>DAVIS</v>
      </c>
      <c r="M212" s="6">
        <f t="shared" si="80"/>
        <v>6.0069444443797693E-3</v>
      </c>
      <c r="N212" s="7">
        <f t="shared" si="81"/>
        <v>8.6499999999068677</v>
      </c>
      <c r="O212" s="7"/>
      <c r="P212" s="7"/>
      <c r="Q212" s="23"/>
      <c r="R212" s="23"/>
      <c r="S212" s="35">
        <f t="shared" si="82"/>
        <v>0</v>
      </c>
      <c r="T212" s="50" t="str">
        <f t="shared" si="83"/>
        <v>NorthBound</v>
      </c>
      <c r="U212" s="17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03:56:25-0600',mode:absolute,to:'2016-10-24 06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2" s="52" t="str">
        <f t="shared" si="66"/>
        <v>Y</v>
      </c>
      <c r="X212" s="171">
        <f t="shared" si="85"/>
        <v>586</v>
      </c>
      <c r="Y212" s="67">
        <f t="shared" si="86"/>
        <v>3.0253999999999999</v>
      </c>
      <c r="Z212" s="67">
        <f t="shared" si="87"/>
        <v>5.8082000000000003</v>
      </c>
      <c r="AA212" s="67">
        <f t="shared" si="88"/>
        <v>2.7828000000000004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89"/>
        <v>0901-24</v>
      </c>
      <c r="AE212" s="91" t="str">
        <f t="shared" si="90"/>
        <v>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 &amp; 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</v>
      </c>
      <c r="AF212" s="88" t="str">
        <f t="shared" si="91"/>
        <v>"C:\Program Files (x86)\AstroGrep\AstroGrep.exe" /spath="%USERPROFILE%\AppData\Local\Temp\OnboardLogs" /stypes="app*4009*20161024*" /stext=" 11:.+((SYSTEM_STATE.+slice.+state.+changed )|(ment ac)|(system.+state.+changed )|(\[timeout)|(PRM\|1\|D)|(kpr)|(kdp)|(\|lc)|(penalty))" /e /r /s</v>
      </c>
      <c r="AG212" s="1" t="str">
        <f t="shared" si="92"/>
        <v>Other</v>
      </c>
      <c r="AH212" s="92" t="str">
        <f t="shared" si="77"/>
        <v>"%USERPROFILE%\Documents\GitHub\eaglep3\Utilities\RefineRTDCRunTimes.py" --tripid 901-24 --locoid 4009 --swversion DE.1.0.7.0 --startMP 300:30254 --initTime 2016-10-24T04:56:25 --startdatetime 2016-10-24T04:58:05 --delay 1 --endMP 300:58082 --enddatetime 2016-10-24T05:06:44 --enforcementcount 1 &gt;&gt;C:\Users\stu\Documents\GitHub\eaglep3-reporting\EC\2016-10-24-refined-times.txt</v>
      </c>
      <c r="AI212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{"issue":{"subject":"","project_id":79,"tracker_id":40,"status_id":1,"priority_id":2,"assigned_to_id":23,"start_date":"2016-10-24","description":"","custom_fields":[{"id":1,"name":"Subdivision","value":"Other"},{"id":4,"name":"Milepost","value":"5.8082"},{"id":17,"name":"Train ID","value":"901-24"},{"id":16,"name":"Locomotive ID","value":"4009"},{"id":130,"name":"Impact","value":""},{"id":150,"name":"Time of Event (Mountain Time)","value":"05:06:44"},{"id":151,"name":"Denver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7" t="s">
        <v>451</v>
      </c>
      <c r="B213" s="7">
        <v>4028</v>
      </c>
      <c r="C213" s="22" t="s">
        <v>99</v>
      </c>
      <c r="D213" s="22" t="s">
        <v>787</v>
      </c>
      <c r="E213" s="13">
        <v>42667.254606481481</v>
      </c>
      <c r="F213" s="13">
        <v>42667.256145833337</v>
      </c>
      <c r="G213" s="7">
        <v>1</v>
      </c>
      <c r="H213" s="13" t="s">
        <v>771</v>
      </c>
      <c r="I213" s="13">
        <v>42667.261747685188</v>
      </c>
      <c r="J213" s="7">
        <v>1</v>
      </c>
      <c r="K213" s="112" t="str">
        <f t="shared" si="79"/>
        <v>4027/4028</v>
      </c>
      <c r="L213" s="22" t="str">
        <f>VLOOKUP(A213,'Trips&amp;Operators'!$C$1:$E$10000,3,FALSE)</f>
        <v>ROCHA</v>
      </c>
      <c r="M213" s="6">
        <f t="shared" si="80"/>
        <v>5.6018518516793847E-3</v>
      </c>
      <c r="N213" s="7">
        <f t="shared" si="81"/>
        <v>8.066666666418314</v>
      </c>
      <c r="O213" s="7"/>
      <c r="P213" s="7"/>
      <c r="Q213" s="23"/>
      <c r="R213" s="23"/>
      <c r="S213" s="35">
        <f t="shared" si="82"/>
        <v>1</v>
      </c>
      <c r="T213" s="50" t="str">
        <f t="shared" si="83"/>
        <v>Southbound</v>
      </c>
      <c r="U213" s="17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05:06:38-0600',mode:absolute,to:'2016-10-24 07:16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3" s="52" t="str">
        <f t="shared" ref="W213:W225" si="93">IF(AA213&lt;IF(AG213="EC",23,5.65),"Y","N")</f>
        <v>Y</v>
      </c>
      <c r="X213" s="171">
        <f t="shared" si="85"/>
        <v>1</v>
      </c>
      <c r="Y213" s="67">
        <f t="shared" si="86"/>
        <v>2.1884000000000001</v>
      </c>
      <c r="Z213" s="67">
        <f t="shared" si="87"/>
        <v>6.7100000000000007E-2</v>
      </c>
      <c r="AA213" s="67">
        <f t="shared" si="88"/>
        <v>2.1213000000000002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89"/>
        <v>0902-24</v>
      </c>
      <c r="AE213" s="91" t="str">
        <f t="shared" si="9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213" s="88" t="str">
        <f t="shared" si="91"/>
        <v>"C:\Program Files (x86)\AstroGrep\AstroGrep.exe" /spath="%USERPROFILE%\AppData\Local\Temp\OnboardLogs" /stypes="app*4028*20161024*" /stext=" 12:.+((SYSTEM_STATE.+slice.+state.+changed )|(ment ac)|(system.+state.+changed )|(\[timeout)|(PRM\|1\|D)|(kpr)|(kdp)|(\|lc)|(penalty))" /e /r /s</v>
      </c>
      <c r="AG213" s="1" t="str">
        <f t="shared" si="92"/>
        <v>Other</v>
      </c>
      <c r="AH213" s="92" t="str">
        <f t="shared" si="77"/>
        <v>"%USERPROFILE%\Documents\GitHub\eaglep3\Utilities\RefineRTDCRunTimes.py" --tripid 902-24 --locoid 4028 --swversion DE.1.0.7.0 --startMP 300:21884 --initTime 2016-10-24T06:06:38 --startdatetime 2016-10-24T06:08:51 --delay 1 --endMP 204:671 --enddatetime 2016-10-24T06:16:55 --enforcementcount 1 &gt;&gt;C:\Users\stu\Documents\GitHub\eaglep3-reporting\EC\2016-10-24-refined-times.txt</v>
      </c>
      <c r="AI213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{"issue":{"subject":"","project_id":79,"tracker_id":40,"status_id":1,"priority_id":2,"assigned_to_id":23,"start_date":"2016-10-24","description":"","custom_fields":[{"id":1,"name":"Subdivision","value":"Other"},{"id":4,"name":"Milepost","value":"0.0671"},{"id":17,"name":"Train ID","value":"902-24"},{"id":16,"name":"Locomotive ID","value":"4028"},{"id":130,"name":"Impact","value":""},{"id":150,"name":"Time of Event (Mountain Time)","value":"06:16:55"},{"id":151,"name":"Denver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s="21" customFormat="1" x14ac:dyDescent="0.25">
      <c r="A214" s="37" t="s">
        <v>472</v>
      </c>
      <c r="B214" s="7">
        <v>4009</v>
      </c>
      <c r="C214" s="22" t="s">
        <v>99</v>
      </c>
      <c r="D214" s="22" t="s">
        <v>788</v>
      </c>
      <c r="E214" s="13">
        <v>42667.354363425926</v>
      </c>
      <c r="F214" s="13">
        <v>42667.355682870373</v>
      </c>
      <c r="G214" s="7">
        <v>1</v>
      </c>
      <c r="H214" s="13" t="s">
        <v>789</v>
      </c>
      <c r="I214" s="13">
        <v>42667.362407407411</v>
      </c>
      <c r="J214" s="7">
        <v>1</v>
      </c>
      <c r="K214" s="112" t="str">
        <f t="shared" si="79"/>
        <v>4009/4010</v>
      </c>
      <c r="L214" s="22" t="str">
        <f>VLOOKUP(A214,'Trips&amp;Operators'!$C$1:$E$10000,3,FALSE)</f>
        <v>DAVIS</v>
      </c>
      <c r="M214" s="6">
        <f t="shared" si="80"/>
        <v>6.7245370373711921E-3</v>
      </c>
      <c r="N214" s="7">
        <f t="shared" si="81"/>
        <v>9.6833333338145167</v>
      </c>
      <c r="O214" s="7"/>
      <c r="P214" s="7"/>
      <c r="Q214" s="23"/>
      <c r="R214" s="23"/>
      <c r="S214" s="35">
        <f t="shared" si="82"/>
        <v>1</v>
      </c>
      <c r="T214" s="50" t="str">
        <f t="shared" si="83"/>
        <v>NorthBound</v>
      </c>
      <c r="U214" s="17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07:30:17-0600',mode:absolute,to:'2016-10-24 09:41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4" s="52" t="str">
        <f t="shared" si="93"/>
        <v>Y</v>
      </c>
      <c r="X214" s="171">
        <f t="shared" si="85"/>
        <v>1</v>
      </c>
      <c r="Y214" s="67">
        <f t="shared" si="86"/>
        <v>9.3700000000000006E-2</v>
      </c>
      <c r="Z214" s="67">
        <f t="shared" si="87"/>
        <v>2.5465</v>
      </c>
      <c r="AA214" s="67">
        <f t="shared" si="88"/>
        <v>2.4527999999999999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89"/>
        <v>0903-24</v>
      </c>
      <c r="AE214" s="91" t="str">
        <f t="shared" si="90"/>
        <v>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 &amp; 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</v>
      </c>
      <c r="AF214" s="88" t="str">
        <f t="shared" si="91"/>
        <v>"C:\Program Files (x86)\AstroGrep\AstroGrep.exe" /spath="%USERPROFILE%\AppData\Local\Temp\OnboardLogs" /stypes="app*4009*20161024*" /stext=" 14:.+((SYSTEM_STATE.+slice.+state.+changed )|(ment ac)|(system.+state.+changed )|(\[timeout)|(PRM\|1\|D)|(kpr)|(kdp)|(\|lc)|(penalty))" /e /r /s</v>
      </c>
      <c r="AG214" s="1" t="str">
        <f t="shared" si="92"/>
        <v>Other</v>
      </c>
      <c r="AH214" s="92" t="str">
        <f t="shared" si="77"/>
        <v>"%USERPROFILE%\Documents\GitHub\eaglep3\Utilities\RefineRTDCRunTimes.py" --tripid 903-24 --locoid 4009 --swversion DE.1.0.7.0 --startMP 204:937 --initTime 2016-10-24T08:30:17 --startdatetime 2016-10-24T08:32:11 --delay 1 --endMP 300:25465 --enddatetime 2016-10-24T08:41:52 --enforcementcount 1 &gt;&gt;C:\Users\stu\Documents\GitHub\eaglep3-reporting\EC\2016-10-24-refined-times.txt</v>
      </c>
      <c r="AI214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{"issue":{"subject":"","project_id":79,"tracker_id":40,"status_id":1,"priority_id":2,"assigned_to_id":23,"start_date":"2016-10-24","description":"","custom_fields":[{"id":1,"name":"Subdivision","value":"Other"},{"id":4,"name":"Milepost","value":"2.5465"},{"id":17,"name":"Train ID","value":"903-24"},{"id":16,"name":"Locomotive ID","value":"4009"},{"id":130,"name":"Impact","value":""},{"id":150,"name":"Time of Event (Mountain Time)","value":"08:41:52"},{"id":151,"name":"Denver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1" customFormat="1" x14ac:dyDescent="0.25">
      <c r="A215" s="37" t="s">
        <v>538</v>
      </c>
      <c r="B215" s="7">
        <v>4010</v>
      </c>
      <c r="C215" s="22" t="s">
        <v>99</v>
      </c>
      <c r="D215" s="22" t="s">
        <v>790</v>
      </c>
      <c r="E215" s="13">
        <v>42667.651539351849</v>
      </c>
      <c r="F215" s="13">
        <v>42667.655486111114</v>
      </c>
      <c r="G215" s="7">
        <v>5</v>
      </c>
      <c r="H215" s="13" t="s">
        <v>791</v>
      </c>
      <c r="I215" s="13">
        <v>42667.661145833335</v>
      </c>
      <c r="J215" s="7">
        <v>1</v>
      </c>
      <c r="K215" s="112" t="str">
        <f t="shared" si="79"/>
        <v>4009/4010</v>
      </c>
      <c r="L215" s="22" t="str">
        <f>VLOOKUP(A215,'Trips&amp;Operators'!$C$1:$E$10000,3,FALSE)</f>
        <v>DELGADO</v>
      </c>
      <c r="M215" s="6">
        <f t="shared" si="80"/>
        <v>5.6597222210257314E-3</v>
      </c>
      <c r="N215" s="7">
        <f t="shared" si="81"/>
        <v>8.1499999982770532</v>
      </c>
      <c r="O215" s="7"/>
      <c r="P215" s="7"/>
      <c r="Q215" s="23"/>
      <c r="R215" s="23"/>
      <c r="S215" s="35">
        <f t="shared" si="82"/>
        <v>1</v>
      </c>
      <c r="T215" s="50" t="str">
        <f t="shared" si="83"/>
        <v>Southbound</v>
      </c>
      <c r="U215" s="17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14:38:13-0600',mode:absolute,to:'2016-10-24 16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5" s="52" t="str">
        <f t="shared" si="93"/>
        <v>Y</v>
      </c>
      <c r="X215" s="171">
        <f t="shared" si="85"/>
        <v>1</v>
      </c>
      <c r="Y215" s="67">
        <f t="shared" si="86"/>
        <v>2.2858999999999998</v>
      </c>
      <c r="Z215" s="67">
        <f t="shared" si="87"/>
        <v>9.2200000000000004E-2</v>
      </c>
      <c r="AA215" s="67">
        <f t="shared" si="88"/>
        <v>2.1936999999999998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89"/>
        <v>0904-24</v>
      </c>
      <c r="AE215" s="91" t="str">
        <f t="shared" si="90"/>
        <v>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 &amp; 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</v>
      </c>
      <c r="AF215" s="88" t="str">
        <f t="shared" si="91"/>
        <v>"C:\Program Files (x86)\AstroGrep\AstroGrep.exe" /spath="%USERPROFILE%\AppData\Local\Temp\OnboardLogs" /stypes="app*4010*20161024*" /stext=" 21:.+((SYSTEM_STATE.+slice.+state.+changed )|(ment ac)|(system.+state.+changed )|(\[timeout)|(PRM\|1\|D)|(kpr)|(kdp)|(\|lc)|(penalty))" /e /r /s</v>
      </c>
      <c r="AG215" s="1" t="str">
        <f t="shared" si="92"/>
        <v>Other</v>
      </c>
      <c r="AH215" s="92" t="str">
        <f t="shared" si="77"/>
        <v>"%USERPROFILE%\Documents\GitHub\eaglep3\Utilities\RefineRTDCRunTimes.py" --tripid 904-24 --locoid 4010 --swversion DE.1.0.7.0 --startMP 300:22859 --initTime 2016-10-24T15:38:13 --startdatetime 2016-10-24T15:43:54 --delay 5 --endMP 204:922 --enddatetime 2016-10-24T15:52:03 --enforcementcount 1 &gt;&gt;C:\Users\stu\Documents\GitHub\eaglep3-reporting\EC\2016-10-24-refined-times.txt</v>
      </c>
      <c r="AI215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{"issue":{"subject":"","project_id":79,"tracker_id":40,"status_id":1,"priority_id":2,"assigned_to_id":23,"start_date":"2016-10-24","description":"","custom_fields":[{"id":1,"name":"Subdivision","value":"Other"},{"id":4,"name":"Milepost","value":"0.0922"},{"id":17,"name":"Train ID","value":"904-24"},{"id":16,"name":"Locomotive ID","value":"4010"},{"id":130,"name":"Impact","value":""},{"id":150,"name":"Time of Event (Mountain Time)","value":"15:52:03"},{"id":151,"name":"Denver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7" t="s">
        <v>575</v>
      </c>
      <c r="B216" s="7">
        <v>4010</v>
      </c>
      <c r="C216" s="22" t="s">
        <v>99</v>
      </c>
      <c r="D216" s="22" t="s">
        <v>773</v>
      </c>
      <c r="E216" s="13">
        <v>42667.796840277777</v>
      </c>
      <c r="F216" s="13">
        <v>42667.798229166663</v>
      </c>
      <c r="G216" s="7">
        <v>1</v>
      </c>
      <c r="H216" s="13" t="s">
        <v>792</v>
      </c>
      <c r="I216" s="13">
        <v>42667.803576388891</v>
      </c>
      <c r="J216" s="7">
        <v>1</v>
      </c>
      <c r="K216" s="112" t="str">
        <f t="shared" si="79"/>
        <v>4009/4010</v>
      </c>
      <c r="L216" s="22" t="str">
        <f>VLOOKUP(A216,'Trips&amp;Operators'!$C$1:$E$10000,3,FALSE)</f>
        <v>DELGADO</v>
      </c>
      <c r="M216" s="6">
        <f t="shared" si="80"/>
        <v>5.3472222280106507E-3</v>
      </c>
      <c r="N216" s="7">
        <f t="shared" si="81"/>
        <v>7.700000008335337</v>
      </c>
      <c r="O216" s="7"/>
      <c r="P216" s="7"/>
      <c r="Q216" s="23"/>
      <c r="R216" s="23"/>
      <c r="S216" s="35">
        <f t="shared" si="82"/>
        <v>0</v>
      </c>
      <c r="T216" s="50" t="str">
        <f t="shared" si="83"/>
        <v>Southbound</v>
      </c>
      <c r="U216" s="17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18:07:27-0600',mode:absolute,to:'2016-10-24 20:17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6" s="52" t="str">
        <f t="shared" si="93"/>
        <v>Y</v>
      </c>
      <c r="X216" s="171">
        <f t="shared" si="85"/>
        <v>2</v>
      </c>
      <c r="Y216" s="67">
        <f t="shared" si="86"/>
        <v>5.8615000000000004</v>
      </c>
      <c r="Z216" s="67">
        <f t="shared" si="87"/>
        <v>2.8788</v>
      </c>
      <c r="AA216" s="67">
        <f t="shared" si="88"/>
        <v>2.9827000000000004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89"/>
        <v>0906-24</v>
      </c>
      <c r="AE216" s="91" t="str">
        <f t="shared" si="90"/>
        <v>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 &amp; 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</v>
      </c>
      <c r="AF216" s="88" t="str">
        <f t="shared" si="91"/>
        <v>"C:\Program Files (x86)\AstroGrep\AstroGrep.exe" /spath="%USERPROFILE%\AppData\Local\Temp\OnboardLogs" /stypes="app*4010*20161025*" /stext=" 01:.+((SYSTEM_STATE.+slice.+state.+changed )|(ment ac)|(system.+state.+changed )|(\[timeout)|(PRM\|1\|D)|(kpr)|(kdp)|(\|lc)|(penalty))" /e /r /s</v>
      </c>
      <c r="AG216" s="1" t="str">
        <f t="shared" si="92"/>
        <v>Other</v>
      </c>
      <c r="AH216" s="92" t="str">
        <f t="shared" si="77"/>
        <v>"%USERPROFILE%\Documents\GitHub\eaglep3\Utilities\RefineRTDCRunTimes.py" --tripid 906-24 --locoid 4010 --swversion DE.1.0.7.0 --startMP 300:58615 --initTime 2016-10-24T19:07:27 --startdatetime 2016-10-24T19:09:27 --delay 1 --endMP 300:28788 --enddatetime 2016-10-24T19:17:09 --enforcementcount 1 &gt;&gt;C:\Users\stu\Documents\GitHub\eaglep3-reporting\EC\2016-10-24-refined-times.txt</v>
      </c>
      <c r="AI216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{"issue":{"subject":"","project_id":79,"tracker_id":40,"status_id":1,"priority_id":2,"assigned_to_id":23,"start_date":"2016-10-24","description":"","custom_fields":[{"id":1,"name":"Subdivision","value":"Other"},{"id":4,"name":"Milepost","value":"2.8788"},{"id":17,"name":"Train ID","value":"906-24"},{"id":16,"name":"Locomotive ID","value":"4010"},{"id":130,"name":"Impact","value":""},{"id":150,"name":"Time of Event (Mountain Time)","value":"19:17:09"},{"id":151,"name":"Denver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s="21" customFormat="1" x14ac:dyDescent="0.25">
      <c r="A217" s="37" t="s">
        <v>597</v>
      </c>
      <c r="B217" s="7">
        <v>4028</v>
      </c>
      <c r="C217" s="22" t="s">
        <v>99</v>
      </c>
      <c r="D217" s="22" t="s">
        <v>793</v>
      </c>
      <c r="E217" s="13">
        <v>42667.943819444445</v>
      </c>
      <c r="F217" s="13">
        <v>42667.945</v>
      </c>
      <c r="G217" s="7">
        <v>0</v>
      </c>
      <c r="H217" s="13" t="s">
        <v>794</v>
      </c>
      <c r="I217" s="13">
        <v>42667.950150462966</v>
      </c>
      <c r="J217" s="7">
        <v>1</v>
      </c>
      <c r="K217" s="112" t="str">
        <f t="shared" si="79"/>
        <v>4027/4028</v>
      </c>
      <c r="L217" s="22" t="str">
        <f>VLOOKUP(A217,'Trips&amp;Operators'!$C$1:$E$10000,3,FALSE)</f>
        <v>DELGADO</v>
      </c>
      <c r="M217" s="6">
        <f t="shared" si="80"/>
        <v>5.1504629664123058E-3</v>
      </c>
      <c r="N217" s="7">
        <f t="shared" si="81"/>
        <v>7.4166666716337204</v>
      </c>
      <c r="O217" s="7"/>
      <c r="P217" s="7"/>
      <c r="Q217" s="23"/>
      <c r="R217" s="23"/>
      <c r="S217" s="35">
        <f t="shared" si="82"/>
        <v>0</v>
      </c>
      <c r="T217" s="50" t="str">
        <f t="shared" si="83"/>
        <v>Southbound</v>
      </c>
      <c r="U217" s="17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21:39:06-0600',mode:absolute,to:'2016-10-24 23:48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7" s="52" t="str">
        <f t="shared" si="93"/>
        <v>Y</v>
      </c>
      <c r="X217" s="171">
        <f t="shared" si="85"/>
        <v>2</v>
      </c>
      <c r="Y217" s="67">
        <f t="shared" si="86"/>
        <v>5.8608000000000002</v>
      </c>
      <c r="Z217" s="67">
        <f t="shared" si="87"/>
        <v>2.1288</v>
      </c>
      <c r="AA217" s="67">
        <f t="shared" si="88"/>
        <v>3.7320000000000002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89"/>
        <v>0908-24</v>
      </c>
      <c r="AE217" s="91" t="str">
        <f t="shared" si="90"/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AF217" s="88" t="str">
        <f t="shared" si="91"/>
        <v>"C:\Program Files (x86)\AstroGrep\AstroGrep.exe" /spath="%USERPROFILE%\AppData\Local\Temp\OnboardLogs" /stypes="app*4028*20161025*" /stext=" 04:.+((SYSTEM_STATE.+slice.+state.+changed )|(ment ac)|(system.+state.+changed )|(\[timeout)|(PRM\|1\|D)|(kpr)|(kdp)|(\|lc)|(penalty))" /e /r /s</v>
      </c>
      <c r="AG217" s="1" t="str">
        <f t="shared" si="92"/>
        <v>Other</v>
      </c>
      <c r="AH217" s="92" t="str">
        <f t="shared" si="77"/>
        <v>"%USERPROFILE%\Documents\GitHub\eaglep3\Utilities\RefineRTDCRunTimes.py" --tripid 908-24 --locoid 4028 --swversion DE.1.0.7.0 --startMP 300:58608 --initTime 2016-10-24T22:39:06 --startdatetime 2016-10-24T22:40:48 --delay 0 --endMP 300:21288 --enddatetime 2016-10-24T22:48:13 --enforcementcount 1 &gt;&gt;C:\Users\stu\Documents\GitHub\eaglep3-reporting\EC\2016-10-24-refined-times.txt</v>
      </c>
      <c r="AI217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{"issue":{"subject":"","project_id":79,"tracker_id":40,"status_id":1,"priority_id":2,"assigned_to_id":23,"start_date":"2016-10-24","description":"","custom_fields":[{"id":1,"name":"Subdivision","value":"Other"},{"id":4,"name":"Milepost","value":"2.1288"},{"id":17,"name":"Train ID","value":"908-24"},{"id":16,"name":"Locomotive ID","value":"4028"},{"id":130,"name":"Impact","value":""},{"id":150,"name":"Time of Event (Mountain Time)","value":"22:48:13"},{"id":151,"name":"Denver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1" customFormat="1" x14ac:dyDescent="0.25">
      <c r="A218" s="37" t="s">
        <v>485</v>
      </c>
      <c r="B218" s="7">
        <v>4005</v>
      </c>
      <c r="C218" s="22" t="s">
        <v>99</v>
      </c>
      <c r="D218" s="22" t="s">
        <v>706</v>
      </c>
      <c r="E218" s="13">
        <v>42667.430543981478</v>
      </c>
      <c r="F218" s="13">
        <v>42667.432291666664</v>
      </c>
      <c r="G218" s="7">
        <v>2</v>
      </c>
      <c r="H218" s="13" t="s">
        <v>707</v>
      </c>
      <c r="I218" s="13">
        <v>42667.438287037039</v>
      </c>
      <c r="J218" s="7">
        <v>1</v>
      </c>
      <c r="K218" s="112" t="str">
        <f t="shared" si="79"/>
        <v>4005/4006</v>
      </c>
      <c r="L218" s="22" t="str">
        <f>VLOOKUP(A218,'Trips&amp;Operators'!$C$1:$E$10000,3,FALSE)</f>
        <v>SWANSON</v>
      </c>
      <c r="M218" s="6">
        <f t="shared" si="80"/>
        <v>5.9953703748760745E-3</v>
      </c>
      <c r="N218" s="7">
        <f t="shared" si="81"/>
        <v>8.6333333398215473</v>
      </c>
      <c r="O218" s="7"/>
      <c r="P218" s="7"/>
      <c r="Q218" s="23"/>
      <c r="R218" s="23"/>
      <c r="S218" s="35">
        <f t="shared" si="82"/>
        <v>0</v>
      </c>
      <c r="T218" s="50" t="e">
        <f t="shared" si="83"/>
        <v>#VALUE!</v>
      </c>
      <c r="U218" s="17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09:19:59-0600',mode:absolute,to:'2016-10-24 11:31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18" s="52" t="str">
        <f t="shared" si="93"/>
        <v>Y</v>
      </c>
      <c r="X218" s="171" t="e">
        <f t="shared" si="85"/>
        <v>#VALUE!</v>
      </c>
      <c r="Y218" s="67">
        <f t="shared" si="86"/>
        <v>2.3109999999999999</v>
      </c>
      <c r="Z218" s="67">
        <f t="shared" si="87"/>
        <v>6.6799999999999998E-2</v>
      </c>
      <c r="AA218" s="67">
        <f t="shared" si="88"/>
        <v>2.2441999999999998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89"/>
        <v>50-24</v>
      </c>
      <c r="AE218" s="91" t="str">
        <f t="shared" si="90"/>
        <v>aws s3 cp s3://rtdc.mdm.uploadarchive.raw/RTDC4005/ "%USERPROFILE%\AppData\Local\Temp\OnboardLogs"\RTDC4005\2016-10-24 --exclude "*" --recursive --include "*20161024*" &amp; "%USERPROFILE%\Documents\GitHub\mrs-test-scripts\Headless Mode &amp; Sideloading\WalkAndUnGZ.bat" "%USERPROFILE%\AppData\Local\Temp\OnboardLogs"\RTDC4005\2016-10-24 &amp; 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</v>
      </c>
      <c r="AF218" s="88" t="str">
        <f t="shared" si="91"/>
        <v>"C:\Program Files (x86)\AstroGrep\AstroGrep.exe" /spath="%USERPROFILE%\AppData\Local\Temp\OnboardLogs" /stypes="app*4005*20161024*" /stext=" 16:.+((SYSTEM_STATE.+slice.+state.+changed )|(ment ac)|(system.+state.+changed )|(\[timeout)|(PRM\|1\|D)|(kpr)|(kdp)|(\|lc)|(penalty))" /e /r /s</v>
      </c>
      <c r="AG218" s="1" t="str">
        <f t="shared" si="92"/>
        <v>Other</v>
      </c>
      <c r="AH218" s="92" t="str">
        <f t="shared" si="77"/>
        <v>"%USERPROFILE%\Documents\GitHub\eaglep3\Utilities\RefineRTDCRunTimes.py" --tripid 50-24 --locoid 4005 --swversion DE.1.0.7.0 --startMP 300:23110 --initTime 2016-10-24T10:19:59 --startdatetime 2016-10-24T10:22:30 --delay 2 --endMP 204:668 --enddatetime 2016-10-24T10:31:08 --enforcementcount 1 &gt;&gt;C:\Users\stu\Documents\GitHub\eaglep3-reporting\EC\2016-10-24-refined-times.txt</v>
      </c>
      <c r="AI218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{"issue":{"subject":"","project_id":79,"tracker_id":40,"status_id":1,"priority_id":2,"assigned_to_id":23,"start_date":"2016-10-24","description":"","custom_fields":[{"id":1,"name":"Subdivision","value":"Other"},{"id":4,"name":"Milepost","value":"0.0668"},{"id":17,"name":"Train ID","value":"50-24"},{"id":16,"name":"Locomotive ID","value":"4005"},{"id":130,"name":"Impact","value":""},{"id":150,"name":"Time of Event (Mountain Time)","value":"10:31:08"},{"id":151,"name":"Denver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493</v>
      </c>
      <c r="B219" s="7">
        <v>4006</v>
      </c>
      <c r="C219" s="22" t="s">
        <v>99</v>
      </c>
      <c r="D219" s="22" t="s">
        <v>375</v>
      </c>
      <c r="E219" s="13">
        <v>42667.471122685187</v>
      </c>
      <c r="F219" s="13">
        <v>25568.708333333332</v>
      </c>
      <c r="G219" s="7">
        <v>2</v>
      </c>
      <c r="H219" s="13" t="s">
        <v>708</v>
      </c>
      <c r="I219" s="13">
        <v>25568.708333333332</v>
      </c>
      <c r="J219" s="7">
        <v>1</v>
      </c>
      <c r="K219" s="112" t="str">
        <f t="shared" si="79"/>
        <v>4005/4006</v>
      </c>
      <c r="L219" s="22" t="str">
        <f>VLOOKUP(A219,'Trips&amp;Operators'!$C$1:$E$10000,3,FALSE)</f>
        <v>GRASTON</v>
      </c>
      <c r="M219" s="6">
        <f t="shared" si="80"/>
        <v>0</v>
      </c>
      <c r="N219" s="7">
        <f t="shared" si="81"/>
        <v>0</v>
      </c>
      <c r="O219" s="7"/>
      <c r="P219" s="7"/>
      <c r="Q219" s="23"/>
      <c r="R219" s="23"/>
      <c r="S219" s="35">
        <f t="shared" si="82"/>
        <v>0</v>
      </c>
      <c r="T219" s="50" t="e">
        <f t="shared" si="83"/>
        <v>#VALUE!</v>
      </c>
      <c r="U219" s="17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10:18:25-0600',mode:absolute,to:'1969-12-31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19" s="52" t="str">
        <f t="shared" si="93"/>
        <v>Y</v>
      </c>
      <c r="X219" s="171" t="e">
        <f t="shared" si="85"/>
        <v>#VALUE!</v>
      </c>
      <c r="Y219" s="67">
        <f t="shared" si="86"/>
        <v>4.3700000000000003E-2</v>
      </c>
      <c r="Z219" s="67">
        <f t="shared" si="87"/>
        <v>2.4270999999999998</v>
      </c>
      <c r="AA219" s="67">
        <f t="shared" si="88"/>
        <v>2.3834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89"/>
        <v>51-24</v>
      </c>
      <c r="AE219" s="91" t="str">
        <f t="shared" si="90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19" s="88" t="str">
        <f t="shared" si="91"/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19" s="1" t="str">
        <f t="shared" si="92"/>
        <v>Other</v>
      </c>
      <c r="AH219" s="92" t="str">
        <f t="shared" si="77"/>
        <v>"%USERPROFILE%\Documents\GitHub\eaglep3\Utilities\RefineRTDCRunTimes.py" --tripid 51-24 --locoid 4006 --swversion DE.1.0.7.0 --startMP 204:437 --initTime 2016-10-24T11:18:25 --startdatetime 1969-12-31T17:00:00 --delay 2 --endMP 300:24271 --enddatetime 1969-12-31T17:00:00 --enforcementcount 1 &gt;&gt;C:\Users\stu\Documents\GitHub\eaglep3-reporting\EC\2016-10-24-refined-times.txt</v>
      </c>
      <c r="AI219" s="122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{"issue":{"subject":"","project_id":79,"tracker_id":40,"status_id":1,"priority_id":2,"assigned_to_id":23,"start_date":"1969-12-31","description":"","custom_fields":[{"id":1,"name":"Subdivision","value":"Other"},{"id":4,"name":"Milepost","value":"2.4271"},{"id":17,"name":"Train ID","value":"51-24"},{"id":16,"name":"Locomotive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413</v>
      </c>
      <c r="B220" s="7">
        <v>4030</v>
      </c>
      <c r="C220" s="22" t="s">
        <v>99</v>
      </c>
      <c r="D220" s="22" t="s">
        <v>709</v>
      </c>
      <c r="E220" s="13">
        <v>42667.456689814811</v>
      </c>
      <c r="F220" s="13">
        <v>42667.457951388889</v>
      </c>
      <c r="G220" s="7">
        <v>1</v>
      </c>
      <c r="H220" s="13" t="s">
        <v>710</v>
      </c>
      <c r="I220" s="13">
        <v>42667.465474537035</v>
      </c>
      <c r="J220" s="7">
        <v>1</v>
      </c>
      <c r="K220" s="112" t="str">
        <f t="shared" si="79"/>
        <v>4029/4030</v>
      </c>
      <c r="L220" s="22" t="str">
        <f>VLOOKUP(A220,'Trips&amp;Operators'!$C$1:$E$10000,3,FALSE)</f>
        <v>BONDS</v>
      </c>
      <c r="M220" s="6">
        <f t="shared" si="80"/>
        <v>7.5231481459923089E-3</v>
      </c>
      <c r="N220" s="7">
        <f t="shared" si="81"/>
        <v>10.833333330228925</v>
      </c>
      <c r="O220" s="7"/>
      <c r="P220" s="7"/>
      <c r="Q220" s="23"/>
      <c r="R220" s="23"/>
      <c r="S220" s="35">
        <f t="shared" si="82"/>
        <v>0</v>
      </c>
      <c r="T220" s="50" t="e">
        <f t="shared" si="83"/>
        <v>#VALUE!</v>
      </c>
      <c r="U220" s="17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09:57:38-0600',mode:absolute,to:'2016-10-24 12:10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0" s="52" t="str">
        <f t="shared" si="93"/>
        <v>Y</v>
      </c>
      <c r="X220" s="171" t="e">
        <f t="shared" si="85"/>
        <v>#VALUE!</v>
      </c>
      <c r="Y220" s="67">
        <f t="shared" si="86"/>
        <v>2.3368000000000002</v>
      </c>
      <c r="Z220" s="67">
        <f t="shared" si="87"/>
        <v>9.1899999999999996E-2</v>
      </c>
      <c r="AA220" s="67">
        <f t="shared" si="88"/>
        <v>2.2449000000000003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89"/>
        <v>52-24</v>
      </c>
      <c r="AE220" s="91" t="str">
        <f t="shared" si="90"/>
        <v>aws s3 cp s3://rtdc.mdm.uploadarchive.raw/RTDC4030/ "%USERPROFILE%\AppData\Local\Temp\OnboardLogs"\RTDC4030\2016-10-24 --exclude "*" --recursive --include "*20161024*" &amp; "%USERPROFILE%\Documents\GitHub\mrs-test-scripts\Headless Mode &amp; Sideloading\WalkAndUnGZ.bat" "%USERPROFILE%\AppData\Local\Temp\OnboardLogs"\RTDC4030\2016-10-24 &amp; 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</v>
      </c>
      <c r="AF220" s="88" t="str">
        <f t="shared" si="91"/>
        <v>"C:\Program Files (x86)\AstroGrep\AstroGrep.exe" /spath="%USERPROFILE%\AppData\Local\Temp\OnboardLogs" /stypes="app*4030*20161024*" /stext=" 17:.+((SYSTEM_STATE.+slice.+state.+changed )|(ment ac)|(system.+state.+changed )|(\[timeout)|(PRM\|1\|D)|(kpr)|(kdp)|(\|lc)|(penalty))" /e /r /s</v>
      </c>
      <c r="AG220" s="1" t="str">
        <f t="shared" si="92"/>
        <v>Other</v>
      </c>
      <c r="AH220" s="92" t="str">
        <f t="shared" si="77"/>
        <v>"%USERPROFILE%\Documents\GitHub\eaglep3\Utilities\RefineRTDCRunTimes.py" --tripid 52-24 --locoid 4030 --swversion DE.1.0.7.0 --startMP 300:23368 --initTime 2016-10-24T10:57:38 --startdatetime 2016-10-24T10:59:27 --delay 1 --endMP 204:919 --enddatetime 2016-10-24T11:10:17 --enforcementcount 1 &gt;&gt;C:\Users\stu\Documents\GitHub\eaglep3-reporting\EC\2016-10-24-refined-times.txt</v>
      </c>
      <c r="AI220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{"issue":{"subject":"","project_id":79,"tracker_id":40,"status_id":1,"priority_id":2,"assigned_to_id":23,"start_date":"2016-10-24","description":"","custom_fields":[{"id":1,"name":"Subdivision","value":"Other"},{"id":4,"name":"Milepost","value":"0.0919"},{"id":17,"name":"Train ID","value":"52-24"},{"id":16,"name":"Locomotive ID","value":"4030"},{"id":130,"name":"Impact","value":""},{"id":150,"name":"Time of Event (Mountain Time)","value":"11:10:17"},{"id":151,"name":"Denver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 s="37" t="s">
        <v>500</v>
      </c>
      <c r="B221" s="7">
        <v>4029</v>
      </c>
      <c r="C221" s="22" t="s">
        <v>99</v>
      </c>
      <c r="D221" s="22" t="s">
        <v>711</v>
      </c>
      <c r="E221" s="13">
        <v>42667.488715277781</v>
      </c>
      <c r="F221" s="13">
        <v>42667.490023148152</v>
      </c>
      <c r="G221" s="7">
        <v>1</v>
      </c>
      <c r="H221" s="13" t="s">
        <v>712</v>
      </c>
      <c r="I221" s="13">
        <v>42667.494756944441</v>
      </c>
      <c r="J221" s="7">
        <v>1</v>
      </c>
      <c r="K221" s="112" t="str">
        <f t="shared" si="79"/>
        <v>4029/4030</v>
      </c>
      <c r="L221" s="22" t="str">
        <f>VLOOKUP(A221,'Trips&amp;Operators'!$C$1:$E$10000,3,FALSE)</f>
        <v>YORK</v>
      </c>
      <c r="M221" s="6">
        <f t="shared" si="80"/>
        <v>4.7337962896563113E-3</v>
      </c>
      <c r="N221" s="7">
        <f t="shared" si="81"/>
        <v>6.8166666571050882</v>
      </c>
      <c r="O221" s="7"/>
      <c r="P221" s="7"/>
      <c r="Q221" s="23"/>
      <c r="R221" s="23"/>
      <c r="S221" s="35">
        <f t="shared" si="82"/>
        <v>0</v>
      </c>
      <c r="T221" s="50" t="e">
        <f t="shared" si="83"/>
        <v>#VALUE!</v>
      </c>
      <c r="U221" s="17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10:43:45-0600',mode:absolute,to:'2016-10-24 12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1" s="52" t="str">
        <f t="shared" si="93"/>
        <v>Y</v>
      </c>
      <c r="X221" s="171" t="e">
        <f t="shared" si="85"/>
        <v>#VALUE!</v>
      </c>
      <c r="Y221" s="67">
        <f t="shared" si="86"/>
        <v>0.12330000000000001</v>
      </c>
      <c r="Z221" s="67">
        <f t="shared" si="87"/>
        <v>2.4243000000000001</v>
      </c>
      <c r="AA221" s="67">
        <f t="shared" si="88"/>
        <v>2.3010000000000002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89"/>
        <v>53-24</v>
      </c>
      <c r="AE221" s="91" t="str">
        <f t="shared" si="90"/>
        <v>aws s3 cp s3://rtdc.mdm.uploadarchive.raw/RTDC4029/ "%USERPROFILE%\AppData\Local\Temp\OnboardLogs"\RTDC4029\2016-10-24 --exclude "*" --recursive --include "*20161024*" &amp; "%USERPROFILE%\Documents\GitHub\mrs-test-scripts\Headless Mode &amp; Sideloading\WalkAndUnGZ.bat" "%USERPROFILE%\AppData\Local\Temp\OnboardLogs"\RTDC4029\2016-10-24 &amp; 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</v>
      </c>
      <c r="AF221" s="88" t="str">
        <f t="shared" si="91"/>
        <v>"C:\Program Files (x86)\AstroGrep\AstroGrep.exe" /spath="%USERPROFILE%\AppData\Local\Temp\OnboardLogs" /stypes="app*4029*20161024*" /stext=" 17:.+((SYSTEM_STATE.+slice.+state.+changed )|(ment ac)|(system.+state.+changed )|(\[timeout)|(PRM\|1\|D)|(kpr)|(kdp)|(\|lc)|(penalty))" /e /r /s</v>
      </c>
      <c r="AG221" s="1" t="str">
        <f t="shared" si="92"/>
        <v>Other</v>
      </c>
      <c r="AH221" s="92" t="str">
        <f t="shared" si="77"/>
        <v>"%USERPROFILE%\Documents\GitHub\eaglep3\Utilities\RefineRTDCRunTimes.py" --tripid 53-24 --locoid 4029 --swversion DE.1.0.7.0 --startMP 204:1233 --initTime 2016-10-24T11:43:45 --startdatetime 2016-10-24T11:45:38 --delay 1 --endMP 300:24243 --enddatetime 2016-10-24T11:52:27 --enforcementcount 1 &gt;&gt;C:\Users\stu\Documents\GitHub\eaglep3-reporting\EC\2016-10-24-refined-times.txt</v>
      </c>
      <c r="AI221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{"issue":{"subject":"","project_id":79,"tracker_id":40,"status_id":1,"priority_id":2,"assigned_to_id":23,"start_date":"2016-10-24","description":"","custom_fields":[{"id":1,"name":"Subdivision","value":"Other"},{"id":4,"name":"Milepost","value":"2.4243"},{"id":17,"name":"Train ID","value":"53-24"},{"id":16,"name":"Locomotive ID","value":"4029"},{"id":130,"name":"Impact","value":""},{"id":150,"name":"Time of Event (Mountain Time)","value":"11:52:27"},{"id":151,"name":"Denver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 s="37" t="s">
        <v>560</v>
      </c>
      <c r="B222" s="7">
        <v>4039</v>
      </c>
      <c r="C222" s="22" t="s">
        <v>99</v>
      </c>
      <c r="D222" s="22" t="s">
        <v>713</v>
      </c>
      <c r="E222" s="13">
        <v>42667.727303240739</v>
      </c>
      <c r="F222" s="13">
        <v>42667.728761574072</v>
      </c>
      <c r="G222" s="7">
        <v>1</v>
      </c>
      <c r="H222" s="13" t="s">
        <v>714</v>
      </c>
      <c r="I222" s="13">
        <v>42667.734293981484</v>
      </c>
      <c r="J222" s="7">
        <v>1</v>
      </c>
      <c r="K222" s="112" t="str">
        <f t="shared" si="79"/>
        <v>4039/4040</v>
      </c>
      <c r="L222" s="22" t="str">
        <f>VLOOKUP(A222,'Trips&amp;Operators'!$C$1:$E$10000,3,FALSE)</f>
        <v>MATTHEWS</v>
      </c>
      <c r="M222" s="6">
        <f t="shared" si="80"/>
        <v>5.5324074128293432E-3</v>
      </c>
      <c r="N222" s="7">
        <f t="shared" si="81"/>
        <v>7.9666666744742543</v>
      </c>
      <c r="O222" s="7"/>
      <c r="P222" s="7"/>
      <c r="Q222" s="23"/>
      <c r="R222" s="23"/>
      <c r="S222" s="35">
        <f t="shared" si="82"/>
        <v>0</v>
      </c>
      <c r="T222" s="50" t="e">
        <f t="shared" si="83"/>
        <v>#VALUE!</v>
      </c>
      <c r="U222" s="17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16:27:19-0600',mode:absolute,to:'2016-10-24 18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2" s="52" t="str">
        <f t="shared" si="93"/>
        <v>Y</v>
      </c>
      <c r="X222" s="171" t="e">
        <f t="shared" si="85"/>
        <v>#VALUE!</v>
      </c>
      <c r="Y222" s="67">
        <f t="shared" si="86"/>
        <v>2.3170000000000002</v>
      </c>
      <c r="Z222" s="67">
        <f t="shared" si="87"/>
        <v>8.7800000000000003E-2</v>
      </c>
      <c r="AA222" s="67">
        <f t="shared" si="88"/>
        <v>2.2292000000000001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89"/>
        <v>54-24</v>
      </c>
      <c r="AE222" s="91" t="str">
        <f t="shared" si="90"/>
        <v>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 &amp; aws s3 cp s3://rtdc.mdm.uploadarchive.raw/RTDC4039/ "%USERPROFILE%\AppData\Local\Temp\OnboardLogs"\RTDC4039\2016-10-25 --exclude "*" --recursive --include "*20161025*" &amp; "%USERPROFILE%\Documents\GitHub\mrs-test-scripts\Headless Mode &amp; Sideloading\WalkAndUnGZ.bat" "%USERPROFILE%\AppData\Local\Temp\OnboardLogs"\RTDC4039\2016-10-25</v>
      </c>
      <c r="AF222" s="88" t="str">
        <f t="shared" si="91"/>
        <v>"C:\Program Files (x86)\AstroGrep\AstroGrep.exe" /spath="%USERPROFILE%\AppData\Local\Temp\OnboardLogs" /stypes="app*4039*20161024*" /stext=" 23:.+((SYSTEM_STATE.+slice.+state.+changed )|(ment ac)|(system.+state.+changed )|(\[timeout)|(PRM\|1\|D)|(kpr)|(kdp)|(\|lc)|(penalty))" /e /r /s</v>
      </c>
      <c r="AG222" s="1" t="str">
        <f t="shared" si="92"/>
        <v>Other</v>
      </c>
      <c r="AH222" s="92" t="str">
        <f t="shared" si="77"/>
        <v>"%USERPROFILE%\Documents\GitHub\eaglep3\Utilities\RefineRTDCRunTimes.py" --tripid 54-24 --locoid 4039 --swversion DE.1.0.7.0 --startMP 300:23170 --initTime 2016-10-24T17:27:19 --startdatetime 2016-10-24T17:29:25 --delay 1 --endMP 204:878 --enddatetime 2016-10-24T17:37:23 --enforcementcount 1 &gt;&gt;C:\Users\stu\Documents\GitHub\eaglep3-reporting\EC\2016-10-24-refined-times.txt</v>
      </c>
      <c r="AI222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{"issue":{"subject":"","project_id":79,"tracker_id":40,"status_id":1,"priority_id":2,"assigned_to_id":23,"start_date":"2016-10-24","description":"","custom_fields":[{"id":1,"name":"Subdivision","value":"Other"},{"id":4,"name":"Milepost","value":"0.0878"},{"id":17,"name":"Train ID","value":"54-24"},{"id":16,"name":"Locomotive ID","value":"4039"},{"id":130,"name":"Impact","value":""},{"id":150,"name":"Time of Event (Mountain Time)","value":"17:37:23"},{"id":151,"name":"Denver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 s="37" t="s">
        <v>424</v>
      </c>
      <c r="B223" s="7">
        <v>4030</v>
      </c>
      <c r="C223" s="22" t="s">
        <v>99</v>
      </c>
      <c r="D223" s="22" t="s">
        <v>715</v>
      </c>
      <c r="E223" s="13">
        <v>42667.735150462962</v>
      </c>
      <c r="F223" s="13">
        <v>42667.739305555559</v>
      </c>
      <c r="G223" s="7">
        <v>5</v>
      </c>
      <c r="H223" s="13" t="s">
        <v>716</v>
      </c>
      <c r="I223" s="13">
        <v>42667.73945601852</v>
      </c>
      <c r="J223" s="7">
        <v>1</v>
      </c>
      <c r="K223" s="112" t="str">
        <f t="shared" si="79"/>
        <v>4029/4030</v>
      </c>
      <c r="L223" s="22" t="str">
        <f>VLOOKUP(A223,'Trips&amp;Operators'!$C$1:$E$10000,3,FALSE)</f>
        <v>CHANDLER</v>
      </c>
      <c r="M223" s="6">
        <f t="shared" si="80"/>
        <v>1.5046296175569296E-4</v>
      </c>
      <c r="N223" s="7">
        <f t="shared" si="81"/>
        <v>0.21666666492819786</v>
      </c>
      <c r="O223" s="7"/>
      <c r="P223" s="7"/>
      <c r="Q223" s="23"/>
      <c r="R223" s="23"/>
      <c r="S223" s="35">
        <f t="shared" si="82"/>
        <v>0</v>
      </c>
      <c r="T223" s="50" t="e">
        <f t="shared" si="83"/>
        <v>#VALUE!</v>
      </c>
      <c r="U223" s="17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16:38:37-0600',mode:absolute,to:'2016-10-24 18:44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3" s="52" t="str">
        <f t="shared" si="93"/>
        <v>Y</v>
      </c>
      <c r="X223" s="171" t="e">
        <f t="shared" si="85"/>
        <v>#VALUE!</v>
      </c>
      <c r="Y223" s="67">
        <f t="shared" si="86"/>
        <v>2.3776999999999999</v>
      </c>
      <c r="Z223" s="67">
        <f t="shared" si="87"/>
        <v>2.3117999999999999</v>
      </c>
      <c r="AA223" s="67">
        <f t="shared" si="88"/>
        <v>6.590000000000007E-2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89"/>
        <v>56-24</v>
      </c>
      <c r="AE223" s="91" t="str">
        <f t="shared" si="90"/>
        <v>aws s3 cp s3://rtdc.mdm.uploadarchive.raw/RTDC4030/ "%USERPROFILE%\AppData\Local\Temp\OnboardLogs"\RTDC4030\2016-10-24 --exclude "*" --recursive --include "*20161024*" &amp; "%USERPROFILE%\Documents\GitHub\mrs-test-scripts\Headless Mode &amp; Sideloading\WalkAndUnGZ.bat" "%USERPROFILE%\AppData\Local\Temp\OnboardLogs"\RTDC4030\2016-10-24 &amp; 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</v>
      </c>
      <c r="AF223" s="88" t="str">
        <f t="shared" si="91"/>
        <v>"C:\Program Files (x86)\AstroGrep\AstroGrep.exe" /spath="%USERPROFILE%\AppData\Local\Temp\OnboardLogs" /stypes="app*4030*20161024*" /stext=" 23:.+((SYSTEM_STATE.+slice.+state.+changed )|(ment ac)|(system.+state.+changed )|(\[timeout)|(PRM\|1\|D)|(kpr)|(kdp)|(\|lc)|(penalty))" /e /r /s</v>
      </c>
      <c r="AG223" s="1" t="str">
        <f t="shared" si="92"/>
        <v>Other</v>
      </c>
      <c r="AH223" s="92" t="str">
        <f t="shared" si="77"/>
        <v>"%USERPROFILE%\Documents\GitHub\eaglep3\Utilities\RefineRTDCRunTimes.py" --tripid 56-24 --locoid 4030 --swversion DE.1.0.7.0 --startMP 300:23777 --initTime 2016-10-24T17:38:37 --startdatetime 2016-10-24T17:44:36 --delay 5 --endMP 300:23118 --enddatetime 2016-10-24T17:44:49 --enforcementcount 1 &gt;&gt;C:\Users\stu\Documents\GitHub\eaglep3-reporting\EC\2016-10-24-refined-times.txt</v>
      </c>
      <c r="AI223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{"issue":{"subject":"","project_id":79,"tracker_id":40,"status_id":1,"priority_id":2,"assigned_to_id":23,"start_date":"2016-10-24","description":"","custom_fields":[{"id":1,"name":"Subdivision","value":"Other"},{"id":4,"name":"Milepost","value":"2.3118"},{"id":17,"name":"Train ID","value":"56-24"},{"id":16,"name":"Locomotive ID","value":"4030"},{"id":130,"name":"Impact","value":""},{"id":150,"name":"Time of Event (Mountain Time)","value":"17:44:49"},{"id":151,"name":"Denver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7" t="s">
        <v>564</v>
      </c>
      <c r="B224" s="7">
        <v>4042</v>
      </c>
      <c r="C224" s="22" t="s">
        <v>99</v>
      </c>
      <c r="D224" s="22" t="s">
        <v>717</v>
      </c>
      <c r="E224" s="13">
        <v>42667.745729166665</v>
      </c>
      <c r="F224" s="13">
        <v>25568.708333333332</v>
      </c>
      <c r="G224" s="7">
        <v>1</v>
      </c>
      <c r="H224" s="13" t="s">
        <v>718</v>
      </c>
      <c r="I224" s="13">
        <v>25568.708333333332</v>
      </c>
      <c r="J224" s="7">
        <v>1</v>
      </c>
      <c r="K224" s="112" t="str">
        <f t="shared" si="79"/>
        <v>4041/4042</v>
      </c>
      <c r="L224" s="22" t="str">
        <f>VLOOKUP(A224,'Trips&amp;Operators'!$C$1:$E$10000,3,FALSE)</f>
        <v>HAITHCOX</v>
      </c>
      <c r="M224" s="6">
        <f t="shared" si="80"/>
        <v>0</v>
      </c>
      <c r="N224" s="7">
        <f t="shared" si="81"/>
        <v>0</v>
      </c>
      <c r="O224" s="7"/>
      <c r="P224" s="7"/>
      <c r="Q224" s="23"/>
      <c r="R224" s="23"/>
      <c r="S224" s="35">
        <f t="shared" si="82"/>
        <v>0</v>
      </c>
      <c r="T224" s="50" t="e">
        <f t="shared" si="83"/>
        <v>#VALUE!</v>
      </c>
      <c r="U224" s="17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16:53:51-0600',mode:absolute,to:'1969-12-31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4" s="52" t="str">
        <f t="shared" si="93"/>
        <v>Y</v>
      </c>
      <c r="X224" s="171" t="e">
        <f t="shared" si="85"/>
        <v>#VALUE!</v>
      </c>
      <c r="Y224" s="67">
        <f t="shared" si="86"/>
        <v>0.1169</v>
      </c>
      <c r="Z224" s="67">
        <f t="shared" si="87"/>
        <v>2.3302</v>
      </c>
      <c r="AA224" s="67">
        <f t="shared" si="88"/>
        <v>2.2133000000000003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89"/>
        <v>63-24</v>
      </c>
      <c r="AE224" s="91" t="str">
        <f t="shared" si="90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24" s="88" t="str">
        <f t="shared" si="91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24" s="1" t="str">
        <f t="shared" si="92"/>
        <v>Other</v>
      </c>
      <c r="AH224" s="92" t="str">
        <f t="shared" si="77"/>
        <v>"%USERPROFILE%\Documents\GitHub\eaglep3\Utilities\RefineRTDCRunTimes.py" --tripid 63-24 --locoid 4042 --swversion DE.1.0.7.0 --startMP 204:1169 --initTime 2016-10-24T17:53:51 --startdatetime 1969-12-31T17:00:00 --delay 1 --endMP 300:23302 --enddatetime 1969-12-31T17:00:00 --enforcementcount 1 &gt;&gt;C:\Users\stu\Documents\GitHub\eaglep3-reporting\EC\2016-10-24-refined-times.txt</v>
      </c>
      <c r="AI224" s="122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ID","value":"63-24"},{"id":16,"name":"Locomotive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425</v>
      </c>
      <c r="B225" s="7">
        <v>4029</v>
      </c>
      <c r="C225" s="22" t="s">
        <v>99</v>
      </c>
      <c r="D225" s="22" t="s">
        <v>719</v>
      </c>
      <c r="E225" s="13">
        <v>42667.761574074073</v>
      </c>
      <c r="F225" s="13">
        <v>42667.771203703705</v>
      </c>
      <c r="G225" s="7">
        <v>1</v>
      </c>
      <c r="H225" s="13" t="s">
        <v>720</v>
      </c>
      <c r="I225" s="13">
        <v>42667.77134259259</v>
      </c>
      <c r="J225" s="7">
        <v>1</v>
      </c>
      <c r="K225" s="112" t="str">
        <f t="shared" si="79"/>
        <v>4029/4030</v>
      </c>
      <c r="L225" s="22" t="str">
        <f>VLOOKUP(A225,'Trips&amp;Operators'!$C$1:$E$10000,3,FALSE)</f>
        <v>BARTLETT</v>
      </c>
      <c r="M225" s="6">
        <f t="shared" si="80"/>
        <v>1.3888888497604057E-4</v>
      </c>
      <c r="N225" s="7">
        <f t="shared" si="81"/>
        <v>0.19999999436549842</v>
      </c>
      <c r="O225" s="7"/>
      <c r="P225" s="7"/>
      <c r="Q225" s="23"/>
      <c r="R225" s="23"/>
      <c r="S225" s="35">
        <f t="shared" si="82"/>
        <v>0</v>
      </c>
      <c r="T225" s="50" t="e">
        <f t="shared" si="83"/>
        <v>#VALUE!</v>
      </c>
      <c r="U225" s="17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https://search-rtdc-monitor-bjffxe2xuh6vdkpspy63sjmuny.us-east-1.es.amazonaws.com/_plugin/kibana/#/discover/Steve-Slow-Train-Analysis-(2080s-and-2083s)?_g=(refreshInterval:(display:Off,section:0,value:0),time:(from:'2016-10-24 17:16:40-0600',mode:absolute,to:'2016-10-24 19:30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5" s="52" t="str">
        <f t="shared" si="93"/>
        <v>Y</v>
      </c>
      <c r="X225" s="171" t="e">
        <f t="shared" si="85"/>
        <v>#VALUE!</v>
      </c>
      <c r="Y225" s="67">
        <f t="shared" si="86"/>
        <v>0.15129999999999999</v>
      </c>
      <c r="Z225" s="67">
        <f t="shared" si="87"/>
        <v>0.20680000000000001</v>
      </c>
      <c r="AA225" s="67">
        <f t="shared" si="88"/>
        <v>5.5500000000000022E-2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89"/>
        <v>65-24</v>
      </c>
      <c r="AE225" s="91" t="str">
        <f t="shared" si="90"/>
        <v>aws s3 cp s3://rtdc.mdm.uploadarchive.raw/RTDC4029/ "%USERPROFILE%\AppData\Local\Temp\OnboardLogs"\RTDC4029\2016-10-24 --exclude "*" --recursive --include "*20161024*" &amp; "%USERPROFILE%\Documents\GitHub\mrs-test-scripts\Headless Mode &amp; Sideloading\WalkAndUnGZ.bat" "%USERPROFILE%\AppData\Local\Temp\OnboardLogs"\RTDC4029\2016-10-24 &amp; 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</v>
      </c>
      <c r="AF225" s="88" t="str">
        <f t="shared" si="91"/>
        <v>"C:\Program Files (x86)\AstroGrep\AstroGrep.exe" /spath="%USERPROFILE%\AppData\Local\Temp\OnboardLogs" /stypes="app*4029*20161025*" /stext=" 00:.+((SYSTEM_STATE.+slice.+state.+changed )|(ment ac)|(system.+state.+changed )|(\[timeout)|(PRM\|1\|D)|(kpr)|(kdp)|(\|lc)|(penalty))" /e /r /s</v>
      </c>
      <c r="AG225" s="1" t="str">
        <f t="shared" si="92"/>
        <v>Other</v>
      </c>
      <c r="AH225" s="92" t="str">
        <f t="shared" si="77"/>
        <v>"%USERPROFILE%\Documents\GitHub\eaglep3\Utilities\RefineRTDCRunTimes.py" --tripid 65-24 --locoid 4029 --swversion DE.1.0.7.0 --startMP 204:1513 --initTime 2016-10-24T18:16:40 --startdatetime 2016-10-24T18:30:32 --delay 1 --endMP 204:2068 --enddatetime 2016-10-24T18:30:44 --enforcementcount 1 &gt;&gt;C:\Users\stu\Documents\GitHub\eaglep3-reporting\EC\2016-10-24-refined-times.txt</v>
      </c>
      <c r="AI225" s="122" t="str">
        <f t="shared" si="78"/>
        <v>echo {"issue":{"subject":"","project_id":79,"tracker_id":40,"status_id":1,"priority_id":2,"assigned_to_id":23,"start_date":"2016-10-24","description":"","custom_fields":[{"id":1,"name":"Subdivision","value":"Other"},{"id":4,"name":"Milepost","value":"0.2068"},{"id":17,"name":"Train ID","value":"65-24"},{"id":16,"name":"Locomotive ID","value":"4029"},{"id":130,"name":"Impact","value":""},{"id":150,"name":"Time of Event (Mountain Time)","value":"18:30:44"},{"id":151,"name":"Denver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</sheetData>
  <autoFilter ref="A12:AG276">
    <sortState ref="A13:AG278">
      <sortCondition ref="AG13:AG227"/>
      <sortCondition ref="AD13:AD227"/>
    </sortState>
  </autoFilter>
  <sortState ref="A13:AH200">
    <sortCondition ref="AG13:AG200"/>
    <sortCondition ref="AD13:AD200"/>
  </sortState>
  <mergeCells count="1">
    <mergeCell ref="A11:P11"/>
  </mergeCells>
  <conditionalFormatting sqref="W11:W12 W277:X1048576 W13:X225">
    <cfRule type="cellIs" dxfId="10" priority="344" operator="equal">
      <formula>"Y"</formula>
    </cfRule>
  </conditionalFormatting>
  <conditionalFormatting sqref="X277:X1048576 X13:X225">
    <cfRule type="cellIs" dxfId="9" priority="327" operator="greaterThan">
      <formula>1</formula>
    </cfRule>
  </conditionalFormatting>
  <conditionalFormatting sqref="X277:X1048576 X12:X225">
    <cfRule type="cellIs" dxfId="8" priority="324" operator="equal">
      <formula>0</formula>
    </cfRule>
  </conditionalFormatting>
  <conditionalFormatting sqref="A13:S225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AK13:AK225</xm:sqref>
        </x14:dataValidation>
        <x14:dataValidation type="list" allowBlank="1" showInputMessage="1" showErrorMessage="1">
          <x14:formula1>
            <xm:f>'Redmine List Values'!$C$2:$C$14</xm:f>
          </x14:formula1>
          <xm:sqref>AL13:AL225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52"/>
  <sheetViews>
    <sheetView topLeftCell="A20" workbookViewId="0">
      <selection activeCell="S50" sqref="S5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5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5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4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42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5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6" t="str">
        <f>"Eagle P3 Braking Events - "&amp;TEXT(Variables!$A$2,"YYYY-mm-dd")</f>
        <v>Eagle P3 Braking Events - 2016-10-24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159</v>
      </c>
      <c r="J6" s="140" t="s">
        <v>30</v>
      </c>
      <c r="K6" s="140" t="s">
        <v>29</v>
      </c>
      <c r="L6" s="140" t="s">
        <v>28</v>
      </c>
      <c r="M6" s="125" t="s">
        <v>160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4" t="s">
        <v>181</v>
      </c>
    </row>
    <row r="7" spans="1:29" s="1" customFormat="1" x14ac:dyDescent="0.25">
      <c r="A7" s="36">
        <v>42667.383425925924</v>
      </c>
      <c r="B7" s="31" t="s">
        <v>386</v>
      </c>
      <c r="C7" s="31" t="s">
        <v>403</v>
      </c>
      <c r="D7" s="31" t="s">
        <v>49</v>
      </c>
      <c r="E7" s="31" t="s">
        <v>155</v>
      </c>
      <c r="F7" s="47">
        <v>0</v>
      </c>
      <c r="G7" s="47">
        <v>238</v>
      </c>
      <c r="H7" s="47">
        <v>42754</v>
      </c>
      <c r="I7" s="47">
        <v>42883</v>
      </c>
      <c r="J7" s="31" t="s">
        <v>154</v>
      </c>
      <c r="K7" s="47">
        <v>42779</v>
      </c>
      <c r="L7" s="157" t="s">
        <v>50</v>
      </c>
      <c r="M7" s="158">
        <f t="shared" ref="M7:M52" si="0">CONVERT((I7-K7)/10000,"mi","ft")*IF(L7="Increasing Mileposts (1)",-1,1)</f>
        <v>-54.911999999999999</v>
      </c>
      <c r="N7" s="159" t="str">
        <f>VLOOKUP(C7,'Trips&amp;Operators'!$C$1:$E$99999,3,FALSE)</f>
        <v>MALAVE</v>
      </c>
      <c r="O7" s="184" t="s">
        <v>238</v>
      </c>
      <c r="P7" s="160" t="s">
        <v>383</v>
      </c>
      <c r="Q7" s="31"/>
      <c r="R7" s="100" t="str">
        <f>VLOOKUP(C7,'Train Runs'!$A$13:$AE$10020,31,0)</f>
        <v>aws s3 cp s3://rtdc.mdm.uploadarchive.raw/RTDC4002/ "%USERPROFILE%\AppData\Local\Temp\OnboardLogs"\RTDC4002\2016-10-24 --exclude "*" --recursive --include "*20161024*" &amp; "%USERPROFILE%\Documents\GitHub\mrs-test-scripts\Headless Mode &amp; Sideloading\WalkAndUnGZ.bat" "%USERPROFILE%\AppData\Local\Temp\OnboardLogs"\RTDC4002\2016-10-24 &amp; 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</v>
      </c>
      <c r="S7" s="103" t="str">
        <f>VLOOKUP(C7,'Train Runs'!$A$13:$AE$10020,22,0)</f>
        <v>https://search-rtdc-monitor-bjffxe2xuh6vdkpspy63sjmuny.us-east-1.es.amazonaws.com/_plugin/kibana/#/discover/Steve-Slow-Train-Analysis-(2080s-and-2083s)?_g=(refreshInterval:(display:Off,section:0,value:0),time:(from:'2016-10-24 07:59:56-0600',mode:absolute,to:'2016-10-24 10:39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7" s="105" t="str">
        <f t="shared" ref="T7:T52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/stypes="*4002*201610241*" /stext=" 15:.+((SYSTEM_STATE.+slice.+state.+changed )|(ment ac)|(system.+state.+changed )|(\[timeout)|(PRM\|1\|D)|(kpr)|(kdp)|(\|lc)|(penalty))" /e /r /s</v>
      </c>
      <c r="U7" s="9" t="str">
        <f t="shared" ref="U7:U52" si="2">MID(B7,13,4)</f>
        <v>4002</v>
      </c>
      <c r="V7" s="36">
        <f t="shared" ref="V7:V52" si="3">A7+6/24</f>
        <v>42667.633425925924</v>
      </c>
      <c r="W7" s="50" t="str">
        <f t="shared" ref="W7:W52" si="4">IF(VALUE(LEFT(IF(LEN(C7)=6,"0"&amp;C7,C7),2))&lt;=2,"EC",IF(OR(VALUE(LEFT(IF(LEN(C7)=6,"0"&amp;C7,C7),2))=8,VALUE(LEFT(IF(LEN(C7)=6,"0"&amp;C7,C7),2))=18),"NW","Other"))</f>
        <v>EC</v>
      </c>
      <c r="X7" s="50" t="str">
        <f t="shared" ref="X7:X52" si="5">IF(AND(E7="TRACK WARRANT AUTHORITY",G7&lt;10),"OMIT","KEEP")</f>
        <v>KEEP</v>
      </c>
      <c r="Y7" s="122" t="str">
        <f t="shared" ref="Y7:Y5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arrival","project_id":79,"tracker_id":40,"status_id":1,"priority_id":2,"assigned_to_id":23,"start_date":"2016-10-24","description":"","custom_fields":[{"id":1,"name":"Subdivision","value":"EC"},{"id":4,"name":"Milepost","value":"4.2779"},{"id":17,"name":"Train ID","value":"143-24"},{"id":16,"name":"Locomotive ID","value":"4002"},{"id":130,"name":"Impact","value":""},{"id":150,"name":"Time of Event (Mountain Time)","value":"09:12:08"},{"id":151,"name":"Denver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52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"%USERPROFILE%\AppData\Local\Temp\OnboardLogs"\RTDC4002\*4002*201610241* | grep -SE "((Enforcement Ac)|(PRM))" -</v>
      </c>
    </row>
    <row r="8" spans="1:29" s="1" customFormat="1" x14ac:dyDescent="0.25">
      <c r="A8" s="36">
        <v>42667.381747685184</v>
      </c>
      <c r="B8" s="31" t="s">
        <v>311</v>
      </c>
      <c r="C8" s="31" t="s">
        <v>402</v>
      </c>
      <c r="D8" s="31" t="s">
        <v>49</v>
      </c>
      <c r="E8" s="31" t="s">
        <v>155</v>
      </c>
      <c r="F8" s="47">
        <v>0</v>
      </c>
      <c r="G8" s="47">
        <v>282</v>
      </c>
      <c r="H8" s="47">
        <v>58481</v>
      </c>
      <c r="I8" s="47">
        <v>57812</v>
      </c>
      <c r="J8" s="31" t="s">
        <v>154</v>
      </c>
      <c r="K8" s="47">
        <v>58301</v>
      </c>
      <c r="L8" s="157" t="s">
        <v>51</v>
      </c>
      <c r="M8" s="158">
        <f t="shared" si="0"/>
        <v>-258.19200000000001</v>
      </c>
      <c r="N8" s="159" t="str">
        <f>VLOOKUP(C8,'Trips&amp;Operators'!$C$1:$E$99999,3,FALSE)</f>
        <v>BRANNON</v>
      </c>
      <c r="O8" s="184" t="s">
        <v>238</v>
      </c>
      <c r="P8" s="160" t="s">
        <v>383</v>
      </c>
      <c r="Q8" s="31"/>
      <c r="R8" s="100" t="str">
        <f>VLOOKUP(C8,'Train Runs'!$A$13:$AE$10020,31,0)</f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S8" s="103" t="str">
        <f>VLOOKUP(C8,'Train Runs'!$A$13:$AE$10020,22,0)</f>
        <v>https://search-rtdc-monitor-bjffxe2xuh6vdkpspy63sjmuny.us-east-1.es.amazonaws.com/_plugin/kibana/#/discover/Steve-Slow-Train-Analysis-(2080s-and-2083s)?_g=(refreshInterval:(display:Off,section:0,value:0),time:(from:'2016-10-24 07:30:22-0600',mode:absolute,to:'2016-10-24 10:23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8" s="105" t="str">
        <f t="shared" si="1"/>
        <v>"C:\Program Files (x86)\AstroGrep\AstroGrep.exe" /spath="%USERPROFILE%\AppData\Local\Temp\OnboardLogs" /stypes="*4013*201610241*" /stext=" 15:.+((SYSTEM_STATE.+slice.+state.+changed )|(ment ac)|(system.+state.+changed )|(\[timeout)|(PRM\|1\|D)|(kpr)|(kdp)|(\|lc)|(penalty))" /e /r /s</v>
      </c>
      <c r="U8" s="9" t="str">
        <f t="shared" si="2"/>
        <v>4013</v>
      </c>
      <c r="V8" s="36">
        <f t="shared" si="3"/>
        <v>42667.631747685184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arrival","project_id":79,"tracker_id":40,"status_id":1,"priority_id":2,"assigned_to_id":23,"start_date":"2016-10-24","description":"","custom_fields":[{"id":1,"name":"Subdivision","value":"EC"},{"id":4,"name":"Milepost","value":"5.8301"},{"id":17,"name":"Train ID","value":"134-24"},{"id":16,"name":"Locomotive ID","value":"4013"},{"id":130,"name":"Impact","value":""},{"id":150,"name":"Time of Event (Mountain Time)","value":"09:09:43"},{"id":151,"name":"Denver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"%USERPROFILE%\AppData\Local\Temp\OnboardLogs"\RTDC4013\*4013*201610241* | grep -SE "((Enforcement Ac)|(PRM))" -</v>
      </c>
    </row>
    <row r="9" spans="1:29" s="1" customFormat="1" x14ac:dyDescent="0.25">
      <c r="A9" s="36">
        <v>42667.412048611113</v>
      </c>
      <c r="B9" s="31" t="s">
        <v>265</v>
      </c>
      <c r="C9" s="31" t="s">
        <v>405</v>
      </c>
      <c r="D9" s="31" t="s">
        <v>299</v>
      </c>
      <c r="E9" s="31" t="s">
        <v>155</v>
      </c>
      <c r="F9" s="47">
        <v>0</v>
      </c>
      <c r="G9" s="47">
        <v>105</v>
      </c>
      <c r="H9" s="47">
        <v>63261</v>
      </c>
      <c r="I9" s="47">
        <v>63224</v>
      </c>
      <c r="J9" s="31" t="s">
        <v>154</v>
      </c>
      <c r="K9" s="47">
        <v>63309</v>
      </c>
      <c r="L9" s="157" t="s">
        <v>51</v>
      </c>
      <c r="M9" s="158">
        <f t="shared" si="0"/>
        <v>-44.88</v>
      </c>
      <c r="N9" s="159" t="str">
        <f>VLOOKUP(C9,'Trips&amp;Operators'!$C$1:$E$99999,3,FALSE)</f>
        <v>STARKS</v>
      </c>
      <c r="O9" s="184" t="s">
        <v>238</v>
      </c>
      <c r="P9" s="160" t="s">
        <v>383</v>
      </c>
      <c r="Q9" s="31"/>
      <c r="R9" s="100" t="str">
        <f>VLOOKUP(C9,'Train Runs'!$A$13:$AE$10020,31,0)</f>
        <v>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 &amp; 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</v>
      </c>
      <c r="S9" s="103" t="str">
        <f>VLOOKUP(C9,'Train Runs'!$A$13:$AE$10020,22,0)</f>
        <v>https://search-rtdc-monitor-bjffxe2xuh6vdkpspy63sjmuny.us-east-1.es.amazonaws.com/_plugin/kibana/#/discover/Steve-Slow-Train-Analysis-(2080s-and-2083s)?_g=(refreshInterval:(display:Off,section:0,value:0),time:(from:'2016-10-24 08:22:37-0600',mode:absolute,to:'2016-10-24 11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9" s="105" t="str">
        <f t="shared" si="1"/>
        <v>"C:\Program Files (x86)\AstroGrep\AstroGrep.exe" /spath="%USERPROFILE%\AppData\Local\Temp\OnboardLogs" /stypes="*4054*201610241*" /stext=" 15:.+((SYSTEM_STATE.+slice.+state.+changed )|(ment ac)|(system.+state.+changed )|(\[timeout)|(PRM\|1\|D)|(kpr)|(kdp)|(\|lc)|(penalty))" /e /r /s</v>
      </c>
      <c r="U9" s="9" t="str">
        <f t="shared" si="2"/>
        <v>4054</v>
      </c>
      <c r="V9" s="36">
        <f t="shared" si="3"/>
        <v>42667.662048611113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arrival","project_id":79,"tracker_id":40,"status_id":1,"priority_id":2,"assigned_to_id":23,"start_date":"2016-10-24","description":"","custom_fields":[{"id":1,"name":"Subdivision","value":"EC"},{"id":4,"name":"Milepost","value":"6.3309"},{"id":17,"name":"Train ID","value":"140-24"},{"id":16,"name":"Locomotive ID","value":"4054"},{"id":130,"name":"Impact","value":""},{"id":150,"name":"Time of Event (Mountain Time)","value":"09:53:21"},{"id":151,"name":"Denver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"%USERPROFILE%\AppData\Local\Temp\OnboardLogs"\RTDC4054\*4054*201610241* | grep -SE "((Enforcement Ac)|(PRM))" -</v>
      </c>
    </row>
    <row r="10" spans="1:29" s="1" customFormat="1" x14ac:dyDescent="0.25">
      <c r="A10" s="36">
        <v>42667.806377314817</v>
      </c>
      <c r="B10" s="31" t="s">
        <v>257</v>
      </c>
      <c r="C10" s="31" t="s">
        <v>429</v>
      </c>
      <c r="D10" s="31" t="s">
        <v>299</v>
      </c>
      <c r="E10" s="31" t="s">
        <v>155</v>
      </c>
      <c r="F10" s="47">
        <v>0</v>
      </c>
      <c r="G10" s="47">
        <v>252</v>
      </c>
      <c r="H10" s="47">
        <v>63221</v>
      </c>
      <c r="I10" s="47">
        <v>62970</v>
      </c>
      <c r="J10" s="31" t="s">
        <v>154</v>
      </c>
      <c r="K10" s="47">
        <v>63309</v>
      </c>
      <c r="L10" s="157" t="s">
        <v>51</v>
      </c>
      <c r="M10" s="158">
        <f t="shared" si="0"/>
        <v>-178.99199999999999</v>
      </c>
      <c r="N10" s="159" t="str">
        <f>VLOOKUP(C10,'Trips&amp;Operators'!$C$1:$E$99999,3,FALSE)</f>
        <v>MAHAN</v>
      </c>
      <c r="O10" s="184" t="s">
        <v>238</v>
      </c>
      <c r="P10" s="160" t="s">
        <v>383</v>
      </c>
      <c r="Q10" s="31"/>
      <c r="R10" s="100" t="str">
        <f>VLOOKUP(C10,'Train Runs'!$A$13:$AE$10020,31,0)</f>
        <v>aws s3 cp s3://rtdc.mdm.uploadarchive.raw/RTDC4012/ "%USERPROFILE%\AppData\Local\Temp\OnboardLogs"\RTDC4012\2016-10-24 --exclude "*" --recursive --include "*20161024*" &amp; "%USERPROFILE%\Documents\GitHub\mrs-test-scripts\Headless Mode &amp; Sideloading\WalkAndUnGZ.bat" "%USERPROFILE%\AppData\Local\Temp\OnboardLogs"\RTDC4012\2016-10-24 &amp; aws s3 cp s3://rtdc.mdm.uploadarchive.raw/RTDC4012/ "%USERPROFILE%\AppData\Local\Temp\OnboardLogs"\RTDC4012\2016-10-25 --exclude "*" --recursive --include "*20161025*" &amp; "%USERPROFILE%\Documents\GitHub\mrs-test-scripts\Headless Mode &amp; Sideloading\WalkAndUnGZ.bat" "%USERPROFILE%\AppData\Local\Temp\OnboardLogs"\RTDC4012\2016-10-25</v>
      </c>
      <c r="S10" s="103" t="str">
        <f>VLOOKUP(C10,'Train Runs'!$A$13:$AE$10020,22,0)</f>
        <v>https://search-rtdc-monitor-bjffxe2xuh6vdkpspy63sjmuny.us-east-1.es.amazonaws.com/_plugin/kibana/#/discover/Steve-Slow-Train-Analysis-(2080s-and-2083s)?_g=(refreshInterval:(display:Off,section:0,value:0),time:(from:'2016-10-24 17:46:41-0600',mode:absolute,to:'2016-10-24 20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0" s="105" t="str">
        <f t="shared" si="1"/>
        <v>"C:\Program Files (x86)\AstroGrep\AstroGrep.exe" /spath="%USERPROFILE%\AppData\Local\Temp\OnboardLogs" /stypes="*4012*201610250*" /stext=" 01:.+((SYSTEM_STATE.+slice.+state.+changed )|(ment ac)|(system.+state.+changed )|(\[timeout)|(PRM\|1\|D)|(kpr)|(kdp)|(\|lc)|(penalty))" /e /r /s</v>
      </c>
      <c r="U10" s="9" t="str">
        <f t="shared" si="2"/>
        <v>4012</v>
      </c>
      <c r="V10" s="36">
        <f t="shared" si="3"/>
        <v>42668.056377314817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arrival","project_id":79,"tracker_id":40,"status_id":1,"priority_id":2,"assigned_to_id":23,"start_date":"2016-10-24","description":"","custom_fields":[{"id":1,"name":"Subdivision","value":"EC"},{"id":4,"name":"Milepost","value":"6.3309"},{"id":17,"name":"Train ID","value":"216-24"},{"id":16,"name":"Locomotive ID","value":"4012"},{"id":130,"name":"Impact","value":""},{"id":150,"name":"Time of Event (Mountain Time)","value":"19:21:11"},{"id":151,"name":"Denver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"%USERPROFILE%\AppData\Local\Temp\OnboardLogs"\RTDC4012\*4012*201610250* | grep -SE "((Enforcement Ac)|(PRM))" -</v>
      </c>
    </row>
    <row r="11" spans="1:29" s="1" customFormat="1" x14ac:dyDescent="0.25">
      <c r="A11" s="36">
        <v>42667.473483796297</v>
      </c>
      <c r="B11" s="31" t="s">
        <v>331</v>
      </c>
      <c r="C11" s="31" t="s">
        <v>414</v>
      </c>
      <c r="D11" s="31" t="s">
        <v>49</v>
      </c>
      <c r="E11" s="31" t="s">
        <v>155</v>
      </c>
      <c r="F11" s="47">
        <v>0</v>
      </c>
      <c r="G11" s="47">
        <v>742</v>
      </c>
      <c r="H11" s="47">
        <v>108084</v>
      </c>
      <c r="I11" s="47">
        <v>111128</v>
      </c>
      <c r="J11" s="31" t="s">
        <v>154</v>
      </c>
      <c r="K11" s="47">
        <v>108954</v>
      </c>
      <c r="L11" s="157" t="s">
        <v>50</v>
      </c>
      <c r="M11" s="158">
        <f t="shared" si="0"/>
        <v>-1147.8720000000001</v>
      </c>
      <c r="N11" s="159" t="str">
        <f>VLOOKUP(C11,'Trips&amp;Operators'!$C$1:$E$99999,3,FALSE)</f>
        <v>STEWART</v>
      </c>
      <c r="O11" s="184" t="s">
        <v>238</v>
      </c>
      <c r="P11" s="160" t="s">
        <v>383</v>
      </c>
      <c r="Q11" s="31"/>
      <c r="R11" s="100" t="str">
        <f>VLOOKUP(C11,'Train Runs'!$A$13:$AE$10020,31,0)</f>
        <v>aws s3 cp s3://rtdc.mdm.uploadarchive.raw/RTDC4011/ "%USERPROFILE%\AppData\Local\Temp\OnboardLogs"\RTDC4011\2016-10-24 --exclude "*" --recursive --include "*20161024*" &amp; "%USERPROFILE%\Documents\GitHub\mrs-test-scripts\Headless Mode &amp; Sideloading\WalkAndUnGZ.bat" "%USERPROFILE%\AppData\Local\Temp\OnboardLogs"\RTDC4011\2016-10-24 &amp; 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</v>
      </c>
      <c r="S11" s="103" t="str">
        <f>VLOOKUP(C11,'Train Runs'!$A$13:$AE$10020,22,0)</f>
        <v>https://search-rtdc-monitor-bjffxe2xuh6vdkpspy63sjmuny.us-east-1.es.amazonaws.com/_plugin/kibana/#/discover/Steve-Slow-Train-Analysis-(2080s-and-2083s)?_g=(refreshInterval:(display:Off,section:0,value:0),time:(from:'2016-10-24 09:55:15-0600',mode:absolute,to:'2016-10-24 12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1" s="105" t="str">
        <f t="shared" si="1"/>
        <v>"C:\Program Files (x86)\AstroGrep\AstroGrep.exe" /spath="%USERPROFILE%\AppData\Local\Temp\OnboardLogs" /stypes="*4011*201610241*" /stext=" 17:.+((SYSTEM_STATE.+slice.+state.+changed )|(ment ac)|(system.+state.+changed )|(\[timeout)|(PRM\|1\|D)|(kpr)|(kdp)|(\|lc)|(penalty))" /e /r /s</v>
      </c>
      <c r="U11" s="9" t="str">
        <f t="shared" si="2"/>
        <v>4011</v>
      </c>
      <c r="V11" s="36">
        <f t="shared" si="3"/>
        <v>42667.723483796297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arrival","project_id":79,"tracker_id":40,"status_id":1,"priority_id":2,"assigned_to_id":23,"start_date":"2016-10-24","description":"","custom_fields":[{"id":1,"name":"Subdivision","value":"EC"},{"id":4,"name":"Milepost","value":"10.8954"},{"id":17,"name":"Train ID","value":"159-24"},{"id":16,"name":"Locomotive ID","value":"4011"},{"id":130,"name":"Impact","value":""},{"id":150,"name":"Time of Event (Mountain Time)","value":"11:21:49"},{"id":151,"name":"Denver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"%USERPROFILE%\AppData\Local\Temp\OnboardLogs"\RTDC4011\*4011*201610241* | grep -SE "((Enforcement Ac)|(PRM))" -</v>
      </c>
    </row>
    <row r="12" spans="1:29" s="1" customFormat="1" x14ac:dyDescent="0.25">
      <c r="A12" s="36">
        <v>42667.316238425927</v>
      </c>
      <c r="B12" s="31" t="s">
        <v>311</v>
      </c>
      <c r="C12" s="31" t="s">
        <v>397</v>
      </c>
      <c r="D12" s="31" t="s">
        <v>98</v>
      </c>
      <c r="E12" s="31" t="s">
        <v>239</v>
      </c>
      <c r="F12" s="47">
        <v>150</v>
      </c>
      <c r="G12" s="47">
        <v>201</v>
      </c>
      <c r="H12" s="47">
        <v>3763</v>
      </c>
      <c r="I12" s="47">
        <v>3398</v>
      </c>
      <c r="J12" s="31" t="s">
        <v>240</v>
      </c>
      <c r="K12" s="47">
        <v>4677</v>
      </c>
      <c r="L12" s="157" t="s">
        <v>51</v>
      </c>
      <c r="M12" s="158">
        <f t="shared" si="0"/>
        <v>-675.31200000000013</v>
      </c>
      <c r="N12" s="159" t="str">
        <f>VLOOKUP(C12,'Trips&amp;Operators'!$C$1:$E$99999,3,FALSE)</f>
        <v>BRANNON</v>
      </c>
      <c r="O12" s="184" t="s">
        <v>238</v>
      </c>
      <c r="P12" s="160"/>
      <c r="Q12" s="31"/>
      <c r="R12" s="100" t="str">
        <f>VLOOKUP(C12,'Train Runs'!$A$13:$AE$10020,31,0)</f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S12" s="103" t="str">
        <f>VLOOKUP(C12,'Train Runs'!$A$13:$AE$10020,22,0)</f>
        <v>https://search-rtdc-monitor-bjffxe2xuh6vdkpspy63sjmuny.us-east-1.es.amazonaws.com/_plugin/kibana/#/discover/Steve-Slow-Train-Analysis-(2080s-and-2083s)?_g=(refreshInterval:(display:Off,section:0,value:0),time:(from:'2016-10-24 05:45:48-0600',mode:absolute,to:'2016-10-24 08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2" s="105" t="str">
        <f t="shared" si="1"/>
        <v>"C:\Program Files (x86)\AstroGrep\AstroGrep.exe" /spath="%USERPROFILE%\AppData\Local\Temp\OnboardLogs" /stypes="*4013*201610241*" /stext=" 13:.+((SYSTEM_STATE.+slice.+state.+changed )|(ment ac)|(system.+state.+changed )|(\[timeout)|(PRM\|1\|D)|(kpr)|(kdp)|(\|lc)|(penalty))" /e /r /s</v>
      </c>
      <c r="U12" s="9" t="str">
        <f t="shared" si="2"/>
        <v>4013</v>
      </c>
      <c r="V12" s="36">
        <f t="shared" si="3"/>
        <v>42667.566238425927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{"issue":{"subject":"","project_id":79,"tracker_id":40,"status_id":1,"priority_id":2,"assigned_to_id":23,"start_date":"2016-10-24","description":"","custom_fields":[{"id":1,"name":"Subdivision","value":"EC"},{"id":4,"name":"Milepost","value":"0.4677"},{"id":17,"name":"Train ID","value":"120-24"},{"id":16,"name":"Locomotive ID","value":"4013"},{"id":130,"name":"Impact","value":""},{"id":150,"name":"Time of Event (Mountain Time)","value":"07:35:23"},{"id":151,"name":"Denver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"%USERPROFILE%\AppData\Local\Temp\OnboardLogs"\RTDC4013\*4013*201610241* | grep -SE "((Enforcement Ac)|(PRM))" -</v>
      </c>
    </row>
    <row r="13" spans="1:29" s="1" customFormat="1" x14ac:dyDescent="0.25">
      <c r="A13" s="36">
        <v>42667.459756944445</v>
      </c>
      <c r="B13" s="31" t="s">
        <v>311</v>
      </c>
      <c r="C13" s="31" t="s">
        <v>411</v>
      </c>
      <c r="D13" s="31" t="s">
        <v>49</v>
      </c>
      <c r="E13" s="31" t="s">
        <v>239</v>
      </c>
      <c r="F13" s="47">
        <v>300</v>
      </c>
      <c r="G13" s="47">
        <v>452</v>
      </c>
      <c r="H13" s="47">
        <v>24011</v>
      </c>
      <c r="I13" s="47">
        <v>22466</v>
      </c>
      <c r="J13" s="31" t="s">
        <v>240</v>
      </c>
      <c r="K13" s="47">
        <v>21848</v>
      </c>
      <c r="L13" s="157" t="s">
        <v>51</v>
      </c>
      <c r="M13" s="158">
        <f t="shared" si="0"/>
        <v>326.30399999999997</v>
      </c>
      <c r="N13" s="159" t="str">
        <f>VLOOKUP(C13,'Trips&amp;Operators'!$C$1:$E$99999,3,FALSE)</f>
        <v>BRANNON</v>
      </c>
      <c r="O13" s="184" t="s">
        <v>238</v>
      </c>
      <c r="P13" s="160"/>
      <c r="Q13" s="31"/>
      <c r="R13" s="100" t="str">
        <f>VLOOKUP(C13,'Train Runs'!$A$13:$AE$10020,31,0)</f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S13" s="103" t="str">
        <f>VLOOKUP(C13,'Train Runs'!$A$13:$AE$10020,22,0)</f>
        <v>https://search-rtdc-monitor-bjffxe2xuh6vdkpspy63sjmuny.us-east-1.es.amazonaws.com/_plugin/kibana/#/discover/Steve-Slow-Train-Analysis-(2080s-and-2083s)?_g=(refreshInterval:(display:Off,section:0,value:0),time:(from:'2016-10-24 09:21:02-0600',mode:absolute,to:'2016-10-24 12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3" s="105" t="str">
        <f t="shared" si="1"/>
        <v>"C:\Program Files (x86)\AstroGrep\AstroGrep.exe" /spath="%USERPROFILE%\AppData\Local\Temp\OnboardLogs" /stypes="*4013*201610241*" /stext=" 17:.+((SYSTEM_STATE.+slice.+state.+changed )|(ment ac)|(system.+state.+changed )|(\[timeout)|(PRM\|1\|D)|(kpr)|(kdp)|(\|lc)|(penalty))" /e /r /s</v>
      </c>
      <c r="U13" s="9" t="str">
        <f t="shared" si="2"/>
        <v>4013</v>
      </c>
      <c r="V13" s="36">
        <f t="shared" si="3"/>
        <v>42667.709756944445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{"issue":{"subject":"","project_id":79,"tracker_id":40,"status_id":1,"priority_id":2,"assigned_to_id":23,"start_date":"2016-10-24","description":"","custom_fields":[{"id":1,"name":"Subdivision","value":"EC"},{"id":4,"name":"Milepost","value":"2.1848"},{"id":17,"name":"Train ID","value":"148-24"},{"id":16,"name":"Locomotive ID","value":"4013"},{"id":130,"name":"Impact","value":""},{"id":150,"name":"Time of Event (Mountain Time)","value":"11:02:03"},{"id":151,"name":"Denver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"%USERPROFILE%\AppData\Local\Temp\OnboardLogs"\RTDC4013\*4013*201610241* | grep -SE "((Enforcement Ac)|(PRM))" -</v>
      </c>
    </row>
    <row r="14" spans="1:29" s="1" customFormat="1" x14ac:dyDescent="0.25">
      <c r="A14" s="36">
        <v>42667.463888888888</v>
      </c>
      <c r="B14" s="31" t="s">
        <v>386</v>
      </c>
      <c r="C14" s="31" t="s">
        <v>412</v>
      </c>
      <c r="D14" s="31" t="s">
        <v>49</v>
      </c>
      <c r="E14" s="31" t="s">
        <v>239</v>
      </c>
      <c r="F14" s="47">
        <v>400</v>
      </c>
      <c r="G14" s="47">
        <v>519</v>
      </c>
      <c r="H14" s="47">
        <v>115458</v>
      </c>
      <c r="I14" s="47">
        <v>116912</v>
      </c>
      <c r="J14" s="31" t="s">
        <v>240</v>
      </c>
      <c r="K14" s="47">
        <v>116838</v>
      </c>
      <c r="L14" s="157" t="s">
        <v>50</v>
      </c>
      <c r="M14" s="158">
        <f t="shared" si="0"/>
        <v>-39.072000000000003</v>
      </c>
      <c r="N14" s="159" t="str">
        <f>VLOOKUP(C14,'Trips&amp;Operators'!$C$1:$E$99999,3,FALSE)</f>
        <v>MALAVE</v>
      </c>
      <c r="O14" s="184" t="s">
        <v>238</v>
      </c>
      <c r="P14" s="160"/>
      <c r="Q14" s="31"/>
      <c r="R14" s="100" t="str">
        <f>VLOOKUP(C14,'Train Runs'!$A$13:$AE$10020,31,0)</f>
        <v>aws s3 cp s3://rtdc.mdm.uploadarchive.raw/RTDC4002/ "%USERPROFILE%\AppData\Local\Temp\OnboardLogs"\RTDC4002\2016-10-24 --exclude "*" --recursive --include "*20161024*" &amp; "%USERPROFILE%\Documents\GitHub\mrs-test-scripts\Headless Mode &amp; Sideloading\WalkAndUnGZ.bat" "%USERPROFILE%\AppData\Local\Temp\OnboardLogs"\RTDC4002\2016-10-24 &amp; 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</v>
      </c>
      <c r="S14" s="103" t="str">
        <f>VLOOKUP(C14,'Train Runs'!$A$13:$AE$10020,22,0)</f>
        <v>https://search-rtdc-monitor-bjffxe2xuh6vdkpspy63sjmuny.us-east-1.es.amazonaws.com/_plugin/kibana/#/discover/Steve-Slow-Train-Analysis-(2080s-and-2083s)?_g=(refreshInterval:(display:Off,section:0,value:0),time:(from:'2016-10-24 09:42:44-0600',mode:absolute,to:'2016-10-24 12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4" s="105" t="str">
        <f t="shared" si="1"/>
        <v>"C:\Program Files (x86)\AstroGrep\AstroGrep.exe" /spath="%USERPROFILE%\AppData\Local\Temp\OnboardLogs" /stypes="*4002*201610241*" /stext=" 17:.+((SYSTEM_STATE.+slice.+state.+changed )|(ment ac)|(system.+state.+changed )|(\[timeout)|(PRM\|1\|D)|(kpr)|(kdp)|(\|lc)|(penalty))" /e /r /s</v>
      </c>
      <c r="U14" s="9" t="str">
        <f t="shared" si="2"/>
        <v>4002</v>
      </c>
      <c r="V14" s="36">
        <f t="shared" si="3"/>
        <v>42667.713888888888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{"issue":{"subject":"","project_id":79,"tracker_id":40,"status_id":1,"priority_id":2,"assigned_to_id":23,"start_date":"2016-10-24","description":"","custom_fields":[{"id":1,"name":"Subdivision","value":"EC"},{"id":4,"name":"Milepost","value":"11.6838"},{"id":17,"name":"Train ID","value":"157-24"},{"id":16,"name":"Locomotive ID","value":"4002"},{"id":130,"name":"Impact","value":""},{"id":150,"name":"Time of Event (Mountain Time)","value":"11:08:00"},{"id":151,"name":"Denver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"%USERPROFILE%\AppData\Local\Temp\OnboardLogs"\RTDC4002\*4002*201610241* | grep -SE "((Enforcement Ac)|(PRM))" -</v>
      </c>
    </row>
    <row r="15" spans="1:29" s="1" customFormat="1" x14ac:dyDescent="0.25">
      <c r="A15" s="36">
        <v>42667.682083333333</v>
      </c>
      <c r="B15" s="31" t="s">
        <v>348</v>
      </c>
      <c r="C15" s="31" t="s">
        <v>423</v>
      </c>
      <c r="D15" s="31" t="s">
        <v>49</v>
      </c>
      <c r="E15" s="31" t="s">
        <v>239</v>
      </c>
      <c r="F15" s="47">
        <v>400</v>
      </c>
      <c r="G15" s="47">
        <v>583</v>
      </c>
      <c r="H15" s="47">
        <v>115362</v>
      </c>
      <c r="I15" s="47">
        <v>117075</v>
      </c>
      <c r="J15" s="31" t="s">
        <v>240</v>
      </c>
      <c r="K15" s="47">
        <v>116838</v>
      </c>
      <c r="L15" s="157" t="s">
        <v>50</v>
      </c>
      <c r="M15" s="158">
        <f t="shared" si="0"/>
        <v>-125.136</v>
      </c>
      <c r="N15" s="159" t="str">
        <f>VLOOKUP(C15,'Trips&amp;Operators'!$C$1:$E$99999,3,FALSE)</f>
        <v>MAHAN</v>
      </c>
      <c r="O15" s="184" t="s">
        <v>238</v>
      </c>
      <c r="P15" s="160"/>
      <c r="Q15" s="31"/>
      <c r="R15" s="100" t="str">
        <f>VLOOKUP(C15,'Train Runs'!$A$13:$AE$10020,31,0)</f>
        <v>aws s3 cp s3://rtdc.mdm.uploadarchive.raw/RTDC4022/ "%USERPROFILE%\AppData\Local\Temp\OnboardLogs"\RTDC4022\2016-10-24 --exclude "*" --recursive --include "*20161024*" &amp; "%USERPROFILE%\Documents\GitHub\mrs-test-scripts\Headless Mode &amp; Sideloading\WalkAndUnGZ.bat" "%USERPROFILE%\AppData\Local\Temp\OnboardLogs"\RTDC4022\2016-10-24 &amp; aws s3 cp s3://rtdc.mdm.uploadarchive.raw/RTDC4022/ "%USERPROFILE%\AppData\Local\Temp\OnboardLogs"\RTDC4022\2016-10-25 --exclude "*" --recursive --include "*20161025*" &amp; "%USERPROFILE%\Documents\GitHub\mrs-test-scripts\Headless Mode &amp; Sideloading\WalkAndUnGZ.bat" "%USERPROFILE%\AppData\Local\Temp\OnboardLogs"\RTDC4022\2016-10-25</v>
      </c>
      <c r="S15" s="103" t="str">
        <f>VLOOKUP(C15,'Train Runs'!$A$13:$AE$10020,22,0)</f>
        <v>https://search-rtdc-monitor-bjffxe2xuh6vdkpspy63sjmuny.us-east-1.es.amazonaws.com/_plugin/kibana/#/discover/Steve-Slow-Train-Analysis-(2080s-and-2083s)?_g=(refreshInterval:(display:Off,section:0,value:0),time:(from:'2016-10-24 14:54:25-0600',mode:absolute,to:'2016-10-24 17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5" s="105" t="str">
        <f t="shared" si="1"/>
        <v>"C:\Program Files (x86)\AstroGrep\AstroGrep.exe" /spath="%USERPROFILE%\AppData\Local\Temp\OnboardLogs" /stypes="*4022*201610242*" /stext=" 22:.+((SYSTEM_STATE.+slice.+state.+changed )|(ment ac)|(system.+state.+changed )|(\[timeout)|(PRM\|1\|D)|(kpr)|(kdp)|(\|lc)|(penalty))" /e /r /s</v>
      </c>
      <c r="U15" s="9" t="str">
        <f t="shared" si="2"/>
        <v>4022</v>
      </c>
      <c r="V15" s="36">
        <f t="shared" si="3"/>
        <v>42667.932083333333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{"issue":{"subject":"","project_id":79,"tracker_id":40,"status_id":1,"priority_id":2,"assigned_to_id":23,"start_date":"2016-10-24","description":"","custom_fields":[{"id":1,"name":"Subdivision","value":"EC"},{"id":4,"name":"Milepost","value":"11.6838"},{"id":17,"name":"Train ID","value":"199-24"},{"id":16,"name":"Locomotive ID","value":"4022"},{"id":130,"name":"Impact","value":""},{"id":150,"name":"Time of Event (Mountain Time)","value":"16:22:12"},{"id":151,"name":"Denver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"%USERPROFILE%\AppData\Local\Temp\OnboardLogs"\RTDC4022\*4022*201610242* | grep -SE "((Enforcement Ac)|(PRM))" -</v>
      </c>
    </row>
    <row r="16" spans="1:29" s="1" customFormat="1" x14ac:dyDescent="0.25">
      <c r="A16" s="36">
        <v>42667.425324074073</v>
      </c>
      <c r="B16" s="31" t="s">
        <v>406</v>
      </c>
      <c r="C16" s="31" t="s">
        <v>407</v>
      </c>
      <c r="D16" s="31" t="s">
        <v>98</v>
      </c>
      <c r="E16" s="31" t="s">
        <v>239</v>
      </c>
      <c r="F16" s="47">
        <v>400</v>
      </c>
      <c r="G16" s="47">
        <v>453</v>
      </c>
      <c r="H16" s="47">
        <v>116964</v>
      </c>
      <c r="I16" s="47">
        <v>115343</v>
      </c>
      <c r="J16" s="31" t="s">
        <v>240</v>
      </c>
      <c r="K16" s="47">
        <v>119716</v>
      </c>
      <c r="L16" s="157" t="s">
        <v>51</v>
      </c>
      <c r="M16" s="158">
        <f t="shared" si="0"/>
        <v>-2308.944</v>
      </c>
      <c r="N16" s="159" t="str">
        <f>VLOOKUP(C16,'Trips&amp;Operators'!$C$1:$E$99999,3,FALSE)</f>
        <v>MALAVE</v>
      </c>
      <c r="O16" s="184" t="s">
        <v>238</v>
      </c>
      <c r="P16" s="160"/>
      <c r="Q16" s="31"/>
      <c r="R16" s="100" t="str">
        <f>VLOOKUP(C16,'Train Runs'!$A$13:$AE$10020,31,0)</f>
        <v>aws s3 cp s3://rtdc.mdm.uploadarchive.raw/RTDC4001/ "%USERPROFILE%\AppData\Local\Temp\OnboardLogs"\RTDC4001\2016-10-24 --exclude "*" --recursive --include "*20161024*" &amp; "%USERPROFILE%\Documents\GitHub\mrs-test-scripts\Headless Mode &amp; Sideloading\WalkAndUnGZ.bat" "%USERPROFILE%\AppData\Local\Temp\OnboardLogs"\RTDC4001\2016-10-24 &amp; 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</v>
      </c>
      <c r="S16" s="103" t="str">
        <f>VLOOKUP(C16,'Train Runs'!$A$13:$AE$10020,22,0)</f>
        <v>https://search-rtdc-monitor-bjffxe2xuh6vdkpspy63sjmuny.us-east-1.es.amazonaws.com/_plugin/kibana/#/discover/Steve-Slow-Train-Analysis-(2080s-and-2083s)?_g=(refreshInterval:(display:Off,section:0,value:0),time:(from:'2016-10-24 08:54:04-0600',mode:absolute,to:'2016-10-24 11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6" s="105" t="str">
        <f t="shared" si="1"/>
        <v>"C:\Program Files (x86)\AstroGrep\AstroGrep.exe" /spath="%USERPROFILE%\AppData\Local\Temp\OnboardLogs" /stypes="*4001*201610241*" /stext=" 16:.+((SYSTEM_STATE.+slice.+state.+changed )|(ment ac)|(system.+state.+changed )|(\[timeout)|(PRM\|1\|D)|(kpr)|(kdp)|(\|lc)|(penalty))" /e /r /s</v>
      </c>
      <c r="U16" s="9" t="str">
        <f t="shared" si="2"/>
        <v>4001</v>
      </c>
      <c r="V16" s="36">
        <f t="shared" si="3"/>
        <v>42667.675324074073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{"issue":{"subject":"","project_id":79,"tracker_id":40,"status_id":1,"priority_id":2,"assigned_to_id":23,"start_date":"2016-10-24","description":"","custom_fields":[{"id":1,"name":"Subdivision","value":"EC"},{"id":4,"name":"Milepost","value":"11.9716"},{"id":17,"name":"Train ID","value":"144-24"},{"id":16,"name":"Locomotive ID","value":"4001"},{"id":130,"name":"Impact","value":""},{"id":150,"name":"Time of Event (Mountain Time)","value":"10:12:28"},{"id":151,"name":"Denver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"%USERPROFILE%\AppData\Local\Temp\OnboardLogs"\RTDC4001\*4001*201610241* | grep -SE "((Enforcement Ac)|(PRM))" -</v>
      </c>
    </row>
    <row r="17" spans="1:30" s="1" customFormat="1" x14ac:dyDescent="0.25">
      <c r="A17" s="36">
        <v>42667.438206018516</v>
      </c>
      <c r="B17" s="31" t="s">
        <v>188</v>
      </c>
      <c r="C17" s="31" t="s">
        <v>408</v>
      </c>
      <c r="D17" s="31" t="s">
        <v>98</v>
      </c>
      <c r="E17" s="31" t="s">
        <v>239</v>
      </c>
      <c r="F17" s="47">
        <v>600</v>
      </c>
      <c r="G17" s="47">
        <v>655</v>
      </c>
      <c r="H17" s="47">
        <v>189737</v>
      </c>
      <c r="I17" s="47">
        <v>192294</v>
      </c>
      <c r="J17" s="31" t="s">
        <v>240</v>
      </c>
      <c r="K17" s="47">
        <v>183829</v>
      </c>
      <c r="L17" s="157" t="s">
        <v>50</v>
      </c>
      <c r="M17" s="158">
        <f t="shared" si="0"/>
        <v>-4469.5200000000004</v>
      </c>
      <c r="N17" s="159" t="str">
        <f>VLOOKUP(C17,'Trips&amp;Operators'!$C$1:$E$99999,3,FALSE)</f>
        <v>YORK</v>
      </c>
      <c r="O17" s="184" t="s">
        <v>238</v>
      </c>
      <c r="P17" s="160"/>
      <c r="Q17" s="31"/>
      <c r="R17" s="100" t="str">
        <f>VLOOKUP(C17,'Train Runs'!$A$13:$AE$10020,31,0)</f>
        <v>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 &amp; aws s3 cp s3://rtdc.mdm.uploadarchive.raw/RTDC4018/ "%USERPROFILE%\AppData\Local\Temp\OnboardLogs"\RTDC4018\2016-10-25 --exclude "*" --recursive --include "*20161025*" &amp; "%USERPROFILE%\Documents\GitHub\mrs-test-scripts\Headless Mode &amp; Sideloading\WalkAndUnGZ.bat" "%USERPROFILE%\AppData\Local\Temp\OnboardLogs"\RTDC4018\2016-10-25</v>
      </c>
      <c r="S17" s="103" t="str">
        <f>VLOOKUP(C17,'Train Runs'!$A$13:$AE$10020,22,0)</f>
        <v>https://search-rtdc-monitor-bjffxe2xuh6vdkpspy63sjmuny.us-east-1.es.amazonaws.com/_plugin/kibana/#/discover/Steve-Slow-Train-Analysis-(2080s-and-2083s)?_g=(refreshInterval:(display:Off,section:0,value:0),time:(from:'2016-10-24 08:51:09-0600',mode:absolute,to:'2016-10-24 11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7" s="105" t="str">
        <f t="shared" si="1"/>
        <v>"C:\Program Files (x86)\AstroGrep\AstroGrep.exe" /spath="%USERPROFILE%\AppData\Local\Temp\OnboardLogs" /stypes="*4018*201610241*" /stext=" 16:.+((SYSTEM_STATE.+slice.+state.+changed )|(ment ac)|(system.+state.+changed )|(\[timeout)|(PRM\|1\|D)|(kpr)|(kdp)|(\|lc)|(penalty))" /e /r /s</v>
      </c>
      <c r="U17" s="9" t="str">
        <f t="shared" si="2"/>
        <v>4018</v>
      </c>
      <c r="V17" s="36">
        <f t="shared" si="3"/>
        <v>42667.688206018516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{"issue":{"subject":"","project_id":79,"tracker_id":40,"status_id":1,"priority_id":2,"assigned_to_id":23,"start_date":"2016-10-24","description":"","custom_fields":[{"id":1,"name":"Subdivision","value":"EC"},{"id":4,"name":"Milepost","value":"18.3829"},{"id":17,"name":"Train ID","value":"151-24"},{"id":16,"name":"Locomotive ID","value":"4018"},{"id":130,"name":"Impact","value":""},{"id":150,"name":"Time of Event (Mountain Time)","value":"10:31:01"},{"id":151,"name":"Denver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"%USERPROFILE%\AppData\Local\Temp\OnboardLogs"\RTDC4018\*4018*201610241* | grep -SE "((Enforcement Ac)|(PRM))" -</v>
      </c>
    </row>
    <row r="18" spans="1:30" s="1" customFormat="1" x14ac:dyDescent="0.25">
      <c r="A18" s="36">
        <v>42667.638124999998</v>
      </c>
      <c r="B18" s="31" t="s">
        <v>345</v>
      </c>
      <c r="C18" s="31" t="s">
        <v>421</v>
      </c>
      <c r="D18" s="31" t="s">
        <v>98</v>
      </c>
      <c r="E18" s="31" t="s">
        <v>239</v>
      </c>
      <c r="F18" s="47">
        <v>600</v>
      </c>
      <c r="G18" s="47">
        <v>650</v>
      </c>
      <c r="H18" s="47">
        <v>184165</v>
      </c>
      <c r="I18" s="47">
        <v>180932</v>
      </c>
      <c r="J18" s="31" t="s">
        <v>240</v>
      </c>
      <c r="K18" s="47">
        <v>190834</v>
      </c>
      <c r="L18" s="157" t="s">
        <v>51</v>
      </c>
      <c r="M18" s="158">
        <f t="shared" si="0"/>
        <v>-5228.2560000000003</v>
      </c>
      <c r="N18" s="159" t="str">
        <f>VLOOKUP(C18,'Trips&amp;Operators'!$C$1:$E$99999,3,FALSE)</f>
        <v>MAHAN</v>
      </c>
      <c r="O18" s="184" t="s">
        <v>238</v>
      </c>
      <c r="P18" s="160"/>
      <c r="Q18" s="31"/>
      <c r="R18" s="100" t="str">
        <f>VLOOKUP(C18,'Train Runs'!$A$13:$AE$10020,31,0)</f>
        <v>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 &amp; aws s3 cp s3://rtdc.mdm.uploadarchive.raw/RTDC4021/ "%USERPROFILE%\AppData\Local\Temp\OnboardLogs"\RTDC4021\2016-10-25 --exclude "*" --recursive --include "*20161025*" &amp; "%USERPROFILE%\Documents\GitHub\mrs-test-scripts\Headless Mode &amp; Sideloading\WalkAndUnGZ.bat" "%USERPROFILE%\AppData\Local\Temp\OnboardLogs"\RTDC4021\2016-10-25</v>
      </c>
      <c r="S18" s="103" t="str">
        <f>VLOOKUP(C18,'Train Runs'!$A$13:$AE$10020,22,0)</f>
        <v>https://search-rtdc-monitor-bjffxe2xuh6vdkpspy63sjmuny.us-east-1.es.amazonaws.com/_plugin/kibana/#/discover/Steve-Slow-Train-Analysis-(2080s-and-2083s)?_g=(refreshInterval:(display:Off,section:0,value:0),time:(from:'2016-10-24 13:55:38-0600',mode:absolute,to:'2016-10-24 16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8" s="105" t="str">
        <f t="shared" si="1"/>
        <v>"C:\Program Files (x86)\AstroGrep\AstroGrep.exe" /spath="%USERPROFILE%\AppData\Local\Temp\OnboardLogs" /stypes="*4021*201610242*" /stext=" 21:.+((SYSTEM_STATE.+slice.+state.+changed )|(ment ac)|(system.+state.+changed )|(\[timeout)|(PRM\|1\|D)|(kpr)|(kdp)|(\|lc)|(penalty))" /e /r /s</v>
      </c>
      <c r="U18" s="9" t="str">
        <f t="shared" si="2"/>
        <v>4021</v>
      </c>
      <c r="V18" s="36">
        <f t="shared" si="3"/>
        <v>42667.888124999998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{"issue":{"subject":"","project_id":79,"tracker_id":40,"status_id":1,"priority_id":2,"assigned_to_id":23,"start_date":"2016-10-24","description":"","custom_fields":[{"id":1,"name":"Subdivision","value":"EC"},{"id":4,"name":"Milepost","value":"19.0834"},{"id":17,"name":"Train ID","value":"186-24"},{"id":16,"name":"Locomotive ID","value":"4021"},{"id":130,"name":"Impact","value":""},{"id":150,"name":"Time of Event (Mountain Time)","value":"15:18:54"},{"id":151,"name":"Denver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"%USERPROFILE%\AppData\Local\Temp\OnboardLogs"\RTDC4021\*4021*201610242* | grep -SE "((Enforcement Ac)|(PRM))" -</v>
      </c>
    </row>
    <row r="19" spans="1:30" s="1" customFormat="1" x14ac:dyDescent="0.25">
      <c r="A19" s="36">
        <v>42667.365023148152</v>
      </c>
      <c r="B19" s="31" t="s">
        <v>188</v>
      </c>
      <c r="C19" s="31" t="s">
        <v>401</v>
      </c>
      <c r="D19" s="31" t="s">
        <v>98</v>
      </c>
      <c r="E19" s="31" t="s">
        <v>239</v>
      </c>
      <c r="F19" s="47">
        <v>750</v>
      </c>
      <c r="G19" s="47">
        <v>804</v>
      </c>
      <c r="H19" s="47">
        <v>197367</v>
      </c>
      <c r="I19" s="47">
        <v>200834</v>
      </c>
      <c r="J19" s="31" t="s">
        <v>240</v>
      </c>
      <c r="K19" s="47">
        <v>195049</v>
      </c>
      <c r="L19" s="157" t="s">
        <v>50</v>
      </c>
      <c r="M19" s="158">
        <f t="shared" si="0"/>
        <v>-3054.48</v>
      </c>
      <c r="N19" s="159" t="str">
        <f>VLOOKUP(C19,'Trips&amp;Operators'!$C$1:$E$99999,3,FALSE)</f>
        <v>YORK</v>
      </c>
      <c r="O19" s="184" t="s">
        <v>238</v>
      </c>
      <c r="P19" s="160"/>
      <c r="Q19" s="31"/>
      <c r="R19" s="100" t="str">
        <f>VLOOKUP(C19,'Train Runs'!$A$13:$AE$10020,31,0)</f>
        <v>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 &amp; aws s3 cp s3://rtdc.mdm.uploadarchive.raw/RTDC4018/ "%USERPROFILE%\AppData\Local\Temp\OnboardLogs"\RTDC4018\2016-10-25 --exclude "*" --recursive --include "*20161025*" &amp; "%USERPROFILE%\Documents\GitHub\mrs-test-scripts\Headless Mode &amp; Sideloading\WalkAndUnGZ.bat" "%USERPROFILE%\AppData\Local\Temp\OnboardLogs"\RTDC4018\2016-10-25</v>
      </c>
      <c r="S19" s="103" t="str">
        <f>VLOOKUP(C19,'Train Runs'!$A$13:$AE$10020,22,0)</f>
        <v>https://search-rtdc-monitor-bjffxe2xuh6vdkpspy63sjmuny.us-east-1.es.amazonaws.com/_plugin/kibana/#/discover/Steve-Slow-Train-Analysis-(2080s-and-2083s)?_g=(refreshInterval:(display:Off,section:0,value:0),time:(from:'2016-10-24 07:10:06-0600',mode:absolute,to:'2016-10-24 09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9" s="105" t="str">
        <f t="shared" si="1"/>
        <v>"C:\Program Files (x86)\AstroGrep\AstroGrep.exe" /spath="%USERPROFILE%\AppData\Local\Temp\OnboardLogs" /stypes="*4018*201610241*" /stext=" 14:.+((SYSTEM_STATE.+slice.+state.+changed )|(ment ac)|(system.+state.+changed )|(\[timeout)|(PRM\|1\|D)|(kpr)|(kdp)|(\|lc)|(penalty))" /e /r /s</v>
      </c>
      <c r="U19" s="9" t="str">
        <f t="shared" si="2"/>
        <v>4018</v>
      </c>
      <c r="V19" s="36">
        <f t="shared" si="3"/>
        <v>42667.615023148152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{"issue":{"subject":"","project_id":79,"tracker_id":40,"status_id":1,"priority_id":2,"assigned_to_id":23,"start_date":"2016-10-24","description":"","custom_fields":[{"id":1,"name":"Subdivision","value":"EC"},{"id":4,"name":"Milepost","value":"19.5049"},{"id":17,"name":"Train ID","value":"137-24"},{"id":16,"name":"Locomotive ID","value":"4018"},{"id":130,"name":"Impact","value":""},{"id":150,"name":"Time of Event (Mountain Time)","value":"08:45:38"},{"id":151,"name":"Denver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"%USERPROFILE%\AppData\Local\Temp\OnboardLogs"\RTDC4018\*4018*201610241* | grep -SE "((Enforcement Ac)|(PRM))" -</v>
      </c>
    </row>
    <row r="20" spans="1:30" x14ac:dyDescent="0.25">
      <c r="A20" s="36">
        <v>42667.349849537037</v>
      </c>
      <c r="B20" s="31" t="s">
        <v>312</v>
      </c>
      <c r="C20" s="31" t="s">
        <v>400</v>
      </c>
      <c r="D20" s="31" t="s">
        <v>98</v>
      </c>
      <c r="E20" s="31" t="s">
        <v>239</v>
      </c>
      <c r="F20" s="47">
        <v>350</v>
      </c>
      <c r="G20" s="47">
        <v>401</v>
      </c>
      <c r="H20" s="47">
        <v>225799</v>
      </c>
      <c r="I20" s="47">
        <v>227181</v>
      </c>
      <c r="J20" s="31" t="s">
        <v>240</v>
      </c>
      <c r="K20" s="47">
        <v>224578</v>
      </c>
      <c r="L20" s="157" t="s">
        <v>50</v>
      </c>
      <c r="M20" s="158">
        <f t="shared" si="0"/>
        <v>-1374.3839999999998</v>
      </c>
      <c r="N20" s="159" t="str">
        <f>VLOOKUP(C20,'Trips&amp;Operators'!$C$1:$E$99999,3,FALSE)</f>
        <v>BRANNON</v>
      </c>
      <c r="O20" s="184" t="s">
        <v>238</v>
      </c>
      <c r="P20" s="160"/>
      <c r="Q20" s="31"/>
      <c r="R20" s="100" t="str">
        <f>VLOOKUP(C20,'Train Runs'!$A$13:$AE$10020,31,0)</f>
        <v>aws s3 cp s3://rtdc.mdm.uploadarchive.raw/RTDC4014/ "%USERPROFILE%\AppData\Local\Temp\OnboardLogs"\RTDC4014\2016-10-24 --exclude "*" --recursive --include "*20161024*" &amp; "%USERPROFILE%\Documents\GitHub\mrs-test-scripts\Headless Mode &amp; Sideloading\WalkAndUnGZ.bat" "%USERPROFILE%\AppData\Local\Temp\OnboardLogs"\RTDC4014\2016-10-24 &amp; aws s3 cp s3://rtdc.mdm.uploadarchive.raw/RTDC4014/ "%USERPROFILE%\AppData\Local\Temp\OnboardLogs"\RTDC4014\2016-10-25 --exclude "*" --recursive --include "*20161025*" &amp; "%USERPROFILE%\Documents\GitHub\mrs-test-scripts\Headless Mode &amp; Sideloading\WalkAndUnGZ.bat" "%USERPROFILE%\AppData\Local\Temp\OnboardLogs"\RTDC4014\2016-10-25</v>
      </c>
      <c r="S20" s="103" t="str">
        <f>VLOOKUP(C20,'Train Runs'!$A$13:$AE$10020,22,0)</f>
        <v>https://search-rtdc-monitor-bjffxe2xuh6vdkpspy63sjmuny.us-east-1.es.amazonaws.com/_plugin/kibana/#/discover/Steve-Slow-Train-Analysis-(2080s-and-2083s)?_g=(refreshInterval:(display:Off,section:0,value:0),time:(from:'2016-10-24 06:42:04-0600',mode:absolute,to:'2016-10-24 09:27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0" s="105" t="str">
        <f t="shared" si="1"/>
        <v>"C:\Program Files (x86)\AstroGrep\AstroGrep.exe" /spath="%USERPROFILE%\AppData\Local\Temp\OnboardLogs" /stypes="*4014*201610241*" /stext=" 14:.+((SYSTEM_STATE.+slice.+state.+changed )|(ment ac)|(system.+state.+changed )|(\[timeout)|(PRM\|1\|D)|(kpr)|(kdp)|(\|lc)|(penalty))" /e /r /s</v>
      </c>
      <c r="U20" s="9" t="str">
        <f t="shared" si="2"/>
        <v>4014</v>
      </c>
      <c r="V20" s="36">
        <f t="shared" si="3"/>
        <v>42667.599849537037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{"issue":{"subject":"","project_id":79,"tracker_id":40,"status_id":1,"priority_id":2,"assigned_to_id":23,"start_date":"2016-10-24","description":"","custom_fields":[{"id":1,"name":"Subdivision","value":"EC"},{"id":4,"name":"Milepost","value":"22.4578"},{"id":17,"name":"Train ID","value":"133-24"},{"id":16,"name":"Locomotive ID","value":"4014"},{"id":130,"name":"Impact","value":""},{"id":150,"name":"Time of Event (Mountain Time)","value":"08:23:47"},{"id":151,"name":"Denver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"%USERPROFILE%\AppData\Local\Temp\OnboardLogs"\RTDC4014\*4014*201610241* | grep -SE "((Enforcement Ac)|(PRM))" -</v>
      </c>
      <c r="AD20" s="1"/>
    </row>
    <row r="21" spans="1:30" s="1" customFormat="1" x14ac:dyDescent="0.25">
      <c r="A21" s="36">
        <v>42667.446747685186</v>
      </c>
      <c r="B21" s="31" t="s">
        <v>275</v>
      </c>
      <c r="C21" s="31" t="s">
        <v>409</v>
      </c>
      <c r="D21" s="31" t="s">
        <v>98</v>
      </c>
      <c r="E21" s="31" t="s">
        <v>239</v>
      </c>
      <c r="F21" s="47">
        <v>150</v>
      </c>
      <c r="G21" s="47">
        <v>204</v>
      </c>
      <c r="H21" s="47">
        <v>228778</v>
      </c>
      <c r="I21" s="47">
        <v>228438</v>
      </c>
      <c r="J21" s="31" t="s">
        <v>240</v>
      </c>
      <c r="K21" s="47">
        <v>229055</v>
      </c>
      <c r="L21" s="157" t="s">
        <v>51</v>
      </c>
      <c r="M21" s="158">
        <f t="shared" si="0"/>
        <v>-325.77600000000001</v>
      </c>
      <c r="N21" s="159" t="str">
        <f>VLOOKUP(C21,'Trips&amp;Operators'!$C$1:$E$99999,3,FALSE)</f>
        <v>SPECTOR</v>
      </c>
      <c r="O21" s="184" t="s">
        <v>238</v>
      </c>
      <c r="P21" s="160"/>
      <c r="Q21" s="31"/>
      <c r="R21" s="100" t="str">
        <f>VLOOKUP(C21,'Train Runs'!$A$13:$AE$10020,31,0)</f>
        <v>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 &amp; 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</v>
      </c>
      <c r="S21" s="103" t="str">
        <f>VLOOKUP(C21,'Train Runs'!$A$13:$AE$10020,22,0)</f>
        <v>https://search-rtdc-monitor-bjffxe2xuh6vdkpspy63sjmuny.us-east-1.es.amazonaws.com/_plugin/kibana/#/discover/Steve-Slow-Train-Analysis-(2080s-and-2083s)?_g=(refreshInterval:(display:Off,section:0,value:0),time:(from:'2016-10-24 09:32:28-0600',mode:absolute,to:'2016-10-24 12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1" s="105" t="str">
        <f t="shared" si="1"/>
        <v>"C:\Program Files (x86)\AstroGrep\AstroGrep.exe" /spath="%USERPROFILE%\AppData\Local\Temp\OnboardLogs" /stypes="*4015*201610241*" /stext=" 16:.+((SYSTEM_STATE.+slice.+state.+changed )|(ment ac)|(system.+state.+changed )|(\[timeout)|(PRM\|1\|D)|(kpr)|(kdp)|(\|lc)|(penalty))" /e /r /s</v>
      </c>
      <c r="U21" s="9" t="str">
        <f t="shared" si="2"/>
        <v>4015</v>
      </c>
      <c r="V21" s="36">
        <f t="shared" si="3"/>
        <v>42667.696747685186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{"issue":{"subject":"","project_id":79,"tracker_id":40,"status_id":1,"priority_id":2,"assigned_to_id":23,"start_date":"2016-10-24","description":"","custom_fields":[{"id":1,"name":"Subdivision","value":"EC"},{"id":4,"name":"Milepost","value":"22.9055"},{"id":17,"name":"Train ID","value":"150-24"},{"id":16,"name":"Locomotive ID","value":"4015"},{"id":130,"name":"Impact","value":""},{"id":150,"name":"Time of Event (Mountain Time)","value":"10:43:19"},{"id":151,"name":"Denver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"%USERPROFILE%\AppData\Local\Temp\OnboardLogs"\RTDC4015\*4015*201610241* | grep -SE "((Enforcement Ac)|(PRM))" -</v>
      </c>
    </row>
    <row r="22" spans="1:30" x14ac:dyDescent="0.25">
      <c r="A22" s="36">
        <v>42667.274942129632</v>
      </c>
      <c r="B22" s="31" t="s">
        <v>312</v>
      </c>
      <c r="C22" s="31" t="s">
        <v>392</v>
      </c>
      <c r="D22" s="31" t="s">
        <v>49</v>
      </c>
      <c r="E22" s="31" t="s">
        <v>239</v>
      </c>
      <c r="F22" s="47">
        <v>150</v>
      </c>
      <c r="G22" s="47">
        <v>351</v>
      </c>
      <c r="H22" s="47">
        <v>229080</v>
      </c>
      <c r="I22" s="47">
        <v>229858</v>
      </c>
      <c r="J22" s="31" t="s">
        <v>240</v>
      </c>
      <c r="K22" s="47">
        <v>230436</v>
      </c>
      <c r="L22" s="157" t="s">
        <v>50</v>
      </c>
      <c r="M22" s="158">
        <f t="shared" si="0"/>
        <v>305.18400000000003</v>
      </c>
      <c r="N22" s="159" t="str">
        <f>VLOOKUP(C22,'Trips&amp;Operators'!$C$1:$E$99999,3,FALSE)</f>
        <v>BRANNON</v>
      </c>
      <c r="O22" s="184" t="s">
        <v>238</v>
      </c>
      <c r="P22" s="160"/>
      <c r="Q22" s="31"/>
      <c r="R22" s="100" t="str">
        <f>VLOOKUP(C22,'Train Runs'!$A$13:$AE$10020,31,0)</f>
        <v>aws s3 cp s3://rtdc.mdm.uploadarchive.raw/RTDC4014/ "%USERPROFILE%\AppData\Local\Temp\OnboardLogs"\RTDC4014\2016-10-24 --exclude "*" --recursive --include "*20161024*" &amp; "%USERPROFILE%\Documents\GitHub\mrs-test-scripts\Headless Mode &amp; Sideloading\WalkAndUnGZ.bat" "%USERPROFILE%\AppData\Local\Temp\OnboardLogs"\RTDC4014\2016-10-24 &amp; aws s3 cp s3://rtdc.mdm.uploadarchive.raw/RTDC4014/ "%USERPROFILE%\AppData\Local\Temp\OnboardLogs"\RTDC4014\2016-10-25 --exclude "*" --recursive --include "*20161025*" &amp; "%USERPROFILE%\Documents\GitHub\mrs-test-scripts\Headless Mode &amp; Sideloading\WalkAndUnGZ.bat" "%USERPROFILE%\AppData\Local\Temp\OnboardLogs"\RTDC4014\2016-10-25</v>
      </c>
      <c r="S22" s="103" t="str">
        <f>VLOOKUP(C22,'Train Runs'!$A$13:$AE$10020,22,0)</f>
        <v>https://search-rtdc-monitor-bjffxe2xuh6vdkpspy63sjmuny.us-east-1.es.amazonaws.com/_plugin/kibana/#/discover/Steve-Slow-Train-Analysis-(2080s-and-2083s)?_g=(refreshInterval:(display:Off,section:0,value:0),time:(from:'2016-10-24 04:56:06-0600',mode:absolute,to:'2016-10-24 07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2" s="105" t="str">
        <f t="shared" si="1"/>
        <v>"C:\Program Files (x86)\AstroGrep\AstroGrep.exe" /spath="%USERPROFILE%\AppData\Local\Temp\OnboardLogs" /stypes="*4014*201610241*" /stext=" 12:.+((SYSTEM_STATE.+slice.+state.+changed )|(ment ac)|(system.+state.+changed )|(\[timeout)|(PRM\|1\|D)|(kpr)|(kdp)|(\|lc)|(penalty))" /e /r /s</v>
      </c>
      <c r="U22" s="9" t="str">
        <f t="shared" si="2"/>
        <v>4014</v>
      </c>
      <c r="V22" s="36">
        <f t="shared" si="3"/>
        <v>42667.524942129632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{"issue":{"subject":"","project_id":79,"tracker_id":40,"status_id":1,"priority_id":2,"assigned_to_id":23,"start_date":"2016-10-24","description":"","custom_fields":[{"id":1,"name":"Subdivision","value":"EC"},{"id":4,"name":"Milepost","value":"23.0436"},{"id":17,"name":"Train ID","value":"119-24"},{"id":16,"name":"Locomotive ID","value":"4014"},{"id":130,"name":"Impact","value":""},{"id":150,"name":"Time of Event (Mountain Time)","value":"06:35:55"},{"id":151,"name":"Denver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"%USERPROFILE%\AppData\Local\Temp\OnboardLogs"\RTDC4014\*4014*201610241* | grep -SE "((Enforcement Ac)|(PRM))" -</v>
      </c>
      <c r="AD22" s="1"/>
    </row>
    <row r="23" spans="1:30" x14ac:dyDescent="0.25">
      <c r="A23" s="36">
        <v>42667.493055555555</v>
      </c>
      <c r="B23" s="31" t="s">
        <v>274</v>
      </c>
      <c r="C23" s="31" t="s">
        <v>415</v>
      </c>
      <c r="D23" s="31" t="s">
        <v>49</v>
      </c>
      <c r="E23" s="31" t="s">
        <v>242</v>
      </c>
      <c r="F23" s="47">
        <v>0</v>
      </c>
      <c r="G23" s="47">
        <v>768</v>
      </c>
      <c r="H23" s="47">
        <v>101202</v>
      </c>
      <c r="I23" s="47">
        <v>105236</v>
      </c>
      <c r="J23" s="31" t="s">
        <v>243</v>
      </c>
      <c r="K23" s="47">
        <v>103445</v>
      </c>
      <c r="L23" s="157" t="s">
        <v>50</v>
      </c>
      <c r="M23" s="158">
        <f t="shared" si="0"/>
        <v>-945.64800000000002</v>
      </c>
      <c r="N23" s="159" t="str">
        <f>VLOOKUP(C23,'Trips&amp;Operators'!$C$1:$E$99999,3,FALSE)</f>
        <v>BONDS</v>
      </c>
      <c r="O23" s="184" t="s">
        <v>293</v>
      </c>
      <c r="P23" s="160" t="s">
        <v>810</v>
      </c>
      <c r="Q23" s="31"/>
      <c r="R23" s="100" t="str">
        <f>VLOOKUP(C23,'Train Runs'!$A$13:$AE$10020,31,0)</f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S23" s="103" t="str">
        <f>VLOOKUP(C23,'Train Runs'!$A$13:$AE$10020,22,0)</f>
        <v>https://search-rtdc-monitor-bjffxe2xuh6vdkpspy63sjmuny.us-east-1.es.amazonaws.com/_plugin/kibana/#/discover/Steve-Slow-Train-Analysis-(2080s-and-2083s)?_g=(refreshInterval:(display:Off,section:0,value:0),time:(from:'2016-10-24 10:57:40-0600',mode:absolute,to:'2016-10-24 13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3" s="105" t="str">
        <f t="shared" si="1"/>
        <v>"C:\Program Files (x86)\AstroGrep\AstroGrep.exe" /spath="%USERPROFILE%\AppData\Local\Temp\OnboardLogs" /stypes="*4016*201610241*" /stext=" 17:.+((SYSTEM_STATE.+slice.+state.+changed )|(ment ac)|(system.+state.+changed )|(\[timeout)|(PRM\|1\|D)|(kpr)|(kdp)|(\|lc)|(penalty))" /e /r /s</v>
      </c>
      <c r="U23" s="9" t="str">
        <f t="shared" si="2"/>
        <v>4016</v>
      </c>
      <c r="V23" s="36">
        <f t="shared" si="3"/>
        <v>42667.743055555555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{"issue":{"subject":"False occupancy - Sable 2N stuck at STOP","project_id":79,"tracker_id":40,"status_id":1,"priority_id":2,"assigned_to_id":23,"start_date":"2016-10-24","description":"","custom_fields":[{"id":1,"name":"Subdivision","value":"EC"},{"id":4,"name":"Milepost","value":"10.3445"},{"id":17,"name":"Train ID","value":"163-24"},{"id":16,"name":"Locomotive ID","value":"4016"},{"id":130,"name":"Impact","value":""},{"id":150,"name":"Time of Event (Mountain Time)","value":"11:50:00"},{"id":151,"name":"Denver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"%USERPROFILE%\AppData\Local\Temp\OnboardLogs"\RTDC4016\*4016*201610241* | grep -SE "((Enforcement Ac)|(PRM))" -</v>
      </c>
      <c r="AD23" s="1"/>
    </row>
    <row r="24" spans="1:30" x14ac:dyDescent="0.25">
      <c r="A24" s="36">
        <v>42667.494097222225</v>
      </c>
      <c r="B24" s="31" t="s">
        <v>274</v>
      </c>
      <c r="C24" s="31" t="s">
        <v>415</v>
      </c>
      <c r="D24" s="31" t="s">
        <v>98</v>
      </c>
      <c r="E24" s="31" t="s">
        <v>242</v>
      </c>
      <c r="F24" s="47">
        <v>0</v>
      </c>
      <c r="G24" s="47">
        <v>2</v>
      </c>
      <c r="H24" s="47">
        <v>105236</v>
      </c>
      <c r="I24" s="47">
        <v>105235</v>
      </c>
      <c r="J24" s="31" t="s">
        <v>243</v>
      </c>
      <c r="K24" s="47">
        <v>103445</v>
      </c>
      <c r="L24" s="157" t="s">
        <v>50</v>
      </c>
      <c r="M24" s="158">
        <f t="shared" si="0"/>
        <v>-945.12</v>
      </c>
      <c r="N24" s="159" t="str">
        <f>VLOOKUP(C24,'Trips&amp;Operators'!$C$1:$E$99999,3,FALSE)</f>
        <v>BONDS</v>
      </c>
      <c r="O24" s="184" t="s">
        <v>293</v>
      </c>
      <c r="P24" s="160" t="s">
        <v>810</v>
      </c>
      <c r="Q24" s="31"/>
      <c r="R24" s="100" t="str">
        <f>VLOOKUP(C24,'Train Runs'!$A$13:$AE$10020,31,0)</f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S24" s="103" t="str">
        <f>VLOOKUP(C24,'Train Runs'!$A$13:$AE$10020,22,0)</f>
        <v>https://search-rtdc-monitor-bjffxe2xuh6vdkpspy63sjmuny.us-east-1.es.amazonaws.com/_plugin/kibana/#/discover/Steve-Slow-Train-Analysis-(2080s-and-2083s)?_g=(refreshInterval:(display:Off,section:0,value:0),time:(from:'2016-10-24 10:57:40-0600',mode:absolute,to:'2016-10-24 13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4" s="105" t="str">
        <f t="shared" si="1"/>
        <v>"C:\Program Files (x86)\AstroGrep\AstroGrep.exe" /spath="%USERPROFILE%\AppData\Local\Temp\OnboardLogs" /stypes="*4016*201610241*" /stext=" 17:.+((SYSTEM_STATE.+slice.+state.+changed )|(ment ac)|(system.+state.+changed )|(\[timeout)|(PRM\|1\|D)|(kpr)|(kdp)|(\|lc)|(penalty))" /e /r /s</v>
      </c>
      <c r="U24" s="9" t="str">
        <f t="shared" si="2"/>
        <v>4016</v>
      </c>
      <c r="V24" s="36">
        <f t="shared" si="3"/>
        <v>42667.744097222225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{"issue":{"subject":"False occupancy - Sable 2N stuck at STOP","project_id":79,"tracker_id":40,"status_id":1,"priority_id":2,"assigned_to_id":23,"start_date":"2016-10-24","description":"","custom_fields":[{"id":1,"name":"Subdivision","value":"EC"},{"id":4,"name":"Milepost","value":"10.3445"},{"id":17,"name":"Train ID","value":"163-24"},{"id":16,"name":"Locomotive ID","value":"4016"},{"id":130,"name":"Impact","value":""},{"id":150,"name":"Time of Event (Mountain Time)","value":"11:51:30"},{"id":151,"name":"Denver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"%USERPROFILE%\AppData\Local\Temp\OnboardLogs"\RTDC4016\*4016*201610241* | grep -SE "((Enforcement Ac)|(PRM))" -</v>
      </c>
      <c r="AD24" s="1"/>
    </row>
    <row r="25" spans="1:30" ht="15" customHeight="1" x14ac:dyDescent="0.25">
      <c r="A25" s="36">
        <v>42667.341180555559</v>
      </c>
      <c r="B25" s="31" t="s">
        <v>300</v>
      </c>
      <c r="C25" s="31" t="s">
        <v>399</v>
      </c>
      <c r="D25" s="31" t="s">
        <v>49</v>
      </c>
      <c r="E25" s="31" t="s">
        <v>242</v>
      </c>
      <c r="F25" s="47">
        <v>0</v>
      </c>
      <c r="G25" s="47">
        <v>110</v>
      </c>
      <c r="H25" s="47">
        <v>127992</v>
      </c>
      <c r="I25" s="47">
        <v>127881</v>
      </c>
      <c r="J25" s="31" t="s">
        <v>243</v>
      </c>
      <c r="K25" s="47">
        <v>127587</v>
      </c>
      <c r="L25" s="157" t="s">
        <v>51</v>
      </c>
      <c r="M25" s="158">
        <f t="shared" si="0"/>
        <v>155.232</v>
      </c>
      <c r="N25" s="159" t="str">
        <f>VLOOKUP(C25,'Trips&amp;Operators'!$C$1:$E$99999,3,FALSE)</f>
        <v>KILLION</v>
      </c>
      <c r="O25" s="184" t="s">
        <v>238</v>
      </c>
      <c r="P25" s="160" t="s">
        <v>809</v>
      </c>
      <c r="Q25" s="31"/>
      <c r="R25" s="100" t="str">
        <f>VLOOKUP(C25,'Train Runs'!$A$13:$AE$10020,31,0)</f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S25" s="103" t="str">
        <f>VLOOKUP(C25,'Train Runs'!$A$13:$AE$10020,22,0)</f>
        <v>https://search-rtdc-monitor-bjffxe2xuh6vdkpspy63sjmuny.us-east-1.es.amazonaws.com/_plugin/kibana/#/discover/Steve-Slow-Train-Analysis-(2080s-and-2083s)?_g=(refreshInterval:(display:Off,section:0,value:0),time:(from:'2016-10-24 06:46:02-0600',mode:absolute,to:'2016-10-24 09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5" s="105" t="str">
        <f t="shared" si="1"/>
        <v>"C:\Program Files (x86)\AstroGrep\AstroGrep.exe" /spath="%USERPROFILE%\AppData\Local\Temp\OnboardLogs" /stypes="*4037*201610241*" /stext=" 14:.+((SYSTEM_STATE.+slice.+state.+changed )|(ment ac)|(system.+state.+changed )|(\[timeout)|(PRM\|1\|D)|(kpr)|(kdp)|(\|lc)|(penalty))" /e /r /s</v>
      </c>
      <c r="U25" s="9" t="str">
        <f t="shared" si="2"/>
        <v>4037</v>
      </c>
      <c r="V25" s="36">
        <f t="shared" si="3"/>
        <v>42667.591180555559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{"issue":{"subject":"40th 4S STOP, cleared afterward","project_id":79,"tracker_id":40,"status_id":1,"priority_id":2,"assigned_to_id":23,"start_date":"2016-10-24","description":"","custom_fields":[{"id":1,"name":"Subdivision","value":"EC"},{"id":4,"name":"Milepost","value":"12.7587"},{"id":17,"name":"Train ID","value":"128-24"},{"id":16,"name":"Locomotive ID","value":"4037"},{"id":130,"name":"Impact","value":""},{"id":150,"name":"Time of Event (Mountain Time)","value":"08:11:18"},{"id":151,"name":"Denver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"%USERPROFILE%\AppData\Local\Temp\OnboardLogs"\RTDC4037\*4037*201610241* | grep -SE "((Enforcement Ac)|(PRM))" -</v>
      </c>
      <c r="AD25" s="1"/>
    </row>
    <row r="26" spans="1:30" x14ac:dyDescent="0.25">
      <c r="A26" s="36">
        <v>42667.580636574072</v>
      </c>
      <c r="B26" s="31" t="s">
        <v>188</v>
      </c>
      <c r="C26" s="31" t="s">
        <v>419</v>
      </c>
      <c r="D26" s="31" t="s">
        <v>49</v>
      </c>
      <c r="E26" s="31" t="s">
        <v>242</v>
      </c>
      <c r="F26" s="47">
        <v>0</v>
      </c>
      <c r="G26" s="47">
        <v>802</v>
      </c>
      <c r="H26" s="47">
        <v>142736</v>
      </c>
      <c r="I26" s="47">
        <v>146954</v>
      </c>
      <c r="J26" s="31" t="s">
        <v>243</v>
      </c>
      <c r="K26" s="47">
        <v>144300</v>
      </c>
      <c r="L26" s="157" t="s">
        <v>50</v>
      </c>
      <c r="M26" s="158">
        <f t="shared" si="0"/>
        <v>-1401.3120000000001</v>
      </c>
      <c r="N26" s="159" t="str">
        <f>VLOOKUP(C26,'Trips&amp;Operators'!$C$1:$E$99999,3,FALSE)</f>
        <v>CLARK</v>
      </c>
      <c r="O26" s="184" t="s">
        <v>293</v>
      </c>
      <c r="P26" s="160" t="s">
        <v>385</v>
      </c>
      <c r="Q26" s="31"/>
      <c r="R26" s="100" t="str">
        <f>VLOOKUP(C26,'Train Runs'!$A$13:$AE$10020,31,0)</f>
        <v>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 &amp; aws s3 cp s3://rtdc.mdm.uploadarchive.raw/RTDC4018/ "%USERPROFILE%\AppData\Local\Temp\OnboardLogs"\RTDC4018\2016-10-25 --exclude "*" --recursive --include "*20161025*" &amp; "%USERPROFILE%\Documents\GitHub\mrs-test-scripts\Headless Mode &amp; Sideloading\WalkAndUnGZ.bat" "%USERPROFILE%\AppData\Local\Temp\OnboardLogs"\RTDC4018\2016-10-25</v>
      </c>
      <c r="S26" s="103" t="str">
        <f>VLOOKUP(C26,'Train Runs'!$A$13:$AE$10020,22,0)</f>
        <v>https://search-rtdc-monitor-bjffxe2xuh6vdkpspy63sjmuny.us-east-1.es.amazonaws.com/_plugin/kibana/#/discover/Steve-Slow-Train-Analysis-(2080s-and-2083s)?_g=(refreshInterval:(display:Off,section:0,value:0),time:(from:'2016-10-24 12:26:03-0600',mode:absolute,to:'2016-10-24 15:10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6" s="105" t="str">
        <f t="shared" si="1"/>
        <v>"C:\Program Files (x86)\AstroGrep\AstroGrep.exe" /spath="%USERPROFILE%\AppData\Local\Temp\OnboardLogs" /stypes="*4018*201610241*" /stext=" 19:.+((SYSTEM_STATE.+slice.+state.+changed )|(ment ac)|(system.+state.+changed )|(\[timeout)|(PRM\|1\|D)|(kpr)|(kdp)|(\|lc)|(penalty))" /e /r /s</v>
      </c>
      <c r="U26" s="9" t="str">
        <f t="shared" si="2"/>
        <v>4018</v>
      </c>
      <c r="V26" s="36">
        <f t="shared" si="3"/>
        <v>42667.830636574072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{"issue":{"subject":"Wi-MAX outage","project_id":79,"tracker_id":40,"status_id":1,"priority_id":2,"assigned_to_id":23,"start_date":"2016-10-24","description":"http://stevetu21.github.io/eaglep3/load_kml.html?kml=http://rtdc.gmaps-snips.s3.amazonaws.com/211145b0-20a7-4985-b424-12d839ccce8c.kml","custom_fields":[{"id":1,"name":"Subdivision","value":"EC"},{"id":4,"name":"Milepost","value":"14.43"},{"id":17,"name":"Train ID","value":"179-24"},{"id":16,"name":"Locomotive ID","value":"4018"},{"id":130,"name":"Impact","value":"Enforcement"},{"id":150,"name":"Time of Event (Mountain Time)","value":"13:56:07"},{"id":151,"name":"Denver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6" s="185" t="s">
        <v>811</v>
      </c>
      <c r="AA26" s="53" t="s">
        <v>126</v>
      </c>
      <c r="AB26" s="53" t="s">
        <v>139</v>
      </c>
      <c r="AC26" s="141" t="str">
        <f t="shared" si="7"/>
        <v>grep -hSE -A100 "Enforcement Action" "%USERPROFILE%\AppData\Local\Temp\OnboardLogs"\RTDC4018\*4018*201610241* | grep -SE "((Enforcement Ac)|(PRM))" -</v>
      </c>
      <c r="AD26" s="1"/>
    </row>
    <row r="27" spans="1:30" x14ac:dyDescent="0.25">
      <c r="A27" s="36">
        <v>42667.581944444442</v>
      </c>
      <c r="B27" s="31" t="s">
        <v>188</v>
      </c>
      <c r="C27" s="31" t="s">
        <v>419</v>
      </c>
      <c r="D27" s="31" t="s">
        <v>98</v>
      </c>
      <c r="E27" s="31" t="s">
        <v>242</v>
      </c>
      <c r="F27" s="47">
        <v>200</v>
      </c>
      <c r="G27" s="47">
        <v>266</v>
      </c>
      <c r="H27" s="47">
        <v>148123</v>
      </c>
      <c r="I27" s="47">
        <v>148846</v>
      </c>
      <c r="J27" s="31" t="s">
        <v>243</v>
      </c>
      <c r="K27" s="47">
        <v>144300</v>
      </c>
      <c r="L27" s="157" t="s">
        <v>50</v>
      </c>
      <c r="M27" s="158">
        <f t="shared" si="0"/>
        <v>-2400.288</v>
      </c>
      <c r="N27" s="159" t="str">
        <f>VLOOKUP(C27,'Trips&amp;Operators'!$C$1:$E$99999,3,FALSE)</f>
        <v>CLARK</v>
      </c>
      <c r="O27" s="184" t="s">
        <v>238</v>
      </c>
      <c r="P27" s="160" t="s">
        <v>384</v>
      </c>
      <c r="Q27" s="31"/>
      <c r="R27" s="100" t="str">
        <f>VLOOKUP(C27,'Train Runs'!$A$13:$AE$10020,31,0)</f>
        <v>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 &amp; aws s3 cp s3://rtdc.mdm.uploadarchive.raw/RTDC4018/ "%USERPROFILE%\AppData\Local\Temp\OnboardLogs"\RTDC4018\2016-10-25 --exclude "*" --recursive --include "*20161025*" &amp; "%USERPROFILE%\Documents\GitHub\mrs-test-scripts\Headless Mode &amp; Sideloading\WalkAndUnGZ.bat" "%USERPROFILE%\AppData\Local\Temp\OnboardLogs"\RTDC4018\2016-10-25</v>
      </c>
      <c r="S27" s="103" t="str">
        <f>VLOOKUP(C27,'Train Runs'!$A$13:$AE$10020,22,0)</f>
        <v>https://search-rtdc-monitor-bjffxe2xuh6vdkpspy63sjmuny.us-east-1.es.amazonaws.com/_plugin/kibana/#/discover/Steve-Slow-Train-Analysis-(2080s-and-2083s)?_g=(refreshInterval:(display:Off,section:0,value:0),time:(from:'2016-10-24 12:26:03-0600',mode:absolute,to:'2016-10-24 15:10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7" s="105" t="str">
        <f t="shared" si="1"/>
        <v>"C:\Program Files (x86)\AstroGrep\AstroGrep.exe" /spath="%USERPROFILE%\AppData\Local\Temp\OnboardLogs" /stypes="*4018*201610241*" /stext=" 19:.+((SYSTEM_STATE.+slice.+state.+changed )|(ment ac)|(system.+state.+changed )|(\[timeout)|(PRM\|1\|D)|(kpr)|(kdp)|(\|lc)|(penalty))" /e /r /s</v>
      </c>
      <c r="U27" s="9" t="str">
        <f t="shared" si="2"/>
        <v>4018</v>
      </c>
      <c r="V27" s="36">
        <f t="shared" si="3"/>
        <v>42667.831944444442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Overspeed","project_id":79,"tracker_id":40,"status_id":1,"priority_id":2,"assigned_to_id":23,"start_date":"2016-10-24","description":"","custom_fields":[{"id":1,"name":"Subdivision","value":"EC"},{"id":4,"name":"Milepost","value":"14.43"},{"id":17,"name":"Train ID","value":"179-24"},{"id":16,"name":"Locomotive ID","value":"4018"},{"id":130,"name":"Impact","value":""},{"id":150,"name":"Time of Event (Mountain Time)","value":"13:58:00"},{"id":151,"name":"Denver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"%USERPROFILE%\AppData\Local\Temp\OnboardLogs"\RTDC4018\*4018*201610241* | grep -SE "((Enforcement Ac)|(PRM))" -</v>
      </c>
      <c r="AD27" s="1"/>
    </row>
    <row r="28" spans="1:30" x14ac:dyDescent="0.25">
      <c r="A28" s="36">
        <v>42667.667604166665</v>
      </c>
      <c r="B28" s="31" t="s">
        <v>275</v>
      </c>
      <c r="C28" s="31" t="s">
        <v>422</v>
      </c>
      <c r="D28" s="31" t="s">
        <v>49</v>
      </c>
      <c r="E28" s="31" t="s">
        <v>242</v>
      </c>
      <c r="F28" s="47">
        <v>0</v>
      </c>
      <c r="G28" s="47">
        <v>559</v>
      </c>
      <c r="H28" s="47">
        <v>195163</v>
      </c>
      <c r="I28" s="47">
        <v>193144</v>
      </c>
      <c r="J28" s="31" t="s">
        <v>243</v>
      </c>
      <c r="K28" s="47">
        <v>191723</v>
      </c>
      <c r="L28" s="157" t="s">
        <v>51</v>
      </c>
      <c r="M28" s="158">
        <f t="shared" si="0"/>
        <v>750.28800000000001</v>
      </c>
      <c r="N28" s="159" t="str">
        <f>VLOOKUP(C28,'Trips&amp;Operators'!$C$1:$E$99999,3,FALSE)</f>
        <v>BONDS</v>
      </c>
      <c r="O28" s="184" t="s">
        <v>238</v>
      </c>
      <c r="P28" s="160" t="s">
        <v>812</v>
      </c>
      <c r="Q28" s="31"/>
      <c r="R28" s="100" t="str">
        <f>VLOOKUP(C28,'Train Runs'!$A$13:$AE$10020,31,0)</f>
        <v>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 &amp; 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</v>
      </c>
      <c r="S28" s="103" t="str">
        <f>VLOOKUP(C28,'Train Runs'!$A$13:$AE$10020,22,0)</f>
        <v>https://search-rtdc-monitor-bjffxe2xuh6vdkpspy63sjmuny.us-east-1.es.amazonaws.com/_plugin/kibana/#/discover/Steve-Slow-Train-Analysis-(2080s-and-2083s)?_g=(refreshInterval:(display:Off,section:0,value:0),time:(from:'2016-10-24 14:42:40-0600',mode:absolute,to:'2016-10-24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8" s="105" t="str">
        <f t="shared" si="1"/>
        <v>"C:\Program Files (x86)\AstroGrep\AstroGrep.exe" /spath="%USERPROFILE%\AppData\Local\Temp\OnboardLogs" /stypes="*4015*201610242*" /stext=" 22:.+((SYSTEM_STATE.+slice.+state.+changed )|(ment ac)|(system.+state.+changed )|(\[timeout)|(PRM\|1\|D)|(kpr)|(kdp)|(\|lc)|(penalty))" /e /r /s</v>
      </c>
      <c r="U28" s="9" t="str">
        <f t="shared" si="2"/>
        <v>4015</v>
      </c>
      <c r="V28" s="36">
        <f t="shared" si="3"/>
        <v>42667.917604166665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{"issue":{"subject":"Pena 4S STOP, cleared afterward","project_id":79,"tracker_id":40,"status_id":1,"priority_id":2,"assigned_to_id":23,"start_date":"2016-10-24","description":"","custom_fields":[{"id":1,"name":"Subdivision","value":"EC"},{"id":4,"name":"Milepost","value":"19.1723"},{"id":17,"name":"Train ID","value":"192-24"},{"id":16,"name":"Locomotive ID","value":"4015"},{"id":130,"name":"Impact","value":""},{"id":150,"name":"Time of Event (Mountain Time)","value":"16:01:21"},{"id":151,"name":"Denver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"%USERPROFILE%\AppData\Local\Temp\OnboardLogs"\RTDC4015\*4015*201610242* | grep -SE "((Enforcement Ac)|(PRM))" -</v>
      </c>
      <c r="AD28" s="1"/>
    </row>
    <row r="29" spans="1:30" x14ac:dyDescent="0.25">
      <c r="A29" s="36">
        <v>42667.202233796299</v>
      </c>
      <c r="B29" s="31" t="s">
        <v>300</v>
      </c>
      <c r="C29" s="31" t="s">
        <v>388</v>
      </c>
      <c r="D29" s="31" t="s">
        <v>49</v>
      </c>
      <c r="E29" s="31" t="s">
        <v>244</v>
      </c>
      <c r="F29" s="47">
        <v>0</v>
      </c>
      <c r="G29" s="47">
        <v>21</v>
      </c>
      <c r="H29" s="47">
        <v>125</v>
      </c>
      <c r="I29" s="47">
        <v>116</v>
      </c>
      <c r="J29" s="31" t="s">
        <v>245</v>
      </c>
      <c r="K29" s="47">
        <v>1</v>
      </c>
      <c r="L29" s="157" t="s">
        <v>51</v>
      </c>
      <c r="M29" s="158">
        <f t="shared" si="0"/>
        <v>60.72</v>
      </c>
      <c r="N29" s="159" t="str">
        <f>VLOOKUP(C29,'Trips&amp;Operators'!$C$1:$E$99999,3,FALSE)</f>
        <v>KILLION</v>
      </c>
      <c r="O29" s="184" t="s">
        <v>238</v>
      </c>
      <c r="P29" s="160"/>
      <c r="Q29" s="31"/>
      <c r="R29" s="100" t="str">
        <f>VLOOKUP(C29,'Train Runs'!$A$13:$AE$10020,31,0)</f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S29" s="103" t="str">
        <f>VLOOKUP(C29,'Train Runs'!$A$13:$AE$10020,22,0)</f>
        <v>https://search-rtdc-monitor-bjffxe2xuh6vdkpspy63sjmuny.us-east-1.es.amazonaws.com/_plugin/kibana/#/discover/Steve-Slow-Train-Analysis-(2080s-and-2083s)?_g=(refreshInterval:(display:Off,section:0,value:0),time:(from:'2016-10-24 03:05:52-0600',mode:absolute,to:'2016-10-24 05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9" s="105" t="str">
        <f t="shared" si="1"/>
        <v>"C:\Program Files (x86)\AstroGrep\AstroGrep.exe" /spath="%USERPROFILE%\AppData\Local\Temp\OnboardLogs" /stypes="*4037*201610241*" /stext=" 10:.+((SYSTEM_STATE.+slice.+state.+changed )|(ment ac)|(system.+state.+changed )|(\[timeout)|(PRM\|1\|D)|(kpr)|(kdp)|(\|lc)|(penalty))" /e /r /s</v>
      </c>
      <c r="U29" s="9" t="str">
        <f t="shared" si="2"/>
        <v>4037</v>
      </c>
      <c r="V29" s="36">
        <f t="shared" si="3"/>
        <v>42667.452233796299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{"issue":{"subject":"","project_id":79,"tracker_id":40,"status_id":1,"priority_id":2,"assigned_to_id":23,"start_date":"2016-10-24","description":"","custom_fields":[{"id":1,"name":"Subdivision","value":"EC"},{"id":4,"name":"Milepost","value":"0.0001"},{"id":17,"name":"Train ID","value":"102-24"},{"id":16,"name":"Locomotive ID","value":"4037"},{"id":130,"name":"Impact","value":""},{"id":150,"name":"Time of Event (Mountain Time)","value":"04:51:13"},{"id":151,"name":"Denver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"%USERPROFILE%\AppData\Local\Temp\OnboardLogs"\RTDC4037\*4037*201610241* | grep -SE "((Enforcement Ac)|(PRM))" -</v>
      </c>
      <c r="AD29" s="1"/>
    </row>
    <row r="30" spans="1:30" x14ac:dyDescent="0.25">
      <c r="A30" s="36">
        <v>42667.317743055559</v>
      </c>
      <c r="B30" s="31" t="s">
        <v>311</v>
      </c>
      <c r="C30" s="31" t="s">
        <v>397</v>
      </c>
      <c r="D30" s="31" t="s">
        <v>49</v>
      </c>
      <c r="E30" s="31" t="s">
        <v>244</v>
      </c>
      <c r="F30" s="47">
        <v>0</v>
      </c>
      <c r="G30" s="47">
        <v>137</v>
      </c>
      <c r="H30" s="47">
        <v>533</v>
      </c>
      <c r="I30" s="47">
        <v>358</v>
      </c>
      <c r="J30" s="31" t="s">
        <v>245</v>
      </c>
      <c r="K30" s="47">
        <v>1</v>
      </c>
      <c r="L30" s="157" t="s">
        <v>51</v>
      </c>
      <c r="M30" s="158">
        <f t="shared" si="0"/>
        <v>188.49600000000001</v>
      </c>
      <c r="N30" s="159" t="str">
        <f>VLOOKUP(C30,'Trips&amp;Operators'!$C$1:$E$99999,3,FALSE)</f>
        <v>BRANNON</v>
      </c>
      <c r="O30" s="184" t="s">
        <v>238</v>
      </c>
      <c r="P30" s="160"/>
      <c r="Q30" s="31"/>
      <c r="R30" s="100" t="str">
        <f>VLOOKUP(C30,'Train Runs'!$A$13:$AE$10020,31,0)</f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S30" s="103" t="str">
        <f>VLOOKUP(C30,'Train Runs'!$A$13:$AE$10020,22,0)</f>
        <v>https://search-rtdc-monitor-bjffxe2xuh6vdkpspy63sjmuny.us-east-1.es.amazonaws.com/_plugin/kibana/#/discover/Steve-Slow-Train-Analysis-(2080s-and-2083s)?_g=(refreshInterval:(display:Off,section:0,value:0),time:(from:'2016-10-24 05:45:48-0600',mode:absolute,to:'2016-10-24 08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0" s="105" t="str">
        <f t="shared" si="1"/>
        <v>"C:\Program Files (x86)\AstroGrep\AstroGrep.exe" /spath="%USERPROFILE%\AppData\Local\Temp\OnboardLogs" /stypes="*4013*201610241*" /stext=" 13:.+((SYSTEM_STATE.+slice.+state.+changed )|(ment ac)|(system.+state.+changed )|(\[timeout)|(PRM\|1\|D)|(kpr)|(kdp)|(\|lc)|(penalty))" /e /r /s</v>
      </c>
      <c r="U30" s="9" t="str">
        <f t="shared" si="2"/>
        <v>4013</v>
      </c>
      <c r="V30" s="36">
        <f t="shared" si="3"/>
        <v>42667.567743055559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{"issue":{"subject":"","project_id":79,"tracker_id":40,"status_id":1,"priority_id":2,"assigned_to_id":23,"start_date":"2016-10-24","description":"","custom_fields":[{"id":1,"name":"Subdivision","value":"EC"},{"id":4,"name":"Milepost","value":"0.0001"},{"id":17,"name":"Train ID","value":"120-24"},{"id":16,"name":"Locomotive ID","value":"4013"},{"id":130,"name":"Impact","value":""},{"id":150,"name":"Time of Event (Mountain Time)","value":"07:37:33"},{"id":151,"name":"Denver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"%USERPROFILE%\AppData\Local\Temp\OnboardLogs"\RTDC4013\*4013*201610241* | grep -SE "((Enforcement Ac)|(PRM))" -</v>
      </c>
      <c r="AD30" s="1"/>
    </row>
    <row r="31" spans="1:30" ht="15" customHeight="1" x14ac:dyDescent="0.25">
      <c r="A31" s="36">
        <v>42667.465185185189</v>
      </c>
      <c r="B31" s="31" t="s">
        <v>311</v>
      </c>
      <c r="C31" s="31" t="s">
        <v>411</v>
      </c>
      <c r="D31" s="31" t="s">
        <v>49</v>
      </c>
      <c r="E31" s="31" t="s">
        <v>244</v>
      </c>
      <c r="F31" s="47">
        <v>0</v>
      </c>
      <c r="G31" s="47">
        <v>50</v>
      </c>
      <c r="H31" s="47">
        <v>180</v>
      </c>
      <c r="I31" s="47">
        <v>145</v>
      </c>
      <c r="J31" s="31" t="s">
        <v>245</v>
      </c>
      <c r="K31" s="47">
        <v>1</v>
      </c>
      <c r="L31" s="157" t="s">
        <v>51</v>
      </c>
      <c r="M31" s="158">
        <f t="shared" si="0"/>
        <v>76.031999999999996</v>
      </c>
      <c r="N31" s="159" t="str">
        <f>VLOOKUP(C31,'Trips&amp;Operators'!$C$1:$E$99999,3,FALSE)</f>
        <v>BRANNON</v>
      </c>
      <c r="O31" s="184" t="s">
        <v>238</v>
      </c>
      <c r="P31" s="160"/>
      <c r="Q31" s="31"/>
      <c r="R31" s="100" t="str">
        <f>VLOOKUP(C31,'Train Runs'!$A$13:$AE$10020,31,0)</f>
        <v>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 &amp; 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</v>
      </c>
      <c r="S31" s="103" t="str">
        <f>VLOOKUP(C31,'Train Runs'!$A$13:$AE$10020,22,0)</f>
        <v>https://search-rtdc-monitor-bjffxe2xuh6vdkpspy63sjmuny.us-east-1.es.amazonaws.com/_plugin/kibana/#/discover/Steve-Slow-Train-Analysis-(2080s-and-2083s)?_g=(refreshInterval:(display:Off,section:0,value:0),time:(from:'2016-10-24 09:21:02-0600',mode:absolute,to:'2016-10-24 12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1" s="105" t="str">
        <f t="shared" si="1"/>
        <v>"C:\Program Files (x86)\AstroGrep\AstroGrep.exe" /spath="%USERPROFILE%\AppData\Local\Temp\OnboardLogs" /stypes="*4013*201610241*" /stext=" 17:.+((SYSTEM_STATE.+slice.+state.+changed )|(ment ac)|(system.+state.+changed )|(\[timeout)|(PRM\|1\|D)|(kpr)|(kdp)|(\|lc)|(penalty))" /e /r /s</v>
      </c>
      <c r="U31" s="9" t="str">
        <f t="shared" si="2"/>
        <v>4013</v>
      </c>
      <c r="V31" s="36">
        <f t="shared" si="3"/>
        <v>42667.715185185189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{"issue":{"subject":"","project_id":79,"tracker_id":40,"status_id":1,"priority_id":2,"assigned_to_id":23,"start_date":"2016-10-24","description":"","custom_fields":[{"id":1,"name":"Subdivision","value":"EC"},{"id":4,"name":"Milepost","value":"0.0001"},{"id":17,"name":"Train ID","value":"148-24"},{"id":16,"name":"Locomotive ID","value":"4013"},{"id":130,"name":"Impact","value":""},{"id":150,"name":"Time of Event (Mountain Time)","value":"11:09:52"},{"id":151,"name":"Denver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"%USERPROFILE%\AppData\Local\Temp\OnboardLogs"\RTDC4013\*4013*201610241* | grep -SE "((Enforcement Ac)|(PRM))" -</v>
      </c>
      <c r="AD31" s="1"/>
    </row>
    <row r="32" spans="1:30" x14ac:dyDescent="0.25">
      <c r="A32" s="36">
        <v>42667.984305555554</v>
      </c>
      <c r="B32" s="31" t="s">
        <v>300</v>
      </c>
      <c r="C32" s="31" t="s">
        <v>430</v>
      </c>
      <c r="D32" s="31" t="s">
        <v>49</v>
      </c>
      <c r="E32" s="31" t="s">
        <v>244</v>
      </c>
      <c r="F32" s="47">
        <v>0</v>
      </c>
      <c r="G32" s="47">
        <v>22</v>
      </c>
      <c r="H32" s="47">
        <v>54</v>
      </c>
      <c r="I32" s="47">
        <v>30</v>
      </c>
      <c r="J32" s="31" t="s">
        <v>245</v>
      </c>
      <c r="K32" s="47">
        <v>1</v>
      </c>
      <c r="L32" s="157" t="s">
        <v>51</v>
      </c>
      <c r="M32" s="158">
        <f t="shared" si="0"/>
        <v>15.311999999999999</v>
      </c>
      <c r="N32" s="159" t="str">
        <f>VLOOKUP(C32,'Trips&amp;Operators'!$C$1:$E$99999,3,FALSE)</f>
        <v>CHANDLER</v>
      </c>
      <c r="O32" s="184" t="s">
        <v>238</v>
      </c>
      <c r="P32" s="160"/>
      <c r="Q32" s="31"/>
      <c r="R32" s="100" t="str">
        <f>VLOOKUP(C32,'Train Runs'!$A$13:$AE$10020,31,0)</f>
        <v>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 &amp; aws s3 cp s3://rtdc.mdm.uploadarchive.raw/RTDC4037/ "%USERPROFILE%\AppData\Local\Temp\OnboardLogs"\RTDC4037\2016-10-25 --exclude "*" --recursive --include "*20161025*" &amp; "%USERPROFILE%\Documents\GitHub\mrs-test-scripts\Headless Mode &amp; Sideloading\WalkAndUnGZ.bat" "%USERPROFILE%\AppData\Local\Temp\OnboardLogs"\RTDC4037\2016-10-25</v>
      </c>
      <c r="S32" s="103" t="str">
        <f>VLOOKUP(C32,'Train Runs'!$A$13:$AE$10020,22,0)</f>
        <v>https://search-rtdc-monitor-bjffxe2xuh6vdkpspy63sjmuny.us-east-1.es.amazonaws.com/_plugin/kibana/#/discover/Steve-Slow-Train-Analysis-(2080s-and-2083s)?_g=(refreshInterval:(display:Off,section:0,value:0),time:(from:'2016-10-24 21:55:59-0600',mode:absolute,to:'2016-10-25 00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2" s="105" t="str">
        <f t="shared" si="1"/>
        <v>"C:\Program Files (x86)\AstroGrep\AstroGrep.exe" /spath="%USERPROFILE%\AppData\Local\Temp\OnboardLogs" /stypes="*4037*201610250*" /stext=" 05:.+((SYSTEM_STATE.+slice.+state.+changed )|(ment ac)|(system.+state.+changed )|(\[timeout)|(PRM\|1\|D)|(kpr)|(kdp)|(\|lc)|(penalty))" /e /r /s</v>
      </c>
      <c r="U32" s="9" t="str">
        <f t="shared" si="2"/>
        <v>4037</v>
      </c>
      <c r="V32" s="36">
        <f t="shared" si="3"/>
        <v>42668.234305555554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{"issue":{"subject":"","project_id":79,"tracker_id":40,"status_id":1,"priority_id":2,"assigned_to_id":23,"start_date":"2016-10-24","description":"","custom_fields":[{"id":1,"name":"Subdivision","value":"EC"},{"id":4,"name":"Milepost","value":"0.0001"},{"id":17,"name":"Train ID","value":"234-24"},{"id":16,"name":"Locomotive ID","value":"4037"},{"id":130,"name":"Impact","value":""},{"id":150,"name":"Time of Event (Mountain Time)","value":"23:37:24"},{"id":151,"name":"Denver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"%USERPROFILE%\AppData\Local\Temp\OnboardLogs"\RTDC4037\*4037*201610250* | grep -SE "((Enforcement Ac)|(PRM))" -</v>
      </c>
      <c r="AD32" s="1"/>
    </row>
    <row r="33" spans="1:30" ht="15" customHeight="1" x14ac:dyDescent="0.25">
      <c r="A33" s="36">
        <v>42667.778240740743</v>
      </c>
      <c r="B33" s="31" t="s">
        <v>241</v>
      </c>
      <c r="C33" s="31" t="s">
        <v>427</v>
      </c>
      <c r="D33" s="31" t="s">
        <v>49</v>
      </c>
      <c r="E33" s="31" t="s">
        <v>244</v>
      </c>
      <c r="F33" s="47">
        <v>0</v>
      </c>
      <c r="G33" s="47">
        <v>37</v>
      </c>
      <c r="H33" s="47">
        <v>935</v>
      </c>
      <c r="I33" s="47">
        <v>899</v>
      </c>
      <c r="J33" s="31" t="s">
        <v>245</v>
      </c>
      <c r="K33" s="47">
        <v>839</v>
      </c>
      <c r="L33" s="157" t="s">
        <v>51</v>
      </c>
      <c r="M33" s="158">
        <f t="shared" si="0"/>
        <v>31.68</v>
      </c>
      <c r="N33" s="159" t="str">
        <f>VLOOKUP(C33,'Trips&amp;Operators'!$C$1:$E$99999,3,FALSE)</f>
        <v>CLARK</v>
      </c>
      <c r="O33" s="184" t="s">
        <v>238</v>
      </c>
      <c r="P33" s="160"/>
      <c r="Q33" s="31"/>
      <c r="R33" s="100" t="str">
        <f>VLOOKUP(C33,'Train Runs'!$A$13:$AE$10020,31,0)</f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S33" s="103" t="str">
        <f>VLOOKUP(C33,'Train Runs'!$A$13:$AE$10020,22,0)</f>
        <v>https://search-rtdc-monitor-bjffxe2xuh6vdkpspy63sjmuny.us-east-1.es.amazonaws.com/_plugin/kibana/#/discover/Steve-Slow-Train-Analysis-(2080s-and-2083s)?_g=(refreshInterval:(display:Off,section:0,value:0),time:(from:'2016-10-24 16:51:39-0600',mode:absolute,to:'2016-10-24 19:40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3" s="105" t="str">
        <f t="shared" si="1"/>
        <v>"C:\Program Files (x86)\AstroGrep\AstroGrep.exe" /spath="%USERPROFILE%\AppData\Local\Temp\OnboardLogs" /stypes="*4017*201610250*" /stext=" 00:.+((SYSTEM_STATE.+slice.+state.+changed )|(ment ac)|(system.+state.+changed )|(\[timeout)|(PRM\|1\|D)|(kpr)|(kdp)|(\|lc)|(penalty))" /e /r /s</v>
      </c>
      <c r="U33" s="9" t="str">
        <f t="shared" si="2"/>
        <v>4017</v>
      </c>
      <c r="V33" s="36">
        <f t="shared" si="3"/>
        <v>42668.028240740743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{"issue":{"subject":"","project_id":79,"tracker_id":40,"status_id":1,"priority_id":2,"assigned_to_id":23,"start_date":"2016-10-24","description":"","custom_fields":[{"id":1,"name":"Subdivision","value":"EC"},{"id":4,"name":"Milepost","value":"0.0839"},{"id":17,"name":"Train ID","value":"208-24"},{"id":16,"name":"Locomotive ID","value":"4017"},{"id":130,"name":"Impact","value":""},{"id":150,"name":"Time of Event (Mountain Time)","value":"18:40:40"},{"id":151,"name":"Denver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"%USERPROFILE%\AppData\Local\Temp\OnboardLogs"\RTDC4017\*4017*201610250* | grep -SE "((Enforcement Ac)|(PRM))" -</v>
      </c>
      <c r="AD33" s="1"/>
    </row>
    <row r="34" spans="1:30" x14ac:dyDescent="0.25">
      <c r="A34" s="36">
        <v>42667.182037037041</v>
      </c>
      <c r="B34" s="31" t="s">
        <v>386</v>
      </c>
      <c r="C34" s="31" t="s">
        <v>387</v>
      </c>
      <c r="D34" s="31" t="s">
        <v>49</v>
      </c>
      <c r="E34" s="31" t="s">
        <v>244</v>
      </c>
      <c r="F34" s="47">
        <v>0</v>
      </c>
      <c r="G34" s="47">
        <v>29</v>
      </c>
      <c r="H34" s="47">
        <v>233408</v>
      </c>
      <c r="I34" s="47">
        <v>233422</v>
      </c>
      <c r="J34" s="31" t="s">
        <v>245</v>
      </c>
      <c r="K34" s="47">
        <v>233491</v>
      </c>
      <c r="L34" s="157" t="s">
        <v>50</v>
      </c>
      <c r="M34" s="158">
        <f t="shared" si="0"/>
        <v>36.432000000000002</v>
      </c>
      <c r="N34" s="159" t="str">
        <f>VLOOKUP(C34,'Trips&amp;Operators'!$C$1:$E$99999,3,FALSE)</f>
        <v>ACKERMAN</v>
      </c>
      <c r="O34" s="184" t="s">
        <v>238</v>
      </c>
      <c r="P34" s="160"/>
      <c r="Q34" s="31"/>
      <c r="R34" s="100" t="str">
        <f>VLOOKUP(C34,'Train Runs'!$A$13:$AE$10020,31,0)</f>
        <v>aws s3 cp s3://rtdc.mdm.uploadarchive.raw/RTDC4002/ "%USERPROFILE%\AppData\Local\Temp\OnboardLogs"\RTDC4002\2016-10-24 --exclude "*" --recursive --include "*20161024*" &amp; "%USERPROFILE%\Documents\GitHub\mrs-test-scripts\Headless Mode &amp; Sideloading\WalkAndUnGZ.bat" "%USERPROFILE%\AppData\Local\Temp\OnboardLogs"\RTDC4002\2016-10-24 &amp; 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</v>
      </c>
      <c r="S34" s="103" t="str">
        <f>VLOOKUP(C34,'Train Runs'!$A$13:$AE$10020,22,0)</f>
        <v>https://search-rtdc-monitor-bjffxe2xuh6vdkpspy63sjmuny.us-east-1.es.amazonaws.com/_plugin/kibana/#/discover/Steve-Slow-Train-Analysis-(2080s-and-2083s)?_g=(refreshInterval:(display:Off,section:0,value:0),time:(from:'2016-10-24 02:40:44-0600',mode:absolute,to:'2016-10-24 05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4" s="105" t="str">
        <f t="shared" si="1"/>
        <v>"C:\Program Files (x86)\AstroGrep\AstroGrep.exe" /spath="%USERPROFILE%\AppData\Local\Temp\OnboardLogs" /stypes="*4002*201610241*" /stext=" 10:.+((SYSTEM_STATE.+slice.+state.+changed )|(ment ac)|(system.+state.+changed )|(\[timeout)|(PRM\|1\|D)|(kpr)|(kdp)|(\|lc)|(penalty))" /e /r /s</v>
      </c>
      <c r="U34" s="9" t="str">
        <f t="shared" si="2"/>
        <v>4002</v>
      </c>
      <c r="V34" s="36">
        <f t="shared" si="3"/>
        <v>42667.432037037041</v>
      </c>
      <c r="W34" s="50" t="str">
        <f t="shared" si="4"/>
        <v>EC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{"issue":{"subject":"","project_id":79,"tracker_id":40,"status_id":1,"priority_id":2,"assigned_to_id":23,"start_date":"2016-10-24","description":"","custom_fields":[{"id":1,"name":"Subdivision","value":"EC"},{"id":4,"name":"Milepost","value":"23.3491"},{"id":17,"name":"Train ID","value":"103-24"},{"id":16,"name":"Locomotive ID","value":"4002"},{"id":130,"name":"Impact","value":""},{"id":150,"name":"Time of Event (Mountain Time)","value":"04:22:08"},{"id":151,"name":"Denver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"%USERPROFILE%\AppData\Local\Temp\OnboardLogs"\RTDC4002\*4002*201610241* | grep -SE "((Enforcement Ac)|(PRM))" -</v>
      </c>
      <c r="AD34" s="1"/>
    </row>
    <row r="35" spans="1:30" x14ac:dyDescent="0.25">
      <c r="A35" s="36">
        <v>42667.285937499997</v>
      </c>
      <c r="B35" s="31" t="s">
        <v>274</v>
      </c>
      <c r="C35" s="31" t="s">
        <v>393</v>
      </c>
      <c r="D35" s="31" t="s">
        <v>49</v>
      </c>
      <c r="E35" s="31" t="s">
        <v>244</v>
      </c>
      <c r="F35" s="47">
        <v>0</v>
      </c>
      <c r="G35" s="47">
        <v>76</v>
      </c>
      <c r="H35" s="47">
        <v>233193</v>
      </c>
      <c r="I35" s="47">
        <v>233270</v>
      </c>
      <c r="J35" s="31" t="s">
        <v>245</v>
      </c>
      <c r="K35" s="47">
        <v>233491</v>
      </c>
      <c r="L35" s="157" t="s">
        <v>50</v>
      </c>
      <c r="M35" s="158">
        <f t="shared" si="0"/>
        <v>116.688</v>
      </c>
      <c r="N35" s="159" t="str">
        <f>VLOOKUP(C35,'Trips&amp;Operators'!$C$1:$E$99999,3,FALSE)</f>
        <v>SPECTOR</v>
      </c>
      <c r="O35" s="184" t="s">
        <v>238</v>
      </c>
      <c r="P35" s="160"/>
      <c r="Q35" s="31"/>
      <c r="R35" s="100" t="str">
        <f>VLOOKUP(C35,'Train Runs'!$A$13:$AE$10020,31,0)</f>
        <v>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 &amp; aws s3 cp s3://rtdc.mdm.uploadarchive.raw/RTDC4016/ "%USERPROFILE%\AppData\Local\Temp\OnboardLogs"\RTDC4016\2016-10-25 --exclude "*" --recursive --include "*20161025*" &amp; "%USERPROFILE%\Documents\GitHub\mrs-test-scripts\Headless Mode &amp; Sideloading\WalkAndUnGZ.bat" "%USERPROFILE%\AppData\Local\Temp\OnboardLogs"\RTDC4016\2016-10-25</v>
      </c>
      <c r="S35" s="103" t="str">
        <f>VLOOKUP(C35,'Train Runs'!$A$13:$AE$10020,22,0)</f>
        <v>https://search-rtdc-monitor-bjffxe2xuh6vdkpspy63sjmuny.us-east-1.es.amazonaws.com/_plugin/kibana/#/discover/Steve-Slow-Train-Analysis-(2080s-and-2083s)?_g=(refreshInterval:(display:Off,section:0,value:0),time:(from:'2016-10-24 05:10:21-0600',mode:absolute,to:'2016-10-24 07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5" s="105" t="str">
        <f t="shared" si="1"/>
        <v>"C:\Program Files (x86)\AstroGrep\AstroGrep.exe" /spath="%USERPROFILE%\AppData\Local\Temp\OnboardLogs" /stypes="*4016*201610241*" /stext=" 12:.+((SYSTEM_STATE.+slice.+state.+changed )|(ment ac)|(system.+state.+changed )|(\[timeout)|(PRM\|1\|D)|(kpr)|(kdp)|(\|lc)|(penalty))" /e /r /s</v>
      </c>
      <c r="U35" s="9" t="str">
        <f t="shared" si="2"/>
        <v>4016</v>
      </c>
      <c r="V35" s="36">
        <f t="shared" si="3"/>
        <v>42667.535937499997</v>
      </c>
      <c r="W35" s="50" t="str">
        <f t="shared" si="4"/>
        <v>EC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{"issue":{"subject":"","project_id":79,"tracker_id":40,"status_id":1,"priority_id":2,"assigned_to_id":23,"start_date":"2016-10-24","description":"","custom_fields":[{"id":1,"name":"Subdivision","value":"EC"},{"id":4,"name":"Milepost","value":"23.3491"},{"id":17,"name":"Train ID","value":"121-24"},{"id":16,"name":"Locomotive ID","value":"4016"},{"id":130,"name":"Impact","value":""},{"id":150,"name":"Time of Event (Mountain Time)","value":"06:51:45"},{"id":151,"name":"Denver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"%USERPROFILE%\AppData\Local\Temp\OnboardLogs"\RTDC4016\*4016*201610241* | grep -SE "((Enforcement Ac)|(PRM))" -</v>
      </c>
      <c r="AD35" s="1"/>
    </row>
    <row r="36" spans="1:30" x14ac:dyDescent="0.25">
      <c r="A36" s="36">
        <v>42667.308449074073</v>
      </c>
      <c r="B36" s="31" t="s">
        <v>266</v>
      </c>
      <c r="C36" s="31" t="s">
        <v>395</v>
      </c>
      <c r="D36" s="31" t="s">
        <v>49</v>
      </c>
      <c r="E36" s="31" t="s">
        <v>244</v>
      </c>
      <c r="F36" s="47">
        <v>0</v>
      </c>
      <c r="G36" s="47">
        <v>84</v>
      </c>
      <c r="H36" s="47">
        <v>233186</v>
      </c>
      <c r="I36" s="47">
        <v>233274</v>
      </c>
      <c r="J36" s="31" t="s">
        <v>245</v>
      </c>
      <c r="K36" s="47">
        <v>233491</v>
      </c>
      <c r="L36" s="157" t="s">
        <v>50</v>
      </c>
      <c r="M36" s="158">
        <f t="shared" si="0"/>
        <v>114.57599999999999</v>
      </c>
      <c r="N36" s="159" t="str">
        <f>VLOOKUP(C36,'Trips&amp;Operators'!$C$1:$E$99999,3,FALSE)</f>
        <v>STARKS</v>
      </c>
      <c r="O36" s="184" t="s">
        <v>238</v>
      </c>
      <c r="P36" s="160"/>
      <c r="Q36" s="31"/>
      <c r="R36" s="100" t="str">
        <f>VLOOKUP(C36,'Train Runs'!$A$13:$AE$10020,31,0)</f>
        <v>aws s3 cp s3://rtdc.mdm.uploadarchive.raw/RTDC4053/ "%USERPROFILE%\AppData\Local\Temp\OnboardLogs"\RTDC4053\2016-10-24 --exclude "*" --recursive --include "*20161024*" &amp; "%USERPROFILE%\Documents\GitHub\mrs-test-scripts\Headless Mode &amp; Sideloading\WalkAndUnGZ.bat" "%USERPROFILE%\AppData\Local\Temp\OnboardLogs"\RTDC4053\2016-10-24 &amp; 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</v>
      </c>
      <c r="S36" s="103" t="str">
        <f>VLOOKUP(C36,'Train Runs'!$A$13:$AE$10020,22,0)</f>
        <v>https://search-rtdc-monitor-bjffxe2xuh6vdkpspy63sjmuny.us-east-1.es.amazonaws.com/_plugin/kibana/#/discover/Steve-Slow-Train-Analysis-(2080s-and-2083s)?_g=(refreshInterval:(display:Off,section:0,value:0),time:(from:'2016-10-24 05:42:13-0600',mode:absolute,to:'2016-10-24 08:24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36" s="105" t="str">
        <f t="shared" si="1"/>
        <v>"C:\Program Files (x86)\AstroGrep\AstroGrep.exe" /spath="%USERPROFILE%\AppData\Local\Temp\OnboardLogs" /stypes="*4053*201610241*" /stext=" 13:.+((SYSTEM_STATE.+slice.+state.+changed )|(ment ac)|(system.+state.+changed )|(\[timeout)|(PRM\|1\|D)|(kpr)|(kdp)|(\|lc)|(penalty))" /e /r /s</v>
      </c>
      <c r="U36" s="9" t="str">
        <f t="shared" si="2"/>
        <v>4053</v>
      </c>
      <c r="V36" s="36">
        <f t="shared" si="3"/>
        <v>42667.558449074073</v>
      </c>
      <c r="W36" s="50" t="str">
        <f t="shared" si="4"/>
        <v>EC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{"issue":{"subject":"","project_id":79,"tracker_id":40,"status_id":1,"priority_id":2,"assigned_to_id":23,"start_date":"2016-10-24","description":"","custom_fields":[{"id":1,"name":"Subdivision","value":"EC"},{"id":4,"name":"Milepost","value":"23.3491"},{"id":17,"name":"Train ID","value":"125-24"},{"id":16,"name":"Locomotive ID","value":"4053"},{"id":130,"name":"Impact","value":""},{"id":150,"name":"Time of Event (Mountain Time)","value":"07:24:10"},{"id":151,"name":"Denver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"%USERPROFILE%\AppData\Local\Temp\OnboardLogs"\RTDC4053\*4053*201610241* | grep -SE "((Enforcement Ac)|(PRM))" -</v>
      </c>
      <c r="AD36" s="1"/>
    </row>
    <row r="37" spans="1:30" x14ac:dyDescent="0.25">
      <c r="A37" s="36">
        <v>42667.394293981481</v>
      </c>
      <c r="B37" s="31" t="s">
        <v>313</v>
      </c>
      <c r="C37" s="31" t="s">
        <v>404</v>
      </c>
      <c r="D37" s="31" t="s">
        <v>49</v>
      </c>
      <c r="E37" s="31" t="s">
        <v>239</v>
      </c>
      <c r="F37" s="47">
        <v>300</v>
      </c>
      <c r="G37" s="47">
        <v>351</v>
      </c>
      <c r="H37" s="47">
        <v>20636</v>
      </c>
      <c r="I37" s="47">
        <v>21602</v>
      </c>
      <c r="J37" s="31" t="s">
        <v>240</v>
      </c>
      <c r="K37" s="47">
        <v>21299</v>
      </c>
      <c r="L37" s="157" t="s">
        <v>50</v>
      </c>
      <c r="M37" s="158">
        <f t="shared" si="0"/>
        <v>-159.98400000000001</v>
      </c>
      <c r="N37" s="159" t="str">
        <f>VLOOKUP(C37,'Trips&amp;Operators'!$C$1:$E$99999,3,FALSE)</f>
        <v>ROCHA</v>
      </c>
      <c r="O37" s="184" t="s">
        <v>238</v>
      </c>
      <c r="P37" s="160"/>
      <c r="Q37" s="31"/>
      <c r="R37" s="100" t="str">
        <f>VLOOKUP(C37,'Train Runs'!$A$13:$AE$10020,31,0)</f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S37" s="103" t="str">
        <f>VLOOKUP(C37,'Train Runs'!$A$13:$AE$10020,22,0)</f>
        <v>https://search-rtdc-monitor-bjffxe2xuh6vdkpspy63sjmuny.us-east-1.es.amazonaws.com/_plugin/kibana/#/discover/Steve-Slow-Train-Analysis-(2080s-and-2083s)?_g=(refreshInterval:(display:Off,section:0,value:0),time:(from:'2016-10-24 08:12:27-0600',mode:absolute,to:'2016-10-24 10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37" s="105" t="str">
        <f t="shared" si="1"/>
        <v>"C:\Program Files (x86)\AstroGrep\AstroGrep.exe" /spath="%USERPROFILE%\AppData\Local\Temp\OnboardLogs" /stypes="*4027*201610241*" /stext=" 15:.+((SYSTEM_STATE.+slice.+state.+changed )|(ment ac)|(system.+state.+changed )|(\[timeout)|(PRM\|1\|D)|(kpr)|(kdp)|(\|lc)|(penalty))" /e /r /s</v>
      </c>
      <c r="U37" s="9" t="str">
        <f t="shared" si="2"/>
        <v>4027</v>
      </c>
      <c r="V37" s="36">
        <f t="shared" si="3"/>
        <v>42667.644293981481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{"issue":{"subject":"","project_id":79,"tracker_id":40,"status_id":1,"priority_id":2,"assigned_to_id":23,"start_date":"2016-10-24","description":"","custom_fields":[{"id":1,"name":"Subdivision","value":"NW"},{"id":4,"name":"Milepost","value":"2.1299"},{"id":17,"name":"Train ID","value":"813-24"},{"id":16,"name":"Locomotive ID","value":"4027"},{"id":130,"name":"Impact","value":""},{"id":150,"name":"Time of Event (Mountain Time)","value":"09:27:47"},{"id":151,"name":"Denver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"%USERPROFILE%\AppData\Local\Temp\OnboardLogs"\RTDC4027\*4027*201610241* | grep -SE "((Enforcement Ac)|(PRM))" -</v>
      </c>
      <c r="AD37" s="1"/>
    </row>
    <row r="38" spans="1:30" x14ac:dyDescent="0.25">
      <c r="A38" s="36">
        <v>42667.605474537035</v>
      </c>
      <c r="B38" s="31" t="s">
        <v>313</v>
      </c>
      <c r="C38" s="31" t="s">
        <v>420</v>
      </c>
      <c r="D38" s="31" t="s">
        <v>49</v>
      </c>
      <c r="E38" s="31" t="s">
        <v>239</v>
      </c>
      <c r="F38" s="47">
        <v>150</v>
      </c>
      <c r="G38" s="47">
        <v>352</v>
      </c>
      <c r="H38" s="47">
        <v>56055</v>
      </c>
      <c r="I38" s="47">
        <v>56722</v>
      </c>
      <c r="J38" s="31" t="s">
        <v>240</v>
      </c>
      <c r="K38" s="47">
        <v>57008</v>
      </c>
      <c r="L38" s="157" t="s">
        <v>50</v>
      </c>
      <c r="M38" s="158">
        <f t="shared" si="0"/>
        <v>151.00800000000001</v>
      </c>
      <c r="N38" s="159" t="str">
        <f>VLOOKUP(C38,'Trips&amp;Operators'!$C$1:$E$99999,3,FALSE)</f>
        <v>BRUDER</v>
      </c>
      <c r="O38" s="184" t="s">
        <v>238</v>
      </c>
      <c r="P38" s="160"/>
      <c r="Q38" s="31"/>
      <c r="R38" s="100" t="str">
        <f>VLOOKUP(C38,'Train Runs'!$A$13:$AE$10020,31,0)</f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S38" s="103" t="str">
        <f>VLOOKUP(C38,'Train Runs'!$A$13:$AE$10020,22,0)</f>
        <v>https://search-rtdc-monitor-bjffxe2xuh6vdkpspy63sjmuny.us-east-1.es.amazonaws.com/_plugin/kibana/#/discover/Steve-Slow-Train-Analysis-(2080s-and-2083s)?_g=(refreshInterval:(display:Off,section:0,value:0),time:(from:'2016-10-24 13:13:23-0600',mode:absolute,to:'2016-10-24 15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38" s="105" t="str">
        <f t="shared" si="1"/>
        <v>"C:\Program Files (x86)\AstroGrep\AstroGrep.exe" /spath="%USERPROFILE%\AppData\Local\Temp\OnboardLogs" /stypes="*4027*201610242*" /stext=" 20:.+((SYSTEM_STATE.+slice.+state.+changed )|(ment ac)|(system.+state.+changed )|(\[timeout)|(PRM\|1\|D)|(kpr)|(kdp)|(\|lc)|(penalty))" /e /r /s</v>
      </c>
      <c r="U38" s="9" t="str">
        <f t="shared" si="2"/>
        <v>4027</v>
      </c>
      <c r="V38" s="36">
        <f t="shared" si="3"/>
        <v>42667.855474537035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{"issue":{"subject":"","project_id":79,"tracker_id":40,"status_id":1,"priority_id":2,"assigned_to_id":23,"start_date":"2016-10-24","description":"","custom_fields":[{"id":1,"name":"Subdivision","value":"NW"},{"id":4,"name":"Milepost","value":"5.7008"},{"id":17,"name":"Train ID","value":"823-24"},{"id":16,"name":"Locomotive ID","value":"4027"},{"id":130,"name":"Impact","value":""},{"id":150,"name":"Time of Event (Mountain Time)","value":"14:31:53"},{"id":151,"name":"Denver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"%USERPROFILE%\AppData\Local\Temp\OnboardLogs"\RTDC4027\*4027*201610242* | grep -SE "((Enforcement Ac)|(PRM))" -</v>
      </c>
      <c r="AD38" s="1"/>
    </row>
    <row r="39" spans="1:30" x14ac:dyDescent="0.25">
      <c r="A39" s="36">
        <v>42667.449525462966</v>
      </c>
      <c r="B39" s="31" t="s">
        <v>246</v>
      </c>
      <c r="C39" s="31" t="s">
        <v>410</v>
      </c>
      <c r="D39" s="31" t="s">
        <v>98</v>
      </c>
      <c r="E39" s="31" t="s">
        <v>239</v>
      </c>
      <c r="F39" s="47">
        <v>150</v>
      </c>
      <c r="G39" s="47">
        <v>207</v>
      </c>
      <c r="H39" s="47">
        <v>56665</v>
      </c>
      <c r="I39" s="47">
        <v>56150</v>
      </c>
      <c r="J39" s="31" t="s">
        <v>240</v>
      </c>
      <c r="K39" s="47">
        <v>59050</v>
      </c>
      <c r="L39" s="157" t="s">
        <v>51</v>
      </c>
      <c r="M39" s="158">
        <f t="shared" si="0"/>
        <v>-1531.2</v>
      </c>
      <c r="N39" s="159" t="str">
        <f>VLOOKUP(C39,'Trips&amp;Operators'!$C$1:$E$99999,3,FALSE)</f>
        <v>ROCHA</v>
      </c>
      <c r="O39" s="184" t="s">
        <v>238</v>
      </c>
      <c r="P39" s="160"/>
      <c r="Q39" s="31"/>
      <c r="R39" s="100" t="str">
        <f>VLOOKUP(C39,'Train Runs'!$A$13:$AE$10020,31,0)</f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S39" s="103" t="str">
        <f>VLOOKUP(C39,'Train Runs'!$A$13:$AE$10020,22,0)</f>
        <v>https://search-rtdc-monitor-bjffxe2xuh6vdkpspy63sjmuny.us-east-1.es.amazonaws.com/_plugin/kibana/#/discover/Steve-Slow-Train-Analysis-(2080s-and-2083s)?_g=(refreshInterval:(display:Off,section:0,value:0),time:(from:'2016-10-24 09:40:18-0600',mode:absolute,to:'2016-10-24 12:00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39" s="105" t="str">
        <f t="shared" si="1"/>
        <v>"C:\Program Files (x86)\AstroGrep\AstroGrep.exe" /spath="%USERPROFILE%\AppData\Local\Temp\OnboardLogs" /stypes="*4028*201610241*" /stext=" 16:.+((SYSTEM_STATE.+slice.+state.+changed )|(ment ac)|(system.+state.+changed )|(\[timeout)|(PRM\|1\|D)|(kpr)|(kdp)|(\|lc)|(penalty))" /e /r /s</v>
      </c>
      <c r="U39" s="9" t="str">
        <f t="shared" si="2"/>
        <v>4028</v>
      </c>
      <c r="V39" s="36">
        <f t="shared" si="3"/>
        <v>42667.699525462966</v>
      </c>
      <c r="W39" s="50" t="str">
        <f t="shared" si="4"/>
        <v>NW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{"issue":{"subject":"","project_id":79,"tracker_id":40,"status_id":1,"priority_id":2,"assigned_to_id":23,"start_date":"2016-10-24","description":"","custom_fields":[{"id":1,"name":"Subdivision","value":"NW"},{"id":4,"name":"Milepost","value":"5.905"},{"id":17,"name":"Train ID","value":"816-24"},{"id":16,"name":"Locomotive ID","value":"4028"},{"id":130,"name":"Impact","value":""},{"id":150,"name":"Time of Event (Mountain Time)","value":"10:47:19"},{"id":151,"name":"Denver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"%USERPROFILE%\AppData\Local\Temp\OnboardLogs"\RTDC4028\*4028*201610241* | grep -SE "((Enforcement Ac)|(PRM))" -</v>
      </c>
      <c r="AD39" s="1"/>
    </row>
    <row r="40" spans="1:30" x14ac:dyDescent="0.25">
      <c r="A40" s="36">
        <v>42667.785520833335</v>
      </c>
      <c r="B40" s="31" t="s">
        <v>246</v>
      </c>
      <c r="C40" s="31" t="s">
        <v>428</v>
      </c>
      <c r="D40" s="31" t="s">
        <v>49</v>
      </c>
      <c r="E40" s="31" t="s">
        <v>242</v>
      </c>
      <c r="F40" s="47">
        <v>0</v>
      </c>
      <c r="G40" s="47">
        <v>76</v>
      </c>
      <c r="H40" s="47">
        <v>11046</v>
      </c>
      <c r="I40" s="47">
        <v>10924</v>
      </c>
      <c r="J40" s="31" t="s">
        <v>243</v>
      </c>
      <c r="K40" s="47">
        <v>11016</v>
      </c>
      <c r="L40" s="157" t="s">
        <v>51</v>
      </c>
      <c r="M40" s="158">
        <f t="shared" si="0"/>
        <v>-48.576000000000001</v>
      </c>
      <c r="N40" s="159" t="str">
        <f>VLOOKUP(C40,'Trips&amp;Operators'!$C$1:$E$99999,3,FALSE)</f>
        <v>BRUDER</v>
      </c>
      <c r="O40" s="184" t="s">
        <v>293</v>
      </c>
      <c r="P40" s="160" t="s">
        <v>813</v>
      </c>
      <c r="Q40" s="31"/>
      <c r="R40" s="100" t="str">
        <f>VLOOKUP(C40,'Train Runs'!$A$13:$AE$10020,31,0)</f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S40" s="103" t="str">
        <f>VLOOKUP(C40,'Train Runs'!$A$13:$AE$10020,22,0)</f>
        <v>https://search-rtdc-monitor-bjffxe2xuh6vdkpspy63sjmuny.us-east-1.es.amazonaws.com/_plugin/kibana/#/discover/Steve-Slow-Train-Analysis-(2080s-and-2083s)?_g=(refreshInterval:(display:Off,section:0,value:0),time:(from:'2016-10-24 17:37:29-0600',mode:absolute,to:'2016-10-24 19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40" s="105" t="str">
        <f t="shared" si="1"/>
        <v>"C:\Program Files (x86)\AstroGrep\AstroGrep.exe" /spath="%USERPROFILE%\AppData\Local\Temp\OnboardLogs" /stypes="*4028*201610250*" /stext=" 00:.+((SYSTEM_STATE.+slice.+state.+changed )|(ment ac)|(system.+state.+changed )|(\[timeout)|(PRM\|1\|D)|(kpr)|(kdp)|(\|lc)|(penalty))" /e /r /s</v>
      </c>
      <c r="U40" s="9" t="str">
        <f t="shared" si="2"/>
        <v>4028</v>
      </c>
      <c r="V40" s="36">
        <f t="shared" si="3"/>
        <v>42668.035520833335</v>
      </c>
      <c r="W40" s="50" t="str">
        <f t="shared" si="4"/>
        <v>NW</v>
      </c>
      <c r="X40" s="50" t="str">
        <f t="shared" si="5"/>
        <v>KEEP</v>
      </c>
      <c r="Y40" s="122" t="str">
        <f t="shared" si="6"/>
        <v>echo {"issue":{"subject":"Wheel tach / GPS disagreement under I-25 bridge","project_id":79,"tracker_id":40,"status_id":1,"priority_id":2,"assigned_to_id":23,"start_date":"2016-10-24","description":"See title","custom_fields":[{"id":1,"name":"Subdivision","value":"NW"},{"id":4,"name":"Milepost","value":"1.1016"},{"id":17,"name":"Train ID","value":"838-24"},{"id":16,"name":"Locomotive ID","value":"4028"},{"id":130,"name":"Impact","value":"Enforcement"},{"id":150,"name":"Time of Event (Mountain Time)","value":"18:51:09"},{"id":151,"name":"Denver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40" s="53" t="s">
        <v>814</v>
      </c>
      <c r="AA40" s="53" t="s">
        <v>126</v>
      </c>
      <c r="AB40" s="53" t="s">
        <v>179</v>
      </c>
      <c r="AC40" s="141" t="str">
        <f t="shared" si="7"/>
        <v>grep -hSE -A100 "Enforcement Action" "%USERPROFILE%\AppData\Local\Temp\OnboardLogs"\RTDC4028\*4028*201610250* | grep -SE "((Enforcement Ac)|(PRM))" -</v>
      </c>
      <c r="AD40" s="1"/>
    </row>
    <row r="41" spans="1:30" x14ac:dyDescent="0.25">
      <c r="A41" s="36">
        <v>42667.535474537035</v>
      </c>
      <c r="B41" s="31" t="s">
        <v>246</v>
      </c>
      <c r="C41" s="31" t="s">
        <v>416</v>
      </c>
      <c r="D41" s="31" t="s">
        <v>49</v>
      </c>
      <c r="E41" s="31" t="s">
        <v>417</v>
      </c>
      <c r="F41" s="47">
        <v>100</v>
      </c>
      <c r="G41" s="47">
        <v>178</v>
      </c>
      <c r="H41" s="47">
        <v>11846</v>
      </c>
      <c r="I41" s="47">
        <v>11459</v>
      </c>
      <c r="J41" s="31" t="s">
        <v>154</v>
      </c>
      <c r="K41" s="47">
        <v>11000</v>
      </c>
      <c r="L41" s="157" t="s">
        <v>51</v>
      </c>
      <c r="M41" s="158">
        <f t="shared" si="0"/>
        <v>242.352</v>
      </c>
      <c r="N41" s="159" t="str">
        <f>VLOOKUP(C41,'Trips&amp;Operators'!$C$1:$E$99999,3,FALSE)</f>
        <v>ROCHA</v>
      </c>
      <c r="O41" s="184" t="s">
        <v>238</v>
      </c>
      <c r="P41" s="160"/>
      <c r="Q41" s="31"/>
      <c r="R41" s="100" t="str">
        <f>VLOOKUP(C41,'Train Runs'!$A$13:$AE$10020,31,0)</f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S41" s="103" t="str">
        <f>VLOOKUP(C41,'Train Runs'!$A$13:$AE$10020,22,0)</f>
        <v>https://search-rtdc-monitor-bjffxe2xuh6vdkpspy63sjmuny.us-east-1.es.amazonaws.com/_plugin/kibana/#/discover/Steve-Slow-Train-Analysis-(2080s-and-2083s)?_g=(refreshInterval:(display:Off,section:0,value:0),time:(from:'2016-10-24 11:37:51-0600',mode:absolute,to:'2016-10-24 13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41" s="105" t="str">
        <f t="shared" si="1"/>
        <v>"C:\Program Files (x86)\AstroGrep\AstroGrep.exe" /spath="%USERPROFILE%\AppData\Local\Temp\OnboardLogs" /stypes="*4028*201610241*" /stext=" 18:.+((SYSTEM_STATE.+slice.+state.+changed )|(ment ac)|(system.+state.+changed )|(\[timeout)|(PRM\|1\|D)|(kpr)|(kdp)|(\|lc)|(penalty))" /e /r /s</v>
      </c>
      <c r="U41" s="9" t="str">
        <f t="shared" si="2"/>
        <v>4028</v>
      </c>
      <c r="V41" s="36">
        <f t="shared" si="3"/>
        <v>42667.785474537035</v>
      </c>
      <c r="W41" s="50" t="str">
        <f t="shared" si="4"/>
        <v>NW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{"issue":{"subject":"","project_id":79,"tracker_id":40,"status_id":1,"priority_id":2,"assigned_to_id":23,"start_date":"2016-10-24","description":"","custom_fields":[{"id":1,"name":"Subdivision","value":"NW"},{"id":4,"name":"Milepost","value":"1.1"},{"id":17,"name":"Train ID","value":"820-24"},{"id":16,"name":"Locomotive ID","value":"4028"},{"id":130,"name":"Impact","value":""},{"id":150,"name":"Time of Event (Mountain Time)","value":"12:51:05"},{"id":151,"name":"Denver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"%USERPROFILE%\AppData\Local\Temp\OnboardLogs"\RTDC4028\*4028*201610241* | grep -SE "((Enforcement Ac)|(PRM))" -</v>
      </c>
      <c r="AD41" s="1"/>
    </row>
    <row r="42" spans="1:30" x14ac:dyDescent="0.25">
      <c r="A42" s="36">
        <v>42667.2265162037</v>
      </c>
      <c r="B42" s="31" t="s">
        <v>193</v>
      </c>
      <c r="C42" s="31" t="s">
        <v>390</v>
      </c>
      <c r="D42" s="31" t="s">
        <v>49</v>
      </c>
      <c r="E42" s="31" t="s">
        <v>244</v>
      </c>
      <c r="F42" s="47">
        <v>0</v>
      </c>
      <c r="G42" s="47">
        <v>18</v>
      </c>
      <c r="H42" s="47">
        <v>628</v>
      </c>
      <c r="I42" s="47">
        <v>615</v>
      </c>
      <c r="J42" s="31" t="s">
        <v>245</v>
      </c>
      <c r="K42" s="47">
        <v>575</v>
      </c>
      <c r="L42" s="157" t="s">
        <v>51</v>
      </c>
      <c r="M42" s="158">
        <f t="shared" si="0"/>
        <v>21.12</v>
      </c>
      <c r="N42" s="159" t="str">
        <f>VLOOKUP(C42,'Trips&amp;Operators'!$C$1:$E$99999,3,FALSE)</f>
        <v>DAVIS</v>
      </c>
      <c r="O42" s="184" t="s">
        <v>238</v>
      </c>
      <c r="P42" s="160"/>
      <c r="Q42" s="31"/>
      <c r="R42" s="100" t="str">
        <f>VLOOKUP(C42,'Train Runs'!$A$13:$AE$10020,31,0)</f>
        <v>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 &amp; 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</v>
      </c>
      <c r="S42" s="103" t="str">
        <f>VLOOKUP(C42,'Train Runs'!$A$13:$AE$10020,22,0)</f>
        <v>https://search-rtdc-monitor-bjffxe2xuh6vdkpspy63sjmuny.us-east-1.es.amazonaws.com/_plugin/kibana/#/discover/Steve-Slow-Train-Analysis-(2080s-and-2083s)?_g=(refreshInterval:(display:Off,section:0,value:0),time:(from:'2016-10-24 04:08:10-0600',mode:absolute,to:'2016-10-24 06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2" s="105" t="str">
        <f t="shared" si="1"/>
        <v>"C:\Program Files (x86)\AstroGrep\AstroGrep.exe" /spath="%USERPROFILE%\AppData\Local\Temp\OnboardLogs" /stypes="*4010*201610241*" /stext=" 11:.+((SYSTEM_STATE.+slice.+state.+changed )|(ment ac)|(system.+state.+changed )|(\[timeout)|(PRM\|1\|D)|(kpr)|(kdp)|(\|lc)|(penalty))" /e /r /s</v>
      </c>
      <c r="U42" s="9" t="str">
        <f t="shared" si="2"/>
        <v>4010</v>
      </c>
      <c r="V42" s="36">
        <f t="shared" si="3"/>
        <v>42667.4765162037</v>
      </c>
      <c r="W42" s="50" t="str">
        <f t="shared" si="4"/>
        <v>NW</v>
      </c>
      <c r="X42" s="50" t="str">
        <f t="shared" si="5"/>
        <v>KEEP</v>
      </c>
      <c r="Y42" s="122" t="str">
        <f t="shared" si="6"/>
        <v>echo {"issue":{"subject":"","project_id":79,"tracker_id":40,"status_id":1,"priority_id":2,"assigned_to_id":23,"start_date":"2016-10-24","description":"","custom_fields":[{"id":1,"name":"Subdivision","value":"NW"},{"id":4,"name":"Milepost","value":"0.0575"},{"id":17,"name":"Train ID","value":"800-24"},{"id":16,"name":"Locomotive ID","value":"4010"},{"id":130,"name":"Impact","value":""},{"id":150,"name":"Time of Event (Mountain Time)","value":"05:26:11"},{"id":151,"name":"Denver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"%USERPROFILE%\AppData\Local\Temp\OnboardLogs"\RTDC4010\*4010*201610241* | grep -SE "((Enforcement Ac)|(PRM))" -</v>
      </c>
      <c r="AD42" s="1"/>
    </row>
    <row r="43" spans="1:30" x14ac:dyDescent="0.25">
      <c r="A43" s="36">
        <v>42667.310185185182</v>
      </c>
      <c r="B43" s="31" t="s">
        <v>193</v>
      </c>
      <c r="C43" s="31" t="s">
        <v>396</v>
      </c>
      <c r="D43" s="31" t="s">
        <v>49</v>
      </c>
      <c r="E43" s="31" t="s">
        <v>244</v>
      </c>
      <c r="F43" s="47">
        <v>0</v>
      </c>
      <c r="G43" s="47">
        <v>13</v>
      </c>
      <c r="H43" s="47">
        <v>594</v>
      </c>
      <c r="I43" s="47">
        <v>589</v>
      </c>
      <c r="J43" s="31" t="s">
        <v>245</v>
      </c>
      <c r="K43" s="47">
        <v>575</v>
      </c>
      <c r="L43" s="157" t="s">
        <v>51</v>
      </c>
      <c r="M43" s="158">
        <f t="shared" si="0"/>
        <v>7.3920000000000003</v>
      </c>
      <c r="N43" s="159" t="str">
        <f>VLOOKUP(C43,'Trips&amp;Operators'!$C$1:$E$99999,3,FALSE)</f>
        <v>DAVIS</v>
      </c>
      <c r="O43" s="184" t="s">
        <v>238</v>
      </c>
      <c r="P43" s="160"/>
      <c r="Q43" s="31"/>
      <c r="R43" s="100" t="str">
        <f>VLOOKUP(C43,'Train Runs'!$A$13:$AE$10020,31,0)</f>
        <v>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 &amp; 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</v>
      </c>
      <c r="S43" s="103" t="str">
        <f>VLOOKUP(C43,'Train Runs'!$A$13:$AE$10020,22,0)</f>
        <v>https://search-rtdc-monitor-bjffxe2xuh6vdkpspy63sjmuny.us-east-1.es.amazonaws.com/_plugin/kibana/#/discover/Steve-Slow-Train-Analysis-(2080s-and-2083s)?_g=(refreshInterval:(display:Off,section:0,value:0),time:(from:'2016-10-24 06:07:14-0600',mode:absolute,to:'2016-10-24 08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3" s="105" t="str">
        <f t="shared" si="1"/>
        <v>"C:\Program Files (x86)\AstroGrep\AstroGrep.exe" /spath="%USERPROFILE%\AppData\Local\Temp\OnboardLogs" /stypes="*4010*201610241*" /stext=" 13:.+((SYSTEM_STATE.+slice.+state.+changed )|(ment ac)|(system.+state.+changed )|(\[timeout)|(PRM\|1\|D)|(kpr)|(kdp)|(\|lc)|(penalty))" /e /r /s</v>
      </c>
      <c r="U43" s="9" t="str">
        <f t="shared" si="2"/>
        <v>4010</v>
      </c>
      <c r="V43" s="36">
        <f t="shared" si="3"/>
        <v>42667.560185185182</v>
      </c>
      <c r="W43" s="50" t="str">
        <f t="shared" si="4"/>
        <v>NW</v>
      </c>
      <c r="X43" s="50" t="str">
        <f t="shared" si="5"/>
        <v>KEEP</v>
      </c>
      <c r="Y43" s="122" t="str">
        <f t="shared" si="6"/>
        <v>echo {"issue":{"subject":"","project_id":79,"tracker_id":40,"status_id":1,"priority_id":2,"assigned_to_id":23,"start_date":"2016-10-24","description":"","custom_fields":[{"id":1,"name":"Subdivision","value":"NW"},{"id":4,"name":"Milepost","value":"0.0575"},{"id":17,"name":"Train ID","value":"806-24"},{"id":16,"name":"Locomotive ID","value":"4010"},{"id":130,"name":"Impact","value":""},{"id":150,"name":"Time of Event (Mountain Time)","value":"07:26:40"},{"id":151,"name":"Denver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"%USERPROFILE%\AppData\Local\Temp\OnboardLogs"\RTDC4010\*4010*201610241* | grep -SE "((Enforcement Ac)|(PRM))" -</v>
      </c>
      <c r="AD43" s="1"/>
    </row>
    <row r="44" spans="1:30" x14ac:dyDescent="0.25">
      <c r="A44" s="36">
        <v>42667.579918981479</v>
      </c>
      <c r="B44" s="31" t="s">
        <v>246</v>
      </c>
      <c r="C44" s="31" t="s">
        <v>418</v>
      </c>
      <c r="D44" s="31" t="s">
        <v>49</v>
      </c>
      <c r="E44" s="31" t="s">
        <v>244</v>
      </c>
      <c r="F44" s="47">
        <v>0</v>
      </c>
      <c r="G44" s="47">
        <v>58</v>
      </c>
      <c r="H44" s="47">
        <v>762</v>
      </c>
      <c r="I44" s="47">
        <v>727</v>
      </c>
      <c r="J44" s="31" t="s">
        <v>245</v>
      </c>
      <c r="K44" s="47">
        <v>575</v>
      </c>
      <c r="L44" s="157" t="s">
        <v>51</v>
      </c>
      <c r="M44" s="158">
        <f t="shared" si="0"/>
        <v>80.256</v>
      </c>
      <c r="N44" s="159" t="str">
        <f>VLOOKUP(C44,'Trips&amp;Operators'!$C$1:$E$99999,3,FALSE)</f>
        <v>BRUDER</v>
      </c>
      <c r="O44" s="184" t="s">
        <v>238</v>
      </c>
      <c r="P44" s="160"/>
      <c r="Q44" s="31"/>
      <c r="R44" s="100" t="str">
        <f>VLOOKUP(C44,'Train Runs'!$A$13:$AE$10020,31,0)</f>
        <v>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 &amp; 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</v>
      </c>
      <c r="S44" s="103" t="str">
        <f>VLOOKUP(C44,'Train Runs'!$A$13:$AE$10020,22,0)</f>
        <v>https://search-rtdc-monitor-bjffxe2xuh6vdkpspy63sjmuny.us-east-1.es.amazonaws.com/_plugin/kibana/#/discover/Steve-Slow-Train-Analysis-(2080s-and-2083s)?_g=(refreshInterval:(display:Off,section:0,value:0),time:(from:'2016-10-24 12:37:24-0600',mode:absolute,to:'2016-10-24 14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44" s="105" t="str">
        <f t="shared" si="1"/>
        <v>"C:\Program Files (x86)\AstroGrep\AstroGrep.exe" /spath="%USERPROFILE%\AppData\Local\Temp\OnboardLogs" /stypes="*4028*201610241*" /stext=" 19:.+((SYSTEM_STATE.+slice.+state.+changed )|(ment ac)|(system.+state.+changed )|(\[timeout)|(PRM\|1\|D)|(kpr)|(kdp)|(\|lc)|(penalty))" /e /r /s</v>
      </c>
      <c r="U44" s="9" t="str">
        <f t="shared" si="2"/>
        <v>4028</v>
      </c>
      <c r="V44" s="36">
        <f t="shared" si="3"/>
        <v>42667.829918981479</v>
      </c>
      <c r="W44" s="50" t="str">
        <f t="shared" si="4"/>
        <v>NW</v>
      </c>
      <c r="X44" s="50" t="str">
        <f t="shared" si="5"/>
        <v>KEEP</v>
      </c>
      <c r="Y44" s="122" t="str">
        <f t="shared" si="6"/>
        <v>echo {"issue":{"subject":"","project_id":79,"tracker_id":40,"status_id":1,"priority_id":2,"assigned_to_id":23,"start_date":"2016-10-24","description":"","custom_fields":[{"id":1,"name":"Subdivision","value":"NW"},{"id":4,"name":"Milepost","value":"0.0575"},{"id":17,"name":"Train ID","value":"822-24"},{"id":16,"name":"Locomotive ID","value":"4028"},{"id":130,"name":"Impact","value":""},{"id":150,"name":"Time of Event (Mountain Time)","value":"13:55:05"},{"id":151,"name":"Denver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"%USERPROFILE%\AppData\Local\Temp\OnboardLogs"\RTDC4028\*4028*201610241* | grep -SE "((Enforcement Ac)|(PRM))" -</v>
      </c>
      <c r="AD44" s="1"/>
    </row>
    <row r="45" spans="1:30" x14ac:dyDescent="0.25">
      <c r="A45" s="36">
        <v>42667.253819444442</v>
      </c>
      <c r="B45" s="31" t="s">
        <v>194</v>
      </c>
      <c r="C45" s="31" t="s">
        <v>391</v>
      </c>
      <c r="D45" s="31" t="s">
        <v>49</v>
      </c>
      <c r="E45" s="31" t="s">
        <v>244</v>
      </c>
      <c r="F45" s="47">
        <v>0</v>
      </c>
      <c r="G45" s="47">
        <v>11</v>
      </c>
      <c r="H45" s="47">
        <v>59040</v>
      </c>
      <c r="I45" s="47">
        <v>59048</v>
      </c>
      <c r="J45" s="31" t="s">
        <v>245</v>
      </c>
      <c r="K45" s="47">
        <v>59048</v>
      </c>
      <c r="L45" s="157" t="s">
        <v>50</v>
      </c>
      <c r="M45" s="158">
        <f t="shared" si="0"/>
        <v>0</v>
      </c>
      <c r="N45" s="159" t="str">
        <f>VLOOKUP(C45,'Trips&amp;Operators'!$C$1:$E$99999,3,FALSE)</f>
        <v>DAVIS</v>
      </c>
      <c r="O45" s="184" t="s">
        <v>238</v>
      </c>
      <c r="P45" s="160"/>
      <c r="Q45" s="31"/>
      <c r="R45" s="100" t="str">
        <f>VLOOKUP(C45,'Train Runs'!$A$13:$AE$10020,31,0)</f>
        <v>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 &amp; 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</v>
      </c>
      <c r="S45" s="103" t="str">
        <f>VLOOKUP(C45,'Train Runs'!$A$13:$AE$10020,22,0)</f>
        <v>https://search-rtdc-monitor-bjffxe2xuh6vdkpspy63sjmuny.us-east-1.es.amazonaws.com/_plugin/kibana/#/discover/Steve-Slow-Train-Analysis-(2080s-and-2083s)?_g=(refreshInterval:(display:Off,section:0,value:0),time:(from:'2016-10-24 04:44:01-0600',mode:absolute,to:'2016-10-24 07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45" s="105" t="str">
        <f t="shared" si="1"/>
        <v>"C:\Program Files (x86)\AstroGrep\AstroGrep.exe" /spath="%USERPROFILE%\AppData\Local\Temp\OnboardLogs" /stypes="*4009*201610241*" /stext=" 12:.+((SYSTEM_STATE.+slice.+state.+changed )|(ment ac)|(system.+state.+changed )|(\[timeout)|(PRM\|1\|D)|(kpr)|(kdp)|(\|lc)|(penalty))" /e /r /s</v>
      </c>
      <c r="U45" s="9" t="str">
        <f t="shared" si="2"/>
        <v>4009</v>
      </c>
      <c r="V45" s="36">
        <f t="shared" si="3"/>
        <v>42667.503819444442</v>
      </c>
      <c r="W45" s="50" t="str">
        <f t="shared" si="4"/>
        <v>NW</v>
      </c>
      <c r="X45" s="50" t="str">
        <f t="shared" si="5"/>
        <v>KEEP</v>
      </c>
      <c r="Y45" s="122" t="str">
        <f t="shared" si="6"/>
        <v>echo {"issue":{"subject":"","project_id":79,"tracker_id":40,"status_id":1,"priority_id":2,"assigned_to_id":23,"start_date":"2016-10-24","description":"","custom_fields":[{"id":1,"name":"Subdivision","value":"NW"},{"id":4,"name":"Milepost","value":"5.9048"},{"id":17,"name":"Train ID","value":"801-24"},{"id":16,"name":"Locomotive ID","value":"4009"},{"id":130,"name":"Impact","value":""},{"id":150,"name":"Time of Event (Mountain Time)","value":"06:05:30"},{"id":151,"name":"Denver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 t="shared" si="7"/>
        <v>grep -hSE -A100 "Enforcement Action" "%USERPROFILE%\AppData\Local\Temp\OnboardLogs"\RTDC4009\*4009*201610241* | grep -SE "((Enforcement Ac)|(PRM))" -</v>
      </c>
      <c r="AD45" s="1"/>
    </row>
    <row r="46" spans="1:30" x14ac:dyDescent="0.25">
      <c r="A46" s="36">
        <v>42667.29583333333</v>
      </c>
      <c r="B46" s="31" t="s">
        <v>194</v>
      </c>
      <c r="C46" s="31" t="s">
        <v>394</v>
      </c>
      <c r="D46" s="31" t="s">
        <v>98</v>
      </c>
      <c r="E46" s="31" t="s">
        <v>244</v>
      </c>
      <c r="F46" s="47">
        <v>0</v>
      </c>
      <c r="G46" s="47">
        <v>4</v>
      </c>
      <c r="H46" s="47">
        <v>59049</v>
      </c>
      <c r="I46" s="47">
        <v>0</v>
      </c>
      <c r="J46" s="31" t="s">
        <v>245</v>
      </c>
      <c r="K46" s="47">
        <v>59048</v>
      </c>
      <c r="L46" s="157" t="s">
        <v>50</v>
      </c>
      <c r="M46" s="158">
        <f t="shared" si="0"/>
        <v>31177.344000000001</v>
      </c>
      <c r="N46" s="159" t="str">
        <f>VLOOKUP(C46,'Trips&amp;Operators'!$C$1:$E$99999,3,FALSE)</f>
        <v>DAVIS</v>
      </c>
      <c r="O46" s="184" t="s">
        <v>238</v>
      </c>
      <c r="P46" s="160"/>
      <c r="Q46" s="31"/>
      <c r="R46" s="100" t="str">
        <f>VLOOKUP(C46,'Train Runs'!$A$13:$AE$10020,31,0)</f>
        <v>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 &amp; 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</v>
      </c>
      <c r="S46" s="103" t="str">
        <f>VLOOKUP(C46,'Train Runs'!$A$13:$AE$10020,22,0)</f>
        <v>https://search-rtdc-monitor-bjffxe2xuh6vdkpspy63sjmuny.us-east-1.es.amazonaws.com/_plugin/kibana/#/discover/Steve-Slow-Train-Analysis-(2080s-and-2083s)?_g=(refreshInterval:(display:Off,section:0,value:0),time:(from:'2016-10-24 05:43:49-0600',mode:absolute,to:'2016-10-24 08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46" s="105" t="str">
        <f t="shared" si="1"/>
        <v>"C:\Program Files (x86)\AstroGrep\AstroGrep.exe" /spath="%USERPROFILE%\AppData\Local\Temp\OnboardLogs" /stypes="*4009*201610241*" /stext=" 13:.+((SYSTEM_STATE.+slice.+state.+changed )|(ment ac)|(system.+state.+changed )|(\[timeout)|(PRM\|1\|D)|(kpr)|(kdp)|(\|lc)|(penalty))" /e /r /s</v>
      </c>
      <c r="U46" s="9" t="str">
        <f t="shared" si="2"/>
        <v>4009</v>
      </c>
      <c r="V46" s="36">
        <f t="shared" si="3"/>
        <v>42667.54583333333</v>
      </c>
      <c r="W46" s="50" t="str">
        <f t="shared" si="4"/>
        <v>NW</v>
      </c>
      <c r="X46" s="50" t="str">
        <f t="shared" si="5"/>
        <v>OMIT</v>
      </c>
      <c r="Y46" s="122" t="str">
        <f t="shared" si="6"/>
        <v>echo {"issue":{"subject":"","project_id":79,"tracker_id":40,"status_id":1,"priority_id":2,"assigned_to_id":23,"start_date":"2016-10-24","description":"","custom_fields":[{"id":1,"name":"Subdivision","value":"NW"},{"id":4,"name":"Milepost","value":"5.9048"},{"id":17,"name":"Train ID","value":"805-24"},{"id":16,"name":"Locomotive ID","value":"4009"},{"id":130,"name":"Impact","value":""},{"id":150,"name":"Time of Event (Mountain Time)","value":"07:06:00"},{"id":151,"name":"Denver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41" t="str">
        <f t="shared" si="7"/>
        <v>grep -hSE -A100 "Enforcement Action" "%USERPROFILE%\AppData\Local\Temp\OnboardLogs"\RTDC4009\*4009*201610241* | grep -SE "((Enforcement Ac)|(PRM))" -</v>
      </c>
      <c r="AD46" s="1"/>
    </row>
    <row r="47" spans="1:30" x14ac:dyDescent="0.25">
      <c r="A47" s="36">
        <v>42667.337222222224</v>
      </c>
      <c r="B47" s="31" t="s">
        <v>194</v>
      </c>
      <c r="C47" s="31" t="s">
        <v>398</v>
      </c>
      <c r="D47" s="31" t="s">
        <v>98</v>
      </c>
      <c r="E47" s="31" t="s">
        <v>244</v>
      </c>
      <c r="F47" s="47">
        <v>0</v>
      </c>
      <c r="G47" s="47">
        <v>6</v>
      </c>
      <c r="H47" s="47">
        <v>59048</v>
      </c>
      <c r="I47" s="47">
        <v>0</v>
      </c>
      <c r="J47" s="31" t="s">
        <v>245</v>
      </c>
      <c r="K47" s="47">
        <v>59048</v>
      </c>
      <c r="L47" s="157" t="s">
        <v>50</v>
      </c>
      <c r="M47" s="158">
        <f t="shared" si="0"/>
        <v>31177.344000000001</v>
      </c>
      <c r="N47" s="159" t="str">
        <f>VLOOKUP(C47,'Trips&amp;Operators'!$C$1:$E$99999,3,FALSE)</f>
        <v>DAVIS</v>
      </c>
      <c r="O47" s="184" t="s">
        <v>238</v>
      </c>
      <c r="P47" s="160"/>
      <c r="Q47" s="31"/>
      <c r="R47" s="100" t="str">
        <f>VLOOKUP(C47,'Train Runs'!$A$13:$AE$10020,31,0)</f>
        <v>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 &amp; 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</v>
      </c>
      <c r="S47" s="103" t="str">
        <f>VLOOKUP(C47,'Train Runs'!$A$13:$AE$10020,22,0)</f>
        <v>https://search-rtdc-monitor-bjffxe2xuh6vdkpspy63sjmuny.us-east-1.es.amazonaws.com/_plugin/kibana/#/discover/Steve-Slow-Train-Analysis-(2080s-and-2083s)?_g=(refreshInterval:(display:Off,section:0,value:0),time:(from:'2016-10-24 06:46:05-0600',mode:absolute,to:'2016-10-24 09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47" s="105" t="str">
        <f t="shared" si="1"/>
        <v>"C:\Program Files (x86)\AstroGrep\AstroGrep.exe" /spath="%USERPROFILE%\AppData\Local\Temp\OnboardLogs" /stypes="*4009*201610241*" /stext=" 14:.+((SYSTEM_STATE.+slice.+state.+changed )|(ment ac)|(system.+state.+changed )|(\[timeout)|(PRM\|1\|D)|(kpr)|(kdp)|(\|lc)|(penalty))" /e /r /s</v>
      </c>
      <c r="U47" s="9" t="str">
        <f t="shared" si="2"/>
        <v>4009</v>
      </c>
      <c r="V47" s="36">
        <f t="shared" si="3"/>
        <v>42667.587222222224</v>
      </c>
      <c r="W47" s="50" t="str">
        <f t="shared" si="4"/>
        <v>NW</v>
      </c>
      <c r="X47" s="50" t="str">
        <f t="shared" si="5"/>
        <v>OMIT</v>
      </c>
      <c r="Y47" s="122" t="str">
        <f t="shared" si="6"/>
        <v>echo {"issue":{"subject":"","project_id":79,"tracker_id":40,"status_id":1,"priority_id":2,"assigned_to_id":23,"start_date":"2016-10-24","description":"","custom_fields":[{"id":1,"name":"Subdivision","value":"NW"},{"id":4,"name":"Milepost","value":"5.9048"},{"id":17,"name":"Train ID","value":"809-24"},{"id":16,"name":"Locomotive ID","value":"4009"},{"id":130,"name":"Impact","value":""},{"id":150,"name":"Time of Event (Mountain Time)","value":"08:05:36"},{"id":151,"name":"Denver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41" t="str">
        <f t="shared" si="7"/>
        <v>grep -hSE -A100 "Enforcement Action" "%USERPROFILE%\AppData\Local\Temp\OnboardLogs"\RTDC4009\*4009*201610241* | grep -SE "((Enforcement Ac)|(PRM))" -</v>
      </c>
      <c r="AD47" s="1"/>
    </row>
    <row r="48" spans="1:30" x14ac:dyDescent="0.25">
      <c r="A48" s="36">
        <v>42667.774745370371</v>
      </c>
      <c r="B48" s="31" t="s">
        <v>313</v>
      </c>
      <c r="C48" s="31" t="s">
        <v>426</v>
      </c>
      <c r="D48" s="31" t="s">
        <v>49</v>
      </c>
      <c r="E48" s="31" t="s">
        <v>244</v>
      </c>
      <c r="F48" s="47">
        <v>0</v>
      </c>
      <c r="G48" s="47">
        <v>39</v>
      </c>
      <c r="H48" s="47">
        <v>58943</v>
      </c>
      <c r="I48" s="47">
        <v>58975</v>
      </c>
      <c r="J48" s="31" t="s">
        <v>245</v>
      </c>
      <c r="K48" s="47">
        <v>59048</v>
      </c>
      <c r="L48" s="157" t="s">
        <v>50</v>
      </c>
      <c r="M48" s="158">
        <f t="shared" si="0"/>
        <v>38.543999999999997</v>
      </c>
      <c r="N48" s="159" t="str">
        <f>VLOOKUP(C48,'Trips&amp;Operators'!$C$1:$E$99999,3,FALSE)</f>
        <v>BRUDER</v>
      </c>
      <c r="O48" s="184" t="s">
        <v>238</v>
      </c>
      <c r="P48" s="160"/>
      <c r="Q48" s="31"/>
      <c r="R48" s="100" t="str">
        <f>VLOOKUP(C48,'Train Runs'!$A$13:$AE$10020,31,0)</f>
        <v>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 &amp; 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</v>
      </c>
      <c r="S48" s="103" t="str">
        <f>VLOOKUP(C48,'Train Runs'!$A$13:$AE$10020,22,0)</f>
        <v>https://search-rtdc-monitor-bjffxe2xuh6vdkpspy63sjmuny.us-east-1.es.amazonaws.com/_plugin/kibana/#/discover/Steve-Slow-Train-Analysis-(2080s-and-2083s)?_g=(refreshInterval:(display:Off,section:0,value:0),time:(from:'2016-10-24 17:01:30-0600',mode:absolute,to:'2016-10-24 19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48" s="105" t="str">
        <f t="shared" si="1"/>
        <v>"C:\Program Files (x86)\AstroGrep\AstroGrep.exe" /spath="%USERPROFILE%\AppData\Local\Temp\OnboardLogs" /stypes="*4027*201610250*" /stext=" 00:.+((SYSTEM_STATE.+slice.+state.+changed )|(ment ac)|(system.+state.+changed )|(\[timeout)|(PRM\|1\|D)|(kpr)|(kdp)|(\|lc)|(penalty))" /e /r /s</v>
      </c>
      <c r="U48" s="9" t="str">
        <f t="shared" si="2"/>
        <v>4027</v>
      </c>
      <c r="V48" s="36">
        <f t="shared" si="3"/>
        <v>42668.024745370371</v>
      </c>
      <c r="W48" s="50" t="str">
        <f t="shared" si="4"/>
        <v>NW</v>
      </c>
      <c r="X48" s="50" t="str">
        <f t="shared" si="5"/>
        <v>KEEP</v>
      </c>
      <c r="Y48" s="122" t="str">
        <f t="shared" si="6"/>
        <v>echo {"issue":{"subject":"","project_id":79,"tracker_id":40,"status_id":1,"priority_id":2,"assigned_to_id":23,"start_date":"2016-10-24","description":"","custom_fields":[{"id":1,"name":"Subdivision","value":"NW"},{"id":4,"name":"Milepost","value":"5.9048"},{"id":17,"name":"Train ID","value":"837-24"},{"id":16,"name":"Locomotive ID","value":"4027"},{"id":130,"name":"Impact","value":""},{"id":150,"name":"Time of Event (Mountain Time)","value":"18:35:38"},{"id":151,"name":"Denver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41" t="str">
        <f t="shared" si="7"/>
        <v>grep -hSE -A100 "Enforcement Action" "%USERPROFILE%\AppData\Local\Temp\OnboardLogs"\RTDC4027\*4027*201610250* | grep -SE "((Enforcement Ac)|(PRM))" -</v>
      </c>
      <c r="AD48" s="1"/>
    </row>
    <row r="49" spans="1:30" x14ac:dyDescent="0.25">
      <c r="A49" s="36">
        <v>42667.77134259259</v>
      </c>
      <c r="B49" s="31" t="s">
        <v>260</v>
      </c>
      <c r="C49" s="31" t="s">
        <v>425</v>
      </c>
      <c r="D49" s="31" t="s">
        <v>98</v>
      </c>
      <c r="E49" s="31" t="s">
        <v>242</v>
      </c>
      <c r="F49" s="47">
        <v>0</v>
      </c>
      <c r="G49" s="47">
        <v>117</v>
      </c>
      <c r="H49" s="47">
        <v>1926</v>
      </c>
      <c r="I49" s="47">
        <v>2091</v>
      </c>
      <c r="J49" s="31" t="s">
        <v>243</v>
      </c>
      <c r="K49" s="47">
        <v>1725</v>
      </c>
      <c r="L49" s="157" t="s">
        <v>50</v>
      </c>
      <c r="M49" s="158">
        <f t="shared" si="0"/>
        <v>-193.24799999999999</v>
      </c>
      <c r="N49" s="159" t="str">
        <f>VLOOKUP(C49,'Trips&amp;Operators'!$C$1:$E$99999,3,FALSE)</f>
        <v>BARTLETT</v>
      </c>
      <c r="O49" s="184" t="s">
        <v>238</v>
      </c>
      <c r="P49" s="160"/>
      <c r="Q49" s="31"/>
      <c r="R49" s="100" t="str">
        <f>VLOOKUP(C49,'Train Runs'!$A$13:$AE$10020,31,0)</f>
        <v>aws s3 cp s3://rtdc.mdm.uploadarchive.raw/RTDC4029/ "%USERPROFILE%\AppData\Local\Temp\OnboardLogs"\RTDC4029\2016-10-24 --exclude "*" --recursive --include "*20161024*" &amp; "%USERPROFILE%\Documents\GitHub\mrs-test-scripts\Headless Mode &amp; Sideloading\WalkAndUnGZ.bat" "%USERPROFILE%\AppData\Local\Temp\OnboardLogs"\RTDC4029\2016-10-24 &amp; 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</v>
      </c>
      <c r="S49" s="103" t="str">
        <f>VLOOKUP(C49,'Train Runs'!$A$13:$AE$10020,22,0)</f>
        <v>https://search-rtdc-monitor-bjffxe2xuh6vdkpspy63sjmuny.us-east-1.es.amazonaws.com/_plugin/kibana/#/discover/Steve-Slow-Train-Analysis-(2080s-and-2083s)?_g=(refreshInterval:(display:Off,section:0,value:0),time:(from:'2016-10-24 17:16:40-0600',mode:absolute,to:'2016-10-24 19:30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9" s="105" t="str">
        <f t="shared" si="1"/>
        <v>"C:\Program Files (x86)\AstroGrep\AstroGrep.exe" /spath="%USERPROFILE%\AppData\Local\Temp\OnboardLogs" /stypes="*4029*201610250*" /stext=" 00:.+((SYSTEM_STATE.+slice.+state.+changed )|(ment ac)|(system.+state.+changed )|(\[timeout)|(PRM\|1\|D)|(kpr)|(kdp)|(\|lc)|(penalty))" /e /r /s</v>
      </c>
      <c r="U49" s="9" t="str">
        <f t="shared" si="2"/>
        <v>4029</v>
      </c>
      <c r="V49" s="36">
        <f t="shared" si="3"/>
        <v>42668.02134259259</v>
      </c>
      <c r="W49" s="50" t="str">
        <f t="shared" si="4"/>
        <v>Other</v>
      </c>
      <c r="X49" s="50" t="str">
        <f t="shared" si="5"/>
        <v>KEEP</v>
      </c>
      <c r="Y49" s="122" t="str">
        <f t="shared" si="6"/>
        <v>echo {"issue":{"subject":"","project_id":79,"tracker_id":40,"status_id":1,"priority_id":2,"assigned_to_id":23,"start_date":"2016-10-24","description":"","custom_fields":[{"id":1,"name":"Subdivision","value":"Other"},{"id":4,"name":"Milepost","value":"0.1725"},{"id":17,"name":"Train ID","value":"65-24"},{"id":16,"name":"Locomotive ID","value":"4029"},{"id":130,"name":"Impact","value":""},{"id":150,"name":"Time of Event (Mountain Time)","value":"18:30:44"},{"id":151,"name":"Denver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41" t="str">
        <f t="shared" si="7"/>
        <v>grep -hSE -A100 "Enforcement Action" "%USERPROFILE%\AppData\Local\Temp\OnboardLogs"\RTDC4029\*4029*201610250* | grep -SE "((Enforcement Ac)|(PRM))" -</v>
      </c>
      <c r="AD49" s="1"/>
    </row>
    <row r="50" spans="1:30" x14ac:dyDescent="0.25">
      <c r="A50" s="36">
        <v>42667.739444444444</v>
      </c>
      <c r="B50" s="31" t="s">
        <v>261</v>
      </c>
      <c r="C50" s="31" t="s">
        <v>424</v>
      </c>
      <c r="D50" s="31" t="s">
        <v>98</v>
      </c>
      <c r="E50" s="31" t="s">
        <v>242</v>
      </c>
      <c r="F50" s="47">
        <v>0</v>
      </c>
      <c r="G50" s="47">
        <v>124</v>
      </c>
      <c r="H50" s="47">
        <v>23250</v>
      </c>
      <c r="I50" s="47">
        <v>23088</v>
      </c>
      <c r="J50" s="31" t="s">
        <v>243</v>
      </c>
      <c r="K50" s="47">
        <v>24161</v>
      </c>
      <c r="L50" s="157" t="s">
        <v>51</v>
      </c>
      <c r="M50" s="158">
        <f t="shared" si="0"/>
        <v>-566.54399999999998</v>
      </c>
      <c r="N50" s="159" t="str">
        <f>VLOOKUP(C50,'Trips&amp;Operators'!$C$1:$E$99999,3,FALSE)</f>
        <v>CHANDLER</v>
      </c>
      <c r="O50" s="184" t="s">
        <v>238</v>
      </c>
      <c r="P50" s="160"/>
      <c r="Q50" s="31"/>
      <c r="R50" s="100" t="str">
        <f>VLOOKUP(C50,'Train Runs'!$A$13:$AE$10020,31,0)</f>
        <v>aws s3 cp s3://rtdc.mdm.uploadarchive.raw/RTDC4030/ "%USERPROFILE%\AppData\Local\Temp\OnboardLogs"\RTDC4030\2016-10-24 --exclude "*" --recursive --include "*20161024*" &amp; "%USERPROFILE%\Documents\GitHub\mrs-test-scripts\Headless Mode &amp; Sideloading\WalkAndUnGZ.bat" "%USERPROFILE%\AppData\Local\Temp\OnboardLogs"\RTDC4030\2016-10-24 &amp; 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</v>
      </c>
      <c r="S50" s="103" t="str">
        <f>VLOOKUP(C50,'Train Runs'!$A$13:$AE$10020,22,0)</f>
        <v>https://search-rtdc-monitor-bjffxe2xuh6vdkpspy63sjmuny.us-east-1.es.amazonaws.com/_plugin/kibana/#/discover/Steve-Slow-Train-Analysis-(2080s-and-2083s)?_g=(refreshInterval:(display:Off,section:0,value:0),time:(from:'2016-10-24 16:38:37-0600',mode:absolute,to:'2016-10-24 18:44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50" s="105" t="str">
        <f t="shared" si="1"/>
        <v>"C:\Program Files (x86)\AstroGrep\AstroGrep.exe" /spath="%USERPROFILE%\AppData\Local\Temp\OnboardLogs" /stypes="*4030*201610242*" /stext=" 23:.+((SYSTEM_STATE.+slice.+state.+changed )|(ment ac)|(system.+state.+changed )|(\[timeout)|(PRM\|1\|D)|(kpr)|(kdp)|(\|lc)|(penalty))" /e /r /s</v>
      </c>
      <c r="U50" s="9" t="str">
        <f t="shared" si="2"/>
        <v>4030</v>
      </c>
      <c r="V50" s="36">
        <f t="shared" si="3"/>
        <v>42667.989444444444</v>
      </c>
      <c r="W50" s="50" t="str">
        <f t="shared" si="4"/>
        <v>Other</v>
      </c>
      <c r="X50" s="50" t="str">
        <f t="shared" si="5"/>
        <v>KEEP</v>
      </c>
      <c r="Y50" s="122" t="str">
        <f t="shared" si="6"/>
        <v>echo {"issue":{"subject":"","project_id":79,"tracker_id":40,"status_id":1,"priority_id":2,"assigned_to_id":23,"start_date":"2016-10-24","description":"","custom_fields":[{"id":1,"name":"Subdivision","value":"Other"},{"id":4,"name":"Milepost","value":"2.4161"},{"id":17,"name":"Train ID","value":"56-24"},{"id":16,"name":"Locomotive ID","value":"4030"},{"id":130,"name":"Impact","value":""},{"id":150,"name":"Time of Event (Mountain Time)","value":"17:44:48"},{"id":151,"name":"Denver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41" t="str">
        <f t="shared" si="7"/>
        <v>grep -hSE -A100 "Enforcement Action" "%USERPROFILE%\AppData\Local\Temp\OnboardLogs"\RTDC4030\*4030*201610242* | grep -SE "((Enforcement Ac)|(PRM))" -</v>
      </c>
      <c r="AD50" s="1"/>
    </row>
    <row r="51" spans="1:30" x14ac:dyDescent="0.25">
      <c r="A51" s="36">
        <v>42667.465462962966</v>
      </c>
      <c r="B51" s="31" t="s">
        <v>261</v>
      </c>
      <c r="C51" s="31" t="s">
        <v>413</v>
      </c>
      <c r="D51" s="31" t="s">
        <v>49</v>
      </c>
      <c r="E51" s="31" t="s">
        <v>244</v>
      </c>
      <c r="F51" s="47">
        <v>0</v>
      </c>
      <c r="G51" s="47">
        <v>38</v>
      </c>
      <c r="H51" s="47">
        <v>921</v>
      </c>
      <c r="I51" s="47">
        <v>885</v>
      </c>
      <c r="J51" s="31" t="s">
        <v>245</v>
      </c>
      <c r="K51" s="47">
        <v>826</v>
      </c>
      <c r="L51" s="157" t="s">
        <v>51</v>
      </c>
      <c r="M51" s="158">
        <f t="shared" si="0"/>
        <v>31.152000000000001</v>
      </c>
      <c r="N51" s="159" t="str">
        <f>VLOOKUP(C51,'Trips&amp;Operators'!$C$1:$E$99999,3,FALSE)</f>
        <v>BONDS</v>
      </c>
      <c r="O51" s="184" t="s">
        <v>238</v>
      </c>
      <c r="P51" s="160"/>
      <c r="Q51" s="31"/>
      <c r="R51" s="100" t="str">
        <f>VLOOKUP(C51,'Train Runs'!$A$13:$AE$10020,31,0)</f>
        <v>aws s3 cp s3://rtdc.mdm.uploadarchive.raw/RTDC4030/ "%USERPROFILE%\AppData\Local\Temp\OnboardLogs"\RTDC4030\2016-10-24 --exclude "*" --recursive --include "*20161024*" &amp; "%USERPROFILE%\Documents\GitHub\mrs-test-scripts\Headless Mode &amp; Sideloading\WalkAndUnGZ.bat" "%USERPROFILE%\AppData\Local\Temp\OnboardLogs"\RTDC4030\2016-10-24 &amp; 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</v>
      </c>
      <c r="S51" s="103" t="str">
        <f>VLOOKUP(C51,'Train Runs'!$A$13:$AE$10020,22,0)</f>
        <v>https://search-rtdc-monitor-bjffxe2xuh6vdkpspy63sjmuny.us-east-1.es.amazonaws.com/_plugin/kibana/#/discover/Steve-Slow-Train-Analysis-(2080s-and-2083s)?_g=(refreshInterval:(display:Off,section:0,value:0),time:(from:'2016-10-24 09:57:38-0600',mode:absolute,to:'2016-10-24 12:10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51" s="105" t="str">
        <f t="shared" si="1"/>
        <v>"C:\Program Files (x86)\AstroGrep\AstroGrep.exe" /spath="%USERPROFILE%\AppData\Local\Temp\OnboardLogs" /stypes="*4030*201610241*" /stext=" 17:.+((SYSTEM_STATE.+slice.+state.+changed )|(ment ac)|(system.+state.+changed )|(\[timeout)|(PRM\|1\|D)|(kpr)|(kdp)|(\|lc)|(penalty))" /e /r /s</v>
      </c>
      <c r="U51" s="9" t="str">
        <f t="shared" si="2"/>
        <v>4030</v>
      </c>
      <c r="V51" s="36">
        <f t="shared" si="3"/>
        <v>42667.715462962966</v>
      </c>
      <c r="W51" s="50" t="str">
        <f t="shared" si="4"/>
        <v>Other</v>
      </c>
      <c r="X51" s="50" t="str">
        <f t="shared" si="5"/>
        <v>KEEP</v>
      </c>
      <c r="Y51" s="122" t="str">
        <f t="shared" si="6"/>
        <v>echo {"issue":{"subject":"","project_id":79,"tracker_id":40,"status_id":1,"priority_id":2,"assigned_to_id":23,"start_date":"2016-10-24","description":"","custom_fields":[{"id":1,"name":"Subdivision","value":"Other"},{"id":4,"name":"Milepost","value":"0.0826"},{"id":17,"name":"Train ID","value":"52-24"},{"id":16,"name":"Locomotive ID","value":"4030"},{"id":130,"name":"Impact","value":""},{"id":150,"name":"Time of Event (Mountain Time)","value":"11:10:16"},{"id":151,"name":"Denver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41" t="str">
        <f t="shared" si="7"/>
        <v>grep -hSE -A100 "Enforcement Action" "%USERPROFILE%\AppData\Local\Temp\OnboardLogs"\RTDC4030\*4030*201610241* | grep -SE "((Enforcement Ac)|(PRM))" -</v>
      </c>
      <c r="AD51" s="1"/>
    </row>
    <row r="52" spans="1:30" x14ac:dyDescent="0.25">
      <c r="A52" s="36">
        <v>42667.213009259256</v>
      </c>
      <c r="B52" s="31" t="s">
        <v>194</v>
      </c>
      <c r="C52" s="31" t="s">
        <v>389</v>
      </c>
      <c r="D52" s="31" t="s">
        <v>98</v>
      </c>
      <c r="E52" s="31" t="s">
        <v>244</v>
      </c>
      <c r="F52" s="47">
        <v>0</v>
      </c>
      <c r="G52" s="47">
        <v>8</v>
      </c>
      <c r="H52" s="47">
        <v>59049</v>
      </c>
      <c r="I52" s="47">
        <v>0</v>
      </c>
      <c r="J52" s="31" t="s">
        <v>245</v>
      </c>
      <c r="K52" s="47">
        <v>59048</v>
      </c>
      <c r="L52" s="157" t="s">
        <v>50</v>
      </c>
      <c r="M52" s="158">
        <f t="shared" si="0"/>
        <v>31177.344000000001</v>
      </c>
      <c r="N52" s="159" t="str">
        <f>VLOOKUP(C52,'Trips&amp;Operators'!$C$1:$E$99999,3,FALSE)</f>
        <v>DAVIS</v>
      </c>
      <c r="O52" s="184" t="s">
        <v>238</v>
      </c>
      <c r="P52" s="160"/>
      <c r="Q52" s="31"/>
      <c r="R52" s="100" t="str">
        <f>VLOOKUP(C52,'Train Runs'!$A$13:$AE$10020,31,0)</f>
        <v>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 &amp; 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</v>
      </c>
      <c r="S52" s="103" t="str">
        <f>VLOOKUP(C52,'Train Runs'!$A$13:$AE$10020,22,0)</f>
        <v>https://search-rtdc-monitor-bjffxe2xuh6vdkpspy63sjmuny.us-east-1.es.amazonaws.com/_plugin/kibana/#/discover/Steve-Slow-Train-Analysis-(2080s-and-2083s)?_g=(refreshInterval:(display:Off,section:0,value:0),time:(from:'2016-10-24 03:56:25-0600',mode:absolute,to:'2016-10-24 06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52" s="105" t="str">
        <f t="shared" si="1"/>
        <v>"C:\Program Files (x86)\AstroGrep\AstroGrep.exe" /spath="%USERPROFILE%\AppData\Local\Temp\OnboardLogs" /stypes="*4009*201610241*" /stext=" 11:.+((SYSTEM_STATE.+slice.+state.+changed )|(ment ac)|(system.+state.+changed )|(\[timeout)|(PRM\|1\|D)|(kpr)|(kdp)|(\|lc)|(penalty))" /e /r /s</v>
      </c>
      <c r="U52" s="9" t="str">
        <f t="shared" si="2"/>
        <v>4009</v>
      </c>
      <c r="V52" s="36">
        <f t="shared" si="3"/>
        <v>42667.463009259256</v>
      </c>
      <c r="W52" s="50" t="str">
        <f t="shared" si="4"/>
        <v>Other</v>
      </c>
      <c r="X52" s="50" t="str">
        <f t="shared" si="5"/>
        <v>OMIT</v>
      </c>
      <c r="Y52" s="122" t="str">
        <f t="shared" si="6"/>
        <v>echo {"issue":{"subject":"","project_id":79,"tracker_id":40,"status_id":1,"priority_id":2,"assigned_to_id":23,"start_date":"2016-10-24","description":"","custom_fields":[{"id":1,"name":"Subdivision","value":"Other"},{"id":4,"name":"Milepost","value":"5.9048"},{"id":17,"name":"Train ID","value":"901-24"},{"id":16,"name":"Locomotive ID","value":"4009"},{"id":130,"name":"Impact","value":""},{"id":150,"name":"Time of Event (Mountain Time)","value":"05:06:44"},{"id":151,"name":"Denver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41" t="str">
        <f t="shared" si="7"/>
        <v>grep -hSE -A100 "Enforcement Action" "%USERPROFILE%\AppData\Local\Temp\OnboardLogs"\RTDC4009\*4009*201610241* | grep -SE "((Enforcement Ac)|(PRM))" -</v>
      </c>
      <c r="AD52" s="1"/>
    </row>
  </sheetData>
  <autoFilter ref="A6:AC36">
    <sortState ref="A7:AC52">
      <sortCondition ref="W7:W52"/>
      <sortCondition ref="E7:E52"/>
      <sortCondition ref="K7:K52"/>
      <sortCondition ref="F7:F52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3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52">
    <cfRule type="cellIs" dxfId="1" priority="2" operator="equal">
      <formula>"Y"</formula>
    </cfRule>
  </conditionalFormatting>
  <conditionalFormatting sqref="A7:P52">
    <cfRule type="expression" dxfId="0" priority="1">
      <formula>$O7="Y"</formula>
    </cfRule>
  </conditionalFormatting>
  <hyperlinks>
    <hyperlink ref="Z2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I3" sqref="I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7" t="str">
        <f>"Trips that did not appear in PTC Data "&amp;TEXT(Variables!$A$2,"YYYY-mm-dd")</f>
        <v>Trips that did not appear in PTC Data 2016-10-24</v>
      </c>
      <c r="C1" s="187"/>
      <c r="D1" s="187"/>
      <c r="E1" s="187"/>
      <c r="F1" s="187"/>
    </row>
    <row r="2" spans="1:11" s="24" customFormat="1" ht="45" x14ac:dyDescent="0.25">
      <c r="A2" s="18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s="21" customFormat="1" x14ac:dyDescent="0.25">
      <c r="A3" s="178">
        <v>101</v>
      </c>
      <c r="B3" s="47" t="str">
        <f>A3&amp;"-"&amp;IF(DAY(Variables!$A$2)&lt;10,0,"")&amp;DAY(Variables!$A$2)</f>
        <v>101-24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22101-24%22)),sort:!(Time,asc))</v>
      </c>
      <c r="J3" s="31" t="str">
        <f>VLOOKUP(B3,'Train Runs'!$A$13:$A$100017,1,FALSE)</f>
        <v>101-24</v>
      </c>
      <c r="K3" s="21" t="e">
        <f t="shared" ref="K3:K16" si="1">IF(VLOOKUP(A3,$K$55:$K$78,1,FALSE),"Cancelled")</f>
        <v>#N/A</v>
      </c>
    </row>
    <row r="4" spans="1:11" x14ac:dyDescent="0.25">
      <c r="A4" s="178"/>
      <c r="B4" s="47" t="str">
        <f>A4&amp;"-"&amp;IF(DAY(Variables!$A$2)&lt;10,0,"")&amp;DAY(Variables!$A$2)</f>
        <v>-24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4" s="31" t="e">
        <f>VLOOKUP(B4,'Train Runs'!$A$13:$A$100017,1,FALSE)</f>
        <v>#N/A</v>
      </c>
      <c r="K4" s="21" t="e">
        <f t="shared" si="1"/>
        <v>#N/A</v>
      </c>
    </row>
    <row r="5" spans="1:11" x14ac:dyDescent="0.25">
      <c r="A5" s="178"/>
      <c r="B5" s="47" t="str">
        <f>A5&amp;"-"&amp;IF(DAY(Variables!$A$2)&lt;10,0,"")&amp;DAY(Variables!$A$2)</f>
        <v>-24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5" s="31" t="e">
        <f>VLOOKUP(B5,'Train Runs'!$A$13:$A$100017,1,FALSE)</f>
        <v>#N/A</v>
      </c>
      <c r="K5" s="21" t="e">
        <f t="shared" si="1"/>
        <v>#N/A</v>
      </c>
    </row>
    <row r="6" spans="1:11" x14ac:dyDescent="0.25">
      <c r="A6" s="178"/>
      <c r="B6" s="47" t="str">
        <f>A6&amp;"-"&amp;IF(DAY(Variables!$A$2)&lt;10,0,"")&amp;DAY(Variables!$A$2)</f>
        <v>-24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6" s="31" t="e">
        <f>VLOOKUP(B6,'Train Runs'!$A$13:$A$100017,1,FALSE)</f>
        <v>#N/A</v>
      </c>
      <c r="K6" s="21" t="e">
        <f t="shared" si="1"/>
        <v>#N/A</v>
      </c>
    </row>
    <row r="7" spans="1:11" x14ac:dyDescent="0.25">
      <c r="A7" s="178"/>
      <c r="B7" s="47" t="str">
        <f>A7&amp;"-"&amp;IF(DAY(Variables!$A$2)&lt;10,0,"")&amp;DAY(Variables!$A$2)</f>
        <v>-24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7" s="31" t="e">
        <f>VLOOKUP(B7,'Train Runs'!$A$13:$A$100017,1,FALSE)</f>
        <v>#N/A</v>
      </c>
      <c r="K7" s="21" t="e">
        <f t="shared" si="1"/>
        <v>#N/A</v>
      </c>
    </row>
    <row r="8" spans="1:11" x14ac:dyDescent="0.25">
      <c r="A8" s="178"/>
      <c r="B8" s="47" t="str">
        <f>A8&amp;"-"&amp;IF(DAY(Variables!$A$2)&lt;10,0,"")&amp;DAY(Variables!$A$2)</f>
        <v>-24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8" s="31" t="e">
        <f>VLOOKUP(B8,'Train Runs'!$A$13:$A$100017,1,FALSE)</f>
        <v>#N/A</v>
      </c>
      <c r="K8" s="21" t="e">
        <f t="shared" si="1"/>
        <v>#N/A</v>
      </c>
    </row>
    <row r="9" spans="1:11" x14ac:dyDescent="0.25">
      <c r="A9" s="178"/>
      <c r="B9" s="47" t="str">
        <f>A9&amp;"-"&amp;IF(DAY(Variables!$A$2)&lt;10,0,"")&amp;DAY(Variables!$A$2)</f>
        <v>-24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9" s="31" t="e">
        <f>VLOOKUP(B9,'Train Runs'!$A$13:$A$100017,1,FALSE)</f>
        <v>#N/A</v>
      </c>
      <c r="K9" s="21" t="e">
        <f t="shared" si="1"/>
        <v>#N/A</v>
      </c>
    </row>
    <row r="10" spans="1:11" x14ac:dyDescent="0.25">
      <c r="A10" s="178"/>
      <c r="B10" s="47" t="str">
        <f>A10&amp;"-"&amp;IF(DAY(Variables!$A$2)&lt;10,0,"")&amp;DAY(Variables!$A$2)</f>
        <v>-24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0" s="31" t="e">
        <f>VLOOKUP(B10,'Train Runs'!$A$13:$A$100017,1,FALSE)</f>
        <v>#N/A</v>
      </c>
      <c r="K10" s="21" t="e">
        <f t="shared" si="1"/>
        <v>#N/A</v>
      </c>
    </row>
    <row r="11" spans="1:11" x14ac:dyDescent="0.25">
      <c r="A11" s="178"/>
      <c r="B11" s="47" t="str">
        <f>A11&amp;"-"&amp;IF(DAY(Variables!$A$2)&lt;10,0,"")&amp;DAY(Variables!$A$2)</f>
        <v>-24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1" s="31" t="e">
        <f>VLOOKUP(B11,'Train Runs'!$A$13:$A$100017,1,FALSE)</f>
        <v>#N/A</v>
      </c>
      <c r="K11" s="21" t="e">
        <f t="shared" si="1"/>
        <v>#N/A</v>
      </c>
    </row>
    <row r="12" spans="1:11" x14ac:dyDescent="0.25">
      <c r="A12" s="178"/>
      <c r="B12" s="47" t="str">
        <f>A12&amp;"-"&amp;IF(DAY(Variables!$A$2)&lt;10,0,"")&amp;DAY(Variables!$A$2)</f>
        <v>-24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2" s="31" t="e">
        <f>VLOOKUP(B12,'Train Runs'!$A$13:$A$100017,1,FALSE)</f>
        <v>#N/A</v>
      </c>
      <c r="K12" s="21" t="e">
        <f t="shared" si="1"/>
        <v>#N/A</v>
      </c>
    </row>
    <row r="13" spans="1:11" x14ac:dyDescent="0.25">
      <c r="A13" s="178"/>
      <c r="B13" s="47" t="str">
        <f>A13&amp;"-"&amp;IF(DAY(Variables!$A$2)&lt;10,0,"")&amp;DAY(Variables!$A$2)</f>
        <v>-24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3" s="31" t="e">
        <f>VLOOKUP(B13,'Train Runs'!$A$13:$A$100017,1,FALSE)</f>
        <v>#N/A</v>
      </c>
      <c r="K13" s="21" t="e">
        <f t="shared" si="1"/>
        <v>#N/A</v>
      </c>
    </row>
    <row r="14" spans="1:11" x14ac:dyDescent="0.25">
      <c r="A14" s="178"/>
      <c r="B14" s="47" t="str">
        <f>A14&amp;"-"&amp;IF(DAY(Variables!$A$2)&lt;10,0,"")&amp;DAY(Variables!$A$2)</f>
        <v>-24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4" s="31" t="e">
        <f>VLOOKUP(B14,'Train Runs'!$A$13:$A$100017,1,FALSE)</f>
        <v>#N/A</v>
      </c>
      <c r="K14" s="21" t="e">
        <f t="shared" si="1"/>
        <v>#N/A</v>
      </c>
    </row>
    <row r="15" spans="1:11" x14ac:dyDescent="0.25">
      <c r="A15" s="178"/>
      <c r="B15" s="47" t="str">
        <f>A15&amp;"-"&amp;IF(DAY(Variables!$A$2)&lt;10,0,"")&amp;DAY(Variables!$A$2)</f>
        <v>-24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5" s="31" t="e">
        <f>VLOOKUP(B15,'Train Runs'!$A$13:$A$100017,1,FALSE)</f>
        <v>#N/A</v>
      </c>
      <c r="K15" s="21" t="e">
        <f t="shared" si="1"/>
        <v>#N/A</v>
      </c>
    </row>
    <row r="16" spans="1:11" x14ac:dyDescent="0.25">
      <c r="A16" s="178"/>
      <c r="B16" s="47" t="str">
        <f>A16&amp;"-"&amp;IF(DAY(Variables!$A$2)&lt;10,0,"")&amp;DAY(Variables!$A$2)</f>
        <v>-24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6" s="31" t="e">
        <f>VLOOKUP(B16,'Train Runs'!$A$13:$A$100017,1,FALSE)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42667.034687500003</v>
      </c>
      <c r="B2" s="21" t="s">
        <v>212</v>
      </c>
      <c r="C2" s="21" t="s">
        <v>349</v>
      </c>
      <c r="D2" s="21">
        <v>1810000</v>
      </c>
      <c r="E2" s="21" t="s">
        <v>304</v>
      </c>
      <c r="F2" s="21" t="str">
        <f t="shared" ref="F2:F65" si="0">B2</f>
        <v>rtdc.l.rtdc.4039:itc</v>
      </c>
      <c r="G2" s="8">
        <f t="shared" ref="G2:G65" si="1">A2</f>
        <v>42667.034687500003</v>
      </c>
    </row>
    <row r="3" spans="1:7" x14ac:dyDescent="0.25">
      <c r="A3" s="8">
        <v>42667.047615740739</v>
      </c>
      <c r="B3" s="21" t="s">
        <v>188</v>
      </c>
      <c r="C3" s="21" t="s">
        <v>350</v>
      </c>
      <c r="D3" s="21">
        <v>2350000</v>
      </c>
      <c r="E3" s="21" t="s">
        <v>262</v>
      </c>
      <c r="F3" s="21" t="str">
        <f t="shared" si="0"/>
        <v>rtdc.l.rtdc.4018:itc</v>
      </c>
      <c r="G3" s="8">
        <f t="shared" si="1"/>
        <v>42667.047615740739</v>
      </c>
    </row>
    <row r="4" spans="1:7" x14ac:dyDescent="0.25">
      <c r="A4" s="8">
        <v>42667.058819444443</v>
      </c>
      <c r="B4" s="21" t="s">
        <v>251</v>
      </c>
      <c r="C4" s="21" t="s">
        <v>351</v>
      </c>
      <c r="D4" s="21">
        <v>1800000</v>
      </c>
      <c r="E4" s="21" t="s">
        <v>208</v>
      </c>
      <c r="F4" s="21" t="str">
        <f t="shared" si="0"/>
        <v>rtdc.l.rtdc.4041:itc</v>
      </c>
      <c r="G4" s="8">
        <f t="shared" si="1"/>
        <v>42667.058819444443</v>
      </c>
    </row>
    <row r="5" spans="1:7" x14ac:dyDescent="0.25">
      <c r="A5" s="8">
        <v>42667.068101851852</v>
      </c>
      <c r="B5" s="21" t="s">
        <v>346</v>
      </c>
      <c r="C5" s="21" t="s">
        <v>352</v>
      </c>
      <c r="D5" s="21">
        <v>1810000</v>
      </c>
      <c r="E5" s="21" t="s">
        <v>304</v>
      </c>
      <c r="F5" s="21" t="str">
        <f t="shared" si="0"/>
        <v>rtdc.l.rtdc.4040:itc</v>
      </c>
      <c r="G5" s="8">
        <f t="shared" si="1"/>
        <v>42667.068101851852</v>
      </c>
    </row>
    <row r="6" spans="1:7" x14ac:dyDescent="0.25">
      <c r="A6" s="8">
        <v>42667.154166666667</v>
      </c>
      <c r="B6" s="21" t="s">
        <v>386</v>
      </c>
      <c r="C6" s="21" t="s">
        <v>387</v>
      </c>
      <c r="D6" s="21">
        <v>1260000</v>
      </c>
      <c r="E6" s="21" t="s">
        <v>332</v>
      </c>
      <c r="F6" s="21" t="str">
        <f t="shared" si="0"/>
        <v>rtdc.l.rtdc.4002:itc</v>
      </c>
      <c r="G6" s="8">
        <f t="shared" si="1"/>
        <v>42667.154166666667</v>
      </c>
    </row>
    <row r="7" spans="1:7" x14ac:dyDescent="0.25">
      <c r="A7" s="8">
        <v>42667.168217592596</v>
      </c>
      <c r="B7" s="21" t="s">
        <v>265</v>
      </c>
      <c r="C7" s="21" t="s">
        <v>431</v>
      </c>
      <c r="D7" s="21">
        <v>1190000</v>
      </c>
      <c r="E7" s="21" t="s">
        <v>432</v>
      </c>
      <c r="F7" s="21" t="str">
        <f t="shared" si="0"/>
        <v>rtdc.l.rtdc.4054:itc</v>
      </c>
      <c r="G7" s="8">
        <f t="shared" si="1"/>
        <v>42667.168217592596</v>
      </c>
    </row>
    <row r="8" spans="1:7" x14ac:dyDescent="0.25">
      <c r="A8" s="8">
        <v>42667.171481481484</v>
      </c>
      <c r="B8" s="21" t="s">
        <v>300</v>
      </c>
      <c r="C8" s="21" t="s">
        <v>388</v>
      </c>
      <c r="D8" s="21">
        <v>2030000</v>
      </c>
      <c r="E8" s="21" t="s">
        <v>433</v>
      </c>
      <c r="F8" s="21" t="str">
        <f t="shared" si="0"/>
        <v>rtdc.l.rtdc.4037:itc</v>
      </c>
      <c r="G8" s="8">
        <f t="shared" si="1"/>
        <v>42667.171481481484</v>
      </c>
    </row>
    <row r="9" spans="1:7" ht="15.75" thickBot="1" x14ac:dyDescent="0.3">
      <c r="A9" s="25">
        <v>42667.172326388885</v>
      </c>
      <c r="B9" s="21" t="s">
        <v>275</v>
      </c>
      <c r="C9" s="21" t="s">
        <v>434</v>
      </c>
      <c r="D9" s="21">
        <v>1090000</v>
      </c>
      <c r="E9" s="21" t="s">
        <v>435</v>
      </c>
      <c r="F9" s="21" t="str">
        <f t="shared" si="0"/>
        <v>rtdc.l.rtdc.4015:itc</v>
      </c>
      <c r="G9" s="8">
        <f t="shared" si="1"/>
        <v>42667.172326388885</v>
      </c>
    </row>
    <row r="10" spans="1:7" x14ac:dyDescent="0.25">
      <c r="A10" s="8">
        <v>42667.176354166666</v>
      </c>
      <c r="B10" s="21" t="s">
        <v>312</v>
      </c>
      <c r="C10" s="21" t="s">
        <v>436</v>
      </c>
      <c r="D10" s="21">
        <v>1190000</v>
      </c>
      <c r="E10" s="21" t="s">
        <v>432</v>
      </c>
      <c r="F10" s="21" t="str">
        <f t="shared" si="0"/>
        <v>rtdc.l.rtdc.4014:itc</v>
      </c>
      <c r="G10" s="8">
        <f t="shared" si="1"/>
        <v>42667.176354166666</v>
      </c>
    </row>
    <row r="11" spans="1:7" x14ac:dyDescent="0.25">
      <c r="A11" s="8">
        <v>42667.180763888886</v>
      </c>
      <c r="B11" s="21" t="s">
        <v>241</v>
      </c>
      <c r="C11" s="21" t="s">
        <v>437</v>
      </c>
      <c r="D11" s="21">
        <v>1830000</v>
      </c>
      <c r="E11" s="21" t="s">
        <v>302</v>
      </c>
      <c r="F11" s="21" t="str">
        <f t="shared" si="0"/>
        <v>rtdc.l.rtdc.4017:itc</v>
      </c>
      <c r="G11" s="8">
        <f t="shared" si="1"/>
        <v>42667.180763888886</v>
      </c>
    </row>
    <row r="12" spans="1:7" x14ac:dyDescent="0.25">
      <c r="A12" s="8">
        <v>42667.182604166665</v>
      </c>
      <c r="B12" s="21" t="s">
        <v>274</v>
      </c>
      <c r="C12" s="21" t="s">
        <v>438</v>
      </c>
      <c r="D12" s="21">
        <v>1090000</v>
      </c>
      <c r="E12" s="21" t="s">
        <v>435</v>
      </c>
      <c r="F12" s="21" t="str">
        <f t="shared" si="0"/>
        <v>rtdc.l.rtdc.4016:itc</v>
      </c>
      <c r="G12" s="8">
        <f t="shared" si="1"/>
        <v>42667.182604166665</v>
      </c>
    </row>
    <row r="13" spans="1:7" x14ac:dyDescent="0.25">
      <c r="A13" s="8">
        <v>42667.19091435185</v>
      </c>
      <c r="B13" s="21" t="s">
        <v>257</v>
      </c>
      <c r="C13" s="21" t="s">
        <v>439</v>
      </c>
      <c r="D13" s="21">
        <v>1260000</v>
      </c>
      <c r="E13" s="21" t="s">
        <v>332</v>
      </c>
      <c r="F13" s="21" t="str">
        <f t="shared" si="0"/>
        <v>rtdc.l.rtdc.4012:itc</v>
      </c>
      <c r="G13" s="8">
        <f t="shared" si="1"/>
        <v>42667.19091435185</v>
      </c>
    </row>
    <row r="14" spans="1:7" x14ac:dyDescent="0.25">
      <c r="A14" s="8">
        <v>42667.191655092596</v>
      </c>
      <c r="B14" s="21" t="s">
        <v>188</v>
      </c>
      <c r="C14" s="21" t="s">
        <v>440</v>
      </c>
      <c r="D14" s="21">
        <v>1830000</v>
      </c>
      <c r="E14" s="21" t="s">
        <v>302</v>
      </c>
      <c r="F14" s="21" t="str">
        <f t="shared" si="0"/>
        <v>rtdc.l.rtdc.4018:itc</v>
      </c>
      <c r="G14" s="8">
        <f t="shared" si="1"/>
        <v>42667.191655092596</v>
      </c>
    </row>
    <row r="15" spans="1:7" x14ac:dyDescent="0.25">
      <c r="A15" s="8">
        <v>42667.205810185187</v>
      </c>
      <c r="B15" s="21" t="s">
        <v>348</v>
      </c>
      <c r="C15" s="21" t="s">
        <v>441</v>
      </c>
      <c r="D15" s="21">
        <v>1110000</v>
      </c>
      <c r="E15" s="21" t="s">
        <v>347</v>
      </c>
      <c r="F15" s="21" t="str">
        <f t="shared" si="0"/>
        <v>rtdc.l.rtdc.4022:itc</v>
      </c>
      <c r="G15" s="8">
        <f t="shared" si="1"/>
        <v>42667.205810185187</v>
      </c>
    </row>
    <row r="16" spans="1:7" x14ac:dyDescent="0.25">
      <c r="A16" s="8">
        <v>42667.206331018519</v>
      </c>
      <c r="B16" s="21" t="s">
        <v>303</v>
      </c>
      <c r="C16" s="21" t="s">
        <v>442</v>
      </c>
      <c r="D16" s="21">
        <v>2030000</v>
      </c>
      <c r="E16" s="21" t="s">
        <v>433</v>
      </c>
      <c r="F16" s="21" t="str">
        <f t="shared" si="0"/>
        <v>rtdc.l.rtdc.4038:itc</v>
      </c>
      <c r="G16" s="8">
        <f t="shared" si="1"/>
        <v>42667.206331018519</v>
      </c>
    </row>
    <row r="17" spans="1:7" x14ac:dyDescent="0.25">
      <c r="A17" s="8">
        <v>42667.206331018519</v>
      </c>
      <c r="B17" s="21" t="s">
        <v>194</v>
      </c>
      <c r="C17" s="21" t="s">
        <v>389</v>
      </c>
      <c r="D17" s="21">
        <v>1990000</v>
      </c>
      <c r="E17" s="21" t="s">
        <v>314</v>
      </c>
      <c r="F17" s="21" t="str">
        <f t="shared" si="0"/>
        <v>rtdc.l.rtdc.4009:itc</v>
      </c>
      <c r="G17" s="8">
        <f t="shared" si="1"/>
        <v>42667.206331018519</v>
      </c>
    </row>
    <row r="18" spans="1:7" x14ac:dyDescent="0.25">
      <c r="A18" s="8">
        <v>42667.206793981481</v>
      </c>
      <c r="B18" s="21" t="s">
        <v>265</v>
      </c>
      <c r="C18" s="21" t="s">
        <v>443</v>
      </c>
      <c r="D18" s="21">
        <v>1190000</v>
      </c>
      <c r="E18" s="21" t="s">
        <v>432</v>
      </c>
      <c r="F18" s="21" t="str">
        <f t="shared" si="0"/>
        <v>rtdc.l.rtdc.4054:itc</v>
      </c>
      <c r="G18" s="8">
        <f t="shared" si="1"/>
        <v>42667.206793981481</v>
      </c>
    </row>
    <row r="19" spans="1:7" x14ac:dyDescent="0.25">
      <c r="A19" s="8">
        <v>42667.214571759258</v>
      </c>
      <c r="B19" s="21" t="s">
        <v>193</v>
      </c>
      <c r="C19" s="21" t="s">
        <v>390</v>
      </c>
      <c r="D19" s="21">
        <v>1990000</v>
      </c>
      <c r="E19" s="21" t="s">
        <v>314</v>
      </c>
      <c r="F19" s="21" t="str">
        <f t="shared" si="0"/>
        <v>rtdc.l.rtdc.4010:itc</v>
      </c>
      <c r="G19" s="8">
        <f t="shared" si="1"/>
        <v>42667.214571759258</v>
      </c>
    </row>
    <row r="20" spans="1:7" x14ac:dyDescent="0.25">
      <c r="A20" s="8">
        <v>42667.222893518519</v>
      </c>
      <c r="B20" s="21" t="s">
        <v>275</v>
      </c>
      <c r="C20" s="21" t="s">
        <v>444</v>
      </c>
      <c r="D20" s="21">
        <v>1090000</v>
      </c>
      <c r="E20" s="21" t="s">
        <v>435</v>
      </c>
      <c r="F20" s="21" t="str">
        <f t="shared" si="0"/>
        <v>rtdc.l.rtdc.4015:itc</v>
      </c>
      <c r="G20" s="8">
        <f t="shared" si="1"/>
        <v>42667.222893518519</v>
      </c>
    </row>
    <row r="21" spans="1:7" x14ac:dyDescent="0.25">
      <c r="A21" s="8">
        <v>42667.224594907406</v>
      </c>
      <c r="B21" s="21" t="s">
        <v>241</v>
      </c>
      <c r="C21" s="21" t="s">
        <v>445</v>
      </c>
      <c r="D21" s="21">
        <v>1830000</v>
      </c>
      <c r="E21" s="21" t="s">
        <v>302</v>
      </c>
      <c r="F21" s="21" t="str">
        <f t="shared" si="0"/>
        <v>rtdc.l.rtdc.4017:itc</v>
      </c>
      <c r="G21" s="8">
        <f t="shared" si="1"/>
        <v>42667.224594907406</v>
      </c>
    </row>
    <row r="22" spans="1:7" x14ac:dyDescent="0.25">
      <c r="A22" s="27">
        <v>42667.227685185186</v>
      </c>
      <c r="B22" s="21" t="s">
        <v>386</v>
      </c>
      <c r="C22" s="21" t="s">
        <v>446</v>
      </c>
      <c r="D22" s="21">
        <v>1310000</v>
      </c>
      <c r="E22" s="21" t="s">
        <v>315</v>
      </c>
      <c r="F22" s="21" t="str">
        <f t="shared" si="0"/>
        <v>rtdc.l.rtdc.4002:itc</v>
      </c>
      <c r="G22" s="8">
        <f t="shared" si="1"/>
        <v>42667.227685185186</v>
      </c>
    </row>
    <row r="23" spans="1:7" x14ac:dyDescent="0.25">
      <c r="A23" s="8">
        <v>42667.234872685185</v>
      </c>
      <c r="B23" s="21" t="s">
        <v>331</v>
      </c>
      <c r="C23" s="21" t="s">
        <v>447</v>
      </c>
      <c r="D23" s="21">
        <v>1260000</v>
      </c>
      <c r="E23" s="21" t="s">
        <v>332</v>
      </c>
      <c r="F23" s="21" t="str">
        <f t="shared" si="0"/>
        <v>rtdc.l.rtdc.4011:itc</v>
      </c>
      <c r="G23" s="8">
        <f t="shared" si="1"/>
        <v>42667.234872685185</v>
      </c>
    </row>
    <row r="24" spans="1:7" x14ac:dyDescent="0.25">
      <c r="A24" s="8">
        <v>42667.239212962966</v>
      </c>
      <c r="B24" s="21" t="s">
        <v>194</v>
      </c>
      <c r="C24" s="21" t="s">
        <v>391</v>
      </c>
      <c r="D24" s="21">
        <v>1990000</v>
      </c>
      <c r="E24" s="21" t="s">
        <v>314</v>
      </c>
      <c r="F24" s="21" t="str">
        <f t="shared" si="0"/>
        <v>rtdc.l.rtdc.4009:itc</v>
      </c>
      <c r="G24" s="8">
        <f t="shared" si="1"/>
        <v>42667.239212962966</v>
      </c>
    </row>
    <row r="25" spans="1:7" x14ac:dyDescent="0.25">
      <c r="A25" s="8">
        <v>42667.245011574072</v>
      </c>
      <c r="B25" s="21" t="s">
        <v>345</v>
      </c>
      <c r="C25" s="21" t="s">
        <v>448</v>
      </c>
      <c r="D25" s="21">
        <v>1110000</v>
      </c>
      <c r="E25" s="21" t="s">
        <v>347</v>
      </c>
      <c r="F25" s="21" t="str">
        <f t="shared" si="0"/>
        <v>rtdc.l.rtdc.4021:itc</v>
      </c>
      <c r="G25" s="8">
        <f t="shared" si="1"/>
        <v>42667.245011574072</v>
      </c>
    </row>
    <row r="26" spans="1:7" x14ac:dyDescent="0.25">
      <c r="A26" s="8">
        <v>42667.24627314815</v>
      </c>
      <c r="B26" s="21" t="s">
        <v>345</v>
      </c>
      <c r="C26" s="21" t="s">
        <v>448</v>
      </c>
      <c r="D26" s="21">
        <v>1110000</v>
      </c>
      <c r="E26" s="21" t="s">
        <v>347</v>
      </c>
      <c r="F26" s="21" t="str">
        <f t="shared" si="0"/>
        <v>rtdc.l.rtdc.4021:itc</v>
      </c>
      <c r="G26" s="8">
        <f t="shared" si="1"/>
        <v>42667.24627314815</v>
      </c>
    </row>
    <row r="27" spans="1:7" x14ac:dyDescent="0.25">
      <c r="A27" s="8">
        <v>42667.247708333336</v>
      </c>
      <c r="B27" s="21" t="s">
        <v>312</v>
      </c>
      <c r="C27" s="21" t="s">
        <v>392</v>
      </c>
      <c r="D27" s="21">
        <v>1190000</v>
      </c>
      <c r="E27" s="21" t="s">
        <v>432</v>
      </c>
      <c r="F27" s="21" t="str">
        <f t="shared" si="0"/>
        <v>rtdc.l.rtdc.4014:itc</v>
      </c>
      <c r="G27" s="8">
        <f t="shared" si="1"/>
        <v>42667.247708333336</v>
      </c>
    </row>
    <row r="28" spans="1:7" x14ac:dyDescent="0.25">
      <c r="A28" s="8">
        <v>42667.252430555556</v>
      </c>
      <c r="B28" s="21" t="s">
        <v>300</v>
      </c>
      <c r="C28" s="21" t="s">
        <v>449</v>
      </c>
      <c r="D28" s="21">
        <v>2030000</v>
      </c>
      <c r="E28" s="21" t="s">
        <v>433</v>
      </c>
      <c r="F28" s="21" t="str">
        <f t="shared" si="0"/>
        <v>rtdc.l.rtdc.4037:itc</v>
      </c>
      <c r="G28" s="8">
        <f t="shared" si="1"/>
        <v>42667.252430555556</v>
      </c>
    </row>
    <row r="29" spans="1:7" x14ac:dyDescent="0.25">
      <c r="A29" s="8">
        <v>42667.255011574074</v>
      </c>
      <c r="B29" s="21" t="s">
        <v>193</v>
      </c>
      <c r="C29" s="21" t="s">
        <v>450</v>
      </c>
      <c r="D29" s="21">
        <v>1990000</v>
      </c>
      <c r="E29" s="21" t="s">
        <v>314</v>
      </c>
      <c r="F29" s="21" t="str">
        <f t="shared" si="0"/>
        <v>rtdc.l.rtdc.4010:itc</v>
      </c>
      <c r="G29" s="8">
        <f t="shared" si="1"/>
        <v>42667.255011574074</v>
      </c>
    </row>
    <row r="30" spans="1:7" x14ac:dyDescent="0.25">
      <c r="A30" s="8">
        <v>42667.255023148151</v>
      </c>
      <c r="B30" s="21" t="s">
        <v>246</v>
      </c>
      <c r="C30" s="21" t="s">
        <v>451</v>
      </c>
      <c r="D30" s="21">
        <v>900000</v>
      </c>
      <c r="E30" s="21" t="s">
        <v>452</v>
      </c>
      <c r="F30" s="21" t="str">
        <f t="shared" si="0"/>
        <v>rtdc.l.rtdc.4028:itc</v>
      </c>
      <c r="G30" s="8">
        <f t="shared" si="1"/>
        <v>42667.255023148151</v>
      </c>
    </row>
    <row r="31" spans="1:7" x14ac:dyDescent="0.25">
      <c r="A31" s="8">
        <v>42667.257557870369</v>
      </c>
      <c r="B31" s="21" t="s">
        <v>274</v>
      </c>
      <c r="C31" s="21" t="s">
        <v>393</v>
      </c>
      <c r="D31" s="21">
        <v>1090000</v>
      </c>
      <c r="E31" s="21" t="s">
        <v>435</v>
      </c>
      <c r="F31" s="21" t="str">
        <f t="shared" si="0"/>
        <v>rtdc.l.rtdc.4016:itc</v>
      </c>
      <c r="G31" s="8">
        <f t="shared" si="1"/>
        <v>42667.257557870369</v>
      </c>
    </row>
    <row r="32" spans="1:7" x14ac:dyDescent="0.25">
      <c r="A32" s="8">
        <v>42667.263402777775</v>
      </c>
      <c r="B32" s="21" t="s">
        <v>313</v>
      </c>
      <c r="C32" s="21" t="s">
        <v>453</v>
      </c>
      <c r="D32" s="21">
        <v>900000</v>
      </c>
      <c r="E32" s="21" t="s">
        <v>452</v>
      </c>
      <c r="F32" s="21" t="str">
        <f t="shared" si="0"/>
        <v>rtdc.l.rtdc.4027:itc</v>
      </c>
      <c r="G32" s="8">
        <f t="shared" si="1"/>
        <v>42667.263402777775</v>
      </c>
    </row>
    <row r="33" spans="1:7" x14ac:dyDescent="0.25">
      <c r="A33" s="8">
        <v>42667.265439814815</v>
      </c>
      <c r="B33" s="21" t="s">
        <v>406</v>
      </c>
      <c r="C33" s="21" t="s">
        <v>454</v>
      </c>
      <c r="D33" s="21">
        <v>1310000</v>
      </c>
      <c r="E33" s="21" t="s">
        <v>315</v>
      </c>
      <c r="F33" s="21" t="str">
        <f t="shared" si="0"/>
        <v>rtdc.l.rtdc.4001:itc</v>
      </c>
      <c r="G33" s="8">
        <f t="shared" si="1"/>
        <v>42667.265439814815</v>
      </c>
    </row>
    <row r="34" spans="1:7" x14ac:dyDescent="0.25">
      <c r="A34" s="8">
        <v>42667.269097222219</v>
      </c>
      <c r="B34" s="21" t="s">
        <v>188</v>
      </c>
      <c r="C34" s="21" t="s">
        <v>455</v>
      </c>
      <c r="D34" s="21">
        <v>1830000</v>
      </c>
      <c r="E34" s="21" t="s">
        <v>302</v>
      </c>
      <c r="F34" s="21" t="str">
        <f t="shared" si="0"/>
        <v>rtdc.l.rtdc.4018:itc</v>
      </c>
      <c r="G34" s="8">
        <f t="shared" si="1"/>
        <v>42667.269097222219</v>
      </c>
    </row>
    <row r="35" spans="1:7" x14ac:dyDescent="0.25">
      <c r="A35" s="8">
        <v>42667.273020833331</v>
      </c>
      <c r="B35" s="21" t="s">
        <v>257</v>
      </c>
      <c r="C35" s="21" t="s">
        <v>456</v>
      </c>
      <c r="D35" s="21">
        <v>1260000</v>
      </c>
      <c r="E35" s="21" t="s">
        <v>332</v>
      </c>
      <c r="F35" s="21" t="str">
        <f t="shared" si="0"/>
        <v>rtdc.l.rtdc.4012:itc</v>
      </c>
      <c r="G35" s="8">
        <f t="shared" si="1"/>
        <v>42667.273020833331</v>
      </c>
    </row>
    <row r="36" spans="1:7" x14ac:dyDescent="0.25">
      <c r="A36" s="8">
        <v>42667.276226851849</v>
      </c>
      <c r="B36" s="21" t="s">
        <v>246</v>
      </c>
      <c r="C36" s="21" t="s">
        <v>457</v>
      </c>
      <c r="D36" s="21">
        <v>900000</v>
      </c>
      <c r="E36" s="21" t="s">
        <v>452</v>
      </c>
      <c r="F36" s="21" t="str">
        <f t="shared" si="0"/>
        <v>rtdc.l.rtdc.4028:itc</v>
      </c>
      <c r="G36" s="8">
        <f t="shared" si="1"/>
        <v>42667.276226851849</v>
      </c>
    </row>
    <row r="37" spans="1:7" x14ac:dyDescent="0.25">
      <c r="A37" s="8">
        <v>42667.27983796296</v>
      </c>
      <c r="B37" s="21" t="s">
        <v>266</v>
      </c>
      <c r="C37" s="21" t="s">
        <v>395</v>
      </c>
      <c r="D37" s="21">
        <v>1110000</v>
      </c>
      <c r="E37" s="21" t="s">
        <v>347</v>
      </c>
      <c r="F37" s="21" t="str">
        <f t="shared" si="0"/>
        <v>rtdc.l.rtdc.4053:itc</v>
      </c>
      <c r="G37" s="8">
        <f t="shared" si="1"/>
        <v>42667.27983796296</v>
      </c>
    </row>
    <row r="38" spans="1:7" x14ac:dyDescent="0.25">
      <c r="A38" s="8">
        <v>42667.280914351853</v>
      </c>
      <c r="B38" s="21" t="s">
        <v>194</v>
      </c>
      <c r="C38" s="21" t="s">
        <v>394</v>
      </c>
      <c r="D38" s="21">
        <v>1990000</v>
      </c>
      <c r="E38" s="21" t="s">
        <v>314</v>
      </c>
      <c r="F38" s="21" t="str">
        <f t="shared" si="0"/>
        <v>rtdc.l.rtdc.4009:itc</v>
      </c>
      <c r="G38" s="8">
        <f t="shared" si="1"/>
        <v>42667.280914351853</v>
      </c>
    </row>
    <row r="39" spans="1:7" x14ac:dyDescent="0.25">
      <c r="A39" s="8">
        <v>42667.282210648147</v>
      </c>
      <c r="B39" s="21" t="s">
        <v>311</v>
      </c>
      <c r="C39" s="21" t="s">
        <v>397</v>
      </c>
      <c r="D39" s="21">
        <v>1190000</v>
      </c>
      <c r="E39" s="21" t="s">
        <v>432</v>
      </c>
      <c r="F39" s="21" t="str">
        <f t="shared" si="0"/>
        <v>rtdc.l.rtdc.4013:itc</v>
      </c>
      <c r="G39" s="8">
        <f t="shared" si="1"/>
        <v>42667.282210648147</v>
      </c>
    </row>
    <row r="40" spans="1:7" x14ac:dyDescent="0.25">
      <c r="A40" s="8">
        <v>42667.287766203706</v>
      </c>
      <c r="B40" s="26" t="s">
        <v>303</v>
      </c>
      <c r="C40" s="21" t="s">
        <v>458</v>
      </c>
      <c r="D40" s="21">
        <v>2030000</v>
      </c>
      <c r="E40" s="21" t="s">
        <v>433</v>
      </c>
      <c r="F40" s="21" t="str">
        <f t="shared" si="0"/>
        <v>rtdc.l.rtdc.4038:itc</v>
      </c>
      <c r="G40" s="8">
        <f t="shared" si="1"/>
        <v>42667.287766203706</v>
      </c>
    </row>
    <row r="41" spans="1:7" x14ac:dyDescent="0.25">
      <c r="A41" s="8">
        <v>42667.292881944442</v>
      </c>
      <c r="B41" s="21" t="s">
        <v>275</v>
      </c>
      <c r="C41" s="21" t="s">
        <v>459</v>
      </c>
      <c r="D41" s="21">
        <v>1090000</v>
      </c>
      <c r="E41" s="21" t="s">
        <v>435</v>
      </c>
      <c r="F41" s="21" t="str">
        <f t="shared" si="0"/>
        <v>rtdc.l.rtdc.4015:itc</v>
      </c>
      <c r="G41" s="8">
        <f t="shared" si="1"/>
        <v>42667.292881944442</v>
      </c>
    </row>
    <row r="42" spans="1:7" x14ac:dyDescent="0.25">
      <c r="A42" s="8">
        <v>42667.297025462962</v>
      </c>
      <c r="B42" s="21" t="s">
        <v>193</v>
      </c>
      <c r="C42" s="21" t="s">
        <v>396</v>
      </c>
      <c r="D42" s="21">
        <v>1990000</v>
      </c>
      <c r="E42" s="21" t="s">
        <v>314</v>
      </c>
      <c r="F42" s="21" t="str">
        <f t="shared" si="0"/>
        <v>rtdc.l.rtdc.4010:itc</v>
      </c>
      <c r="G42" s="8">
        <f t="shared" si="1"/>
        <v>42667.297025462962</v>
      </c>
    </row>
    <row r="43" spans="1:7" x14ac:dyDescent="0.25">
      <c r="A43" s="8">
        <v>42667.299270833333</v>
      </c>
      <c r="B43" s="21" t="s">
        <v>241</v>
      </c>
      <c r="C43" s="21" t="s">
        <v>460</v>
      </c>
      <c r="D43" s="21">
        <v>1830000</v>
      </c>
      <c r="E43" s="21" t="s">
        <v>302</v>
      </c>
      <c r="F43" s="21" t="str">
        <f t="shared" si="0"/>
        <v>rtdc.l.rtdc.4017:itc</v>
      </c>
      <c r="G43" s="8">
        <f t="shared" si="1"/>
        <v>42667.299270833333</v>
      </c>
    </row>
    <row r="44" spans="1:7" x14ac:dyDescent="0.25">
      <c r="A44" s="8">
        <v>42667.301006944443</v>
      </c>
      <c r="B44" s="21" t="s">
        <v>386</v>
      </c>
      <c r="C44" s="21" t="s">
        <v>461</v>
      </c>
      <c r="D44" s="21">
        <v>1310000</v>
      </c>
      <c r="E44" s="21" t="s">
        <v>315</v>
      </c>
      <c r="F44" s="21" t="str">
        <f t="shared" si="0"/>
        <v>rtdc.l.rtdc.4002:itc</v>
      </c>
      <c r="G44" s="8">
        <f t="shared" si="1"/>
        <v>42667.301006944443</v>
      </c>
    </row>
    <row r="45" spans="1:7" x14ac:dyDescent="0.25">
      <c r="A45" s="8">
        <v>42667.305879629632</v>
      </c>
      <c r="B45" s="21" t="s">
        <v>313</v>
      </c>
      <c r="C45" s="21" t="s">
        <v>462</v>
      </c>
      <c r="D45" s="21">
        <v>900000</v>
      </c>
      <c r="E45" s="21" t="s">
        <v>452</v>
      </c>
      <c r="F45" s="21" t="str">
        <f t="shared" si="0"/>
        <v>rtdc.l.rtdc.4027:itc</v>
      </c>
      <c r="G45" s="8">
        <f t="shared" si="1"/>
        <v>42667.305879629632</v>
      </c>
    </row>
    <row r="46" spans="1:7" x14ac:dyDescent="0.25">
      <c r="A46" s="8">
        <v>42667.308946759258</v>
      </c>
      <c r="B46" s="21" t="s">
        <v>331</v>
      </c>
      <c r="C46" s="21" t="s">
        <v>463</v>
      </c>
      <c r="D46" s="21">
        <v>1260000</v>
      </c>
      <c r="E46" s="21" t="s">
        <v>332</v>
      </c>
      <c r="F46" s="21" t="str">
        <f t="shared" si="0"/>
        <v>rtdc.l.rtdc.4011:itc</v>
      </c>
      <c r="G46" s="8">
        <f t="shared" si="1"/>
        <v>42667.308946759258</v>
      </c>
    </row>
    <row r="47" spans="1:7" x14ac:dyDescent="0.25">
      <c r="A47" s="8">
        <v>42667.318067129629</v>
      </c>
      <c r="B47" s="21" t="s">
        <v>265</v>
      </c>
      <c r="C47" s="21" t="s">
        <v>464</v>
      </c>
      <c r="D47" s="21">
        <v>1110000</v>
      </c>
      <c r="E47" s="21" t="s">
        <v>347</v>
      </c>
      <c r="F47" s="21" t="str">
        <f t="shared" si="0"/>
        <v>rtdc.l.rtdc.4054:itc</v>
      </c>
      <c r="G47" s="8">
        <f t="shared" si="1"/>
        <v>42667.318067129629</v>
      </c>
    </row>
    <row r="48" spans="1:7" x14ac:dyDescent="0.25">
      <c r="A48" s="8">
        <v>42667.31927083333</v>
      </c>
      <c r="B48" s="21" t="s">
        <v>246</v>
      </c>
      <c r="C48" s="21" t="s">
        <v>465</v>
      </c>
      <c r="D48" s="21">
        <v>900000</v>
      </c>
      <c r="E48" s="21" t="s">
        <v>452</v>
      </c>
      <c r="F48" s="21" t="str">
        <f t="shared" si="0"/>
        <v>rtdc.l.rtdc.4028:itc</v>
      </c>
      <c r="G48" s="8">
        <f t="shared" si="1"/>
        <v>42667.31927083333</v>
      </c>
    </row>
    <row r="49" spans="1:7" x14ac:dyDescent="0.25">
      <c r="A49" s="8">
        <v>42667.321828703702</v>
      </c>
      <c r="B49" s="21" t="s">
        <v>312</v>
      </c>
      <c r="C49" s="21" t="s">
        <v>400</v>
      </c>
      <c r="D49" s="21">
        <v>1190000</v>
      </c>
      <c r="E49" s="21" t="s">
        <v>432</v>
      </c>
      <c r="F49" s="21" t="str">
        <f t="shared" si="0"/>
        <v>rtdc.l.rtdc.4014:itc</v>
      </c>
      <c r="G49" s="8">
        <f t="shared" si="1"/>
        <v>42667.321828703702</v>
      </c>
    </row>
    <row r="50" spans="1:7" x14ac:dyDescent="0.25">
      <c r="A50" s="8">
        <v>42667.323981481481</v>
      </c>
      <c r="B50" s="21" t="s">
        <v>300</v>
      </c>
      <c r="C50" s="21" t="s">
        <v>399</v>
      </c>
      <c r="D50" s="21">
        <v>2030000</v>
      </c>
      <c r="E50" s="21" t="s">
        <v>433</v>
      </c>
      <c r="F50" s="21" t="str">
        <f t="shared" si="0"/>
        <v>rtdc.l.rtdc.4037:itc</v>
      </c>
      <c r="G50" s="8">
        <f t="shared" si="1"/>
        <v>42667.323981481481</v>
      </c>
    </row>
    <row r="51" spans="1:7" x14ac:dyDescent="0.25">
      <c r="A51" s="8">
        <v>42667.324050925927</v>
      </c>
      <c r="B51" s="21" t="s">
        <v>194</v>
      </c>
      <c r="C51" s="21" t="s">
        <v>398</v>
      </c>
      <c r="D51" s="21">
        <v>1990000</v>
      </c>
      <c r="E51" s="21" t="s">
        <v>314</v>
      </c>
      <c r="F51" s="21" t="str">
        <f t="shared" si="0"/>
        <v>rtdc.l.rtdc.4009:itc</v>
      </c>
      <c r="G51" s="8">
        <f t="shared" si="1"/>
        <v>42667.324050925927</v>
      </c>
    </row>
    <row r="52" spans="1:7" x14ac:dyDescent="0.25">
      <c r="A52" s="8">
        <v>42667.330578703702</v>
      </c>
      <c r="B52" s="21" t="s">
        <v>274</v>
      </c>
      <c r="C52" s="21" t="s">
        <v>466</v>
      </c>
      <c r="D52" s="21">
        <v>1090000</v>
      </c>
      <c r="E52" s="21" t="s">
        <v>435</v>
      </c>
      <c r="F52" s="21" t="str">
        <f t="shared" si="0"/>
        <v>rtdc.l.rtdc.4016:itc</v>
      </c>
      <c r="G52" s="8">
        <f t="shared" si="1"/>
        <v>42667.330578703702</v>
      </c>
    </row>
    <row r="53" spans="1:7" x14ac:dyDescent="0.25">
      <c r="A53" s="8">
        <v>42667.338310185187</v>
      </c>
      <c r="B53" s="21" t="s">
        <v>193</v>
      </c>
      <c r="C53" s="21" t="s">
        <v>467</v>
      </c>
      <c r="D53" s="21">
        <v>1990000</v>
      </c>
      <c r="E53" s="21" t="s">
        <v>314</v>
      </c>
      <c r="F53" s="21" t="str">
        <f t="shared" si="0"/>
        <v>rtdc.l.rtdc.4010:itc</v>
      </c>
      <c r="G53" s="8">
        <f t="shared" si="1"/>
        <v>42667.338310185187</v>
      </c>
    </row>
    <row r="54" spans="1:7" x14ac:dyDescent="0.25">
      <c r="A54" s="8">
        <v>42667.339467592596</v>
      </c>
      <c r="B54" s="21" t="s">
        <v>406</v>
      </c>
      <c r="C54" s="21" t="s">
        <v>468</v>
      </c>
      <c r="D54" s="21">
        <v>1310000</v>
      </c>
      <c r="E54" s="21" t="s">
        <v>315</v>
      </c>
      <c r="F54" s="21" t="str">
        <f t="shared" si="0"/>
        <v>rtdc.l.rtdc.4001:itc</v>
      </c>
      <c r="G54" s="8">
        <f t="shared" si="1"/>
        <v>42667.339467592596</v>
      </c>
    </row>
    <row r="55" spans="1:7" x14ac:dyDescent="0.25">
      <c r="A55" s="8">
        <v>42667.340081018519</v>
      </c>
      <c r="B55" s="21" t="s">
        <v>188</v>
      </c>
      <c r="C55" s="21" t="s">
        <v>460</v>
      </c>
      <c r="D55" s="21">
        <v>1830000</v>
      </c>
      <c r="E55" s="21" t="s">
        <v>302</v>
      </c>
      <c r="F55" s="21" t="str">
        <f t="shared" si="0"/>
        <v>rtdc.l.rtdc.4018:itc</v>
      </c>
      <c r="G55" s="8">
        <f t="shared" si="1"/>
        <v>42667.340081018519</v>
      </c>
    </row>
    <row r="56" spans="1:7" x14ac:dyDescent="0.25">
      <c r="A56" s="8">
        <v>42667.340671296297</v>
      </c>
      <c r="B56" s="21" t="s">
        <v>188</v>
      </c>
      <c r="C56" s="21" t="s">
        <v>401</v>
      </c>
      <c r="D56" s="21">
        <v>1830000</v>
      </c>
      <c r="E56" s="21" t="s">
        <v>302</v>
      </c>
      <c r="F56" s="21" t="str">
        <f t="shared" si="0"/>
        <v>rtdc.l.rtdc.4018:itc</v>
      </c>
      <c r="G56" s="8">
        <f t="shared" si="1"/>
        <v>42667.340671296297</v>
      </c>
    </row>
    <row r="57" spans="1:7" x14ac:dyDescent="0.25">
      <c r="A57" s="8">
        <v>42667.344189814816</v>
      </c>
      <c r="B57" s="21" t="s">
        <v>313</v>
      </c>
      <c r="C57" s="21" t="s">
        <v>469</v>
      </c>
      <c r="D57" s="21">
        <v>900000</v>
      </c>
      <c r="E57" s="21" t="s">
        <v>452</v>
      </c>
      <c r="F57" s="21" t="str">
        <f t="shared" si="0"/>
        <v>rtdc.l.rtdc.4027:itc</v>
      </c>
      <c r="G57" s="8">
        <f t="shared" si="1"/>
        <v>42667.344189814816</v>
      </c>
    </row>
    <row r="58" spans="1:7" x14ac:dyDescent="0.25">
      <c r="A58" s="8">
        <v>42667.347916666666</v>
      </c>
      <c r="B58" s="21" t="s">
        <v>257</v>
      </c>
      <c r="C58" s="21" t="s">
        <v>470</v>
      </c>
      <c r="D58" s="21">
        <v>1260000</v>
      </c>
      <c r="E58" s="21" t="s">
        <v>332</v>
      </c>
      <c r="F58" s="21" t="str">
        <f t="shared" si="0"/>
        <v>rtdc.l.rtdc.4012:itc</v>
      </c>
      <c r="G58" s="8">
        <f t="shared" si="1"/>
        <v>42667.347916666666</v>
      </c>
    </row>
    <row r="59" spans="1:7" x14ac:dyDescent="0.25">
      <c r="A59" s="8">
        <v>42667.352337962962</v>
      </c>
      <c r="B59" s="21" t="s">
        <v>266</v>
      </c>
      <c r="C59" s="21" t="s">
        <v>471</v>
      </c>
      <c r="D59" s="21">
        <v>1110000</v>
      </c>
      <c r="E59" s="21" t="s">
        <v>347</v>
      </c>
      <c r="F59" s="21" t="str">
        <f t="shared" si="0"/>
        <v>rtdc.l.rtdc.4053:itc</v>
      </c>
      <c r="G59" s="8">
        <f t="shared" si="1"/>
        <v>42667.352337962962</v>
      </c>
    </row>
    <row r="60" spans="1:7" x14ac:dyDescent="0.25">
      <c r="A60" s="8">
        <v>42667.354930555557</v>
      </c>
      <c r="B60" s="21" t="s">
        <v>311</v>
      </c>
      <c r="C60" s="21" t="s">
        <v>402</v>
      </c>
      <c r="D60" s="21">
        <v>1190000</v>
      </c>
      <c r="E60" s="21" t="s">
        <v>432</v>
      </c>
      <c r="F60" s="21" t="str">
        <f t="shared" si="0"/>
        <v>rtdc.l.rtdc.4013:itc</v>
      </c>
      <c r="G60" s="8">
        <f t="shared" si="1"/>
        <v>42667.354930555557</v>
      </c>
    </row>
    <row r="61" spans="1:7" x14ac:dyDescent="0.25">
      <c r="A61" s="8">
        <v>42667.354930555557</v>
      </c>
      <c r="B61" s="21" t="s">
        <v>194</v>
      </c>
      <c r="C61" s="21" t="s">
        <v>472</v>
      </c>
      <c r="D61" s="21">
        <v>1990000</v>
      </c>
      <c r="E61" s="21" t="s">
        <v>314</v>
      </c>
      <c r="F61" s="21" t="str">
        <f t="shared" si="0"/>
        <v>rtdc.l.rtdc.4009:itc</v>
      </c>
      <c r="G61" s="8">
        <f t="shared" si="1"/>
        <v>42667.354930555557</v>
      </c>
    </row>
    <row r="62" spans="1:7" x14ac:dyDescent="0.25">
      <c r="A62" s="8">
        <v>42667.361111111109</v>
      </c>
      <c r="B62" s="21" t="s">
        <v>303</v>
      </c>
      <c r="C62" s="21" t="s">
        <v>473</v>
      </c>
      <c r="D62" s="21">
        <v>2030000</v>
      </c>
      <c r="E62" s="21" t="s">
        <v>433</v>
      </c>
      <c r="F62" s="21" t="str">
        <f t="shared" si="0"/>
        <v>rtdc.l.rtdc.4038:itc</v>
      </c>
      <c r="G62" s="8">
        <f t="shared" si="1"/>
        <v>42667.361111111109</v>
      </c>
    </row>
    <row r="63" spans="1:7" x14ac:dyDescent="0.25">
      <c r="A63" s="8">
        <v>42667.361273148148</v>
      </c>
      <c r="B63" s="21" t="s">
        <v>246</v>
      </c>
      <c r="C63" s="21" t="s">
        <v>474</v>
      </c>
      <c r="D63" s="21">
        <v>900000</v>
      </c>
      <c r="E63" s="21" t="s">
        <v>452</v>
      </c>
      <c r="F63" s="21" t="str">
        <f t="shared" si="0"/>
        <v>rtdc.l.rtdc.4028:itc</v>
      </c>
      <c r="G63" s="8">
        <f t="shared" si="1"/>
        <v>42667.361273148148</v>
      </c>
    </row>
    <row r="64" spans="1:7" x14ac:dyDescent="0.25">
      <c r="A64" s="27">
        <v>42667.365173611113</v>
      </c>
      <c r="B64" s="21" t="s">
        <v>275</v>
      </c>
      <c r="C64" s="21" t="s">
        <v>475</v>
      </c>
      <c r="D64" s="21">
        <v>1090000</v>
      </c>
      <c r="E64" s="21" t="s">
        <v>435</v>
      </c>
      <c r="F64" s="21" t="str">
        <f t="shared" si="0"/>
        <v>rtdc.l.rtdc.4015:itc</v>
      </c>
      <c r="G64" s="8">
        <f t="shared" si="1"/>
        <v>42667.365173611113</v>
      </c>
    </row>
    <row r="65" spans="1:7" x14ac:dyDescent="0.25">
      <c r="A65" s="8">
        <v>42667.370289351849</v>
      </c>
      <c r="B65" s="21" t="s">
        <v>241</v>
      </c>
      <c r="C65" s="21" t="s">
        <v>476</v>
      </c>
      <c r="D65" s="21">
        <v>1830000</v>
      </c>
      <c r="E65" s="21" t="s">
        <v>302</v>
      </c>
      <c r="F65" s="21" t="str">
        <f t="shared" si="0"/>
        <v>rtdc.l.rtdc.4017:itc</v>
      </c>
      <c r="G65" s="8">
        <f t="shared" si="1"/>
        <v>42667.370289351849</v>
      </c>
    </row>
    <row r="66" spans="1:7" x14ac:dyDescent="0.25">
      <c r="A66" s="8">
        <v>42667.375277777777</v>
      </c>
      <c r="B66" s="21" t="s">
        <v>386</v>
      </c>
      <c r="C66" s="21" t="s">
        <v>403</v>
      </c>
      <c r="D66" s="21">
        <v>1310000</v>
      </c>
      <c r="E66" s="21" t="s">
        <v>315</v>
      </c>
      <c r="F66" s="21" t="str">
        <f t="shared" ref="F66:F129" si="2">B66</f>
        <v>rtdc.l.rtdc.4002:itc</v>
      </c>
      <c r="G66" s="8">
        <f t="shared" ref="G66:G129" si="3">A66</f>
        <v>42667.375277777777</v>
      </c>
    </row>
    <row r="67" spans="1:7" x14ac:dyDescent="0.25">
      <c r="A67" s="8">
        <v>42667.381608796299</v>
      </c>
      <c r="B67" s="21" t="s">
        <v>331</v>
      </c>
      <c r="C67" s="21" t="s">
        <v>477</v>
      </c>
      <c r="D67" s="21">
        <v>1260000</v>
      </c>
      <c r="E67" s="21" t="s">
        <v>332</v>
      </c>
      <c r="F67" s="21" t="str">
        <f t="shared" si="2"/>
        <v>rtdc.l.rtdc.4011:itc</v>
      </c>
      <c r="G67" s="8">
        <f t="shared" si="3"/>
        <v>42667.381608796299</v>
      </c>
    </row>
    <row r="68" spans="1:7" x14ac:dyDescent="0.25">
      <c r="A68" s="8">
        <v>42667.384166666663</v>
      </c>
      <c r="B68" s="21" t="s">
        <v>313</v>
      </c>
      <c r="C68" s="21" t="s">
        <v>404</v>
      </c>
      <c r="D68" s="21">
        <v>900000</v>
      </c>
      <c r="E68" s="21" t="s">
        <v>452</v>
      </c>
      <c r="F68" s="21" t="str">
        <f t="shared" si="2"/>
        <v>rtdc.l.rtdc.4027:itc</v>
      </c>
      <c r="G68" s="8">
        <f t="shared" si="3"/>
        <v>42667.384166666663</v>
      </c>
    </row>
    <row r="69" spans="1:7" x14ac:dyDescent="0.25">
      <c r="A69" s="8">
        <v>42667.391400462962</v>
      </c>
      <c r="B69" s="21" t="s">
        <v>265</v>
      </c>
      <c r="C69" s="21" t="s">
        <v>405</v>
      </c>
      <c r="D69" s="21">
        <v>1110000</v>
      </c>
      <c r="E69" s="21" t="s">
        <v>347</v>
      </c>
      <c r="F69" s="21" t="str">
        <f t="shared" si="2"/>
        <v>rtdc.l.rtdc.4054:itc</v>
      </c>
      <c r="G69" s="8">
        <f t="shared" si="3"/>
        <v>42667.391400462962</v>
      </c>
    </row>
    <row r="70" spans="1:7" x14ac:dyDescent="0.25">
      <c r="A70" s="8">
        <v>42667.393518518518</v>
      </c>
      <c r="B70" s="21" t="s">
        <v>312</v>
      </c>
      <c r="C70" s="21" t="s">
        <v>478</v>
      </c>
      <c r="D70" s="21">
        <v>1190000</v>
      </c>
      <c r="E70" s="21" t="s">
        <v>432</v>
      </c>
      <c r="F70" s="21" t="str">
        <f t="shared" si="2"/>
        <v>rtdc.l.rtdc.4014:itc</v>
      </c>
      <c r="G70" s="8">
        <f t="shared" si="3"/>
        <v>42667.393518518518</v>
      </c>
    </row>
    <row r="71" spans="1:7" x14ac:dyDescent="0.25">
      <c r="A71" s="8">
        <v>42667.396620370368</v>
      </c>
      <c r="B71" s="21" t="s">
        <v>300</v>
      </c>
      <c r="C71" s="21" t="s">
        <v>479</v>
      </c>
      <c r="D71" s="21">
        <v>2030000</v>
      </c>
      <c r="E71" s="21" t="s">
        <v>433</v>
      </c>
      <c r="F71" s="21" t="str">
        <f t="shared" si="2"/>
        <v>rtdc.l.rtdc.4037:itc</v>
      </c>
      <c r="G71" s="8">
        <f t="shared" si="3"/>
        <v>42667.396620370368</v>
      </c>
    </row>
    <row r="72" spans="1:7" x14ac:dyDescent="0.25">
      <c r="A72" s="8">
        <v>42667.402719907404</v>
      </c>
      <c r="B72" s="21" t="s">
        <v>274</v>
      </c>
      <c r="C72" s="21" t="s">
        <v>480</v>
      </c>
      <c r="D72" s="21">
        <v>1090000</v>
      </c>
      <c r="E72" s="21" t="s">
        <v>435</v>
      </c>
      <c r="F72" s="21" t="str">
        <f t="shared" si="2"/>
        <v>rtdc.l.rtdc.4016:itc</v>
      </c>
      <c r="G72" s="8">
        <f t="shared" si="3"/>
        <v>42667.402719907404</v>
      </c>
    </row>
    <row r="73" spans="1:7" x14ac:dyDescent="0.25">
      <c r="A73" s="8">
        <v>42667.402812499997</v>
      </c>
      <c r="B73" s="21" t="s">
        <v>246</v>
      </c>
      <c r="C73" s="21" t="s">
        <v>481</v>
      </c>
      <c r="D73" s="21">
        <v>900000</v>
      </c>
      <c r="E73" s="21" t="s">
        <v>452</v>
      </c>
      <c r="F73" s="21" t="str">
        <f t="shared" si="2"/>
        <v>rtdc.l.rtdc.4028:itc</v>
      </c>
      <c r="G73" s="8">
        <f t="shared" si="3"/>
        <v>42667.402812499997</v>
      </c>
    </row>
    <row r="74" spans="1:7" x14ac:dyDescent="0.25">
      <c r="A74" s="8">
        <v>42667.404305555552</v>
      </c>
      <c r="B74" s="21" t="s">
        <v>246</v>
      </c>
      <c r="C74" s="21" t="s">
        <v>481</v>
      </c>
      <c r="D74" s="21">
        <v>900000</v>
      </c>
      <c r="E74" s="21" t="s">
        <v>452</v>
      </c>
      <c r="F74" s="21" t="str">
        <f t="shared" si="2"/>
        <v>rtdc.l.rtdc.4028:itc</v>
      </c>
      <c r="G74" s="8">
        <f t="shared" si="3"/>
        <v>42667.404305555552</v>
      </c>
    </row>
    <row r="75" spans="1:7" x14ac:dyDescent="0.25">
      <c r="A75" s="8">
        <v>42667.410868055558</v>
      </c>
      <c r="B75" s="21" t="s">
        <v>188</v>
      </c>
      <c r="C75" s="21" t="s">
        <v>408</v>
      </c>
      <c r="D75" s="21">
        <v>1830000</v>
      </c>
      <c r="E75" s="21" t="s">
        <v>302</v>
      </c>
      <c r="F75" s="21" t="str">
        <f t="shared" si="2"/>
        <v>rtdc.l.rtdc.4018:itc</v>
      </c>
      <c r="G75" s="8">
        <f t="shared" si="3"/>
        <v>42667.410868055558</v>
      </c>
    </row>
    <row r="76" spans="1:7" x14ac:dyDescent="0.25">
      <c r="A76" s="8">
        <v>42667.412881944445</v>
      </c>
      <c r="B76" s="21" t="s">
        <v>406</v>
      </c>
      <c r="C76" s="21" t="s">
        <v>407</v>
      </c>
      <c r="D76" s="21">
        <v>1310000</v>
      </c>
      <c r="E76" s="21" t="s">
        <v>315</v>
      </c>
      <c r="F76" s="21" t="str">
        <f t="shared" si="2"/>
        <v>rtdc.l.rtdc.4001:itc</v>
      </c>
      <c r="G76" s="8">
        <f t="shared" si="3"/>
        <v>42667.412881944445</v>
      </c>
    </row>
    <row r="77" spans="1:7" x14ac:dyDescent="0.25">
      <c r="A77" s="8">
        <v>42667.418923611112</v>
      </c>
      <c r="B77" s="21" t="s">
        <v>257</v>
      </c>
      <c r="C77" s="21" t="s">
        <v>482</v>
      </c>
      <c r="D77" s="21">
        <v>1260000</v>
      </c>
      <c r="E77" s="21" t="s">
        <v>332</v>
      </c>
      <c r="F77" s="21" t="str">
        <f t="shared" si="2"/>
        <v>rtdc.l.rtdc.4012:itc</v>
      </c>
      <c r="G77" s="8">
        <f t="shared" si="3"/>
        <v>42667.418923611112</v>
      </c>
    </row>
    <row r="78" spans="1:7" x14ac:dyDescent="0.25">
      <c r="A78" s="8">
        <v>42667.42527777778</v>
      </c>
      <c r="B78" s="21" t="s">
        <v>266</v>
      </c>
      <c r="C78" s="21" t="s">
        <v>483</v>
      </c>
      <c r="D78" s="21">
        <v>1110000</v>
      </c>
      <c r="E78" s="21" t="s">
        <v>347</v>
      </c>
      <c r="F78" s="21" t="str">
        <f t="shared" si="2"/>
        <v>rtdc.l.rtdc.4053:itc</v>
      </c>
      <c r="G78" s="8">
        <f t="shared" si="3"/>
        <v>42667.42527777778</v>
      </c>
    </row>
    <row r="79" spans="1:7" x14ac:dyDescent="0.25">
      <c r="A79" s="8">
        <v>42667.431180555555</v>
      </c>
      <c r="B79" s="21" t="s">
        <v>313</v>
      </c>
      <c r="C79" s="21" t="s">
        <v>484</v>
      </c>
      <c r="D79" s="21">
        <v>900000</v>
      </c>
      <c r="E79" s="21" t="s">
        <v>452</v>
      </c>
      <c r="F79" s="21" t="str">
        <f t="shared" si="2"/>
        <v>rtdc.l.rtdc.4027:itc</v>
      </c>
      <c r="G79" s="8">
        <f t="shared" si="3"/>
        <v>42667.431180555555</v>
      </c>
    </row>
    <row r="80" spans="1:7" x14ac:dyDescent="0.25">
      <c r="A80" s="8">
        <v>42667.431203703702</v>
      </c>
      <c r="B80" s="21" t="s">
        <v>301</v>
      </c>
      <c r="C80" s="21" t="s">
        <v>485</v>
      </c>
      <c r="D80" s="21">
        <v>2150000</v>
      </c>
      <c r="E80" s="21" t="s">
        <v>486</v>
      </c>
      <c r="F80" s="21" t="str">
        <f t="shared" si="2"/>
        <v>rtdc.l.rtdc.4005:itc</v>
      </c>
      <c r="G80" s="8">
        <f t="shared" si="3"/>
        <v>42667.431203703702</v>
      </c>
    </row>
    <row r="81" spans="1:7" x14ac:dyDescent="0.25">
      <c r="A81" s="8">
        <v>42667.431655092594</v>
      </c>
      <c r="B81" s="21" t="s">
        <v>311</v>
      </c>
      <c r="C81" s="21" t="s">
        <v>411</v>
      </c>
      <c r="D81" s="21">
        <v>1190000</v>
      </c>
      <c r="E81" s="21" t="s">
        <v>432</v>
      </c>
      <c r="F81" s="21" t="str">
        <f t="shared" si="2"/>
        <v>rtdc.l.rtdc.4013:itc</v>
      </c>
      <c r="G81" s="8">
        <f t="shared" si="3"/>
        <v>42667.431655092594</v>
      </c>
    </row>
    <row r="82" spans="1:7" x14ac:dyDescent="0.25">
      <c r="A82" s="8">
        <v>42667.435347222221</v>
      </c>
      <c r="B82" s="21" t="s">
        <v>303</v>
      </c>
      <c r="C82" s="21" t="s">
        <v>487</v>
      </c>
      <c r="D82" s="21">
        <v>1990000</v>
      </c>
      <c r="E82" s="21" t="s">
        <v>314</v>
      </c>
      <c r="F82" s="21" t="str">
        <f t="shared" si="2"/>
        <v>rtdc.l.rtdc.4038:itc</v>
      </c>
      <c r="G82" s="8">
        <f t="shared" si="3"/>
        <v>42667.435347222221</v>
      </c>
    </row>
    <row r="83" spans="1:7" x14ac:dyDescent="0.25">
      <c r="A83" s="8">
        <v>42667.439652777779</v>
      </c>
      <c r="B83" s="21" t="s">
        <v>275</v>
      </c>
      <c r="C83" s="21" t="s">
        <v>409</v>
      </c>
      <c r="D83" s="21">
        <v>1090000</v>
      </c>
      <c r="E83" s="21" t="s">
        <v>435</v>
      </c>
      <c r="F83" s="21" t="str">
        <f t="shared" si="2"/>
        <v>rtdc.l.rtdc.4015:itc</v>
      </c>
      <c r="G83" s="8">
        <f t="shared" si="3"/>
        <v>42667.439652777779</v>
      </c>
    </row>
    <row r="84" spans="1:7" x14ac:dyDescent="0.25">
      <c r="A84" s="8">
        <v>42667.44427083333</v>
      </c>
      <c r="B84" s="21" t="s">
        <v>241</v>
      </c>
      <c r="C84" s="21" t="s">
        <v>488</v>
      </c>
      <c r="D84" s="21">
        <v>1830000</v>
      </c>
      <c r="E84" s="21" t="s">
        <v>302</v>
      </c>
      <c r="F84" s="21" t="str">
        <f t="shared" si="2"/>
        <v>rtdc.l.rtdc.4017:itc</v>
      </c>
      <c r="G84" s="8">
        <f t="shared" si="3"/>
        <v>42667.44427083333</v>
      </c>
    </row>
    <row r="85" spans="1:7" x14ac:dyDescent="0.25">
      <c r="A85" s="8">
        <v>42667.445092592592</v>
      </c>
      <c r="B85" s="21" t="s">
        <v>246</v>
      </c>
      <c r="C85" s="21" t="s">
        <v>410</v>
      </c>
      <c r="D85" s="21">
        <v>900000</v>
      </c>
      <c r="E85" s="21" t="s">
        <v>452</v>
      </c>
      <c r="F85" s="21" t="str">
        <f t="shared" si="2"/>
        <v>rtdc.l.rtdc.4028:itc</v>
      </c>
      <c r="G85" s="8">
        <f t="shared" si="3"/>
        <v>42667.445092592592</v>
      </c>
    </row>
    <row r="86" spans="1:7" x14ac:dyDescent="0.25">
      <c r="A86" s="8">
        <v>42667.446631944447</v>
      </c>
      <c r="B86" s="21" t="s">
        <v>386</v>
      </c>
      <c r="C86" s="21" t="s">
        <v>412</v>
      </c>
      <c r="D86" s="21">
        <v>1310000</v>
      </c>
      <c r="E86" s="21" t="s">
        <v>315</v>
      </c>
      <c r="F86" s="21" t="str">
        <f t="shared" si="2"/>
        <v>rtdc.l.rtdc.4002:itc</v>
      </c>
      <c r="G86" s="8">
        <f t="shared" si="3"/>
        <v>42667.446631944447</v>
      </c>
    </row>
    <row r="87" spans="1:7" x14ac:dyDescent="0.25">
      <c r="A87" s="8">
        <v>42667.455567129633</v>
      </c>
      <c r="B87" s="21" t="s">
        <v>331</v>
      </c>
      <c r="C87" s="21" t="s">
        <v>414</v>
      </c>
      <c r="D87" s="21">
        <v>880000</v>
      </c>
      <c r="E87" s="21" t="s">
        <v>316</v>
      </c>
      <c r="F87" s="21" t="str">
        <f t="shared" si="2"/>
        <v>rtdc.l.rtdc.4011:itc</v>
      </c>
      <c r="G87" s="8">
        <f t="shared" si="3"/>
        <v>42667.455567129633</v>
      </c>
    </row>
    <row r="88" spans="1:7" x14ac:dyDescent="0.25">
      <c r="A88" s="8">
        <v>42667.455717592595</v>
      </c>
      <c r="B88" s="21" t="s">
        <v>261</v>
      </c>
      <c r="C88" s="21" t="s">
        <v>413</v>
      </c>
      <c r="D88" s="21">
        <v>940000</v>
      </c>
      <c r="E88" s="21" t="s">
        <v>489</v>
      </c>
      <c r="F88" s="21" t="str">
        <f t="shared" si="2"/>
        <v>rtdc.l.rtdc.4030:itc</v>
      </c>
      <c r="G88" s="8">
        <f t="shared" si="3"/>
        <v>42667.455717592595</v>
      </c>
    </row>
    <row r="89" spans="1:7" x14ac:dyDescent="0.25">
      <c r="A89" s="8">
        <v>42667.457106481481</v>
      </c>
      <c r="B89" s="21" t="s">
        <v>261</v>
      </c>
      <c r="C89" s="21" t="s">
        <v>413</v>
      </c>
      <c r="D89" s="21">
        <v>940000</v>
      </c>
      <c r="E89" s="21" t="s">
        <v>489</v>
      </c>
      <c r="F89" s="21" t="str">
        <f t="shared" si="2"/>
        <v>rtdc.l.rtdc.4030:itc</v>
      </c>
      <c r="G89" s="8">
        <f t="shared" si="3"/>
        <v>42667.457106481481</v>
      </c>
    </row>
    <row r="90" spans="1:7" x14ac:dyDescent="0.25">
      <c r="A90" s="8">
        <v>42667.464236111111</v>
      </c>
      <c r="B90" s="21" t="s">
        <v>265</v>
      </c>
      <c r="C90" s="21" t="s">
        <v>490</v>
      </c>
      <c r="D90" s="21">
        <v>1110000</v>
      </c>
      <c r="E90" s="21" t="s">
        <v>347</v>
      </c>
      <c r="F90" s="21" t="str">
        <f t="shared" si="2"/>
        <v>rtdc.l.rtdc.4054:itc</v>
      </c>
      <c r="G90" s="8">
        <f t="shared" si="3"/>
        <v>42667.464236111111</v>
      </c>
    </row>
    <row r="91" spans="1:7" x14ac:dyDescent="0.25">
      <c r="A91" s="8">
        <v>42667.467928240738</v>
      </c>
      <c r="B91" s="21" t="s">
        <v>312</v>
      </c>
      <c r="C91" s="21" t="s">
        <v>491</v>
      </c>
      <c r="D91" s="21">
        <v>2150000</v>
      </c>
      <c r="E91" s="21" t="s">
        <v>486</v>
      </c>
      <c r="F91" s="21" t="str">
        <f t="shared" si="2"/>
        <v>rtdc.l.rtdc.4014:itc</v>
      </c>
      <c r="G91" s="8">
        <f t="shared" si="3"/>
        <v>42667.467928240738</v>
      </c>
    </row>
    <row r="92" spans="1:7" x14ac:dyDescent="0.25">
      <c r="A92" s="8">
        <v>42667.471331018518</v>
      </c>
      <c r="B92" s="21" t="s">
        <v>313</v>
      </c>
      <c r="C92" s="21" t="s">
        <v>492</v>
      </c>
      <c r="D92" s="21">
        <v>900000</v>
      </c>
      <c r="E92" s="21" t="s">
        <v>452</v>
      </c>
      <c r="F92" s="21" t="str">
        <f t="shared" si="2"/>
        <v>rtdc.l.rtdc.4027:itc</v>
      </c>
      <c r="G92" s="8">
        <f t="shared" si="3"/>
        <v>42667.471331018518</v>
      </c>
    </row>
    <row r="93" spans="1:7" x14ac:dyDescent="0.25">
      <c r="A93" s="8">
        <v>42667.471909722219</v>
      </c>
      <c r="B93" s="21" t="s">
        <v>335</v>
      </c>
      <c r="C93" s="21" t="s">
        <v>493</v>
      </c>
      <c r="D93" s="21">
        <v>1240000</v>
      </c>
      <c r="E93" s="21" t="s">
        <v>494</v>
      </c>
      <c r="F93" s="21" t="str">
        <f t="shared" si="2"/>
        <v>rtdc.l.rtdc.4006:itc</v>
      </c>
      <c r="G93" s="8">
        <f t="shared" si="3"/>
        <v>42667.471909722219</v>
      </c>
    </row>
    <row r="94" spans="1:7" x14ac:dyDescent="0.25">
      <c r="A94" s="8">
        <v>42667.473368055558</v>
      </c>
      <c r="B94" s="21" t="s">
        <v>300</v>
      </c>
      <c r="C94" s="21" t="s">
        <v>495</v>
      </c>
      <c r="D94" s="21">
        <v>1990000</v>
      </c>
      <c r="E94" s="21" t="s">
        <v>314</v>
      </c>
      <c r="F94" s="21" t="str">
        <f t="shared" si="2"/>
        <v>rtdc.l.rtdc.4037:itc</v>
      </c>
      <c r="G94" s="8">
        <f t="shared" si="3"/>
        <v>42667.473368055558</v>
      </c>
    </row>
    <row r="95" spans="1:7" x14ac:dyDescent="0.25">
      <c r="A95" s="8">
        <v>42667.475486111114</v>
      </c>
      <c r="B95" s="21" t="s">
        <v>274</v>
      </c>
      <c r="C95" s="21" t="s">
        <v>415</v>
      </c>
      <c r="D95" s="21">
        <v>940000</v>
      </c>
      <c r="E95" s="21" t="s">
        <v>489</v>
      </c>
      <c r="F95" s="21" t="str">
        <f t="shared" si="2"/>
        <v>rtdc.l.rtdc.4016:itc</v>
      </c>
      <c r="G95" s="8">
        <f t="shared" si="3"/>
        <v>42667.475486111114</v>
      </c>
    </row>
    <row r="96" spans="1:7" x14ac:dyDescent="0.25">
      <c r="A96" s="8">
        <v>42667.485115740739</v>
      </c>
      <c r="B96" s="21" t="s">
        <v>188</v>
      </c>
      <c r="C96" s="21" t="s">
        <v>496</v>
      </c>
      <c r="D96" s="21">
        <v>930000</v>
      </c>
      <c r="E96" s="21" t="s">
        <v>317</v>
      </c>
      <c r="F96" s="21" t="str">
        <f t="shared" si="2"/>
        <v>rtdc.l.rtdc.4018:itc</v>
      </c>
      <c r="G96" s="8">
        <f t="shared" si="3"/>
        <v>42667.485115740739</v>
      </c>
    </row>
    <row r="97" spans="1:7" x14ac:dyDescent="0.25">
      <c r="A97" s="8">
        <v>42667.485590277778</v>
      </c>
      <c r="B97" s="21" t="s">
        <v>406</v>
      </c>
      <c r="C97" s="21" t="s">
        <v>497</v>
      </c>
      <c r="D97" s="21">
        <v>1310000</v>
      </c>
      <c r="E97" s="21" t="s">
        <v>315</v>
      </c>
      <c r="F97" s="21" t="str">
        <f t="shared" si="2"/>
        <v>rtdc.l.rtdc.4001:itc</v>
      </c>
      <c r="G97" s="8">
        <f t="shared" si="3"/>
        <v>42667.485590277778</v>
      </c>
    </row>
    <row r="98" spans="1:7" x14ac:dyDescent="0.25">
      <c r="A98" s="8">
        <v>42667.485879629632</v>
      </c>
      <c r="B98" s="21" t="s">
        <v>246</v>
      </c>
      <c r="C98" s="21" t="s">
        <v>498</v>
      </c>
      <c r="D98" s="21">
        <v>900000</v>
      </c>
      <c r="E98" s="21" t="s">
        <v>452</v>
      </c>
      <c r="F98" s="21" t="str">
        <f t="shared" si="2"/>
        <v>rtdc.l.rtdc.4028:itc</v>
      </c>
      <c r="G98" s="8">
        <f t="shared" si="3"/>
        <v>42667.485879629632</v>
      </c>
    </row>
    <row r="99" spans="1:7" x14ac:dyDescent="0.25">
      <c r="A99" s="8">
        <v>42667.487638888888</v>
      </c>
      <c r="B99" s="21" t="s">
        <v>257</v>
      </c>
      <c r="C99" s="21" t="s">
        <v>499</v>
      </c>
      <c r="D99" s="21">
        <v>880000</v>
      </c>
      <c r="E99" s="21" t="s">
        <v>316</v>
      </c>
      <c r="F99" s="21" t="str">
        <f t="shared" si="2"/>
        <v>rtdc.l.rtdc.4012:itc</v>
      </c>
      <c r="G99" s="8">
        <f t="shared" si="3"/>
        <v>42667.487638888888</v>
      </c>
    </row>
    <row r="100" spans="1:7" x14ac:dyDescent="0.25">
      <c r="A100" s="8">
        <v>42667.487939814811</v>
      </c>
      <c r="B100" s="21" t="s">
        <v>260</v>
      </c>
      <c r="C100" s="21" t="s">
        <v>488</v>
      </c>
      <c r="D100" s="21">
        <v>1830000</v>
      </c>
      <c r="E100" s="21" t="s">
        <v>302</v>
      </c>
      <c r="F100" s="21" t="str">
        <f t="shared" si="2"/>
        <v>rtdc.l.rtdc.4029:itc</v>
      </c>
      <c r="G100" s="8">
        <f t="shared" si="3"/>
        <v>42667.487939814811</v>
      </c>
    </row>
    <row r="101" spans="1:7" x14ac:dyDescent="0.25">
      <c r="A101" s="8">
        <v>42667.489108796297</v>
      </c>
      <c r="B101" s="21" t="s">
        <v>260</v>
      </c>
      <c r="C101" s="21" t="s">
        <v>500</v>
      </c>
      <c r="D101" s="21">
        <v>1830000</v>
      </c>
      <c r="E101" s="21" t="s">
        <v>302</v>
      </c>
      <c r="F101" s="21" t="str">
        <f t="shared" si="2"/>
        <v>rtdc.l.rtdc.4029:itc</v>
      </c>
      <c r="G101" s="8">
        <f t="shared" si="3"/>
        <v>42667.489108796297</v>
      </c>
    </row>
    <row r="102" spans="1:7" x14ac:dyDescent="0.25">
      <c r="A102" s="8">
        <v>42667.497407407405</v>
      </c>
      <c r="B102" s="21" t="s">
        <v>266</v>
      </c>
      <c r="C102" s="21" t="s">
        <v>501</v>
      </c>
      <c r="D102" s="21">
        <v>2250000</v>
      </c>
      <c r="E102" s="21" t="s">
        <v>502</v>
      </c>
      <c r="F102" s="21" t="str">
        <f t="shared" si="2"/>
        <v>rtdc.l.rtdc.4053:itc</v>
      </c>
      <c r="G102" s="8">
        <f t="shared" si="3"/>
        <v>42667.497407407405</v>
      </c>
    </row>
    <row r="103" spans="1:7" x14ac:dyDescent="0.25">
      <c r="A103" s="8">
        <v>42667.498553240737</v>
      </c>
      <c r="B103" s="21" t="s">
        <v>274</v>
      </c>
      <c r="C103" s="21" t="s">
        <v>415</v>
      </c>
      <c r="D103" s="21">
        <v>940000</v>
      </c>
      <c r="E103" s="21" t="s">
        <v>489</v>
      </c>
      <c r="F103" s="21" t="str">
        <f t="shared" si="2"/>
        <v>rtdc.l.rtdc.4016:itc</v>
      </c>
      <c r="G103" s="8">
        <f t="shared" si="3"/>
        <v>42667.498553240737</v>
      </c>
    </row>
    <row r="104" spans="1:7" x14ac:dyDescent="0.25">
      <c r="A104" s="8">
        <v>42667.504583333335</v>
      </c>
      <c r="B104" s="21" t="s">
        <v>311</v>
      </c>
      <c r="C104" s="21" t="s">
        <v>503</v>
      </c>
      <c r="D104" s="21">
        <v>2150000</v>
      </c>
      <c r="E104" s="21" t="s">
        <v>486</v>
      </c>
      <c r="F104" s="21" t="str">
        <f t="shared" si="2"/>
        <v>rtdc.l.rtdc.4013:itc</v>
      </c>
      <c r="G104" s="8">
        <f t="shared" si="3"/>
        <v>42667.504583333335</v>
      </c>
    </row>
    <row r="105" spans="1:7" x14ac:dyDescent="0.25">
      <c r="A105" s="8">
        <v>42667.508206018516</v>
      </c>
      <c r="B105" s="21" t="s">
        <v>303</v>
      </c>
      <c r="C105" s="21" t="s">
        <v>504</v>
      </c>
      <c r="D105" s="21">
        <v>2110000</v>
      </c>
      <c r="E105" s="21" t="s">
        <v>505</v>
      </c>
      <c r="F105" s="21" t="str">
        <f t="shared" si="2"/>
        <v>rtdc.l.rtdc.4038:itc</v>
      </c>
      <c r="G105" s="8">
        <f t="shared" si="3"/>
        <v>42667.508206018516</v>
      </c>
    </row>
    <row r="106" spans="1:7" x14ac:dyDescent="0.25">
      <c r="A106" s="8">
        <v>42667.510243055556</v>
      </c>
      <c r="B106" s="21" t="s">
        <v>313</v>
      </c>
      <c r="C106" s="21" t="s">
        <v>506</v>
      </c>
      <c r="D106" s="21">
        <v>900000</v>
      </c>
      <c r="E106" s="21" t="s">
        <v>452</v>
      </c>
      <c r="F106" s="21" t="str">
        <f t="shared" si="2"/>
        <v>rtdc.l.rtdc.4027:itc</v>
      </c>
      <c r="G106" s="8">
        <f t="shared" si="3"/>
        <v>42667.510243055556</v>
      </c>
    </row>
    <row r="107" spans="1:7" x14ac:dyDescent="0.25">
      <c r="A107" s="8">
        <v>42667.513749999998</v>
      </c>
      <c r="B107" s="21" t="s">
        <v>275</v>
      </c>
      <c r="C107" s="21" t="s">
        <v>507</v>
      </c>
      <c r="D107" s="21">
        <v>940000</v>
      </c>
      <c r="E107" s="21" t="s">
        <v>489</v>
      </c>
      <c r="F107" s="21" t="str">
        <f t="shared" si="2"/>
        <v>rtdc.l.rtdc.4015:itc</v>
      </c>
      <c r="G107" s="8">
        <f t="shared" si="3"/>
        <v>42667.513749999998</v>
      </c>
    </row>
    <row r="108" spans="1:7" x14ac:dyDescent="0.25">
      <c r="A108" s="8">
        <v>42667.516238425924</v>
      </c>
      <c r="B108" s="21" t="s">
        <v>348</v>
      </c>
      <c r="C108" s="21" t="s">
        <v>508</v>
      </c>
      <c r="D108" s="21">
        <v>2280000</v>
      </c>
      <c r="E108" s="21" t="s">
        <v>509</v>
      </c>
      <c r="F108" s="21" t="str">
        <f t="shared" si="2"/>
        <v>rtdc.l.rtdc.4022:itc</v>
      </c>
      <c r="G108" s="8">
        <f t="shared" si="3"/>
        <v>42667.516238425924</v>
      </c>
    </row>
    <row r="109" spans="1:7" x14ac:dyDescent="0.25">
      <c r="A109" s="8">
        <v>42667.526574074072</v>
      </c>
      <c r="B109" s="21" t="s">
        <v>241</v>
      </c>
      <c r="C109" s="21" t="s">
        <v>510</v>
      </c>
      <c r="D109" s="21">
        <v>930000</v>
      </c>
      <c r="E109" s="21" t="s">
        <v>317</v>
      </c>
      <c r="F109" s="21" t="str">
        <f t="shared" si="2"/>
        <v>rtdc.l.rtdc.4017:itc</v>
      </c>
      <c r="G109" s="8">
        <f t="shared" si="3"/>
        <v>42667.526574074072</v>
      </c>
    </row>
    <row r="110" spans="1:7" x14ac:dyDescent="0.25">
      <c r="A110" s="8">
        <v>42667.526701388888</v>
      </c>
      <c r="B110" s="21" t="s">
        <v>246</v>
      </c>
      <c r="C110" s="21" t="s">
        <v>416</v>
      </c>
      <c r="D110" s="21">
        <v>900000</v>
      </c>
      <c r="E110" s="21" t="s">
        <v>452</v>
      </c>
      <c r="F110" s="21" t="str">
        <f t="shared" si="2"/>
        <v>rtdc.l.rtdc.4028:itc</v>
      </c>
      <c r="G110" s="8">
        <f t="shared" si="3"/>
        <v>42667.526701388888</v>
      </c>
    </row>
    <row r="111" spans="1:7" x14ac:dyDescent="0.25">
      <c r="A111" s="8">
        <v>42667.5312962963</v>
      </c>
      <c r="B111" s="21" t="s">
        <v>331</v>
      </c>
      <c r="C111" s="21" t="s">
        <v>511</v>
      </c>
      <c r="D111" s="21">
        <v>880000</v>
      </c>
      <c r="E111" s="21" t="s">
        <v>316</v>
      </c>
      <c r="F111" s="21" t="str">
        <f t="shared" si="2"/>
        <v>rtdc.l.rtdc.4011:itc</v>
      </c>
      <c r="G111" s="8">
        <f t="shared" si="3"/>
        <v>42667.5312962963</v>
      </c>
    </row>
    <row r="112" spans="1:7" x14ac:dyDescent="0.25">
      <c r="A112" s="8">
        <v>42667.53229166667</v>
      </c>
      <c r="B112" s="21" t="s">
        <v>265</v>
      </c>
      <c r="C112" s="21" t="s">
        <v>512</v>
      </c>
      <c r="D112" s="21">
        <v>2250000</v>
      </c>
      <c r="E112" s="21" t="s">
        <v>502</v>
      </c>
      <c r="F112" s="21" t="str">
        <f t="shared" si="2"/>
        <v>rtdc.l.rtdc.4054:itc</v>
      </c>
      <c r="G112" s="8">
        <f t="shared" si="3"/>
        <v>42667.53229166667</v>
      </c>
    </row>
    <row r="113" spans="1:7" x14ac:dyDescent="0.25">
      <c r="A113" s="8">
        <v>42667.542743055557</v>
      </c>
      <c r="B113" s="21" t="s">
        <v>312</v>
      </c>
      <c r="C113" s="21" t="s">
        <v>513</v>
      </c>
      <c r="D113" s="21">
        <v>2150000</v>
      </c>
      <c r="E113" s="21" t="s">
        <v>486</v>
      </c>
      <c r="F113" s="21" t="str">
        <f t="shared" si="2"/>
        <v>rtdc.l.rtdc.4014:itc</v>
      </c>
      <c r="G113" s="8">
        <f t="shared" si="3"/>
        <v>42667.542743055557</v>
      </c>
    </row>
    <row r="114" spans="1:7" x14ac:dyDescent="0.25">
      <c r="A114" s="8">
        <v>42667.546354166669</v>
      </c>
      <c r="B114" s="21" t="s">
        <v>300</v>
      </c>
      <c r="C114" s="21" t="s">
        <v>514</v>
      </c>
      <c r="D114" s="21">
        <v>2110000</v>
      </c>
      <c r="E114" s="21" t="s">
        <v>505</v>
      </c>
      <c r="F114" s="21" t="str">
        <f t="shared" si="2"/>
        <v>rtdc.l.rtdc.4037:itc</v>
      </c>
      <c r="G114" s="8">
        <f t="shared" si="3"/>
        <v>42667.546354166669</v>
      </c>
    </row>
    <row r="115" spans="1:7" x14ac:dyDescent="0.25">
      <c r="A115" s="8">
        <v>42667.548043981478</v>
      </c>
      <c r="B115" s="21" t="s">
        <v>313</v>
      </c>
      <c r="C115" s="21" t="s">
        <v>515</v>
      </c>
      <c r="D115" s="21">
        <v>1770000</v>
      </c>
      <c r="E115" s="21" t="s">
        <v>334</v>
      </c>
      <c r="F115" s="21" t="str">
        <f t="shared" si="2"/>
        <v>rtdc.l.rtdc.4027:itc</v>
      </c>
      <c r="G115" s="8">
        <f t="shared" si="3"/>
        <v>42667.548043981478</v>
      </c>
    </row>
    <row r="116" spans="1:7" x14ac:dyDescent="0.25">
      <c r="A116" s="8">
        <v>42667.549722222226</v>
      </c>
      <c r="B116" s="21" t="s">
        <v>274</v>
      </c>
      <c r="C116" s="21" t="s">
        <v>516</v>
      </c>
      <c r="D116" s="21">
        <v>940000</v>
      </c>
      <c r="E116" s="21" t="s">
        <v>489</v>
      </c>
      <c r="F116" s="21" t="str">
        <f t="shared" si="2"/>
        <v>rtdc.l.rtdc.4016:itc</v>
      </c>
      <c r="G116" s="8">
        <f t="shared" si="3"/>
        <v>42667.549722222226</v>
      </c>
    </row>
    <row r="117" spans="1:7" x14ac:dyDescent="0.25">
      <c r="A117" s="8">
        <v>42667.552997685183</v>
      </c>
      <c r="B117" s="21" t="s">
        <v>345</v>
      </c>
      <c r="C117" s="21" t="s">
        <v>517</v>
      </c>
      <c r="D117" s="21">
        <v>2280000</v>
      </c>
      <c r="E117" s="21" t="s">
        <v>509</v>
      </c>
      <c r="F117" s="21" t="str">
        <f t="shared" si="2"/>
        <v>rtdc.l.rtdc.4021:itc</v>
      </c>
      <c r="G117" s="8">
        <f t="shared" si="3"/>
        <v>42667.552997685183</v>
      </c>
    </row>
    <row r="118" spans="1:7" x14ac:dyDescent="0.25">
      <c r="A118" s="8">
        <v>42667.56013888889</v>
      </c>
      <c r="B118" s="21" t="s">
        <v>188</v>
      </c>
      <c r="C118" s="21" t="s">
        <v>419</v>
      </c>
      <c r="D118" s="21">
        <v>930000</v>
      </c>
      <c r="E118" s="21" t="s">
        <v>317</v>
      </c>
      <c r="F118" s="21" t="str">
        <f t="shared" si="2"/>
        <v>rtdc.l.rtdc.4018:itc</v>
      </c>
      <c r="G118" s="8">
        <f t="shared" si="3"/>
        <v>42667.56013888889</v>
      </c>
    </row>
    <row r="119" spans="1:7" x14ac:dyDescent="0.25">
      <c r="A119" s="8">
        <v>42667.56108796296</v>
      </c>
      <c r="B119" s="21" t="s">
        <v>257</v>
      </c>
      <c r="C119" s="21" t="s">
        <v>518</v>
      </c>
      <c r="D119" s="21">
        <v>880000</v>
      </c>
      <c r="E119" s="21" t="s">
        <v>316</v>
      </c>
      <c r="F119" s="21" t="str">
        <f t="shared" si="2"/>
        <v>rtdc.l.rtdc.4012:itc</v>
      </c>
      <c r="G119" s="8">
        <f t="shared" si="3"/>
        <v>42667.56108796296</v>
      </c>
    </row>
    <row r="120" spans="1:7" x14ac:dyDescent="0.25">
      <c r="A120" s="8">
        <v>42667.568483796298</v>
      </c>
      <c r="B120" s="21" t="s">
        <v>246</v>
      </c>
      <c r="C120" s="21" t="s">
        <v>418</v>
      </c>
      <c r="D120" s="21">
        <v>1770000</v>
      </c>
      <c r="E120" s="21" t="s">
        <v>334</v>
      </c>
      <c r="F120" s="21" t="str">
        <f t="shared" si="2"/>
        <v>rtdc.l.rtdc.4028:itc</v>
      </c>
      <c r="G120" s="8">
        <f t="shared" si="3"/>
        <v>42667.568483796298</v>
      </c>
    </row>
    <row r="121" spans="1:7" x14ac:dyDescent="0.25">
      <c r="A121" s="8">
        <v>42667.571666666663</v>
      </c>
      <c r="B121" s="21" t="s">
        <v>266</v>
      </c>
      <c r="C121" s="21" t="s">
        <v>519</v>
      </c>
      <c r="D121" s="21">
        <v>1140000</v>
      </c>
      <c r="E121" s="21" t="s">
        <v>294</v>
      </c>
      <c r="F121" s="21" t="str">
        <f t="shared" si="2"/>
        <v>rtdc.l.rtdc.4053:itc</v>
      </c>
      <c r="G121" s="8">
        <f t="shared" si="3"/>
        <v>42667.571666666663</v>
      </c>
    </row>
    <row r="122" spans="1:7" x14ac:dyDescent="0.25">
      <c r="A122" s="8">
        <v>42667.575092592589</v>
      </c>
      <c r="B122" s="26" t="s">
        <v>311</v>
      </c>
      <c r="C122" s="21" t="s">
        <v>520</v>
      </c>
      <c r="D122" s="21">
        <v>2150000</v>
      </c>
      <c r="E122" s="21" t="s">
        <v>486</v>
      </c>
      <c r="F122" s="21" t="str">
        <f t="shared" si="2"/>
        <v>rtdc.l.rtdc.4013:itc</v>
      </c>
      <c r="G122" s="8">
        <f t="shared" si="3"/>
        <v>42667.575092592589</v>
      </c>
    </row>
    <row r="123" spans="1:7" x14ac:dyDescent="0.25">
      <c r="A123" s="8">
        <v>42667.583009259259</v>
      </c>
      <c r="B123" s="21" t="s">
        <v>303</v>
      </c>
      <c r="C123" s="21" t="s">
        <v>521</v>
      </c>
      <c r="D123" s="21">
        <v>1540000</v>
      </c>
      <c r="E123" s="21" t="s">
        <v>522</v>
      </c>
      <c r="F123" s="21" t="str">
        <f t="shared" si="2"/>
        <v>rtdc.l.rtdc.4038:itc</v>
      </c>
      <c r="G123" s="8">
        <f t="shared" si="3"/>
        <v>42667.583009259259</v>
      </c>
    </row>
    <row r="124" spans="1:7" x14ac:dyDescent="0.25">
      <c r="A124" s="8">
        <v>42667.584780092591</v>
      </c>
      <c r="B124" s="21" t="s">
        <v>275</v>
      </c>
      <c r="C124" s="21" t="s">
        <v>523</v>
      </c>
      <c r="D124" s="21">
        <v>940000</v>
      </c>
      <c r="E124" s="21" t="s">
        <v>489</v>
      </c>
      <c r="F124" s="21" t="str">
        <f t="shared" si="2"/>
        <v>rtdc.l.rtdc.4015:itc</v>
      </c>
      <c r="G124" s="8">
        <f t="shared" si="3"/>
        <v>42667.584780092591</v>
      </c>
    </row>
    <row r="125" spans="1:7" x14ac:dyDescent="0.25">
      <c r="A125" s="8">
        <v>42667.589259259257</v>
      </c>
      <c r="B125" s="21" t="s">
        <v>348</v>
      </c>
      <c r="C125" s="21" t="s">
        <v>524</v>
      </c>
      <c r="D125" s="21">
        <v>2280000</v>
      </c>
      <c r="E125" s="21" t="s">
        <v>509</v>
      </c>
      <c r="F125" s="21" t="str">
        <f t="shared" si="2"/>
        <v>rtdc.l.rtdc.4022:itc</v>
      </c>
      <c r="G125" s="8">
        <f t="shared" si="3"/>
        <v>42667.589259259257</v>
      </c>
    </row>
    <row r="126" spans="1:7" x14ac:dyDescent="0.25">
      <c r="A126" s="8">
        <v>42667.592974537038</v>
      </c>
      <c r="B126" s="21" t="s">
        <v>313</v>
      </c>
      <c r="C126" s="21" t="s">
        <v>420</v>
      </c>
      <c r="D126" s="21">
        <v>1770000</v>
      </c>
      <c r="E126" s="21" t="s">
        <v>334</v>
      </c>
      <c r="F126" s="21" t="str">
        <f t="shared" si="2"/>
        <v>rtdc.l.rtdc.4027:itc</v>
      </c>
      <c r="G126" s="8">
        <f t="shared" si="3"/>
        <v>42667.592974537038</v>
      </c>
    </row>
    <row r="127" spans="1:7" x14ac:dyDescent="0.25">
      <c r="A127" s="8">
        <v>42667.598715277774</v>
      </c>
      <c r="B127" s="21" t="s">
        <v>241</v>
      </c>
      <c r="C127" s="21" t="s">
        <v>525</v>
      </c>
      <c r="D127" s="21">
        <v>930000</v>
      </c>
      <c r="E127" s="21" t="s">
        <v>317</v>
      </c>
      <c r="F127" s="21" t="str">
        <f t="shared" si="2"/>
        <v>rtdc.l.rtdc.4017:itc</v>
      </c>
      <c r="G127" s="8">
        <f t="shared" si="3"/>
        <v>42667.598715277774</v>
      </c>
    </row>
    <row r="128" spans="1:7" x14ac:dyDescent="0.25">
      <c r="A128" s="8">
        <v>42667.60083333333</v>
      </c>
      <c r="B128" s="21" t="s">
        <v>331</v>
      </c>
      <c r="C128" s="21" t="s">
        <v>526</v>
      </c>
      <c r="D128" s="21">
        <v>880000</v>
      </c>
      <c r="E128" s="21" t="s">
        <v>316</v>
      </c>
      <c r="F128" s="21" t="str">
        <f t="shared" si="2"/>
        <v>rtdc.l.rtdc.4011:itc</v>
      </c>
      <c r="G128" s="8">
        <f t="shared" si="3"/>
        <v>42667.60083333333</v>
      </c>
    </row>
    <row r="129" spans="1:7" x14ac:dyDescent="0.25">
      <c r="A129" s="8">
        <v>42667.604131944441</v>
      </c>
      <c r="B129" s="21" t="s">
        <v>265</v>
      </c>
      <c r="C129" s="21" t="s">
        <v>527</v>
      </c>
      <c r="D129" s="21">
        <v>1140000</v>
      </c>
      <c r="E129" s="21" t="s">
        <v>294</v>
      </c>
      <c r="F129" s="21" t="str">
        <f t="shared" si="2"/>
        <v>rtdc.l.rtdc.4054:itc</v>
      </c>
      <c r="G129" s="8">
        <f t="shared" si="3"/>
        <v>42667.604131944441</v>
      </c>
    </row>
    <row r="130" spans="1:7" x14ac:dyDescent="0.25">
      <c r="A130" s="8">
        <v>42667.609178240738</v>
      </c>
      <c r="B130" s="21" t="s">
        <v>246</v>
      </c>
      <c r="C130" s="21" t="s">
        <v>528</v>
      </c>
      <c r="D130" s="21">
        <v>1770000</v>
      </c>
      <c r="E130" s="21" t="s">
        <v>334</v>
      </c>
      <c r="F130" s="21" t="str">
        <f t="shared" ref="F130:F193" si="4">B130</f>
        <v>rtdc.l.rtdc.4028:itc</v>
      </c>
      <c r="G130" s="8">
        <f t="shared" ref="G130:G193" si="5">A130</f>
        <v>42667.609178240738</v>
      </c>
    </row>
    <row r="131" spans="1:7" x14ac:dyDescent="0.25">
      <c r="A131" s="8">
        <v>42667.611990740741</v>
      </c>
      <c r="B131" s="21" t="s">
        <v>312</v>
      </c>
      <c r="C131" s="21" t="s">
        <v>529</v>
      </c>
      <c r="D131" s="21">
        <v>1280000</v>
      </c>
      <c r="E131" s="21" t="s">
        <v>333</v>
      </c>
      <c r="F131" s="21" t="str">
        <f t="shared" si="4"/>
        <v>rtdc.l.rtdc.4014:itc</v>
      </c>
      <c r="G131" s="8">
        <f t="shared" si="5"/>
        <v>42667.611990740741</v>
      </c>
    </row>
    <row r="132" spans="1:7" x14ac:dyDescent="0.25">
      <c r="A132" s="8">
        <v>42667.619467592594</v>
      </c>
      <c r="B132" s="21" t="s">
        <v>300</v>
      </c>
      <c r="C132" s="21" t="s">
        <v>530</v>
      </c>
      <c r="D132" s="21">
        <v>1540000</v>
      </c>
      <c r="E132" s="21" t="s">
        <v>522</v>
      </c>
      <c r="F132" s="21" t="str">
        <f t="shared" si="4"/>
        <v>rtdc.l.rtdc.4037:itc</v>
      </c>
      <c r="G132" s="8">
        <f t="shared" si="5"/>
        <v>42667.619467592594</v>
      </c>
    </row>
    <row r="133" spans="1:7" x14ac:dyDescent="0.25">
      <c r="A133" s="8">
        <v>42667.621759259258</v>
      </c>
      <c r="B133" s="21" t="s">
        <v>274</v>
      </c>
      <c r="C133" s="21" t="s">
        <v>531</v>
      </c>
      <c r="D133" s="21">
        <v>940000</v>
      </c>
      <c r="E133" s="21" t="s">
        <v>489</v>
      </c>
      <c r="F133" s="21" t="str">
        <f t="shared" si="4"/>
        <v>rtdc.l.rtdc.4016:itc</v>
      </c>
      <c r="G133" s="8">
        <f t="shared" si="5"/>
        <v>42667.621759259258</v>
      </c>
    </row>
    <row r="134" spans="1:7" x14ac:dyDescent="0.25">
      <c r="A134" s="8">
        <v>42667.622534722221</v>
      </c>
      <c r="B134" s="21" t="s">
        <v>345</v>
      </c>
      <c r="C134" s="21" t="s">
        <v>421</v>
      </c>
      <c r="D134" s="21">
        <v>2280000</v>
      </c>
      <c r="E134" s="21" t="s">
        <v>509</v>
      </c>
      <c r="F134" s="21" t="str">
        <f t="shared" si="4"/>
        <v>rtdc.l.rtdc.4021:itc</v>
      </c>
      <c r="G134" s="8">
        <f t="shared" si="5"/>
        <v>42667.622534722221</v>
      </c>
    </row>
    <row r="135" spans="1:7" x14ac:dyDescent="0.25">
      <c r="A135" s="8">
        <v>42667.629930555559</v>
      </c>
      <c r="B135" s="21" t="s">
        <v>313</v>
      </c>
      <c r="C135" s="21" t="s">
        <v>532</v>
      </c>
      <c r="D135" s="21">
        <v>1770000</v>
      </c>
      <c r="E135" s="21" t="s">
        <v>334</v>
      </c>
      <c r="F135" s="21" t="str">
        <f t="shared" si="4"/>
        <v>rtdc.l.rtdc.4027:itc</v>
      </c>
      <c r="G135" s="8">
        <f t="shared" si="5"/>
        <v>42667.629930555559</v>
      </c>
    </row>
    <row r="136" spans="1:7" x14ac:dyDescent="0.25">
      <c r="A136" s="8">
        <v>42667.632106481484</v>
      </c>
      <c r="B136" s="21" t="s">
        <v>257</v>
      </c>
      <c r="C136" s="21" t="s">
        <v>533</v>
      </c>
      <c r="D136" s="21">
        <v>880000</v>
      </c>
      <c r="E136" s="21" t="s">
        <v>316</v>
      </c>
      <c r="F136" s="21" t="str">
        <f t="shared" si="4"/>
        <v>rtdc.l.rtdc.4012:itc</v>
      </c>
      <c r="G136" s="8">
        <f t="shared" si="5"/>
        <v>42667.632106481484</v>
      </c>
    </row>
    <row r="137" spans="1:7" x14ac:dyDescent="0.25">
      <c r="A137" s="8">
        <v>42667.633692129632</v>
      </c>
      <c r="B137" s="21" t="s">
        <v>188</v>
      </c>
      <c r="C137" s="21" t="s">
        <v>534</v>
      </c>
      <c r="D137" s="21">
        <v>2150000</v>
      </c>
      <c r="E137" s="21" t="s">
        <v>486</v>
      </c>
      <c r="F137" s="21" t="str">
        <f t="shared" si="4"/>
        <v>rtdc.l.rtdc.4018:itc</v>
      </c>
      <c r="G137" s="8">
        <f t="shared" si="5"/>
        <v>42667.633692129632</v>
      </c>
    </row>
    <row r="138" spans="1:7" x14ac:dyDescent="0.25">
      <c r="A138" s="8">
        <v>42667.642858796295</v>
      </c>
      <c r="B138" s="21" t="s">
        <v>266</v>
      </c>
      <c r="C138" s="21" t="s">
        <v>535</v>
      </c>
      <c r="D138" s="21">
        <v>1140000</v>
      </c>
      <c r="E138" s="21" t="s">
        <v>294</v>
      </c>
      <c r="F138" s="21" t="str">
        <f t="shared" si="4"/>
        <v>rtdc.l.rtdc.4053:itc</v>
      </c>
      <c r="G138" s="8">
        <f t="shared" si="5"/>
        <v>42667.642858796295</v>
      </c>
    </row>
    <row r="139" spans="1:7" x14ac:dyDescent="0.25">
      <c r="A139" s="8">
        <v>42667.643101851849</v>
      </c>
      <c r="B139" s="21" t="s">
        <v>311</v>
      </c>
      <c r="C139" s="21" t="s">
        <v>536</v>
      </c>
      <c r="D139" s="21">
        <v>1280000</v>
      </c>
      <c r="E139" s="21" t="s">
        <v>333</v>
      </c>
      <c r="F139" s="21" t="str">
        <f t="shared" si="4"/>
        <v>rtdc.l.rtdc.4013:itc</v>
      </c>
      <c r="G139" s="8">
        <f t="shared" si="5"/>
        <v>42667.643101851849</v>
      </c>
    </row>
    <row r="140" spans="1:7" x14ac:dyDescent="0.25">
      <c r="A140" s="8">
        <v>42667.651342592595</v>
      </c>
      <c r="B140" s="21" t="s">
        <v>246</v>
      </c>
      <c r="C140" s="21" t="s">
        <v>537</v>
      </c>
      <c r="D140" s="21">
        <v>1770000</v>
      </c>
      <c r="E140" s="21" t="s">
        <v>334</v>
      </c>
      <c r="F140" s="21" t="str">
        <f t="shared" si="4"/>
        <v>rtdc.l.rtdc.4028:itc</v>
      </c>
      <c r="G140" s="8">
        <f t="shared" si="5"/>
        <v>42667.651342592595</v>
      </c>
    </row>
    <row r="141" spans="1:7" x14ac:dyDescent="0.25">
      <c r="A141" s="8">
        <v>42667.65284722222</v>
      </c>
      <c r="B141" s="21" t="s">
        <v>193</v>
      </c>
      <c r="C141" s="21" t="s">
        <v>538</v>
      </c>
      <c r="D141" s="21">
        <v>2370000</v>
      </c>
      <c r="E141" s="21" t="s">
        <v>267</v>
      </c>
      <c r="F141" s="21" t="str">
        <f t="shared" si="4"/>
        <v>rtdc.l.rtdc.4010:itc</v>
      </c>
      <c r="G141" s="8">
        <f t="shared" si="5"/>
        <v>42667.65284722222</v>
      </c>
    </row>
    <row r="142" spans="1:7" x14ac:dyDescent="0.25">
      <c r="A142" s="8">
        <v>42667.653078703705</v>
      </c>
      <c r="B142" s="21" t="s">
        <v>303</v>
      </c>
      <c r="C142" s="21" t="s">
        <v>539</v>
      </c>
      <c r="D142" s="21">
        <v>1540000</v>
      </c>
      <c r="E142" s="21" t="s">
        <v>522</v>
      </c>
      <c r="F142" s="21" t="str">
        <f t="shared" si="4"/>
        <v>rtdc.l.rtdc.4038:itc</v>
      </c>
      <c r="G142" s="8">
        <f t="shared" si="5"/>
        <v>42667.653078703705</v>
      </c>
    </row>
    <row r="143" spans="1:7" x14ac:dyDescent="0.25">
      <c r="A143" s="8">
        <v>42667.654641203706</v>
      </c>
      <c r="B143" s="21" t="s">
        <v>193</v>
      </c>
      <c r="C143" s="21" t="s">
        <v>538</v>
      </c>
      <c r="D143" s="21">
        <v>2370000</v>
      </c>
      <c r="E143" s="21" t="s">
        <v>267</v>
      </c>
      <c r="F143" s="21" t="str">
        <f t="shared" si="4"/>
        <v>rtdc.l.rtdc.4010:itc</v>
      </c>
      <c r="G143" s="8">
        <f t="shared" si="5"/>
        <v>42667.654641203706</v>
      </c>
    </row>
    <row r="144" spans="1:7" x14ac:dyDescent="0.25">
      <c r="A144" s="8">
        <v>42667.655046296299</v>
      </c>
      <c r="B144" s="21" t="s">
        <v>275</v>
      </c>
      <c r="C144" s="21" t="s">
        <v>422</v>
      </c>
      <c r="D144" s="21">
        <v>940000</v>
      </c>
      <c r="E144" s="21" t="s">
        <v>489</v>
      </c>
      <c r="F144" s="21" t="str">
        <f t="shared" si="4"/>
        <v>rtdc.l.rtdc.4015:itc</v>
      </c>
      <c r="G144" s="8">
        <f t="shared" si="5"/>
        <v>42667.655046296299</v>
      </c>
    </row>
    <row r="145" spans="1:7" x14ac:dyDescent="0.25">
      <c r="A145" s="8">
        <v>42667.662442129629</v>
      </c>
      <c r="B145" s="21" t="s">
        <v>194</v>
      </c>
      <c r="C145" s="21" t="s">
        <v>540</v>
      </c>
      <c r="D145" s="21">
        <v>2370000</v>
      </c>
      <c r="E145" s="21" t="s">
        <v>267</v>
      </c>
      <c r="F145" s="21" t="str">
        <f t="shared" si="4"/>
        <v>rtdc.l.rtdc.4009:itc</v>
      </c>
      <c r="G145" s="8">
        <f t="shared" si="5"/>
        <v>42667.662442129629</v>
      </c>
    </row>
    <row r="146" spans="1:7" x14ac:dyDescent="0.25">
      <c r="A146" s="8">
        <v>42667.663287037038</v>
      </c>
      <c r="B146" s="21" t="s">
        <v>348</v>
      </c>
      <c r="C146" s="21" t="s">
        <v>423</v>
      </c>
      <c r="D146" s="21">
        <v>2280000</v>
      </c>
      <c r="E146" s="21" t="s">
        <v>509</v>
      </c>
      <c r="F146" s="21" t="str">
        <f t="shared" si="4"/>
        <v>rtdc.l.rtdc.4022:itc</v>
      </c>
      <c r="G146" s="8">
        <f t="shared" si="5"/>
        <v>42667.663287037038</v>
      </c>
    </row>
    <row r="147" spans="1:7" x14ac:dyDescent="0.25">
      <c r="A147" s="8">
        <v>42667.665034722224</v>
      </c>
      <c r="B147" s="21" t="s">
        <v>241</v>
      </c>
      <c r="C147" s="21" t="s">
        <v>541</v>
      </c>
      <c r="D147" s="21">
        <v>2150000</v>
      </c>
      <c r="E147" s="21" t="s">
        <v>486</v>
      </c>
      <c r="F147" s="21" t="str">
        <f t="shared" si="4"/>
        <v>rtdc.l.rtdc.4017:itc</v>
      </c>
      <c r="G147" s="8">
        <f t="shared" si="5"/>
        <v>42667.665034722224</v>
      </c>
    </row>
    <row r="148" spans="1:7" x14ac:dyDescent="0.25">
      <c r="A148" s="8">
        <v>42667.673379629632</v>
      </c>
      <c r="B148" s="21" t="s">
        <v>331</v>
      </c>
      <c r="C148" s="21" t="s">
        <v>542</v>
      </c>
      <c r="D148" s="21">
        <v>880000</v>
      </c>
      <c r="E148" s="21" t="s">
        <v>316</v>
      </c>
      <c r="F148" s="21" t="str">
        <f t="shared" si="4"/>
        <v>rtdc.l.rtdc.4011:itc</v>
      </c>
      <c r="G148" s="8">
        <f t="shared" si="5"/>
        <v>42667.673379629632</v>
      </c>
    </row>
    <row r="149" spans="1:7" x14ac:dyDescent="0.25">
      <c r="A149" s="8">
        <v>42667.674097222225</v>
      </c>
      <c r="B149" s="21" t="s">
        <v>193</v>
      </c>
      <c r="C149" s="21" t="s">
        <v>543</v>
      </c>
      <c r="D149" s="21">
        <v>2370000</v>
      </c>
      <c r="E149" s="21" t="s">
        <v>267</v>
      </c>
      <c r="F149" s="21" t="str">
        <f t="shared" si="4"/>
        <v>rtdc.l.rtdc.4010:itc</v>
      </c>
      <c r="G149" s="8">
        <f t="shared" si="5"/>
        <v>42667.674097222225</v>
      </c>
    </row>
    <row r="150" spans="1:7" x14ac:dyDescent="0.25">
      <c r="A150" s="8">
        <v>42667.675196759257</v>
      </c>
      <c r="B150" s="21" t="s">
        <v>265</v>
      </c>
      <c r="C150" s="21" t="s">
        <v>544</v>
      </c>
      <c r="D150" s="21">
        <v>1140000</v>
      </c>
      <c r="E150" s="21" t="s">
        <v>294</v>
      </c>
      <c r="F150" s="21" t="str">
        <f t="shared" si="4"/>
        <v>rtdc.l.rtdc.4054:itc</v>
      </c>
      <c r="G150" s="8">
        <f t="shared" si="5"/>
        <v>42667.675196759257</v>
      </c>
    </row>
    <row r="151" spans="1:7" x14ac:dyDescent="0.25">
      <c r="A151" s="8">
        <v>42667.67564814815</v>
      </c>
      <c r="B151" s="21" t="s">
        <v>313</v>
      </c>
      <c r="C151" s="21" t="s">
        <v>545</v>
      </c>
      <c r="D151" s="21">
        <v>1770000</v>
      </c>
      <c r="E151" s="21" t="s">
        <v>334</v>
      </c>
      <c r="F151" s="21" t="str">
        <f t="shared" si="4"/>
        <v>rtdc.l.rtdc.4027:itc</v>
      </c>
      <c r="G151" s="8">
        <f t="shared" si="5"/>
        <v>42667.67564814815</v>
      </c>
    </row>
    <row r="152" spans="1:7" x14ac:dyDescent="0.25">
      <c r="A152" s="8">
        <v>42667.683854166666</v>
      </c>
      <c r="B152" s="21" t="s">
        <v>312</v>
      </c>
      <c r="C152" s="21" t="s">
        <v>546</v>
      </c>
      <c r="D152" s="21">
        <v>1280000</v>
      </c>
      <c r="E152" s="21" t="s">
        <v>333</v>
      </c>
      <c r="F152" s="21" t="str">
        <f t="shared" si="4"/>
        <v>rtdc.l.rtdc.4014:itc</v>
      </c>
      <c r="G152" s="8">
        <f t="shared" si="5"/>
        <v>42667.683854166666</v>
      </c>
    </row>
    <row r="153" spans="1:7" x14ac:dyDescent="0.25">
      <c r="A153" s="8">
        <v>42667.69158564815</v>
      </c>
      <c r="B153" s="21" t="s">
        <v>300</v>
      </c>
      <c r="C153" s="21" t="s">
        <v>547</v>
      </c>
      <c r="D153" s="21">
        <v>1540000</v>
      </c>
      <c r="E153" s="21" t="s">
        <v>522</v>
      </c>
      <c r="F153" s="21" t="str">
        <f t="shared" si="4"/>
        <v>rtdc.l.rtdc.4037:itc</v>
      </c>
      <c r="G153" s="8">
        <f t="shared" si="5"/>
        <v>42667.69158564815</v>
      </c>
    </row>
    <row r="154" spans="1:7" x14ac:dyDescent="0.25">
      <c r="A154" s="8">
        <v>42667.693078703705</v>
      </c>
      <c r="B154" s="21" t="s">
        <v>246</v>
      </c>
      <c r="C154" s="21" t="s">
        <v>548</v>
      </c>
      <c r="D154" s="21">
        <v>1770000</v>
      </c>
      <c r="E154" s="21" t="s">
        <v>334</v>
      </c>
      <c r="F154" s="21" t="str">
        <f t="shared" si="4"/>
        <v>rtdc.l.rtdc.4028:itc</v>
      </c>
      <c r="G154" s="8">
        <f t="shared" si="5"/>
        <v>42667.693078703705</v>
      </c>
    </row>
    <row r="155" spans="1:7" x14ac:dyDescent="0.25">
      <c r="A155" s="8">
        <v>42667.694097222222</v>
      </c>
      <c r="B155" s="21" t="s">
        <v>274</v>
      </c>
      <c r="C155" s="21" t="s">
        <v>549</v>
      </c>
      <c r="D155" s="21">
        <v>940000</v>
      </c>
      <c r="E155" s="21" t="s">
        <v>489</v>
      </c>
      <c r="F155" s="21" t="str">
        <f t="shared" si="4"/>
        <v>rtdc.l.rtdc.4016:itc</v>
      </c>
      <c r="G155" s="8">
        <f t="shared" si="5"/>
        <v>42667.694097222222</v>
      </c>
    </row>
    <row r="156" spans="1:7" x14ac:dyDescent="0.25">
      <c r="A156" s="8">
        <v>42667.697025462963</v>
      </c>
      <c r="B156" s="21" t="s">
        <v>194</v>
      </c>
      <c r="C156" s="21" t="s">
        <v>550</v>
      </c>
      <c r="D156" s="21">
        <v>2370000</v>
      </c>
      <c r="E156" s="21" t="s">
        <v>267</v>
      </c>
      <c r="F156" s="21" t="str">
        <f t="shared" si="4"/>
        <v>rtdc.l.rtdc.4009:itc</v>
      </c>
      <c r="G156" s="8">
        <f t="shared" si="5"/>
        <v>42667.697025462963</v>
      </c>
    </row>
    <row r="157" spans="1:7" x14ac:dyDescent="0.25">
      <c r="A157" s="8">
        <v>42667.701840277776</v>
      </c>
      <c r="B157" s="21" t="s">
        <v>345</v>
      </c>
      <c r="C157" s="21" t="s">
        <v>551</v>
      </c>
      <c r="D157" s="21">
        <v>2280000</v>
      </c>
      <c r="E157" s="21" t="s">
        <v>509</v>
      </c>
      <c r="F157" s="21" t="str">
        <f t="shared" si="4"/>
        <v>rtdc.l.rtdc.4021:itc</v>
      </c>
      <c r="G157" s="8">
        <f t="shared" si="5"/>
        <v>42667.701840277776</v>
      </c>
    </row>
    <row r="158" spans="1:7" x14ac:dyDescent="0.25">
      <c r="A158" s="8">
        <v>42667.704560185186</v>
      </c>
      <c r="B158" s="21" t="s">
        <v>188</v>
      </c>
      <c r="C158" s="21" t="s">
        <v>552</v>
      </c>
      <c r="D158" s="21">
        <v>930000</v>
      </c>
      <c r="E158" s="21" t="s">
        <v>317</v>
      </c>
      <c r="F158" s="21" t="str">
        <f t="shared" si="4"/>
        <v>rtdc.l.rtdc.4018:itc</v>
      </c>
      <c r="G158" s="8">
        <f t="shared" si="5"/>
        <v>42667.704560185186</v>
      </c>
    </row>
    <row r="159" spans="1:7" x14ac:dyDescent="0.25">
      <c r="A159" s="8">
        <v>42667.704618055555</v>
      </c>
      <c r="B159" s="21" t="s">
        <v>257</v>
      </c>
      <c r="C159" s="21" t="s">
        <v>553</v>
      </c>
      <c r="D159" s="21">
        <v>880000</v>
      </c>
      <c r="E159" s="21" t="s">
        <v>316</v>
      </c>
      <c r="F159" s="21" t="str">
        <f t="shared" si="4"/>
        <v>rtdc.l.rtdc.4012:itc</v>
      </c>
      <c r="G159" s="8">
        <f t="shared" si="5"/>
        <v>42667.704618055555</v>
      </c>
    </row>
    <row r="160" spans="1:7" x14ac:dyDescent="0.25">
      <c r="A160" s="8">
        <v>42667.707708333335</v>
      </c>
      <c r="B160" s="21" t="s">
        <v>313</v>
      </c>
      <c r="C160" s="21" t="s">
        <v>554</v>
      </c>
      <c r="D160" s="21">
        <v>1770000</v>
      </c>
      <c r="E160" s="21" t="s">
        <v>334</v>
      </c>
      <c r="F160" s="21" t="str">
        <f t="shared" si="4"/>
        <v>rtdc.l.rtdc.4027:itc</v>
      </c>
      <c r="G160" s="8">
        <f t="shared" si="5"/>
        <v>42667.707708333335</v>
      </c>
    </row>
    <row r="161" spans="1:7" x14ac:dyDescent="0.25">
      <c r="A161" s="8">
        <v>42667.714212962965</v>
      </c>
      <c r="B161" s="21" t="s">
        <v>193</v>
      </c>
      <c r="C161" s="21" t="s">
        <v>555</v>
      </c>
      <c r="D161" s="21">
        <v>2370000</v>
      </c>
      <c r="E161" s="21" t="s">
        <v>267</v>
      </c>
      <c r="F161" s="21" t="str">
        <f t="shared" si="4"/>
        <v>rtdc.l.rtdc.4010:itc</v>
      </c>
      <c r="G161" s="8">
        <f t="shared" si="5"/>
        <v>42667.714212962965</v>
      </c>
    </row>
    <row r="162" spans="1:7" x14ac:dyDescent="0.25">
      <c r="A162" s="8">
        <v>42667.716122685182</v>
      </c>
      <c r="B162" s="21" t="s">
        <v>311</v>
      </c>
      <c r="C162" s="21" t="s">
        <v>556</v>
      </c>
      <c r="D162" s="21">
        <v>1280000</v>
      </c>
      <c r="E162" s="21" t="s">
        <v>333</v>
      </c>
      <c r="F162" s="21" t="str">
        <f t="shared" si="4"/>
        <v>rtdc.l.rtdc.4013:itc</v>
      </c>
      <c r="G162" s="8">
        <f t="shared" si="5"/>
        <v>42667.716122685182</v>
      </c>
    </row>
    <row r="163" spans="1:7" x14ac:dyDescent="0.25">
      <c r="A163" s="8">
        <v>42667.717476851853</v>
      </c>
      <c r="B163" s="21" t="s">
        <v>266</v>
      </c>
      <c r="C163" s="21" t="s">
        <v>557</v>
      </c>
      <c r="D163" s="21">
        <v>1180000</v>
      </c>
      <c r="E163" s="21" t="s">
        <v>189</v>
      </c>
      <c r="F163" s="21" t="str">
        <f t="shared" si="4"/>
        <v>rtdc.l.rtdc.4053:itc</v>
      </c>
      <c r="G163" s="8">
        <f t="shared" si="5"/>
        <v>42667.717476851853</v>
      </c>
    </row>
    <row r="164" spans="1:7" x14ac:dyDescent="0.25">
      <c r="A164" s="8">
        <v>42667.725752314815</v>
      </c>
      <c r="B164" s="21" t="s">
        <v>303</v>
      </c>
      <c r="C164" s="21" t="s">
        <v>558</v>
      </c>
      <c r="D164" s="21">
        <v>1140000</v>
      </c>
      <c r="E164" s="21" t="s">
        <v>294</v>
      </c>
      <c r="F164" s="21" t="str">
        <f t="shared" si="4"/>
        <v>rtdc.l.rtdc.4038:itc</v>
      </c>
      <c r="G164" s="8">
        <f t="shared" si="5"/>
        <v>42667.725752314815</v>
      </c>
    </row>
    <row r="165" spans="1:7" x14ac:dyDescent="0.25">
      <c r="A165" s="8">
        <v>42667.727488425924</v>
      </c>
      <c r="B165" s="21" t="s">
        <v>275</v>
      </c>
      <c r="C165" s="21" t="s">
        <v>559</v>
      </c>
      <c r="D165" s="21">
        <v>940000</v>
      </c>
      <c r="E165" s="21" t="s">
        <v>489</v>
      </c>
      <c r="F165" s="21" t="str">
        <f t="shared" si="4"/>
        <v>rtdc.l.rtdc.4015:itc</v>
      </c>
      <c r="G165" s="8">
        <f t="shared" si="5"/>
        <v>42667.727488425924</v>
      </c>
    </row>
    <row r="166" spans="1:7" x14ac:dyDescent="0.25">
      <c r="A166" s="8">
        <v>42667.727893518517</v>
      </c>
      <c r="B166" s="21" t="s">
        <v>212</v>
      </c>
      <c r="C166" s="21" t="s">
        <v>560</v>
      </c>
      <c r="D166" s="21">
        <v>150000</v>
      </c>
      <c r="E166" s="21" t="s">
        <v>268</v>
      </c>
      <c r="F166" s="21" t="str">
        <f t="shared" si="4"/>
        <v>rtdc.l.rtdc.4039:itc</v>
      </c>
      <c r="G166" s="8">
        <f t="shared" si="5"/>
        <v>42667.727893518517</v>
      </c>
    </row>
    <row r="167" spans="1:7" x14ac:dyDescent="0.25">
      <c r="A167" s="8">
        <v>42667.734398148146</v>
      </c>
      <c r="B167" s="21" t="s">
        <v>246</v>
      </c>
      <c r="C167" s="21" t="s">
        <v>561</v>
      </c>
      <c r="D167" s="21">
        <v>1770000</v>
      </c>
      <c r="E167" s="21" t="s">
        <v>334</v>
      </c>
      <c r="F167" s="21" t="str">
        <f t="shared" si="4"/>
        <v>rtdc.l.rtdc.4028:itc</v>
      </c>
      <c r="G167" s="8">
        <f t="shared" si="5"/>
        <v>42667.734398148146</v>
      </c>
    </row>
    <row r="168" spans="1:7" x14ac:dyDescent="0.25">
      <c r="A168" s="8">
        <v>42667.738344907404</v>
      </c>
      <c r="B168" s="21" t="s">
        <v>348</v>
      </c>
      <c r="C168" s="21" t="s">
        <v>562</v>
      </c>
      <c r="D168" s="21">
        <v>1810000</v>
      </c>
      <c r="E168" s="21" t="s">
        <v>304</v>
      </c>
      <c r="F168" s="21" t="str">
        <f t="shared" si="4"/>
        <v>rtdc.l.rtdc.4022:itc</v>
      </c>
      <c r="G168" s="8">
        <f t="shared" si="5"/>
        <v>42667.738344907404</v>
      </c>
    </row>
    <row r="169" spans="1:7" x14ac:dyDescent="0.25">
      <c r="A169" s="8">
        <v>42667.738587962966</v>
      </c>
      <c r="B169" s="21" t="s">
        <v>261</v>
      </c>
      <c r="C169" s="21" t="s">
        <v>424</v>
      </c>
      <c r="D169" s="21">
        <v>1800000</v>
      </c>
      <c r="E169" s="21" t="s">
        <v>208</v>
      </c>
      <c r="F169" s="21" t="str">
        <f t="shared" si="4"/>
        <v>rtdc.l.rtdc.4030:itc</v>
      </c>
      <c r="G169" s="8">
        <f t="shared" si="5"/>
        <v>42667.738587962966</v>
      </c>
    </row>
    <row r="170" spans="1:7" x14ac:dyDescent="0.25">
      <c r="A170" s="8">
        <v>42667.73914351852</v>
      </c>
      <c r="B170" s="21" t="s">
        <v>194</v>
      </c>
      <c r="C170" s="21" t="s">
        <v>563</v>
      </c>
      <c r="D170" s="21">
        <v>2370000</v>
      </c>
      <c r="E170" s="21" t="s">
        <v>267</v>
      </c>
      <c r="F170" s="21" t="str">
        <f t="shared" si="4"/>
        <v>rtdc.l.rtdc.4009:itc</v>
      </c>
      <c r="G170" s="8">
        <f t="shared" si="5"/>
        <v>42667.73914351852</v>
      </c>
    </row>
    <row r="171" spans="1:7" x14ac:dyDescent="0.25">
      <c r="A171" s="8">
        <v>42667.744814814818</v>
      </c>
      <c r="B171" s="21" t="s">
        <v>241</v>
      </c>
      <c r="C171" s="21" t="s">
        <v>427</v>
      </c>
      <c r="D171" s="21">
        <v>930000</v>
      </c>
      <c r="E171" s="21" t="s">
        <v>317</v>
      </c>
      <c r="F171" s="21" t="str">
        <f t="shared" si="4"/>
        <v>rtdc.l.rtdc.4017:itc</v>
      </c>
      <c r="G171" s="8">
        <f t="shared" si="5"/>
        <v>42667.744814814818</v>
      </c>
    </row>
    <row r="172" spans="1:7" x14ac:dyDescent="0.25">
      <c r="A172" s="8">
        <v>42667.744826388887</v>
      </c>
      <c r="B172" s="21" t="s">
        <v>250</v>
      </c>
      <c r="C172" s="21" t="s">
        <v>564</v>
      </c>
      <c r="D172" s="21">
        <v>2090000</v>
      </c>
      <c r="E172" s="21" t="s">
        <v>318</v>
      </c>
      <c r="F172" s="21" t="str">
        <f t="shared" si="4"/>
        <v>rtdc.l.rtdc.4042:itc</v>
      </c>
      <c r="G172" s="8">
        <f t="shared" si="5"/>
        <v>42667.744826388887</v>
      </c>
    </row>
    <row r="173" spans="1:7" x14ac:dyDescent="0.25">
      <c r="A173" s="8">
        <v>42667.746018518519</v>
      </c>
      <c r="B173" s="21" t="s">
        <v>250</v>
      </c>
      <c r="C173" s="21" t="s">
        <v>564</v>
      </c>
      <c r="D173" s="21">
        <v>2090000</v>
      </c>
      <c r="E173" s="21" t="s">
        <v>318</v>
      </c>
      <c r="F173" s="21" t="str">
        <f t="shared" si="4"/>
        <v>rtdc.l.rtdc.4042:itc</v>
      </c>
      <c r="G173" s="8">
        <f t="shared" si="5"/>
        <v>42667.746018518519</v>
      </c>
    </row>
    <row r="174" spans="1:7" x14ac:dyDescent="0.25">
      <c r="A174" s="8">
        <v>42667.746122685188</v>
      </c>
      <c r="B174" s="21" t="s">
        <v>331</v>
      </c>
      <c r="C174" s="21" t="s">
        <v>565</v>
      </c>
      <c r="D174" s="21">
        <v>2280000</v>
      </c>
      <c r="E174" s="21" t="s">
        <v>509</v>
      </c>
      <c r="F174" s="21" t="str">
        <f t="shared" si="4"/>
        <v>rtdc.l.rtdc.4011:itc</v>
      </c>
      <c r="G174" s="8">
        <f t="shared" si="5"/>
        <v>42667.746122685188</v>
      </c>
    </row>
    <row r="175" spans="1:7" x14ac:dyDescent="0.25">
      <c r="A175" s="8">
        <v>42667.751666666663</v>
      </c>
      <c r="B175" s="21" t="s">
        <v>313</v>
      </c>
      <c r="C175" s="21" t="s">
        <v>426</v>
      </c>
      <c r="D175" s="21">
        <v>1770000</v>
      </c>
      <c r="E175" s="21" t="s">
        <v>334</v>
      </c>
      <c r="F175" s="21" t="str">
        <f t="shared" si="4"/>
        <v>rtdc.l.rtdc.4027:itc</v>
      </c>
      <c r="G175" s="8">
        <f t="shared" si="5"/>
        <v>42667.751666666663</v>
      </c>
    </row>
    <row r="176" spans="1:7" x14ac:dyDescent="0.25">
      <c r="A176" s="8">
        <v>42667.751736111109</v>
      </c>
      <c r="B176" s="21" t="s">
        <v>265</v>
      </c>
      <c r="C176" s="21" t="s">
        <v>566</v>
      </c>
      <c r="D176" s="21">
        <v>1180000</v>
      </c>
      <c r="E176" s="21" t="s">
        <v>189</v>
      </c>
      <c r="F176" s="21" t="str">
        <f t="shared" si="4"/>
        <v>rtdc.l.rtdc.4054:itc</v>
      </c>
      <c r="G176" s="8">
        <f t="shared" si="5"/>
        <v>42667.751736111109</v>
      </c>
    </row>
    <row r="177" spans="1:7" x14ac:dyDescent="0.25">
      <c r="A177" s="8">
        <v>42667.755509259259</v>
      </c>
      <c r="B177" s="21" t="s">
        <v>193</v>
      </c>
      <c r="C177" s="21" t="s">
        <v>567</v>
      </c>
      <c r="D177" s="21">
        <v>2370000</v>
      </c>
      <c r="E177" s="21" t="s">
        <v>267</v>
      </c>
      <c r="F177" s="21" t="str">
        <f t="shared" si="4"/>
        <v>rtdc.l.rtdc.4010:itc</v>
      </c>
      <c r="G177" s="8">
        <f t="shared" si="5"/>
        <v>42667.755509259259</v>
      </c>
    </row>
    <row r="178" spans="1:7" x14ac:dyDescent="0.25">
      <c r="A178" s="8">
        <v>42667.759421296294</v>
      </c>
      <c r="B178" s="21" t="s">
        <v>312</v>
      </c>
      <c r="C178" s="21" t="s">
        <v>568</v>
      </c>
      <c r="D178" s="21">
        <v>1800000</v>
      </c>
      <c r="E178" s="21" t="s">
        <v>208</v>
      </c>
      <c r="F178" s="21" t="str">
        <f t="shared" si="4"/>
        <v>rtdc.l.rtdc.4014:itc</v>
      </c>
      <c r="G178" s="8">
        <f t="shared" si="5"/>
        <v>42667.759421296294</v>
      </c>
    </row>
    <row r="179" spans="1:7" x14ac:dyDescent="0.25">
      <c r="A179" s="8">
        <v>42667.762199074074</v>
      </c>
      <c r="B179" s="21" t="s">
        <v>260</v>
      </c>
      <c r="C179" s="21" t="s">
        <v>425</v>
      </c>
      <c r="D179" s="21">
        <v>1280000</v>
      </c>
      <c r="E179" s="21" t="s">
        <v>333</v>
      </c>
      <c r="F179" s="21" t="str">
        <f t="shared" si="4"/>
        <v>rtdc.l.rtdc.4029:itc</v>
      </c>
      <c r="G179" s="8">
        <f t="shared" si="5"/>
        <v>42667.762199074074</v>
      </c>
    </row>
    <row r="180" spans="1:7" x14ac:dyDescent="0.25">
      <c r="A180" s="8">
        <v>42667.763101851851</v>
      </c>
      <c r="B180" s="21" t="s">
        <v>300</v>
      </c>
      <c r="C180" s="21" t="s">
        <v>569</v>
      </c>
      <c r="D180" s="21">
        <v>1140000</v>
      </c>
      <c r="E180" s="21" t="s">
        <v>294</v>
      </c>
      <c r="F180" s="21" t="str">
        <f t="shared" si="4"/>
        <v>rtdc.l.rtdc.4037:itc</v>
      </c>
      <c r="G180" s="8">
        <f t="shared" si="5"/>
        <v>42667.763101851851</v>
      </c>
    </row>
    <row r="181" spans="1:7" x14ac:dyDescent="0.25">
      <c r="A181" s="8">
        <v>42667.769699074073</v>
      </c>
      <c r="B181" s="21" t="s">
        <v>274</v>
      </c>
      <c r="C181" s="21" t="s">
        <v>570</v>
      </c>
      <c r="D181" s="21">
        <v>1230000</v>
      </c>
      <c r="E181" s="21" t="s">
        <v>213</v>
      </c>
      <c r="F181" s="21" t="str">
        <f t="shared" si="4"/>
        <v>rtdc.l.rtdc.4016:itc</v>
      </c>
      <c r="G181" s="8">
        <f t="shared" si="5"/>
        <v>42667.769699074073</v>
      </c>
    </row>
    <row r="182" spans="1:7" x14ac:dyDescent="0.25">
      <c r="A182" s="8">
        <v>42667.770844907405</v>
      </c>
      <c r="B182" s="21" t="s">
        <v>345</v>
      </c>
      <c r="C182" s="21" t="s">
        <v>571</v>
      </c>
      <c r="D182" s="21">
        <v>1810000</v>
      </c>
      <c r="E182" s="21" t="s">
        <v>304</v>
      </c>
      <c r="F182" s="21" t="str">
        <f t="shared" si="4"/>
        <v>rtdc.l.rtdc.4021:itc</v>
      </c>
      <c r="G182" s="8">
        <f t="shared" si="5"/>
        <v>42667.770844907405</v>
      </c>
    </row>
    <row r="183" spans="1:7" x14ac:dyDescent="0.25">
      <c r="A183" s="8">
        <v>42667.776597222219</v>
      </c>
      <c r="B183" s="21" t="s">
        <v>246</v>
      </c>
      <c r="C183" s="21" t="s">
        <v>428</v>
      </c>
      <c r="D183" s="21">
        <v>1770000</v>
      </c>
      <c r="E183" s="21" t="s">
        <v>334</v>
      </c>
      <c r="F183" s="21" t="str">
        <f t="shared" si="4"/>
        <v>rtdc.l.rtdc.4028:itc</v>
      </c>
      <c r="G183" s="8">
        <f t="shared" si="5"/>
        <v>42667.776597222219</v>
      </c>
    </row>
    <row r="184" spans="1:7" x14ac:dyDescent="0.25">
      <c r="A184" s="8">
        <v>42667.781886574077</v>
      </c>
      <c r="B184" s="21" t="s">
        <v>194</v>
      </c>
      <c r="C184" s="21" t="s">
        <v>572</v>
      </c>
      <c r="D184" s="21">
        <v>2370000</v>
      </c>
      <c r="E184" s="21" t="s">
        <v>267</v>
      </c>
      <c r="F184" s="21" t="str">
        <f t="shared" si="4"/>
        <v>rtdc.l.rtdc.4009:itc</v>
      </c>
      <c r="G184" s="8">
        <f t="shared" si="5"/>
        <v>42667.781886574077</v>
      </c>
    </row>
    <row r="185" spans="1:7" x14ac:dyDescent="0.25">
      <c r="A185" s="8">
        <v>42667.783101851855</v>
      </c>
      <c r="B185" s="21" t="s">
        <v>257</v>
      </c>
      <c r="C185" s="21" t="s">
        <v>429</v>
      </c>
      <c r="D185" s="21">
        <v>2280000</v>
      </c>
      <c r="E185" s="21" t="s">
        <v>509</v>
      </c>
      <c r="F185" s="21" t="str">
        <f t="shared" si="4"/>
        <v>rtdc.l.rtdc.4012:itc</v>
      </c>
      <c r="G185" s="8">
        <f t="shared" si="5"/>
        <v>42667.783101851855</v>
      </c>
    </row>
    <row r="186" spans="1:7" x14ac:dyDescent="0.25">
      <c r="A186" s="8">
        <v>42667.789398148147</v>
      </c>
      <c r="B186" s="21" t="s">
        <v>266</v>
      </c>
      <c r="C186" s="21" t="s">
        <v>573</v>
      </c>
      <c r="D186" s="21">
        <v>1180000</v>
      </c>
      <c r="E186" s="21" t="s">
        <v>189</v>
      </c>
      <c r="F186" s="21" t="str">
        <f t="shared" si="4"/>
        <v>rtdc.l.rtdc.4053:itc</v>
      </c>
      <c r="G186" s="8">
        <f t="shared" si="5"/>
        <v>42667.789398148147</v>
      </c>
    </row>
    <row r="187" spans="1:7" x14ac:dyDescent="0.25">
      <c r="A187" s="8">
        <v>42667.794756944444</v>
      </c>
      <c r="B187" s="21" t="s">
        <v>313</v>
      </c>
      <c r="C187" s="21" t="s">
        <v>574</v>
      </c>
      <c r="D187" s="21">
        <v>1770000</v>
      </c>
      <c r="E187" s="21" t="s">
        <v>334</v>
      </c>
      <c r="F187" s="21" t="str">
        <f t="shared" si="4"/>
        <v>rtdc.l.rtdc.4027:itc</v>
      </c>
      <c r="G187" s="8">
        <f t="shared" si="5"/>
        <v>42667.794756944444</v>
      </c>
    </row>
    <row r="188" spans="1:7" x14ac:dyDescent="0.25">
      <c r="A188" s="8">
        <v>42667.797164351854</v>
      </c>
      <c r="B188" s="21" t="s">
        <v>193</v>
      </c>
      <c r="C188" s="21" t="s">
        <v>575</v>
      </c>
      <c r="D188" s="21">
        <v>2370000</v>
      </c>
      <c r="E188" s="21" t="s">
        <v>267</v>
      </c>
      <c r="F188" s="21" t="str">
        <f t="shared" si="4"/>
        <v>rtdc.l.rtdc.4010:itc</v>
      </c>
      <c r="G188" s="8">
        <f t="shared" si="5"/>
        <v>42667.797164351854</v>
      </c>
    </row>
    <row r="189" spans="1:7" x14ac:dyDescent="0.25">
      <c r="A189" s="8">
        <v>42667.798761574071</v>
      </c>
      <c r="B189" s="21" t="s">
        <v>311</v>
      </c>
      <c r="C189" s="21" t="s">
        <v>576</v>
      </c>
      <c r="D189" s="21">
        <v>1800000</v>
      </c>
      <c r="E189" s="21" t="s">
        <v>208</v>
      </c>
      <c r="F189" s="21" t="str">
        <f t="shared" si="4"/>
        <v>rtdc.l.rtdc.4013:itc</v>
      </c>
      <c r="G189" s="8">
        <f t="shared" si="5"/>
        <v>42667.798761574071</v>
      </c>
    </row>
    <row r="190" spans="1:7" x14ac:dyDescent="0.25">
      <c r="A190" s="8">
        <v>42667.799375000002</v>
      </c>
      <c r="B190" s="21" t="s">
        <v>275</v>
      </c>
      <c r="C190" s="21" t="s">
        <v>577</v>
      </c>
      <c r="D190" s="21">
        <v>1230000</v>
      </c>
      <c r="E190" s="21" t="s">
        <v>213</v>
      </c>
      <c r="F190" s="21" t="str">
        <f t="shared" si="4"/>
        <v>rtdc.l.rtdc.4015:itc</v>
      </c>
      <c r="G190" s="8">
        <f t="shared" si="5"/>
        <v>42667.799375000002</v>
      </c>
    </row>
    <row r="191" spans="1:7" x14ac:dyDescent="0.25">
      <c r="A191" s="8">
        <v>42667.807962962965</v>
      </c>
      <c r="B191" s="21" t="s">
        <v>348</v>
      </c>
      <c r="C191" s="21" t="s">
        <v>578</v>
      </c>
      <c r="D191" s="21">
        <v>1810000</v>
      </c>
      <c r="E191" s="21" t="s">
        <v>304</v>
      </c>
      <c r="F191" s="21" t="str">
        <f t="shared" si="4"/>
        <v>rtdc.l.rtdc.4022:itc</v>
      </c>
      <c r="G191" s="8">
        <f t="shared" si="5"/>
        <v>42667.807962962965</v>
      </c>
    </row>
    <row r="192" spans="1:7" x14ac:dyDescent="0.25">
      <c r="A192" s="8">
        <v>42667.818090277775</v>
      </c>
      <c r="B192" s="21" t="s">
        <v>246</v>
      </c>
      <c r="C192" s="21" t="s">
        <v>579</v>
      </c>
      <c r="D192" s="21">
        <v>1770000</v>
      </c>
      <c r="E192" s="21" t="s">
        <v>334</v>
      </c>
      <c r="F192" s="21" t="str">
        <f t="shared" si="4"/>
        <v>rtdc.l.rtdc.4028:itc</v>
      </c>
      <c r="G192" s="8">
        <f t="shared" si="5"/>
        <v>42667.818090277775</v>
      </c>
    </row>
    <row r="193" spans="1:7" x14ac:dyDescent="0.25">
      <c r="A193" s="8">
        <v>42667.828287037039</v>
      </c>
      <c r="B193" s="21" t="s">
        <v>265</v>
      </c>
      <c r="C193" s="21" t="s">
        <v>580</v>
      </c>
      <c r="D193" s="21">
        <v>1180000</v>
      </c>
      <c r="E193" s="21" t="s">
        <v>189</v>
      </c>
      <c r="F193" s="21" t="str">
        <f t="shared" si="4"/>
        <v>rtdc.l.rtdc.4054:itc</v>
      </c>
      <c r="G193" s="8">
        <f t="shared" si="5"/>
        <v>42667.828287037039</v>
      </c>
    </row>
    <row r="194" spans="1:7" x14ac:dyDescent="0.25">
      <c r="A194" s="8">
        <v>42667.832268518519</v>
      </c>
      <c r="B194" s="21" t="s">
        <v>313</v>
      </c>
      <c r="C194" s="21" t="s">
        <v>581</v>
      </c>
      <c r="D194" s="21">
        <v>1770000</v>
      </c>
      <c r="E194" s="21" t="s">
        <v>334</v>
      </c>
      <c r="F194" s="21" t="str">
        <f t="shared" ref="F194:F235" si="6">B194</f>
        <v>rtdc.l.rtdc.4027:itc</v>
      </c>
      <c r="G194" s="8">
        <f t="shared" ref="G194:G235" si="7">A194</f>
        <v>42667.832268518519</v>
      </c>
    </row>
    <row r="195" spans="1:7" x14ac:dyDescent="0.25">
      <c r="A195" s="8">
        <v>42667.833356481482</v>
      </c>
      <c r="B195" s="21" t="s">
        <v>331</v>
      </c>
      <c r="C195" s="21" t="s">
        <v>582</v>
      </c>
      <c r="D195" s="21">
        <v>1800000</v>
      </c>
      <c r="E195" s="21" t="s">
        <v>208</v>
      </c>
      <c r="F195" s="21" t="str">
        <f t="shared" si="6"/>
        <v>rtdc.l.rtdc.4011:itc</v>
      </c>
      <c r="G195" s="8">
        <f t="shared" si="7"/>
        <v>42667.833356481482</v>
      </c>
    </row>
    <row r="196" spans="1:7" x14ac:dyDescent="0.25">
      <c r="A196" s="8">
        <v>42667.835173611114</v>
      </c>
      <c r="B196" s="21" t="s">
        <v>313</v>
      </c>
      <c r="C196" s="21" t="s">
        <v>581</v>
      </c>
      <c r="D196" s="21">
        <v>1770000</v>
      </c>
      <c r="E196" s="21" t="s">
        <v>334</v>
      </c>
      <c r="F196" s="21" t="str">
        <f t="shared" si="6"/>
        <v>rtdc.l.rtdc.4027:itc</v>
      </c>
      <c r="G196" s="8">
        <f t="shared" si="7"/>
        <v>42667.835173611114</v>
      </c>
    </row>
    <row r="197" spans="1:7" x14ac:dyDescent="0.25">
      <c r="A197" s="8">
        <v>42667.841898148145</v>
      </c>
      <c r="B197" s="21" t="s">
        <v>345</v>
      </c>
      <c r="C197" s="21" t="s">
        <v>583</v>
      </c>
      <c r="D197" s="21">
        <v>1810000</v>
      </c>
      <c r="E197" s="21" t="s">
        <v>304</v>
      </c>
      <c r="F197" s="21" t="str">
        <f t="shared" si="6"/>
        <v>rtdc.l.rtdc.4021:itc</v>
      </c>
      <c r="G197" s="8">
        <f t="shared" si="7"/>
        <v>42667.841898148145</v>
      </c>
    </row>
    <row r="198" spans="1:7" x14ac:dyDescent="0.25">
      <c r="A198" s="8">
        <v>42667.845763888887</v>
      </c>
      <c r="B198" s="21" t="s">
        <v>274</v>
      </c>
      <c r="C198" s="21" t="s">
        <v>584</v>
      </c>
      <c r="D198" s="21">
        <v>1230000</v>
      </c>
      <c r="E198" s="21" t="s">
        <v>213</v>
      </c>
      <c r="F198" s="21" t="str">
        <f t="shared" si="6"/>
        <v>rtdc.l.rtdc.4016:itc</v>
      </c>
      <c r="G198" s="8">
        <f t="shared" si="7"/>
        <v>42667.845763888887</v>
      </c>
    </row>
    <row r="199" spans="1:7" x14ac:dyDescent="0.25">
      <c r="A199" s="8">
        <v>42667.8594212963</v>
      </c>
      <c r="B199" s="21" t="s">
        <v>246</v>
      </c>
      <c r="C199" s="21" t="s">
        <v>585</v>
      </c>
      <c r="D199" s="21">
        <v>1770000</v>
      </c>
      <c r="E199" s="21" t="s">
        <v>334</v>
      </c>
      <c r="F199" s="21" t="str">
        <f t="shared" si="6"/>
        <v>rtdc.l.rtdc.4028:itc</v>
      </c>
      <c r="G199" s="8">
        <f t="shared" si="7"/>
        <v>42667.8594212963</v>
      </c>
    </row>
    <row r="200" spans="1:7" x14ac:dyDescent="0.25">
      <c r="A200" s="8">
        <v>42667.870983796296</v>
      </c>
      <c r="B200" s="21" t="s">
        <v>386</v>
      </c>
      <c r="C200" s="21" t="s">
        <v>586</v>
      </c>
      <c r="D200" s="21">
        <v>1180000</v>
      </c>
      <c r="E200" s="21" t="s">
        <v>189</v>
      </c>
      <c r="F200" s="21" t="str">
        <f t="shared" si="6"/>
        <v>rtdc.l.rtdc.4002:itc</v>
      </c>
      <c r="G200" s="8">
        <f t="shared" si="7"/>
        <v>42667.870983796296</v>
      </c>
    </row>
    <row r="201" spans="1:7" x14ac:dyDescent="0.25">
      <c r="A201" s="8">
        <v>42667.871736111112</v>
      </c>
      <c r="B201" s="21" t="s">
        <v>300</v>
      </c>
      <c r="C201" s="21" t="s">
        <v>587</v>
      </c>
      <c r="D201" s="21">
        <v>1800000</v>
      </c>
      <c r="E201" s="21" t="s">
        <v>208</v>
      </c>
      <c r="F201" s="21" t="str">
        <f t="shared" si="6"/>
        <v>rtdc.l.rtdc.4037:itc</v>
      </c>
      <c r="G201" s="8">
        <f t="shared" si="7"/>
        <v>42667.871736111112</v>
      </c>
    </row>
    <row r="202" spans="1:7" x14ac:dyDescent="0.25">
      <c r="A202" s="27">
        <v>42667.87300925926</v>
      </c>
      <c r="B202" s="21" t="s">
        <v>300</v>
      </c>
      <c r="C202" s="21" t="s">
        <v>587</v>
      </c>
      <c r="D202" s="21">
        <v>1800000</v>
      </c>
      <c r="E202" s="21" t="s">
        <v>208</v>
      </c>
      <c r="F202" s="21" t="str">
        <f t="shared" si="6"/>
        <v>rtdc.l.rtdc.4037:itc</v>
      </c>
      <c r="G202" s="8">
        <f t="shared" si="7"/>
        <v>42667.87300925926</v>
      </c>
    </row>
    <row r="203" spans="1:7" x14ac:dyDescent="0.25">
      <c r="A203" s="8">
        <v>42667.884965277779</v>
      </c>
      <c r="B203" s="21" t="s">
        <v>313</v>
      </c>
      <c r="C203" s="21" t="s">
        <v>588</v>
      </c>
      <c r="D203" s="21">
        <v>2370000</v>
      </c>
      <c r="E203" s="21" t="s">
        <v>267</v>
      </c>
      <c r="F203" s="21" t="str">
        <f t="shared" si="6"/>
        <v>rtdc.l.rtdc.4027:itc</v>
      </c>
      <c r="G203" s="8">
        <f t="shared" si="7"/>
        <v>42667.884965277779</v>
      </c>
    </row>
    <row r="204" spans="1:7" x14ac:dyDescent="0.25">
      <c r="A204" s="8">
        <v>42667.888923611114</v>
      </c>
      <c r="B204" s="21" t="s">
        <v>348</v>
      </c>
      <c r="C204" s="21" t="s">
        <v>589</v>
      </c>
      <c r="D204" s="21">
        <v>1810000</v>
      </c>
      <c r="E204" s="21" t="s">
        <v>304</v>
      </c>
      <c r="F204" s="21" t="str">
        <f t="shared" si="6"/>
        <v>rtdc.l.rtdc.4022:itc</v>
      </c>
      <c r="G204" s="8">
        <f t="shared" si="7"/>
        <v>42667.888923611114</v>
      </c>
    </row>
    <row r="205" spans="1:7" x14ac:dyDescent="0.25">
      <c r="A205" s="8">
        <v>42667.890543981484</v>
      </c>
      <c r="B205" s="21" t="s">
        <v>311</v>
      </c>
      <c r="C205" s="21" t="s">
        <v>590</v>
      </c>
      <c r="D205" s="21">
        <v>1230000</v>
      </c>
      <c r="E205" s="21" t="s">
        <v>213</v>
      </c>
      <c r="F205" s="21" t="str">
        <f t="shared" si="6"/>
        <v>rtdc.l.rtdc.4013:itc</v>
      </c>
      <c r="G205" s="8">
        <f t="shared" si="7"/>
        <v>42667.890543981484</v>
      </c>
    </row>
    <row r="206" spans="1:7" x14ac:dyDescent="0.25">
      <c r="A206" s="8">
        <v>42667.891053240739</v>
      </c>
      <c r="B206" s="21" t="s">
        <v>311</v>
      </c>
      <c r="C206" s="21" t="s">
        <v>590</v>
      </c>
      <c r="D206" s="21">
        <v>1230000</v>
      </c>
      <c r="E206" s="21" t="s">
        <v>213</v>
      </c>
      <c r="F206" s="21" t="str">
        <f t="shared" si="6"/>
        <v>rtdc.l.rtdc.4013:itc</v>
      </c>
      <c r="G206" s="8">
        <f t="shared" si="7"/>
        <v>42667.891053240739</v>
      </c>
    </row>
    <row r="207" spans="1:7" x14ac:dyDescent="0.25">
      <c r="A207" s="8">
        <v>42667.901319444441</v>
      </c>
      <c r="B207" s="21" t="s">
        <v>246</v>
      </c>
      <c r="C207" s="21" t="s">
        <v>591</v>
      </c>
      <c r="D207" s="21">
        <v>2370000</v>
      </c>
      <c r="E207" s="21" t="s">
        <v>267</v>
      </c>
      <c r="F207" s="21" t="str">
        <f t="shared" si="6"/>
        <v>rtdc.l.rtdc.4028:itc</v>
      </c>
      <c r="G207" s="8">
        <f t="shared" si="7"/>
        <v>42667.901319444441</v>
      </c>
    </row>
    <row r="208" spans="1:7" x14ac:dyDescent="0.25">
      <c r="A208" s="8">
        <v>42667.904629629629</v>
      </c>
      <c r="B208" s="21" t="s">
        <v>300</v>
      </c>
      <c r="C208" s="21" t="s">
        <v>587</v>
      </c>
      <c r="D208" s="21">
        <v>1800000</v>
      </c>
      <c r="E208" s="21" t="s">
        <v>208</v>
      </c>
      <c r="F208" s="21" t="str">
        <f t="shared" si="6"/>
        <v>rtdc.l.rtdc.4037:itc</v>
      </c>
      <c r="G208" s="8">
        <f t="shared" si="7"/>
        <v>42667.904629629629</v>
      </c>
    </row>
    <row r="209" spans="1:7" x14ac:dyDescent="0.25">
      <c r="A209" s="8">
        <v>42667.909490740742</v>
      </c>
      <c r="B209" s="21" t="s">
        <v>241</v>
      </c>
      <c r="C209" s="21" t="s">
        <v>592</v>
      </c>
      <c r="D209" s="21">
        <v>1180000</v>
      </c>
      <c r="E209" s="21" t="s">
        <v>189</v>
      </c>
      <c r="F209" s="21" t="str">
        <f t="shared" si="6"/>
        <v>rtdc.l.rtdc.4017:itc</v>
      </c>
      <c r="G209" s="8">
        <f t="shared" si="7"/>
        <v>42667.909490740742</v>
      </c>
    </row>
    <row r="210" spans="1:7" x14ac:dyDescent="0.25">
      <c r="A210" s="8">
        <v>42667.910231481481</v>
      </c>
      <c r="B210" s="21" t="s">
        <v>303</v>
      </c>
      <c r="C210" s="21" t="s">
        <v>593</v>
      </c>
      <c r="D210" s="21">
        <v>1800000</v>
      </c>
      <c r="E210" s="21" t="s">
        <v>208</v>
      </c>
      <c r="F210" s="21" t="str">
        <f t="shared" si="6"/>
        <v>rtdc.l.rtdc.4038:itc</v>
      </c>
      <c r="G210" s="8">
        <f t="shared" si="7"/>
        <v>42667.910231481481</v>
      </c>
    </row>
    <row r="211" spans="1:7" x14ac:dyDescent="0.25">
      <c r="A211" s="8">
        <v>42667.911053240743</v>
      </c>
      <c r="B211" s="21" t="s">
        <v>303</v>
      </c>
      <c r="C211" s="21" t="s">
        <v>593</v>
      </c>
      <c r="D211" s="21">
        <v>1800000</v>
      </c>
      <c r="E211" s="21" t="s">
        <v>208</v>
      </c>
      <c r="F211" s="21" t="str">
        <f t="shared" si="6"/>
        <v>rtdc.l.rtdc.4038:itc</v>
      </c>
      <c r="G211" s="8">
        <f t="shared" si="7"/>
        <v>42667.911053240743</v>
      </c>
    </row>
    <row r="212" spans="1:7" x14ac:dyDescent="0.25">
      <c r="A212" s="8">
        <v>42667.911574074074</v>
      </c>
      <c r="B212" s="21" t="s">
        <v>303</v>
      </c>
      <c r="C212" s="21" t="s">
        <v>430</v>
      </c>
      <c r="D212" s="21">
        <v>1800000</v>
      </c>
      <c r="E212" s="21" t="s">
        <v>208</v>
      </c>
      <c r="F212" s="21" t="str">
        <f t="shared" si="6"/>
        <v>rtdc.l.rtdc.4038:itc</v>
      </c>
      <c r="G212" s="8">
        <f t="shared" si="7"/>
        <v>42667.911574074074</v>
      </c>
    </row>
    <row r="213" spans="1:7" x14ac:dyDescent="0.25">
      <c r="A213" s="8">
        <v>42667.916250000002</v>
      </c>
      <c r="B213" s="21" t="s">
        <v>331</v>
      </c>
      <c r="C213" s="21" t="s">
        <v>593</v>
      </c>
      <c r="D213" s="21">
        <v>1800000</v>
      </c>
      <c r="E213" s="21" t="s">
        <v>208</v>
      </c>
      <c r="F213" s="21" t="str">
        <f t="shared" si="6"/>
        <v>rtdc.l.rtdc.4011:itc</v>
      </c>
      <c r="G213" s="8">
        <f t="shared" si="7"/>
        <v>42667.916250000002</v>
      </c>
    </row>
    <row r="214" spans="1:7" x14ac:dyDescent="0.25">
      <c r="A214" s="8">
        <v>42667.922835648147</v>
      </c>
      <c r="B214" s="21" t="s">
        <v>274</v>
      </c>
      <c r="C214" s="21" t="s">
        <v>594</v>
      </c>
      <c r="D214" s="21">
        <v>1230000</v>
      </c>
      <c r="E214" s="21" t="s">
        <v>213</v>
      </c>
      <c r="F214" s="21" t="str">
        <f t="shared" si="6"/>
        <v>rtdc.l.rtdc.4016:itc</v>
      </c>
      <c r="G214" s="8">
        <f t="shared" si="7"/>
        <v>42667.922835648147</v>
      </c>
    </row>
    <row r="215" spans="1:7" x14ac:dyDescent="0.25">
      <c r="A215" s="8">
        <v>42667.926203703704</v>
      </c>
      <c r="B215" s="21" t="s">
        <v>313</v>
      </c>
      <c r="C215" s="21" t="s">
        <v>595</v>
      </c>
      <c r="D215" s="21">
        <v>2370000</v>
      </c>
      <c r="E215" s="21" t="s">
        <v>267</v>
      </c>
      <c r="F215" s="21" t="str">
        <f t="shared" si="6"/>
        <v>rtdc.l.rtdc.4027:itc</v>
      </c>
      <c r="G215" s="8">
        <f t="shared" si="7"/>
        <v>42667.926203703704</v>
      </c>
    </row>
    <row r="216" spans="1:7" x14ac:dyDescent="0.25">
      <c r="A216" s="8">
        <v>42667.92900462963</v>
      </c>
      <c r="B216" s="21" t="s">
        <v>265</v>
      </c>
      <c r="C216" s="21" t="s">
        <v>596</v>
      </c>
      <c r="D216" s="21">
        <v>1810000</v>
      </c>
      <c r="E216" s="21" t="s">
        <v>304</v>
      </c>
      <c r="F216" s="21" t="str">
        <f t="shared" si="6"/>
        <v>rtdc.l.rtdc.4054:itc</v>
      </c>
      <c r="G216" s="8">
        <f t="shared" si="7"/>
        <v>42667.92900462963</v>
      </c>
    </row>
    <row r="217" spans="1:7" x14ac:dyDescent="0.25">
      <c r="A217" s="8">
        <v>42667.944143518522</v>
      </c>
      <c r="B217" s="21" t="s">
        <v>246</v>
      </c>
      <c r="C217" s="21" t="s">
        <v>597</v>
      </c>
      <c r="D217" s="21">
        <v>2370000</v>
      </c>
      <c r="E217" s="21" t="s">
        <v>267</v>
      </c>
      <c r="F217" s="21" t="str">
        <f t="shared" si="6"/>
        <v>rtdc.l.rtdc.4028:itc</v>
      </c>
      <c r="G217" s="8">
        <f t="shared" si="7"/>
        <v>42667.944143518522</v>
      </c>
    </row>
    <row r="218" spans="1:7" x14ac:dyDescent="0.25">
      <c r="A218" s="8">
        <v>42667.951724537037</v>
      </c>
      <c r="B218" s="21" t="s">
        <v>257</v>
      </c>
      <c r="C218" s="21" t="s">
        <v>430</v>
      </c>
      <c r="D218" s="21">
        <v>1800000</v>
      </c>
      <c r="E218" s="21" t="s">
        <v>208</v>
      </c>
      <c r="F218" s="21" t="str">
        <f t="shared" si="6"/>
        <v>rtdc.l.rtdc.4012:itc</v>
      </c>
      <c r="G218" s="8">
        <f t="shared" si="7"/>
        <v>42667.951724537037</v>
      </c>
    </row>
    <row r="219" spans="1:7" x14ac:dyDescent="0.25">
      <c r="A219" s="8">
        <v>42667.952777777777</v>
      </c>
      <c r="B219" s="21" t="s">
        <v>257</v>
      </c>
      <c r="C219" s="21" t="s">
        <v>430</v>
      </c>
      <c r="D219" s="21">
        <v>1800000</v>
      </c>
      <c r="E219" s="21" t="s">
        <v>208</v>
      </c>
      <c r="F219" s="21" t="str">
        <f t="shared" si="6"/>
        <v>rtdc.l.rtdc.4012:itc</v>
      </c>
      <c r="G219" s="8">
        <f t="shared" si="7"/>
        <v>42667.952777777777</v>
      </c>
    </row>
    <row r="220" spans="1:7" x14ac:dyDescent="0.25">
      <c r="A220" s="8">
        <v>42667.955069444448</v>
      </c>
      <c r="B220" s="21" t="s">
        <v>386</v>
      </c>
      <c r="C220" s="21" t="s">
        <v>598</v>
      </c>
      <c r="D220" s="21">
        <v>1180000</v>
      </c>
      <c r="E220" s="21" t="s">
        <v>189</v>
      </c>
      <c r="F220" s="21" t="str">
        <f t="shared" si="6"/>
        <v>rtdc.l.rtdc.4002:itc</v>
      </c>
      <c r="G220" s="8">
        <f t="shared" si="7"/>
        <v>42667.955069444448</v>
      </c>
    </row>
    <row r="221" spans="1:7" x14ac:dyDescent="0.25">
      <c r="A221" s="8">
        <v>42667.955891203703</v>
      </c>
      <c r="B221" s="21" t="s">
        <v>300</v>
      </c>
      <c r="C221" s="21" t="s">
        <v>430</v>
      </c>
      <c r="D221" s="21">
        <v>1800000</v>
      </c>
      <c r="E221" s="21" t="s">
        <v>208</v>
      </c>
      <c r="F221" s="21" t="str">
        <f t="shared" si="6"/>
        <v>rtdc.l.rtdc.4037:itc</v>
      </c>
      <c r="G221" s="8">
        <f t="shared" si="7"/>
        <v>42667.955891203703</v>
      </c>
    </row>
    <row r="222" spans="1:7" x14ac:dyDescent="0.25">
      <c r="A222" s="8">
        <v>42667.971296296295</v>
      </c>
      <c r="B222" s="21" t="s">
        <v>348</v>
      </c>
      <c r="C222" s="21" t="s">
        <v>599</v>
      </c>
      <c r="D222" s="21">
        <v>1810000</v>
      </c>
      <c r="E222" s="21" t="s">
        <v>304</v>
      </c>
      <c r="F222" s="21" t="str">
        <f t="shared" si="6"/>
        <v>rtdc.l.rtdc.4022:itc</v>
      </c>
      <c r="G222" s="8">
        <f t="shared" si="7"/>
        <v>42667.971296296295</v>
      </c>
    </row>
    <row r="223" spans="1:7" x14ac:dyDescent="0.25">
      <c r="A223" s="8">
        <v>42667.973773148151</v>
      </c>
      <c r="B223" s="21" t="s">
        <v>311</v>
      </c>
      <c r="C223" s="21" t="s">
        <v>600</v>
      </c>
      <c r="D223" s="21">
        <v>1230000</v>
      </c>
      <c r="E223" s="21" t="s">
        <v>213</v>
      </c>
      <c r="F223" s="21" t="str">
        <f t="shared" si="6"/>
        <v>rtdc.l.rtdc.4013:itc</v>
      </c>
      <c r="G223" s="8">
        <f t="shared" si="7"/>
        <v>42667.973773148151</v>
      </c>
    </row>
    <row r="224" spans="1:7" x14ac:dyDescent="0.25">
      <c r="A224" s="8">
        <v>42667.993252314816</v>
      </c>
      <c r="B224" t="s">
        <v>241</v>
      </c>
      <c r="C224" t="s">
        <v>601</v>
      </c>
      <c r="D224">
        <v>1180000</v>
      </c>
      <c r="E224" t="s">
        <v>189</v>
      </c>
      <c r="F224" s="21" t="str">
        <f t="shared" si="6"/>
        <v>rtdc.l.rtdc.4017:itc</v>
      </c>
      <c r="G224" s="8">
        <f t="shared" si="7"/>
        <v>42667.993252314816</v>
      </c>
    </row>
    <row r="225" spans="1:7" x14ac:dyDescent="0.25">
      <c r="A225" s="8">
        <v>42667.994664351849</v>
      </c>
      <c r="B225" t="s">
        <v>241</v>
      </c>
      <c r="C225" t="s">
        <v>601</v>
      </c>
      <c r="D225">
        <v>1180000</v>
      </c>
      <c r="E225" t="s">
        <v>189</v>
      </c>
      <c r="F225" s="21" t="str">
        <f t="shared" si="6"/>
        <v>rtdc.l.rtdc.4017:itc</v>
      </c>
      <c r="G225" s="8">
        <f t="shared" si="7"/>
        <v>42667.994664351849</v>
      </c>
    </row>
    <row r="226" spans="1:7" x14ac:dyDescent="0.25">
      <c r="A226" s="8">
        <v>42667.99591435185</v>
      </c>
      <c r="B226" t="s">
        <v>241</v>
      </c>
      <c r="C226" t="s">
        <v>601</v>
      </c>
      <c r="D226">
        <v>1180000</v>
      </c>
      <c r="E226" t="s">
        <v>189</v>
      </c>
      <c r="F226" s="21" t="str">
        <f t="shared" si="6"/>
        <v>rtdc.l.rtdc.4017:itc</v>
      </c>
      <c r="G226" s="8">
        <f t="shared" si="7"/>
        <v>42667.99591435185</v>
      </c>
    </row>
    <row r="227" spans="1:7" x14ac:dyDescent="0.25">
      <c r="A227" s="8">
        <v>42667.996851851851</v>
      </c>
      <c r="B227" t="s">
        <v>241</v>
      </c>
      <c r="C227" t="s">
        <v>601</v>
      </c>
      <c r="D227">
        <v>1180000</v>
      </c>
      <c r="E227" t="s">
        <v>189</v>
      </c>
      <c r="F227" s="21" t="str">
        <f t="shared" si="6"/>
        <v>rtdc.l.rtdc.4017:itc</v>
      </c>
      <c r="G227" s="8">
        <f t="shared" si="7"/>
        <v>42667.996851851851</v>
      </c>
    </row>
    <row r="228" spans="1:7" x14ac:dyDescent="0.25">
      <c r="A228" s="8">
        <v>42667.998784722222</v>
      </c>
      <c r="B228" t="s">
        <v>331</v>
      </c>
      <c r="C228" t="s">
        <v>602</v>
      </c>
      <c r="D228">
        <v>1800000</v>
      </c>
      <c r="E228" t="s">
        <v>208</v>
      </c>
      <c r="F228" s="21" t="str">
        <f t="shared" si="6"/>
        <v>rtdc.l.rtdc.4011:itc</v>
      </c>
      <c r="G228" s="8">
        <f t="shared" si="7"/>
        <v>42667.998784722222</v>
      </c>
    </row>
    <row r="229" spans="1:7" x14ac:dyDescent="0.25">
      <c r="A229" s="8">
        <v>42667.999895833331</v>
      </c>
      <c r="B229" t="s">
        <v>331</v>
      </c>
      <c r="C229" t="s">
        <v>602</v>
      </c>
      <c r="D229">
        <v>1800000</v>
      </c>
      <c r="E229" t="s">
        <v>208</v>
      </c>
      <c r="F229" s="21" t="str">
        <f t="shared" si="6"/>
        <v>rtdc.l.rtdc.4011:itc</v>
      </c>
      <c r="G229" s="8">
        <f t="shared" si="7"/>
        <v>42667.999895833331</v>
      </c>
    </row>
    <row r="230" spans="1:7" x14ac:dyDescent="0.25">
      <c r="A230" s="8">
        <v>42668.009340277778</v>
      </c>
      <c r="B230" t="s">
        <v>274</v>
      </c>
      <c r="C230" t="s">
        <v>603</v>
      </c>
      <c r="D230">
        <v>1230000</v>
      </c>
      <c r="E230" t="s">
        <v>213</v>
      </c>
      <c r="F230" s="21" t="str">
        <f t="shared" si="6"/>
        <v>rtdc.l.rtdc.4016:itc</v>
      </c>
      <c r="G230" s="8">
        <f t="shared" si="7"/>
        <v>42668.009340277778</v>
      </c>
    </row>
    <row r="231" spans="1:7" x14ac:dyDescent="0.25">
      <c r="A231" s="8">
        <v>42668.010081018518</v>
      </c>
      <c r="B231" t="s">
        <v>274</v>
      </c>
      <c r="C231" t="s">
        <v>603</v>
      </c>
      <c r="D231">
        <v>1230000</v>
      </c>
      <c r="E231" t="s">
        <v>213</v>
      </c>
      <c r="F231" s="21" t="str">
        <f t="shared" si="6"/>
        <v>rtdc.l.rtdc.4016:itc</v>
      </c>
      <c r="G231" s="8">
        <f t="shared" si="7"/>
        <v>42668.010081018518</v>
      </c>
    </row>
    <row r="232" spans="1:7" x14ac:dyDescent="0.25">
      <c r="A232" s="8">
        <v>42668.014236111114</v>
      </c>
      <c r="B232" t="s">
        <v>265</v>
      </c>
      <c r="C232" t="s">
        <v>604</v>
      </c>
      <c r="D232">
        <v>1810000</v>
      </c>
      <c r="E232" t="s">
        <v>304</v>
      </c>
      <c r="F232" s="21" t="str">
        <f t="shared" si="6"/>
        <v>rtdc.l.rtdc.4054:itc</v>
      </c>
      <c r="G232" s="8">
        <f t="shared" si="7"/>
        <v>42668.014236111114</v>
      </c>
    </row>
    <row r="233" spans="1:7" x14ac:dyDescent="0.25">
      <c r="A233" s="8">
        <v>42668.030393518522</v>
      </c>
      <c r="B233" t="s">
        <v>386</v>
      </c>
      <c r="C233" t="s">
        <v>605</v>
      </c>
      <c r="D233">
        <v>1180000</v>
      </c>
      <c r="E233" t="s">
        <v>189</v>
      </c>
      <c r="F233" s="21" t="str">
        <f t="shared" si="6"/>
        <v>rtdc.l.rtdc.4002:itc</v>
      </c>
      <c r="G233" s="8">
        <f t="shared" si="7"/>
        <v>42668.030393518522</v>
      </c>
    </row>
    <row r="234" spans="1:7" x14ac:dyDescent="0.25">
      <c r="A234" s="8">
        <v>42668.038576388892</v>
      </c>
      <c r="B234" t="s">
        <v>300</v>
      </c>
      <c r="C234" t="s">
        <v>606</v>
      </c>
      <c r="D234">
        <v>1800000</v>
      </c>
      <c r="E234" t="s">
        <v>208</v>
      </c>
      <c r="F234" s="21" t="str">
        <f t="shared" si="6"/>
        <v>rtdc.l.rtdc.4037:itc</v>
      </c>
      <c r="G234" s="8">
        <f t="shared" si="7"/>
        <v>42668.038576388892</v>
      </c>
    </row>
    <row r="235" spans="1:7" x14ac:dyDescent="0.25">
      <c r="A235" s="8">
        <v>42668.039560185185</v>
      </c>
      <c r="B235" t="s">
        <v>300</v>
      </c>
      <c r="C235" t="s">
        <v>606</v>
      </c>
      <c r="D235">
        <v>1800000</v>
      </c>
      <c r="E235" t="s">
        <v>208</v>
      </c>
      <c r="F235" s="21" t="str">
        <f t="shared" si="6"/>
        <v>rtdc.l.rtdc.4037:itc</v>
      </c>
      <c r="G235" s="8">
        <f t="shared" si="7"/>
        <v>42668.039560185185</v>
      </c>
    </row>
    <row r="236" spans="1:7" x14ac:dyDescent="0.25">
      <c r="A236" s="8">
        <v>42668.04855324074</v>
      </c>
      <c r="B236" t="s">
        <v>348</v>
      </c>
      <c r="C236" t="s">
        <v>607</v>
      </c>
      <c r="D236">
        <v>1810000</v>
      </c>
      <c r="E236" t="s">
        <v>304</v>
      </c>
      <c r="F236" s="21" t="str">
        <f t="shared" ref="F236:F265" si="8">B236</f>
        <v>rtdc.l.rtdc.4022:itc</v>
      </c>
      <c r="G236" s="8">
        <f t="shared" ref="G236:G265" si="9">A236</f>
        <v>42668.04855324074</v>
      </c>
    </row>
    <row r="237" spans="1:7" x14ac:dyDescent="0.25">
      <c r="A237" s="8">
        <v>42668.057812500003</v>
      </c>
      <c r="B237" t="s">
        <v>311</v>
      </c>
      <c r="C237" t="s">
        <v>608</v>
      </c>
      <c r="D237">
        <v>1230000</v>
      </c>
      <c r="E237" t="s">
        <v>213</v>
      </c>
      <c r="F237" s="21" t="str">
        <f t="shared" si="8"/>
        <v>rtdc.l.rtdc.4013:itc</v>
      </c>
      <c r="G237" s="8">
        <f t="shared" si="9"/>
        <v>42668.057812500003</v>
      </c>
    </row>
    <row r="238" spans="1:7" x14ac:dyDescent="0.25">
      <c r="A238" s="8">
        <v>42668.078263888892</v>
      </c>
      <c r="B238" t="s">
        <v>331</v>
      </c>
      <c r="C238" t="s">
        <v>609</v>
      </c>
      <c r="D238">
        <v>1800000</v>
      </c>
      <c r="E238" t="s">
        <v>208</v>
      </c>
      <c r="F238" s="21" t="str">
        <f t="shared" si="8"/>
        <v>rtdc.l.rtdc.4011:itc</v>
      </c>
      <c r="G238" s="8">
        <f t="shared" si="9"/>
        <v>42668.078263888892</v>
      </c>
    </row>
    <row r="239" spans="1:7" x14ac:dyDescent="0.25">
      <c r="A239" s="8">
        <v>42668.08902777778</v>
      </c>
      <c r="B239" t="s">
        <v>274</v>
      </c>
      <c r="C239" t="s">
        <v>610</v>
      </c>
      <c r="D239">
        <v>1230000</v>
      </c>
      <c r="E239" t="s">
        <v>213</v>
      </c>
      <c r="F239" s="21" t="str">
        <f t="shared" si="8"/>
        <v>rtdc.l.rtdc.4016:itc</v>
      </c>
      <c r="G239" s="8">
        <f t="shared" si="9"/>
        <v>42668.08902777778</v>
      </c>
    </row>
    <row r="240" spans="1:7" x14ac:dyDescent="0.25">
      <c r="A240" s="8">
        <v>42661.949745370373</v>
      </c>
      <c r="B240" t="s">
        <v>260</v>
      </c>
      <c r="C240" t="s">
        <v>278</v>
      </c>
      <c r="D240">
        <v>1800000</v>
      </c>
      <c r="E240" t="s">
        <v>208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260</v>
      </c>
      <c r="C241" t="s">
        <v>279</v>
      </c>
      <c r="D241">
        <v>1800000</v>
      </c>
      <c r="E241" t="s">
        <v>208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241</v>
      </c>
      <c r="C242" t="s">
        <v>280</v>
      </c>
      <c r="D242">
        <v>1230000</v>
      </c>
      <c r="E242" t="s">
        <v>213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246</v>
      </c>
      <c r="C243" t="s">
        <v>281</v>
      </c>
      <c r="D243">
        <v>110000</v>
      </c>
      <c r="E243" t="s">
        <v>277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212</v>
      </c>
      <c r="C244" t="s">
        <v>276</v>
      </c>
      <c r="D244">
        <v>150000</v>
      </c>
      <c r="E244" t="s">
        <v>268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196</v>
      </c>
      <c r="C245" t="s">
        <v>282</v>
      </c>
      <c r="D245">
        <v>1180000</v>
      </c>
      <c r="E245" t="s">
        <v>189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261</v>
      </c>
      <c r="C246" t="s">
        <v>283</v>
      </c>
      <c r="D246">
        <v>1800000</v>
      </c>
      <c r="E246" t="s">
        <v>208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274</v>
      </c>
      <c r="C247" t="s">
        <v>284</v>
      </c>
      <c r="D247">
        <v>2350000</v>
      </c>
      <c r="E247" t="s">
        <v>262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210</v>
      </c>
      <c r="C248" t="s">
        <v>285</v>
      </c>
      <c r="D248">
        <v>1180000</v>
      </c>
      <c r="E248" t="s">
        <v>189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286</v>
      </c>
      <c r="D249">
        <v>1230000</v>
      </c>
      <c r="E249" t="s">
        <v>213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286</v>
      </c>
      <c r="D250">
        <v>1230000</v>
      </c>
      <c r="E250" t="s">
        <v>213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260</v>
      </c>
      <c r="C251" t="s">
        <v>287</v>
      </c>
      <c r="D251">
        <v>1800000</v>
      </c>
      <c r="E251" t="s">
        <v>208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275</v>
      </c>
      <c r="C252" t="s">
        <v>288</v>
      </c>
      <c r="D252">
        <v>2350000</v>
      </c>
      <c r="E252" t="s">
        <v>262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196</v>
      </c>
      <c r="C253" t="s">
        <v>289</v>
      </c>
      <c r="D253">
        <v>1180000</v>
      </c>
      <c r="E253" t="s">
        <v>189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274</v>
      </c>
      <c r="C254" t="s">
        <v>290</v>
      </c>
      <c r="D254">
        <v>2350000</v>
      </c>
      <c r="E254" t="s">
        <v>262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206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206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205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207</v>
      </c>
      <c r="C258" t="s">
        <v>203</v>
      </c>
      <c r="D258">
        <v>1480000</v>
      </c>
      <c r="E258" t="s">
        <v>191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197</v>
      </c>
      <c r="C259" t="s">
        <v>204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197</v>
      </c>
      <c r="C261" t="s">
        <v>199</v>
      </c>
      <c r="D261">
        <v>1180000</v>
      </c>
      <c r="E261" t="s">
        <v>189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198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193</v>
      </c>
      <c r="C263" t="s">
        <v>200</v>
      </c>
      <c r="D263">
        <v>1480000</v>
      </c>
      <c r="E263" t="s">
        <v>191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196</v>
      </c>
      <c r="C264" t="s">
        <v>201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198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198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198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198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198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194</v>
      </c>
      <c r="C270" t="s">
        <v>202</v>
      </c>
      <c r="D270">
        <v>1480000</v>
      </c>
      <c r="E270" t="s">
        <v>191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198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198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198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9" t="s">
        <v>168</v>
      </c>
      <c r="B1" s="179" t="s">
        <v>171</v>
      </c>
      <c r="C1" s="179" t="s">
        <v>164</v>
      </c>
      <c r="D1" s="163" t="s">
        <v>178</v>
      </c>
      <c r="E1" s="179" t="s">
        <v>165</v>
      </c>
      <c r="F1" s="179" t="s">
        <v>163</v>
      </c>
      <c r="G1" s="179" t="s">
        <v>161</v>
      </c>
      <c r="H1" s="179" t="s">
        <v>174</v>
      </c>
      <c r="I1" s="179" t="s">
        <v>175</v>
      </c>
      <c r="J1" s="179" t="s">
        <v>169</v>
      </c>
      <c r="K1" s="179" t="s">
        <v>167</v>
      </c>
      <c r="L1" s="179" t="s">
        <v>162</v>
      </c>
      <c r="M1" s="179" t="s">
        <v>172</v>
      </c>
      <c r="N1" s="179" t="s">
        <v>166</v>
      </c>
      <c r="O1" s="179" t="s">
        <v>173</v>
      </c>
      <c r="P1" s="179" t="s">
        <v>170</v>
      </c>
      <c r="Q1"/>
    </row>
    <row r="2" spans="1:17" x14ac:dyDescent="0.25">
      <c r="A2" s="165">
        <v>49.66</v>
      </c>
      <c r="B2" s="165">
        <v>0.67</v>
      </c>
      <c r="C2" s="165">
        <v>30.38</v>
      </c>
      <c r="D2" s="8">
        <v>42667</v>
      </c>
      <c r="E2" s="165">
        <v>0.47</v>
      </c>
      <c r="F2" s="165" t="s">
        <v>353</v>
      </c>
      <c r="G2" s="165">
        <v>253.84</v>
      </c>
      <c r="H2" s="165">
        <v>0</v>
      </c>
      <c r="I2" s="165">
        <v>0</v>
      </c>
      <c r="J2" s="165">
        <v>1020.49</v>
      </c>
      <c r="K2" s="165" t="s">
        <v>354</v>
      </c>
      <c r="L2" s="165">
        <v>49.66</v>
      </c>
      <c r="M2" s="165">
        <v>1477288800</v>
      </c>
      <c r="N2" s="165">
        <v>8.11</v>
      </c>
      <c r="O2" s="165">
        <v>221</v>
      </c>
      <c r="P2" s="165">
        <v>1.43</v>
      </c>
      <c r="Q2"/>
    </row>
    <row r="3" spans="1:17" x14ac:dyDescent="0.25">
      <c r="A3" s="165">
        <v>47.9</v>
      </c>
      <c r="B3" s="165">
        <v>0.65</v>
      </c>
      <c r="C3" s="165">
        <v>30.03</v>
      </c>
      <c r="D3" s="8">
        <v>42667.041666666664</v>
      </c>
      <c r="E3" s="165">
        <v>0.5</v>
      </c>
      <c r="F3" s="165" t="s">
        <v>353</v>
      </c>
      <c r="G3" s="165">
        <v>253.22</v>
      </c>
      <c r="H3" s="165">
        <v>0</v>
      </c>
      <c r="I3" s="165">
        <v>0</v>
      </c>
      <c r="J3" s="165">
        <v>1021.03</v>
      </c>
      <c r="K3" s="165" t="s">
        <v>354</v>
      </c>
      <c r="L3" s="165">
        <v>47.9</v>
      </c>
      <c r="M3" s="165">
        <v>1477292400</v>
      </c>
      <c r="N3" s="165">
        <v>8.43</v>
      </c>
      <c r="O3" s="165">
        <v>219</v>
      </c>
      <c r="P3" s="165">
        <v>2.06</v>
      </c>
      <c r="Q3"/>
    </row>
    <row r="4" spans="1:17" x14ac:dyDescent="0.25">
      <c r="A4" s="165">
        <v>46.66</v>
      </c>
      <c r="B4" s="165">
        <v>0.72</v>
      </c>
      <c r="C4" s="165">
        <v>30.08</v>
      </c>
      <c r="D4" s="8">
        <v>42667.083333333336</v>
      </c>
      <c r="E4" s="165">
        <v>0.52</v>
      </c>
      <c r="F4" s="165" t="s">
        <v>353</v>
      </c>
      <c r="G4" s="165">
        <v>252.6</v>
      </c>
      <c r="H4" s="165">
        <v>0</v>
      </c>
      <c r="I4" s="165">
        <v>0</v>
      </c>
      <c r="J4" s="165">
        <v>1021.52</v>
      </c>
      <c r="K4" s="165" t="s">
        <v>354</v>
      </c>
      <c r="L4" s="165">
        <v>46.66</v>
      </c>
      <c r="M4" s="165">
        <v>1477296000</v>
      </c>
      <c r="N4" s="165">
        <v>7.92</v>
      </c>
      <c r="O4" s="165">
        <v>246</v>
      </c>
      <c r="P4" s="165">
        <v>2.02</v>
      </c>
      <c r="Q4"/>
    </row>
    <row r="5" spans="1:17" x14ac:dyDescent="0.25">
      <c r="A5" s="165">
        <v>44.58</v>
      </c>
      <c r="B5" s="165">
        <v>0.72</v>
      </c>
      <c r="C5" s="165">
        <v>28.99</v>
      </c>
      <c r="D5" s="8">
        <v>42667.125</v>
      </c>
      <c r="E5" s="165">
        <v>0.54</v>
      </c>
      <c r="F5" s="165" t="s">
        <v>353</v>
      </c>
      <c r="G5" s="165">
        <v>251.98</v>
      </c>
      <c r="H5" s="165">
        <v>0</v>
      </c>
      <c r="I5" s="165">
        <v>0</v>
      </c>
      <c r="J5" s="165">
        <v>1021.96</v>
      </c>
      <c r="K5" s="165" t="s">
        <v>354</v>
      </c>
      <c r="L5" s="165">
        <v>44.58</v>
      </c>
      <c r="M5" s="165">
        <v>1477299600</v>
      </c>
      <c r="N5" s="165">
        <v>7.18</v>
      </c>
      <c r="O5" s="165">
        <v>235</v>
      </c>
      <c r="P5" s="165">
        <v>1.81</v>
      </c>
      <c r="Q5"/>
    </row>
    <row r="6" spans="1:17" x14ac:dyDescent="0.25">
      <c r="A6" s="165">
        <v>44.2</v>
      </c>
      <c r="B6" s="165">
        <v>0.75</v>
      </c>
      <c r="C6" s="165">
        <v>29.47</v>
      </c>
      <c r="D6" s="8">
        <v>42667.166666666664</v>
      </c>
      <c r="E6" s="165">
        <v>0.56000000000000005</v>
      </c>
      <c r="F6" s="165" t="s">
        <v>353</v>
      </c>
      <c r="G6" s="165">
        <v>252.23</v>
      </c>
      <c r="H6" s="165">
        <v>0</v>
      </c>
      <c r="I6" s="165">
        <v>0</v>
      </c>
      <c r="J6" s="165">
        <v>1022.14</v>
      </c>
      <c r="K6" s="165" t="s">
        <v>354</v>
      </c>
      <c r="L6" s="165">
        <v>44.2</v>
      </c>
      <c r="M6" s="165">
        <v>1477303200</v>
      </c>
      <c r="N6" s="165">
        <v>6.84</v>
      </c>
      <c r="O6" s="165">
        <v>231</v>
      </c>
      <c r="P6" s="165">
        <v>1.72</v>
      </c>
      <c r="Q6"/>
    </row>
    <row r="7" spans="1:17" x14ac:dyDescent="0.25">
      <c r="A7" s="165">
        <v>43</v>
      </c>
      <c r="B7" s="165">
        <v>0.81</v>
      </c>
      <c r="C7" s="165">
        <v>28.72</v>
      </c>
      <c r="D7" s="8">
        <v>42667.208333333336</v>
      </c>
      <c r="E7" s="165">
        <v>0.56999999999999995</v>
      </c>
      <c r="F7" s="165" t="s">
        <v>353</v>
      </c>
      <c r="G7" s="165">
        <v>252.81</v>
      </c>
      <c r="H7" s="165">
        <v>0</v>
      </c>
      <c r="I7" s="165">
        <v>0</v>
      </c>
      <c r="J7" s="165">
        <v>1022.21</v>
      </c>
      <c r="K7" s="165" t="s">
        <v>354</v>
      </c>
      <c r="L7" s="165">
        <v>43</v>
      </c>
      <c r="M7" s="165">
        <v>1477306800</v>
      </c>
      <c r="N7" s="165">
        <v>7.37</v>
      </c>
      <c r="O7" s="165">
        <v>233</v>
      </c>
      <c r="P7" s="165">
        <v>2.1800000000000002</v>
      </c>
      <c r="Q7"/>
    </row>
    <row r="8" spans="1:17" x14ac:dyDescent="0.25">
      <c r="A8" s="165">
        <v>42.22</v>
      </c>
      <c r="B8" s="165">
        <v>0.84</v>
      </c>
      <c r="C8" s="165">
        <v>28.42</v>
      </c>
      <c r="D8" s="8">
        <v>42667.25</v>
      </c>
      <c r="E8" s="165">
        <v>0.57999999999999996</v>
      </c>
      <c r="F8" s="165" t="s">
        <v>353</v>
      </c>
      <c r="G8" s="165">
        <v>253.08</v>
      </c>
      <c r="H8" s="165">
        <v>0</v>
      </c>
      <c r="I8" s="165">
        <v>0</v>
      </c>
      <c r="J8" s="165">
        <v>1022.21</v>
      </c>
      <c r="K8" s="165" t="s">
        <v>354</v>
      </c>
      <c r="L8" s="165">
        <v>42.22</v>
      </c>
      <c r="M8" s="165">
        <v>1477310400</v>
      </c>
      <c r="N8" s="165">
        <v>7.03</v>
      </c>
      <c r="O8" s="165">
        <v>238</v>
      </c>
      <c r="P8" s="165">
        <v>1.82</v>
      </c>
      <c r="Q8"/>
    </row>
    <row r="9" spans="1:17" x14ac:dyDescent="0.25">
      <c r="A9" s="165">
        <v>42.49</v>
      </c>
      <c r="B9" s="165">
        <v>0.8</v>
      </c>
      <c r="C9" s="165">
        <v>28.22</v>
      </c>
      <c r="D9" s="8">
        <v>42667.291666666664</v>
      </c>
      <c r="E9" s="165">
        <v>0.56999999999999995</v>
      </c>
      <c r="F9" s="165" t="s">
        <v>353</v>
      </c>
      <c r="G9" s="165">
        <v>252.68</v>
      </c>
      <c r="H9" s="165">
        <v>0</v>
      </c>
      <c r="I9" s="165">
        <v>0</v>
      </c>
      <c r="J9" s="165">
        <v>1022.22</v>
      </c>
      <c r="K9" s="165" t="s">
        <v>354</v>
      </c>
      <c r="L9" s="165">
        <v>42.49</v>
      </c>
      <c r="M9" s="165">
        <v>1477314000</v>
      </c>
      <c r="N9" s="165">
        <v>5.9</v>
      </c>
      <c r="O9" s="165">
        <v>228</v>
      </c>
      <c r="P9" s="165">
        <v>1.65</v>
      </c>
      <c r="Q9"/>
    </row>
    <row r="10" spans="1:17" x14ac:dyDescent="0.25">
      <c r="A10" s="165">
        <v>45.23</v>
      </c>
      <c r="B10" s="165">
        <v>0.76</v>
      </c>
      <c r="C10" s="165">
        <v>30.28</v>
      </c>
      <c r="D10" s="8">
        <v>42667.333333333336</v>
      </c>
      <c r="E10" s="165">
        <v>0.56000000000000005</v>
      </c>
      <c r="F10" s="165" t="s">
        <v>319</v>
      </c>
      <c r="G10" s="165">
        <v>251.96</v>
      </c>
      <c r="H10" s="165">
        <v>0</v>
      </c>
      <c r="I10" s="165">
        <v>0</v>
      </c>
      <c r="J10" s="165">
        <v>1022.12</v>
      </c>
      <c r="K10" s="165" t="s">
        <v>354</v>
      </c>
      <c r="L10" s="165">
        <v>45.23</v>
      </c>
      <c r="M10" s="165">
        <v>1477317600</v>
      </c>
      <c r="N10" s="165">
        <v>5.39</v>
      </c>
      <c r="O10" s="165">
        <v>215</v>
      </c>
      <c r="P10" s="165">
        <v>1.1399999999999999</v>
      </c>
      <c r="Q10"/>
    </row>
    <row r="11" spans="1:17" x14ac:dyDescent="0.25">
      <c r="A11" s="165">
        <v>51.63</v>
      </c>
      <c r="B11" s="165">
        <v>0.74</v>
      </c>
      <c r="C11" s="165">
        <v>31.85</v>
      </c>
      <c r="D11" s="8">
        <v>42667.375</v>
      </c>
      <c r="E11" s="165">
        <v>0.47</v>
      </c>
      <c r="F11" s="165" t="s">
        <v>319</v>
      </c>
      <c r="G11" s="165">
        <v>251.33</v>
      </c>
      <c r="H11" s="165">
        <v>0</v>
      </c>
      <c r="I11" s="165">
        <v>0</v>
      </c>
      <c r="J11" s="165">
        <v>1021.63</v>
      </c>
      <c r="K11" s="165" t="s">
        <v>354</v>
      </c>
      <c r="L11" s="165">
        <v>51.63</v>
      </c>
      <c r="M11" s="165">
        <v>1477321200</v>
      </c>
      <c r="N11" s="165">
        <v>5.24</v>
      </c>
      <c r="O11" s="165">
        <v>224</v>
      </c>
      <c r="P11" s="165">
        <v>1.97</v>
      </c>
      <c r="Q11"/>
    </row>
    <row r="12" spans="1:17" x14ac:dyDescent="0.25">
      <c r="A12" s="165">
        <v>59.77</v>
      </c>
      <c r="B12" s="165">
        <v>0.73</v>
      </c>
      <c r="C12" s="165">
        <v>30.26</v>
      </c>
      <c r="D12" s="8">
        <v>42667.416666666664</v>
      </c>
      <c r="E12" s="165">
        <v>0.33</v>
      </c>
      <c r="F12" s="165" t="s">
        <v>319</v>
      </c>
      <c r="G12" s="165">
        <v>250.96</v>
      </c>
      <c r="H12" s="165">
        <v>0</v>
      </c>
      <c r="I12" s="165">
        <v>0</v>
      </c>
      <c r="J12" s="165">
        <v>1020.6</v>
      </c>
      <c r="K12" s="165" t="s">
        <v>354</v>
      </c>
      <c r="L12" s="165">
        <v>59.77</v>
      </c>
      <c r="M12" s="165">
        <v>1477324800</v>
      </c>
      <c r="N12" s="165">
        <v>4.8499999999999996</v>
      </c>
      <c r="O12" s="165">
        <v>203</v>
      </c>
      <c r="P12" s="165">
        <v>2.41</v>
      </c>
      <c r="Q12"/>
    </row>
    <row r="13" spans="1:17" x14ac:dyDescent="0.25">
      <c r="A13" s="165">
        <v>68.48</v>
      </c>
      <c r="B13" s="165">
        <v>0.72</v>
      </c>
      <c r="C13" s="165">
        <v>31.51</v>
      </c>
      <c r="D13" s="8">
        <v>42667.458333333336</v>
      </c>
      <c r="E13" s="165">
        <v>0.25</v>
      </c>
      <c r="F13" s="165" t="s">
        <v>319</v>
      </c>
      <c r="G13" s="165">
        <v>250.68</v>
      </c>
      <c r="H13" s="165">
        <v>0</v>
      </c>
      <c r="I13" s="165">
        <v>0</v>
      </c>
      <c r="J13" s="165">
        <v>1019.25</v>
      </c>
      <c r="K13" s="165" t="s">
        <v>354</v>
      </c>
      <c r="L13" s="165">
        <v>68.48</v>
      </c>
      <c r="M13" s="165">
        <v>1477328400</v>
      </c>
      <c r="N13" s="165">
        <v>4.83</v>
      </c>
      <c r="O13" s="165">
        <v>181</v>
      </c>
      <c r="P13" s="165">
        <v>1.52</v>
      </c>
      <c r="Q13"/>
    </row>
    <row r="14" spans="1:17" x14ac:dyDescent="0.25">
      <c r="A14" s="165">
        <v>74.19</v>
      </c>
      <c r="B14" s="165">
        <v>0.71</v>
      </c>
      <c r="C14" s="165">
        <v>31.13</v>
      </c>
      <c r="D14" s="8">
        <v>42667.5</v>
      </c>
      <c r="E14" s="165">
        <v>0.2</v>
      </c>
      <c r="F14" s="165" t="s">
        <v>319</v>
      </c>
      <c r="G14" s="165">
        <v>250.33</v>
      </c>
      <c r="H14" s="165">
        <v>0</v>
      </c>
      <c r="I14" s="165">
        <v>0</v>
      </c>
      <c r="J14" s="165">
        <v>1018.17</v>
      </c>
      <c r="K14" s="165" t="s">
        <v>354</v>
      </c>
      <c r="L14" s="165">
        <v>74.19</v>
      </c>
      <c r="M14" s="165">
        <v>1477332000</v>
      </c>
      <c r="N14" s="165">
        <v>4.87</v>
      </c>
      <c r="O14" s="165">
        <v>136</v>
      </c>
      <c r="P14" s="165">
        <v>2.08</v>
      </c>
      <c r="Q14"/>
    </row>
    <row r="15" spans="1:17" x14ac:dyDescent="0.25">
      <c r="A15" s="165">
        <v>76.849999999999994</v>
      </c>
      <c r="B15" s="165">
        <v>0.63</v>
      </c>
      <c r="C15" s="165">
        <v>30.07</v>
      </c>
      <c r="D15" s="8">
        <v>42667.541666666664</v>
      </c>
      <c r="E15" s="165">
        <v>0.18</v>
      </c>
      <c r="F15" s="165" t="s">
        <v>319</v>
      </c>
      <c r="G15" s="165">
        <v>249.75</v>
      </c>
      <c r="H15" s="165">
        <v>0</v>
      </c>
      <c r="I15" s="165">
        <v>0</v>
      </c>
      <c r="J15" s="165">
        <v>1017.19</v>
      </c>
      <c r="K15" s="165" t="s">
        <v>354</v>
      </c>
      <c r="L15" s="165">
        <v>76.849999999999994</v>
      </c>
      <c r="M15" s="165">
        <v>1477335600</v>
      </c>
      <c r="N15" s="165">
        <v>4.87</v>
      </c>
      <c r="O15" s="165">
        <v>113</v>
      </c>
      <c r="P15" s="165">
        <v>3.85</v>
      </c>
      <c r="Q15"/>
    </row>
    <row r="16" spans="1:17" x14ac:dyDescent="0.25">
      <c r="A16" s="165">
        <v>77.25</v>
      </c>
      <c r="B16" s="165">
        <v>0.49</v>
      </c>
      <c r="C16" s="165">
        <v>27.53</v>
      </c>
      <c r="D16" s="8">
        <v>42667.583333333336</v>
      </c>
      <c r="E16" s="165">
        <v>0.16</v>
      </c>
      <c r="F16" s="165" t="s">
        <v>319</v>
      </c>
      <c r="G16" s="165">
        <v>249.1</v>
      </c>
      <c r="H16" s="165">
        <v>0</v>
      </c>
      <c r="I16" s="165">
        <v>0</v>
      </c>
      <c r="J16" s="165">
        <v>1016.23</v>
      </c>
      <c r="K16" s="165" t="s">
        <v>211</v>
      </c>
      <c r="L16" s="165">
        <v>77.25</v>
      </c>
      <c r="M16" s="165">
        <v>1477339200</v>
      </c>
      <c r="N16" s="165">
        <v>4.8899999999999997</v>
      </c>
      <c r="O16" s="165">
        <v>106</v>
      </c>
      <c r="P16" s="165">
        <v>3.89</v>
      </c>
      <c r="Q16"/>
    </row>
    <row r="17" spans="1:17" x14ac:dyDescent="0.25">
      <c r="A17" s="165">
        <v>77.739999999999995</v>
      </c>
      <c r="B17" s="165">
        <v>0.39</v>
      </c>
      <c r="C17" s="165">
        <v>26.31</v>
      </c>
      <c r="D17" s="8">
        <v>42667.625</v>
      </c>
      <c r="E17" s="165">
        <v>0.15</v>
      </c>
      <c r="F17" s="165" t="s">
        <v>319</v>
      </c>
      <c r="G17" s="165">
        <v>248.73</v>
      </c>
      <c r="H17" s="165">
        <v>0</v>
      </c>
      <c r="I17" s="165">
        <v>0</v>
      </c>
      <c r="J17" s="165">
        <v>1015.51</v>
      </c>
      <c r="K17" s="165" t="s">
        <v>211</v>
      </c>
      <c r="L17" s="165">
        <v>77.739999999999995</v>
      </c>
      <c r="M17" s="165">
        <v>1477342800</v>
      </c>
      <c r="N17" s="165">
        <v>4.8600000000000003</v>
      </c>
      <c r="O17" s="165">
        <v>86</v>
      </c>
      <c r="P17" s="165">
        <v>4.03</v>
      </c>
      <c r="Q17"/>
    </row>
    <row r="18" spans="1:17" x14ac:dyDescent="0.25">
      <c r="A18" s="165">
        <v>77.03</v>
      </c>
      <c r="B18" s="165">
        <v>0.39</v>
      </c>
      <c r="C18" s="165">
        <v>26.88</v>
      </c>
      <c r="D18" s="8">
        <v>42667.666666666664</v>
      </c>
      <c r="E18" s="165">
        <v>0.16</v>
      </c>
      <c r="F18" s="165" t="s">
        <v>319</v>
      </c>
      <c r="G18" s="165">
        <v>248.92</v>
      </c>
      <c r="H18" s="165">
        <v>0</v>
      </c>
      <c r="I18" s="165">
        <v>0</v>
      </c>
      <c r="J18" s="165">
        <v>1015.1</v>
      </c>
      <c r="K18" s="165" t="s">
        <v>211</v>
      </c>
      <c r="L18" s="165">
        <v>77.03</v>
      </c>
      <c r="M18" s="165">
        <v>1477346400</v>
      </c>
      <c r="N18" s="165">
        <v>4.93</v>
      </c>
      <c r="O18" s="165">
        <v>81</v>
      </c>
      <c r="P18" s="165">
        <v>4.21</v>
      </c>
      <c r="Q18"/>
    </row>
    <row r="19" spans="1:17" x14ac:dyDescent="0.25">
      <c r="A19" s="165">
        <v>73.63</v>
      </c>
      <c r="B19" s="165">
        <v>0.42</v>
      </c>
      <c r="C19" s="165">
        <v>27.2</v>
      </c>
      <c r="D19" s="8">
        <v>42667.708333333336</v>
      </c>
      <c r="E19" s="165">
        <v>0.18</v>
      </c>
      <c r="F19" s="165" t="s">
        <v>319</v>
      </c>
      <c r="G19" s="165">
        <v>249.39</v>
      </c>
      <c r="H19" s="165">
        <v>0</v>
      </c>
      <c r="I19" s="165">
        <v>0</v>
      </c>
      <c r="J19" s="165">
        <v>1014.92</v>
      </c>
      <c r="K19" s="165" t="s">
        <v>211</v>
      </c>
      <c r="L19" s="165">
        <v>73.63</v>
      </c>
      <c r="M19" s="165">
        <v>1477350000</v>
      </c>
      <c r="N19" s="165">
        <v>5.05</v>
      </c>
      <c r="O19" s="165">
        <v>74</v>
      </c>
      <c r="P19" s="165">
        <v>4.0599999999999996</v>
      </c>
      <c r="Q19"/>
    </row>
    <row r="20" spans="1:17" x14ac:dyDescent="0.25">
      <c r="A20" s="165">
        <v>69.58</v>
      </c>
      <c r="B20" s="165">
        <v>0.33</v>
      </c>
      <c r="C20" s="165">
        <v>27.97</v>
      </c>
      <c r="D20" s="8">
        <v>42667.75</v>
      </c>
      <c r="E20" s="165">
        <v>0.21</v>
      </c>
      <c r="F20" s="165" t="s">
        <v>319</v>
      </c>
      <c r="G20" s="165">
        <v>249.53</v>
      </c>
      <c r="H20" s="165">
        <v>0</v>
      </c>
      <c r="I20" s="165">
        <v>0</v>
      </c>
      <c r="J20" s="165">
        <v>1014.97</v>
      </c>
      <c r="K20" s="165" t="s">
        <v>211</v>
      </c>
      <c r="L20" s="165">
        <v>69.58</v>
      </c>
      <c r="M20" s="165">
        <v>1477353600</v>
      </c>
      <c r="N20" s="165">
        <v>5.34</v>
      </c>
      <c r="O20" s="165">
        <v>71</v>
      </c>
      <c r="P20" s="165">
        <v>3.67</v>
      </c>
      <c r="Q20"/>
    </row>
    <row r="21" spans="1:17" x14ac:dyDescent="0.25">
      <c r="A21" s="165">
        <v>65.290000000000006</v>
      </c>
      <c r="B21" s="165">
        <v>0.25</v>
      </c>
      <c r="C21" s="165">
        <v>28.13</v>
      </c>
      <c r="D21" s="8">
        <v>42667.791666666664</v>
      </c>
      <c r="E21" s="165">
        <v>0.25</v>
      </c>
      <c r="F21" s="165" t="s">
        <v>353</v>
      </c>
      <c r="G21" s="165">
        <v>248.97</v>
      </c>
      <c r="H21" s="165">
        <v>0</v>
      </c>
      <c r="I21" s="165">
        <v>0</v>
      </c>
      <c r="J21" s="165">
        <v>1015.15</v>
      </c>
      <c r="K21" s="165" t="s">
        <v>211</v>
      </c>
      <c r="L21" s="165">
        <v>65.290000000000006</v>
      </c>
      <c r="M21" s="165">
        <v>1477357200</v>
      </c>
      <c r="N21" s="165">
        <v>5.84</v>
      </c>
      <c r="O21" s="165">
        <v>49</v>
      </c>
      <c r="P21" s="165">
        <v>1.78</v>
      </c>
      <c r="Q21"/>
    </row>
    <row r="22" spans="1:17" x14ac:dyDescent="0.25">
      <c r="A22" s="165">
        <v>61.44</v>
      </c>
      <c r="B22" s="165">
        <v>0.16</v>
      </c>
      <c r="C22" s="165">
        <v>29.5</v>
      </c>
      <c r="D22" s="8">
        <v>42667.833333333336</v>
      </c>
      <c r="E22" s="165">
        <v>0.3</v>
      </c>
      <c r="F22" s="165" t="s">
        <v>247</v>
      </c>
      <c r="G22" s="165">
        <v>248.1</v>
      </c>
      <c r="H22" s="165">
        <v>0</v>
      </c>
      <c r="I22" s="165">
        <v>0</v>
      </c>
      <c r="J22" s="165">
        <v>1016.08</v>
      </c>
      <c r="K22" s="165" t="s">
        <v>248</v>
      </c>
      <c r="L22" s="165">
        <v>61.44</v>
      </c>
      <c r="M22" s="165">
        <v>1477360800</v>
      </c>
      <c r="N22" s="165">
        <v>6.65</v>
      </c>
      <c r="O22" s="165">
        <v>287</v>
      </c>
      <c r="P22" s="165">
        <v>1.32</v>
      </c>
      <c r="Q22"/>
    </row>
    <row r="23" spans="1:17" x14ac:dyDescent="0.25">
      <c r="A23" s="165">
        <v>58.77</v>
      </c>
      <c r="B23" s="165">
        <v>0.15</v>
      </c>
      <c r="C23" s="165">
        <v>29.08</v>
      </c>
      <c r="D23" s="8">
        <v>42667.875</v>
      </c>
      <c r="E23" s="165">
        <v>0.32</v>
      </c>
      <c r="F23" s="165" t="s">
        <v>247</v>
      </c>
      <c r="G23" s="165">
        <v>247.44</v>
      </c>
      <c r="H23" s="165">
        <v>0</v>
      </c>
      <c r="I23" s="165">
        <v>0</v>
      </c>
      <c r="J23" s="165">
        <v>1016.82</v>
      </c>
      <c r="K23" s="165" t="s">
        <v>248</v>
      </c>
      <c r="L23" s="165">
        <v>58.77</v>
      </c>
      <c r="M23" s="165">
        <v>1477364400</v>
      </c>
      <c r="N23" s="165">
        <v>7.69</v>
      </c>
      <c r="O23" s="165">
        <v>259</v>
      </c>
      <c r="P23" s="165">
        <v>2.25</v>
      </c>
      <c r="Q23"/>
    </row>
    <row r="24" spans="1:17" x14ac:dyDescent="0.25">
      <c r="A24" s="165">
        <v>57.09</v>
      </c>
      <c r="B24" s="165">
        <v>0.35</v>
      </c>
      <c r="C24" s="165">
        <v>28.1</v>
      </c>
      <c r="D24" s="8">
        <v>42667.916666666664</v>
      </c>
      <c r="E24" s="165">
        <v>0.33</v>
      </c>
      <c r="F24" s="165" t="s">
        <v>353</v>
      </c>
      <c r="G24" s="165">
        <v>247.22</v>
      </c>
      <c r="H24" s="165">
        <v>0</v>
      </c>
      <c r="I24" s="165">
        <v>0</v>
      </c>
      <c r="J24" s="165">
        <v>1016.58</v>
      </c>
      <c r="K24" s="165" t="s">
        <v>211</v>
      </c>
      <c r="L24" s="165">
        <v>57.09</v>
      </c>
      <c r="M24" s="165">
        <v>1477368000</v>
      </c>
      <c r="N24" s="165">
        <v>6.73</v>
      </c>
      <c r="O24" s="165">
        <v>222</v>
      </c>
      <c r="P24" s="165">
        <v>2.94</v>
      </c>
      <c r="Q24"/>
    </row>
    <row r="25" spans="1:17" x14ac:dyDescent="0.25">
      <c r="A25" s="165">
        <v>55.36</v>
      </c>
      <c r="B25" s="165">
        <v>0.65</v>
      </c>
      <c r="C25" s="165">
        <v>28.78</v>
      </c>
      <c r="D25" s="8">
        <v>42667.958333333336</v>
      </c>
      <c r="E25" s="165">
        <v>0.36</v>
      </c>
      <c r="F25" s="165" t="s">
        <v>353</v>
      </c>
      <c r="G25" s="165">
        <v>247.21</v>
      </c>
      <c r="H25" s="165">
        <v>0</v>
      </c>
      <c r="I25" s="165">
        <v>0</v>
      </c>
      <c r="J25" s="165">
        <v>1015.9</v>
      </c>
      <c r="K25" s="165" t="s">
        <v>354</v>
      </c>
      <c r="L25" s="165">
        <v>55.36</v>
      </c>
      <c r="M25" s="165">
        <v>1477371600</v>
      </c>
      <c r="N25" s="165">
        <v>6.94</v>
      </c>
      <c r="O25" s="165">
        <v>203</v>
      </c>
      <c r="P25" s="165">
        <v>2.67</v>
      </c>
      <c r="Q25"/>
    </row>
    <row r="26" spans="1:17" x14ac:dyDescent="0.25">
      <c r="A26" s="165">
        <v>54.07</v>
      </c>
      <c r="B26" s="165">
        <v>0.83</v>
      </c>
      <c r="C26" s="165">
        <v>29.54</v>
      </c>
      <c r="D26" s="8">
        <v>42668</v>
      </c>
      <c r="E26" s="165">
        <v>0.39</v>
      </c>
      <c r="F26" s="165" t="s">
        <v>353</v>
      </c>
      <c r="G26" s="165">
        <v>247.35</v>
      </c>
      <c r="H26" s="165">
        <v>0</v>
      </c>
      <c r="I26" s="165">
        <v>0</v>
      </c>
      <c r="J26" s="165">
        <v>1015.38</v>
      </c>
      <c r="K26" s="165" t="s">
        <v>354</v>
      </c>
      <c r="L26" s="165">
        <v>54.07</v>
      </c>
      <c r="M26" s="165">
        <v>1477375200</v>
      </c>
      <c r="N26" s="165">
        <v>7.58</v>
      </c>
      <c r="O26" s="165">
        <v>210</v>
      </c>
      <c r="P26" s="165">
        <v>2.2200000000000002</v>
      </c>
      <c r="Q26"/>
    </row>
    <row r="27" spans="1:17" x14ac:dyDescent="0.25">
      <c r="A27" s="165">
        <v>52.51</v>
      </c>
      <c r="B27" s="165">
        <v>0.6</v>
      </c>
      <c r="C27" s="165">
        <v>30.06</v>
      </c>
      <c r="D27" s="8">
        <v>42668.041666666664</v>
      </c>
      <c r="E27" s="165">
        <v>0.42</v>
      </c>
      <c r="F27" s="165" t="s">
        <v>353</v>
      </c>
      <c r="G27" s="165">
        <v>247.77</v>
      </c>
      <c r="H27" s="165">
        <v>0</v>
      </c>
      <c r="I27" s="165">
        <v>0</v>
      </c>
      <c r="J27" s="165">
        <v>1015.44</v>
      </c>
      <c r="K27" s="165" t="s">
        <v>354</v>
      </c>
      <c r="L27" s="165">
        <v>52.51</v>
      </c>
      <c r="M27" s="165">
        <v>1477378800</v>
      </c>
      <c r="N27" s="165">
        <v>7.93</v>
      </c>
      <c r="O27" s="165">
        <v>233</v>
      </c>
      <c r="P27" s="165">
        <v>2.3199999999999998</v>
      </c>
      <c r="Q27"/>
    </row>
    <row r="28" spans="1:17" x14ac:dyDescent="0.25">
      <c r="A28" s="165">
        <v>51.84</v>
      </c>
      <c r="B28" s="165">
        <v>0.74</v>
      </c>
      <c r="C28" s="165">
        <v>30.75</v>
      </c>
      <c r="D28" s="8">
        <v>42668.083333333336</v>
      </c>
      <c r="E28" s="165">
        <v>0.44</v>
      </c>
      <c r="F28" s="165" t="s">
        <v>353</v>
      </c>
      <c r="G28" s="165">
        <v>248.19</v>
      </c>
      <c r="H28" s="165">
        <v>0</v>
      </c>
      <c r="I28" s="165">
        <v>0</v>
      </c>
      <c r="J28" s="165">
        <v>1015.47</v>
      </c>
      <c r="K28" s="165" t="s">
        <v>354</v>
      </c>
      <c r="L28" s="165">
        <v>51.84</v>
      </c>
      <c r="M28" s="165">
        <v>1477382400</v>
      </c>
      <c r="N28" s="165">
        <v>6.99</v>
      </c>
      <c r="O28" s="165">
        <v>216</v>
      </c>
      <c r="P28" s="165">
        <v>2.13</v>
      </c>
      <c r="Q28"/>
    </row>
    <row r="29" spans="1:17" x14ac:dyDescent="0.25">
      <c r="A29" s="165">
        <v>51.84</v>
      </c>
      <c r="B29" s="165">
        <v>0.77</v>
      </c>
      <c r="C29" s="165">
        <v>31.6</v>
      </c>
      <c r="D29" s="8">
        <v>42668.125</v>
      </c>
      <c r="E29" s="165">
        <v>0.46</v>
      </c>
      <c r="F29" s="165" t="s">
        <v>353</v>
      </c>
      <c r="G29" s="165">
        <v>248.6</v>
      </c>
      <c r="H29" s="165">
        <v>0</v>
      </c>
      <c r="I29" s="165">
        <v>0</v>
      </c>
      <c r="J29" s="165">
        <v>1015.49</v>
      </c>
      <c r="K29" s="165" t="s">
        <v>354</v>
      </c>
      <c r="L29" s="165">
        <v>51.84</v>
      </c>
      <c r="M29" s="165">
        <v>1477386000</v>
      </c>
      <c r="N29" s="165">
        <v>5</v>
      </c>
      <c r="O29" s="165">
        <v>225</v>
      </c>
      <c r="P29" s="165">
        <v>1.33</v>
      </c>
      <c r="Q29"/>
    </row>
    <row r="31" spans="1:17" x14ac:dyDescent="0.25">
      <c r="A31" s="136" t="s">
        <v>249</v>
      </c>
    </row>
    <row r="33" spans="1:1" x14ac:dyDescent="0.25">
      <c r="A33" s="136" t="s">
        <v>209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A22" sqref="A22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100</v>
      </c>
      <c r="D1" s="146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42667</v>
      </c>
      <c r="B2" s="4"/>
      <c r="C2" s="147">
        <v>50</v>
      </c>
      <c r="D2" s="148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5" t="s">
        <v>100</v>
      </c>
      <c r="D4" s="146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256</v>
      </c>
      <c r="J17" s="33"/>
      <c r="K17" s="34"/>
      <c r="L17" s="34"/>
    </row>
    <row r="18" spans="3:13" x14ac:dyDescent="0.25">
      <c r="C18" t="s">
        <v>795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796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797</v>
      </c>
      <c r="J20" t="s">
        <v>87</v>
      </c>
      <c r="M20" s="68" t="s">
        <v>190</v>
      </c>
    </row>
    <row r="21" spans="3:13" x14ac:dyDescent="0.25">
      <c r="C21" t="s">
        <v>798</v>
      </c>
      <c r="J21" s="21" t="s">
        <v>90</v>
      </c>
      <c r="K21" s="21" t="s">
        <v>91</v>
      </c>
      <c r="M21" s="68" t="s">
        <v>192</v>
      </c>
    </row>
    <row r="22" spans="3:13" x14ac:dyDescent="0.25">
      <c r="C22" t="s">
        <v>799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800</v>
      </c>
      <c r="J23" s="29" t="s">
        <v>95</v>
      </c>
      <c r="K23" s="21"/>
      <c r="M23" s="69">
        <v>-6</v>
      </c>
    </row>
    <row r="24" spans="3:13" x14ac:dyDescent="0.25">
      <c r="C24" t="s">
        <v>801</v>
      </c>
      <c r="J24" s="21" t="s">
        <v>109</v>
      </c>
      <c r="K24" s="21"/>
      <c r="M24" s="68" t="s">
        <v>111</v>
      </c>
    </row>
    <row r="25" spans="3:13" x14ac:dyDescent="0.25">
      <c r="C25" t="s">
        <v>802</v>
      </c>
      <c r="J25" t="s">
        <v>152</v>
      </c>
      <c r="M25" s="68" t="b">
        <v>1</v>
      </c>
    </row>
    <row r="26" spans="3:13" x14ac:dyDescent="0.25">
      <c r="C26" t="s">
        <v>803</v>
      </c>
      <c r="J26" t="s">
        <v>153</v>
      </c>
      <c r="M26" s="68" t="str">
        <f>"C:\Users\stu\Documents\GitHub\eaglep3-reporting\EC\"&amp;TEXT(A2,"yyyy-mm-dd")&amp;"-refined-times.txt"</f>
        <v>C:\Users\stu\Documents\GitHub\eaglep3-reporting\EC\2016-10-24-refined-times.txt</v>
      </c>
    </row>
    <row r="27" spans="3:13" x14ac:dyDescent="0.25">
      <c r="C27" t="s">
        <v>804</v>
      </c>
      <c r="J27" t="s">
        <v>214</v>
      </c>
      <c r="M27" s="68" t="str">
        <f>"C:\Users\stu\Documents\GitHub\eaglep3-reporting\EC\"&amp;TEXT(A2,"YYYY-MM-DD")&amp;"-Enforcements.txt"</f>
        <v>C:\Users\stu\Documents\GitHub\eaglep3-reporting\EC\2016-10-24-Enforcements.txt</v>
      </c>
    </row>
    <row r="28" spans="3:13" x14ac:dyDescent="0.25">
      <c r="J28" t="s">
        <v>215</v>
      </c>
      <c r="M28" s="106" t="str">
        <f>"C:\Users\stu\Documents\GitHub\eaglep3-reporting\EC\"&amp;TEXT(A2,"YYYY-MM-DD")&amp;"-Runs-Refined.txt"</f>
        <v>C:\Users\stu\Documents\GitHub\eaglep3-reporting\EC\2016-10-24-Runs-Refined.txt</v>
      </c>
    </row>
    <row r="29" spans="3:13" x14ac:dyDescent="0.25">
      <c r="J29" t="s">
        <v>216</v>
      </c>
      <c r="M29" s="106" t="str">
        <f>"C:\Users\stu\Documents\GitHub\eaglep3-reporting\EC\"&amp;TEXT(A2,"YYYY-MM-DD")&amp;"-Trips.txt"</f>
        <v>C:\Users\stu\Documents\GitHub\eaglep3-reporting\EC\2016-10-24-Trips.txt</v>
      </c>
    </row>
    <row r="30" spans="3:13" x14ac:dyDescent="0.25">
      <c r="J30" t="s">
        <v>217</v>
      </c>
      <c r="M30" s="106" t="str">
        <f>"C:\Users\stu\Documents\GitHub\eaglep3-reporting\EC\"&amp;TEXT(A2,"YYYY-MM-DD")&amp;"-Weather.txt"</f>
        <v>C:\Users\stu\Documents\GitHub\eaglep3-reporting\EC\2016-10-24-Weather.txt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2016-10-25T16:29:53Z</dcterms:modified>
</cp:coreProperties>
</file>