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Enforcements!$A$6:$AC$45</definedName>
    <definedName name="_xlnm._FilterDatabase" localSheetId="2" hidden="1">'Missing Trips'!$A$2:$J$26</definedName>
    <definedName name="_xlnm._FilterDatabase" localSheetId="0" hidden="1">'Train Runs'!$A$12:$AG$314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5" i="1" l="1"/>
  <c r="X206" i="1"/>
  <c r="X207" i="1"/>
  <c r="K206" i="1"/>
  <c r="L206" i="1"/>
  <c r="M206" i="1"/>
  <c r="N206" i="1" s="1"/>
  <c r="T206" i="1"/>
  <c r="V206" i="1"/>
  <c r="Y206" i="1"/>
  <c r="Z206" i="1"/>
  <c r="AA206" i="1" s="1"/>
  <c r="AB206" i="1"/>
  <c r="AC206" i="1"/>
  <c r="AD206" i="1"/>
  <c r="AE206" i="1"/>
  <c r="R27" i="3" s="1"/>
  <c r="AF206" i="1"/>
  <c r="AH206" i="1"/>
  <c r="AM206" i="1"/>
  <c r="AN206" i="1"/>
  <c r="AO206" i="1"/>
  <c r="K204" i="1"/>
  <c r="L204" i="1"/>
  <c r="M204" i="1"/>
  <c r="N204" i="1"/>
  <c r="V204" i="1"/>
  <c r="AA204" i="1"/>
  <c r="AB204" i="1"/>
  <c r="AC204" i="1"/>
  <c r="AD204" i="1"/>
  <c r="T204" i="1" s="1"/>
  <c r="AE204" i="1"/>
  <c r="AF204" i="1"/>
  <c r="AH204" i="1"/>
  <c r="AM204" i="1"/>
  <c r="AN204" i="1"/>
  <c r="AO204" i="1"/>
  <c r="K203" i="1"/>
  <c r="L203" i="1"/>
  <c r="M203" i="1"/>
  <c r="N203" i="1"/>
  <c r="V203" i="1"/>
  <c r="AA203" i="1"/>
  <c r="AB203" i="1"/>
  <c r="AC203" i="1"/>
  <c r="AD203" i="1"/>
  <c r="T203" i="1" s="1"/>
  <c r="AE203" i="1"/>
  <c r="AF203" i="1"/>
  <c r="AH203" i="1"/>
  <c r="AM203" i="1"/>
  <c r="AN203" i="1"/>
  <c r="AO203" i="1"/>
  <c r="X201" i="1"/>
  <c r="K200" i="1"/>
  <c r="L200" i="1"/>
  <c r="M200" i="1"/>
  <c r="N200" i="1" s="1"/>
  <c r="V200" i="1"/>
  <c r="Y200" i="1"/>
  <c r="Z200" i="1"/>
  <c r="AA200" i="1" s="1"/>
  <c r="AB200" i="1"/>
  <c r="AC200" i="1"/>
  <c r="AD200" i="1"/>
  <c r="X200" i="1" s="1"/>
  <c r="AE200" i="1"/>
  <c r="AF200" i="1"/>
  <c r="AH200" i="1"/>
  <c r="AM200" i="1"/>
  <c r="AN200" i="1"/>
  <c r="AO200" i="1"/>
  <c r="K199" i="1"/>
  <c r="L199" i="1"/>
  <c r="M199" i="1"/>
  <c r="N199" i="1"/>
  <c r="T199" i="1"/>
  <c r="V199" i="1"/>
  <c r="X199" i="1"/>
  <c r="AA199" i="1"/>
  <c r="AB199" i="1"/>
  <c r="AC199" i="1"/>
  <c r="AD199" i="1"/>
  <c r="AE199" i="1"/>
  <c r="AF199" i="1"/>
  <c r="AH199" i="1"/>
  <c r="AM199" i="1"/>
  <c r="AN199" i="1"/>
  <c r="AO199" i="1"/>
  <c r="X192" i="1"/>
  <c r="X193" i="1"/>
  <c r="X194" i="1"/>
  <c r="X195" i="1"/>
  <c r="K165" i="1"/>
  <c r="L165" i="1"/>
  <c r="M165" i="1"/>
  <c r="N165" i="1" s="1"/>
  <c r="V165" i="1"/>
  <c r="AA165" i="1"/>
  <c r="AB165" i="1"/>
  <c r="AC165" i="1"/>
  <c r="AD165" i="1"/>
  <c r="T165" i="1" s="1"/>
  <c r="AE165" i="1"/>
  <c r="AF165" i="1"/>
  <c r="AH165" i="1"/>
  <c r="AM165" i="1"/>
  <c r="AN165" i="1"/>
  <c r="AO165" i="1"/>
  <c r="K161" i="1"/>
  <c r="L161" i="1"/>
  <c r="M161" i="1"/>
  <c r="N161" i="1" s="1"/>
  <c r="V161" i="1"/>
  <c r="AA161" i="1"/>
  <c r="AB161" i="1"/>
  <c r="AC161" i="1"/>
  <c r="AD161" i="1"/>
  <c r="T161" i="1" s="1"/>
  <c r="AE161" i="1"/>
  <c r="R34" i="3" s="1"/>
  <c r="AF161" i="1"/>
  <c r="AH161" i="1"/>
  <c r="AM161" i="1"/>
  <c r="AN161" i="1"/>
  <c r="AO161" i="1"/>
  <c r="K107" i="1"/>
  <c r="L107" i="1"/>
  <c r="M107" i="1"/>
  <c r="N107" i="1" s="1"/>
  <c r="V107" i="1"/>
  <c r="AA107" i="1"/>
  <c r="AB107" i="1"/>
  <c r="AC107" i="1"/>
  <c r="AD107" i="1"/>
  <c r="T107" i="1" s="1"/>
  <c r="AE107" i="1"/>
  <c r="AF107" i="1"/>
  <c r="AH107" i="1"/>
  <c r="AM107" i="1"/>
  <c r="AN107" i="1"/>
  <c r="AO107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P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R20" i="3" s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/>
  <c r="V43" i="1"/>
  <c r="Y43" i="1"/>
  <c r="AA43" i="1" s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A47" i="1" s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S16" i="3" s="1"/>
  <c r="Y51" i="1"/>
  <c r="Z51" i="1"/>
  <c r="AA51" i="1" s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A55" i="1" s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S21" i="3" s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/>
  <c r="V84" i="1"/>
  <c r="S10" i="3" s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R12" i="3" s="1"/>
  <c r="AF89" i="1"/>
  <c r="AH89" i="1"/>
  <c r="AM89" i="1"/>
  <c r="AN89" i="1"/>
  <c r="AO89" i="1"/>
  <c r="K90" i="1"/>
  <c r="L90" i="1"/>
  <c r="M90" i="1"/>
  <c r="N90" i="1" s="1"/>
  <c r="V90" i="1"/>
  <c r="Y90" i="1"/>
  <c r="Z90" i="1"/>
  <c r="AA90" i="1" s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A92" i="1" s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A94" i="1" s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S17" i="3" s="1"/>
  <c r="Y96" i="1"/>
  <c r="Z96" i="1"/>
  <c r="AA96" i="1" s="1"/>
  <c r="AB96" i="1"/>
  <c r="AC96" i="1"/>
  <c r="AD96" i="1"/>
  <c r="AE96" i="1"/>
  <c r="R17" i="3" s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A98" i="1" s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A100" i="1" s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A102" i="1" s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A105" i="1" s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A106" i="1" s="1"/>
  <c r="AB106" i="1"/>
  <c r="AC106" i="1"/>
  <c r="AD106" i="1"/>
  <c r="AE106" i="1"/>
  <c r="AF106" i="1"/>
  <c r="AH106" i="1"/>
  <c r="AM106" i="1"/>
  <c r="AN106" i="1"/>
  <c r="AO106" i="1"/>
  <c r="K108" i="1"/>
  <c r="L108" i="1"/>
  <c r="M108" i="1"/>
  <c r="N108" i="1" s="1"/>
  <c r="V108" i="1"/>
  <c r="Y108" i="1"/>
  <c r="Z108" i="1"/>
  <c r="AB108" i="1"/>
  <c r="AC108" i="1"/>
  <c r="AD108" i="1"/>
  <c r="X108" i="1" s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A114" i="1" s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S7" i="3" s="1"/>
  <c r="Y116" i="1"/>
  <c r="Z116" i="1"/>
  <c r="AB116" i="1"/>
  <c r="AC116" i="1"/>
  <c r="AD116" i="1"/>
  <c r="T116" i="1" s="1"/>
  <c r="AE116" i="1"/>
  <c r="R7" i="3" s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A118" i="1" s="1"/>
  <c r="AB118" i="1"/>
  <c r="AC118" i="1"/>
  <c r="AD118" i="1"/>
  <c r="T118" i="1" s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R8" i="3" s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A122" i="1" s="1"/>
  <c r="AB122" i="1"/>
  <c r="AC122" i="1"/>
  <c r="AD122" i="1"/>
  <c r="T122" i="1" s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A126" i="1" s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A130" i="1" s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A134" i="1" s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/>
  <c r="V136" i="1"/>
  <c r="Y136" i="1"/>
  <c r="AA136" i="1" s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A140" i="1" s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A144" i="1" s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X150" i="1" s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A152" i="1" s="1"/>
  <c r="AB152" i="1"/>
  <c r="AC152" i="1"/>
  <c r="AD152" i="1"/>
  <c r="X152" i="1" s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X153" i="1" s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AO155" i="1"/>
  <c r="K156" i="1"/>
  <c r="L156" i="1"/>
  <c r="M156" i="1"/>
  <c r="N156" i="1" s="1"/>
  <c r="T156" i="1"/>
  <c r="V156" i="1"/>
  <c r="Y156" i="1"/>
  <c r="Z156" i="1"/>
  <c r="AB156" i="1"/>
  <c r="AC156" i="1"/>
  <c r="AD156" i="1"/>
  <c r="X156" i="1" s="1"/>
  <c r="AE156" i="1"/>
  <c r="AF156" i="1"/>
  <c r="AH156" i="1"/>
  <c r="AM156" i="1"/>
  <c r="AN156" i="1"/>
  <c r="AO156" i="1"/>
  <c r="K157" i="1"/>
  <c r="L157" i="1"/>
  <c r="M157" i="1"/>
  <c r="N157" i="1" s="1"/>
  <c r="V157" i="1"/>
  <c r="S11" i="3" s="1"/>
  <c r="Y157" i="1"/>
  <c r="Z157" i="1"/>
  <c r="AB157" i="1"/>
  <c r="AC157" i="1"/>
  <c r="AD157" i="1"/>
  <c r="T157" i="1" s="1"/>
  <c r="AE157" i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AO158" i="1"/>
  <c r="K159" i="1"/>
  <c r="L159" i="1"/>
  <c r="M159" i="1"/>
  <c r="P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AO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AO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2" i="1"/>
  <c r="AM162" i="1"/>
  <c r="AN162" i="1"/>
  <c r="AO162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3" i="1"/>
  <c r="AM163" i="1"/>
  <c r="AN163" i="1"/>
  <c r="AO163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4" i="1"/>
  <c r="AM164" i="1"/>
  <c r="AN164" i="1"/>
  <c r="AO164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H166" i="1"/>
  <c r="AM166" i="1"/>
  <c r="AN166" i="1"/>
  <c r="AO166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7" i="1"/>
  <c r="AM167" i="1"/>
  <c r="AN167" i="1"/>
  <c r="AO167" i="1"/>
  <c r="K213" i="1"/>
  <c r="L213" i="1"/>
  <c r="M213" i="1"/>
  <c r="N213" i="1" s="1"/>
  <c r="V213" i="1"/>
  <c r="S36" i="3" s="1"/>
  <c r="Y213" i="1"/>
  <c r="Z213" i="1"/>
  <c r="AB213" i="1"/>
  <c r="AC213" i="1"/>
  <c r="AD213" i="1"/>
  <c r="T213" i="1" s="1"/>
  <c r="AE213" i="1"/>
  <c r="R36" i="3" s="1"/>
  <c r="AF213" i="1"/>
  <c r="AH168" i="1"/>
  <c r="AM168" i="1"/>
  <c r="AN168" i="1"/>
  <c r="AO168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9" i="1"/>
  <c r="AM169" i="1"/>
  <c r="AN169" i="1"/>
  <c r="AO169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70" i="1"/>
  <c r="AM170" i="1"/>
  <c r="AN170" i="1"/>
  <c r="AO170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71" i="1"/>
  <c r="AM171" i="1"/>
  <c r="AN171" i="1"/>
  <c r="AO171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2" i="1"/>
  <c r="AM172" i="1"/>
  <c r="AN172" i="1"/>
  <c r="AO172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3" i="1"/>
  <c r="AM173" i="1"/>
  <c r="AN173" i="1"/>
  <c r="AO173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4" i="1"/>
  <c r="AM174" i="1"/>
  <c r="AN174" i="1"/>
  <c r="AO174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5" i="1"/>
  <c r="AM175" i="1"/>
  <c r="AN175" i="1"/>
  <c r="AO175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6" i="1"/>
  <c r="AM176" i="1"/>
  <c r="AN176" i="1"/>
  <c r="AO176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7" i="1"/>
  <c r="AM177" i="1"/>
  <c r="AN177" i="1"/>
  <c r="AO177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8" i="1"/>
  <c r="AM178" i="1"/>
  <c r="AN178" i="1"/>
  <c r="AO178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9" i="1"/>
  <c r="AM179" i="1"/>
  <c r="AN179" i="1"/>
  <c r="AO179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80" i="1"/>
  <c r="AM180" i="1"/>
  <c r="AN180" i="1"/>
  <c r="AO180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81" i="1"/>
  <c r="AM181" i="1"/>
  <c r="AN181" i="1"/>
  <c r="AO181" i="1"/>
  <c r="K233" i="1"/>
  <c r="L233" i="1"/>
  <c r="M233" i="1"/>
  <c r="N233" i="1" s="1"/>
  <c r="V233" i="1"/>
  <c r="Y233" i="1"/>
  <c r="Z233" i="1"/>
  <c r="AB233" i="1"/>
  <c r="AC233" i="1"/>
  <c r="AD233" i="1"/>
  <c r="AE233" i="1"/>
  <c r="R37" i="3" s="1"/>
  <c r="AF233" i="1"/>
  <c r="AH182" i="1"/>
  <c r="AM182" i="1"/>
  <c r="AN182" i="1"/>
  <c r="AO182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3" i="1"/>
  <c r="AM183" i="1"/>
  <c r="AN183" i="1"/>
  <c r="AO183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84" i="1"/>
  <c r="AM184" i="1"/>
  <c r="AN184" i="1"/>
  <c r="AO184" i="1"/>
  <c r="K160" i="1"/>
  <c r="L160" i="1"/>
  <c r="M160" i="1"/>
  <c r="P160" i="1" s="1"/>
  <c r="V160" i="1"/>
  <c r="Y160" i="1"/>
  <c r="Z160" i="1"/>
  <c r="AB160" i="1"/>
  <c r="AC160" i="1"/>
  <c r="AD160" i="1"/>
  <c r="AE160" i="1"/>
  <c r="AF160" i="1"/>
  <c r="AH185" i="1"/>
  <c r="AM185" i="1"/>
  <c r="AN185" i="1"/>
  <c r="AO185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AH186" i="1"/>
  <c r="AM186" i="1"/>
  <c r="AN186" i="1"/>
  <c r="AO186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7" i="1"/>
  <c r="AM187" i="1"/>
  <c r="AN187" i="1"/>
  <c r="AO187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8" i="1"/>
  <c r="AM188" i="1"/>
  <c r="AN188" i="1"/>
  <c r="AO188" i="1"/>
  <c r="K166" i="1"/>
  <c r="L166" i="1"/>
  <c r="M166" i="1"/>
  <c r="N166" i="1" s="1"/>
  <c r="V166" i="1"/>
  <c r="S29" i="3" s="1"/>
  <c r="Y166" i="1"/>
  <c r="Z166" i="1"/>
  <c r="AB166" i="1"/>
  <c r="AC166" i="1"/>
  <c r="AD166" i="1"/>
  <c r="X166" i="1" s="1"/>
  <c r="AE166" i="1"/>
  <c r="R29" i="3" s="1"/>
  <c r="AF166" i="1"/>
  <c r="AH189" i="1"/>
  <c r="AM189" i="1"/>
  <c r="AN189" i="1"/>
  <c r="AO189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90" i="1"/>
  <c r="AM190" i="1"/>
  <c r="AN190" i="1"/>
  <c r="AO190" i="1"/>
  <c r="K168" i="1"/>
  <c r="L168" i="1"/>
  <c r="M168" i="1"/>
  <c r="N168" i="1" s="1"/>
  <c r="V168" i="1"/>
  <c r="S30" i="3" s="1"/>
  <c r="Y168" i="1"/>
  <c r="Z168" i="1"/>
  <c r="AB168" i="1"/>
  <c r="AC168" i="1"/>
  <c r="AD168" i="1"/>
  <c r="AE168" i="1"/>
  <c r="AF168" i="1"/>
  <c r="AH191" i="1"/>
  <c r="AM191" i="1"/>
  <c r="AN191" i="1"/>
  <c r="AO191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2" i="1"/>
  <c r="AM192" i="1"/>
  <c r="AN192" i="1"/>
  <c r="AO192" i="1"/>
  <c r="K170" i="1"/>
  <c r="L170" i="1"/>
  <c r="M170" i="1"/>
  <c r="N170" i="1" s="1"/>
  <c r="V170" i="1"/>
  <c r="Y170" i="1"/>
  <c r="Z170" i="1"/>
  <c r="AB170" i="1"/>
  <c r="AC170" i="1"/>
  <c r="AD170" i="1"/>
  <c r="AE170" i="1"/>
  <c r="R28" i="3" s="1"/>
  <c r="AF17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3" i="1"/>
  <c r="AM193" i="1"/>
  <c r="AN193" i="1"/>
  <c r="AO193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4" i="1"/>
  <c r="AM194" i="1"/>
  <c r="AN194" i="1"/>
  <c r="AO194" i="1"/>
  <c r="K173" i="1"/>
  <c r="L173" i="1"/>
  <c r="M173" i="1"/>
  <c r="N173" i="1" s="1"/>
  <c r="V173" i="1"/>
  <c r="S25" i="3" s="1"/>
  <c r="Y173" i="1"/>
  <c r="AA173" i="1" s="1"/>
  <c r="Z173" i="1"/>
  <c r="AB173" i="1"/>
  <c r="AC173" i="1"/>
  <c r="AD173" i="1"/>
  <c r="AE173" i="1"/>
  <c r="R25" i="3" s="1"/>
  <c r="AF173" i="1"/>
  <c r="AH195" i="1"/>
  <c r="AM195" i="1"/>
  <c r="AN195" i="1"/>
  <c r="AO195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6" i="1"/>
  <c r="AM196" i="1"/>
  <c r="AN196" i="1"/>
  <c r="AO196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7" i="1"/>
  <c r="AM197" i="1"/>
  <c r="AN197" i="1"/>
  <c r="AO197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8" i="1"/>
  <c r="AM198" i="1"/>
  <c r="AN198" i="1"/>
  <c r="AO198" i="1"/>
  <c r="K177" i="1"/>
  <c r="L177" i="1"/>
  <c r="M177" i="1"/>
  <c r="N177" i="1" s="1"/>
  <c r="V177" i="1"/>
  <c r="Y177" i="1"/>
  <c r="AA177" i="1" s="1"/>
  <c r="Z177" i="1"/>
  <c r="AB177" i="1"/>
  <c r="AC177" i="1"/>
  <c r="AD177" i="1"/>
  <c r="AE177" i="1"/>
  <c r="AF177" i="1"/>
  <c r="AH201" i="1"/>
  <c r="AM201" i="1"/>
  <c r="AN201" i="1"/>
  <c r="AO201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2" i="1"/>
  <c r="AM202" i="1"/>
  <c r="AN202" i="1"/>
  <c r="AO202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5" i="1"/>
  <c r="AM205" i="1"/>
  <c r="AN205" i="1"/>
  <c r="AO205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07" i="1"/>
  <c r="AM207" i="1"/>
  <c r="AN207" i="1"/>
  <c r="AO207" i="1"/>
  <c r="K181" i="1"/>
  <c r="L181" i="1"/>
  <c r="M181" i="1"/>
  <c r="N181" i="1" s="1"/>
  <c r="V181" i="1"/>
  <c r="Y181" i="1"/>
  <c r="AA181" i="1" s="1"/>
  <c r="Z181" i="1"/>
  <c r="AB181" i="1"/>
  <c r="AC181" i="1"/>
  <c r="AD181" i="1"/>
  <c r="AE181" i="1"/>
  <c r="AF181" i="1"/>
  <c r="AH208" i="1"/>
  <c r="AM208" i="1"/>
  <c r="AN208" i="1"/>
  <c r="AO208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9" i="1"/>
  <c r="AM209" i="1"/>
  <c r="AN209" i="1"/>
  <c r="AO209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0" i="1"/>
  <c r="AM210" i="1"/>
  <c r="AN210" i="1"/>
  <c r="AO210" i="1"/>
  <c r="K184" i="1"/>
  <c r="L184" i="1"/>
  <c r="M184" i="1"/>
  <c r="N184" i="1" s="1"/>
  <c r="V184" i="1"/>
  <c r="S22" i="3" s="1"/>
  <c r="Y184" i="1"/>
  <c r="Z184" i="1"/>
  <c r="AB184" i="1"/>
  <c r="AC184" i="1"/>
  <c r="AD184" i="1"/>
  <c r="AE184" i="1"/>
  <c r="AF184" i="1"/>
  <c r="AH211" i="1"/>
  <c r="AM211" i="1"/>
  <c r="AN211" i="1"/>
  <c r="AO211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2" i="1"/>
  <c r="AM212" i="1"/>
  <c r="AN212" i="1"/>
  <c r="AO212" i="1"/>
  <c r="K186" i="1"/>
  <c r="L186" i="1"/>
  <c r="M186" i="1"/>
  <c r="N186" i="1" s="1"/>
  <c r="V186" i="1"/>
  <c r="S31" i="3" s="1"/>
  <c r="Y186" i="1"/>
  <c r="Z186" i="1"/>
  <c r="AB186" i="1"/>
  <c r="AC186" i="1"/>
  <c r="AD186" i="1"/>
  <c r="AE186" i="1"/>
  <c r="R31" i="3" s="1"/>
  <c r="AF186" i="1"/>
  <c r="AH213" i="1"/>
  <c r="AM213" i="1"/>
  <c r="AN213" i="1"/>
  <c r="AO213" i="1"/>
  <c r="K187" i="1"/>
  <c r="L187" i="1"/>
  <c r="M187" i="1"/>
  <c r="N187" i="1" s="1"/>
  <c r="V187" i="1"/>
  <c r="Y187" i="1"/>
  <c r="Z187" i="1"/>
  <c r="AA187" i="1" s="1"/>
  <c r="AB187" i="1"/>
  <c r="AC187" i="1"/>
  <c r="AD187" i="1"/>
  <c r="AE187" i="1"/>
  <c r="AF187" i="1"/>
  <c r="AH214" i="1"/>
  <c r="AM214" i="1"/>
  <c r="AN214" i="1"/>
  <c r="AO214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15" i="1"/>
  <c r="AM215" i="1"/>
  <c r="AN215" i="1"/>
  <c r="AO215" i="1"/>
  <c r="K189" i="1"/>
  <c r="L189" i="1"/>
  <c r="M189" i="1"/>
  <c r="N189" i="1" s="1"/>
  <c r="V189" i="1"/>
  <c r="S23" i="3" s="1"/>
  <c r="Y189" i="1"/>
  <c r="AA189" i="1" s="1"/>
  <c r="Z189" i="1"/>
  <c r="AB189" i="1"/>
  <c r="AC189" i="1"/>
  <c r="AD189" i="1"/>
  <c r="AE189" i="1"/>
  <c r="R23" i="3" s="1"/>
  <c r="AF189" i="1"/>
  <c r="AH216" i="1"/>
  <c r="AM216" i="1"/>
  <c r="AN216" i="1"/>
  <c r="AO216" i="1"/>
  <c r="K190" i="1"/>
  <c r="L190" i="1"/>
  <c r="M190" i="1"/>
  <c r="N190" i="1" s="1"/>
  <c r="V190" i="1"/>
  <c r="S32" i="3" s="1"/>
  <c r="Y190" i="1"/>
  <c r="Z190" i="1"/>
  <c r="AB190" i="1"/>
  <c r="AC190" i="1"/>
  <c r="AD190" i="1"/>
  <c r="AE190" i="1"/>
  <c r="R32" i="3" s="1"/>
  <c r="AF190" i="1"/>
  <c r="AH217" i="1"/>
  <c r="AM217" i="1"/>
  <c r="AN217" i="1"/>
  <c r="AO217" i="1"/>
  <c r="K191" i="1"/>
  <c r="L191" i="1"/>
  <c r="M191" i="1"/>
  <c r="N191" i="1" s="1"/>
  <c r="V191" i="1"/>
  <c r="Y191" i="1"/>
  <c r="Z191" i="1"/>
  <c r="AA191" i="1" s="1"/>
  <c r="AB191" i="1"/>
  <c r="AC191" i="1"/>
  <c r="AD191" i="1"/>
  <c r="AE191" i="1"/>
  <c r="AF191" i="1"/>
  <c r="AH218" i="1"/>
  <c r="AM218" i="1"/>
  <c r="AN218" i="1"/>
  <c r="AO218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19" i="1"/>
  <c r="AM219" i="1"/>
  <c r="AN219" i="1"/>
  <c r="AO219" i="1"/>
  <c r="AH220" i="1"/>
  <c r="AM220" i="1"/>
  <c r="AN220" i="1"/>
  <c r="AO220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1" i="1"/>
  <c r="AM221" i="1"/>
  <c r="AN221" i="1"/>
  <c r="AO221" i="1"/>
  <c r="K194" i="1"/>
  <c r="L194" i="1"/>
  <c r="M194" i="1"/>
  <c r="N194" i="1" s="1"/>
  <c r="V194" i="1"/>
  <c r="S26" i="3" s="1"/>
  <c r="Y194" i="1"/>
  <c r="Z194" i="1"/>
  <c r="AA194" i="1" s="1"/>
  <c r="AB194" i="1"/>
  <c r="AC194" i="1"/>
  <c r="AD194" i="1"/>
  <c r="AE194" i="1"/>
  <c r="R26" i="3" s="1"/>
  <c r="AF194" i="1"/>
  <c r="AH222" i="1"/>
  <c r="AM222" i="1"/>
  <c r="AN222" i="1"/>
  <c r="AO222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3" i="1"/>
  <c r="AM223" i="1"/>
  <c r="AN223" i="1"/>
  <c r="AO223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4" i="1"/>
  <c r="AM224" i="1"/>
  <c r="AN224" i="1"/>
  <c r="AO224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25" i="1"/>
  <c r="AM225" i="1"/>
  <c r="AN225" i="1"/>
  <c r="AO225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6" i="1"/>
  <c r="AM226" i="1"/>
  <c r="AN226" i="1"/>
  <c r="AO226" i="1"/>
  <c r="K201" i="1"/>
  <c r="L201" i="1"/>
  <c r="M201" i="1"/>
  <c r="N201" i="1" s="1"/>
  <c r="V201" i="1"/>
  <c r="S24" i="3" s="1"/>
  <c r="Y201" i="1"/>
  <c r="Z201" i="1"/>
  <c r="AB201" i="1"/>
  <c r="AC201" i="1"/>
  <c r="AD201" i="1"/>
  <c r="T201" i="1" s="1"/>
  <c r="AE201" i="1"/>
  <c r="R24" i="3" s="1"/>
  <c r="AF201" i="1"/>
  <c r="AH227" i="1"/>
  <c r="AM227" i="1"/>
  <c r="AN227" i="1"/>
  <c r="AO227" i="1"/>
  <c r="K202" i="1"/>
  <c r="L202" i="1"/>
  <c r="M202" i="1"/>
  <c r="N202" i="1"/>
  <c r="V202" i="1"/>
  <c r="Y202" i="1"/>
  <c r="Z202" i="1"/>
  <c r="AB202" i="1"/>
  <c r="AC202" i="1"/>
  <c r="AD202" i="1"/>
  <c r="AE202" i="1"/>
  <c r="AF202" i="1"/>
  <c r="AH228" i="1"/>
  <c r="AM228" i="1"/>
  <c r="AN228" i="1"/>
  <c r="AO228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9" i="1"/>
  <c r="AM229" i="1"/>
  <c r="AN229" i="1"/>
  <c r="AO229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30" i="1"/>
  <c r="AM230" i="1"/>
  <c r="AN230" i="1"/>
  <c r="AO230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31" i="1"/>
  <c r="AM231" i="1"/>
  <c r="AN231" i="1"/>
  <c r="AO231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2" i="1"/>
  <c r="AM232" i="1"/>
  <c r="AN232" i="1"/>
  <c r="AO232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3" i="1"/>
  <c r="AM233" i="1"/>
  <c r="AN233" i="1"/>
  <c r="AO233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4" i="1"/>
  <c r="AM234" i="1"/>
  <c r="AN234" i="1"/>
  <c r="AO234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35" i="1"/>
  <c r="AM235" i="1"/>
  <c r="AN235" i="1"/>
  <c r="AO235" i="1"/>
  <c r="M33" i="3"/>
  <c r="S33" i="3"/>
  <c r="U33" i="3"/>
  <c r="T33" i="3" s="1"/>
  <c r="V33" i="3"/>
  <c r="X33" i="3"/>
  <c r="M34" i="3"/>
  <c r="S34" i="3"/>
  <c r="U34" i="3"/>
  <c r="AC34" i="3" s="1"/>
  <c r="V34" i="3"/>
  <c r="X34" i="3"/>
  <c r="M13" i="3"/>
  <c r="R13" i="3"/>
  <c r="S13" i="3"/>
  <c r="U13" i="3"/>
  <c r="AC13" i="3" s="1"/>
  <c r="V13" i="3"/>
  <c r="X13" i="3"/>
  <c r="M29" i="3"/>
  <c r="U29" i="3"/>
  <c r="T29" i="3" s="1"/>
  <c r="V29" i="3"/>
  <c r="X29" i="3"/>
  <c r="M18" i="3"/>
  <c r="R18" i="3"/>
  <c r="S18" i="3"/>
  <c r="U18" i="3"/>
  <c r="T18" i="3" s="1"/>
  <c r="V18" i="3"/>
  <c r="X18" i="3"/>
  <c r="M19" i="3"/>
  <c r="R19" i="3"/>
  <c r="S19" i="3"/>
  <c r="U19" i="3"/>
  <c r="AD19" i="3" s="1"/>
  <c r="V19" i="3"/>
  <c r="X19" i="3"/>
  <c r="M30" i="3"/>
  <c r="R30" i="3"/>
  <c r="U30" i="3"/>
  <c r="AC30" i="3" s="1"/>
  <c r="V30" i="3"/>
  <c r="X30" i="3"/>
  <c r="M28" i="3"/>
  <c r="S28" i="3"/>
  <c r="U28" i="3"/>
  <c r="AD28" i="3" s="1"/>
  <c r="V28" i="3"/>
  <c r="X28" i="3"/>
  <c r="M20" i="3"/>
  <c r="S20" i="3"/>
  <c r="U20" i="3"/>
  <c r="T20" i="3" s="1"/>
  <c r="V20" i="3"/>
  <c r="X20" i="3"/>
  <c r="M25" i="3"/>
  <c r="U25" i="3"/>
  <c r="V25" i="3"/>
  <c r="X25" i="3"/>
  <c r="M16" i="3"/>
  <c r="R16" i="3"/>
  <c r="U16" i="3"/>
  <c r="AC16" i="3" s="1"/>
  <c r="V16" i="3"/>
  <c r="X16" i="3"/>
  <c r="M15" i="3"/>
  <c r="R15" i="3"/>
  <c r="S15" i="3"/>
  <c r="U15" i="3"/>
  <c r="V15" i="3"/>
  <c r="X15" i="3"/>
  <c r="M9" i="3"/>
  <c r="R9" i="3"/>
  <c r="S9" i="3"/>
  <c r="U9" i="3"/>
  <c r="T9" i="3" s="1"/>
  <c r="V9" i="3"/>
  <c r="X9" i="3"/>
  <c r="M10" i="3"/>
  <c r="R10" i="3"/>
  <c r="U10" i="3"/>
  <c r="AC10" i="3" s="1"/>
  <c r="V10" i="3"/>
  <c r="X10" i="3"/>
  <c r="M37" i="3"/>
  <c r="S37" i="3"/>
  <c r="U37" i="3"/>
  <c r="AC37" i="3" s="1"/>
  <c r="V37" i="3"/>
  <c r="X37" i="3"/>
  <c r="M21" i="3"/>
  <c r="R21" i="3"/>
  <c r="U21" i="3"/>
  <c r="T21" i="3" s="1"/>
  <c r="V21" i="3"/>
  <c r="X21" i="3"/>
  <c r="M12" i="3"/>
  <c r="S12" i="3"/>
  <c r="U12" i="3"/>
  <c r="T12" i="3" s="1"/>
  <c r="V12" i="3"/>
  <c r="X12" i="3"/>
  <c r="M17" i="3"/>
  <c r="U17" i="3"/>
  <c r="V17" i="3"/>
  <c r="X17" i="3"/>
  <c r="M22" i="3"/>
  <c r="R22" i="3"/>
  <c r="U22" i="3"/>
  <c r="AC22" i="3" s="1"/>
  <c r="V22" i="3"/>
  <c r="X22" i="3"/>
  <c r="M14" i="3"/>
  <c r="R14" i="3"/>
  <c r="S14" i="3"/>
  <c r="U14" i="3"/>
  <c r="V14" i="3"/>
  <c r="X14" i="3"/>
  <c r="M31" i="3"/>
  <c r="U31" i="3"/>
  <c r="T31" i="3" s="1"/>
  <c r="V31" i="3"/>
  <c r="X31" i="3"/>
  <c r="M23" i="3"/>
  <c r="U23" i="3"/>
  <c r="AD29" i="3" s="1"/>
  <c r="V23" i="3"/>
  <c r="X23" i="3"/>
  <c r="M7" i="3"/>
  <c r="U7" i="3"/>
  <c r="AC7" i="3" s="1"/>
  <c r="V7" i="3"/>
  <c r="X7" i="3"/>
  <c r="M32" i="3"/>
  <c r="U32" i="3"/>
  <c r="V32" i="3"/>
  <c r="X32" i="3"/>
  <c r="M8" i="3"/>
  <c r="S8" i="3"/>
  <c r="U8" i="3"/>
  <c r="T8" i="3" s="1"/>
  <c r="V8" i="3"/>
  <c r="X8" i="3"/>
  <c r="AD32" i="3"/>
  <c r="M26" i="3"/>
  <c r="U26" i="3"/>
  <c r="V26" i="3"/>
  <c r="X26" i="3"/>
  <c r="M24" i="3"/>
  <c r="U24" i="3"/>
  <c r="AC24" i="3" s="1"/>
  <c r="V24" i="3"/>
  <c r="X24" i="3"/>
  <c r="M27" i="3"/>
  <c r="S27" i="3"/>
  <c r="U27" i="3"/>
  <c r="T27" i="3" s="1"/>
  <c r="V27" i="3"/>
  <c r="X27" i="3"/>
  <c r="M35" i="3"/>
  <c r="R35" i="3"/>
  <c r="S35" i="3"/>
  <c r="U35" i="3"/>
  <c r="T35" i="3" s="1"/>
  <c r="V35" i="3"/>
  <c r="X35" i="3"/>
  <c r="M36" i="3"/>
  <c r="U36" i="3"/>
  <c r="V36" i="3"/>
  <c r="X36" i="3"/>
  <c r="M11" i="3"/>
  <c r="R11" i="3"/>
  <c r="U11" i="3"/>
  <c r="AC11" i="3" s="1"/>
  <c r="V11" i="3"/>
  <c r="X11" i="3"/>
  <c r="AG206" i="1"/>
  <c r="AG204" i="1"/>
  <c r="AG203" i="1"/>
  <c r="AG200" i="1"/>
  <c r="AG199" i="1"/>
  <c r="AG165" i="1"/>
  <c r="AG161" i="1"/>
  <c r="AG107" i="1"/>
  <c r="AG15" i="1"/>
  <c r="AG19" i="1"/>
  <c r="AG23" i="1"/>
  <c r="AG27" i="1"/>
  <c r="AG31" i="1"/>
  <c r="AG35" i="1"/>
  <c r="AG39" i="1"/>
  <c r="AG43" i="1"/>
  <c r="AG47" i="1"/>
  <c r="AG51" i="1"/>
  <c r="AG55" i="1"/>
  <c r="AG59" i="1"/>
  <c r="AG63" i="1"/>
  <c r="AG73" i="1"/>
  <c r="AG81" i="1"/>
  <c r="AG89" i="1"/>
  <c r="AG97" i="1"/>
  <c r="AG67" i="1"/>
  <c r="AG74" i="1"/>
  <c r="AG82" i="1"/>
  <c r="AG90" i="1"/>
  <c r="AG98" i="1"/>
  <c r="AG65" i="1"/>
  <c r="AG106" i="1"/>
  <c r="AG110" i="1"/>
  <c r="AG119" i="1"/>
  <c r="AG123" i="1"/>
  <c r="AG127" i="1"/>
  <c r="AG131" i="1"/>
  <c r="AG135" i="1"/>
  <c r="AG139" i="1"/>
  <c r="AG143" i="1"/>
  <c r="AG147" i="1"/>
  <c r="AG150" i="1"/>
  <c r="AG112" i="1"/>
  <c r="AG210" i="1"/>
  <c r="AG207" i="1"/>
  <c r="AG227" i="1"/>
  <c r="AG235" i="1"/>
  <c r="AG169" i="1"/>
  <c r="AG177" i="1"/>
  <c r="AG157" i="1"/>
  <c r="AG154" i="1"/>
  <c r="AG217" i="1"/>
  <c r="AG232" i="1"/>
  <c r="AG14" i="1"/>
  <c r="AG20" i="1"/>
  <c r="AG25" i="1"/>
  <c r="AG30" i="1"/>
  <c r="AG36" i="1"/>
  <c r="AG41" i="1"/>
  <c r="AG52" i="1"/>
  <c r="AG57" i="1"/>
  <c r="AG62" i="1"/>
  <c r="AG85" i="1"/>
  <c r="AG71" i="1"/>
  <c r="AG88" i="1"/>
  <c r="AG105" i="1"/>
  <c r="AG120" i="1"/>
  <c r="AG130" i="1"/>
  <c r="AG141" i="1"/>
  <c r="AG153" i="1"/>
  <c r="AG229" i="1"/>
  <c r="AG175" i="1"/>
  <c r="AG230" i="1"/>
  <c r="AG174" i="1"/>
  <c r="AG189" i="1"/>
  <c r="AG198" i="1"/>
  <c r="AG193" i="1"/>
  <c r="AG99" i="1"/>
  <c r="AG113" i="1"/>
  <c r="AG126" i="1"/>
  <c r="AG137" i="1"/>
  <c r="AG152" i="1"/>
  <c r="AG159" i="1"/>
  <c r="AG231" i="1"/>
  <c r="AG212" i="1"/>
  <c r="AG234" i="1"/>
  <c r="AG185" i="1"/>
  <c r="AG201" i="1"/>
  <c r="AG195" i="1"/>
  <c r="AG16" i="1"/>
  <c r="AG21" i="1"/>
  <c r="AG26" i="1"/>
  <c r="AG32" i="1"/>
  <c r="AG42" i="1"/>
  <c r="AG48" i="1"/>
  <c r="AG53" i="1"/>
  <c r="AG64" i="1"/>
  <c r="AG87" i="1"/>
  <c r="AG80" i="1"/>
  <c r="AG116" i="1"/>
  <c r="AG142" i="1"/>
  <c r="AG167" i="1"/>
  <c r="AG176" i="1"/>
  <c r="AG224" i="1"/>
  <c r="AG17" i="1"/>
  <c r="AG22" i="1"/>
  <c r="AG28" i="1"/>
  <c r="AG33" i="1"/>
  <c r="AG38" i="1"/>
  <c r="AG44" i="1"/>
  <c r="AG49" i="1"/>
  <c r="AG54" i="1"/>
  <c r="AG60" i="1"/>
  <c r="AG66" i="1"/>
  <c r="AG79" i="1"/>
  <c r="AG91" i="1"/>
  <c r="AG101" i="1"/>
  <c r="AG72" i="1"/>
  <c r="AG84" i="1"/>
  <c r="AG94" i="1"/>
  <c r="AG104" i="1"/>
  <c r="AG108" i="1"/>
  <c r="AG117" i="1"/>
  <c r="AG122" i="1"/>
  <c r="AG128" i="1"/>
  <c r="AG133" i="1"/>
  <c r="AG138" i="1"/>
  <c r="AG144" i="1"/>
  <c r="AG149" i="1"/>
  <c r="AG111" i="1"/>
  <c r="AG214" i="1"/>
  <c r="AG215" i="1"/>
  <c r="AG233" i="1"/>
  <c r="AG171" i="1"/>
  <c r="AG181" i="1"/>
  <c r="AG216" i="1"/>
  <c r="AG226" i="1"/>
  <c r="AG160" i="1"/>
  <c r="AG170" i="1"/>
  <c r="AG178" i="1"/>
  <c r="AG184" i="1"/>
  <c r="AG194" i="1"/>
  <c r="AG190" i="1"/>
  <c r="AG202" i="1"/>
  <c r="AG221" i="1"/>
  <c r="AG186" i="1"/>
  <c r="AG197" i="1"/>
  <c r="AG37" i="1"/>
  <c r="AG58" i="1"/>
  <c r="AG77" i="1"/>
  <c r="AG68" i="1"/>
  <c r="AG92" i="1"/>
  <c r="AG102" i="1"/>
  <c r="AG121" i="1"/>
  <c r="AG132" i="1"/>
  <c r="AG148" i="1"/>
  <c r="AG211" i="1"/>
  <c r="AG179" i="1"/>
  <c r="AG213" i="1"/>
  <c r="AG168" i="1"/>
  <c r="AG187" i="1"/>
  <c r="AG220" i="1"/>
  <c r="AG18" i="1"/>
  <c r="AG24" i="1"/>
  <c r="AG29" i="1"/>
  <c r="AG34" i="1"/>
  <c r="AG40" i="1"/>
  <c r="AG45" i="1"/>
  <c r="AG50" i="1"/>
  <c r="AG56" i="1"/>
  <c r="AG61" i="1"/>
  <c r="AG70" i="1"/>
  <c r="AG83" i="1"/>
  <c r="AG93" i="1"/>
  <c r="AG103" i="1"/>
  <c r="AG76" i="1"/>
  <c r="AG86" i="1"/>
  <c r="AG96" i="1"/>
  <c r="AG69" i="1"/>
  <c r="AG114" i="1"/>
  <c r="AG118" i="1"/>
  <c r="AG124" i="1"/>
  <c r="AG129" i="1"/>
  <c r="AG134" i="1"/>
  <c r="AG140" i="1"/>
  <c r="AG145" i="1"/>
  <c r="AG115" i="1"/>
  <c r="AG218" i="1"/>
  <c r="AG225" i="1"/>
  <c r="AG162" i="1"/>
  <c r="AG173" i="1"/>
  <c r="AG155" i="1"/>
  <c r="AG158" i="1"/>
  <c r="AG228" i="1"/>
  <c r="AG163" i="1"/>
  <c r="AG172" i="1"/>
  <c r="AG180" i="1"/>
  <c r="AG188" i="1"/>
  <c r="AG196" i="1"/>
  <c r="AG191" i="1"/>
  <c r="AG205" i="1"/>
  <c r="AG222" i="1"/>
  <c r="AG192" i="1"/>
  <c r="AG46" i="1"/>
  <c r="AG75" i="1"/>
  <c r="AG95" i="1"/>
  <c r="AG78" i="1"/>
  <c r="AG100" i="1"/>
  <c r="AG109" i="1"/>
  <c r="AG125" i="1"/>
  <c r="AG136" i="1"/>
  <c r="AG146" i="1"/>
  <c r="AG151" i="1"/>
  <c r="AG156" i="1"/>
  <c r="AG164" i="1"/>
  <c r="AG208" i="1"/>
  <c r="AG209" i="1"/>
  <c r="AG166" i="1"/>
  <c r="AG182" i="1"/>
  <c r="AG183" i="1"/>
  <c r="AG219" i="1"/>
  <c r="AG223" i="1"/>
  <c r="W25" i="3"/>
  <c r="W26" i="3"/>
  <c r="W7" i="3"/>
  <c r="W20" i="3"/>
  <c r="W8" i="3"/>
  <c r="W16" i="3"/>
  <c r="W28" i="3"/>
  <c r="W18" i="3"/>
  <c r="W10" i="3"/>
  <c r="W36" i="3"/>
  <c r="W24" i="3"/>
  <c r="W9" i="3"/>
  <c r="W35" i="3"/>
  <c r="W21" i="3"/>
  <c r="W15" i="3"/>
  <c r="W19" i="3"/>
  <c r="W23" i="3"/>
  <c r="W22" i="3"/>
  <c r="W27" i="3"/>
  <c r="W31" i="3"/>
  <c r="W30" i="3"/>
  <c r="W29" i="3"/>
  <c r="W33" i="3"/>
  <c r="W34" i="3"/>
  <c r="W17" i="3"/>
  <c r="W37" i="3"/>
  <c r="W11" i="3"/>
  <c r="W12" i="3"/>
  <c r="W13" i="3"/>
  <c r="W32" i="3"/>
  <c r="W14" i="3"/>
  <c r="AI206" i="1" l="1"/>
  <c r="U206" i="1"/>
  <c r="S206" i="1" s="1"/>
  <c r="W206" i="1"/>
  <c r="U204" i="1"/>
  <c r="S204" i="1" s="1"/>
  <c r="AI204" i="1"/>
  <c r="W204" i="1"/>
  <c r="X204" i="1"/>
  <c r="AI203" i="1"/>
  <c r="U203" i="1"/>
  <c r="S203" i="1" s="1"/>
  <c r="W203" i="1"/>
  <c r="X203" i="1"/>
  <c r="T200" i="1"/>
  <c r="AI200" i="1"/>
  <c r="U200" i="1"/>
  <c r="S200" i="1" s="1"/>
  <c r="W200" i="1"/>
  <c r="AI199" i="1"/>
  <c r="U199" i="1"/>
  <c r="S199" i="1" s="1"/>
  <c r="W199" i="1"/>
  <c r="AA193" i="1"/>
  <c r="AA141" i="1"/>
  <c r="AA137" i="1"/>
  <c r="AA135" i="1"/>
  <c r="AA131" i="1"/>
  <c r="AA127" i="1"/>
  <c r="AA123" i="1"/>
  <c r="AA119" i="1"/>
  <c r="AA110" i="1"/>
  <c r="AA72" i="1"/>
  <c r="AA68" i="1"/>
  <c r="AA64" i="1"/>
  <c r="AA35" i="1"/>
  <c r="AA31" i="1"/>
  <c r="AA27" i="1"/>
  <c r="X151" i="1"/>
  <c r="AA214" i="1"/>
  <c r="AA151" i="1"/>
  <c r="AA147" i="1"/>
  <c r="AA112" i="1"/>
  <c r="AA108" i="1"/>
  <c r="AA80" i="1"/>
  <c r="AA54" i="1"/>
  <c r="AA53" i="1"/>
  <c r="AA45" i="1"/>
  <c r="AA163" i="1"/>
  <c r="AA18" i="1"/>
  <c r="X149" i="1"/>
  <c r="AI165" i="1"/>
  <c r="U165" i="1"/>
  <c r="S165" i="1" s="1"/>
  <c r="W165" i="1"/>
  <c r="X165" i="1"/>
  <c r="R33" i="3"/>
  <c r="AI161" i="1"/>
  <c r="U161" i="1"/>
  <c r="S161" i="1" s="1"/>
  <c r="W161" i="1"/>
  <c r="X161" i="1"/>
  <c r="AA159" i="1"/>
  <c r="AD13" i="3"/>
  <c r="AA172" i="1"/>
  <c r="AA168" i="1"/>
  <c r="AA153" i="1"/>
  <c r="AA148" i="1"/>
  <c r="AA142" i="1"/>
  <c r="AA84" i="1"/>
  <c r="AA74" i="1"/>
  <c r="AA39" i="1"/>
  <c r="AA16" i="1"/>
  <c r="AA222" i="1"/>
  <c r="AA196" i="1"/>
  <c r="AA190" i="1"/>
  <c r="AA182" i="1"/>
  <c r="AA170" i="1"/>
  <c r="AA166" i="1"/>
  <c r="AA160" i="1"/>
  <c r="AA232" i="1"/>
  <c r="AA218" i="1"/>
  <c r="AA149" i="1"/>
  <c r="AA145" i="1"/>
  <c r="AA143" i="1"/>
  <c r="AA139" i="1"/>
  <c r="AA133" i="1"/>
  <c r="AA129" i="1"/>
  <c r="AA125" i="1"/>
  <c r="AA121" i="1"/>
  <c r="AA117" i="1"/>
  <c r="AA61" i="1"/>
  <c r="AA46" i="1"/>
  <c r="AA40" i="1"/>
  <c r="AA33" i="1"/>
  <c r="AA29" i="1"/>
  <c r="AA25" i="1"/>
  <c r="AA21" i="1"/>
  <c r="AA17" i="1"/>
  <c r="AD33" i="3"/>
  <c r="AA224" i="1"/>
  <c r="X219" i="1"/>
  <c r="AA233" i="1"/>
  <c r="AA229" i="1"/>
  <c r="AA215" i="1"/>
  <c r="AA88" i="1"/>
  <c r="AA71" i="1"/>
  <c r="AA67" i="1"/>
  <c r="AA48" i="1"/>
  <c r="AA38" i="1"/>
  <c r="AA37" i="1"/>
  <c r="AA23" i="1"/>
  <c r="AA19" i="1"/>
  <c r="AA15" i="1"/>
  <c r="X107" i="1"/>
  <c r="AI107" i="1"/>
  <c r="U107" i="1"/>
  <c r="S107" i="1" s="1"/>
  <c r="W107" i="1"/>
  <c r="AD27" i="3"/>
  <c r="AD37" i="3"/>
  <c r="AC29" i="3"/>
  <c r="AD25" i="3"/>
  <c r="AC33" i="3"/>
  <c r="AA186" i="1"/>
  <c r="AA169" i="1"/>
  <c r="AA164" i="1"/>
  <c r="AA234" i="1"/>
  <c r="AA216" i="1"/>
  <c r="AA113" i="1"/>
  <c r="AA86" i="1"/>
  <c r="AA78" i="1"/>
  <c r="AA69" i="1"/>
  <c r="AA65" i="1"/>
  <c r="AA60" i="1"/>
  <c r="AA52" i="1"/>
  <c r="AA50" i="1"/>
  <c r="AA49" i="1"/>
  <c r="AA36" i="1"/>
  <c r="AA34" i="1"/>
  <c r="AA30" i="1"/>
  <c r="AA26" i="1"/>
  <c r="AA22" i="1"/>
  <c r="T219" i="1"/>
  <c r="AA192" i="1"/>
  <c r="AA183" i="1"/>
  <c r="AA179" i="1"/>
  <c r="AA175" i="1"/>
  <c r="AA235" i="1"/>
  <c r="AA231" i="1"/>
  <c r="AA227" i="1"/>
  <c r="AA217" i="1"/>
  <c r="AA212" i="1"/>
  <c r="AA208" i="1"/>
  <c r="AA157" i="1"/>
  <c r="AA155" i="1"/>
  <c r="AA154" i="1"/>
  <c r="AA223" i="1"/>
  <c r="AA184" i="1"/>
  <c r="AA167" i="1"/>
  <c r="AA210" i="1"/>
  <c r="AA209" i="1"/>
  <c r="AA158" i="1"/>
  <c r="X155" i="1"/>
  <c r="X154" i="1"/>
  <c r="AA150" i="1"/>
  <c r="AA146" i="1"/>
  <c r="AA138" i="1"/>
  <c r="AA132" i="1"/>
  <c r="AA128" i="1"/>
  <c r="AA124" i="1"/>
  <c r="AA120" i="1"/>
  <c r="AA116" i="1"/>
  <c r="AA115" i="1"/>
  <c r="AA82" i="1"/>
  <c r="AA75" i="1"/>
  <c r="AA73" i="1"/>
  <c r="X60" i="1"/>
  <c r="AA44" i="1"/>
  <c r="AA42" i="1"/>
  <c r="AA41" i="1"/>
  <c r="AA32" i="1"/>
  <c r="AA28" i="1"/>
  <c r="AA24" i="1"/>
  <c r="AA20" i="1"/>
  <c r="AA76" i="1"/>
  <c r="AA219" i="1"/>
  <c r="AA221" i="1"/>
  <c r="AA220" i="1"/>
  <c r="T198" i="1"/>
  <c r="X198" i="1"/>
  <c r="T202" i="1"/>
  <c r="X202" i="1"/>
  <c r="T153" i="1"/>
  <c r="AA70" i="1"/>
  <c r="AA63" i="1"/>
  <c r="AA62" i="1"/>
  <c r="X56" i="1"/>
  <c r="AA205" i="1"/>
  <c r="AA201" i="1"/>
  <c r="AA185" i="1"/>
  <c r="AA180" i="1"/>
  <c r="AA176" i="1"/>
  <c r="AA171" i="1"/>
  <c r="AA162" i="1"/>
  <c r="AA230" i="1"/>
  <c r="AA226" i="1"/>
  <c r="AA225" i="1"/>
  <c r="AA213" i="1"/>
  <c r="AA207" i="1"/>
  <c r="AA156" i="1"/>
  <c r="X148" i="1"/>
  <c r="AA109" i="1"/>
  <c r="AA14" i="1"/>
  <c r="T152" i="1"/>
  <c r="AA111" i="1"/>
  <c r="AA103" i="1"/>
  <c r="AA101" i="1"/>
  <c r="AA99" i="1"/>
  <c r="AA97" i="1"/>
  <c r="AA95" i="1"/>
  <c r="AA93" i="1"/>
  <c r="AA91" i="1"/>
  <c r="AA89" i="1"/>
  <c r="AA87" i="1"/>
  <c r="AA85" i="1"/>
  <c r="AA83" i="1"/>
  <c r="AA81" i="1"/>
  <c r="AA79" i="1"/>
  <c r="AA77" i="1"/>
  <c r="AA66" i="1"/>
  <c r="X62" i="1"/>
  <c r="AA59" i="1"/>
  <c r="AA58" i="1"/>
  <c r="AA57" i="1"/>
  <c r="AA56" i="1"/>
  <c r="AA202" i="1"/>
  <c r="AA198" i="1"/>
  <c r="AA197" i="1"/>
  <c r="AA195" i="1"/>
  <c r="AA188" i="1"/>
  <c r="AA178" i="1"/>
  <c r="AA174" i="1"/>
  <c r="AA228" i="1"/>
  <c r="T150" i="1"/>
  <c r="X58" i="1"/>
  <c r="AI225" i="1"/>
  <c r="AI223" i="1"/>
  <c r="AI221" i="1"/>
  <c r="AI219" i="1"/>
  <c r="AI213" i="1"/>
  <c r="AI235" i="1"/>
  <c r="U224" i="1"/>
  <c r="S224" i="1" s="1"/>
  <c r="AI234" i="1"/>
  <c r="U223" i="1"/>
  <c r="S223" i="1" s="1"/>
  <c r="AI233" i="1"/>
  <c r="U222" i="1"/>
  <c r="S222" i="1" s="1"/>
  <c r="AI232" i="1"/>
  <c r="U221" i="1"/>
  <c r="S221" i="1" s="1"/>
  <c r="AI231" i="1"/>
  <c r="U220" i="1"/>
  <c r="S220" i="1" s="1"/>
  <c r="AI230" i="1"/>
  <c r="U219" i="1"/>
  <c r="S219" i="1" s="1"/>
  <c r="AI229" i="1"/>
  <c r="U205" i="1"/>
  <c r="S205" i="1" s="1"/>
  <c r="AI228" i="1"/>
  <c r="U202" i="1"/>
  <c r="S202" i="1" s="1"/>
  <c r="AI227" i="1"/>
  <c r="U201" i="1"/>
  <c r="S201" i="1" s="1"/>
  <c r="AI226" i="1"/>
  <c r="U198" i="1"/>
  <c r="S198" i="1" s="1"/>
  <c r="AI218" i="1"/>
  <c r="AI217" i="1"/>
  <c r="AI214" i="1"/>
  <c r="AI210" i="1"/>
  <c r="AI224" i="1"/>
  <c r="W194" i="1"/>
  <c r="AI222" i="1"/>
  <c r="AI220" i="1"/>
  <c r="AI216" i="1"/>
  <c r="AI215" i="1"/>
  <c r="AI211" i="1"/>
  <c r="AI212" i="1"/>
  <c r="AI209" i="1"/>
  <c r="AI207" i="1"/>
  <c r="AI202" i="1"/>
  <c r="AI198" i="1"/>
  <c r="AI196" i="1"/>
  <c r="AI194" i="1"/>
  <c r="AI191" i="1"/>
  <c r="AI189" i="1"/>
  <c r="AI187" i="1"/>
  <c r="AI185" i="1"/>
  <c r="AI183" i="1"/>
  <c r="AI181" i="1"/>
  <c r="AI179" i="1"/>
  <c r="AI177" i="1"/>
  <c r="AI175" i="1"/>
  <c r="U217" i="1"/>
  <c r="S217" i="1" s="1"/>
  <c r="AI172" i="1"/>
  <c r="U213" i="1"/>
  <c r="S213" i="1" s="1"/>
  <c r="AI168" i="1"/>
  <c r="AI163" i="1"/>
  <c r="U209" i="1"/>
  <c r="S209" i="1" s="1"/>
  <c r="AI158" i="1"/>
  <c r="U158" i="1"/>
  <c r="S158" i="1" s="1"/>
  <c r="AI154" i="1"/>
  <c r="U154" i="1"/>
  <c r="S154" i="1" s="1"/>
  <c r="AI171" i="1"/>
  <c r="U216" i="1"/>
  <c r="S216" i="1" s="1"/>
  <c r="AI167" i="1"/>
  <c r="U212" i="1"/>
  <c r="S212" i="1" s="1"/>
  <c r="AI162" i="1"/>
  <c r="U208" i="1"/>
  <c r="S208" i="1" s="1"/>
  <c r="AI157" i="1"/>
  <c r="U157" i="1"/>
  <c r="S157" i="1" s="1"/>
  <c r="AI155" i="1"/>
  <c r="U155" i="1"/>
  <c r="S155" i="1" s="1"/>
  <c r="AI208" i="1"/>
  <c r="AI205" i="1"/>
  <c r="AI201" i="1"/>
  <c r="AI197" i="1"/>
  <c r="AI195" i="1"/>
  <c r="AI193" i="1"/>
  <c r="AI192" i="1"/>
  <c r="AI190" i="1"/>
  <c r="AI188" i="1"/>
  <c r="AI186" i="1"/>
  <c r="AI184" i="1"/>
  <c r="AI182" i="1"/>
  <c r="AI180" i="1"/>
  <c r="AI178" i="1"/>
  <c r="AI176" i="1"/>
  <c r="U225" i="1"/>
  <c r="S225" i="1" s="1"/>
  <c r="AI174" i="1"/>
  <c r="U215" i="1"/>
  <c r="S215" i="1" s="1"/>
  <c r="AI170" i="1"/>
  <c r="U211" i="1"/>
  <c r="S211" i="1" s="1"/>
  <c r="AI166" i="1"/>
  <c r="AI160" i="1"/>
  <c r="U207" i="1"/>
  <c r="S207" i="1" s="1"/>
  <c r="AI156" i="1"/>
  <c r="U156" i="1"/>
  <c r="S156" i="1" s="1"/>
  <c r="U218" i="1"/>
  <c r="S218" i="1" s="1"/>
  <c r="AI173" i="1"/>
  <c r="W218" i="1"/>
  <c r="U214" i="1"/>
  <c r="S214" i="1" s="1"/>
  <c r="AI169" i="1"/>
  <c r="W214" i="1"/>
  <c r="U210" i="1"/>
  <c r="S210" i="1" s="1"/>
  <c r="AI164" i="1"/>
  <c r="W210" i="1"/>
  <c r="AI159" i="1"/>
  <c r="U159" i="1"/>
  <c r="S159" i="1" s="1"/>
  <c r="U153" i="1"/>
  <c r="S153" i="1" s="1"/>
  <c r="AI153" i="1"/>
  <c r="AI115" i="1"/>
  <c r="AI112" i="1"/>
  <c r="AI111" i="1"/>
  <c r="U152" i="1"/>
  <c r="S152" i="1" s="1"/>
  <c r="AI152" i="1"/>
  <c r="W152" i="1"/>
  <c r="U151" i="1"/>
  <c r="S151" i="1" s="1"/>
  <c r="AI151" i="1"/>
  <c r="U150" i="1"/>
  <c r="S150" i="1" s="1"/>
  <c r="AI150" i="1"/>
  <c r="W150" i="1"/>
  <c r="U149" i="1"/>
  <c r="S149" i="1" s="1"/>
  <c r="AI149" i="1"/>
  <c r="U148" i="1"/>
  <c r="S148" i="1" s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U122" i="1"/>
  <c r="S122" i="1" s="1"/>
  <c r="AI121" i="1"/>
  <c r="U121" i="1"/>
  <c r="S121" i="1" s="1"/>
  <c r="AI120" i="1"/>
  <c r="U120" i="1"/>
  <c r="S120" i="1" s="1"/>
  <c r="AI119" i="1"/>
  <c r="U119" i="1"/>
  <c r="S119" i="1" s="1"/>
  <c r="AI118" i="1"/>
  <c r="U118" i="1"/>
  <c r="S118" i="1" s="1"/>
  <c r="AI117" i="1"/>
  <c r="U117" i="1"/>
  <c r="S117" i="1" s="1"/>
  <c r="AI116" i="1"/>
  <c r="U116" i="1"/>
  <c r="S116" i="1" s="1"/>
  <c r="AI110" i="1"/>
  <c r="AI109" i="1"/>
  <c r="AI114" i="1"/>
  <c r="AI108" i="1"/>
  <c r="AI106" i="1"/>
  <c r="AI113" i="1"/>
  <c r="AI105" i="1"/>
  <c r="U69" i="1"/>
  <c r="S69" i="1" s="1"/>
  <c r="AI69" i="1"/>
  <c r="U65" i="1"/>
  <c r="S65" i="1" s="1"/>
  <c r="AI65" i="1"/>
  <c r="W104" i="1"/>
  <c r="AI104" i="1"/>
  <c r="AI102" i="1"/>
  <c r="W102" i="1"/>
  <c r="AI100" i="1"/>
  <c r="W100" i="1"/>
  <c r="AI98" i="1"/>
  <c r="W98" i="1"/>
  <c r="AI96" i="1"/>
  <c r="W96" i="1"/>
  <c r="AI94" i="1"/>
  <c r="W94" i="1"/>
  <c r="AI92" i="1"/>
  <c r="W92" i="1"/>
  <c r="AI90" i="1"/>
  <c r="W90" i="1"/>
  <c r="AI88" i="1"/>
  <c r="W88" i="1"/>
  <c r="AI86" i="1"/>
  <c r="W86" i="1"/>
  <c r="AI84" i="1"/>
  <c r="W84" i="1"/>
  <c r="AI82" i="1"/>
  <c r="W82" i="1"/>
  <c r="AI80" i="1"/>
  <c r="W80" i="1"/>
  <c r="AI78" i="1"/>
  <c r="W78" i="1"/>
  <c r="AI76" i="1"/>
  <c r="W76" i="1"/>
  <c r="AI74" i="1"/>
  <c r="W74" i="1"/>
  <c r="AI72" i="1"/>
  <c r="W72" i="1"/>
  <c r="U72" i="1"/>
  <c r="S72" i="1" s="1"/>
  <c r="AI68" i="1"/>
  <c r="W68" i="1"/>
  <c r="U68" i="1"/>
  <c r="S68" i="1" s="1"/>
  <c r="U71" i="1"/>
  <c r="S71" i="1" s="1"/>
  <c r="AI71" i="1"/>
  <c r="U67" i="1"/>
  <c r="S67" i="1" s="1"/>
  <c r="AI67" i="1"/>
  <c r="AI103" i="1"/>
  <c r="AI101" i="1"/>
  <c r="AI99" i="1"/>
  <c r="AI97" i="1"/>
  <c r="AI95" i="1"/>
  <c r="AI93" i="1"/>
  <c r="AI91" i="1"/>
  <c r="AI89" i="1"/>
  <c r="AI87" i="1"/>
  <c r="AI85" i="1"/>
  <c r="AI83" i="1"/>
  <c r="AI81" i="1"/>
  <c r="AI79" i="1"/>
  <c r="AI77" i="1"/>
  <c r="AI75" i="1"/>
  <c r="AI73" i="1"/>
  <c r="U70" i="1"/>
  <c r="S70" i="1" s="1"/>
  <c r="AI70" i="1"/>
  <c r="U66" i="1"/>
  <c r="S66" i="1" s="1"/>
  <c r="AI66" i="1"/>
  <c r="U64" i="1"/>
  <c r="S64" i="1" s="1"/>
  <c r="AI64" i="1"/>
  <c r="AI63" i="1"/>
  <c r="U62" i="1"/>
  <c r="S62" i="1" s="1"/>
  <c r="AI62" i="1"/>
  <c r="AI61" i="1"/>
  <c r="U60" i="1"/>
  <c r="S60" i="1" s="1"/>
  <c r="AI60" i="1"/>
  <c r="AI59" i="1"/>
  <c r="U58" i="1"/>
  <c r="S58" i="1" s="1"/>
  <c r="AI58" i="1"/>
  <c r="AI57" i="1"/>
  <c r="U56" i="1"/>
  <c r="S56" i="1" s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W37" i="1"/>
  <c r="AI36" i="1"/>
  <c r="W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U23" i="1"/>
  <c r="S23" i="1" s="1"/>
  <c r="AI22" i="1"/>
  <c r="U22" i="1"/>
  <c r="S22" i="1" s="1"/>
  <c r="AI21" i="1"/>
  <c r="U21" i="1"/>
  <c r="S21" i="1" s="1"/>
  <c r="AI20" i="1"/>
  <c r="U20" i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193" i="1"/>
  <c r="W184" i="1"/>
  <c r="W205" i="1"/>
  <c r="W201" i="1"/>
  <c r="W190" i="1"/>
  <c r="W185" i="1"/>
  <c r="W192" i="1"/>
  <c r="W186" i="1"/>
  <c r="W224" i="1"/>
  <c r="W223" i="1"/>
  <c r="W222" i="1"/>
  <c r="W221" i="1"/>
  <c r="W220" i="1"/>
  <c r="W219" i="1"/>
  <c r="W202" i="1"/>
  <c r="W198" i="1"/>
  <c r="W197" i="1"/>
  <c r="W196" i="1"/>
  <c r="W195" i="1"/>
  <c r="W188" i="1"/>
  <c r="W183" i="1"/>
  <c r="T191" i="1"/>
  <c r="U191" i="1" s="1"/>
  <c r="S191" i="1" s="1"/>
  <c r="X191" i="1"/>
  <c r="W189" i="1"/>
  <c r="W179" i="1"/>
  <c r="W175" i="1"/>
  <c r="W172" i="1"/>
  <c r="W169" i="1"/>
  <c r="W163" i="1"/>
  <c r="W235" i="1"/>
  <c r="W229" i="1"/>
  <c r="W217" i="1"/>
  <c r="W212" i="1"/>
  <c r="T196" i="1"/>
  <c r="U196" i="1" s="1"/>
  <c r="S196" i="1" s="1"/>
  <c r="X196" i="1"/>
  <c r="T194" i="1"/>
  <c r="U194" i="1" s="1"/>
  <c r="S194" i="1" s="1"/>
  <c r="T189" i="1"/>
  <c r="U189" i="1" s="1"/>
  <c r="S189" i="1" s="1"/>
  <c r="X189" i="1"/>
  <c r="W182" i="1"/>
  <c r="W180" i="1"/>
  <c r="W176" i="1"/>
  <c r="W171" i="1"/>
  <c r="W166" i="1"/>
  <c r="W162" i="1"/>
  <c r="W232" i="1"/>
  <c r="W230" i="1"/>
  <c r="W226" i="1"/>
  <c r="W225" i="1"/>
  <c r="W213" i="1"/>
  <c r="X224" i="1"/>
  <c r="X223" i="1"/>
  <c r="X222" i="1"/>
  <c r="X221" i="1"/>
  <c r="X220" i="1"/>
  <c r="W181" i="1"/>
  <c r="W177" i="1"/>
  <c r="W173" i="1"/>
  <c r="W168" i="1"/>
  <c r="W164" i="1"/>
  <c r="W234" i="1"/>
  <c r="W231" i="1"/>
  <c r="W227" i="1"/>
  <c r="W215" i="1"/>
  <c r="W211" i="1"/>
  <c r="T197" i="1"/>
  <c r="U197" i="1" s="1"/>
  <c r="S197" i="1" s="1"/>
  <c r="X197" i="1"/>
  <c r="T195" i="1"/>
  <c r="U195" i="1" s="1"/>
  <c r="S195" i="1" s="1"/>
  <c r="T193" i="1"/>
  <c r="U193" i="1" s="1"/>
  <c r="S193" i="1" s="1"/>
  <c r="W191" i="1"/>
  <c r="W187" i="1"/>
  <c r="W178" i="1"/>
  <c r="W174" i="1"/>
  <c r="W170" i="1"/>
  <c r="W167" i="1"/>
  <c r="W160" i="1"/>
  <c r="W233" i="1"/>
  <c r="W228" i="1"/>
  <c r="W216" i="1"/>
  <c r="W208" i="1"/>
  <c r="W157" i="1"/>
  <c r="W155" i="1"/>
  <c r="W149" i="1"/>
  <c r="W144" i="1"/>
  <c r="W140" i="1"/>
  <c r="W136" i="1"/>
  <c r="T187" i="1"/>
  <c r="U187" i="1" s="1"/>
  <c r="S187" i="1" s="1"/>
  <c r="X187" i="1"/>
  <c r="T185" i="1"/>
  <c r="U185" i="1" s="1"/>
  <c r="S185" i="1" s="1"/>
  <c r="X185" i="1"/>
  <c r="T183" i="1"/>
  <c r="U183" i="1" s="1"/>
  <c r="S183" i="1" s="1"/>
  <c r="X183" i="1"/>
  <c r="T181" i="1"/>
  <c r="U181" i="1" s="1"/>
  <c r="S181" i="1" s="1"/>
  <c r="X181" i="1"/>
  <c r="T179" i="1"/>
  <c r="U179" i="1" s="1"/>
  <c r="S179" i="1" s="1"/>
  <c r="X179" i="1"/>
  <c r="T177" i="1"/>
  <c r="U177" i="1" s="1"/>
  <c r="S177" i="1" s="1"/>
  <c r="X177" i="1"/>
  <c r="T175" i="1"/>
  <c r="U175" i="1" s="1"/>
  <c r="S175" i="1" s="1"/>
  <c r="X175" i="1"/>
  <c r="T173" i="1"/>
  <c r="U173" i="1" s="1"/>
  <c r="S173" i="1" s="1"/>
  <c r="X173" i="1"/>
  <c r="T171" i="1"/>
  <c r="U171" i="1" s="1"/>
  <c r="S171" i="1" s="1"/>
  <c r="X171" i="1"/>
  <c r="T169" i="1"/>
  <c r="U169" i="1" s="1"/>
  <c r="S169" i="1" s="1"/>
  <c r="X169" i="1"/>
  <c r="T167" i="1"/>
  <c r="U167" i="1" s="1"/>
  <c r="S167" i="1" s="1"/>
  <c r="X167" i="1"/>
  <c r="T164" i="1"/>
  <c r="U164" i="1" s="1"/>
  <c r="S164" i="1" s="1"/>
  <c r="X164" i="1"/>
  <c r="T162" i="1"/>
  <c r="U162" i="1" s="1"/>
  <c r="S162" i="1" s="1"/>
  <c r="T235" i="1"/>
  <c r="U235" i="1" s="1"/>
  <c r="S235" i="1" s="1"/>
  <c r="X235" i="1"/>
  <c r="T233" i="1"/>
  <c r="U233" i="1" s="1"/>
  <c r="S233" i="1" s="1"/>
  <c r="X233" i="1"/>
  <c r="T231" i="1"/>
  <c r="U231" i="1" s="1"/>
  <c r="S231" i="1" s="1"/>
  <c r="X231" i="1"/>
  <c r="T229" i="1"/>
  <c r="U229" i="1" s="1"/>
  <c r="S229" i="1" s="1"/>
  <c r="X229" i="1"/>
  <c r="T227" i="1"/>
  <c r="U227" i="1" s="1"/>
  <c r="S227" i="1" s="1"/>
  <c r="X227" i="1"/>
  <c r="W207" i="1"/>
  <c r="W156" i="1"/>
  <c r="W153" i="1"/>
  <c r="W147" i="1"/>
  <c r="W143" i="1"/>
  <c r="W139" i="1"/>
  <c r="W135" i="1"/>
  <c r="W159" i="1"/>
  <c r="W148" i="1"/>
  <c r="W146" i="1"/>
  <c r="W142" i="1"/>
  <c r="W138" i="1"/>
  <c r="W134" i="1"/>
  <c r="T192" i="1"/>
  <c r="U192" i="1" s="1"/>
  <c r="S192" i="1" s="1"/>
  <c r="T190" i="1"/>
  <c r="U190" i="1" s="1"/>
  <c r="S190" i="1" s="1"/>
  <c r="X190" i="1"/>
  <c r="T188" i="1"/>
  <c r="U188" i="1" s="1"/>
  <c r="S188" i="1" s="1"/>
  <c r="X188" i="1"/>
  <c r="T186" i="1"/>
  <c r="U186" i="1" s="1"/>
  <c r="S186" i="1" s="1"/>
  <c r="X186" i="1"/>
  <c r="T184" i="1"/>
  <c r="U184" i="1" s="1"/>
  <c r="S184" i="1" s="1"/>
  <c r="X184" i="1"/>
  <c r="T182" i="1"/>
  <c r="U182" i="1" s="1"/>
  <c r="S182" i="1" s="1"/>
  <c r="X182" i="1"/>
  <c r="T180" i="1"/>
  <c r="U180" i="1" s="1"/>
  <c r="S180" i="1" s="1"/>
  <c r="X180" i="1"/>
  <c r="T178" i="1"/>
  <c r="U178" i="1" s="1"/>
  <c r="S178" i="1" s="1"/>
  <c r="X178" i="1"/>
  <c r="T176" i="1"/>
  <c r="U176" i="1" s="1"/>
  <c r="S176" i="1" s="1"/>
  <c r="X176" i="1"/>
  <c r="T174" i="1"/>
  <c r="U174" i="1" s="1"/>
  <c r="S174" i="1" s="1"/>
  <c r="X174" i="1"/>
  <c r="T172" i="1"/>
  <c r="U172" i="1" s="1"/>
  <c r="S172" i="1" s="1"/>
  <c r="X172" i="1"/>
  <c r="T170" i="1"/>
  <c r="U170" i="1" s="1"/>
  <c r="S170" i="1" s="1"/>
  <c r="X170" i="1"/>
  <c r="T168" i="1"/>
  <c r="U168" i="1" s="1"/>
  <c r="S168" i="1" s="1"/>
  <c r="X168" i="1"/>
  <c r="T166" i="1"/>
  <c r="U166" i="1" s="1"/>
  <c r="S166" i="1" s="1"/>
  <c r="T163" i="1"/>
  <c r="U163" i="1" s="1"/>
  <c r="S163" i="1" s="1"/>
  <c r="X163" i="1"/>
  <c r="T160" i="1"/>
  <c r="U160" i="1" s="1"/>
  <c r="S160" i="1" s="1"/>
  <c r="X160" i="1"/>
  <c r="T234" i="1"/>
  <c r="U234" i="1" s="1"/>
  <c r="S234" i="1" s="1"/>
  <c r="X234" i="1"/>
  <c r="T232" i="1"/>
  <c r="U232" i="1" s="1"/>
  <c r="S232" i="1" s="1"/>
  <c r="X232" i="1"/>
  <c r="T230" i="1"/>
  <c r="U230" i="1" s="1"/>
  <c r="S230" i="1" s="1"/>
  <c r="X230" i="1"/>
  <c r="T228" i="1"/>
  <c r="U228" i="1" s="1"/>
  <c r="S228" i="1" s="1"/>
  <c r="X228" i="1"/>
  <c r="T226" i="1"/>
  <c r="U226" i="1" s="1"/>
  <c r="S226" i="1" s="1"/>
  <c r="X226" i="1"/>
  <c r="W209" i="1"/>
  <c r="W158" i="1"/>
  <c r="W154" i="1"/>
  <c r="W151" i="1"/>
  <c r="W145" i="1"/>
  <c r="W141" i="1"/>
  <c r="W137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3" i="1"/>
  <c r="W106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W110" i="1"/>
  <c r="W109" i="1"/>
  <c r="W111" i="1"/>
  <c r="X225" i="1"/>
  <c r="X218" i="1"/>
  <c r="X217" i="1"/>
  <c r="X216" i="1"/>
  <c r="X215" i="1"/>
  <c r="X214" i="1"/>
  <c r="X213" i="1"/>
  <c r="X212" i="1"/>
  <c r="X211" i="1"/>
  <c r="X210" i="1"/>
  <c r="X209" i="1"/>
  <c r="X208" i="1"/>
  <c r="X159" i="1"/>
  <c r="X158" i="1"/>
  <c r="X157" i="1"/>
  <c r="T147" i="1"/>
  <c r="U147" i="1" s="1"/>
  <c r="S147" i="1" s="1"/>
  <c r="X147" i="1"/>
  <c r="T146" i="1"/>
  <c r="U146" i="1" s="1"/>
  <c r="S146" i="1" s="1"/>
  <c r="X146" i="1"/>
  <c r="T145" i="1"/>
  <c r="U145" i="1" s="1"/>
  <c r="S145" i="1" s="1"/>
  <c r="X145" i="1"/>
  <c r="T144" i="1"/>
  <c r="U144" i="1" s="1"/>
  <c r="S144" i="1" s="1"/>
  <c r="X144" i="1"/>
  <c r="T143" i="1"/>
  <c r="U143" i="1" s="1"/>
  <c r="S143" i="1" s="1"/>
  <c r="X143" i="1"/>
  <c r="T142" i="1"/>
  <c r="U142" i="1" s="1"/>
  <c r="S142" i="1" s="1"/>
  <c r="X142" i="1"/>
  <c r="T141" i="1"/>
  <c r="U141" i="1" s="1"/>
  <c r="S141" i="1" s="1"/>
  <c r="X141" i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W114" i="1"/>
  <c r="W112" i="1"/>
  <c r="T110" i="1"/>
  <c r="U110" i="1" s="1"/>
  <c r="S110" i="1" s="1"/>
  <c r="X110" i="1"/>
  <c r="W108" i="1"/>
  <c r="W73" i="1"/>
  <c r="W70" i="1"/>
  <c r="W65" i="1"/>
  <c r="W64" i="1"/>
  <c r="T114" i="1"/>
  <c r="U114" i="1" s="1"/>
  <c r="S114" i="1" s="1"/>
  <c r="X114" i="1"/>
  <c r="T108" i="1"/>
  <c r="U108" i="1" s="1"/>
  <c r="S108" i="1" s="1"/>
  <c r="W105" i="1"/>
  <c r="W71" i="1"/>
  <c r="X122" i="1"/>
  <c r="X121" i="1"/>
  <c r="X120" i="1"/>
  <c r="X119" i="1"/>
  <c r="X118" i="1"/>
  <c r="X117" i="1"/>
  <c r="X116" i="1"/>
  <c r="T105" i="1"/>
  <c r="U105" i="1" s="1"/>
  <c r="S105" i="1" s="1"/>
  <c r="X105" i="1"/>
  <c r="W103" i="1"/>
  <c r="W101" i="1"/>
  <c r="W99" i="1"/>
  <c r="W97" i="1"/>
  <c r="W95" i="1"/>
  <c r="W93" i="1"/>
  <c r="W91" i="1"/>
  <c r="W89" i="1"/>
  <c r="W87" i="1"/>
  <c r="W85" i="1"/>
  <c r="W83" i="1"/>
  <c r="W81" i="1"/>
  <c r="W79" i="1"/>
  <c r="W77" i="1"/>
  <c r="W69" i="1"/>
  <c r="W66" i="1"/>
  <c r="T115" i="1"/>
  <c r="U115" i="1" s="1"/>
  <c r="S115" i="1" s="1"/>
  <c r="X115" i="1"/>
  <c r="T112" i="1"/>
  <c r="U112" i="1" s="1"/>
  <c r="S112" i="1" s="1"/>
  <c r="X112" i="1"/>
  <c r="W75" i="1"/>
  <c r="W67" i="1"/>
  <c r="T113" i="1"/>
  <c r="U113" i="1" s="1"/>
  <c r="S113" i="1" s="1"/>
  <c r="X113" i="1"/>
  <c r="T111" i="1"/>
  <c r="U111" i="1" s="1"/>
  <c r="S111" i="1" s="1"/>
  <c r="X111" i="1"/>
  <c r="T109" i="1"/>
  <c r="U109" i="1" s="1"/>
  <c r="S109" i="1" s="1"/>
  <c r="X109" i="1"/>
  <c r="T106" i="1"/>
  <c r="U106" i="1" s="1"/>
  <c r="S106" i="1" s="1"/>
  <c r="X106" i="1"/>
  <c r="T104" i="1"/>
  <c r="U104" i="1" s="1"/>
  <c r="S104" i="1" s="1"/>
  <c r="X104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T96" i="1"/>
  <c r="U96" i="1" s="1"/>
  <c r="S96" i="1" s="1"/>
  <c r="X96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W61" i="1"/>
  <c r="W60" i="1"/>
  <c r="X59" i="1"/>
  <c r="T59" i="1"/>
  <c r="U59" i="1" s="1"/>
  <c r="S59" i="1" s="1"/>
  <c r="W54" i="1"/>
  <c r="W50" i="1"/>
  <c r="W46" i="1"/>
  <c r="W42" i="1"/>
  <c r="W38" i="1"/>
  <c r="W63" i="1"/>
  <c r="W62" i="1"/>
  <c r="X61" i="1"/>
  <c r="T61" i="1"/>
  <c r="U61" i="1" s="1"/>
  <c r="S61" i="1" s="1"/>
  <c r="W53" i="1"/>
  <c r="W49" i="1"/>
  <c r="W45" i="1"/>
  <c r="W41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X63" i="1"/>
  <c r="T63" i="1"/>
  <c r="U63" i="1" s="1"/>
  <c r="S63" i="1" s="1"/>
  <c r="W57" i="1"/>
  <c r="W56" i="1"/>
  <c r="W52" i="1"/>
  <c r="W48" i="1"/>
  <c r="W44" i="1"/>
  <c r="W40" i="1"/>
  <c r="W59" i="1"/>
  <c r="W58" i="1"/>
  <c r="X57" i="1"/>
  <c r="T57" i="1"/>
  <c r="U57" i="1" s="1"/>
  <c r="S57" i="1" s="1"/>
  <c r="W55" i="1"/>
  <c r="W51" i="1"/>
  <c r="W47" i="1"/>
  <c r="W43" i="1"/>
  <c r="W39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X72" i="1"/>
  <c r="X71" i="1"/>
  <c r="X70" i="1"/>
  <c r="X69" i="1"/>
  <c r="X68" i="1"/>
  <c r="X67" i="1"/>
  <c r="X66" i="1"/>
  <c r="X65" i="1"/>
  <c r="X64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X23" i="1"/>
  <c r="X22" i="1"/>
  <c r="X21" i="1"/>
  <c r="X20" i="1"/>
  <c r="X19" i="1"/>
  <c r="X18" i="1"/>
  <c r="X17" i="1"/>
  <c r="X16" i="1"/>
  <c r="X15" i="1"/>
  <c r="AD23" i="3"/>
  <c r="AC36" i="3"/>
  <c r="AC21" i="3"/>
  <c r="AD20" i="3"/>
  <c r="AE19" i="3"/>
  <c r="AC20" i="3"/>
  <c r="AD15" i="3"/>
  <c r="AE15" i="3"/>
  <c r="AD16" i="3"/>
  <c r="AD36" i="3"/>
  <c r="AE31" i="3"/>
  <c r="AD31" i="3"/>
  <c r="AC17" i="3"/>
  <c r="AD24" i="3"/>
  <c r="AC9" i="3"/>
  <c r="AC28" i="3"/>
  <c r="T28" i="3"/>
  <c r="AC19" i="3"/>
  <c r="AD12" i="3"/>
  <c r="AD11" i="3"/>
  <c r="AE11" i="3"/>
  <c r="AD9" i="3"/>
  <c r="AD21" i="3"/>
  <c r="AC23" i="3"/>
  <c r="AE27" i="3"/>
  <c r="AC35" i="3"/>
  <c r="AE35" i="3"/>
  <c r="AC8" i="3"/>
  <c r="AC14" i="3"/>
  <c r="T14" i="3"/>
  <c r="AD35" i="3"/>
  <c r="AC12" i="3"/>
  <c r="AE23" i="3"/>
  <c r="AD17" i="3"/>
  <c r="AD8" i="3"/>
  <c r="AC32" i="3"/>
  <c r="T32" i="3"/>
  <c r="AC27" i="3"/>
  <c r="AC26" i="3"/>
  <c r="AC31" i="3"/>
  <c r="AC15" i="3"/>
  <c r="T15" i="3"/>
  <c r="AC25" i="3"/>
  <c r="AC18" i="3"/>
  <c r="Y18" i="3"/>
  <c r="Y33" i="3"/>
  <c r="Y14" i="3"/>
  <c r="Y15" i="3"/>
  <c r="Y28" i="3"/>
  <c r="Y29" i="3"/>
  <c r="Y32" i="3"/>
  <c r="Y21" i="3"/>
  <c r="Y16" i="3"/>
  <c r="Y30" i="3"/>
  <c r="Y13" i="3"/>
  <c r="Y35" i="3"/>
  <c r="Y8" i="3"/>
  <c r="Y31" i="3"/>
  <c r="Y12" i="3"/>
  <c r="Y9" i="3"/>
  <c r="Y20" i="3"/>
  <c r="Y27" i="3"/>
  <c r="Y11" i="3"/>
  <c r="Y24" i="3"/>
  <c r="Y7" i="3"/>
  <c r="Y22" i="3"/>
  <c r="Y37" i="3"/>
  <c r="Y36" i="3"/>
  <c r="Y26" i="3"/>
  <c r="Y23" i="3"/>
  <c r="Y17" i="3"/>
  <c r="Y10" i="3"/>
  <c r="Y25" i="3"/>
  <c r="Y19" i="3"/>
  <c r="Y34" i="3"/>
  <c r="T22" i="3"/>
  <c r="AE18" i="3"/>
  <c r="T16" i="3"/>
  <c r="AE14" i="3"/>
  <c r="T30" i="3"/>
  <c r="AE10" i="3"/>
  <c r="T13" i="3"/>
  <c r="T7" i="3"/>
  <c r="AE33" i="3"/>
  <c r="T26" i="3"/>
  <c r="AE21" i="3"/>
  <c r="T10" i="3"/>
  <c r="AD18" i="3"/>
  <c r="AE17" i="3"/>
  <c r="T25" i="3"/>
  <c r="AD14" i="3"/>
  <c r="AE13" i="3"/>
  <c r="T19" i="3"/>
  <c r="AD10" i="3"/>
  <c r="AE9" i="3"/>
  <c r="T34" i="3"/>
  <c r="T11" i="3"/>
  <c r="AE34" i="3"/>
  <c r="T24" i="3"/>
  <c r="AE30" i="3"/>
  <c r="AE26" i="3"/>
  <c r="AE22" i="3"/>
  <c r="T37" i="3"/>
  <c r="AE37" i="3"/>
  <c r="T36" i="3"/>
  <c r="AD34" i="3"/>
  <c r="AD30" i="3"/>
  <c r="AE29" i="3"/>
  <c r="T23" i="3"/>
  <c r="AD26" i="3"/>
  <c r="AE25" i="3"/>
  <c r="T17" i="3"/>
  <c r="AD22" i="3"/>
  <c r="AE36" i="3"/>
  <c r="AE32" i="3"/>
  <c r="AE28" i="3"/>
  <c r="AE24" i="3"/>
  <c r="AE20" i="3"/>
  <c r="AE16" i="3"/>
  <c r="AE12" i="3"/>
  <c r="AE8" i="3"/>
  <c r="M38" i="3" l="1"/>
  <c r="R38" i="3"/>
  <c r="U38" i="3"/>
  <c r="X38" i="3"/>
  <c r="M30" i="5"/>
  <c r="M29" i="5"/>
  <c r="M28" i="5"/>
  <c r="M27" i="5"/>
  <c r="M26" i="5"/>
  <c r="W38" i="3"/>
  <c r="AD38" i="3" l="1"/>
  <c r="Y38" i="3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N36" i="3" l="1"/>
  <c r="N35" i="3"/>
  <c r="N27" i="3"/>
  <c r="N11" i="3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S38" i="3" l="1"/>
  <c r="V38" i="3"/>
  <c r="AE38" i="3" s="1"/>
  <c r="AC38" i="3"/>
  <c r="AO13" i="1"/>
  <c r="AN13" i="1"/>
  <c r="V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N12" i="3" s="1"/>
  <c r="G133" i="4"/>
  <c r="N17" i="3" s="1"/>
  <c r="G134" i="4"/>
  <c r="G135" i="4"/>
  <c r="G136" i="4"/>
  <c r="G137" i="4"/>
  <c r="G138" i="4"/>
  <c r="G139" i="4"/>
  <c r="G140" i="4"/>
  <c r="G141" i="4"/>
  <c r="G142" i="4"/>
  <c r="G143" i="4"/>
  <c r="N22" i="3" s="1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7" i="3" l="1"/>
  <c r="N14" i="3"/>
  <c r="N21" i="3"/>
  <c r="N9" i="3"/>
  <c r="N20" i="3"/>
  <c r="N29" i="3"/>
  <c r="N19" i="3"/>
  <c r="N18" i="3"/>
  <c r="N8" i="3"/>
  <c r="N23" i="3"/>
  <c r="N31" i="3"/>
  <c r="N37" i="3"/>
  <c r="N10" i="3"/>
  <c r="N25" i="3"/>
  <c r="N28" i="3"/>
  <c r="N33" i="3"/>
  <c r="N34" i="3"/>
  <c r="N13" i="3"/>
  <c r="N24" i="3"/>
  <c r="N26" i="3"/>
  <c r="N32" i="3"/>
  <c r="N15" i="3"/>
  <c r="N16" i="3"/>
  <c r="N30" i="3"/>
  <c r="N3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T38" i="3" l="1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B3" i="6" l="1"/>
  <c r="D3" i="6" s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<sst xmlns="http://schemas.openxmlformats.org/spreadsheetml/2006/main" count="2682" uniqueCount="984">
  <si>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</si>
  <si>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</si>
  <si>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</si>
  <si>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</si>
  <si>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</si>
  <si>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</si>
  <si>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</si>
  <si>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</si>
  <si>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</si>
  <si>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</si>
  <si>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</si>
  <si>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</si>
  <si>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</si>
  <si>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</si>
  <si>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</si>
  <si>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</si>
  <si>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</si>
  <si>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</si>
  <si>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</si>
  <si>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</si>
  <si>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</si>
  <si>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</si>
  <si>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</si>
  <si>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</si>
  <si>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</si>
  <si>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</si>
  <si>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</si>
  <si>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</si>
  <si>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</si>
  <si>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</si>
  <si>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</si>
  <si>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</si>
  <si>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</si>
  <si>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</si>
  <si>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</si>
  <si>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</si>
  <si>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</si>
  <si>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</si>
  <si>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</si>
  <si>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</si>
  <si>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</si>
  <si>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</si>
  <si>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</si>
  <si>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</si>
  <si>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</si>
  <si>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</si>
  <si>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</si>
  <si>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</si>
  <si>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</si>
  <si>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</si>
  <si>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</si>
  <si>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</si>
  <si>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</si>
  <si>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</si>
  <si>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</si>
  <si>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</si>
  <si>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</si>
  <si>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</si>
  <si>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</si>
  <si>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</si>
  <si>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</si>
  <si>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</si>
  <si>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</si>
  <si>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</si>
  <si>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</si>
  <si>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</si>
  <si>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</si>
  <si>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</si>
  <si>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</si>
  <si>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</si>
  <si>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</si>
  <si>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</si>
  <si>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</si>
  <si>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</si>
  <si>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</si>
  <si>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</si>
  <si>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</si>
  <si>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</si>
  <si>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</si>
  <si>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</si>
  <si>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</si>
  <si>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</si>
  <si>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</si>
  <si>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</si>
  <si>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</si>
  <si>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</si>
  <si>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</si>
  <si>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</si>
  <si>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</si>
  <si>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</si>
  <si>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</si>
  <si>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</si>
  <si>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</si>
  <si>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</si>
  <si>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</si>
  <si>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</si>
  <si>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</si>
  <si>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</si>
  <si>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</si>
  <si>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</si>
  <si>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</si>
  <si>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</si>
  <si>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</si>
  <si>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</si>
  <si>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</si>
  <si>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</si>
  <si>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</si>
  <si>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</si>
  <si>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</si>
  <si>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</si>
  <si>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</si>
  <si>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</si>
  <si>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</si>
  <si>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</si>
  <si>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</si>
  <si>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</si>
  <si>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</si>
  <si>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</si>
  <si>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</si>
  <si>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</si>
  <si>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</si>
  <si>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</si>
  <si>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</si>
  <si>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</si>
  <si>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</si>
  <si>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</si>
  <si>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</si>
  <si>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</si>
  <si>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</si>
  <si>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</si>
  <si>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</si>
  <si>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</si>
  <si>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</si>
  <si>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</si>
  <si>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</si>
  <si>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</si>
  <si>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</si>
  <si>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</si>
  <si>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</si>
  <si>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</si>
  <si>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</si>
  <si>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</si>
  <si>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</si>
  <si>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</si>
  <si>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</si>
  <si>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</si>
  <si>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</si>
  <si>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</si>
  <si>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</si>
  <si>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</si>
  <si>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</si>
  <si>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</si>
  <si>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</si>
  <si>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</si>
  <si>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</si>
  <si>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</si>
  <si>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</si>
  <si>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</si>
  <si>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</si>
  <si>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</si>
  <si>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</si>
  <si>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</si>
  <si>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</si>
  <si>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</si>
  <si>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</si>
  <si>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</si>
  <si>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</si>
  <si>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</si>
  <si>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</si>
  <si>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</si>
  <si>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</si>
  <si>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</si>
  <si>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</si>
  <si>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</si>
  <si>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</si>
  <si>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</si>
  <si>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</si>
  <si>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</si>
  <si>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</si>
  <si>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</si>
  <si>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</si>
  <si>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</si>
  <si>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</si>
  <si>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</si>
  <si>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</si>
  <si>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</si>
  <si>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</si>
  <si>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</si>
  <si>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</si>
  <si>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</si>
  <si>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</si>
  <si>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</si>
  <si>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</si>
  <si>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</si>
  <si>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</si>
  <si>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</si>
  <si>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</si>
  <si>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</si>
  <si>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</si>
  <si>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</si>
  <si>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</si>
  <si>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</si>
  <si>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</si>
  <si>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</si>
  <si>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</si>
  <si>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</si>
  <si>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</si>
  <si>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</si>
  <si>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</si>
  <si>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</si>
  <si>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</si>
  <si>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</si>
  <si>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</si>
  <si>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</si>
  <si>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</si>
  <si>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</si>
  <si>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</si>
  <si>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</si>
  <si>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</si>
  <si>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</si>
  <si>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</si>
  <si>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</si>
  <si>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</si>
  <si>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</si>
  <si>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</si>
  <si>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</si>
  <si>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</si>
  <si>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</si>
  <si>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</si>
  <si>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</si>
  <si>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</si>
  <si>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</si>
  <si>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</si>
  <si>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</si>
  <si>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</si>
  <si>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</si>
  <si>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</si>
  <si>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</si>
  <si>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</si>
  <si>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</si>
  <si>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</si>
  <si>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</si>
  <si>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</si>
  <si>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</si>
  <si>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</si>
  <si>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</si>
  <si>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</si>
  <si>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</si>
  <si>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</si>
  <si>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</si>
  <si>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</si>
  <si>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</si>
  <si>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</si>
  <si>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</si>
  <si>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</si>
  <si>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</si>
  <si>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</si>
  <si>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</si>
  <si>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</si>
  <si>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</si>
  <si>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</si>
  <si>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</si>
  <si>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</si>
  <si>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</si>
  <si>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</si>
  <si>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</si>
  <si>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</si>
  <si>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</si>
  <si>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</si>
  <si>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</si>
  <si>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</si>
  <si>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</si>
  <si>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</si>
  <si>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</si>
  <si>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</si>
  <si>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</si>
  <si>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</si>
  <si>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</si>
  <si>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</si>
  <si>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</si>
  <si>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</si>
  <si>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</si>
  <si>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</si>
  <si>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</si>
  <si>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</si>
  <si>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</si>
  <si>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</si>
  <si>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</si>
  <si>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</si>
  <si>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</si>
  <si>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</si>
  <si>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</si>
  <si>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</si>
  <si>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</si>
  <si>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</si>
  <si>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</si>
  <si>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</si>
  <si>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</si>
  <si>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</si>
  <si>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</si>
  <si>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</si>
  <si>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</si>
  <si>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</si>
  <si>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</si>
  <si>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</si>
  <si>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</si>
  <si>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</si>
  <si>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</si>
  <si>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</si>
  <si>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</si>
  <si>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</si>
  <si>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</si>
  <si>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</si>
  <si>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</si>
  <si>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</si>
  <si>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</si>
  <si>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</si>
  <si>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</si>
  <si>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</si>
  <si>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</si>
  <si>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</si>
  <si>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</si>
  <si>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</si>
  <si>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</si>
  <si>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</si>
  <si>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</si>
  <si>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</si>
  <si>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</si>
  <si>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</si>
  <si>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</si>
  <si>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</si>
  <si>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</si>
  <si>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</si>
  <si>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</si>
  <si>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</si>
  <si>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</si>
  <si>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</si>
  <si>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</si>
  <si>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</si>
  <si>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</si>
  <si>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</si>
  <si>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</si>
  <si>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</si>
  <si>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</si>
  <si>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</si>
  <si>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</si>
  <si>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</si>
  <si>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</si>
  <si>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</si>
  <si>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</si>
  <si>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</si>
  <si>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</si>
  <si>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</si>
  <si>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</si>
  <si>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</si>
  <si>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</si>
  <si>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</si>
  <si>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</si>
  <si>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</si>
  <si>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SIGNAL</t>
  </si>
  <si>
    <t>Signal based authority (5)</t>
  </si>
  <si>
    <t>204:145</t>
  </si>
  <si>
    <t>204:138</t>
  </si>
  <si>
    <t>clear-day</t>
  </si>
  <si>
    <t>Clear</t>
  </si>
  <si>
    <t>clear-night</t>
  </si>
  <si>
    <t>Early Arrival</t>
  </si>
  <si>
    <t>204:156</t>
  </si>
  <si>
    <t>204:467</t>
  </si>
  <si>
    <t>LOZA</t>
  </si>
  <si>
    <t>FIDEL</t>
  </si>
  <si>
    <t>204:232977</t>
  </si>
  <si>
    <t>rtdc.l.rtdc.4030:itc</t>
  </si>
  <si>
    <t>204:469</t>
  </si>
  <si>
    <t>204:161</t>
  </si>
  <si>
    <t>204:442</t>
  </si>
  <si>
    <t>JAMES</t>
  </si>
  <si>
    <t>204:160</t>
  </si>
  <si>
    <t>204:460</t>
  </si>
  <si>
    <t>204:158</t>
  </si>
  <si>
    <t>204:232994</t>
  </si>
  <si>
    <t>DUNCAN</t>
  </si>
  <si>
    <t>SHEILA</t>
  </si>
  <si>
    <t>PERKINS</t>
  </si>
  <si>
    <t>DARREN</t>
  </si>
  <si>
    <t>HART</t>
  </si>
  <si>
    <t>KEVIN</t>
  </si>
  <si>
    <t>204:440</t>
  </si>
  <si>
    <t>204:139</t>
  </si>
  <si>
    <t>rtdc.l.rtdc.4015:itc</t>
  </si>
  <si>
    <t>rtdc.l.rtdc.4016:itc</t>
  </si>
  <si>
    <t>NICHOLSON</t>
  </si>
  <si>
    <t>WESLEY</t>
  </si>
  <si>
    <t>204:163</t>
  </si>
  <si>
    <t>204:462</t>
  </si>
  <si>
    <t>204:232996</t>
  </si>
  <si>
    <t>204:451</t>
  </si>
  <si>
    <t>204:233312</t>
  </si>
  <si>
    <t>204:471</t>
  </si>
  <si>
    <t>204:232998</t>
  </si>
  <si>
    <t>204:233013</t>
  </si>
  <si>
    <t>rtdc.l.rtdc.4058:itc</t>
  </si>
  <si>
    <t>204:154</t>
  </si>
  <si>
    <t>204:233315</t>
  </si>
  <si>
    <t>204:437</t>
  </si>
  <si>
    <t>204:466</t>
  </si>
  <si>
    <t>rtdc.l.rtdc.4028:itc</t>
  </si>
  <si>
    <t>204:447</t>
  </si>
  <si>
    <t>204:233293</t>
  </si>
  <si>
    <t>204:232978</t>
  </si>
  <si>
    <t>204:233319</t>
  </si>
  <si>
    <t>204:232991</t>
  </si>
  <si>
    <t>rtdc.l.rtdc.4043:itc</t>
  </si>
  <si>
    <t>YORK</t>
  </si>
  <si>
    <t>EDGAR</t>
  </si>
  <si>
    <t>204:233299</t>
  </si>
  <si>
    <t>rtdc.l.rtdc.4057:itc</t>
  </si>
  <si>
    <t>Y</t>
  </si>
  <si>
    <t>204:232982</t>
  </si>
  <si>
    <t>204:475</t>
  </si>
  <si>
    <t>204:232993</t>
  </si>
  <si>
    <t>204:233332</t>
  </si>
  <si>
    <t>rtdc.l.rtdc.4023:itc</t>
  </si>
  <si>
    <t>rtdc.l.rtdc.4024:itc</t>
  </si>
  <si>
    <t>rtdc.l.rtdc.4005:itc</t>
  </si>
  <si>
    <t>204:233318</t>
  </si>
  <si>
    <t>204:233310</t>
  </si>
  <si>
    <t>204:232975</t>
  </si>
  <si>
    <t>204:233006</t>
  </si>
  <si>
    <t>204:233019</t>
  </si>
  <si>
    <t>204:130</t>
  </si>
  <si>
    <t>204:457</t>
  </si>
  <si>
    <t>204:967</t>
  </si>
  <si>
    <t>204:233023</t>
  </si>
  <si>
    <t>Sat - Sun = 36 Trips</t>
  </si>
  <si>
    <t>"Summary View"</t>
  </si>
  <si>
    <t>rtdc.l.rtdc.4039:itc</t>
  </si>
  <si>
    <t>rtdc.l.rtdc.4018:itc</t>
  </si>
  <si>
    <t>rtdc.l.rtdc.4010:itc</t>
  </si>
  <si>
    <t>rtdc.l.rtdc.4017:itc</t>
  </si>
  <si>
    <t>rtdc.l.rtdc.4040:itc</t>
  </si>
  <si>
    <t>LEVIN</t>
  </si>
  <si>
    <t>SCOTT</t>
  </si>
  <si>
    <t>204:232987</t>
  </si>
  <si>
    <t>204:233295</t>
  </si>
  <si>
    <t>204:232984</t>
  </si>
  <si>
    <t>204:233298</t>
  </si>
  <si>
    <t>204:233317</t>
  </si>
  <si>
    <t>204:232992</t>
  </si>
  <si>
    <t>204:232988</t>
  </si>
  <si>
    <t>204:232986</t>
  </si>
  <si>
    <t>204:981</t>
  </si>
  <si>
    <t>204:233321</t>
  </si>
  <si>
    <t>rtdc.l.rtdc.4027:itc</t>
  </si>
  <si>
    <t>rtdc.l.rtdc.4044:itc</t>
  </si>
  <si>
    <t>YANG</t>
  </si>
  <si>
    <t>JAN</t>
  </si>
  <si>
    <t>FORTUNATO</t>
  </si>
  <si>
    <t>FRANK</t>
  </si>
  <si>
    <t>BRUDER</t>
  </si>
  <si>
    <t>RICHARD</t>
  </si>
  <si>
    <t>204:233286</t>
  </si>
  <si>
    <t>204:233008</t>
  </si>
  <si>
    <t>204:232973</t>
  </si>
  <si>
    <t>204:233004</t>
  </si>
  <si>
    <t>300:23346</t>
  </si>
  <si>
    <t>204:689</t>
  </si>
  <si>
    <t>204:972</t>
  </si>
  <si>
    <t>204:965</t>
  </si>
  <si>
    <t>300:58656</t>
  </si>
  <si>
    <t>rtdc.l.rtdc.4063:itc</t>
  </si>
  <si>
    <t>rtdc.l.rtdc.4042:itc</t>
  </si>
  <si>
    <t>rtdc.l.rtdc.4001:itc</t>
  </si>
  <si>
    <t>rtdc.l.rtdc.4064:itc</t>
  </si>
  <si>
    <t>51-20</t>
  </si>
  <si>
    <t>244-20</t>
  </si>
  <si>
    <t>ROCHA</t>
  </si>
  <si>
    <t>YAOTL</t>
  </si>
  <si>
    <t>WENDY</t>
  </si>
  <si>
    <t>rtdc.l.rtdc.4002:itc</t>
  </si>
  <si>
    <t>GEBRETEKLE</t>
  </si>
  <si>
    <t>DAGNEW</t>
  </si>
  <si>
    <t>YANAI</t>
  </si>
  <si>
    <t>IAN</t>
  </si>
  <si>
    <t>PAGE</t>
  </si>
  <si>
    <t>MARCUS</t>
  </si>
  <si>
    <t>HUFFSMITH</t>
  </si>
  <si>
    <t>MONTY</t>
  </si>
  <si>
    <t>DELGADO</t>
  </si>
  <si>
    <t>DIANAH</t>
  </si>
  <si>
    <t>BERLING</t>
  </si>
  <si>
    <t>GARY</t>
  </si>
  <si>
    <t>DE LA ROSA</t>
  </si>
  <si>
    <t>ALEX</t>
  </si>
  <si>
    <t>ANDERS</t>
  </si>
  <si>
    <t>STEVEN</t>
  </si>
  <si>
    <t>313-20</t>
  </si>
  <si>
    <t>242-20</t>
  </si>
  <si>
    <t>307-20</t>
  </si>
  <si>
    <t>309-20</t>
  </si>
  <si>
    <t>311-20</t>
  </si>
  <si>
    <t>300-21</t>
  </si>
  <si>
    <t>204:233327</t>
  </si>
  <si>
    <t>204:233305</t>
  </si>
  <si>
    <t>204:167</t>
  </si>
  <si>
    <t>204:233002</t>
  </si>
  <si>
    <t>204:233280</t>
  </si>
  <si>
    <t>204:233301</t>
  </si>
  <si>
    <t>204:132</t>
  </si>
  <si>
    <t>204:233316</t>
  </si>
  <si>
    <t>204:232969</t>
  </si>
  <si>
    <t>300:23301</t>
  </si>
  <si>
    <t>300:23310</t>
  </si>
  <si>
    <t>300:58975</t>
  </si>
  <si>
    <t>300:58626</t>
  </si>
  <si>
    <t>204:699</t>
  </si>
  <si>
    <t>300:58935</t>
  </si>
  <si>
    <t>204:698</t>
  </si>
  <si>
    <t>c:\users\stu\Documents\GitHub\mrs-test-scripts\Headless Mode &amp; Sideloading\WalkAndUnGZ.bat</t>
  </si>
  <si>
    <t>rtdc.l.rtdc.4031:itc</t>
  </si>
  <si>
    <t>rtdc.l.rtdc.4009:itc</t>
  </si>
  <si>
    <t>rtdc.l.rtdc.4032:itc</t>
  </si>
  <si>
    <t>244-21</t>
  </si>
  <si>
    <t>rtdc.l.rtdc.4006:itc</t>
  </si>
  <si>
    <t>SPECTOR</t>
  </si>
  <si>
    <t>rtdc.l.rtdc.4014:itc</t>
  </si>
  <si>
    <t>GONZALEZ</t>
  </si>
  <si>
    <t>ARMANDO</t>
  </si>
  <si>
    <t>BADERTSCHER</t>
  </si>
  <si>
    <t>DIANE</t>
  </si>
  <si>
    <t>NEWELL</t>
  </si>
  <si>
    <t>DAVIDSON</t>
  </si>
  <si>
    <t>DAVID</t>
  </si>
  <si>
    <t>ELBAUM</t>
  </si>
  <si>
    <t>MIKE</t>
  </si>
  <si>
    <t>LOPES</t>
  </si>
  <si>
    <t>KIMBERLY</t>
  </si>
  <si>
    <t>55-21</t>
  </si>
  <si>
    <t>313-21</t>
  </si>
  <si>
    <t>307-21</t>
  </si>
  <si>
    <t>309-21</t>
  </si>
  <si>
    <t>706-21</t>
  </si>
  <si>
    <t>311-21</t>
  </si>
  <si>
    <t>300-22</t>
  </si>
  <si>
    <t>50-22</t>
  </si>
  <si>
    <t>Dry</t>
  </si>
  <si>
    <t>204:482</t>
  </si>
  <si>
    <t>204:233307</t>
  </si>
  <si>
    <t>204:127</t>
  </si>
  <si>
    <t>204:233284</t>
  </si>
  <si>
    <t>204:233297</t>
  </si>
  <si>
    <t>204:232980</t>
  </si>
  <si>
    <t>204:232990</t>
  </si>
  <si>
    <t>204:233309</t>
  </si>
  <si>
    <t>204:233000</t>
  </si>
  <si>
    <t>204:232961</t>
  </si>
  <si>
    <t>204:233323</t>
  </si>
  <si>
    <t>204:424</t>
  </si>
  <si>
    <t>204:418</t>
  </si>
  <si>
    <t>204:999</t>
  </si>
  <si>
    <t>300:58704</t>
  </si>
  <si>
    <t>300:59008</t>
  </si>
  <si>
    <t>204:983</t>
  </si>
  <si>
    <t>300:58999</t>
  </si>
  <si>
    <t>204:722</t>
  </si>
  <si>
    <t>204:720</t>
  </si>
  <si>
    <t>300:58609</t>
  </si>
  <si>
    <t>300:58956</t>
  </si>
  <si>
    <t>204:97</t>
  </si>
  <si>
    <t>300:58928</t>
  </si>
  <si>
    <t>204:439</t>
  </si>
  <si>
    <t>204:677</t>
  </si>
  <si>
    <t>204:985</t>
  </si>
  <si>
    <t>204:696</t>
  </si>
  <si>
    <t>204:684</t>
  </si>
  <si>
    <t>204:233303</t>
  </si>
  <si>
    <t>801-22</t>
  </si>
  <si>
    <t>125-22</t>
  </si>
  <si>
    <t>806-22</t>
  </si>
  <si>
    <t>120-22</t>
  </si>
  <si>
    <t>rtdc.l.rtdc.4041:itc</t>
  </si>
  <si>
    <t>808-22</t>
  </si>
  <si>
    <t>810-22</t>
  </si>
  <si>
    <t>rtdc.l.rtdc.4061:itc</t>
  </si>
  <si>
    <t>128-22</t>
  </si>
  <si>
    <t>813-22</t>
  </si>
  <si>
    <t>rtdc.l.rtdc.4059:itc</t>
  </si>
  <si>
    <t>138-22</t>
  </si>
  <si>
    <t>SWITCH UNKNOWN</t>
  </si>
  <si>
    <t>Track device (7)</t>
  </si>
  <si>
    <t>140-22</t>
  </si>
  <si>
    <t>171-22</t>
  </si>
  <si>
    <t>72-22</t>
  </si>
  <si>
    <t>166-22</t>
  </si>
  <si>
    <t>176-22</t>
  </si>
  <si>
    <t>rtdc.l.rtdc.4062:itc</t>
  </si>
  <si>
    <t>183-22</t>
  </si>
  <si>
    <t>824-22</t>
  </si>
  <si>
    <t>195-22</t>
  </si>
  <si>
    <t>826-22</t>
  </si>
  <si>
    <t>829-22</t>
  </si>
  <si>
    <t>203-22</t>
  </si>
  <si>
    <t>830-22</t>
  </si>
  <si>
    <t>207-22</t>
  </si>
  <si>
    <t>836-22</t>
  </si>
  <si>
    <t>843-22</t>
  </si>
  <si>
    <t>849-22</t>
  </si>
  <si>
    <t>307-22</t>
  </si>
  <si>
    <t>244-22</t>
  </si>
  <si>
    <t>51-22</t>
  </si>
  <si>
    <t>101-22</t>
  </si>
  <si>
    <t>302-22</t>
  </si>
  <si>
    <t>LANGERAK</t>
  </si>
  <si>
    <t>WILLIAM</t>
  </si>
  <si>
    <t>52-22</t>
  </si>
  <si>
    <t>103-22</t>
  </si>
  <si>
    <t>304-22</t>
  </si>
  <si>
    <t>BONDS</t>
  </si>
  <si>
    <t>REYNALDO</t>
  </si>
  <si>
    <t>102-22</t>
  </si>
  <si>
    <t>105-22</t>
  </si>
  <si>
    <t>306-22</t>
  </si>
  <si>
    <t>308-22</t>
  </si>
  <si>
    <t>104-22</t>
  </si>
  <si>
    <t>107-22</t>
  </si>
  <si>
    <t>rtdc.l.rtdc.4060:itc</t>
  </si>
  <si>
    <t>109-22</t>
  </si>
  <si>
    <t>310-22</t>
  </si>
  <si>
    <t>BEAM</t>
  </si>
  <si>
    <t>ROSS</t>
  </si>
  <si>
    <t>901-22</t>
  </si>
  <si>
    <t>ACKERMAN</t>
  </si>
  <si>
    <t>JARED</t>
  </si>
  <si>
    <t>111-22</t>
  </si>
  <si>
    <t>113-22</t>
  </si>
  <si>
    <t>106-22</t>
  </si>
  <si>
    <t>108-22</t>
  </si>
  <si>
    <t>800-22</t>
  </si>
  <si>
    <t>rtdc.l.rtdc.4011:itc</t>
  </si>
  <si>
    <t>312-22</t>
  </si>
  <si>
    <t>115-22</t>
  </si>
  <si>
    <t>110-22</t>
  </si>
  <si>
    <t>rtdc.l.rtdc.4012:itc</t>
  </si>
  <si>
    <t>117-22</t>
  </si>
  <si>
    <t>112-22</t>
  </si>
  <si>
    <t>902-22</t>
  </si>
  <si>
    <t>LALONDE</t>
  </si>
  <si>
    <t>GREGORY</t>
  </si>
  <si>
    <t>114-22</t>
  </si>
  <si>
    <t>802-22</t>
  </si>
  <si>
    <t>119-22</t>
  </si>
  <si>
    <t>803-22</t>
  </si>
  <si>
    <t>121-22</t>
  </si>
  <si>
    <t>116-22</t>
  </si>
  <si>
    <t>118-22</t>
  </si>
  <si>
    <t>123-22</t>
  </si>
  <si>
    <t>BIRENBAUM</t>
  </si>
  <si>
    <t>THOMAS</t>
  </si>
  <si>
    <t>804-22</t>
  </si>
  <si>
    <t>805-22</t>
  </si>
  <si>
    <t>127-22</t>
  </si>
  <si>
    <t>122-22</t>
  </si>
  <si>
    <t>807-22</t>
  </si>
  <si>
    <t>129-22</t>
  </si>
  <si>
    <t>124-22</t>
  </si>
  <si>
    <t>131-22</t>
  </si>
  <si>
    <t>126-22</t>
  </si>
  <si>
    <t>809-22</t>
  </si>
  <si>
    <t>133-22</t>
  </si>
  <si>
    <t>130-22</t>
  </si>
  <si>
    <t>135-22</t>
  </si>
  <si>
    <t>811-22</t>
  </si>
  <si>
    <t>137-22</t>
  </si>
  <si>
    <t>132-22</t>
  </si>
  <si>
    <t>139-22</t>
  </si>
  <si>
    <t>903-22</t>
  </si>
  <si>
    <t>812-22</t>
  </si>
  <si>
    <t>134-22</t>
  </si>
  <si>
    <t>136-22</t>
  </si>
  <si>
    <t>141-22</t>
  </si>
  <si>
    <t>143-22</t>
  </si>
  <si>
    <t>145-22</t>
  </si>
  <si>
    <t>142-22</t>
  </si>
  <si>
    <t>814-22</t>
  </si>
  <si>
    <t>147-22</t>
  </si>
  <si>
    <t>149-22</t>
  </si>
  <si>
    <t>144-22</t>
  </si>
  <si>
    <t>146-22</t>
  </si>
  <si>
    <t>815-22</t>
  </si>
  <si>
    <t>151-22</t>
  </si>
  <si>
    <t>153-22</t>
  </si>
  <si>
    <t>148-22</t>
  </si>
  <si>
    <t>150-22</t>
  </si>
  <si>
    <t>816-22</t>
  </si>
  <si>
    <t>155-22</t>
  </si>
  <si>
    <t>157-22</t>
  </si>
  <si>
    <t>152-22</t>
  </si>
  <si>
    <t>159-22</t>
  </si>
  <si>
    <t>817-22</t>
  </si>
  <si>
    <t>154-22</t>
  </si>
  <si>
    <t>156-22</t>
  </si>
  <si>
    <t>161-22</t>
  </si>
  <si>
    <t>SAFIEF</t>
  </si>
  <si>
    <t>AEIMEN</t>
  </si>
  <si>
    <t>818-22</t>
  </si>
  <si>
    <t>163-22</t>
  </si>
  <si>
    <t>158-22</t>
  </si>
  <si>
    <t>160-22</t>
  </si>
  <si>
    <t>165-22</t>
  </si>
  <si>
    <t>167-22</t>
  </si>
  <si>
    <t>162-22</t>
  </si>
  <si>
    <t>819-22</t>
  </si>
  <si>
    <t>53-22</t>
  </si>
  <si>
    <t>169-22</t>
  </si>
  <si>
    <t>164-22</t>
  </si>
  <si>
    <t>820-22</t>
  </si>
  <si>
    <t>168-22</t>
  </si>
  <si>
    <t>173-22</t>
  </si>
  <si>
    <t>71-22</t>
  </si>
  <si>
    <t>175-22</t>
  </si>
  <si>
    <t>821-22</t>
  </si>
  <si>
    <t>170-22</t>
  </si>
  <si>
    <t>177-22</t>
  </si>
  <si>
    <t>172-22</t>
  </si>
  <si>
    <t>179-22</t>
  </si>
  <si>
    <t>822-22</t>
  </si>
  <si>
    <t>174-22</t>
  </si>
  <si>
    <t>181-22</t>
  </si>
  <si>
    <t>823-22</t>
  </si>
  <si>
    <t>178-22</t>
  </si>
  <si>
    <t>185-22</t>
  </si>
  <si>
    <t>180-22</t>
  </si>
  <si>
    <t>62-22</t>
  </si>
  <si>
    <t>182-22</t>
  </si>
  <si>
    <t>187-22</t>
  </si>
  <si>
    <t>SWANSON</t>
  </si>
  <si>
    <t>BRYCE</t>
  </si>
  <si>
    <t>189-22</t>
  </si>
  <si>
    <t>184-22</t>
  </si>
  <si>
    <t>191-22</t>
  </si>
  <si>
    <t>825-22</t>
  </si>
  <si>
    <t>186-22</t>
  </si>
  <si>
    <t>193-22</t>
  </si>
  <si>
    <t>188-22</t>
  </si>
  <si>
    <t>904-22</t>
  </si>
  <si>
    <t>SMITH</t>
  </si>
  <si>
    <t>61-22</t>
  </si>
  <si>
    <t>190-22</t>
  </si>
  <si>
    <t>827-22</t>
  </si>
  <si>
    <t>197-22</t>
  </si>
  <si>
    <t>192-22</t>
  </si>
  <si>
    <t>199-22</t>
  </si>
  <si>
    <t>828-22</t>
  </si>
  <si>
    <t>194-22</t>
  </si>
  <si>
    <t>201-22</t>
  </si>
  <si>
    <t>196-22</t>
  </si>
  <si>
    <t>ZEWDU</t>
  </si>
  <si>
    <t>DEREJE</t>
  </si>
  <si>
    <t>831-22</t>
  </si>
  <si>
    <t>198-22</t>
  </si>
  <si>
    <t>205-22</t>
  </si>
  <si>
    <t>200-22</t>
  </si>
  <si>
    <t>202-22</t>
  </si>
  <si>
    <t>832-22</t>
  </si>
  <si>
    <t>833-22</t>
  </si>
  <si>
    <t>209-22</t>
  </si>
  <si>
    <t>204-22</t>
  </si>
  <si>
    <t>211-22</t>
  </si>
  <si>
    <t>206-22</t>
  </si>
  <si>
    <t>835-22</t>
  </si>
  <si>
    <t>213-22</t>
  </si>
  <si>
    <t>208-22</t>
  </si>
  <si>
    <t>215-22</t>
  </si>
  <si>
    <t>837-22</t>
  </si>
  <si>
    <t>210-22</t>
  </si>
  <si>
    <t>217-22</t>
  </si>
  <si>
    <t>212-22</t>
  </si>
  <si>
    <t>219-22</t>
  </si>
  <si>
    <t>838-22</t>
  </si>
  <si>
    <t>839-22</t>
  </si>
  <si>
    <t>214-22</t>
  </si>
  <si>
    <t>301-22</t>
  </si>
  <si>
    <t>216-22</t>
  </si>
  <si>
    <t>841-22</t>
  </si>
  <si>
    <t>221-22</t>
  </si>
  <si>
    <t>906-22</t>
  </si>
  <si>
    <t>218-22</t>
  </si>
  <si>
    <t>303-22</t>
  </si>
  <si>
    <t>220-22</t>
  </si>
  <si>
    <t>223-22</t>
  </si>
  <si>
    <t>840-22</t>
  </si>
  <si>
    <t>305-22</t>
  </si>
  <si>
    <t>222-22</t>
  </si>
  <si>
    <t>225-22</t>
  </si>
  <si>
    <t>227-22</t>
  </si>
  <si>
    <t>224-22</t>
  </si>
  <si>
    <t>842-22</t>
  </si>
  <si>
    <t>226-22</t>
  </si>
  <si>
    <t>229-22</t>
  </si>
  <si>
    <t>845-22</t>
  </si>
  <si>
    <t>228-22</t>
  </si>
  <si>
    <t>231-22</t>
  </si>
  <si>
    <t>GUNTHIER</t>
  </si>
  <si>
    <t>ERIC</t>
  </si>
  <si>
    <t>844-22</t>
  </si>
  <si>
    <t>233-22</t>
  </si>
  <si>
    <t>230-22</t>
  </si>
  <si>
    <t>847-22</t>
  </si>
  <si>
    <t>235-22</t>
  </si>
  <si>
    <t>232-22</t>
  </si>
  <si>
    <t>846-22</t>
  </si>
  <si>
    <t>237-22</t>
  </si>
  <si>
    <t>234-22</t>
  </si>
  <si>
    <t>236-22</t>
  </si>
  <si>
    <t>239-22</t>
  </si>
  <si>
    <t>908-22</t>
  </si>
  <si>
    <t>241-22</t>
  </si>
  <si>
    <t>238-22</t>
  </si>
  <si>
    <t>243-22</t>
  </si>
  <si>
    <t>240-22</t>
  </si>
  <si>
    <t>242-22</t>
  </si>
  <si>
    <t>245-22</t>
  </si>
  <si>
    <t>309-22</t>
  </si>
  <si>
    <t>246-22</t>
  </si>
  <si>
    <t>311-22</t>
  </si>
  <si>
    <t>300-23</t>
  </si>
  <si>
    <t>THOMPSON</t>
  </si>
  <si>
    <t>LESTER</t>
  </si>
  <si>
    <t>precipType</t>
  </si>
  <si>
    <t>partly-cloudy-day</t>
  </si>
  <si>
    <t>rain</t>
  </si>
  <si>
    <t>Partly Cloudy</t>
  </si>
  <si>
    <t>partly-cloudy-night</t>
  </si>
  <si>
    <t>204:779</t>
  </si>
  <si>
    <t>204:233291</t>
  </si>
  <si>
    <t>204:232967</t>
  </si>
  <si>
    <t>204:232983</t>
  </si>
  <si>
    <t>204:127858</t>
  </si>
  <si>
    <t>204:233304</t>
  </si>
  <si>
    <t>204:232976</t>
  </si>
  <si>
    <t>204:477</t>
  </si>
  <si>
    <t>204:233288</t>
  </si>
  <si>
    <t>204:232971</t>
  </si>
  <si>
    <t>204:233263</t>
  </si>
  <si>
    <t>204:232989</t>
  </si>
  <si>
    <t>204:174</t>
  </si>
  <si>
    <t>204:232963</t>
  </si>
  <si>
    <t>204:232964</t>
  </si>
  <si>
    <t>204:426</t>
  </si>
  <si>
    <t>204:500</t>
  </si>
  <si>
    <t>204:233314</t>
  </si>
  <si>
    <t>204:435</t>
  </si>
  <si>
    <t>204:480</t>
  </si>
  <si>
    <t>204:444</t>
  </si>
  <si>
    <t>204:1222</t>
  </si>
  <si>
    <t>204:233311</t>
  </si>
  <si>
    <t>204:233345</t>
  </si>
  <si>
    <t>204:233001</t>
  </si>
  <si>
    <t>204:233010</t>
  </si>
  <si>
    <t>204:478</t>
  </si>
  <si>
    <t>204:233281</t>
  </si>
  <si>
    <t>204:233007</t>
  </si>
  <si>
    <t>204:233346</t>
  </si>
  <si>
    <t>204:233032</t>
  </si>
  <si>
    <t>204:170</t>
  </si>
  <si>
    <t>204:233251</t>
  </si>
  <si>
    <t>204:233329</t>
  </si>
  <si>
    <t>204:233017</t>
  </si>
  <si>
    <t>204:233322</t>
  </si>
  <si>
    <t>204:233003</t>
  </si>
  <si>
    <t>204:486</t>
  </si>
  <si>
    <t>204:233282</t>
  </si>
  <si>
    <t>204:947</t>
  </si>
  <si>
    <t>204:429</t>
  </si>
  <si>
    <t>204:233402</t>
  </si>
  <si>
    <t>204:233098</t>
  </si>
  <si>
    <t>204:125</t>
  </si>
  <si>
    <t>204:233278</t>
  </si>
  <si>
    <t>204:29604</t>
  </si>
  <si>
    <t>204:1257</t>
  </si>
  <si>
    <t>300:22183</t>
  </si>
  <si>
    <t>300:23622</t>
  </si>
  <si>
    <t>204:169</t>
  </si>
  <si>
    <t>300:23589</t>
  </si>
  <si>
    <t>300:22758</t>
  </si>
  <si>
    <t>300:22176</t>
  </si>
  <si>
    <t>300:20447</t>
  </si>
  <si>
    <t>300:23314</t>
  </si>
  <si>
    <t>300:23714</t>
  </si>
  <si>
    <t>204:3580</t>
  </si>
  <si>
    <t>300:23480</t>
  </si>
  <si>
    <t>204:882</t>
  </si>
  <si>
    <t>204:3253</t>
  </si>
  <si>
    <t>204:1175</t>
  </si>
  <si>
    <t>204:1194</t>
  </si>
  <si>
    <t>300:24229</t>
  </si>
  <si>
    <t>204:1142</t>
  </si>
  <si>
    <t>300:22036</t>
  </si>
  <si>
    <t>204:133</t>
  </si>
  <si>
    <t>204:1501</t>
  </si>
  <si>
    <t>204:3460</t>
  </si>
  <si>
    <t>204:1143</t>
  </si>
  <si>
    <t>204:3147</t>
  </si>
  <si>
    <t>204:2672</t>
  </si>
  <si>
    <t>300:58611</t>
  </si>
  <si>
    <t>204:1913</t>
  </si>
  <si>
    <t>300:58696</t>
  </si>
  <si>
    <t>204:664</t>
  </si>
  <si>
    <t>300:58971</t>
  </si>
  <si>
    <t>300:58658</t>
  </si>
  <si>
    <t>204:694</t>
  </si>
  <si>
    <t>300:59010</t>
  </si>
  <si>
    <t>300:58698</t>
  </si>
  <si>
    <t>204:990</t>
  </si>
  <si>
    <t>300:58993</t>
  </si>
  <si>
    <t>300:58683</t>
  </si>
  <si>
    <t>204:706</t>
  </si>
  <si>
    <t>204:1004</t>
  </si>
  <si>
    <t>300:58666</t>
  </si>
  <si>
    <t>204:1021</t>
  </si>
  <si>
    <t>300:58986</t>
  </si>
  <si>
    <t>300:58662</t>
  </si>
  <si>
    <t>204:726</t>
  </si>
  <si>
    <t>204:1035</t>
  </si>
  <si>
    <t>300:58990</t>
  </si>
  <si>
    <t>300:58664</t>
  </si>
  <si>
    <t>204:673</t>
  </si>
  <si>
    <t>204:962</t>
  </si>
  <si>
    <t>204:687</t>
  </si>
  <si>
    <t>204:960</t>
  </si>
  <si>
    <t>300:58604</t>
  </si>
  <si>
    <t>204:657</t>
  </si>
  <si>
    <t>204:1016</t>
  </si>
  <si>
    <t>300:58982</t>
  </si>
  <si>
    <t>300:58660</t>
  </si>
  <si>
    <t>204:692</t>
  </si>
  <si>
    <t>204:1006</t>
  </si>
  <si>
    <t>300:58939</t>
  </si>
  <si>
    <t>204:734</t>
  </si>
  <si>
    <t>300:58969</t>
  </si>
  <si>
    <t>300:58649</t>
  </si>
  <si>
    <t>204:1200</t>
  </si>
  <si>
    <t>300:58615</t>
  </si>
  <si>
    <t>204:157</t>
  </si>
  <si>
    <t>300:58977</t>
  </si>
  <si>
    <t>300:58657</t>
  </si>
  <si>
    <t>300:58922</t>
  </si>
  <si>
    <t>204:712</t>
  </si>
  <si>
    <t>300:58677</t>
  </si>
  <si>
    <t>204:957</t>
  </si>
  <si>
    <t>300:30120</t>
  </si>
  <si>
    <t>300:23406</t>
  </si>
  <si>
    <t>204:397</t>
  </si>
  <si>
    <t>300:24284</t>
  </si>
  <si>
    <t>300:23398</t>
  </si>
  <si>
    <t>204:986</t>
  </si>
  <si>
    <t>300:31678</t>
  </si>
  <si>
    <t>300:58674</t>
  </si>
  <si>
    <t>300:28776</t>
  </si>
  <si>
    <t>start /low /b %USERPROFILE%\Documents\GitHub\eaglep3\Utilities\DownloadLogsFromS3.py --loco 4031 --day 2017-09-22</t>
  </si>
  <si>
    <t>start /low /b %USERPROFILE%\Documents\GitHub\eaglep3\Utilities\DownloadLogsFromS3.py --loco 4063 --day 2017-09-23</t>
  </si>
  <si>
    <t>start /low /b %USERPROFILE%\Documents\GitHub\eaglep3\Utilities\DownloadLogsFromS3.py --loco 4039 --day 2017-09-22</t>
  </si>
  <si>
    <t>start /low /b %USERPROFILE%\Documents\GitHub\eaglep3\Utilities\DownloadLogsFromS3.py --loco 4042 --day 2017-09-22</t>
  </si>
  <si>
    <t>start /low /b %USERPROFILE%\Documents\GitHub\eaglep3\Utilities\DownloadLogsFromS3.py --loco 4018 --day 2017-09-22</t>
  </si>
  <si>
    <t>start /low /b %USERPROFILE%\Documents\GitHub\eaglep3\Utilities\DownloadLogsFromS3.py --loco 4002 --day 2017-09-22</t>
  </si>
  <si>
    <t>start /low /b %USERPROFILE%\Documents\GitHub\eaglep3\Utilities\DownloadLogsFromS3.py --loco 4063 --day 2017-09-22</t>
  </si>
  <si>
    <t>start /low /b %USERPROFILE%\Documents\GitHub\eaglep3\Utilities\DownloadLogsFromS3.py --loco 4044 --day 2017-09-22</t>
  </si>
  <si>
    <t>start /low /b %USERPROFILE%\Documents\GitHub\eaglep3\Utilities\DownloadLogsFromS3.py --loco 4031 --day 2017-09-23</t>
  </si>
  <si>
    <t>start /low /b %USERPROFILE%\Documents\GitHub\eaglep3\Utilities\DownloadLogsFromS3.py --loco 4017 --day 2017-09-22</t>
  </si>
  <si>
    <t>start /low /b %USERPROFILE%\Documents\GitHub\eaglep3\Utilities\DownloadLogsFromS3.py --loco 4064 --day 2017-09-22</t>
  </si>
  <si>
    <t>start /low /b %USERPROFILE%\Documents\GitHub\eaglep3\Utilities\DownloadLogsFromS3.py --loco 4059 --day 2017-09-22</t>
  </si>
  <si>
    <t>start /low /b %USERPROFILE%\Documents\GitHub\eaglep3\Utilities\DownloadLogsFromS3.py --loco 4062 --day 2017-09-22</t>
  </si>
  <si>
    <t>start /low /b %USERPROFILE%\Documents\GitHub\eaglep3\Utilities\DownloadLogsFromS3.py --loco 4061 --day 2017-09-22</t>
  </si>
  <si>
    <t>start /low /b %USERPROFILE%\Documents\GitHub\eaglep3\Utilities\DownloadLogsFromS3.py --loco 4041 --day 2017-09-22</t>
  </si>
  <si>
    <t>start /low /b %USERPROFILE%\Documents\GitHub\eaglep3\Utilities\DownloadLogsFromS3.py --loco 4042 --day 2017-09-23</t>
  </si>
  <si>
    <t>start /low /b %USERPROFILE%\Documents\GitHub\eaglep3\Utilities\DownloadLogsFromS3.py --loco 4041 --day 2017-09-23</t>
  </si>
  <si>
    <t>start /low /b %USERPROFILE%\Documents\GitHub\eaglep3\Utilities\DownloadLogsFromS3.py --loco 4040 --day 2017-09-22</t>
  </si>
  <si>
    <t>Onboard in-route failure</t>
  </si>
  <si>
    <t>Reverser handle not in forward</t>
  </si>
  <si>
    <t>Delayed by DUS Switch failure</t>
  </si>
  <si>
    <t>Cancelled due to DUS Switch Failure</t>
  </si>
  <si>
    <t>Wi-MAX data drop</t>
  </si>
  <si>
    <t>Wi-MAX data drop, most likely reason for delay on this trip</t>
  </si>
  <si>
    <t>Braking without banner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</si>
</sst>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19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43000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43000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146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47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COUNTIFS($N$13:$N$9362,"&gt;0",$AG$13:$AG$9362,I1)</f>
        <v>144</v>
      </c>
      <c r="K5" s="39"/>
      <c r="L5" s="172"/>
      <c r="M5" s="40">
        <f>AVERAGEIFS($N$13:$N$9362,$AG$13:$AG$9362,I1)</f>
        <v>37.147916667308891</v>
      </c>
      <c r="N5" s="38">
        <f t="array" ref="N5">MIN(IF($AG$13:$AG$9362=I1,IF(ISNUMBER($N$13:$N$9362),IF($N$13:$N$9362&gt;0,$N$13:$N$9362))))</f>
        <v>33.73333333991468</v>
      </c>
      <c r="O5" s="3">
        <f t="array" ref="O5">MAX(IF($AG$13:$AG$9362=I1,IF(ISNUMBER($N$13:$N$9362),IF($N$13:$N$9362&gt;0,$N$13:$N$9362))))</f>
        <v>44.433333337074146</v>
      </c>
      <c r="P5" s="2"/>
      <c r="R5" s="163" t="s">
        <v>17</v>
      </c>
      <c r="S5" s="207">
        <f>COUNTIFS($N$13:$N$9362,"&gt;0",$AG$13:$AG$9362,R1)</f>
        <v>46</v>
      </c>
      <c r="T5" s="172"/>
      <c r="U5" s="195"/>
      <c r="V5" s="211">
        <f>AVERAGEIFS($N$13:$N$9362,$AG$13:$AG$9362,R1)</f>
        <v>15.482608695418332</v>
      </c>
      <c r="W5" s="212">
        <f t="array" ref="W5">MIN(IF($AG$13:$AG$9362=R1,IF(ISNUMBER($N$13:$N$9362),IF($N$13:$N$9362&gt;0,$N$13:$N$9362))))</f>
        <v>11.616666658082977</v>
      </c>
      <c r="X5" s="200">
        <f t="array" ref="X5">MAX(IF($AG$13:$AG$9362=R1,IF(ISNUMBER($N$13:$N$9362),IF($N$13:$N$9362&gt;0,$N$13:$N$9362))))</f>
        <v>37.333333332790062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COUNT($O$13:$O$149)</f>
        <v>0</v>
      </c>
      <c r="K6" s="39"/>
      <c r="L6" s="172"/>
      <c r="M6" s="40">
        <f>IFERROR(AVERAGE($O$13:$O$149),0)</f>
        <v>0</v>
      </c>
      <c r="N6" s="38">
        <f>MIN($O$13:$O$149)</f>
        <v>0</v>
      </c>
      <c r="O6" s="3">
        <f>MAX($O$13:$O$149)</f>
        <v>0</v>
      </c>
      <c r="P6" s="2"/>
      <c r="R6" s="164" t="s">
        <v>43</v>
      </c>
      <c r="S6" s="207">
        <f>COUNT($O$13:$O$149)</f>
        <v>0</v>
      </c>
      <c r="T6" s="172"/>
      <c r="U6" s="195"/>
      <c r="V6" s="211">
        <f>IFERROR(AVERAGE($O$13:$O$149),0)</f>
        <v>0</v>
      </c>
      <c r="W6" s="212">
        <f>MIN($O$13:$O$149)</f>
        <v>0</v>
      </c>
      <c r="X6" s="200">
        <f>MAX($O$13:$O$149)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COUNTIFS($P$13:$P$9362,"&gt;0",$AG$13:$AG$9362,I1)</f>
        <v>2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COUNTIFS($P$13:$P$9362,"&gt;0",$AG$13:$AG$9362,R1)</f>
        <v>1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144</v>
      </c>
      <c r="K8" s="39"/>
      <c r="L8" s="172"/>
      <c r="M8" s="40">
        <f>M5</f>
        <v>37.147916667308891</v>
      </c>
      <c r="N8" s="38">
        <f>N5</f>
        <v>33.73333333991468</v>
      </c>
      <c r="O8" s="3">
        <f>O5</f>
        <v>44.433333337074146</v>
      </c>
      <c r="P8" s="2"/>
      <c r="R8" s="163" t="s">
        <v>16</v>
      </c>
      <c r="S8" s="207">
        <f>S5</f>
        <v>46</v>
      </c>
      <c r="T8" s="172"/>
      <c r="U8" s="195"/>
      <c r="V8" s="211">
        <f>V5</f>
        <v>15.482608695418332</v>
      </c>
      <c r="W8" s="212">
        <f>W5</f>
        <v>11.616666658082977</v>
      </c>
      <c r="X8" s="200">
        <f>X5</f>
        <v>37.333333332790062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0.98630136986301364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0.97872340425531912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5" t="str">
        <f>"Eagle P3 System Performance - "&amp;TEXT(Variables!A2,"yyyy-mm-dd")</f>
        <v>Eagle P3 System Performance - 2017-09-22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9">
        <f>AVERAGE(S13:S108)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142</v>
      </c>
      <c r="AJ12" s="46" t="s">
        <v>143</v>
      </c>
      <c r="AK12" s="46" t="s">
        <v>116</v>
      </c>
      <c r="AL12" s="46" t="s">
        <v>144</v>
      </c>
      <c r="AM12" s="143" t="s">
        <v>191</v>
      </c>
      <c r="AN12" s="46" t="s">
        <v>333</v>
      </c>
      <c r="AO12" s="177" t="s">
        <v>435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610</v>
      </c>
      <c r="B13" s="7">
        <v>4064</v>
      </c>
      <c r="C13" s="21" t="s">
        <v>196</v>
      </c>
      <c r="D13" s="21" t="s">
        <v>833</v>
      </c>
      <c r="E13" s="13">
        <v>43000.129791666666</v>
      </c>
      <c r="F13" s="13">
        <v>43000.135868055557</v>
      </c>
      <c r="G13" s="7">
        <v>56</v>
      </c>
      <c r="H13" s="21" t="s">
        <v>507</v>
      </c>
      <c r="I13" s="13">
        <v>43000.15934027778</v>
      </c>
      <c r="J13" s="7">
        <v>0</v>
      </c>
      <c r="K13" s="89" t="str">
        <f t="shared" ref="K13:K76" si="0">IF(ISEVEN(B13),(B13-1)&amp;"/"&amp;B13,B13&amp;"/"&amp;(B13+1))</f>
        <v>4063/4064</v>
      </c>
      <c r="L13" s="185" t="str">
        <f>VLOOKUP(A13,'Trips&amp;Operators'!$C$1:$G$99911,5,FALSE)</f>
        <v>YORK EDGAR</v>
      </c>
      <c r="M13" s="6">
        <f t="shared" ref="M13:M76" si="1">I13-F13</f>
        <v>2.3472222223063E-2</v>
      </c>
      <c r="N13" s="7">
        <f t="shared" ref="N13:N19" si="2">24*60*SUM($M13:$M13)</f>
        <v>33.800000001210719</v>
      </c>
      <c r="O13" s="7"/>
      <c r="P13" s="7"/>
      <c r="Q13" s="22"/>
      <c r="R13" s="167"/>
      <c r="S13" s="221">
        <f t="shared" ref="S13:S19" si="3">1/IF(AG13="EC",12,1)*SUM(U13:U13)</f>
        <v>1</v>
      </c>
      <c r="T13" s="174" t="str">
        <f t="shared" ref="T13:T76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-22T02:06:54-0600',mode:absolute,to:'2017-09-22T04:49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" s="204" t="str">
        <f>IF(AA13&lt;VLOOKUP(AG13,Variables!$AC$3:$AD$8,2,FALSE),"Y","N")</f>
        <v>N</v>
      </c>
      <c r="X13" s="204" t="e">
        <f t="shared" ref="X13:X44" si="6">VALUE(LEFT(AD13,4))-VALUE(LEFT(AD12,4))</f>
        <v>#VALUE!</v>
      </c>
      <c r="Y13" s="204">
        <f t="shared" ref="Y13:Y44" si="7">RIGHT(D13,LEN(D13)-4)/10000</f>
        <v>7.7899999999999997E-2</v>
      </c>
      <c r="Z13" s="204">
        <f t="shared" ref="Z13:Z44" si="8">RIGHT(H13,LEN(H13)-4)/10000</f>
        <v>23.330100000000002</v>
      </c>
      <c r="AA13" s="204">
        <f t="shared" ref="AA13:AA76" si="9">ABS(Z13-Y13)</f>
        <v>23.252200000000002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s3://rtdc.mdm.uploadarchive.raw/RTDC4064/ "%USERPROFILE%\AppData\Local\Temp\OnboardLogs"\RTDC4064\2017-09-22 --exclude "*" --recursive --include "*20170922*" &amp; "%USERPROFILE%\Documents\GitHub\mrs-test-scripts\Headless Mode &amp; Sideloading\WalkAndUnGZ.bat" "%USERPROFILE%\AppData\Local\Temp\OnboardLogs"\RTDC4064\2017-09-22 &amp; aws s3 cp s3://rtdc.mdm.uploadarchive.raw/RTDC4064/ "%USERPROFILE%\AppData\Local\Temp\OnboardLogs"\RTDC4064\2017-09-23 --exclude "*" --recursive --include "*20170923*" &amp; "%USERPROFILE%\Documents\GitHub\mrs-test-scripts\Headless Mode &amp; Sideloading\WalkAndUnGZ.bat" "%USERPROFILE%\AppData\Local\Temp\OnboardLogs"\RTDC4064\2017-09-23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/stypes="app*4064*20170922*"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101-22 --locoid 4064 --swversion DE.1.0.9.0 --startMP 204:779 --initTime 2017-09-22T03:06:54 --startdatetime 2017-09-22T03:15:39 --delay 56 --endMP 204:233301 --enddatetime 2017-09-22T03:49:27 --enforcementcount 0 &gt;&gt;c:\users\stu\Documents\GitHub\eaglep3-reporting\EC\2017-09-22-refined-times.txt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{"issue":{"subject":"","project_id":79,"tracker_id":40,"status_id":1,"priority_id":2,"assigned_to_id":338,"start_date":"2017-09-22","description":"","custom_fields":[{"id":1,"name":"Subdivision","value":"EC"},{"id":4,"name":"Milepost","value":"23.3301"},{"id":17,"name":"Train ID","value":"101-22"},{"id":16,"name":"Locomotive ID","value":"4064"},{"id":130,"name":"Impact","value":""},{"id":150,"name":"Time of Event (Mountain Time)","value":"03:49:27"},{"id":151,"name":"Denver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4064 --day 2017-09-22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09:49:27"},{"id":29,"name":"Sharepoint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Message%5C+ID:(*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-22T02:06:54-0600',mode:absolute,to:'2017-09-22T04:49:27-0600'))&amp;_a=(columns:!('Message%20ID',Summary),filters:!(),index:'emp_*',interval:auto,query:(query_string:(analyze_wildcard:!t,query:'Message%5C+ID:(*)+AND+%22rtdc.l.rtdc.4064%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619</v>
      </c>
      <c r="B14" s="7">
        <v>4063</v>
      </c>
      <c r="C14" s="21" t="s">
        <v>196</v>
      </c>
      <c r="D14" s="21" t="s">
        <v>450</v>
      </c>
      <c r="E14" s="13">
        <v>43000.160393518519</v>
      </c>
      <c r="F14" s="13">
        <v>43000.175162037034</v>
      </c>
      <c r="G14" s="7">
        <v>58</v>
      </c>
      <c r="H14" s="21" t="s">
        <v>367</v>
      </c>
      <c r="I14" s="13">
        <v>43000.201435185183</v>
      </c>
      <c r="J14" s="7">
        <v>0</v>
      </c>
      <c r="K14" s="89" t="str">
        <f t="shared" si="0"/>
        <v>4063/4064</v>
      </c>
      <c r="L14" s="185" t="str">
        <f>VLOOKUP(A14,'Trips&amp;Operators'!$C$1:$G$99911,5,FALSE)</f>
        <v>YORK EDGAR</v>
      </c>
      <c r="M14" s="6">
        <f t="shared" si="1"/>
        <v>2.6273148148902692E-2</v>
      </c>
      <c r="N14" s="7">
        <f t="shared" si="2"/>
        <v>37.833333334419876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-09-22T02:50:58-0600',mode:absolute,to:'2017-09-22T05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 t="shared" si="7"/>
        <v>23.2986</v>
      </c>
      <c r="Z14" s="204">
        <f t="shared" si="8"/>
        <v>1.5599999999999999E-2</v>
      </c>
      <c r="AA14" s="204">
        <f t="shared" si="9"/>
        <v>23.283000000000001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10"/>
        <v>102</v>
      </c>
      <c r="AE14" s="77" t="str">
        <f t="shared" si="11"/>
        <v>aws s3 cp s3://rtdc.mdm.uploadarchive.raw/RTDC4063/ "%USERPROFILE%\AppData\Local\Temp\OnboardLogs"\RTDC4063\2017-09-22 --exclude "*" --recursive --include "*20170922*" &amp; "%USERPROFILE%\Documents\GitHub\mrs-test-scripts\Headless Mode &amp; Sideloading\WalkAndUnGZ.bat" "%USERPROFILE%\AppData\Local\Temp\OnboardLogs"\RTDC4063\2017-09-22 &amp; aws s3 cp s3://rtdc.mdm.uploadarchive.raw/RTDC4063/ "%USERPROFILE%\AppData\Local\Temp\OnboardLogs"\RTDC4063\2017-09-23 --exclude "*" --recursive --include "*20170923*" &amp; "%USERPROFILE%\Documents\GitHub\mrs-test-scripts\Headless Mode &amp; Sideloading\WalkAndUnGZ.bat" "%USERPROFILE%\AppData\Local\Temp\OnboardLogs"\RTDC4063\2017-09-23</v>
      </c>
      <c r="AF14" s="74" t="str">
        <f t="shared" si="12"/>
        <v>"C:\Program Files (x86)\AstroGrep\AstroGrep.exe" /e /r /s /spath="%USERPROFILE%\AppData\Local\Temp\OnboardLogs" /stypes="app*4063*20170922*" /stext=" 10:.+((SYSTEM_STATE.+slice.+state.+changed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102-22 --locoid 4063 --swversion DE.1.0.9.0 --startMP 204:232986 --initTime 2017-09-22T03:50:58 --startdatetime 2017-09-22T04:12:14 --delay 58 --endMP 204:156 --enddatetime 2017-09-22T04:50:04 --enforcementcount 0 &gt;&gt;c:\users\stu\Documents\GitHub\eaglep3-reporting\EC\2017-09-22-refined-times.txt</v>
      </c>
      <c r="AI14" s="96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{"issue":{"subject":"","project_id":79,"tracker_id":40,"status_id":1,"priority_id":2,"assigned_to_id":338,"start_date":"2017-09-22","description":"","custom_fields":[{"id":1,"name":"Subdivision","value":"EC"},{"id":4,"name":"Milepost","value":"0.0156"},{"id":17,"name":"Train ID","value":"102-22"},{"id":16,"name":"Locomotive ID","value":"4063"},{"id":130,"name":"Impact","value":""},{"id":150,"name":"Time of Event (Mountain Time)","value":"04:50:04"},{"id":151,"name":"Denver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1">"start /low /b "&amp;dls3logs&amp;" --loco "&amp;B14&amp;" --day "&amp;TEXT(F14,"YYYY-MM-DD")</f>
        <v>start /low /b %USERPROFILE%\Documents\GitHub\eaglep3\Utilities\DownloadLogsFromS3.py --loco 4063 --day 2017-09-22</v>
      </c>
      <c r="AN14" s="151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10:50:04"},{"id":29,"name":"Sharepoint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Message%5C+ID:(*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-09-22T02:50:58-0600',mode:absolute,to:'2017-09-22T05:50:04-0600'))&amp;_a=(columns:!('Message%20ID',Summary),filters:!(),index:'emp_*',interval:auto,query:(query_string:(analyze_wildcard:!t,query:'Message%5C+ID:(*)+AND+%22rtdc.l.rtdc.4063%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615</v>
      </c>
      <c r="B15" s="7">
        <v>4044</v>
      </c>
      <c r="C15" s="21" t="s">
        <v>196</v>
      </c>
      <c r="D15" s="21" t="s">
        <v>396</v>
      </c>
      <c r="E15" s="13">
        <v>43000.152939814812</v>
      </c>
      <c r="F15" s="13">
        <v>43000.157824074071</v>
      </c>
      <c r="G15" s="7">
        <v>79</v>
      </c>
      <c r="H15" s="21" t="s">
        <v>834</v>
      </c>
      <c r="I15" s="13">
        <v>43000.182962962965</v>
      </c>
      <c r="J15" s="7">
        <v>0</v>
      </c>
      <c r="K15" s="89" t="str">
        <f t="shared" si="0"/>
        <v>4043/4044</v>
      </c>
      <c r="L15" s="185" t="str">
        <f>VLOOKUP(A15,'Trips&amp;Operators'!$C$1:$G$99911,5,FALSE)</f>
        <v>LANGERAK WILLIAM</v>
      </c>
      <c r="M15" s="6">
        <f t="shared" si="1"/>
        <v>2.513888889370719E-2</v>
      </c>
      <c r="N15" s="7">
        <f t="shared" si="2"/>
        <v>36.200000006938353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-09-22T02:40:14-0600',mode:absolute,to:'2017-09-22T05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 t="shared" si="7"/>
        <v>4.5100000000000001E-2</v>
      </c>
      <c r="Z15" s="204">
        <f t="shared" si="8"/>
        <v>23.3291</v>
      </c>
      <c r="AA15" s="204">
        <f t="shared" si="9"/>
        <v>23.283999999999999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10"/>
        <v>103</v>
      </c>
      <c r="AE15" s="77" t="str">
        <f t="shared" si="11"/>
        <v>aws s3 cp s3://rtdc.mdm.uploadarchive.raw/RTDC4044/ "%USERPROFILE%\AppData\Local\Temp\OnboardLogs"\RTDC4044\2017-09-22 --exclude "*" --recursive --include "*20170922*" &amp; "%USERPROFILE%\Documents\GitHub\mrs-test-scripts\Headless Mode &amp; Sideloading\WalkAndUnGZ.bat" "%USERPROFILE%\AppData\Local\Temp\OnboardLogs"\RTDC4044\2017-09-22 &amp; aws s3 cp s3://rtdc.mdm.uploadarchive.raw/RTDC4044/ "%USERPROFILE%\AppData\Local\Temp\OnboardLogs"\RTDC4044\2017-09-23 --exclude "*" --recursive --include "*20170923*" &amp; "%USERPROFILE%\Documents\GitHub\mrs-test-scripts\Headless Mode &amp; Sideloading\WalkAndUnGZ.bat" "%USERPROFILE%\AppData\Local\Temp\OnboardLogs"\RTDC4044\2017-09-23</v>
      </c>
      <c r="AF15" s="74" t="str">
        <f t="shared" si="12"/>
        <v>"C:\Program Files (x86)\AstroGrep\AstroGrep.exe" /e /r /s /spath="%USERPROFILE%\AppData\Local\Temp\OnboardLogs" /stypes="app*4044*20170922*" /stext=" 10:.+((SYSTEM_STATE.+slice.+state.+changed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9"/>
        <v>"%USERPROFILE%\Documents\GitHub\eaglep3\Utilities\RefineRTDCRunTimes.py" --tripid 103-22 --locoid 4044 --swversion DE.1.0.9.0 --startMP 204:451 --initTime 2017-09-22T03:40:14 --startdatetime 2017-09-22T03:47:16 --delay 79 --endMP 204:233291 --enddatetime 2017-09-22T04:23:28 --enforcementcount 0 &gt;&gt;c:\users\stu\Documents\GitHub\eaglep3-reporting\EC\2017-09-22-refined-times.txt</v>
      </c>
      <c r="AI15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{"issue":{"subject":"","project_id":79,"tracker_id":40,"status_id":1,"priority_id":2,"assigned_to_id":338,"start_date":"2017-09-22","description":"","custom_fields":[{"id":1,"name":"Subdivision","value":"EC"},{"id":4,"name":"Milepost","value":"23.3291"},{"id":17,"name":"Train ID","value":"103-22"},{"id":16,"name":"Locomotive ID","value":"4044"},{"id":130,"name":"Impact","value":""},{"id":150,"name":"Time of Event (Mountain Time)","value":"04:23:28"},{"id":151,"name":"Denver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1"/>
        <v>start /low /b %USERPROFILE%\Documents\GitHub\eaglep3\Utilities\DownloadLogsFromS3.py --loco 4044 --day 2017-09-22</v>
      </c>
      <c r="AN15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10:23:28"},{"id":29,"name":"Sharepoint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3"/>
        <v>https://d0f6bd738d7f1b3e5a7ca70fe4ff75f0.us-east-1.aws.found.io/app/kibana#/discover/Steve-Slow-Train-Analysis-(2080s-and-2083s)?_g=(refreshInterval:(display:Off,pause:!f,section:0,value:0),time:(from:'2017-09-22T02:40:14-0600',mode:absolute,to:'2017-09-22T05:23:28-0600'))&amp;_a=(columns:!('Message%20ID',Summary),filters:!(),index:'emp_*',interval:auto,query:(query_string:(analyze_wildcard:!t,query:'Message%5C+ID:(*)+AND+%22rtdc.l.rtdc.4044%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623</v>
      </c>
      <c r="B16" s="7">
        <v>4043</v>
      </c>
      <c r="C16" s="21" t="s">
        <v>196</v>
      </c>
      <c r="D16" s="21" t="s">
        <v>835</v>
      </c>
      <c r="E16" s="13">
        <v>43000.184374999997</v>
      </c>
      <c r="F16" s="13">
        <v>43000.196030092593</v>
      </c>
      <c r="G16" s="7">
        <v>53</v>
      </c>
      <c r="H16" s="21" t="s">
        <v>377</v>
      </c>
      <c r="I16" s="13">
        <v>43000.222974537035</v>
      </c>
      <c r="J16" s="7">
        <v>0</v>
      </c>
      <c r="K16" s="89" t="str">
        <f t="shared" si="0"/>
        <v>4043/4044</v>
      </c>
      <c r="L16" s="185" t="str">
        <f>VLOOKUP(A16,'Trips&amp;Operators'!$C$1:$G$99911,5,FALSE)</f>
        <v>LANGERAK WILLIAM</v>
      </c>
      <c r="M16" s="6">
        <f t="shared" si="1"/>
        <v>2.6944444442051463E-2</v>
      </c>
      <c r="N16" s="7">
        <f t="shared" si="2"/>
        <v>38.799999996554106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-09-22T03:25:30-0600',mode:absolute,to:'2017-09-22T06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 t="shared" si="7"/>
        <v>23.296700000000001</v>
      </c>
      <c r="Z16" s="204">
        <f t="shared" si="8"/>
        <v>1.6E-2</v>
      </c>
      <c r="AA16" s="204">
        <f t="shared" si="9"/>
        <v>23.280700000000003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10"/>
        <v>104</v>
      </c>
      <c r="AE16" s="77" t="str">
        <f t="shared" si="11"/>
        <v>aws s3 cp s3://rtdc.mdm.uploadarchive.raw/RTDC4043/ "%USERPROFILE%\AppData\Local\Temp\OnboardLogs"\RTDC4043\2017-09-22 --exclude "*" --recursive --include "*20170922*" &amp; "%USERPROFILE%\Documents\GitHub\mrs-test-scripts\Headless Mode &amp; Sideloading\WalkAndUnGZ.bat" "%USERPROFILE%\AppData\Local\Temp\OnboardLogs"\RTDC4043\2017-09-22 &amp; aws s3 cp s3://rtdc.mdm.uploadarchive.raw/RTDC4043/ "%USERPROFILE%\AppData\Local\Temp\OnboardLogs"\RTDC4043\2017-09-23 --exclude "*" --recursive --include "*20170923*" &amp; "%USERPROFILE%\Documents\GitHub\mrs-test-scripts\Headless Mode &amp; Sideloading\WalkAndUnGZ.bat" "%USERPROFILE%\AppData\Local\Temp\OnboardLogs"\RTDC4043\2017-09-23</v>
      </c>
      <c r="AF16" s="74" t="str">
        <f t="shared" si="12"/>
        <v>"C:\Program Files (x86)\AstroGrep\AstroGrep.exe" /e /r /s /spath="%USERPROFILE%\AppData\Local\Temp\OnboardLogs" /stypes="app*4043*20170922*" /stext=" 11:.+((SYSTEM_STATE.+slice.+state.+changed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9"/>
        <v>"%USERPROFILE%\Documents\GitHub\eaglep3\Utilities\RefineRTDCRunTimes.py" --tripid 104-22 --locoid 4043 --swversion DE.1.0.9.0 --startMP 204:232967 --initTime 2017-09-22T04:25:30 --startdatetime 2017-09-22T04:42:17 --delay 53 --endMP 204:160 --enddatetime 2017-09-22T05:21:05 --enforcementcount 0 &gt;&gt;c:\users\stu\Documents\GitHub\eaglep3-reporting\EC\2017-09-22-refined-times.txt</v>
      </c>
      <c r="AI16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{"issue":{"subject":"","project_id":79,"tracker_id":40,"status_id":1,"priority_id":2,"assigned_to_id":338,"start_date":"2017-09-22","description":"","custom_fields":[{"id":1,"name":"Subdivision","value":"EC"},{"id":4,"name":"Milepost","value":"0.016"},{"id":17,"name":"Train ID","value":"104-22"},{"id":16,"name":"Locomotive ID","value":"4043"},{"id":130,"name":"Impact","value":""},{"id":150,"name":"Time of Event (Mountain Time)","value":"05:21:05"},{"id":151,"name":"Denver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1"/>
        <v>start /low /b %USERPROFILE%\Documents\GitHub\eaglep3\Utilities\DownloadLogsFromS3.py --loco 4043 --day 2017-09-22</v>
      </c>
      <c r="AN16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11:21:05"},{"id":29,"name":"Sharepoint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3"/>
        <v>https://d0f6bd738d7f1b3e5a7ca70fe4ff75f0.us-east-1.aws.found.io/app/kibana#/discover/Steve-Slow-Train-Analysis-(2080s-and-2083s)?_g=(refreshInterval:(display:Off,pause:!f,section:0,value:0),time:(from:'2017-09-22T03:25:30-0600',mode:absolute,to:'2017-09-22T06:21:05-0600'))&amp;_a=(columns:!('Message%20ID',Summary),filters:!(),index:'emp_*',interval:auto,query:(query_string:(analyze_wildcard:!t,query:'Message%5C+ID:(*)+AND+%22rtdc.l.rtdc.4043%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620</v>
      </c>
      <c r="B17" s="7">
        <v>4018</v>
      </c>
      <c r="C17" s="21" t="s">
        <v>196</v>
      </c>
      <c r="D17" s="21" t="s">
        <v>396</v>
      </c>
      <c r="E17" s="13">
        <v>43000.168032407404</v>
      </c>
      <c r="F17" s="13">
        <v>43000.177430555559</v>
      </c>
      <c r="G17" s="7">
        <v>61</v>
      </c>
      <c r="H17" s="21" t="s">
        <v>421</v>
      </c>
      <c r="I17" s="13">
        <v>43000.202893518515</v>
      </c>
      <c r="J17" s="7">
        <v>0</v>
      </c>
      <c r="K17" s="89" t="str">
        <f t="shared" si="0"/>
        <v>4017/4018</v>
      </c>
      <c r="L17" s="185" t="str">
        <f>VLOOKUP(A17,'Trips&amp;Operators'!$C$1:$G$99911,5,FALSE)</f>
        <v>BONDS REYNALDO</v>
      </c>
      <c r="M17" s="6">
        <f t="shared" si="1"/>
        <v>2.5462962956225965E-2</v>
      </c>
      <c r="N17" s="7">
        <f t="shared" si="2"/>
        <v>36.66666665696539</v>
      </c>
      <c r="O17" s="7"/>
      <c r="P17" s="7"/>
      <c r="Q17" s="22"/>
      <c r="R17" s="174"/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-09-22T03:01:58-0600',mode:absolute,to:'2017-09-22T05:52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 t="shared" si="7"/>
        <v>4.5100000000000001E-2</v>
      </c>
      <c r="Z17" s="204">
        <f t="shared" si="8"/>
        <v>23.333200000000001</v>
      </c>
      <c r="AA17" s="204">
        <f t="shared" si="9"/>
        <v>23.2881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10"/>
        <v>105</v>
      </c>
      <c r="AE17" s="77" t="str">
        <f t="shared" si="11"/>
        <v>aws s3 cp s3://rtdc.mdm.uploadarchive.raw/RTDC4018/ "%USERPROFILE%\AppData\Local\Temp\OnboardLogs"\RTDC4018\2017-09-22 --exclude "*" --recursive --include "*20170922*" &amp; "%USERPROFILE%\Documents\GitHub\mrs-test-scripts\Headless Mode &amp; Sideloading\WalkAndUnGZ.bat" "%USERPROFILE%\AppData\Local\Temp\OnboardLogs"\RTDC4018\2017-09-22 &amp; aws s3 cp s3://rtdc.mdm.uploadarchive.raw/RTDC4018/ "%USERPROFILE%\AppData\Local\Temp\OnboardLogs"\RTDC4018\2017-09-23 --exclude "*" --recursive --include "*20170923*" &amp; "%USERPROFILE%\Documents\GitHub\mrs-test-scripts\Headless Mode &amp; Sideloading\WalkAndUnGZ.bat" "%USERPROFILE%\AppData\Local\Temp\OnboardLogs"\RTDC4018\2017-09-23</v>
      </c>
      <c r="AF17" s="74" t="str">
        <f t="shared" si="12"/>
        <v>"C:\Program Files (x86)\AstroGrep\AstroGrep.exe" /e /r /s /spath="%USERPROFILE%\AppData\Local\Temp\OnboardLogs" /stypes="app*4018*20170922*" /stext=" 10:.+((SYSTEM_STATE.+slice.+state.+changed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9"/>
        <v>"%USERPROFILE%\Documents\GitHub\eaglep3\Utilities\RefineRTDCRunTimes.py" --tripid 105-22 --locoid 4018 --swversion DE.1.0.9.0 --startMP 204:451 --initTime 2017-09-22T04:01:58 --startdatetime 2017-09-22T04:15:30 --delay 61 --endMP 204:233332 --enddatetime 2017-09-22T04:52:10 --enforcementcount 0 &gt;&gt;c:\users\stu\Documents\GitHub\eaglep3-reporting\EC\2017-09-22-refined-times.txt</v>
      </c>
      <c r="AI17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{"issue":{"subject":"","project_id":79,"tracker_id":40,"status_id":1,"priority_id":2,"assigned_to_id":338,"start_date":"2017-09-22","description":"","custom_fields":[{"id":1,"name":"Subdivision","value":"EC"},{"id":4,"name":"Milepost","value":"23.3332"},{"id":17,"name":"Train ID","value":"105-22"},{"id":16,"name":"Locomotive ID","value":"4018"},{"id":130,"name":"Impact","value":""},{"id":150,"name":"Time of Event (Mountain Time)","value":"04:52:10"},{"id":151,"name":"Denver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1"/>
        <v>start /low /b %USERPROFILE%\Documents\GitHub\eaglep3\Utilities\DownloadLogsFromS3.py --loco 4018 --day 2017-09-22</v>
      </c>
      <c r="AN17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10:52:10"},{"id":29,"name":"Sharepoint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3"/>
        <v>https://d0f6bd738d7f1b3e5a7ca70fe4ff75f0.us-east-1.aws.found.io/app/kibana#/discover/Steve-Slow-Train-Analysis-(2080s-and-2083s)?_g=(refreshInterval:(display:Off,pause:!f,section:0,value:0),time:(from:'2017-09-22T03:01:58-0600',mode:absolute,to:'2017-09-22T05:52:10-0600'))&amp;_a=(columns:!('Message%20ID',Summary),filters:!(),index:'emp_*',interval:auto,query:(query_string:(analyze_wildcard:!t,query:'Message%5C+ID:(*)+AND+%22rtdc.l.rtdc.4018%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635</v>
      </c>
      <c r="B18" s="7">
        <v>4017</v>
      </c>
      <c r="C18" s="21" t="s">
        <v>196</v>
      </c>
      <c r="D18" s="21" t="s">
        <v>552</v>
      </c>
      <c r="E18" s="13">
        <v>43000.212916666664</v>
      </c>
      <c r="F18" s="13">
        <v>43000.216863425929</v>
      </c>
      <c r="G18" s="7">
        <v>55</v>
      </c>
      <c r="H18" s="21" t="s">
        <v>361</v>
      </c>
      <c r="I18" s="13">
        <v>43000.244027777779</v>
      </c>
      <c r="J18" s="7">
        <v>0</v>
      </c>
      <c r="K18" s="89" t="str">
        <f t="shared" si="0"/>
        <v>4017/4018</v>
      </c>
      <c r="L18" s="185" t="str">
        <f>VLOOKUP(A18,'Trips&amp;Operators'!$C$1:$G$99911,5,FALSE)</f>
        <v>BONDS REYNALDO</v>
      </c>
      <c r="M18" s="6">
        <f t="shared" si="1"/>
        <v>2.7164351849933155E-2</v>
      </c>
      <c r="N18" s="7">
        <f t="shared" si="2"/>
        <v>39.116666663903743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-09-22T04:06:36-0600',mode:absolute,to:'2017-09-22T06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f t="shared" si="7"/>
        <v>23.298999999999999</v>
      </c>
      <c r="Z18" s="204">
        <f t="shared" si="8"/>
        <v>1.4500000000000001E-2</v>
      </c>
      <c r="AA18" s="204">
        <f t="shared" si="9"/>
        <v>23.284499999999998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10"/>
        <v>106</v>
      </c>
      <c r="AE18" s="77" t="str">
        <f t="shared" si="11"/>
        <v>aws s3 cp s3://rtdc.mdm.uploadarchive.raw/RTDC4017/ "%USERPROFILE%\AppData\Local\Temp\OnboardLogs"\RTDC4017\2017-09-22 --exclude "*" --recursive --include "*20170922*" &amp; "%USERPROFILE%\Documents\GitHub\mrs-test-scripts\Headless Mode &amp; Sideloading\WalkAndUnGZ.bat" "%USERPROFILE%\AppData\Local\Temp\OnboardLogs"\RTDC4017\2017-09-22 &amp; aws s3 cp s3://rtdc.mdm.uploadarchive.raw/RTDC4017/ "%USERPROFILE%\AppData\Local\Temp\OnboardLogs"\RTDC4017\2017-09-23 --exclude "*" --recursive --include "*20170923*" &amp; "%USERPROFILE%\Documents\GitHub\mrs-test-scripts\Headless Mode &amp; Sideloading\WalkAndUnGZ.bat" "%USERPROFILE%\AppData\Local\Temp\OnboardLogs"\RTDC4017\2017-09-23</v>
      </c>
      <c r="AF18" s="74" t="str">
        <f t="shared" si="12"/>
        <v>"C:\Program Files (x86)\AstroGrep\AstroGrep.exe" /e /r /s /spath="%USERPROFILE%\AppData\Local\Temp\OnboardLogs" /stypes="app*4017*20170922*" /stext=" 11:.+((SYSTEM_STATE.+slice.+state.+changed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9"/>
        <v>"%USERPROFILE%\Documents\GitHub\eaglep3\Utilities\RefineRTDCRunTimes.py" --tripid 106-22 --locoid 4017 --swversion DE.1.0.9.0 --startMP 204:232990 --initTime 2017-09-22T05:06:36 --startdatetime 2017-09-22T05:12:17 --delay 55 --endMP 204:145 --enddatetime 2017-09-22T05:51:24 --enforcementcount 0 &gt;&gt;c:\users\stu\Documents\GitHub\eaglep3-reporting\EC\2017-09-22-refined-times.txt</v>
      </c>
      <c r="AI18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{"issue":{"subject":"","project_id":79,"tracker_id":40,"status_id":1,"priority_id":2,"assigned_to_id":338,"start_date":"2017-09-22","description":"","custom_fields":[{"id":1,"name":"Subdivision","value":"EC"},{"id":4,"name":"Milepost","value":"0.0145"},{"id":17,"name":"Train ID","value":"106-22"},{"id":16,"name":"Locomotive ID","value":"4017"},{"id":130,"name":"Impact","value":""},{"id":150,"name":"Time of Event (Mountain Time)","value":"05:51:24"},{"id":151,"name":"Denver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1"/>
        <v>start /low /b %USERPROFILE%\Documents\GitHub\eaglep3\Utilities\DownloadLogsFromS3.py --loco 4017 --day 2017-09-22</v>
      </c>
      <c r="AN18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11:51:24"},{"id":29,"name":"Sharepoint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3"/>
        <v>https://d0f6bd738d7f1b3e5a7ca70fe4ff75f0.us-east-1.aws.found.io/app/kibana#/discover/Steve-Slow-Train-Analysis-(2080s-and-2083s)?_g=(refreshInterval:(display:Off,pause:!f,section:0,value:0),time:(from:'2017-09-22T04:06:36-0600',mode:absolute,to:'2017-09-22T06:51:24-0600'))&amp;_a=(columns:!('Message%20ID',Summary),filters:!(),index:'emp_*',interval:auto,query:(query_string:(analyze_wildcard:!t,query:'Message%5C+ID:(*)+AND+%22rtdc.l.rtdc.4017%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624</v>
      </c>
      <c r="B19" s="7">
        <v>4032</v>
      </c>
      <c r="C19" s="21" t="s">
        <v>196</v>
      </c>
      <c r="D19" s="21" t="s">
        <v>378</v>
      </c>
      <c r="E19" s="13">
        <v>43000.18478009259</v>
      </c>
      <c r="F19" s="13">
        <v>43000.187696759262</v>
      </c>
      <c r="G19" s="7">
        <v>69</v>
      </c>
      <c r="H19" s="21" t="s">
        <v>446</v>
      </c>
      <c r="I19" s="13">
        <v>43000.211851851855</v>
      </c>
      <c r="J19" s="7">
        <v>0</v>
      </c>
      <c r="K19" s="89" t="str">
        <f t="shared" si="0"/>
        <v>4031/4032</v>
      </c>
      <c r="L19" s="185" t="str">
        <f>VLOOKUP(A19,'Trips&amp;Operators'!$C$1:$G$99911,5,FALSE)</f>
        <v>GEBRETEKLE DAGNEW</v>
      </c>
      <c r="M19" s="6">
        <f t="shared" si="1"/>
        <v>2.4155092592991423E-2</v>
      </c>
      <c r="N19" s="7">
        <f t="shared" si="2"/>
        <v>34.783333333907649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-09-22T03:26:05-0600',mode:absolute,to:'2017-09-22T06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si="7"/>
        <v>4.5999999999999999E-2</v>
      </c>
      <c r="Z19" s="204">
        <f t="shared" si="8"/>
        <v>23.329799999999999</v>
      </c>
      <c r="AA19" s="204">
        <f t="shared" si="9"/>
        <v>23.283799999999999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10"/>
        <v>107</v>
      </c>
      <c r="AE19" s="77" t="str">
        <f t="shared" si="11"/>
        <v>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 &amp; aws s3 cp s3://rtdc.mdm.uploadarchive.raw/RTDC4032/ "%USERPROFILE%\AppData\Local\Temp\OnboardLogs"\RTDC4032\2017-09-23 --exclude "*" --recursive --include "*20170923*" &amp; "%USERPROFILE%\Documents\GitHub\mrs-test-scripts\Headless Mode &amp; Sideloading\WalkAndUnGZ.bat" "%USERPROFILE%\AppData\Local\Temp\OnboardLogs"\RTDC4032\2017-09-23</v>
      </c>
      <c r="AF19" s="74" t="str">
        <f t="shared" si="12"/>
        <v>"C:\Program Files (x86)\AstroGrep\AstroGrep.exe" /e /r /s /spath="%USERPROFILE%\AppData\Local\Temp\OnboardLogs" /stypes="app*4032*20170922*" /stext=" 11:.+((SYSTEM_STATE.+slice.+state.+changed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9"/>
        <v>"%USERPROFILE%\Documents\GitHub\eaglep3\Utilities\RefineRTDCRunTimes.py" --tripid 107-22 --locoid 4032 --swversion DE.1.0.9.0 --startMP 204:460 --initTime 2017-09-22T04:26:05 --startdatetime 2017-09-22T04:30:17 --delay 69 --endMP 204:233298 --enddatetime 2017-09-22T05:05:04 --enforcementcount 0 &gt;&gt;c:\users\stu\Documents\GitHub\eaglep3-reporting\EC\2017-09-22-refined-times.txt</v>
      </c>
      <c r="AI19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{"issue":{"subject":"","project_id":79,"tracker_id":40,"status_id":1,"priority_id":2,"assigned_to_id":338,"start_date":"2017-09-22","description":"","custom_fields":[{"id":1,"name":"Subdivision","value":"EC"},{"id":4,"name":"Milepost","value":"23.3298"},{"id":17,"name":"Train ID","value":"107-22"},{"id":16,"name":"Locomotive ID","value":"4032"},{"id":130,"name":"Impact","value":""},{"id":150,"name":"Time of Event (Mountain Time)","value":"05:05:04"},{"id":151,"name":"Denver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1"/>
        <v>start /low /b %USERPROFILE%\Documents\GitHub\eaglep3\Utilities\DownloadLogsFromS3.py --loco 4032 --day 2017-09-22</v>
      </c>
      <c r="AN19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11:05:04"},{"id":29,"name":"Sharepoint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3"/>
        <v>https://d0f6bd738d7f1b3e5a7ca70fe4ff75f0.us-east-1.aws.found.io/app/kibana#/discover/Steve-Slow-Train-Analysis-(2080s-and-2083s)?_g=(refreshInterval:(display:Off,pause:!f,section:0,value:0),time:(from:'2017-09-22T03:26:05-0600',mode:absolute,to:'2017-09-22T06:05:04-0600'))&amp;_a=(columns:!('Message%20ID',Summary),filters:!(),index:'emp_*',interval:auto,query:(query_string:(analyze_wildcard:!t,query:'Message%5C+ID:(*)+AND+%22rtdc.l.rtdc.4032%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636</v>
      </c>
      <c r="B20" s="7">
        <v>4031</v>
      </c>
      <c r="C20" s="21" t="s">
        <v>196</v>
      </c>
      <c r="D20" s="21" t="s">
        <v>836</v>
      </c>
      <c r="E20" s="13">
        <v>43000.212870370371</v>
      </c>
      <c r="F20" s="13">
        <v>43000.238194444442</v>
      </c>
      <c r="G20" s="7">
        <v>58</v>
      </c>
      <c r="H20" s="21" t="s">
        <v>836</v>
      </c>
      <c r="I20" s="13">
        <v>43000.254907407405</v>
      </c>
      <c r="J20" s="7">
        <v>0</v>
      </c>
      <c r="K20" s="89" t="str">
        <f t="shared" si="0"/>
        <v>4031/4032</v>
      </c>
      <c r="L20" s="185" t="str">
        <f>VLOOKUP(A20,'Trips&amp;Operators'!$C$1:$G$99911,5,FALSE)</f>
        <v>GEBRETEKLE DAGNEW</v>
      </c>
      <c r="M20" s="6">
        <f t="shared" si="1"/>
        <v>1.6712962962628808E-2</v>
      </c>
      <c r="N20" s="7"/>
      <c r="O20" s="7"/>
      <c r="P20" s="7"/>
      <c r="Q20" s="22"/>
      <c r="R20" s="174"/>
      <c r="S20" s="221"/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0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-09-22T04:06:32-0600',mode:absolute,to:'2017-09-22T07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" s="204" t="str">
        <f>IF(AA20&lt;VLOOKUP(AG20,Variables!$AC$3:$AD$8,2,FALSE),"Y","N")</f>
        <v>Y</v>
      </c>
      <c r="X20" s="204">
        <f t="shared" si="6"/>
        <v>1</v>
      </c>
      <c r="Y20" s="204">
        <f t="shared" si="7"/>
        <v>23.298300000000001</v>
      </c>
      <c r="Z20" s="204">
        <f t="shared" si="8"/>
        <v>23.298300000000001</v>
      </c>
      <c r="AA20" s="204">
        <f t="shared" si="9"/>
        <v>0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10"/>
        <v>108</v>
      </c>
      <c r="AE20" s="77" t="str">
        <f t="shared" si="11"/>
        <v>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 &amp; aws s3 cp s3://rtdc.mdm.uploadarchive.raw/RTDC4031/ "%USERPROFILE%\AppData\Local\Temp\OnboardLogs"\RTDC4031\2017-09-23 --exclude "*" --recursive --include "*20170923*" &amp; "%USERPROFILE%\Documents\GitHub\mrs-test-scripts\Headless Mode &amp; Sideloading\WalkAndUnGZ.bat" "%USERPROFILE%\AppData\Local\Temp\OnboardLogs"\RTDC4031\2017-09-23</v>
      </c>
      <c r="AF20" s="74" t="str">
        <f t="shared" si="12"/>
        <v>"C:\Program Files (x86)\AstroGrep\AstroGrep.exe" /e /r /s /spath="%USERPROFILE%\AppData\Local\Temp\OnboardLogs" /stypes="app*4031*20170922*" /stext=" 12:.+((SYSTEM_STATE.+slice.+state.+changed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9"/>
        <v>"%USERPROFILE%\Documents\GitHub\eaglep3\Utilities\RefineRTDCRunTimes.py" --tripid 108-22 --locoid 4031 --swversion DE.1.0.9.0 --startMP 204:232983 --initTime 2017-09-22T05:06:32 --startdatetime 2017-09-22T05:43:00 --delay 58 --endMP 204:232983 --enddatetime 2017-09-22T06:07:04 --enforcementcount 0 &gt;&gt;c:\users\stu\Documents\GitHub\eaglep3-reporting\EC\2017-09-22-refined-times.txt</v>
      </c>
      <c r="AI20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{"issue":{"subject":"","project_id":79,"tracker_id":40,"status_id":1,"priority_id":2,"assigned_to_id":338,"start_date":"2017-09-22","description":"","custom_fields":[{"id":1,"name":"Subdivision","value":"EC"},{"id":4,"name":"Milepost","value":"23.2983"},{"id":17,"name":"Train ID","value":"108-22"},{"id":16,"name":"Locomotive ID","value":"4031"},{"id":130,"name":"Impact","value":""},{"id":150,"name":"Time of Event (Mountain Time)","value":"06:07:04"},{"id":151,"name":"Denver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1"/>
        <v>start /low /b %USERPROFILE%\Documents\GitHub\eaglep3\Utilities\DownloadLogsFromS3.py --loco 4031 --day 2017-09-22</v>
      </c>
      <c r="AN20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12:07:04"},{"id":29,"name":"Sharepoint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3"/>
        <v>https://d0f6bd738d7f1b3e5a7ca70fe4ff75f0.us-east-1.aws.found.io/app/kibana#/discover/Steve-Slow-Train-Analysis-(2080s-and-2083s)?_g=(refreshInterval:(display:Off,pause:!f,section:0,value:0),time:(from:'2017-09-22T04:06:32-0600',mode:absolute,to:'2017-09-22T07:07:04-0600'))&amp;_a=(columns:!('Message%20ID',Summary),filters:!(),index:'emp_*',interval:auto,query:(query_string:(analyze_wildcard:!t,query:'Message%5C+ID:(*)+AND+%22rtdc.l.rtdc.4031%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636</v>
      </c>
      <c r="B21" s="7">
        <v>4031</v>
      </c>
      <c r="C21" s="21" t="s">
        <v>196</v>
      </c>
      <c r="D21" s="21" t="s">
        <v>837</v>
      </c>
      <c r="E21" s="13">
        <v>43000.237083333333</v>
      </c>
      <c r="F21" s="13">
        <v>43000.238194444442</v>
      </c>
      <c r="G21" s="7">
        <v>46</v>
      </c>
      <c r="H21" s="21" t="s">
        <v>367</v>
      </c>
      <c r="I21" s="13">
        <v>43000.254907407405</v>
      </c>
      <c r="J21" s="7">
        <v>0</v>
      </c>
      <c r="K21" s="89" t="str">
        <f t="shared" si="0"/>
        <v>4031/4032</v>
      </c>
      <c r="L21" s="185" t="str">
        <f>VLOOKUP(A21,'Trips&amp;Operators'!$C$1:$G$99911,5,FALSE)</f>
        <v>GEBRETEKLE DAGNEW</v>
      </c>
      <c r="M21" s="6">
        <f t="shared" si="1"/>
        <v>1.6712962962628808E-2</v>
      </c>
      <c r="N21" s="7"/>
      <c r="O21" s="7"/>
      <c r="P21" s="7">
        <f>24*60*SUM($M21:$M21)</f>
        <v>24.066666666185483</v>
      </c>
      <c r="Q21" s="22"/>
      <c r="R21" s="174" t="s">
        <v>977</v>
      </c>
      <c r="S21" s="221">
        <f t="shared" ref="S21:S84" si="24">1/IF(AG21="EC",12,1)*SUM(U21:U21)</f>
        <v>1</v>
      </c>
      <c r="T21" s="174" t="str">
        <f t="shared" si="4"/>
        <v>Southbound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-09-22T04:41:24-0600',mode:absolute,to:'2017-09-22T07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" s="204" t="str">
        <f>IF(AA21&lt;VLOOKUP(AG21,Variables!$AC$3:$AD$8,2,FALSE),"Y","N")</f>
        <v>Y</v>
      </c>
      <c r="X21" s="204">
        <f t="shared" si="6"/>
        <v>0</v>
      </c>
      <c r="Y21" s="204">
        <f t="shared" si="7"/>
        <v>12.7858</v>
      </c>
      <c r="Z21" s="204">
        <f t="shared" si="8"/>
        <v>1.5599999999999999E-2</v>
      </c>
      <c r="AA21" s="204">
        <f t="shared" si="9"/>
        <v>12.770200000000001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10"/>
        <v>108</v>
      </c>
      <c r="AE21" s="77" t="str">
        <f t="shared" si="11"/>
        <v>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 &amp; aws s3 cp s3://rtdc.mdm.uploadarchive.raw/RTDC4031/ "%USERPROFILE%\AppData\Local\Temp\OnboardLogs"\RTDC4031\2017-09-23 --exclude "*" --recursive --include "*20170923*" &amp; "%USERPROFILE%\Documents\GitHub\mrs-test-scripts\Headless Mode &amp; Sideloading\WalkAndUnGZ.bat" "%USERPROFILE%\AppData\Local\Temp\OnboardLogs"\RTDC4031\2017-09-23</v>
      </c>
      <c r="AF21" s="74" t="str">
        <f t="shared" si="12"/>
        <v>"C:\Program Files (x86)\AstroGrep\AstroGrep.exe" /e /r /s /spath="%USERPROFILE%\AppData\Local\Temp\OnboardLogs" /stypes="app*4031*20170922*" /stext=" 12:.+((SYSTEM_STATE.+slice.+state.+changed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9"/>
        <v>"%USERPROFILE%\Documents\GitHub\eaglep3\Utilities\RefineRTDCRunTimes.py" --tripid 108-22 --locoid 4031 --swversion DE.1.0.9.0 --startMP 204:127858 --initTime 2017-09-22T05:41:24 --startdatetime 2017-09-22T05:43:00 --delay 46 --endMP 204:156 --enddatetime 2017-09-22T06:07:04 --enforcementcount 0 &gt;&gt;c:\users\stu\Documents\GitHub\eaglep3-reporting\EC\2017-09-22-refined-times.txt</v>
      </c>
      <c r="AI21" s="96" t="str">
        <f t="shared" si="20"/>
        <v>echo {"issue":{"subject":"Onboard in-route failure","project_id":79,"tracker_id":40,"status_id":1,"priority_id":2,"assigned_to_id":338,"start_date":"2017-09-22","description":"","custom_fields":[{"id":1,"name":"Subdivision","value":"EC"},{"id":4,"name":"Milepost","value":"0.0156"},{"id":17,"name":"Train ID","value":"108-22"},{"id":16,"name":"Locomotive ID","value":"4031"},{"id":130,"name":"Impact","value":""},{"id":150,"name":"Time of Event (Mountain Time)","value":"06:07:04"},{"id":151,"name":"Denver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1"/>
        <v>start /low /b %USERPROFILE%\Documents\GitHub\eaglep3\Utilities\DownloadLogsFromS3.py --loco 4031 --day 2017-09-22</v>
      </c>
      <c r="AN21" s="151" t="str">
        <f t="shared" si="22"/>
        <v>echo {"issue":{"subject":"Onboard in-route failure","project_id":30,"tracker_id":4,"status_id":1,"priority_id":1,"assigned_to_id":10,"start_date":"2017-09-22","description":"","custom_fields":[{"id":30,"name":"Category","value":"Issue"},{"id":3,"name":"Functional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12:07:04"},{"id":29,"name":"Sharepoint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3"/>
        <v>https://d0f6bd738d7f1b3e5a7ca70fe4ff75f0.us-east-1.aws.found.io/app/kibana#/discover/Steve-Slow-Train-Analysis-(2080s-and-2083s)?_g=(refreshInterval:(display:Off,pause:!f,section:0,value:0),time:(from:'2017-09-22T04:41:24-0600',mode:absolute,to:'2017-09-22T07:07:04-0600'))&amp;_a=(columns:!('Message%20ID',Summary),filters:!(),index:'emp_*',interval:auto,query:(query_string:(analyze_wildcard:!t,query:'Message%5C+ID:(*)+AND+%22rtdc.l.rtdc.4031%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626</v>
      </c>
      <c r="B22" s="7">
        <v>4060</v>
      </c>
      <c r="C22" s="21" t="s">
        <v>196</v>
      </c>
      <c r="D22" s="21" t="s">
        <v>405</v>
      </c>
      <c r="E22" s="13">
        <v>43000.196018518516</v>
      </c>
      <c r="F22" s="13">
        <v>43000.198067129626</v>
      </c>
      <c r="G22" s="7">
        <v>77</v>
      </c>
      <c r="H22" s="21" t="s">
        <v>834</v>
      </c>
      <c r="I22" s="13">
        <v>43000.224328703705</v>
      </c>
      <c r="J22" s="7">
        <v>0</v>
      </c>
      <c r="K22" s="89" t="str">
        <f t="shared" si="0"/>
        <v>4059/4060</v>
      </c>
      <c r="L22" s="185" t="str">
        <f>VLOOKUP(A22,'Trips&amp;Operators'!$C$1:$G$99911,5,FALSE)</f>
        <v>DAVIS WENDY</v>
      </c>
      <c r="M22" s="6">
        <f t="shared" si="1"/>
        <v>2.6261574079398997E-2</v>
      </c>
      <c r="N22" s="7">
        <f t="shared" ref="N22:N53" si="25">24*60*SUM($M22:$M22)</f>
        <v>37.816666674334556</v>
      </c>
      <c r="O22" s="7"/>
      <c r="P22" s="7"/>
      <c r="Q22" s="22"/>
      <c r="R22" s="174"/>
      <c r="S22" s="221">
        <f t="shared" si="24"/>
        <v>1</v>
      </c>
      <c r="T22" s="174" t="str">
        <f t="shared" si="4"/>
        <v>NorthBound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-09-22T03:42:16-0600',mode:absolute,to:'2017-09-22T06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7"/>
        <v>4.6600000000000003E-2</v>
      </c>
      <c r="Z22" s="204">
        <f t="shared" si="8"/>
        <v>23.3291</v>
      </c>
      <c r="AA22" s="204">
        <f t="shared" si="9"/>
        <v>23.282499999999999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10"/>
        <v>109</v>
      </c>
      <c r="AE22" s="77" t="str">
        <f t="shared" si="11"/>
        <v>aws s3 cp s3://rtdc.mdm.uploadarchive.raw/RTDC4060/ "%USERPROFILE%\AppData\Local\Temp\OnboardLogs"\RTDC4060\2017-09-22 --exclude "*" --recursive --include "*20170922*" &amp; "%USERPROFILE%\Documents\GitHub\mrs-test-scripts\Headless Mode &amp; Sideloading\WalkAndUnGZ.bat" "%USERPROFILE%\AppData\Local\Temp\OnboardLogs"\RTDC4060\2017-09-22 &amp; aws s3 cp s3://rtdc.mdm.uploadarchive.raw/RTDC4060/ "%USERPROFILE%\AppData\Local\Temp\OnboardLogs"\RTDC4060\2017-09-23 --exclude "*" --recursive --include "*20170923*" &amp; "%USERPROFILE%\Documents\GitHub\mrs-test-scripts\Headless Mode &amp; Sideloading\WalkAndUnGZ.bat" "%USERPROFILE%\AppData\Local\Temp\OnboardLogs"\RTDC4060\2017-09-23</v>
      </c>
      <c r="AF22" s="74" t="str">
        <f t="shared" si="12"/>
        <v>"C:\Program Files (x86)\AstroGrep\AstroGrep.exe" /e /r /s /spath="%USERPROFILE%\AppData\Local\Temp\OnboardLogs" /stypes="app*4060*20170922*" /stext=" 11:.+((SYSTEM_STATE.+slice.+state.+changed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9"/>
        <v>"%USERPROFILE%\Documents\GitHub\eaglep3\Utilities\RefineRTDCRunTimes.py" --tripid 109-22 --locoid 4060 --swversion DE.1.0.9.0 --startMP 204:466 --initTime 2017-09-22T04:42:16 --startdatetime 2017-09-22T04:45:13 --delay 77 --endMP 204:233291 --enddatetime 2017-09-22T05:23:02 --enforcementcount 0 &gt;&gt;c:\users\stu\Documents\GitHub\eaglep3-reporting\EC\2017-09-22-refined-times.txt</v>
      </c>
      <c r="AI22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{"issue":{"subject":"","project_id":79,"tracker_id":40,"status_id":1,"priority_id":2,"assigned_to_id":338,"start_date":"2017-09-22","description":"","custom_fields":[{"id":1,"name":"Subdivision","value":"EC"},{"id":4,"name":"Milepost","value":"23.3291"},{"id":17,"name":"Train ID","value":"109-22"},{"id":16,"name":"Locomotive ID","value":"4060"},{"id":130,"name":"Impact","value":""},{"id":150,"name":"Time of Event (Mountain Time)","value":"05:23:02"},{"id":151,"name":"Denver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1"/>
        <v>start /low /b %USERPROFILE%\Documents\GitHub\eaglep3\Utilities\DownloadLogsFromS3.py --loco 4060 --day 2017-09-22</v>
      </c>
      <c r="AN22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11:23:02"},{"id":29,"name":"Sharepoint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3"/>
        <v>https://d0f6bd738d7f1b3e5a7ca70fe4ff75f0.us-east-1.aws.found.io/app/kibana#/discover/Steve-Slow-Train-Analysis-(2080s-and-2083s)?_g=(refreshInterval:(display:Off,pause:!f,section:0,value:0),time:(from:'2017-09-22T03:42:16-0600',mode:absolute,to:'2017-09-22T06:23:02-0600'))&amp;_a=(columns:!('Message%20ID',Summary),filters:!(),index:'emp_*',interval:auto,query:(query_string:(analyze_wildcard:!t,query:'Message%5C+ID:(*)+AND+%22rtdc.l.rtdc.4060%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641</v>
      </c>
      <c r="B23" s="7">
        <v>4059</v>
      </c>
      <c r="C23" s="21" t="s">
        <v>196</v>
      </c>
      <c r="D23" s="21" t="s">
        <v>555</v>
      </c>
      <c r="E23" s="13">
        <v>43000.225590277776</v>
      </c>
      <c r="F23" s="13">
        <v>43000.237673611111</v>
      </c>
      <c r="G23" s="7">
        <v>97</v>
      </c>
      <c r="H23" s="21" t="s">
        <v>341</v>
      </c>
      <c r="I23" s="13">
        <v>43000.265462962961</v>
      </c>
      <c r="J23" s="7">
        <v>0</v>
      </c>
      <c r="K23" s="89" t="str">
        <f t="shared" si="0"/>
        <v>4059/4060</v>
      </c>
      <c r="L23" s="185" t="str">
        <f>VLOOKUP(A23,'Trips&amp;Operators'!$C$1:$G$99911,5,FALSE)</f>
        <v>DAVIS WENDY</v>
      </c>
      <c r="M23" s="6">
        <f t="shared" si="1"/>
        <v>2.7789351850515231E-2</v>
      </c>
      <c r="N23" s="7">
        <f t="shared" si="25"/>
        <v>40.016666664741933</v>
      </c>
      <c r="O23" s="7"/>
      <c r="P23" s="7"/>
      <c r="Q23" s="22"/>
      <c r="R23" s="174"/>
      <c r="S23" s="221">
        <f t="shared" si="24"/>
        <v>1</v>
      </c>
      <c r="T23" s="174" t="str">
        <f t="shared" si="4"/>
        <v>Southbound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-09-22T04:24:51-0600',mode:absolute,to:'2017-09-22T07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f t="shared" si="7"/>
        <v>23.296099999999999</v>
      </c>
      <c r="Z23" s="204">
        <f t="shared" si="8"/>
        <v>1.47E-2</v>
      </c>
      <c r="AA23" s="204">
        <f t="shared" si="9"/>
        <v>23.281399999999998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10"/>
        <v>110</v>
      </c>
      <c r="AE23" s="77" t="str">
        <f t="shared" si="11"/>
        <v>aws s3 cp s3://rtdc.mdm.uploadarchive.raw/RTDC4059/ "%USERPROFILE%\AppData\Local\Temp\OnboardLogs"\RTDC4059\2017-09-22 --exclude "*" --recursive --include "*20170922*" &amp; "%USERPROFILE%\Documents\GitHub\mrs-test-scripts\Headless Mode &amp; Sideloading\WalkAndUnGZ.bat" "%USERPROFILE%\AppData\Local\Temp\OnboardLogs"\RTDC4059\2017-09-22 &amp; aws s3 cp s3://rtdc.mdm.uploadarchive.raw/RTDC4059/ "%USERPROFILE%\AppData\Local\Temp\OnboardLogs"\RTDC4059\2017-09-23 --exclude "*" --recursive --include "*20170923*" &amp; "%USERPROFILE%\Documents\GitHub\mrs-test-scripts\Headless Mode &amp; Sideloading\WalkAndUnGZ.bat" "%USERPROFILE%\AppData\Local\Temp\OnboardLogs"\RTDC4059\2017-09-23</v>
      </c>
      <c r="AF23" s="74" t="str">
        <f t="shared" si="12"/>
        <v>"C:\Program Files (x86)\AstroGrep\AstroGrep.exe" /e /r /s /spath="%USERPROFILE%\AppData\Local\Temp\OnboardLogs" /stypes="app*4059*20170922*" /stext=" 12:.+((SYSTEM_STATE.+slice.+state.+changed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si="19"/>
        <v>"%USERPROFILE%\Documents\GitHub\eaglep3\Utilities\RefineRTDCRunTimes.py" --tripid 110-22 --locoid 4059 --swversion DE.1.0.9.0 --startMP 204:232961 --initTime 2017-09-22T05:24:51 --startdatetime 2017-09-22T05:42:15 --delay 97 --endMP 204:147 --enddatetime 2017-09-22T06:22:16 --enforcementcount 0 &gt;&gt;c:\users\stu\Documents\GitHub\eaglep3-reporting\EC\2017-09-22-refined-times.txt</v>
      </c>
      <c r="AI23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{"issue":{"subject":"","project_id":79,"tracker_id":40,"status_id":1,"priority_id":2,"assigned_to_id":338,"start_date":"2017-09-22","description":"","custom_fields":[{"id":1,"name":"Subdivision","value":"EC"},{"id":4,"name":"Milepost","value":"0.0147"},{"id":17,"name":"Train ID","value":"110-22"},{"id":16,"name":"Locomotive ID","value":"4059"},{"id":130,"name":"Impact","value":""},{"id":150,"name":"Time of Event (Mountain Time)","value":"06:22:16"},{"id":151,"name":"Denver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1"/>
        <v>start /low /b %USERPROFILE%\Documents\GitHub\eaglep3\Utilities\DownloadLogsFromS3.py --loco 4059 --day 2017-09-22</v>
      </c>
      <c r="AN23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12:22:16"},{"id":29,"name":"Sharepoint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3"/>
        <v>https://d0f6bd738d7f1b3e5a7ca70fe4ff75f0.us-east-1.aws.found.io/app/kibana#/discover/Steve-Slow-Train-Analysis-(2080s-and-2083s)?_g=(refreshInterval:(display:Off,pause:!f,section:0,value:0),time:(from:'2017-09-22T04:24:51-0600',mode:absolute,to:'2017-09-22T07:22:16-0600'))&amp;_a=(columns:!('Message%20ID',Summary),filters:!(),index:'emp_*',interval:auto,query:(query_string:(analyze_wildcard:!t,query:'Message%5C+ID:(*)+AND+%22rtdc.l.rtdc.4059%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633</v>
      </c>
      <c r="B24" s="7">
        <v>4064</v>
      </c>
      <c r="C24" s="21" t="s">
        <v>196</v>
      </c>
      <c r="D24" s="21" t="s">
        <v>375</v>
      </c>
      <c r="E24" s="13">
        <v>43000.204212962963</v>
      </c>
      <c r="F24" s="13">
        <v>43000.208611111113</v>
      </c>
      <c r="G24" s="7">
        <v>46</v>
      </c>
      <c r="H24" s="21" t="s">
        <v>838</v>
      </c>
      <c r="I24" s="13">
        <v>43000.232847222222</v>
      </c>
      <c r="J24" s="7">
        <v>0</v>
      </c>
      <c r="K24" s="89" t="str">
        <f t="shared" si="0"/>
        <v>4063/4064</v>
      </c>
      <c r="L24" s="185" t="str">
        <f>VLOOKUP(A24,'Trips&amp;Operators'!$C$1:$G$99911,5,FALSE)</f>
        <v>YORK EDGAR</v>
      </c>
      <c r="M24" s="6">
        <f t="shared" si="1"/>
        <v>2.4236111108621117E-2</v>
      </c>
      <c r="N24" s="7">
        <f t="shared" si="25"/>
        <v>34.899999996414408</v>
      </c>
      <c r="O24" s="7"/>
      <c r="P24" s="7"/>
      <c r="Q24" s="22"/>
      <c r="R24" s="174"/>
      <c r="S24" s="221">
        <f t="shared" si="24"/>
        <v>1</v>
      </c>
      <c r="T24" s="174" t="str">
        <f t="shared" si="4"/>
        <v>NorthBound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-09-22T03:54:04-0600',mode:absolute,to:'2017-09-22T06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" s="204" t="str">
        <f>IF(AA24&lt;VLOOKUP(AG24,Variables!$AC$3:$AD$8,2,FALSE),"Y","N")</f>
        <v>N</v>
      </c>
      <c r="X24" s="204">
        <f t="shared" si="6"/>
        <v>1</v>
      </c>
      <c r="Y24" s="204">
        <f t="shared" si="7"/>
        <v>4.4200000000000003E-2</v>
      </c>
      <c r="Z24" s="204">
        <f t="shared" si="8"/>
        <v>23.330400000000001</v>
      </c>
      <c r="AA24" s="204">
        <f t="shared" si="9"/>
        <v>23.286200000000001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10"/>
        <v>111</v>
      </c>
      <c r="AE24" s="77" t="str">
        <f t="shared" si="11"/>
        <v>aws s3 cp s3://rtdc.mdm.uploadarchive.raw/RTDC4064/ "%USERPROFILE%\AppData\Local\Temp\OnboardLogs"\RTDC4064\2017-09-22 --exclude "*" --recursive --include "*20170922*" &amp; "%USERPROFILE%\Documents\GitHub\mrs-test-scripts\Headless Mode &amp; Sideloading\WalkAndUnGZ.bat" "%USERPROFILE%\AppData\Local\Temp\OnboardLogs"\RTDC4064\2017-09-22 &amp; aws s3 cp s3://rtdc.mdm.uploadarchive.raw/RTDC4064/ "%USERPROFILE%\AppData\Local\Temp\OnboardLogs"\RTDC4064\2017-09-23 --exclude "*" --recursive --include "*20170923*" &amp; "%USERPROFILE%\Documents\GitHub\mrs-test-scripts\Headless Mode &amp; Sideloading\WalkAndUnGZ.bat" "%USERPROFILE%\AppData\Local\Temp\OnboardLogs"\RTDC4064\2017-09-23</v>
      </c>
      <c r="AF24" s="74" t="str">
        <f t="shared" si="12"/>
        <v>"C:\Program Files (x86)\AstroGrep\AstroGrep.exe" /e /r /s /spath="%USERPROFILE%\AppData\Local\Temp\OnboardLogs" /stypes="app*4064*20170922*" /stext=" 11:.+((SYSTEM_STATE.+slice.+state.+changed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si="19"/>
        <v>"%USERPROFILE%\Documents\GitHub\eaglep3\Utilities\RefineRTDCRunTimes.py" --tripid 111-22 --locoid 4064 --swversion DE.1.0.9.0 --startMP 204:442 --initTime 2017-09-22T04:54:04 --startdatetime 2017-09-22T05:00:24 --delay 46 --endMP 204:233304 --enddatetime 2017-09-22T05:35:18 --enforcementcount 0 &gt;&gt;c:\users\stu\Documents\GitHub\eaglep3-reporting\EC\2017-09-22-refined-times.txt</v>
      </c>
      <c r="AI24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{"issue":{"subject":"","project_id":79,"tracker_id":40,"status_id":1,"priority_id":2,"assigned_to_id":338,"start_date":"2017-09-22","description":"","custom_fields":[{"id":1,"name":"Subdivision","value":"EC"},{"id":4,"name":"Milepost","value":"23.3304"},{"id":17,"name":"Train ID","value":"111-22"},{"id":16,"name":"Locomotive ID","value":"4064"},{"id":130,"name":"Impact","value":""},{"id":150,"name":"Time of Event (Mountain Time)","value":"05:35:18"},{"id":151,"name":"Denver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1"/>
        <v>start /low /b %USERPROFILE%\Documents\GitHub\eaglep3\Utilities\DownloadLogsFromS3.py --loco 4064 --day 2017-09-22</v>
      </c>
      <c r="AN24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11:35:18"},{"id":29,"name":"Sharepoint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3"/>
        <v>https://d0f6bd738d7f1b3e5a7ca70fe4ff75f0.us-east-1.aws.found.io/app/kibana#/discover/Steve-Slow-Train-Analysis-(2080s-and-2083s)?_g=(refreshInterval:(display:Off,pause:!f,section:0,value:0),time:(from:'2017-09-22T03:54:04-0600',mode:absolute,to:'2017-09-22T06:35:18-0600'))&amp;_a=(columns:!('Message%20ID',Summary),filters:!(),index:'emp_*',interval:auto,query:(query_string:(analyze_wildcard:!t,query:'Message%5C+ID:(*)+AND+%22rtdc.l.rtdc.4064%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644</v>
      </c>
      <c r="B25" s="7">
        <v>4063</v>
      </c>
      <c r="C25" s="21" t="s">
        <v>196</v>
      </c>
      <c r="D25" s="21" t="s">
        <v>839</v>
      </c>
      <c r="E25" s="13">
        <v>43000.240601851852</v>
      </c>
      <c r="F25" s="13">
        <v>43000.24827546296</v>
      </c>
      <c r="G25" s="7">
        <v>62</v>
      </c>
      <c r="H25" s="21" t="s">
        <v>504</v>
      </c>
      <c r="I25" s="13">
        <v>43000.274814814817</v>
      </c>
      <c r="J25" s="7">
        <v>0</v>
      </c>
      <c r="K25" s="89" t="str">
        <f t="shared" si="0"/>
        <v>4063/4064</v>
      </c>
      <c r="L25" s="185" t="str">
        <f>VLOOKUP(A25,'Trips&amp;Operators'!$C$1:$G$99911,5,FALSE)</f>
        <v>YORK EDGAR</v>
      </c>
      <c r="M25" s="6">
        <f t="shared" si="1"/>
        <v>2.6539351856627036E-2</v>
      </c>
      <c r="N25" s="7">
        <f t="shared" si="25"/>
        <v>38.216666673542932</v>
      </c>
      <c r="O25" s="7"/>
      <c r="P25" s="7"/>
      <c r="Q25" s="22"/>
      <c r="R25" s="174"/>
      <c r="S25" s="221">
        <f t="shared" si="24"/>
        <v>1</v>
      </c>
      <c r="T25" s="174" t="str">
        <f t="shared" si="4"/>
        <v>Southbound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-09-22T04:46:28-0600',mode:absolute,to:'2017-09-22T07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5" s="204" t="str">
        <f>IF(AA25&lt;VLOOKUP(AG25,Variables!$AC$3:$AD$8,2,FALSE),"Y","N")</f>
        <v>N</v>
      </c>
      <c r="X25" s="204">
        <f t="shared" si="6"/>
        <v>1</v>
      </c>
      <c r="Y25" s="204">
        <f t="shared" si="7"/>
        <v>23.297599999999999</v>
      </c>
      <c r="Z25" s="204">
        <f t="shared" si="8"/>
        <v>1.67E-2</v>
      </c>
      <c r="AA25" s="204">
        <f t="shared" si="9"/>
        <v>23.280899999999999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10"/>
        <v>112</v>
      </c>
      <c r="AE25" s="77" t="str">
        <f t="shared" si="11"/>
        <v>aws s3 cp s3://rtdc.mdm.uploadarchive.raw/RTDC4063/ "%USERPROFILE%\AppData\Local\Temp\OnboardLogs"\RTDC4063\2017-09-22 --exclude "*" --recursive --include "*20170922*" &amp; "%USERPROFILE%\Documents\GitHub\mrs-test-scripts\Headless Mode &amp; Sideloading\WalkAndUnGZ.bat" "%USERPROFILE%\AppData\Local\Temp\OnboardLogs"\RTDC4063\2017-09-22 &amp; aws s3 cp s3://rtdc.mdm.uploadarchive.raw/RTDC4063/ "%USERPROFILE%\AppData\Local\Temp\OnboardLogs"\RTDC4063\2017-09-23 --exclude "*" --recursive --include "*20170923*" &amp; "%USERPROFILE%\Documents\GitHub\mrs-test-scripts\Headless Mode &amp; Sideloading\WalkAndUnGZ.bat" "%USERPROFILE%\AppData\Local\Temp\OnboardLogs"\RTDC4063\2017-09-23</v>
      </c>
      <c r="AF25" s="74" t="str">
        <f t="shared" si="12"/>
        <v>"C:\Program Files (x86)\AstroGrep\AstroGrep.exe" /e /r /s /spath="%USERPROFILE%\AppData\Local\Temp\OnboardLogs" /stypes="app*4063*20170922*" /stext=" 12:.+((SYSTEM_STATE.+slice.+state.+changed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9"/>
        <v>"%USERPROFILE%\Documents\GitHub\eaglep3\Utilities\RefineRTDCRunTimes.py" --tripid 112-22 --locoid 4063 --swversion DE.1.0.9.0 --startMP 204:232976 --initTime 2017-09-22T05:46:28 --startdatetime 2017-09-22T05:57:31 --delay 62 --endMP 204:167 --enddatetime 2017-09-22T06:35:44 --enforcementcount 0 &gt;&gt;c:\users\stu\Documents\GitHub\eaglep3-reporting\EC\2017-09-22-refined-times.txt</v>
      </c>
      <c r="AI25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{"issue":{"subject":"","project_id":79,"tracker_id":40,"status_id":1,"priority_id":2,"assigned_to_id":338,"start_date":"2017-09-22","description":"","custom_fields":[{"id":1,"name":"Subdivision","value":"EC"},{"id":4,"name":"Milepost","value":"0.0167"},{"id":17,"name":"Train ID","value":"112-22"},{"id":16,"name":"Locomotive ID","value":"4063"},{"id":130,"name":"Impact","value":""},{"id":150,"name":"Time of Event (Mountain Time)","value":"06:35:44"},{"id":151,"name":"Denver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1"/>
        <v>start /low /b %USERPROFILE%\Documents\GitHub\eaglep3\Utilities\DownloadLogsFromS3.py --loco 4063 --day 2017-09-22</v>
      </c>
      <c r="AN25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12:35:44"},{"id":29,"name":"Sharepoint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3"/>
        <v>https://d0f6bd738d7f1b3e5a7ca70fe4ff75f0.us-east-1.aws.found.io/app/kibana#/discover/Steve-Slow-Train-Analysis-(2080s-and-2083s)?_g=(refreshInterval:(display:Off,pause:!f,section:0,value:0),time:(from:'2017-09-22T04:46:28-0600',mode:absolute,to:'2017-09-22T07:35:44-0600'))&amp;_a=(columns:!('Message%20ID',Summary),filters:!(),index:'emp_*',interval:auto,query:(query_string:(analyze_wildcard:!t,query:'Message%5C+ID:(*)+AND+%22rtdc.l.rtdc.4063%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634</v>
      </c>
      <c r="B26" s="7">
        <v>4062</v>
      </c>
      <c r="C26" s="21" t="s">
        <v>196</v>
      </c>
      <c r="D26" s="21" t="s">
        <v>396</v>
      </c>
      <c r="E26" s="13">
        <v>43000.209560185183</v>
      </c>
      <c r="F26" s="13">
        <v>43000.218935185185</v>
      </c>
      <c r="G26" s="7">
        <v>55</v>
      </c>
      <c r="H26" s="21" t="s">
        <v>550</v>
      </c>
      <c r="I26" s="13">
        <v>43000.242800925924</v>
      </c>
      <c r="J26" s="7">
        <v>0</v>
      </c>
      <c r="K26" s="89" t="str">
        <f t="shared" si="0"/>
        <v>4061/4062</v>
      </c>
      <c r="L26" s="185" t="str">
        <f>VLOOKUP(A26,'Trips&amp;Operators'!$C$1:$G$99911,5,FALSE)</f>
        <v>BEAM ROSS</v>
      </c>
      <c r="M26" s="6">
        <f t="shared" si="1"/>
        <v>2.3865740738983732E-2</v>
      </c>
      <c r="N26" s="7">
        <f t="shared" si="25"/>
        <v>34.366666664136574</v>
      </c>
      <c r="O26" s="7"/>
      <c r="P26" s="7"/>
      <c r="Q26" s="22"/>
      <c r="R26" s="174"/>
      <c r="S26" s="221">
        <f t="shared" si="24"/>
        <v>1</v>
      </c>
      <c r="T26" s="174" t="str">
        <f t="shared" si="4"/>
        <v>NorthBound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-09-22T04:01:46-0600',mode:absolute,to:'2017-09-22T06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6" s="204" t="str">
        <f>IF(AA26&lt;VLOOKUP(AG26,Variables!$AC$3:$AD$8,2,FALSE),"Y","N")</f>
        <v>N</v>
      </c>
      <c r="X26" s="204">
        <f t="shared" si="6"/>
        <v>1</v>
      </c>
      <c r="Y26" s="204">
        <f t="shared" si="7"/>
        <v>4.5100000000000001E-2</v>
      </c>
      <c r="Z26" s="204">
        <f t="shared" si="8"/>
        <v>23.329699999999999</v>
      </c>
      <c r="AA26" s="204">
        <f t="shared" si="9"/>
        <v>23.284599999999998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10"/>
        <v>113</v>
      </c>
      <c r="AE26" s="77" t="str">
        <f t="shared" si="11"/>
        <v>aws s3 cp s3://rtdc.mdm.uploadarchive.raw/RTDC4062/ "%USERPROFILE%\AppData\Local\Temp\OnboardLogs"\RTDC4062\2017-09-22 --exclude "*" --recursive --include "*20170922*" &amp; "%USERPROFILE%\Documents\GitHub\mrs-test-scripts\Headless Mode &amp; Sideloading\WalkAndUnGZ.bat" "%USERPROFILE%\AppData\Local\Temp\OnboardLogs"\RTDC4062\2017-09-22 &amp; aws s3 cp s3://rtdc.mdm.uploadarchive.raw/RTDC4062/ "%USERPROFILE%\AppData\Local\Temp\OnboardLogs"\RTDC4062\2017-09-23 --exclude "*" --recursive --include "*20170923*" &amp; "%USERPROFILE%\Documents\GitHub\mrs-test-scripts\Headless Mode &amp; Sideloading\WalkAndUnGZ.bat" "%USERPROFILE%\AppData\Local\Temp\OnboardLogs"\RTDC4062\2017-09-23</v>
      </c>
      <c r="AF26" s="74" t="str">
        <f t="shared" si="12"/>
        <v>"C:\Program Files (x86)\AstroGrep\AstroGrep.exe" /e /r /s /spath="%USERPROFILE%\AppData\Local\Temp\OnboardLogs" /stypes="app*4062*20170922*" /stext=" 11:.+((SYSTEM_STATE.+slice.+state.+changed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si="19"/>
        <v>"%USERPROFILE%\Documents\GitHub\eaglep3\Utilities\RefineRTDCRunTimes.py" --tripid 113-22 --locoid 4062 --swversion DE.1.0.9.0 --startMP 204:451 --initTime 2017-09-22T05:01:46 --startdatetime 2017-09-22T05:15:16 --delay 55 --endMP 204:233297 --enddatetime 2017-09-22T05:49:38 --enforcementcount 0 &gt;&gt;c:\users\stu\Documents\GitHub\eaglep3-reporting\EC\2017-09-22-refined-times.txt</v>
      </c>
      <c r="AI26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{"issue":{"subject":"","project_id":79,"tracker_id":40,"status_id":1,"priority_id":2,"assigned_to_id":338,"start_date":"2017-09-22","description":"","custom_fields":[{"id":1,"name":"Subdivision","value":"EC"},{"id":4,"name":"Milepost","value":"23.3297"},{"id":17,"name":"Train ID","value":"113-22"},{"id":16,"name":"Locomotive ID","value":"4062"},{"id":130,"name":"Impact","value":""},{"id":150,"name":"Time of Event (Mountain Time)","value":"05:49:38"},{"id":151,"name":"Denver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1"/>
        <v>start /low /b %USERPROFILE%\Documents\GitHub\eaglep3\Utilities\DownloadLogsFromS3.py --loco 4062 --day 2017-09-22</v>
      </c>
      <c r="AN26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11:49:38"},{"id":29,"name":"Sharepoint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3"/>
        <v>https://d0f6bd738d7f1b3e5a7ca70fe4ff75f0.us-east-1.aws.found.io/app/kibana#/discover/Steve-Slow-Train-Analysis-(2080s-and-2083s)?_g=(refreshInterval:(display:Off,pause:!f,section:0,value:0),time:(from:'2017-09-22T04:01:46-0600',mode:absolute,to:'2017-09-22T06:49:38-0600'))&amp;_a=(columns:!('Message%20ID',Summary),filters:!(),index:'emp_*',interval:auto,query:(query_string:(analyze_wildcard:!t,query:'Message%5C+ID:(*)+AND+%22rtdc.l.rtdc.4062%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648</v>
      </c>
      <c r="B27" s="7">
        <v>4061</v>
      </c>
      <c r="C27" s="21" t="s">
        <v>196</v>
      </c>
      <c r="D27" s="21" t="s">
        <v>371</v>
      </c>
      <c r="E27" s="13">
        <v>43000.244745370372</v>
      </c>
      <c r="F27" s="13">
        <v>43000.258506944447</v>
      </c>
      <c r="G27" s="7">
        <v>46</v>
      </c>
      <c r="H27" s="21" t="s">
        <v>388</v>
      </c>
      <c r="I27" s="13">
        <v>43000.283854166664</v>
      </c>
      <c r="J27" s="7">
        <v>0</v>
      </c>
      <c r="K27" s="89" t="str">
        <f t="shared" si="0"/>
        <v>4061/4062</v>
      </c>
      <c r="L27" s="185" t="str">
        <f>VLOOKUP(A27,'Trips&amp;Operators'!$C$1:$G$99911,5,FALSE)</f>
        <v>BEAM ROSS</v>
      </c>
      <c r="M27" s="6">
        <f t="shared" si="1"/>
        <v>2.5347222217533272E-2</v>
      </c>
      <c r="N27" s="7">
        <f t="shared" si="25"/>
        <v>36.499999993247911</v>
      </c>
      <c r="O27" s="7"/>
      <c r="P27" s="7"/>
      <c r="Q27" s="22"/>
      <c r="R27" s="174"/>
      <c r="S27" s="221">
        <f t="shared" si="24"/>
        <v>1</v>
      </c>
      <c r="T27" s="174" t="str">
        <f t="shared" si="4"/>
        <v>Southbound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-09-22T04:52:26-0600',mode:absolute,to:'2017-09-22T07:48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7" s="204" t="str">
        <f>IF(AA27&lt;VLOOKUP(AG27,Variables!$AC$3:$AD$8,2,FALSE),"Y","N")</f>
        <v>N</v>
      </c>
      <c r="X27" s="204">
        <f t="shared" si="6"/>
        <v>1</v>
      </c>
      <c r="Y27" s="204">
        <f t="shared" si="7"/>
        <v>23.297699999999999</v>
      </c>
      <c r="Z27" s="204">
        <f t="shared" si="8"/>
        <v>1.3899999999999999E-2</v>
      </c>
      <c r="AA27" s="204">
        <f t="shared" si="9"/>
        <v>23.283799999999999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10"/>
        <v>114</v>
      </c>
      <c r="AE27" s="77" t="str">
        <f t="shared" si="11"/>
        <v>aws s3 cp s3://rtdc.mdm.uploadarchive.raw/RTDC4061/ "%USERPROFILE%\AppData\Local\Temp\OnboardLogs"\RTDC4061\2017-09-22 --exclude "*" --recursive --include "*20170922*" &amp; "%USERPROFILE%\Documents\GitHub\mrs-test-scripts\Headless Mode &amp; Sideloading\WalkAndUnGZ.bat" "%USERPROFILE%\AppData\Local\Temp\OnboardLogs"\RTDC4061\2017-09-22 &amp; aws s3 cp s3://rtdc.mdm.uploadarchive.raw/RTDC4061/ "%USERPROFILE%\AppData\Local\Temp\OnboardLogs"\RTDC4061\2017-09-23 --exclude "*" --recursive --include "*20170923*" &amp; "%USERPROFILE%\Documents\GitHub\mrs-test-scripts\Headless Mode &amp; Sideloading\WalkAndUnGZ.bat" "%USERPROFILE%\AppData\Local\Temp\OnboardLogs"\RTDC4061\2017-09-23</v>
      </c>
      <c r="AF27" s="74" t="str">
        <f t="shared" si="12"/>
        <v>"C:\Program Files (x86)\AstroGrep\AstroGrep.exe" /e /r /s /spath="%USERPROFILE%\AppData\Local\Temp\OnboardLogs" /stypes="app*4061*20170922*" /stext=" 12:.+((SYSTEM_STATE.+slice.+state.+changed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9"/>
        <v>"%USERPROFILE%\Documents\GitHub\eaglep3\Utilities\RefineRTDCRunTimes.py" --tripid 114-22 --locoid 4061 --swversion DE.1.0.9.0 --startMP 204:232977 --initTime 2017-09-22T05:52:26 --startdatetime 2017-09-22T06:12:15 --delay 46 --endMP 204:139 --enddatetime 2017-09-22T06:48:45 --enforcementcount 0 &gt;&gt;c:\users\stu\Documents\GitHub\eaglep3-reporting\EC\2017-09-22-refined-times.txt</v>
      </c>
      <c r="AI27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{"issue":{"subject":"","project_id":79,"tracker_id":40,"status_id":1,"priority_id":2,"assigned_to_id":338,"start_date":"2017-09-22","description":"","custom_fields":[{"id":1,"name":"Subdivision","value":"EC"},{"id":4,"name":"Milepost","value":"0.0139"},{"id":17,"name":"Train ID","value":"114-22"},{"id":16,"name":"Locomotive ID","value":"4061"},{"id":130,"name":"Impact","value":""},{"id":150,"name":"Time of Event (Mountain Time)","value":"06:48:45"},{"id":151,"name":"Denver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1"/>
        <v>start /low /b %USERPROFILE%\Documents\GitHub\eaglep3\Utilities\DownloadLogsFromS3.py --loco 4061 --day 2017-09-22</v>
      </c>
      <c r="AN27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12:48:45"},{"id":29,"name":"Sharepoint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3"/>
        <v>https://d0f6bd738d7f1b3e5a7ca70fe4ff75f0.us-east-1.aws.found.io/app/kibana#/discover/Steve-Slow-Train-Analysis-(2080s-and-2083s)?_g=(refreshInterval:(display:Off,pause:!f,section:0,value:0),time:(from:'2017-09-22T04:52:26-0600',mode:absolute,to:'2017-09-22T07:48:45-0600'))&amp;_a=(columns:!('Message%20ID',Summary),filters:!(),index:'emp_*',interval:auto,query:(query_string:(analyze_wildcard:!t,query:'Message%5C+ID:(*)+AND+%22rtdc.l.rtdc.4061%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640</v>
      </c>
      <c r="B28" s="7">
        <v>4044</v>
      </c>
      <c r="C28" s="21" t="s">
        <v>196</v>
      </c>
      <c r="D28" s="21" t="s">
        <v>347</v>
      </c>
      <c r="E28" s="13">
        <v>43000.224432870367</v>
      </c>
      <c r="F28" s="13">
        <v>43000.23</v>
      </c>
      <c r="G28" s="7">
        <v>84</v>
      </c>
      <c r="H28" s="21" t="s">
        <v>834</v>
      </c>
      <c r="I28" s="13">
        <v>43000.255208333336</v>
      </c>
      <c r="J28" s="7">
        <v>0</v>
      </c>
      <c r="K28" s="89" t="str">
        <f t="shared" si="0"/>
        <v>4043/4044</v>
      </c>
      <c r="L28" s="185" t="str">
        <f>VLOOKUP(A28,'Trips&amp;Operators'!$C$1:$G$99911,5,FALSE)</f>
        <v>LANGERAK WILLIAM</v>
      </c>
      <c r="M28" s="6">
        <f t="shared" si="1"/>
        <v>2.5208333332557231E-2</v>
      </c>
      <c r="N28" s="7">
        <f t="shared" si="25"/>
        <v>36.299999998882413</v>
      </c>
      <c r="O28" s="7"/>
      <c r="P28" s="7"/>
      <c r="Q28" s="22"/>
      <c r="R28" s="174"/>
      <c r="S28" s="221">
        <f t="shared" si="24"/>
        <v>1</v>
      </c>
      <c r="T28" s="174" t="str">
        <f t="shared" si="4"/>
        <v>NorthBound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-09-22T04:23:11-0600',mode:absolute,to:'2017-09-22T07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8" s="204" t="str">
        <f>IF(AA28&lt;VLOOKUP(AG28,Variables!$AC$3:$AD$8,2,FALSE),"Y","N")</f>
        <v>N</v>
      </c>
      <c r="X28" s="204">
        <f t="shared" si="6"/>
        <v>1</v>
      </c>
      <c r="Y28" s="204">
        <f t="shared" si="7"/>
        <v>4.5499999999999999E-2</v>
      </c>
      <c r="Z28" s="204">
        <f t="shared" si="8"/>
        <v>23.3291</v>
      </c>
      <c r="AA28" s="204">
        <f t="shared" si="9"/>
        <v>23.2836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10"/>
        <v>115</v>
      </c>
      <c r="AE28" s="77" t="str">
        <f t="shared" si="11"/>
        <v>aws s3 cp s3://rtdc.mdm.uploadarchive.raw/RTDC4044/ "%USERPROFILE%\AppData\Local\Temp\OnboardLogs"\RTDC4044\2017-09-22 --exclude "*" --recursive --include "*20170922*" &amp; "%USERPROFILE%\Documents\GitHub\mrs-test-scripts\Headless Mode &amp; Sideloading\WalkAndUnGZ.bat" "%USERPROFILE%\AppData\Local\Temp\OnboardLogs"\RTDC4044\2017-09-22 &amp; aws s3 cp s3://rtdc.mdm.uploadarchive.raw/RTDC4044/ "%USERPROFILE%\AppData\Local\Temp\OnboardLogs"\RTDC4044\2017-09-23 --exclude "*" --recursive --include "*20170923*" &amp; "%USERPROFILE%\Documents\GitHub\mrs-test-scripts\Headless Mode &amp; Sideloading\WalkAndUnGZ.bat" "%USERPROFILE%\AppData\Local\Temp\OnboardLogs"\RTDC4044\2017-09-23</v>
      </c>
      <c r="AF28" s="74" t="str">
        <f t="shared" si="12"/>
        <v>"C:\Program Files (x86)\AstroGrep\AstroGrep.exe" /e /r /s /spath="%USERPROFILE%\AppData\Local\Temp\OnboardLogs" /stypes="app*4044*20170922*" /stext=" 12:.+((SYSTEM_STATE.+slice.+state.+changed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9"/>
        <v>"%USERPROFILE%\Documents\GitHub\eaglep3\Utilities\RefineRTDCRunTimes.py" --tripid 115-22 --locoid 4044 --swversion DE.1.0.9.0 --startMP 204:455 --initTime 2017-09-22T05:23:11 --startdatetime 2017-09-22T05:31:12 --delay 84 --endMP 204:233291 --enddatetime 2017-09-22T06:07:30 --enforcementcount 0 &gt;&gt;c:\users\stu\Documents\GitHub\eaglep3-reporting\EC\2017-09-22-refined-times.txt</v>
      </c>
      <c r="AI28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{"issue":{"subject":"","project_id":79,"tracker_id":40,"status_id":1,"priority_id":2,"assigned_to_id":338,"start_date":"2017-09-22","description":"","custom_fields":[{"id":1,"name":"Subdivision","value":"EC"},{"id":4,"name":"Milepost","value":"23.3291"},{"id":17,"name":"Train ID","value":"115-22"},{"id":16,"name":"Locomotive ID","value":"4044"},{"id":130,"name":"Impact","value":""},{"id":150,"name":"Time of Event (Mountain Time)","value":"06:07:30"},{"id":151,"name":"Denver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1"/>
        <v>start /low /b %USERPROFILE%\Documents\GitHub\eaglep3\Utilities\DownloadLogsFromS3.py --loco 4044 --day 2017-09-22</v>
      </c>
      <c r="AN28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12:07:30"},{"id":29,"name":"Sharepoint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3"/>
        <v>https://d0f6bd738d7f1b3e5a7ca70fe4ff75f0.us-east-1.aws.found.io/app/kibana#/discover/Steve-Slow-Train-Analysis-(2080s-and-2083s)?_g=(refreshInterval:(display:Off,pause:!f,section:0,value:0),time:(from:'2017-09-22T04:23:11-0600',mode:absolute,to:'2017-09-22T07:07:30-0600'))&amp;_a=(columns:!('Message%20ID',Summary),filters:!(),index:'emp_*',interval:auto,query:(query_string:(analyze_wildcard:!t,query:'Message%5C+ID:(*)+AND+%22rtdc.l.rtdc.4044%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653</v>
      </c>
      <c r="B29" s="7">
        <v>4043</v>
      </c>
      <c r="C29" s="21" t="s">
        <v>196</v>
      </c>
      <c r="D29" s="21" t="s">
        <v>443</v>
      </c>
      <c r="E29" s="13">
        <v>43000.257754629631</v>
      </c>
      <c r="F29" s="13">
        <v>43000.268946759257</v>
      </c>
      <c r="G29" s="7">
        <v>57</v>
      </c>
      <c r="H29" s="21" t="s">
        <v>367</v>
      </c>
      <c r="I29" s="13">
        <v>43000.295567129629</v>
      </c>
      <c r="J29" s="7">
        <v>0</v>
      </c>
      <c r="K29" s="89" t="str">
        <f t="shared" si="0"/>
        <v>4043/4044</v>
      </c>
      <c r="L29" s="185" t="str">
        <f>VLOOKUP(A29,'Trips&amp;Operators'!$C$1:$G$99911,5,FALSE)</f>
        <v>LANGERAK WILLIAM</v>
      </c>
      <c r="M29" s="6">
        <f t="shared" si="1"/>
        <v>2.662037037225673E-2</v>
      </c>
      <c r="N29" s="7">
        <f t="shared" si="25"/>
        <v>38.333333336049691</v>
      </c>
      <c r="O29" s="7"/>
      <c r="P29" s="7"/>
      <c r="Q29" s="22"/>
      <c r="R29" s="174"/>
      <c r="S29" s="221">
        <f t="shared" si="24"/>
        <v>1</v>
      </c>
      <c r="T29" s="174" t="str">
        <f t="shared" si="4"/>
        <v>Southbound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-09-22T05:11:10-0600',mode:absolute,to:'2017-09-22T08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9" s="204" t="str">
        <f>IF(AA29&lt;VLOOKUP(AG29,Variables!$AC$3:$AD$8,2,FALSE),"Y","N")</f>
        <v>N</v>
      </c>
      <c r="X29" s="204">
        <f t="shared" si="6"/>
        <v>1</v>
      </c>
      <c r="Y29" s="204">
        <f t="shared" si="7"/>
        <v>23.2987</v>
      </c>
      <c r="Z29" s="204">
        <f t="shared" si="8"/>
        <v>1.5599999999999999E-2</v>
      </c>
      <c r="AA29" s="204">
        <f t="shared" si="9"/>
        <v>23.283100000000001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10"/>
        <v>116</v>
      </c>
      <c r="AE29" s="77" t="str">
        <f t="shared" si="11"/>
        <v>aws s3 cp s3://rtdc.mdm.uploadarchive.raw/RTDC4043/ "%USERPROFILE%\AppData\Local\Temp\OnboardLogs"\RTDC4043\2017-09-22 --exclude "*" --recursive --include "*20170922*" &amp; "%USERPROFILE%\Documents\GitHub\mrs-test-scripts\Headless Mode &amp; Sideloading\WalkAndUnGZ.bat" "%USERPROFILE%\AppData\Local\Temp\OnboardLogs"\RTDC4043\2017-09-22 &amp; aws s3 cp s3://rtdc.mdm.uploadarchive.raw/RTDC4043/ "%USERPROFILE%\AppData\Local\Temp\OnboardLogs"\RTDC4043\2017-09-23 --exclude "*" --recursive --include "*20170923*" &amp; "%USERPROFILE%\Documents\GitHub\mrs-test-scripts\Headless Mode &amp; Sideloading\WalkAndUnGZ.bat" "%USERPROFILE%\AppData\Local\Temp\OnboardLogs"\RTDC4043\2017-09-23</v>
      </c>
      <c r="AF29" s="74" t="str">
        <f t="shared" si="12"/>
        <v>"C:\Program Files (x86)\AstroGrep\AstroGrep.exe" /e /r /s /spath="%USERPROFILE%\AppData\Local\Temp\OnboardLogs" /stypes="app*4043*20170922*" /stext=" 13:.+((SYSTEM_STATE.+slice.+state.+changed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si="19"/>
        <v>"%USERPROFILE%\Documents\GitHub\eaglep3\Utilities\RefineRTDCRunTimes.py" --tripid 116-22 --locoid 4043 --swversion DE.1.0.9.0 --startMP 204:232987 --initTime 2017-09-22T06:11:10 --startdatetime 2017-09-22T06:27:17 --delay 57 --endMP 204:156 --enddatetime 2017-09-22T07:05:37 --enforcementcount 0 &gt;&gt;c:\users\stu\Documents\GitHub\eaglep3-reporting\EC\2017-09-22-refined-times.txt</v>
      </c>
      <c r="AI29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{"issue":{"subject":"","project_id":79,"tracker_id":40,"status_id":1,"priority_id":2,"assigned_to_id":338,"start_date":"2017-09-22","description":"","custom_fields":[{"id":1,"name":"Subdivision","value":"EC"},{"id":4,"name":"Milepost","value":"0.0156"},{"id":17,"name":"Train ID","value":"116-22"},{"id":16,"name":"Locomotive ID","value":"4043"},{"id":130,"name":"Impact","value":""},{"id":150,"name":"Time of Event (Mountain Time)","value":"07:05:37"},{"id":151,"name":"Denver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1"/>
        <v>start /low /b %USERPROFILE%\Documents\GitHub\eaglep3\Utilities\DownloadLogsFromS3.py --loco 4043 --day 2017-09-22</v>
      </c>
      <c r="AN29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13:05:37"},{"id":29,"name":"Sharepoint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3"/>
        <v>https://d0f6bd738d7f1b3e5a7ca70fe4ff75f0.us-east-1.aws.found.io/app/kibana#/discover/Steve-Slow-Train-Analysis-(2080s-and-2083s)?_g=(refreshInterval:(display:Off,pause:!f,section:0,value:0),time:(from:'2017-09-22T05:11:10-0600',mode:absolute,to:'2017-09-22T08:05:37-0600'))&amp;_a=(columns:!('Message%20ID',Summary),filters:!(),index:'emp_*',interval:auto,query:(query_string:(analyze_wildcard:!t,query:'Message%5C+ID:(*)+AND+%22rtdc.l.rtdc.4043%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643</v>
      </c>
      <c r="B30" s="7">
        <v>4012</v>
      </c>
      <c r="C30" s="21" t="s">
        <v>196</v>
      </c>
      <c r="D30" s="21" t="s">
        <v>840</v>
      </c>
      <c r="E30" s="13">
        <v>43000.23300925926</v>
      </c>
      <c r="F30" s="13">
        <v>43000.239745370367</v>
      </c>
      <c r="G30" s="7">
        <v>68</v>
      </c>
      <c r="H30" s="21" t="s">
        <v>841</v>
      </c>
      <c r="I30" s="13">
        <v>43000.26353009259</v>
      </c>
      <c r="J30" s="7">
        <v>0</v>
      </c>
      <c r="K30" s="89" t="str">
        <f t="shared" si="0"/>
        <v>4011/4012</v>
      </c>
      <c r="L30" s="185" t="str">
        <f>VLOOKUP(A30,'Trips&amp;Operators'!$C$1:$G$99911,5,FALSE)</f>
        <v>YANAI IAN</v>
      </c>
      <c r="M30" s="6">
        <f t="shared" si="1"/>
        <v>2.3784722223354038E-2</v>
      </c>
      <c r="N30" s="7">
        <f t="shared" si="25"/>
        <v>34.250000001629815</v>
      </c>
      <c r="O30" s="7"/>
      <c r="P30" s="7"/>
      <c r="Q30" s="22"/>
      <c r="R30" s="174"/>
      <c r="S30" s="221">
        <f t="shared" si="24"/>
        <v>1</v>
      </c>
      <c r="T30" s="174" t="str">
        <f t="shared" si="4"/>
        <v>NorthBound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-09-22T04:35:32-0600',mode:absolute,to:'2017-09-22T07:19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0" s="204" t="str">
        <f>IF(AA30&lt;VLOOKUP(AG30,Variables!$AC$3:$AD$8,2,FALSE),"Y","N")</f>
        <v>N</v>
      </c>
      <c r="X30" s="204">
        <f t="shared" si="6"/>
        <v>1</v>
      </c>
      <c r="Y30" s="204">
        <f t="shared" si="7"/>
        <v>4.7699999999999999E-2</v>
      </c>
      <c r="Z30" s="204">
        <f t="shared" si="8"/>
        <v>23.328800000000001</v>
      </c>
      <c r="AA30" s="204">
        <f t="shared" si="9"/>
        <v>23.281100000000002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10"/>
        <v>117</v>
      </c>
      <c r="AE30" s="77" t="str">
        <f t="shared" si="11"/>
        <v>aws s3 cp s3://rtdc.mdm.uploadarchive.raw/RTDC4012/ "%USERPROFILE%\AppData\Local\Temp\OnboardLogs"\RTDC4012\2017-09-22 --exclude "*" --recursive --include "*20170922*" &amp; "%USERPROFILE%\Documents\GitHub\mrs-test-scripts\Headless Mode &amp; Sideloading\WalkAndUnGZ.bat" "%USERPROFILE%\AppData\Local\Temp\OnboardLogs"\RTDC4012\2017-09-22 &amp; aws s3 cp s3://rtdc.mdm.uploadarchive.raw/RTDC4012/ "%USERPROFILE%\AppData\Local\Temp\OnboardLogs"\RTDC4012\2017-09-23 --exclude "*" --recursive --include "*20170923*" &amp; "%USERPROFILE%\Documents\GitHub\mrs-test-scripts\Headless Mode &amp; Sideloading\WalkAndUnGZ.bat" "%USERPROFILE%\AppData\Local\Temp\OnboardLogs"\RTDC4012\2017-09-23</v>
      </c>
      <c r="AF30" s="74" t="str">
        <f t="shared" si="12"/>
        <v>"C:\Program Files (x86)\AstroGrep\AstroGrep.exe" /e /r /s /spath="%USERPROFILE%\AppData\Local\Temp\OnboardLogs" /stypes="app*4012*20170922*" /stext=" 12:.+((SYSTEM_STATE.+slice.+state.+changed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si="19"/>
        <v>"%USERPROFILE%\Documents\GitHub\eaglep3\Utilities\RefineRTDCRunTimes.py" --tripid 117-22 --locoid 4012 --swversion DE.1.0.9.0 --startMP 204:477 --initTime 2017-09-22T05:35:32 --startdatetime 2017-09-22T05:45:14 --delay 68 --endMP 204:233288 --enddatetime 2017-09-22T06:19:29 --enforcementcount 0 &gt;&gt;c:\users\stu\Documents\GitHub\eaglep3-reporting\EC\2017-09-22-refined-times.txt</v>
      </c>
      <c r="AI30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{"issue":{"subject":"","project_id":79,"tracker_id":40,"status_id":1,"priority_id":2,"assigned_to_id":338,"start_date":"2017-09-22","description":"","custom_fields":[{"id":1,"name":"Subdivision","value":"EC"},{"id":4,"name":"Milepost","value":"23.3288"},{"id":17,"name":"Train ID","value":"117-22"},{"id":16,"name":"Locomotive ID","value":"4012"},{"id":130,"name":"Impact","value":""},{"id":150,"name":"Time of Event (Mountain Time)","value":"06:19:29"},{"id":151,"name":"Denver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1"/>
        <v>start /low /b %USERPROFILE%\Documents\GitHub\eaglep3\Utilities\DownloadLogsFromS3.py --loco 4012 --day 2017-09-22</v>
      </c>
      <c r="AN30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12:19:29"},{"id":29,"name":"Sharepoint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3"/>
        <v>https://d0f6bd738d7f1b3e5a7ca70fe4ff75f0.us-east-1.aws.found.io/app/kibana#/discover/Steve-Slow-Train-Analysis-(2080s-and-2083s)?_g=(refreshInterval:(display:Off,pause:!f,section:0,value:0),time:(from:'2017-09-22T04:35:32-0600',mode:absolute,to:'2017-09-22T07:19:29-0600'))&amp;_a=(columns:!('Message%20ID',Summary),filters:!(),index:'emp_*',interval:auto,query:(query_string:(analyze_wildcard:!t,query:'Message%5C+ID:(*)+AND+%22rtdc.l.rtdc.4012%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654</v>
      </c>
      <c r="B31" s="7">
        <v>4011</v>
      </c>
      <c r="C31" s="21" t="s">
        <v>196</v>
      </c>
      <c r="D31" s="21" t="s">
        <v>842</v>
      </c>
      <c r="E31" s="13">
        <v>43000.264745370368</v>
      </c>
      <c r="F31" s="13">
        <v>43000.279328703706</v>
      </c>
      <c r="G31" s="7">
        <v>53</v>
      </c>
      <c r="H31" s="21" t="s">
        <v>336</v>
      </c>
      <c r="I31" s="13">
        <v>43000.305081018516</v>
      </c>
      <c r="J31" s="7">
        <v>0</v>
      </c>
      <c r="K31" s="89" t="str">
        <f t="shared" si="0"/>
        <v>4011/4012</v>
      </c>
      <c r="L31" s="185" t="str">
        <f>VLOOKUP(A31,'Trips&amp;Operators'!$C$1:$G$99911,5,FALSE)</f>
        <v>YANAI IAN</v>
      </c>
      <c r="M31" s="6">
        <f t="shared" si="1"/>
        <v>2.5752314810233656E-2</v>
      </c>
      <c r="N31" s="7">
        <f t="shared" si="25"/>
        <v>37.083333326736465</v>
      </c>
      <c r="O31" s="7"/>
      <c r="P31" s="7"/>
      <c r="Q31" s="22"/>
      <c r="R31" s="174"/>
      <c r="S31" s="221">
        <f t="shared" si="24"/>
        <v>1</v>
      </c>
      <c r="T31" s="174" t="str">
        <f t="shared" si="4"/>
        <v>Southbound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-09-22T05:21:14-0600',mode:absolute,to:'2017-09-22T08:19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1" s="204" t="str">
        <f>IF(AA31&lt;VLOOKUP(AG31,Variables!$AC$3:$AD$8,2,FALSE),"Y","N")</f>
        <v>N</v>
      </c>
      <c r="X31" s="204">
        <f t="shared" si="6"/>
        <v>1</v>
      </c>
      <c r="Y31" s="204">
        <f t="shared" si="7"/>
        <v>23.2971</v>
      </c>
      <c r="Z31" s="204">
        <f t="shared" si="8"/>
        <v>1.4999999999999999E-2</v>
      </c>
      <c r="AA31" s="204">
        <f t="shared" si="9"/>
        <v>23.2821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10"/>
        <v>118</v>
      </c>
      <c r="AE31" s="77" t="str">
        <f t="shared" si="11"/>
        <v>aws s3 cp s3://rtdc.mdm.uploadarchive.raw/RTDC4011/ "%USERPROFILE%\AppData\Local\Temp\OnboardLogs"\RTDC4011\2017-09-22 --exclude "*" --recursive --include "*20170922*" &amp; "%USERPROFILE%\Documents\GitHub\mrs-test-scripts\Headless Mode &amp; Sideloading\WalkAndUnGZ.bat" "%USERPROFILE%\AppData\Local\Temp\OnboardLogs"\RTDC4011\2017-09-22 &amp; aws s3 cp s3://rtdc.mdm.uploadarchive.raw/RTDC4011/ "%USERPROFILE%\AppData\Local\Temp\OnboardLogs"\RTDC4011\2017-09-23 --exclude "*" --recursive --include "*20170923*" &amp; "%USERPROFILE%\Documents\GitHub\mrs-test-scripts\Headless Mode &amp; Sideloading\WalkAndUnGZ.bat" "%USERPROFILE%\AppData\Local\Temp\OnboardLogs"\RTDC4011\2017-09-23</v>
      </c>
      <c r="AF31" s="74" t="str">
        <f t="shared" si="12"/>
        <v>"C:\Program Files (x86)\AstroGrep\AstroGrep.exe" /e /r /s /spath="%USERPROFILE%\AppData\Local\Temp\OnboardLogs" /stypes="app*4011*20170922*" /stext=" 13:.+((SYSTEM_STATE.+slice.+state.+changed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9"/>
        <v>"%USERPROFILE%\Documents\GitHub\eaglep3\Utilities\RefineRTDCRunTimes.py" --tripid 118-22 --locoid 4011 --swversion DE.1.0.9.0 --startMP 204:232971 --initTime 2017-09-22T06:21:14 --startdatetime 2017-09-22T06:42:14 --delay 53 --endMP 204:150 --enddatetime 2017-09-22T07:19:19 --enforcementcount 0 &gt;&gt;c:\users\stu\Documents\GitHub\eaglep3-reporting\EC\2017-09-22-refined-times.txt</v>
      </c>
      <c r="AI31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{"issue":{"subject":"","project_id":79,"tracker_id":40,"status_id":1,"priority_id":2,"assigned_to_id":338,"start_date":"2017-09-22","description":"","custom_fields":[{"id":1,"name":"Subdivision","value":"EC"},{"id":4,"name":"Milepost","value":"0.015"},{"id":17,"name":"Train ID","value":"118-22"},{"id":16,"name":"Locomotive ID","value":"4011"},{"id":130,"name":"Impact","value":""},{"id":150,"name":"Time of Event (Mountain Time)","value":"07:19:19"},{"id":151,"name":"Denver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1"/>
        <v>start /low /b %USERPROFILE%\Documents\GitHub\eaglep3\Utilities\DownloadLogsFromS3.py --loco 4011 --day 2017-09-22</v>
      </c>
      <c r="AN31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13:19:19"},{"id":29,"name":"Sharepoint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3"/>
        <v>https://d0f6bd738d7f1b3e5a7ca70fe4ff75f0.us-east-1.aws.found.io/app/kibana#/discover/Steve-Slow-Train-Analysis-(2080s-and-2083s)?_g=(refreshInterval:(display:Off,pause:!f,section:0,value:0),time:(from:'2017-09-22T05:21:14-0600',mode:absolute,to:'2017-09-22T08:19:19-0600'))&amp;_a=(columns:!('Message%20ID',Summary),filters:!(),index:'emp_*',interval:auto,query:(query_string:(analyze_wildcard:!t,query:'Message%5C+ID:(*)+AND+%22rtdc.l.rtdc.4011%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650</v>
      </c>
      <c r="B32" s="7">
        <v>4018</v>
      </c>
      <c r="C32" s="21" t="s">
        <v>196</v>
      </c>
      <c r="D32" s="21" t="s">
        <v>398</v>
      </c>
      <c r="E32" s="13">
        <v>43000.247870370367</v>
      </c>
      <c r="F32" s="13">
        <v>43000.250740740739</v>
      </c>
      <c r="G32" s="7">
        <v>54</v>
      </c>
      <c r="H32" s="21" t="s">
        <v>444</v>
      </c>
      <c r="I32" s="13">
        <v>43000.27611111111</v>
      </c>
      <c r="J32" s="7">
        <v>0</v>
      </c>
      <c r="K32" s="89" t="str">
        <f t="shared" si="0"/>
        <v>4017/4018</v>
      </c>
      <c r="L32" s="185" t="str">
        <f>VLOOKUP(A32,'Trips&amp;Operators'!$C$1:$G$99911,5,FALSE)</f>
        <v>BONDS REYNALDO</v>
      </c>
      <c r="M32" s="6">
        <f t="shared" si="1"/>
        <v>2.5370370371092577E-2</v>
      </c>
      <c r="N32" s="7">
        <f t="shared" si="25"/>
        <v>36.53333333437331</v>
      </c>
      <c r="O32" s="7"/>
      <c r="P32" s="7"/>
      <c r="Q32" s="22"/>
      <c r="R32" s="174"/>
      <c r="S32" s="221">
        <f t="shared" si="24"/>
        <v>1</v>
      </c>
      <c r="T32" s="174" t="str">
        <f t="shared" si="4"/>
        <v>NorthBound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-09-22T04:56:56-0600',mode:absolute,to:'2017-09-22T07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2" s="204" t="str">
        <f>IF(AA32&lt;VLOOKUP(AG32,Variables!$AC$3:$AD$8,2,FALSE),"Y","N")</f>
        <v>N</v>
      </c>
      <c r="X32" s="204">
        <f t="shared" si="6"/>
        <v>1</v>
      </c>
      <c r="Y32" s="204">
        <f t="shared" si="7"/>
        <v>4.7100000000000003E-2</v>
      </c>
      <c r="Z32" s="204">
        <f t="shared" si="8"/>
        <v>23.329499999999999</v>
      </c>
      <c r="AA32" s="204">
        <f t="shared" si="9"/>
        <v>23.282399999999999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10"/>
        <v>119</v>
      </c>
      <c r="AE32" s="77" t="str">
        <f t="shared" si="11"/>
        <v>aws s3 cp s3://rtdc.mdm.uploadarchive.raw/RTDC4018/ "%USERPROFILE%\AppData\Local\Temp\OnboardLogs"\RTDC4018\2017-09-22 --exclude "*" --recursive --include "*20170922*" &amp; "%USERPROFILE%\Documents\GitHub\mrs-test-scripts\Headless Mode &amp; Sideloading\WalkAndUnGZ.bat" "%USERPROFILE%\AppData\Local\Temp\OnboardLogs"\RTDC4018\2017-09-22 &amp; aws s3 cp s3://rtdc.mdm.uploadarchive.raw/RTDC4018/ "%USERPROFILE%\AppData\Local\Temp\OnboardLogs"\RTDC4018\2017-09-23 --exclude "*" --recursive --include "*20170923*" &amp; "%USERPROFILE%\Documents\GitHub\mrs-test-scripts\Headless Mode &amp; Sideloading\WalkAndUnGZ.bat" "%USERPROFILE%\AppData\Local\Temp\OnboardLogs"\RTDC4018\2017-09-23</v>
      </c>
      <c r="AF32" s="74" t="str">
        <f t="shared" si="12"/>
        <v>"C:\Program Files (x86)\AstroGrep\AstroGrep.exe" /e /r /s /spath="%USERPROFILE%\AppData\Local\Temp\OnboardLogs" /stypes="app*4018*20170922*" /stext=" 12:.+((SYSTEM_STATE.+slice.+state.+changed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9"/>
        <v>"%USERPROFILE%\Documents\GitHub\eaglep3\Utilities\RefineRTDCRunTimes.py" --tripid 119-22 --locoid 4018 --swversion DE.1.0.9.0 --startMP 204:471 --initTime 2017-09-22T05:56:56 --startdatetime 2017-09-22T06:01:04 --delay 54 --endMP 204:233295 --enddatetime 2017-09-22T06:37:36 --enforcementcount 0 &gt;&gt;c:\users\stu\Documents\GitHub\eaglep3-reporting\EC\2017-09-22-refined-times.txt</v>
      </c>
      <c r="AI32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{"issue":{"subject":"","project_id":79,"tracker_id":40,"status_id":1,"priority_id":2,"assigned_to_id":338,"start_date":"2017-09-22","description":"","custom_fields":[{"id":1,"name":"Subdivision","value":"EC"},{"id":4,"name":"Milepost","value":"23.3295"},{"id":17,"name":"Train ID","value":"119-22"},{"id":16,"name":"Locomotive ID","value":"4018"},{"id":130,"name":"Impact","value":""},{"id":150,"name":"Time of Event (Mountain Time)","value":"06:37:36"},{"id":151,"name":"Denver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1"/>
        <v>start /low /b %USERPROFILE%\Documents\GitHub\eaglep3\Utilities\DownloadLogsFromS3.py --loco 4018 --day 2017-09-22</v>
      </c>
      <c r="AN32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12:37:36"},{"id":29,"name":"Sharepoint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3"/>
        <v>https://d0f6bd738d7f1b3e5a7ca70fe4ff75f0.us-east-1.aws.found.io/app/kibana#/discover/Steve-Slow-Train-Analysis-(2080s-and-2083s)?_g=(refreshInterval:(display:Off,pause:!f,section:0,value:0),time:(from:'2017-09-22T04:56:56-0600',mode:absolute,to:'2017-09-22T07:37:36-0600'))&amp;_a=(columns:!('Message%20ID',Summary),filters:!(),index:'emp_*',interval:auto,query:(query_string:(analyze_wildcard:!t,query:'Message%5C+ID:(*)+AND+%22rtdc.l.rtdc.4018%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579</v>
      </c>
      <c r="B33" s="7">
        <v>4017</v>
      </c>
      <c r="C33" s="21" t="s">
        <v>196</v>
      </c>
      <c r="D33" s="21" t="s">
        <v>443</v>
      </c>
      <c r="E33" s="13">
        <v>43000.285810185182</v>
      </c>
      <c r="F33" s="13">
        <v>43000.289756944447</v>
      </c>
      <c r="G33" s="7">
        <v>53</v>
      </c>
      <c r="H33" s="21" t="s">
        <v>336</v>
      </c>
      <c r="I33" s="13">
        <v>43000.316620370373</v>
      </c>
      <c r="J33" s="7">
        <v>0</v>
      </c>
      <c r="K33" s="89" t="str">
        <f t="shared" si="0"/>
        <v>4017/4018</v>
      </c>
      <c r="L33" s="185" t="str">
        <f>VLOOKUP(A33,'Trips&amp;Operators'!$C$1:$G$99911,5,FALSE)</f>
        <v>BONDS REYNALDO</v>
      </c>
      <c r="M33" s="6">
        <f t="shared" si="1"/>
        <v>2.6863425926421769E-2</v>
      </c>
      <c r="N33" s="7">
        <f t="shared" si="25"/>
        <v>38.683333334047347</v>
      </c>
      <c r="O33" s="7"/>
      <c r="P33" s="7"/>
      <c r="Q33" s="22"/>
      <c r="R33" s="174"/>
      <c r="S33" s="221">
        <f t="shared" si="24"/>
        <v>1</v>
      </c>
      <c r="T33" s="174" t="str">
        <f t="shared" si="4"/>
        <v>Southbound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-09-22T05:51:34-0600',mode:absolute,to:'2017-09-22T08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3" s="204" t="str">
        <f>IF(AA33&lt;VLOOKUP(AG33,Variables!$AC$3:$AD$8,2,FALSE),"Y","N")</f>
        <v>N</v>
      </c>
      <c r="X33" s="204">
        <f t="shared" si="6"/>
        <v>1</v>
      </c>
      <c r="Y33" s="204">
        <f t="shared" si="7"/>
        <v>23.2987</v>
      </c>
      <c r="Z33" s="204">
        <f t="shared" si="8"/>
        <v>1.4999999999999999E-2</v>
      </c>
      <c r="AA33" s="204">
        <f t="shared" si="9"/>
        <v>23.2837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10"/>
        <v>120</v>
      </c>
      <c r="AE33" s="77" t="str">
        <f t="shared" si="11"/>
        <v>aws s3 cp s3://rtdc.mdm.uploadarchive.raw/RTDC4017/ "%USERPROFILE%\AppData\Local\Temp\OnboardLogs"\RTDC4017\2017-09-22 --exclude "*" --recursive --include "*20170922*" &amp; "%USERPROFILE%\Documents\GitHub\mrs-test-scripts\Headless Mode &amp; Sideloading\WalkAndUnGZ.bat" "%USERPROFILE%\AppData\Local\Temp\OnboardLogs"\RTDC4017\2017-09-22 &amp; aws s3 cp s3://rtdc.mdm.uploadarchive.raw/RTDC4017/ "%USERPROFILE%\AppData\Local\Temp\OnboardLogs"\RTDC4017\2017-09-23 --exclude "*" --recursive --include "*20170923*" &amp; "%USERPROFILE%\Documents\GitHub\mrs-test-scripts\Headless Mode &amp; Sideloading\WalkAndUnGZ.bat" "%USERPROFILE%\AppData\Local\Temp\OnboardLogs"\RTDC4017\2017-09-23</v>
      </c>
      <c r="AF33" s="74" t="str">
        <f t="shared" si="12"/>
        <v>"C:\Program Files (x86)\AstroGrep\AstroGrep.exe" /e /r /s /spath="%USERPROFILE%\AppData\Local\Temp\OnboardLogs" /stypes="app*4017*20170922*" /stext=" 13:.+((SYSTEM_STATE.+slice.+state.+changed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9"/>
        <v>"%USERPROFILE%\Documents\GitHub\eaglep3\Utilities\RefineRTDCRunTimes.py" --tripid 120-22 --locoid 4017 --swversion DE.1.0.9.0 --startMP 204:232987 --initTime 2017-09-22T06:51:34 --startdatetime 2017-09-22T06:57:15 --delay 53 --endMP 204:150 --enddatetime 2017-09-22T07:35:56 --enforcementcount 0 &gt;&gt;c:\users\stu\Documents\GitHub\eaglep3-reporting\EC\2017-09-22-refined-times.txt</v>
      </c>
      <c r="AI33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{"issue":{"subject":"","project_id":79,"tracker_id":40,"status_id":1,"priority_id":2,"assigned_to_id":338,"start_date":"2017-09-22","description":"","custom_fields":[{"id":1,"name":"Subdivision","value":"EC"},{"id":4,"name":"Milepost","value":"0.015"},{"id":17,"name":"Train ID","value":"120-22"},{"id":16,"name":"Locomotive ID","value":"4017"},{"id":130,"name":"Impact","value":""},{"id":150,"name":"Time of Event (Mountain Time)","value":"07:35:56"},{"id":151,"name":"Denver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1"/>
        <v>start /low /b %USERPROFILE%\Documents\GitHub\eaglep3\Utilities\DownloadLogsFromS3.py --loco 4017 --day 2017-09-22</v>
      </c>
      <c r="AN33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13:35:56"},{"id":29,"name":"Sharepoint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3"/>
        <v>https://d0f6bd738d7f1b3e5a7ca70fe4ff75f0.us-east-1.aws.found.io/app/kibana#/discover/Steve-Slow-Train-Analysis-(2080s-and-2083s)?_g=(refreshInterval:(display:Off,pause:!f,section:0,value:0),time:(from:'2017-09-22T05:51:34-0600',mode:absolute,to:'2017-09-22T08:35:56-0600'))&amp;_a=(columns:!('Message%20ID',Summary),filters:!(),index:'emp_*',interval:auto,query:(query_string:(analyze_wildcard:!t,query:'Message%5C+ID:(*)+AND+%22rtdc.l.rtdc.4017%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652</v>
      </c>
      <c r="B34" s="7">
        <v>4032</v>
      </c>
      <c r="C34" s="21" t="s">
        <v>196</v>
      </c>
      <c r="D34" s="21" t="s">
        <v>405</v>
      </c>
      <c r="E34" s="13">
        <v>43000.257175925923</v>
      </c>
      <c r="F34" s="13">
        <v>43000.300196759257</v>
      </c>
      <c r="G34" s="7">
        <v>53</v>
      </c>
      <c r="H34" s="21" t="s">
        <v>507</v>
      </c>
      <c r="I34" s="13">
        <v>43000.326516203706</v>
      </c>
      <c r="J34" s="7">
        <v>0</v>
      </c>
      <c r="K34" s="89" t="str">
        <f t="shared" si="0"/>
        <v>4031/4032</v>
      </c>
      <c r="L34" s="185" t="str">
        <f>VLOOKUP(A34,'Trips&amp;Operators'!$C$1:$G$99911,5,FALSE)</f>
        <v>GEBRETEKLE DAGNEW</v>
      </c>
      <c r="M34" s="6">
        <f t="shared" si="1"/>
        <v>2.6319444448745344E-2</v>
      </c>
      <c r="N34" s="7">
        <f t="shared" si="25"/>
        <v>37.900000006193295</v>
      </c>
      <c r="O34" s="7"/>
      <c r="P34" s="7"/>
      <c r="Q34" s="22"/>
      <c r="R34" s="174"/>
      <c r="S34" s="221">
        <f t="shared" si="24"/>
        <v>1</v>
      </c>
      <c r="T34" s="174" t="str">
        <f t="shared" si="4"/>
        <v>NorthBound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-09-22T05:10:20-0600',mode:absolute,to:'2017-09-22T08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4" s="204" t="str">
        <f>IF(AA34&lt;VLOOKUP(AG34,Variables!$AC$3:$AD$8,2,FALSE),"Y","N")</f>
        <v>N</v>
      </c>
      <c r="X34" s="204">
        <f t="shared" si="6"/>
        <v>1</v>
      </c>
      <c r="Y34" s="204">
        <f t="shared" si="7"/>
        <v>4.6600000000000003E-2</v>
      </c>
      <c r="Z34" s="204">
        <f t="shared" si="8"/>
        <v>23.330100000000002</v>
      </c>
      <c r="AA34" s="204">
        <f t="shared" si="9"/>
        <v>23.2835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10"/>
        <v>121</v>
      </c>
      <c r="AE34" s="77" t="str">
        <f t="shared" si="11"/>
        <v>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 &amp; aws s3 cp s3://rtdc.mdm.uploadarchive.raw/RTDC4032/ "%USERPROFILE%\AppData\Local\Temp\OnboardLogs"\RTDC4032\2017-09-23 --exclude "*" --recursive --include "*20170923*" &amp; "%USERPROFILE%\Documents\GitHub\mrs-test-scripts\Headless Mode &amp; Sideloading\WalkAndUnGZ.bat" "%USERPROFILE%\AppData\Local\Temp\OnboardLogs"\RTDC4032\2017-09-23</v>
      </c>
      <c r="AF34" s="74" t="str">
        <f t="shared" si="12"/>
        <v>"C:\Program Files (x86)\AstroGrep\AstroGrep.exe" /e /r /s /spath="%USERPROFILE%\AppData\Local\Temp\OnboardLogs" /stypes="app*4032*20170922*" /stext=" 13:.+((SYSTEM_STATE.+slice.+state.+changed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9"/>
        <v>"%USERPROFILE%\Documents\GitHub\eaglep3\Utilities\RefineRTDCRunTimes.py" --tripid 121-22 --locoid 4032 --swversion DE.1.0.9.0 --startMP 204:466 --initTime 2017-09-22T06:10:20 --startdatetime 2017-09-22T07:12:17 --delay 53 --endMP 204:233301 --enddatetime 2017-09-22T07:50:11 --enforcementcount 0 &gt;&gt;c:\users\stu\Documents\GitHub\eaglep3-reporting\EC\2017-09-22-refined-times.txt</v>
      </c>
      <c r="AI34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{"issue":{"subject":"","project_id":79,"tracker_id":40,"status_id":1,"priority_id":2,"assigned_to_id":338,"start_date":"2017-09-22","description":"","custom_fields":[{"id":1,"name":"Subdivision","value":"EC"},{"id":4,"name":"Milepost","value":"23.3301"},{"id":17,"name":"Train ID","value":"121-22"},{"id":16,"name":"Locomotive ID","value":"4032"},{"id":130,"name":"Impact","value":""},{"id":150,"name":"Time of Event (Mountain Time)","value":"07:50:11"},{"id":151,"name":"Denver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1"/>
        <v>start /low /b %USERPROFILE%\Documents\GitHub\eaglep3\Utilities\DownloadLogsFromS3.py --loco 4032 --day 2017-09-22</v>
      </c>
      <c r="AN34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13:50:11"},{"id":29,"name":"Sharepoint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3"/>
        <v>https://d0f6bd738d7f1b3e5a7ca70fe4ff75f0.us-east-1.aws.found.io/app/kibana#/discover/Steve-Slow-Train-Analysis-(2080s-and-2083s)?_g=(refreshInterval:(display:Off,pause:!f,section:0,value:0),time:(from:'2017-09-22T05:10:20-0600',mode:absolute,to:'2017-09-22T08:50:11-0600'))&amp;_a=(columns:!('Message%20ID',Summary),filters:!(),index:'emp_*',interval:auto,query:(query_string:(analyze_wildcard:!t,query:'Message%5C+ID:(*)+AND+%22rtdc.l.rtdc.4032%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661</v>
      </c>
      <c r="B35" s="7">
        <v>4031</v>
      </c>
      <c r="C35" s="21" t="s">
        <v>196</v>
      </c>
      <c r="D35" s="21" t="s">
        <v>445</v>
      </c>
      <c r="E35" s="13">
        <v>43000.286493055559</v>
      </c>
      <c r="F35" s="13">
        <v>43000.300196759257</v>
      </c>
      <c r="G35" s="7">
        <v>52</v>
      </c>
      <c r="H35" s="21" t="s">
        <v>357</v>
      </c>
      <c r="I35" s="13">
        <v>43000.326516203706</v>
      </c>
      <c r="J35" s="7">
        <v>0</v>
      </c>
      <c r="K35" s="89" t="str">
        <f t="shared" si="0"/>
        <v>4031/4032</v>
      </c>
      <c r="L35" s="185" t="str">
        <f>VLOOKUP(A35,'Trips&amp;Operators'!$C$1:$G$99911,5,FALSE)</f>
        <v>GEBRETEKLE DAGNEW</v>
      </c>
      <c r="M35" s="6">
        <f t="shared" si="1"/>
        <v>2.6319444448745344E-2</v>
      </c>
      <c r="N35" s="7">
        <f t="shared" si="25"/>
        <v>37.900000006193295</v>
      </c>
      <c r="O35" s="7"/>
      <c r="P35" s="7"/>
      <c r="Q35" s="22"/>
      <c r="R35" s="174"/>
      <c r="S35" s="221">
        <f t="shared" si="24"/>
        <v>1</v>
      </c>
      <c r="T35" s="174" t="str">
        <f t="shared" si="4"/>
        <v>Southbound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-09-22T05:52:33-0600',mode:absolute,to:'2017-09-22T08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5" s="204" t="str">
        <f>IF(AA35&lt;VLOOKUP(AG35,Variables!$AC$3:$AD$8,2,FALSE),"Y","N")</f>
        <v>N</v>
      </c>
      <c r="X35" s="204">
        <f t="shared" si="6"/>
        <v>1</v>
      </c>
      <c r="Y35" s="204">
        <f t="shared" si="7"/>
        <v>23.298400000000001</v>
      </c>
      <c r="Z35" s="204">
        <f t="shared" si="8"/>
        <v>1.52E-2</v>
      </c>
      <c r="AA35" s="204">
        <f t="shared" si="9"/>
        <v>23.283200000000001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10"/>
        <v>122</v>
      </c>
      <c r="AE35" s="77" t="str">
        <f t="shared" si="11"/>
        <v>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 &amp; aws s3 cp s3://rtdc.mdm.uploadarchive.raw/RTDC4031/ "%USERPROFILE%\AppData\Local\Temp\OnboardLogs"\RTDC4031\2017-09-23 --exclude "*" --recursive --include "*20170923*" &amp; "%USERPROFILE%\Documents\GitHub\mrs-test-scripts\Headless Mode &amp; Sideloading\WalkAndUnGZ.bat" "%USERPROFILE%\AppData\Local\Temp\OnboardLogs"\RTDC4031\2017-09-23</v>
      </c>
      <c r="AF35" s="74" t="str">
        <f t="shared" si="12"/>
        <v>"C:\Program Files (x86)\AstroGrep\AstroGrep.exe" /e /r /s /spath="%USERPROFILE%\AppData\Local\Temp\OnboardLogs" /stypes="app*4031*20170922*" /stext=" 13:.+((SYSTEM_STATE.+slice.+state.+changed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9"/>
        <v>"%USERPROFILE%\Documents\GitHub\eaglep3\Utilities\RefineRTDCRunTimes.py" --tripid 122-22 --locoid 4031 --swversion DE.1.0.9.0 --startMP 204:232984 --initTime 2017-09-22T06:52:33 --startdatetime 2017-09-22T07:12:17 --delay 52 --endMP 204:152 --enddatetime 2017-09-22T07:50:11 --enforcementcount 0 &gt;&gt;c:\users\stu\Documents\GitHub\eaglep3-reporting\EC\2017-09-22-refined-times.txt</v>
      </c>
      <c r="AI35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{"issue":{"subject":"","project_id":79,"tracker_id":40,"status_id":1,"priority_id":2,"assigned_to_id":338,"start_date":"2017-09-22","description":"","custom_fields":[{"id":1,"name":"Subdivision","value":"EC"},{"id":4,"name":"Milepost","value":"0.0152"},{"id":17,"name":"Train ID","value":"122-22"},{"id":16,"name":"Locomotive ID","value":"4031"},{"id":130,"name":"Impact","value":""},{"id":150,"name":"Time of Event (Mountain Time)","value":"07:50:11"},{"id":151,"name":"Denver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1"/>
        <v>start /low /b %USERPROFILE%\Documents\GitHub\eaglep3\Utilities\DownloadLogsFromS3.py --loco 4031 --day 2017-09-22</v>
      </c>
      <c r="AN35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13:50:11"},{"id":29,"name":"Sharepoint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3"/>
        <v>https://d0f6bd738d7f1b3e5a7ca70fe4ff75f0.us-east-1.aws.found.io/app/kibana#/discover/Steve-Slow-Train-Analysis-(2080s-and-2083s)?_g=(refreshInterval:(display:Off,pause:!f,section:0,value:0),time:(from:'2017-09-22T05:52:33-0600',mode:absolute,to:'2017-09-22T08:50:11-0600'))&amp;_a=(columns:!('Message%20ID',Summary),filters:!(),index:'emp_*',interval:auto,query:(query_string:(analyze_wildcard:!t,query:'Message%5C+ID:(*)+AND+%22rtdc.l.rtdc.4031%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655</v>
      </c>
      <c r="B36" s="7">
        <v>4060</v>
      </c>
      <c r="C36" s="21" t="s">
        <v>196</v>
      </c>
      <c r="D36" s="21" t="s">
        <v>378</v>
      </c>
      <c r="E36" s="13">
        <v>43000.267152777778</v>
      </c>
      <c r="F36" s="13">
        <v>43000.270983796298</v>
      </c>
      <c r="G36" s="7">
        <v>67</v>
      </c>
      <c r="H36" s="21" t="s">
        <v>843</v>
      </c>
      <c r="I36" s="13">
        <v>43000.295347222222</v>
      </c>
      <c r="J36" s="7">
        <v>0</v>
      </c>
      <c r="K36" s="89" t="str">
        <f t="shared" si="0"/>
        <v>4059/4060</v>
      </c>
      <c r="L36" s="185" t="str">
        <f>VLOOKUP(A36,'Trips&amp;Operators'!$C$1:$G$99911,5,FALSE)</f>
        <v>BIRENBAUM THOMAS</v>
      </c>
      <c r="M36" s="6">
        <f t="shared" si="1"/>
        <v>2.4363425924093463E-2</v>
      </c>
      <c r="N36" s="7">
        <f t="shared" si="25"/>
        <v>35.083333330694586</v>
      </c>
      <c r="O36" s="7"/>
      <c r="P36" s="7"/>
      <c r="Q36" s="22"/>
      <c r="R36" s="174"/>
      <c r="S36" s="221">
        <f t="shared" si="24"/>
        <v>1</v>
      </c>
      <c r="T36" s="174" t="str">
        <f t="shared" si="4"/>
        <v>NorthBound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-09-22T05:24:42-0600',mode:absolute,to:'2017-09-22T08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6" s="204" t="str">
        <f>IF(AA36&lt;VLOOKUP(AG36,Variables!$AC$3:$AD$8,2,FALSE),"Y","N")</f>
        <v>N</v>
      </c>
      <c r="X36" s="204">
        <f t="shared" si="6"/>
        <v>1</v>
      </c>
      <c r="Y36" s="204">
        <f t="shared" si="7"/>
        <v>4.5999999999999999E-2</v>
      </c>
      <c r="Z36" s="204">
        <f t="shared" si="8"/>
        <v>23.3263</v>
      </c>
      <c r="AA36" s="204">
        <f t="shared" si="9"/>
        <v>23.2803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10"/>
        <v>123</v>
      </c>
      <c r="AE36" s="77" t="str">
        <f t="shared" si="11"/>
        <v>aws s3 cp s3://rtdc.mdm.uploadarchive.raw/RTDC4060/ "%USERPROFILE%\AppData\Local\Temp\OnboardLogs"\RTDC4060\2017-09-22 --exclude "*" --recursive --include "*20170922*" &amp; "%USERPROFILE%\Documents\GitHub\mrs-test-scripts\Headless Mode &amp; Sideloading\WalkAndUnGZ.bat" "%USERPROFILE%\AppData\Local\Temp\OnboardLogs"\RTDC4060\2017-09-22 &amp; aws s3 cp s3://rtdc.mdm.uploadarchive.raw/RTDC4060/ "%USERPROFILE%\AppData\Local\Temp\OnboardLogs"\RTDC4060\2017-09-23 --exclude "*" --recursive --include "*20170923*" &amp; "%USERPROFILE%\Documents\GitHub\mrs-test-scripts\Headless Mode &amp; Sideloading\WalkAndUnGZ.bat" "%USERPROFILE%\AppData\Local\Temp\OnboardLogs"\RTDC4060\2017-09-23</v>
      </c>
      <c r="AF36" s="74" t="str">
        <f t="shared" si="12"/>
        <v>"C:\Program Files (x86)\AstroGrep\AstroGrep.exe" /e /r /s /spath="%USERPROFILE%\AppData\Local\Temp\OnboardLogs" /stypes="app*4060*20170922*" /stext=" 13:.+((SYSTEM_STATE.+slice.+state.+changed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9"/>
        <v>"%USERPROFILE%\Documents\GitHub\eaglep3\Utilities\RefineRTDCRunTimes.py" --tripid 123-22 --locoid 4060 --swversion DE.1.0.9.0 --startMP 204:460 --initTime 2017-09-22T06:24:42 --startdatetime 2017-09-22T06:30:13 --delay 67 --endMP 204:233263 --enddatetime 2017-09-22T07:05:18 --enforcementcount 0 &gt;&gt;c:\users\stu\Documents\GitHub\eaglep3-reporting\EC\2017-09-22-refined-times.txt</v>
      </c>
      <c r="AI36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{"issue":{"subject":"","project_id":79,"tracker_id":40,"status_id":1,"priority_id":2,"assigned_to_id":338,"start_date":"2017-09-22","description":"","custom_fields":[{"id":1,"name":"Subdivision","value":"EC"},{"id":4,"name":"Milepost","value":"23.3263"},{"id":17,"name":"Train ID","value":"123-22"},{"id":16,"name":"Locomotive ID","value":"4060"},{"id":130,"name":"Impact","value":""},{"id":150,"name":"Time of Event (Mountain Time)","value":"07:05:18"},{"id":151,"name":"Denver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1"/>
        <v>start /low /b %USERPROFILE%\Documents\GitHub\eaglep3\Utilities\DownloadLogsFromS3.py --loco 4060 --day 2017-09-22</v>
      </c>
      <c r="AN36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13:05:18"},{"id":29,"name":"Sharepoint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3"/>
        <v>https://d0f6bd738d7f1b3e5a7ca70fe4ff75f0.us-east-1.aws.found.io/app/kibana#/discover/Steve-Slow-Train-Analysis-(2080s-and-2083s)?_g=(refreshInterval:(display:Off,pause:!f,section:0,value:0),time:(from:'2017-09-22T05:24:42-0600',mode:absolute,to:'2017-09-22T08:05:18-0600'))&amp;_a=(columns:!('Message%20ID',Summary),filters:!(),index:'emp_*',interval:auto,query:(query_string:(analyze_wildcard:!t,query:'Message%5C+ID:(*)+AND+%22rtdc.l.rtdc.4060%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664</v>
      </c>
      <c r="B37" s="7">
        <v>4059</v>
      </c>
      <c r="C37" s="21" t="s">
        <v>196</v>
      </c>
      <c r="D37" s="21" t="s">
        <v>844</v>
      </c>
      <c r="E37" s="13">
        <v>43000.298043981478</v>
      </c>
      <c r="F37" s="13">
        <v>43000.310567129629</v>
      </c>
      <c r="G37" s="7">
        <v>59</v>
      </c>
      <c r="H37" s="21" t="s">
        <v>362</v>
      </c>
      <c r="I37" s="13">
        <v>43000.335405092592</v>
      </c>
      <c r="J37" s="7">
        <v>0</v>
      </c>
      <c r="K37" s="89" t="str">
        <f t="shared" si="0"/>
        <v>4059/4060</v>
      </c>
      <c r="L37" s="185" t="str">
        <f>VLOOKUP(A37,'Trips&amp;Operators'!$C$1:$G$99911,5,FALSE)</f>
        <v>BIRENBAUM THOMAS</v>
      </c>
      <c r="M37" s="6">
        <f t="shared" si="1"/>
        <v>2.4837962962919846E-2</v>
      </c>
      <c r="N37" s="7">
        <f t="shared" si="25"/>
        <v>35.766666666604578</v>
      </c>
      <c r="O37" s="7"/>
      <c r="P37" s="7"/>
      <c r="Q37" s="22"/>
      <c r="R37" s="174"/>
      <c r="S37" s="221">
        <f t="shared" si="24"/>
        <v>1</v>
      </c>
      <c r="T37" s="174" t="str">
        <f t="shared" si="4"/>
        <v>Southbound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-09-22T06:09:11-0600',mode:absolute,to:'2017-09-22T09:02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7" s="204" t="str">
        <f>IF(AA37&lt;VLOOKUP(AG37,Variables!$AC$3:$AD$8,2,FALSE),"Y","N")</f>
        <v>N</v>
      </c>
      <c r="X37" s="204">
        <f t="shared" si="6"/>
        <v>1</v>
      </c>
      <c r="Y37" s="204">
        <f t="shared" si="7"/>
        <v>23.2989</v>
      </c>
      <c r="Z37" s="204">
        <f t="shared" si="8"/>
        <v>1.38E-2</v>
      </c>
      <c r="AA37" s="204">
        <f t="shared" si="9"/>
        <v>23.2851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10"/>
        <v>124</v>
      </c>
      <c r="AE37" s="77" t="str">
        <f t="shared" si="11"/>
        <v>aws s3 cp s3://rtdc.mdm.uploadarchive.raw/RTDC4059/ "%USERPROFILE%\AppData\Local\Temp\OnboardLogs"\RTDC4059\2017-09-22 --exclude "*" --recursive --include "*20170922*" &amp; "%USERPROFILE%\Documents\GitHub\mrs-test-scripts\Headless Mode &amp; Sideloading\WalkAndUnGZ.bat" "%USERPROFILE%\AppData\Local\Temp\OnboardLogs"\RTDC4059\2017-09-22 &amp; aws s3 cp s3://rtdc.mdm.uploadarchive.raw/RTDC4059/ "%USERPROFILE%\AppData\Local\Temp\OnboardLogs"\RTDC4059\2017-09-23 --exclude "*" --recursive --include "*20170923*" &amp; "%USERPROFILE%\Documents\GitHub\mrs-test-scripts\Headless Mode &amp; Sideloading\WalkAndUnGZ.bat" "%USERPROFILE%\AppData\Local\Temp\OnboardLogs"\RTDC4059\2017-09-23</v>
      </c>
      <c r="AF37" s="74" t="str">
        <f t="shared" si="12"/>
        <v>"C:\Program Files (x86)\AstroGrep\AstroGrep.exe" /e /r /s /spath="%USERPROFILE%\AppData\Local\Temp\OnboardLogs" /stypes="app*4059*20170922*" /stext=" 14:.+((SYSTEM_STATE.+slice.+state.+changed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9"/>
        <v>"%USERPROFILE%\Documents\GitHub\eaglep3\Utilities\RefineRTDCRunTimes.py" --tripid 124-22 --locoid 4059 --swversion DE.1.0.9.0 --startMP 204:232989 --initTime 2017-09-22T07:09:11 --startdatetime 2017-09-22T07:27:13 --delay 59 --endMP 204:138 --enddatetime 2017-09-22T08:02:59 --enforcementcount 0 &gt;&gt;c:\users\stu\Documents\GitHub\eaglep3-reporting\EC\2017-09-22-refined-times.txt</v>
      </c>
      <c r="AI37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{"issue":{"subject":"","project_id":79,"tracker_id":40,"status_id":1,"priority_id":2,"assigned_to_id":338,"start_date":"2017-09-22","description":"","custom_fields":[{"id":1,"name":"Subdivision","value":"EC"},{"id":4,"name":"Milepost","value":"0.0138"},{"id":17,"name":"Train ID","value":"124-22"},{"id":16,"name":"Locomotive ID","value":"4059"},{"id":130,"name":"Impact","value":""},{"id":150,"name":"Time of Event (Mountain Time)","value":"08:02:59"},{"id":151,"name":"Denver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1"/>
        <v>start /low /b %USERPROFILE%\Documents\GitHub\eaglep3\Utilities\DownloadLogsFromS3.py --loco 4059 --day 2017-09-22</v>
      </c>
      <c r="AN37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14:02:59"},{"id":29,"name":"Sharepoint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3"/>
        <v>https://d0f6bd738d7f1b3e5a7ca70fe4ff75f0.us-east-1.aws.found.io/app/kibana#/discover/Steve-Slow-Train-Analysis-(2080s-and-2083s)?_g=(refreshInterval:(display:Off,pause:!f,section:0,value:0),time:(from:'2017-09-22T06:09:11-0600',mode:absolute,to:'2017-09-22T09:02:59-0600'))&amp;_a=(columns:!('Message%20ID',Summary),filters:!(),index:'emp_*',interval:auto,query:(query_string:(analyze_wildcard:!t,query:'Message%5C+ID:(*)+AND+%22rtdc.l.rtdc.4059%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577</v>
      </c>
      <c r="B38" s="7">
        <v>4064</v>
      </c>
      <c r="C38" s="21" t="s">
        <v>196</v>
      </c>
      <c r="D38" s="21" t="s">
        <v>347</v>
      </c>
      <c r="E38" s="13">
        <v>43000.276828703703</v>
      </c>
      <c r="F38" s="13">
        <v>43000.281550925924</v>
      </c>
      <c r="G38" s="7">
        <v>50</v>
      </c>
      <c r="H38" s="21" t="s">
        <v>506</v>
      </c>
      <c r="I38" s="13">
        <v>43000.306377314817</v>
      </c>
      <c r="J38" s="7">
        <v>0</v>
      </c>
      <c r="K38" s="89" t="str">
        <f t="shared" si="0"/>
        <v>4063/4064</v>
      </c>
      <c r="L38" s="185" t="str">
        <f>VLOOKUP(A38,'Trips&amp;Operators'!$C$1:$G$99911,5,FALSE)</f>
        <v>YORK EDGAR</v>
      </c>
      <c r="M38" s="6">
        <f t="shared" si="1"/>
        <v>2.4826388893416151E-2</v>
      </c>
      <c r="N38" s="7">
        <f t="shared" si="25"/>
        <v>35.750000006519258</v>
      </c>
      <c r="O38" s="7"/>
      <c r="P38" s="7"/>
      <c r="Q38" s="22"/>
      <c r="R38" s="174"/>
      <c r="S38" s="221">
        <f t="shared" si="24"/>
        <v>1</v>
      </c>
      <c r="T38" s="174" t="str">
        <f t="shared" si="4"/>
        <v>NorthBound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-09-22T05:38:38-0600',mode:absolute,to:'2017-09-22T08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8" s="204" t="str">
        <f>IF(AA38&lt;VLOOKUP(AG38,Variables!$AC$3:$AD$8,2,FALSE),"Y","N")</f>
        <v>N</v>
      </c>
      <c r="X38" s="204">
        <f t="shared" si="6"/>
        <v>1</v>
      </c>
      <c r="Y38" s="204">
        <f t="shared" si="7"/>
        <v>4.5499999999999999E-2</v>
      </c>
      <c r="Z38" s="204">
        <f t="shared" si="8"/>
        <v>23.327999999999999</v>
      </c>
      <c r="AA38" s="204">
        <f t="shared" si="9"/>
        <v>23.282499999999999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10"/>
        <v>125</v>
      </c>
      <c r="AE38" s="77" t="str">
        <f t="shared" si="11"/>
        <v>aws s3 cp s3://rtdc.mdm.uploadarchive.raw/RTDC4064/ "%USERPROFILE%\AppData\Local\Temp\OnboardLogs"\RTDC4064\2017-09-22 --exclude "*" --recursive --include "*20170922*" &amp; "%USERPROFILE%\Documents\GitHub\mrs-test-scripts\Headless Mode &amp; Sideloading\WalkAndUnGZ.bat" "%USERPROFILE%\AppData\Local\Temp\OnboardLogs"\RTDC4064\2017-09-22 &amp; aws s3 cp s3://rtdc.mdm.uploadarchive.raw/RTDC4064/ "%USERPROFILE%\AppData\Local\Temp\OnboardLogs"\RTDC4064\2017-09-23 --exclude "*" --recursive --include "*20170923*" &amp; "%USERPROFILE%\Documents\GitHub\mrs-test-scripts\Headless Mode &amp; Sideloading\WalkAndUnGZ.bat" "%USERPROFILE%\AppData\Local\Temp\OnboardLogs"\RTDC4064\2017-09-23</v>
      </c>
      <c r="AF38" s="74" t="str">
        <f t="shared" si="12"/>
        <v>"C:\Program Files (x86)\AstroGrep\AstroGrep.exe" /e /r /s /spath="%USERPROFILE%\AppData\Local\Temp\OnboardLogs" /stypes="app*4064*20170922*" /stext=" 13:.+((SYSTEM_STATE.+slice.+state.+changed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9"/>
        <v>"%USERPROFILE%\Documents\GitHub\eaglep3\Utilities\RefineRTDCRunTimes.py" --tripid 125-22 --locoid 4064 --swversion DE.1.0.9.0 --startMP 204:455 --initTime 2017-09-22T06:38:38 --startdatetime 2017-09-22T06:45:26 --delay 50 --endMP 204:233280 --enddatetime 2017-09-22T07:21:11 --enforcementcount 0 &gt;&gt;c:\users\stu\Documents\GitHub\eaglep3-reporting\EC\2017-09-22-refined-times.txt</v>
      </c>
      <c r="AI38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{"issue":{"subject":"","project_id":79,"tracker_id":40,"status_id":1,"priority_id":2,"assigned_to_id":338,"start_date":"2017-09-22","description":"","custom_fields":[{"id":1,"name":"Subdivision","value":"EC"},{"id":4,"name":"Milepost","value":"23.328"},{"id":17,"name":"Train ID","value":"125-22"},{"id":16,"name":"Locomotive ID","value":"4064"},{"id":130,"name":"Impact","value":""},{"id":150,"name":"Time of Event (Mountain Time)","value":"07:21:11"},{"id":151,"name":"Denver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1"/>
        <v>start /low /b %USERPROFILE%\Documents\GitHub\eaglep3\Utilities\DownloadLogsFromS3.py --loco 4064 --day 2017-09-22</v>
      </c>
      <c r="AN38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13:21:11"},{"id":29,"name":"Sharepoint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3"/>
        <v>https://d0f6bd738d7f1b3e5a7ca70fe4ff75f0.us-east-1.aws.found.io/app/kibana#/discover/Steve-Slow-Train-Analysis-(2080s-and-2083s)?_g=(refreshInterval:(display:Off,pause:!f,section:0,value:0),time:(from:'2017-09-22T05:38:38-0600',mode:absolute,to:'2017-09-22T08:21:11-0600'))&amp;_a=(columns:!('Message%20ID',Summary),filters:!(),index:'emp_*',interval:auto,query:(query_string:(analyze_wildcard:!t,query:'Message%5C+ID:(*)+AND+%22rtdc.l.rtdc.4064%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666</v>
      </c>
      <c r="B39" s="7">
        <v>4063</v>
      </c>
      <c r="C39" s="21" t="s">
        <v>196</v>
      </c>
      <c r="D39" s="21" t="s">
        <v>835</v>
      </c>
      <c r="E39" s="13">
        <v>43000.307604166665</v>
      </c>
      <c r="F39" s="13">
        <v>43000.321157407408</v>
      </c>
      <c r="G39" s="7">
        <v>42</v>
      </c>
      <c r="H39" s="21" t="s">
        <v>337</v>
      </c>
      <c r="I39" s="13">
        <v>43000.348726851851</v>
      </c>
      <c r="J39" s="7">
        <v>0</v>
      </c>
      <c r="K39" s="89" t="str">
        <f t="shared" si="0"/>
        <v>4063/4064</v>
      </c>
      <c r="L39" s="185" t="str">
        <f>VLOOKUP(A39,'Trips&amp;Operators'!$C$1:$G$99911,5,FALSE)</f>
        <v>YORK EDGAR</v>
      </c>
      <c r="M39" s="6">
        <f t="shared" si="1"/>
        <v>2.7569444442633539E-2</v>
      </c>
      <c r="N39" s="7">
        <f t="shared" si="25"/>
        <v>39.699999997392297</v>
      </c>
      <c r="O39" s="7"/>
      <c r="P39" s="7"/>
      <c r="Q39" s="22"/>
      <c r="R39" s="174"/>
      <c r="S39" s="221">
        <f t="shared" si="24"/>
        <v>1</v>
      </c>
      <c r="T39" s="174" t="str">
        <f t="shared" si="4"/>
        <v>Southbound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-09-22T06:22:57-0600',mode:absolute,to:'2017-09-22T09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9" s="204" t="str">
        <f>IF(AA39&lt;VLOOKUP(AG39,Variables!$AC$3:$AD$8,2,FALSE),"Y","N")</f>
        <v>N</v>
      </c>
      <c r="X39" s="204">
        <f t="shared" si="6"/>
        <v>1</v>
      </c>
      <c r="Y39" s="204">
        <f t="shared" si="7"/>
        <v>23.296700000000001</v>
      </c>
      <c r="Z39" s="204">
        <f t="shared" si="8"/>
        <v>1.49E-2</v>
      </c>
      <c r="AA39" s="204">
        <f t="shared" si="9"/>
        <v>23.2818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10"/>
        <v>126</v>
      </c>
      <c r="AE39" s="77" t="str">
        <f t="shared" si="11"/>
        <v>aws s3 cp s3://rtdc.mdm.uploadarchive.raw/RTDC4063/ "%USERPROFILE%\AppData\Local\Temp\OnboardLogs"\RTDC4063\2017-09-22 --exclude "*" --recursive --include "*20170922*" &amp; "%USERPROFILE%\Documents\GitHub\mrs-test-scripts\Headless Mode &amp; Sideloading\WalkAndUnGZ.bat" "%USERPROFILE%\AppData\Local\Temp\OnboardLogs"\RTDC4063\2017-09-22 &amp; aws s3 cp s3://rtdc.mdm.uploadarchive.raw/RTDC4063/ "%USERPROFILE%\AppData\Local\Temp\OnboardLogs"\RTDC4063\2017-09-23 --exclude "*" --recursive --include "*20170923*" &amp; "%USERPROFILE%\Documents\GitHub\mrs-test-scripts\Headless Mode &amp; Sideloading\WalkAndUnGZ.bat" "%USERPROFILE%\AppData\Local\Temp\OnboardLogs"\RTDC4063\2017-09-23</v>
      </c>
      <c r="AF39" s="74" t="str">
        <f t="shared" si="12"/>
        <v>"C:\Program Files (x86)\AstroGrep\AstroGrep.exe" /e /r /s /spath="%USERPROFILE%\AppData\Local\Temp\OnboardLogs" /stypes="app*4063*20170922*" /stext=" 14:.+((SYSTEM_STATE.+slice.+state.+changed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9"/>
        <v>"%USERPROFILE%\Documents\GitHub\eaglep3\Utilities\RefineRTDCRunTimes.py" --tripid 126-22 --locoid 4063 --swversion DE.1.0.9.0 --startMP 204:232967 --initTime 2017-09-22T07:22:57 --startdatetime 2017-09-22T07:42:28 --delay 42 --endMP 204:149 --enddatetime 2017-09-22T08:22:10 --enforcementcount 0 &gt;&gt;c:\users\stu\Documents\GitHub\eaglep3-reporting\EC\2017-09-22-refined-times.txt</v>
      </c>
      <c r="AI39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{"issue":{"subject":"","project_id":79,"tracker_id":40,"status_id":1,"priority_id":2,"assigned_to_id":338,"start_date":"2017-09-22","description":"","custom_fields":[{"id":1,"name":"Subdivision","value":"EC"},{"id":4,"name":"Milepost","value":"0.0149"},{"id":17,"name":"Train ID","value":"126-22"},{"id":16,"name":"Locomotive ID","value":"4063"},{"id":130,"name":"Impact","value":""},{"id":150,"name":"Time of Event (Mountain Time)","value":"08:22:10"},{"id":151,"name":"Denver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1"/>
        <v>start /low /b %USERPROFILE%\Documents\GitHub\eaglep3\Utilities\DownloadLogsFromS3.py --loco 4063 --day 2017-09-22</v>
      </c>
      <c r="AN39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14:22:10"},{"id":29,"name":"Sharepoint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3"/>
        <v>https://d0f6bd738d7f1b3e5a7ca70fe4ff75f0.us-east-1.aws.found.io/app/kibana#/discover/Steve-Slow-Train-Analysis-(2080s-and-2083s)?_g=(refreshInterval:(display:Off,pause:!f,section:0,value:0),time:(from:'2017-09-22T06:22:57-0600',mode:absolute,to:'2017-09-22T09:22:10-0600'))&amp;_a=(columns:!('Message%20ID',Summary),filters:!(),index:'emp_*',interval:auto,query:(query_string:(analyze_wildcard:!t,query:'Message%5C+ID:(*)+AND+%22rtdc.l.rtdc.4063%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660</v>
      </c>
      <c r="B40" s="7">
        <v>4062</v>
      </c>
      <c r="C40" s="21" t="s">
        <v>196</v>
      </c>
      <c r="D40" s="21" t="s">
        <v>368</v>
      </c>
      <c r="E40" s="13">
        <v>43000.286319444444</v>
      </c>
      <c r="F40" s="13">
        <v>43000.291828703703</v>
      </c>
      <c r="G40" s="7">
        <v>58</v>
      </c>
      <c r="H40" s="21" t="s">
        <v>447</v>
      </c>
      <c r="I40" s="13">
        <v>43000.319814814815</v>
      </c>
      <c r="J40" s="7">
        <v>0</v>
      </c>
      <c r="K40" s="89" t="str">
        <f t="shared" si="0"/>
        <v>4061/4062</v>
      </c>
      <c r="L40" s="185" t="str">
        <f>VLOOKUP(A40,'Trips&amp;Operators'!$C$1:$G$99911,5,FALSE)</f>
        <v>BEAM ROSS</v>
      </c>
      <c r="M40" s="6">
        <f t="shared" si="1"/>
        <v>2.7986111112113576E-2</v>
      </c>
      <c r="N40" s="7">
        <f t="shared" si="25"/>
        <v>40.30000000144355</v>
      </c>
      <c r="O40" s="7"/>
      <c r="P40" s="7"/>
      <c r="Q40" s="22"/>
      <c r="R40" s="174"/>
      <c r="S40" s="221">
        <f t="shared" si="24"/>
        <v>1</v>
      </c>
      <c r="T40" s="174" t="str">
        <f t="shared" si="4"/>
        <v>NorthBound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-09-22T05:52:18-0600',mode:absolute,to:'2017-09-22T08:40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0" s="204" t="str">
        <f>IF(AA40&lt;VLOOKUP(AG40,Variables!$AC$3:$AD$8,2,FALSE),"Y","N")</f>
        <v>N</v>
      </c>
      <c r="X40" s="204">
        <f t="shared" si="6"/>
        <v>1</v>
      </c>
      <c r="Y40" s="204">
        <f t="shared" si="7"/>
        <v>4.6699999999999998E-2</v>
      </c>
      <c r="Z40" s="204">
        <f t="shared" si="8"/>
        <v>23.331700000000001</v>
      </c>
      <c r="AA40" s="204">
        <f t="shared" si="9"/>
        <v>23.285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10"/>
        <v>127</v>
      </c>
      <c r="AE40" s="77" t="str">
        <f t="shared" si="11"/>
        <v>aws s3 cp s3://rtdc.mdm.uploadarchive.raw/RTDC4062/ "%USERPROFILE%\AppData\Local\Temp\OnboardLogs"\RTDC4062\2017-09-22 --exclude "*" --recursive --include "*20170922*" &amp; "%USERPROFILE%\Documents\GitHub\mrs-test-scripts\Headless Mode &amp; Sideloading\WalkAndUnGZ.bat" "%USERPROFILE%\AppData\Local\Temp\OnboardLogs"\RTDC4062\2017-09-22 &amp; aws s3 cp s3://rtdc.mdm.uploadarchive.raw/RTDC4062/ "%USERPROFILE%\AppData\Local\Temp\OnboardLogs"\RTDC4062\2017-09-23 --exclude "*" --recursive --include "*20170923*" &amp; "%USERPROFILE%\Documents\GitHub\mrs-test-scripts\Headless Mode &amp; Sideloading\WalkAndUnGZ.bat" "%USERPROFILE%\AppData\Local\Temp\OnboardLogs"\RTDC4062\2017-09-23</v>
      </c>
      <c r="AF40" s="74" t="str">
        <f t="shared" si="12"/>
        <v>"C:\Program Files (x86)\AstroGrep\AstroGrep.exe" /e /r /s /spath="%USERPROFILE%\AppData\Local\Temp\OnboardLogs" /stypes="app*4062*20170922*" /stext=" 13:.+((SYSTEM_STATE.+slice.+state.+changed )|(ment ac)|(multiple cpu faults)|(system.+state.+changed )|(\[timeout)|(PRM\|1\|D)|(kpr)|(kdp)|(train st.+moving)|(\|lc)|(penalty))"</v>
      </c>
      <c r="AG40" s="182" t="str">
        <f t="shared" si="13"/>
        <v>EC</v>
      </c>
      <c r="AH40" s="78" t="str">
        <f t="shared" si="19"/>
        <v>"%USERPROFILE%\Documents\GitHub\eaglep3\Utilities\RefineRTDCRunTimes.py" --tripid 127-22 --locoid 4062 --swversion DE.1.0.9.0 --startMP 204:467 --initTime 2017-09-22T06:52:18 --startdatetime 2017-09-22T07:00:14 --delay 58 --endMP 204:233317 --enddatetime 2017-09-22T07:40:32 --enforcementcount 0 &gt;&gt;c:\users\stu\Documents\GitHub\eaglep3-reporting\EC\2017-09-22-refined-times.txt</v>
      </c>
      <c r="AI40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{"issue":{"subject":"","project_id":79,"tracker_id":40,"status_id":1,"priority_id":2,"assigned_to_id":338,"start_date":"2017-09-22","description":"","custom_fields":[{"id":1,"name":"Subdivision","value":"EC"},{"id":4,"name":"Milepost","value":"23.3317"},{"id":17,"name":"Train ID","value":"127-22"},{"id":16,"name":"Locomotive ID","value":"4062"},{"id":130,"name":"Impact","value":""},{"id":150,"name":"Time of Event (Mountain Time)","value":"07:40:32"},{"id":151,"name":"Denver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1"/>
        <v>start /low /b %USERPROFILE%\Documents\GitHub\eaglep3\Utilities\DownloadLogsFromS3.py --loco 4062 --day 2017-09-22</v>
      </c>
      <c r="AN40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13:40:32"},{"id":29,"name":"Sharepoint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3"/>
        <v>https://d0f6bd738d7f1b3e5a7ca70fe4ff75f0.us-east-1.aws.found.io/app/kibana#/discover/Steve-Slow-Train-Analysis-(2080s-and-2083s)?_g=(refreshInterval:(display:Off,pause:!f,section:0,value:0),time:(from:'2017-09-22T05:52:18-0600',mode:absolute,to:'2017-09-22T08:40:32-0600'))&amp;_a=(columns:!('Message%20ID',Summary),filters:!(),index:'emp_*',interval:auto,query:(query_string:(analyze_wildcard:!t,query:'Message%5C+ID:(*)+AND+%22rtdc.l.rtdc.4062%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584</v>
      </c>
      <c r="B41" s="7">
        <v>4061</v>
      </c>
      <c r="C41" s="21" t="s">
        <v>196</v>
      </c>
      <c r="D41" s="21" t="s">
        <v>395</v>
      </c>
      <c r="E41" s="13">
        <v>43000.320891203701</v>
      </c>
      <c r="F41" s="13">
        <v>43000.331782407404</v>
      </c>
      <c r="G41" s="7">
        <v>55</v>
      </c>
      <c r="H41" s="21" t="s">
        <v>845</v>
      </c>
      <c r="I41" s="13">
        <v>43000.359386574077</v>
      </c>
      <c r="J41" s="7">
        <v>0</v>
      </c>
      <c r="K41" s="89" t="str">
        <f t="shared" si="0"/>
        <v>4061/4062</v>
      </c>
      <c r="L41" s="185" t="str">
        <f>VLOOKUP(A41,'Trips&amp;Operators'!$C$1:$G$99911,5,FALSE)</f>
        <v>BEAM ROSS</v>
      </c>
      <c r="M41" s="6">
        <f t="shared" si="1"/>
        <v>2.7604166672972497E-2</v>
      </c>
      <c r="N41" s="7">
        <f t="shared" si="25"/>
        <v>39.750000009080395</v>
      </c>
      <c r="O41" s="7"/>
      <c r="P41" s="7"/>
      <c r="Q41" s="22"/>
      <c r="R41" s="174"/>
      <c r="S41" s="221">
        <f t="shared" si="24"/>
        <v>1</v>
      </c>
      <c r="T41" s="174" t="str">
        <f t="shared" si="4"/>
        <v>Southbound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-09-22T06:42:05-0600',mode:absolute,to:'2017-09-22T09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1" s="204" t="str">
        <f>IF(AA41&lt;VLOOKUP(AG41,Variables!$AC$3:$AD$8,2,FALSE),"Y","N")</f>
        <v>N</v>
      </c>
      <c r="X41" s="204">
        <f t="shared" si="6"/>
        <v>1</v>
      </c>
      <c r="Y41" s="204">
        <f t="shared" si="7"/>
        <v>23.299600000000002</v>
      </c>
      <c r="Z41" s="204">
        <f t="shared" si="8"/>
        <v>1.7399999999999999E-2</v>
      </c>
      <c r="AA41" s="204">
        <f t="shared" si="9"/>
        <v>23.282200000000003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10"/>
        <v>128</v>
      </c>
      <c r="AE41" s="77" t="str">
        <f t="shared" si="11"/>
        <v>aws s3 cp s3://rtdc.mdm.uploadarchive.raw/RTDC4061/ "%USERPROFILE%\AppData\Local\Temp\OnboardLogs"\RTDC4061\2017-09-22 --exclude "*" --recursive --include "*20170922*" &amp; "%USERPROFILE%\Documents\GitHub\mrs-test-scripts\Headless Mode &amp; Sideloading\WalkAndUnGZ.bat" "%USERPROFILE%\AppData\Local\Temp\OnboardLogs"\RTDC4061\2017-09-22 &amp; aws s3 cp s3://rtdc.mdm.uploadarchive.raw/RTDC4061/ "%USERPROFILE%\AppData\Local\Temp\OnboardLogs"\RTDC4061\2017-09-23 --exclude "*" --recursive --include "*20170923*" &amp; "%USERPROFILE%\Documents\GitHub\mrs-test-scripts\Headless Mode &amp; Sideloading\WalkAndUnGZ.bat" "%USERPROFILE%\AppData\Local\Temp\OnboardLogs"\RTDC4061\2017-09-23</v>
      </c>
      <c r="AF41" s="74" t="str">
        <f t="shared" si="12"/>
        <v>"C:\Program Files (x86)\AstroGrep\AstroGrep.exe" /e /r /s /spath="%USERPROFILE%\AppData\Local\Temp\OnboardLogs" /stypes="app*4061*20170922*" /stext=" 14:.+((SYSTEM_STATE.+slice.+state.+changed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9"/>
        <v>"%USERPROFILE%\Documents\GitHub\eaglep3\Utilities\RefineRTDCRunTimes.py" --tripid 128-22 --locoid 4061 --swversion DE.1.0.9.0 --startMP 204:232996 --initTime 2017-09-22T07:42:05 --startdatetime 2017-09-22T07:57:46 --delay 55 --endMP 204:174 --enddatetime 2017-09-22T08:37:31 --enforcementcount 0 &gt;&gt;c:\users\stu\Documents\GitHub\eaglep3-reporting\EC\2017-09-22-refined-times.txt</v>
      </c>
      <c r="AI41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{"issue":{"subject":"","project_id":79,"tracker_id":40,"status_id":1,"priority_id":2,"assigned_to_id":338,"start_date":"2017-09-22","description":"","custom_fields":[{"id":1,"name":"Subdivision","value":"EC"},{"id":4,"name":"Milepost","value":"0.0174"},{"id":17,"name":"Train ID","value":"128-22"},{"id":16,"name":"Locomotive ID","value":"4061"},{"id":130,"name":"Impact","value":""},{"id":150,"name":"Time of Event (Mountain Time)","value":"08:37:31"},{"id":151,"name":"Denver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1"/>
        <v>start /low /b %USERPROFILE%\Documents\GitHub\eaglep3\Utilities\DownloadLogsFromS3.py --loco 4061 --day 2017-09-22</v>
      </c>
      <c r="AN41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14:37:31"},{"id":29,"name":"Sharepoint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3"/>
        <v>https://d0f6bd738d7f1b3e5a7ca70fe4ff75f0.us-east-1.aws.found.io/app/kibana#/discover/Steve-Slow-Train-Analysis-(2080s-and-2083s)?_g=(refreshInterval:(display:Off,pause:!f,section:0,value:0),time:(from:'2017-09-22T06:42:05-0600',mode:absolute,to:'2017-09-22T09:37:31-0600'))&amp;_a=(columns:!('Message%20ID',Summary),filters:!(),index:'emp_*',interval:auto,query:(query_string:(analyze_wildcard:!t,query:'Message%5C+ID:(*)+AND+%22rtdc.l.rtdc.4061%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663</v>
      </c>
      <c r="B42" s="7">
        <v>4044</v>
      </c>
      <c r="C42" s="21" t="s">
        <v>196</v>
      </c>
      <c r="D42" s="21" t="s">
        <v>398</v>
      </c>
      <c r="E42" s="13">
        <v>43000.297002314815</v>
      </c>
      <c r="F42" s="13">
        <v>43000.302256944444</v>
      </c>
      <c r="G42" s="7">
        <v>56</v>
      </c>
      <c r="H42" s="21" t="s">
        <v>575</v>
      </c>
      <c r="I42" s="13">
        <v>43000.32712962963</v>
      </c>
      <c r="J42" s="7">
        <v>0</v>
      </c>
      <c r="K42" s="89" t="str">
        <f t="shared" si="0"/>
        <v>4043/4044</v>
      </c>
      <c r="L42" s="185" t="str">
        <f>VLOOKUP(A42,'Trips&amp;Operators'!$C$1:$G$99911,5,FALSE)</f>
        <v>LANGERAK WILLIAM</v>
      </c>
      <c r="M42" s="6">
        <f t="shared" si="1"/>
        <v>2.4872685185982846E-2</v>
      </c>
      <c r="N42" s="7">
        <f t="shared" si="25"/>
        <v>35.816666667815298</v>
      </c>
      <c r="O42" s="7"/>
      <c r="P42" s="7"/>
      <c r="Q42" s="22"/>
      <c r="R42" s="174"/>
      <c r="S42" s="221">
        <f t="shared" si="24"/>
        <v>1</v>
      </c>
      <c r="T42" s="174" t="str">
        <f t="shared" si="4"/>
        <v>NorthBound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-09-22T06:07:41-0600',mode:absolute,to:'2017-09-22T08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2" s="204" t="str">
        <f>IF(AA42&lt;VLOOKUP(AG42,Variables!$AC$3:$AD$8,2,FALSE),"Y","N")</f>
        <v>N</v>
      </c>
      <c r="X42" s="204">
        <f t="shared" si="6"/>
        <v>1</v>
      </c>
      <c r="Y42" s="204">
        <f t="shared" si="7"/>
        <v>4.7100000000000003E-2</v>
      </c>
      <c r="Z42" s="204">
        <f t="shared" si="8"/>
        <v>23.330300000000001</v>
      </c>
      <c r="AA42" s="204">
        <f t="shared" si="9"/>
        <v>23.283200000000001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10"/>
        <v>129</v>
      </c>
      <c r="AE42" s="77" t="str">
        <f t="shared" si="11"/>
        <v>aws s3 cp s3://rtdc.mdm.uploadarchive.raw/RTDC4044/ "%USERPROFILE%\AppData\Local\Temp\OnboardLogs"\RTDC4044\2017-09-22 --exclude "*" --recursive --include "*20170922*" &amp; "%USERPROFILE%\Documents\GitHub\mrs-test-scripts\Headless Mode &amp; Sideloading\WalkAndUnGZ.bat" "%USERPROFILE%\AppData\Local\Temp\OnboardLogs"\RTDC4044\2017-09-22 &amp; aws s3 cp s3://rtdc.mdm.uploadarchive.raw/RTDC4044/ "%USERPROFILE%\AppData\Local\Temp\OnboardLogs"\RTDC4044\2017-09-23 --exclude "*" --recursive --include "*20170923*" &amp; "%USERPROFILE%\Documents\GitHub\mrs-test-scripts\Headless Mode &amp; Sideloading\WalkAndUnGZ.bat" "%USERPROFILE%\AppData\Local\Temp\OnboardLogs"\RTDC4044\2017-09-23</v>
      </c>
      <c r="AF42" s="74" t="str">
        <f t="shared" si="12"/>
        <v>"C:\Program Files (x86)\AstroGrep\AstroGrep.exe" /e /r /s /spath="%USERPROFILE%\AppData\Local\Temp\OnboardLogs" /stypes="app*4044*20170922*" /stext=" 13:.+((SYSTEM_STATE.+slice.+state.+changed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9"/>
        <v>"%USERPROFILE%\Documents\GitHub\eaglep3\Utilities\RefineRTDCRunTimes.py" --tripid 129-22 --locoid 4044 --swversion DE.1.0.9.0 --startMP 204:471 --initTime 2017-09-22T07:07:41 --startdatetime 2017-09-22T07:15:15 --delay 56 --endMP 204:233303 --enddatetime 2017-09-22T07:51:04 --enforcementcount 0 &gt;&gt;c:\users\stu\Documents\GitHub\eaglep3-reporting\EC\2017-09-22-refined-times.txt</v>
      </c>
      <c r="AI42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{"issue":{"subject":"","project_id":79,"tracker_id":40,"status_id":1,"priority_id":2,"assigned_to_id":338,"start_date":"2017-09-22","description":"","custom_fields":[{"id":1,"name":"Subdivision","value":"EC"},{"id":4,"name":"Milepost","value":"23.3303"},{"id":17,"name":"Train ID","value":"129-22"},{"id":16,"name":"Locomotive ID","value":"4044"},{"id":130,"name":"Impact","value":""},{"id":150,"name":"Time of Event (Mountain Time)","value":"07:51:04"},{"id":151,"name":"Denver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1"/>
        <v>start /low /b %USERPROFILE%\Documents\GitHub\eaglep3\Utilities\DownloadLogsFromS3.py --loco 4044 --day 2017-09-22</v>
      </c>
      <c r="AN42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13:51:04"},{"id":29,"name":"Sharepoint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3"/>
        <v>https://d0f6bd738d7f1b3e5a7ca70fe4ff75f0.us-east-1.aws.found.io/app/kibana#/discover/Steve-Slow-Train-Analysis-(2080s-and-2083s)?_g=(refreshInterval:(display:Off,pause:!f,section:0,value:0),time:(from:'2017-09-22T06:07:41-0600',mode:absolute,to:'2017-09-22T08:51:04-0600'))&amp;_a=(columns:!('Message%20ID',Summary),filters:!(),index:'emp_*',interval:auto,query:(query_string:(analyze_wildcard:!t,query:'Message%5C+ID:(*)+AND+%22rtdc.l.rtdc.4044%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669</v>
      </c>
      <c r="B43" s="7">
        <v>4043</v>
      </c>
      <c r="C43" s="21" t="s">
        <v>196</v>
      </c>
      <c r="D43" s="21" t="s">
        <v>846</v>
      </c>
      <c r="E43" s="13">
        <v>43000.328842592593</v>
      </c>
      <c r="F43" s="13">
        <v>43000.342060185183</v>
      </c>
      <c r="G43" s="7">
        <v>69</v>
      </c>
      <c r="H43" s="21" t="s">
        <v>336</v>
      </c>
      <c r="I43" s="13">
        <v>43000.372916666667</v>
      </c>
      <c r="J43" s="7">
        <v>0</v>
      </c>
      <c r="K43" s="89" t="str">
        <f t="shared" si="0"/>
        <v>4043/4044</v>
      </c>
      <c r="L43" s="185" t="str">
        <f>VLOOKUP(A43,'Trips&amp;Operators'!$C$1:$G$99911,5,FALSE)</f>
        <v>LANGERAK WILLIAM</v>
      </c>
      <c r="M43" s="6">
        <f t="shared" si="1"/>
        <v>3.0856481484079268E-2</v>
      </c>
      <c r="N43" s="7">
        <f t="shared" si="25"/>
        <v>44.433333337074146</v>
      </c>
      <c r="O43" s="7"/>
      <c r="P43" s="7"/>
      <c r="Q43" s="22"/>
      <c r="R43" s="174"/>
      <c r="S43" s="221">
        <f t="shared" si="24"/>
        <v>1</v>
      </c>
      <c r="T43" s="174" t="str">
        <f t="shared" si="4"/>
        <v>Southbound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-09-22T06:53:32-0600',mode:absolute,to:'2017-09-22T09:57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3" s="204" t="str">
        <f>IF(AA43&lt;VLOOKUP(AG43,Variables!$AC$3:$AD$8,2,FALSE),"Y","N")</f>
        <v>N</v>
      </c>
      <c r="X43" s="204">
        <f t="shared" si="6"/>
        <v>1</v>
      </c>
      <c r="Y43" s="204">
        <f t="shared" si="7"/>
        <v>23.296299999999999</v>
      </c>
      <c r="Z43" s="204">
        <f t="shared" si="8"/>
        <v>1.4999999999999999E-2</v>
      </c>
      <c r="AA43" s="204">
        <f t="shared" si="9"/>
        <v>23.281299999999998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10"/>
        <v>130</v>
      </c>
      <c r="AE43" s="77" t="str">
        <f t="shared" si="11"/>
        <v>aws s3 cp s3://rtdc.mdm.uploadarchive.raw/RTDC4043/ "%USERPROFILE%\AppData\Local\Temp\OnboardLogs"\RTDC4043\2017-09-22 --exclude "*" --recursive --include "*20170922*" &amp; "%USERPROFILE%\Documents\GitHub\mrs-test-scripts\Headless Mode &amp; Sideloading\WalkAndUnGZ.bat" "%USERPROFILE%\AppData\Local\Temp\OnboardLogs"\RTDC4043\2017-09-22 &amp; aws s3 cp s3://rtdc.mdm.uploadarchive.raw/RTDC4043/ "%USERPROFILE%\AppData\Local\Temp\OnboardLogs"\RTDC4043\2017-09-23 --exclude "*" --recursive --include "*20170923*" &amp; "%USERPROFILE%\Documents\GitHub\mrs-test-scripts\Headless Mode &amp; Sideloading\WalkAndUnGZ.bat" "%USERPROFILE%\AppData\Local\Temp\OnboardLogs"\RTDC4043\2017-09-23</v>
      </c>
      <c r="AF43" s="74" t="str">
        <f t="shared" si="12"/>
        <v>"C:\Program Files (x86)\AstroGrep\AstroGrep.exe" /e /r /s /spath="%USERPROFILE%\AppData\Local\Temp\OnboardLogs" /stypes="app*4043*20170922*" /stext=" 14:.+((SYSTEM_STATE.+slice.+state.+changed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9"/>
        <v>"%USERPROFILE%\Documents\GitHub\eaglep3\Utilities\RefineRTDCRunTimes.py" --tripid 130-22 --locoid 4043 --swversion DE.1.0.9.0 --startMP 204:232963 --initTime 2017-09-22T07:53:32 --startdatetime 2017-09-22T08:12:34 --delay 69 --endMP 204:150 --enddatetime 2017-09-22T08:57:00 --enforcementcount 0 &gt;&gt;c:\users\stu\Documents\GitHub\eaglep3-reporting\EC\2017-09-22-refined-times.txt</v>
      </c>
      <c r="AI43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{"issue":{"subject":"","project_id":79,"tracker_id":40,"status_id":1,"priority_id":2,"assigned_to_id":338,"start_date":"2017-09-22","description":"","custom_fields":[{"id":1,"name":"Subdivision","value":"EC"},{"id":4,"name":"Milepost","value":"0.015"},{"id":17,"name":"Train ID","value":"130-22"},{"id":16,"name":"Locomotive ID","value":"4043"},{"id":130,"name":"Impact","value":""},{"id":150,"name":"Time of Event (Mountain Time)","value":"08:57:00"},{"id":151,"name":"Denver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1"/>
        <v>start /low /b %USERPROFILE%\Documents\GitHub\eaglep3\Utilities\DownloadLogsFromS3.py --loco 4043 --day 2017-09-22</v>
      </c>
      <c r="AN43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14:57:00"},{"id":29,"name":"Sharepoint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3"/>
        <v>https://d0f6bd738d7f1b3e5a7ca70fe4ff75f0.us-east-1.aws.found.io/app/kibana#/discover/Steve-Slow-Train-Analysis-(2080s-and-2083s)?_g=(refreshInterval:(display:Off,pause:!f,section:0,value:0),time:(from:'2017-09-22T06:53:32-0600',mode:absolute,to:'2017-09-22T09:57:00-0600'))&amp;_a=(columns:!('Message%20ID',Summary),filters:!(),index:'emp_*',interval:auto,query:(query_string:(analyze_wildcard:!t,query:'Message%5C+ID:(*)+AND+%22rtdc.l.rtdc.4043%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665</v>
      </c>
      <c r="B44" s="7">
        <v>4012</v>
      </c>
      <c r="C44" s="21" t="s">
        <v>196</v>
      </c>
      <c r="D44" s="21" t="s">
        <v>387</v>
      </c>
      <c r="E44" s="13">
        <v>43000.307175925926</v>
      </c>
      <c r="F44" s="13">
        <v>43000.312662037039</v>
      </c>
      <c r="G44" s="7">
        <v>97</v>
      </c>
      <c r="H44" s="21" t="s">
        <v>403</v>
      </c>
      <c r="I44" s="13">
        <v>43000.338368055556</v>
      </c>
      <c r="J44" s="7">
        <v>0</v>
      </c>
      <c r="K44" s="89" t="str">
        <f t="shared" si="0"/>
        <v>4011/4012</v>
      </c>
      <c r="L44" s="185" t="str">
        <f>VLOOKUP(A44,'Trips&amp;Operators'!$C$1:$G$99911,5,FALSE)</f>
        <v>YANAI IAN</v>
      </c>
      <c r="M44" s="6">
        <f t="shared" si="1"/>
        <v>2.5706018517666962E-2</v>
      </c>
      <c r="N44" s="7">
        <f t="shared" si="25"/>
        <v>37.016666665440425</v>
      </c>
      <c r="O44" s="7"/>
      <c r="P44" s="7"/>
      <c r="Q44" s="22"/>
      <c r="R44" s="174"/>
      <c r="S44" s="221">
        <f t="shared" si="24"/>
        <v>1</v>
      </c>
      <c r="T44" s="174" t="str">
        <f t="shared" si="4"/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-09-22T06:22:20-0600',mode:absolute,to:'2017-09-22T09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4" s="204" t="str">
        <f>IF(AA44&lt;VLOOKUP(AG44,Variables!$AC$3:$AD$8,2,FALSE),"Y","N")</f>
        <v>N</v>
      </c>
      <c r="X44" s="204">
        <f t="shared" si="6"/>
        <v>1</v>
      </c>
      <c r="Y44" s="204">
        <f t="shared" si="7"/>
        <v>4.3999999999999997E-2</v>
      </c>
      <c r="Z44" s="204">
        <f t="shared" si="8"/>
        <v>23.331499999999998</v>
      </c>
      <c r="AA44" s="204">
        <f t="shared" si="9"/>
        <v>23.287499999999998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10"/>
        <v>131</v>
      </c>
      <c r="AE44" s="77" t="str">
        <f t="shared" si="11"/>
        <v>aws s3 cp s3://rtdc.mdm.uploadarchive.raw/RTDC4012/ "%USERPROFILE%\AppData\Local\Temp\OnboardLogs"\RTDC4012\2017-09-22 --exclude "*" --recursive --include "*20170922*" &amp; "%USERPROFILE%\Documents\GitHub\mrs-test-scripts\Headless Mode &amp; Sideloading\WalkAndUnGZ.bat" "%USERPROFILE%\AppData\Local\Temp\OnboardLogs"\RTDC4012\2017-09-22 &amp; aws s3 cp s3://rtdc.mdm.uploadarchive.raw/RTDC4012/ "%USERPROFILE%\AppData\Local\Temp\OnboardLogs"\RTDC4012\2017-09-23 --exclude "*" --recursive --include "*20170923*" &amp; "%USERPROFILE%\Documents\GitHub\mrs-test-scripts\Headless Mode &amp; Sideloading\WalkAndUnGZ.bat" "%USERPROFILE%\AppData\Local\Temp\OnboardLogs"\RTDC4012\2017-09-23</v>
      </c>
      <c r="AF44" s="74" t="str">
        <f t="shared" si="12"/>
        <v>"C:\Program Files (x86)\AstroGrep\AstroGrep.exe" /e /r /s /spath="%USERPROFILE%\AppData\Local\Temp\OnboardLogs" /stypes="app*4012*20170922*" /stext=" 14:.+((SYSTEM_STATE.+slice.+state.+changed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9"/>
        <v>"%USERPROFILE%\Documents\GitHub\eaglep3\Utilities\RefineRTDCRunTimes.py" --tripid 131-22 --locoid 4012 --swversion DE.1.0.9.0 --startMP 204:440 --initTime 2017-09-22T07:22:20 --startdatetime 2017-09-22T07:30:14 --delay 97 --endMP 204:233315 --enddatetime 2017-09-22T08:07:15 --enforcementcount 0 &gt;&gt;c:\users\stu\Documents\GitHub\eaglep3-reporting\EC\2017-09-22-refined-times.txt</v>
      </c>
      <c r="AI44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{"issue":{"subject":"","project_id":79,"tracker_id":40,"status_id":1,"priority_id":2,"assigned_to_id":338,"start_date":"2017-09-22","description":"","custom_fields":[{"id":1,"name":"Subdivision","value":"EC"},{"id":4,"name":"Milepost","value":"23.3315"},{"id":17,"name":"Train ID","value":"131-22"},{"id":16,"name":"Locomotive ID","value":"4012"},{"id":130,"name":"Impact","value":""},{"id":150,"name":"Time of Event (Mountain Time)","value":"08:07:15"},{"id":151,"name":"Denver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1"/>
        <v>start /low /b %USERPROFILE%\Documents\GitHub\eaglep3\Utilities\DownloadLogsFromS3.py --loco 4012 --day 2017-09-22</v>
      </c>
      <c r="AN44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14:07:15"},{"id":29,"name":"Sharepoint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3"/>
        <v>https://d0f6bd738d7f1b3e5a7ca70fe4ff75f0.us-east-1.aws.found.io/app/kibana#/discover/Steve-Slow-Train-Analysis-(2080s-and-2083s)?_g=(refreshInterval:(display:Off,pause:!f,section:0,value:0),time:(from:'2017-09-22T06:22:20-0600',mode:absolute,to:'2017-09-22T09:07:15-0600'))&amp;_a=(columns:!('Message%20ID',Summary),filters:!(),index:'emp_*',interval:auto,query:(query_string:(analyze_wildcard:!t,query:'Message%5C+ID:(*)+AND+%22rtdc.l.rtdc.4012%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673</v>
      </c>
      <c r="B45" s="7">
        <v>4011</v>
      </c>
      <c r="C45" s="21" t="s">
        <v>196</v>
      </c>
      <c r="D45" s="21" t="s">
        <v>411</v>
      </c>
      <c r="E45" s="13">
        <v>43000.339560185188</v>
      </c>
      <c r="F45" s="13">
        <v>43000.35224537037</v>
      </c>
      <c r="G45" s="7">
        <v>84</v>
      </c>
      <c r="H45" s="21" t="s">
        <v>388</v>
      </c>
      <c r="I45" s="13">
        <v>43000.378541666665</v>
      </c>
      <c r="J45" s="7">
        <v>0</v>
      </c>
      <c r="K45" s="89" t="str">
        <f t="shared" si="0"/>
        <v>4011/4012</v>
      </c>
      <c r="L45" s="185" t="str">
        <f>VLOOKUP(A45,'Trips&amp;Operators'!$C$1:$G$99911,5,FALSE)</f>
        <v>YANAI IAN</v>
      </c>
      <c r="M45" s="6">
        <f t="shared" si="1"/>
        <v>2.6296296295186039E-2</v>
      </c>
      <c r="N45" s="7">
        <f t="shared" si="25"/>
        <v>37.866666665067896</v>
      </c>
      <c r="O45" s="7"/>
      <c r="P45" s="7"/>
      <c r="Q45" s="22"/>
      <c r="R45" s="174"/>
      <c r="S45" s="221">
        <f t="shared" si="24"/>
        <v>1</v>
      </c>
      <c r="T45" s="174" t="str">
        <f t="shared" si="4"/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-09-22T07:08:58-0600',mode:absolute,to:'2017-09-22T10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5" s="204" t="str">
        <f>IF(AA45&lt;VLOOKUP(AG45,Variables!$AC$3:$AD$8,2,FALSE),"Y","N")</f>
        <v>N</v>
      </c>
      <c r="X45" s="204">
        <f t="shared" ref="X45:X76" si="26">VALUE(LEFT(AD45,4))-VALUE(LEFT(AD44,4))</f>
        <v>1</v>
      </c>
      <c r="Y45" s="204">
        <f t="shared" ref="Y45:Y76" si="27">RIGHT(D45,LEN(D45)-4)/10000</f>
        <v>23.299099999999999</v>
      </c>
      <c r="Z45" s="204">
        <f t="shared" ref="Z45:Z76" si="28">RIGHT(H45,LEN(H45)-4)/10000</f>
        <v>1.3899999999999999E-2</v>
      </c>
      <c r="AA45" s="204">
        <f t="shared" si="9"/>
        <v>23.2852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si="10"/>
        <v>132</v>
      </c>
      <c r="AE45" s="77" t="str">
        <f t="shared" si="11"/>
        <v>aws s3 cp s3://rtdc.mdm.uploadarchive.raw/RTDC4011/ "%USERPROFILE%\AppData\Local\Temp\OnboardLogs"\RTDC4011\2017-09-22 --exclude "*" --recursive --include "*20170922*" &amp; "%USERPROFILE%\Documents\GitHub\mrs-test-scripts\Headless Mode &amp; Sideloading\WalkAndUnGZ.bat" "%USERPROFILE%\AppData\Local\Temp\OnboardLogs"\RTDC4011\2017-09-22 &amp; aws s3 cp s3://rtdc.mdm.uploadarchive.raw/RTDC4011/ "%USERPROFILE%\AppData\Local\Temp\OnboardLogs"\RTDC4011\2017-09-23 --exclude "*" --recursive --include "*20170923*" &amp; "%USERPROFILE%\Documents\GitHub\mrs-test-scripts\Headless Mode &amp; Sideloading\WalkAndUnGZ.bat" "%USERPROFILE%\AppData\Local\Temp\OnboardLogs"\RTDC4011\2017-09-23</v>
      </c>
      <c r="AF45" s="74" t="str">
        <f t="shared" si="12"/>
        <v>"C:\Program Files (x86)\AstroGrep\AstroGrep.exe" /e /r /s /spath="%USERPROFILE%\AppData\Local\Temp\OnboardLogs" /stypes="app*4011*20170922*" /stext=" 15:.+((SYSTEM_STATE.+slice.+state.+changed )|(ment ac)|(multiple cpu faults)|(system.+state.+changed )|(\[timeout)|(PRM\|1\|D)|(kpr)|(kdp)|(train st.+moving)|(\|lc)|(penalty))"</v>
      </c>
      <c r="AG45" s="182" t="str">
        <f t="shared" si="13"/>
        <v>EC</v>
      </c>
      <c r="AH45" s="78" t="str">
        <f t="shared" si="19"/>
        <v>"%USERPROFILE%\Documents\GitHub\eaglep3\Utilities\RefineRTDCRunTimes.py" --tripid 132-22 --locoid 4011 --swversion DE.1.0.9.0 --startMP 204:232991 --initTime 2017-09-22T08:08:58 --startdatetime 2017-09-22T08:27:14 --delay 84 --endMP 204:139 --enddatetime 2017-09-22T09:05:06 --enforcementcount 0 &gt;&gt;c:\users\stu\Documents\GitHub\eaglep3-reporting\EC\2017-09-22-refined-times.txt</v>
      </c>
      <c r="AI45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{"issue":{"subject":"","project_id":79,"tracker_id":40,"status_id":1,"priority_id":2,"assigned_to_id":338,"start_date":"2017-09-22","description":"","custom_fields":[{"id":1,"name":"Subdivision","value":"EC"},{"id":4,"name":"Milepost","value":"0.0139"},{"id":17,"name":"Train ID","value":"132-22"},{"id":16,"name":"Locomotive ID","value":"4011"},{"id":130,"name":"Impact","value":""},{"id":150,"name":"Time of Event (Mountain Time)","value":"09:05:06"},{"id":151,"name":"Denver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1"/>
        <v>start /low /b %USERPROFILE%\Documents\GitHub\eaglep3\Utilities\DownloadLogsFromS3.py --loco 4011 --day 2017-09-22</v>
      </c>
      <c r="AN45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15:05:06"},{"id":29,"name":"Sharepoint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3"/>
        <v>https://d0f6bd738d7f1b3e5a7ca70fe4ff75f0.us-east-1.aws.found.io/app/kibana#/discover/Steve-Slow-Train-Analysis-(2080s-and-2083s)?_g=(refreshInterval:(display:Off,pause:!f,section:0,value:0),time:(from:'2017-09-22T07:08:58-0600',mode:absolute,to:'2017-09-22T10:05:06-0600'))&amp;_a=(columns:!('Message%20ID',Summary),filters:!(),index:'emp_*',interval:auto,query:(query_string:(analyze_wildcard:!t,query:'Message%5C+ID:(*)+AND+%22rtdc.l.rtdc.4011%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668</v>
      </c>
      <c r="B46" s="7">
        <v>4018</v>
      </c>
      <c r="C46" s="21" t="s">
        <v>196</v>
      </c>
      <c r="D46" s="21" t="s">
        <v>375</v>
      </c>
      <c r="E46" s="13">
        <v>43000.319074074076</v>
      </c>
      <c r="F46" s="13">
        <v>43000.323101851849</v>
      </c>
      <c r="G46" s="7">
        <v>142</v>
      </c>
      <c r="H46" s="21" t="s">
        <v>461</v>
      </c>
      <c r="I46" s="13">
        <v>43000.350393518522</v>
      </c>
      <c r="J46" s="7">
        <v>0</v>
      </c>
      <c r="K46" s="89" t="str">
        <f t="shared" si="0"/>
        <v>4017/4018</v>
      </c>
      <c r="L46" s="185" t="str">
        <f>VLOOKUP(A46,'Trips&amp;Operators'!$C$1:$G$99911,5,FALSE)</f>
        <v>PAGE MARCUS</v>
      </c>
      <c r="M46" s="6">
        <f t="shared" si="1"/>
        <v>2.7291666672681458E-2</v>
      </c>
      <c r="N46" s="7">
        <f t="shared" si="25"/>
        <v>39.3000000086613</v>
      </c>
      <c r="O46" s="7"/>
      <c r="P46" s="7"/>
      <c r="Q46" s="22"/>
      <c r="R46" s="174"/>
      <c r="S46" s="221">
        <f t="shared" si="24"/>
        <v>1</v>
      </c>
      <c r="T46" s="174" t="str">
        <f t="shared" si="4"/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-09-22T06:39:28-0600',mode:absolute,to:'2017-09-22T09:24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6" s="204" t="str">
        <f>IF(AA46&lt;VLOOKUP(AG46,Variables!$AC$3:$AD$8,2,FALSE),"Y","N")</f>
        <v>N</v>
      </c>
      <c r="X46" s="204">
        <f t="shared" si="26"/>
        <v>1</v>
      </c>
      <c r="Y46" s="204">
        <f t="shared" si="27"/>
        <v>4.4200000000000003E-2</v>
      </c>
      <c r="Z46" s="204">
        <f t="shared" si="28"/>
        <v>23.328600000000002</v>
      </c>
      <c r="AA46" s="204">
        <f t="shared" si="9"/>
        <v>23.284400000000002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10"/>
        <v>133</v>
      </c>
      <c r="AE46" s="77" t="str">
        <f t="shared" si="11"/>
        <v>aws s3 cp s3://rtdc.mdm.uploadarchive.raw/RTDC4018/ "%USERPROFILE%\AppData\Local\Temp\OnboardLogs"\RTDC4018\2017-09-22 --exclude "*" --recursive --include "*20170922*" &amp; "%USERPROFILE%\Documents\GitHub\mrs-test-scripts\Headless Mode &amp; Sideloading\WalkAndUnGZ.bat" "%USERPROFILE%\AppData\Local\Temp\OnboardLogs"\RTDC4018\2017-09-22 &amp; aws s3 cp s3://rtdc.mdm.uploadarchive.raw/RTDC4018/ "%USERPROFILE%\AppData\Local\Temp\OnboardLogs"\RTDC4018\2017-09-23 --exclude "*" --recursive --include "*20170923*" &amp; "%USERPROFILE%\Documents\GitHub\mrs-test-scripts\Headless Mode &amp; Sideloading\WalkAndUnGZ.bat" "%USERPROFILE%\AppData\Local\Temp\OnboardLogs"\RTDC4018\2017-09-23</v>
      </c>
      <c r="AF46" s="74" t="str">
        <f t="shared" si="12"/>
        <v>"C:\Program Files (x86)\AstroGrep\AstroGrep.exe" /e /r /s /spath="%USERPROFILE%\AppData\Local\Temp\OnboardLogs" /stypes="app*4018*20170922*" /stext=" 14:.+((SYSTEM_STATE.+slice.+state.+changed )|(ment ac)|(multiple cpu faults)|(system.+state.+changed )|(\[timeout)|(PRM\|1\|D)|(kpr)|(kdp)|(train st.+moving)|(\|lc)|(penalty))"</v>
      </c>
      <c r="AG46" s="182" t="str">
        <f t="shared" si="13"/>
        <v>EC</v>
      </c>
      <c r="AH46" s="78" t="str">
        <f t="shared" si="19"/>
        <v>"%USERPROFILE%\Documents\GitHub\eaglep3\Utilities\RefineRTDCRunTimes.py" --tripid 133-22 --locoid 4018 --swversion DE.1.0.9.0 --startMP 204:442 --initTime 2017-09-22T07:39:28 --startdatetime 2017-09-22T07:45:16 --delay 142 --endMP 204:233286 --enddatetime 2017-09-22T08:24:34 --enforcementcount 0 &gt;&gt;c:\users\stu\Documents\GitHub\eaglep3-reporting\EC\2017-09-22-refined-times.txt</v>
      </c>
      <c r="AI46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{"issue":{"subject":"","project_id":79,"tracker_id":40,"status_id":1,"priority_id":2,"assigned_to_id":338,"start_date":"2017-09-22","description":"","custom_fields":[{"id":1,"name":"Subdivision","value":"EC"},{"id":4,"name":"Milepost","value":"23.3286"},{"id":17,"name":"Train ID","value":"133-22"},{"id":16,"name":"Locomotive ID","value":"4018"},{"id":130,"name":"Impact","value":""},{"id":150,"name":"Time of Event (Mountain Time)","value":"08:24:34"},{"id":151,"name":"Denver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1"/>
        <v>start /low /b %USERPROFILE%\Documents\GitHub\eaglep3\Utilities\DownloadLogsFromS3.py --loco 4018 --day 2017-09-22</v>
      </c>
      <c r="AN46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14:24:34"},{"id":29,"name":"Sharepoint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3"/>
        <v>https://d0f6bd738d7f1b3e5a7ca70fe4ff75f0.us-east-1.aws.found.io/app/kibana#/discover/Steve-Slow-Train-Analysis-(2080s-and-2083s)?_g=(refreshInterval:(display:Off,pause:!f,section:0,value:0),time:(from:'2017-09-22T06:39:28-0600',mode:absolute,to:'2017-09-22T09:24:34-0600'))&amp;_a=(columns:!('Message%20ID',Summary),filters:!(),index:'emp_*',interval:auto,query:(query_string:(analyze_wildcard:!t,query:'Message%5C+ID:(*)+AND+%22rtdc.l.rtdc.4018%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677</v>
      </c>
      <c r="B47" s="7">
        <v>4017</v>
      </c>
      <c r="C47" s="21" t="s">
        <v>196</v>
      </c>
      <c r="D47" s="21" t="s">
        <v>552</v>
      </c>
      <c r="E47" s="13">
        <v>43000.359699074077</v>
      </c>
      <c r="F47" s="13">
        <v>43000.362696759257</v>
      </c>
      <c r="G47" s="7">
        <v>71</v>
      </c>
      <c r="H47" s="21" t="s">
        <v>548</v>
      </c>
      <c r="I47" s="13">
        <v>43000.390972222223</v>
      </c>
      <c r="J47" s="7">
        <v>0</v>
      </c>
      <c r="K47" s="89" t="str">
        <f t="shared" si="0"/>
        <v>4017/4018</v>
      </c>
      <c r="L47" s="185" t="str">
        <f>VLOOKUP(A47,'Trips&amp;Operators'!$C$1:$G$99911,5,FALSE)</f>
        <v>PAGE MARCUS</v>
      </c>
      <c r="M47" s="6">
        <f t="shared" si="1"/>
        <v>2.8275462966121268E-2</v>
      </c>
      <c r="N47" s="7">
        <f t="shared" si="25"/>
        <v>40.716666671214625</v>
      </c>
      <c r="O47" s="7"/>
      <c r="P47" s="7"/>
      <c r="Q47" s="22"/>
      <c r="R47" s="174"/>
      <c r="S47" s="221">
        <f t="shared" si="24"/>
        <v>1</v>
      </c>
      <c r="T47" s="174" t="str">
        <f t="shared" si="4"/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-09-22T07:37:58-0600',mode:absolute,to:'2017-09-22T10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7" s="204" t="str">
        <f>IF(AA47&lt;VLOOKUP(AG47,Variables!$AC$3:$AD$8,2,FALSE),"Y","N")</f>
        <v>N</v>
      </c>
      <c r="X47" s="204">
        <f t="shared" si="26"/>
        <v>1</v>
      </c>
      <c r="Y47" s="204">
        <f t="shared" si="27"/>
        <v>23.298999999999999</v>
      </c>
      <c r="Z47" s="204">
        <f t="shared" si="28"/>
        <v>1.2699999999999999E-2</v>
      </c>
      <c r="AA47" s="204">
        <f t="shared" si="9"/>
        <v>23.286300000000001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10"/>
        <v>134</v>
      </c>
      <c r="AE47" s="77" t="str">
        <f t="shared" si="11"/>
        <v>aws s3 cp s3://rtdc.mdm.uploadarchive.raw/RTDC4017/ "%USERPROFILE%\AppData\Local\Temp\OnboardLogs"\RTDC4017\2017-09-22 --exclude "*" --recursive --include "*20170922*" &amp; "%USERPROFILE%\Documents\GitHub\mrs-test-scripts\Headless Mode &amp; Sideloading\WalkAndUnGZ.bat" "%USERPROFILE%\AppData\Local\Temp\OnboardLogs"\RTDC4017\2017-09-22 &amp; aws s3 cp s3://rtdc.mdm.uploadarchive.raw/RTDC4017/ "%USERPROFILE%\AppData\Local\Temp\OnboardLogs"\RTDC4017\2017-09-23 --exclude "*" --recursive --include "*20170923*" &amp; "%USERPROFILE%\Documents\GitHub\mrs-test-scripts\Headless Mode &amp; Sideloading\WalkAndUnGZ.bat" "%USERPROFILE%\AppData\Local\Temp\OnboardLogs"\RTDC4017\2017-09-23</v>
      </c>
      <c r="AF47" s="74" t="str">
        <f t="shared" si="12"/>
        <v>"C:\Program Files (x86)\AstroGrep\AstroGrep.exe" /e /r /s /spath="%USERPROFILE%\AppData\Local\Temp\OnboardLogs" /stypes="app*4017*20170922*" /stext=" 15:.+((SYSTEM_STATE.+slice.+state.+changed )|(ment ac)|(multiple cpu faults)|(system.+state.+changed )|(\[timeout)|(PRM\|1\|D)|(kpr)|(kdp)|(train st.+moving)|(\|lc)|(penalty))"</v>
      </c>
      <c r="AG47" s="182" t="str">
        <f t="shared" si="13"/>
        <v>EC</v>
      </c>
      <c r="AH47" s="78" t="str">
        <f t="shared" si="19"/>
        <v>"%USERPROFILE%\Documents\GitHub\eaglep3\Utilities\RefineRTDCRunTimes.py" --tripid 134-22 --locoid 4017 --swversion DE.1.0.9.0 --startMP 204:232990 --initTime 2017-09-22T08:37:58 --startdatetime 2017-09-22T08:42:17 --delay 71 --endMP 204:127 --enddatetime 2017-09-22T09:23:00 --enforcementcount 0 &gt;&gt;c:\users\stu\Documents\GitHub\eaglep3-reporting\EC\2017-09-22-refined-times.txt</v>
      </c>
      <c r="AI47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{"issue":{"subject":"","project_id":79,"tracker_id":40,"status_id":1,"priority_id":2,"assigned_to_id":338,"start_date":"2017-09-22","description":"","custom_fields":[{"id":1,"name":"Subdivision","value":"EC"},{"id":4,"name":"Milepost","value":"0.0127"},{"id":17,"name":"Train ID","value":"134-22"},{"id":16,"name":"Locomotive ID","value":"4017"},{"id":130,"name":"Impact","value":""},{"id":150,"name":"Time of Event (Mountain Time)","value":"09:23:00"},{"id":151,"name":"Denver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1"/>
        <v>start /low /b %USERPROFILE%\Documents\GitHub\eaglep3\Utilities\DownloadLogsFromS3.py --loco 4017 --day 2017-09-22</v>
      </c>
      <c r="AN47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15:23:00"},{"id":29,"name":"Sharepoint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3"/>
        <v>https://d0f6bd738d7f1b3e5a7ca70fe4ff75f0.us-east-1.aws.found.io/app/kibana#/discover/Steve-Slow-Train-Analysis-(2080s-and-2083s)?_g=(refreshInterval:(display:Off,pause:!f,section:0,value:0),time:(from:'2017-09-22T07:37:58-0600',mode:absolute,to:'2017-09-22T10:23:00-0600'))&amp;_a=(columns:!('Message%20ID',Summary),filters:!(),index:'emp_*',interval:auto,query:(query_string:(analyze_wildcard:!t,query:'Message%5C+ID:(*)+AND+%22rtdc.l.rtdc.4017%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670</v>
      </c>
      <c r="B48" s="7">
        <v>4032</v>
      </c>
      <c r="C48" s="21" t="s">
        <v>196</v>
      </c>
      <c r="D48" s="21" t="s">
        <v>396</v>
      </c>
      <c r="E48" s="13">
        <v>43000.329189814816</v>
      </c>
      <c r="F48" s="13">
        <v>43000.333564814813</v>
      </c>
      <c r="G48" s="7">
        <v>61</v>
      </c>
      <c r="H48" s="21" t="s">
        <v>408</v>
      </c>
      <c r="I48" s="13">
        <v>43000.359537037039</v>
      </c>
      <c r="J48" s="7">
        <v>0</v>
      </c>
      <c r="K48" s="89" t="str">
        <f t="shared" si="0"/>
        <v>4031/4032</v>
      </c>
      <c r="L48" s="185" t="str">
        <f>VLOOKUP(A48,'Trips&amp;Operators'!$C$1:$G$99911,5,FALSE)</f>
        <v>GEBRETEKLE DAGNEW</v>
      </c>
      <c r="M48" s="6">
        <f t="shared" si="1"/>
        <v>2.5972222225391306E-2</v>
      </c>
      <c r="N48" s="7">
        <f t="shared" si="25"/>
        <v>37.400000004563481</v>
      </c>
      <c r="O48" s="7"/>
      <c r="P48" s="7"/>
      <c r="Q48" s="22"/>
      <c r="R48" s="174"/>
      <c r="S48" s="221">
        <f t="shared" si="24"/>
        <v>1</v>
      </c>
      <c r="T48" s="174" t="str">
        <f t="shared" si="4"/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-09-22T06:54:02-0600',mode:absolute,to:'2017-09-22T09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8" s="204" t="str">
        <f>IF(AA48&lt;VLOOKUP(AG48,Variables!$AC$3:$AD$8,2,FALSE),"Y","N")</f>
        <v>N</v>
      </c>
      <c r="X48" s="204">
        <f t="shared" si="26"/>
        <v>1</v>
      </c>
      <c r="Y48" s="204">
        <f t="shared" si="27"/>
        <v>4.5100000000000001E-2</v>
      </c>
      <c r="Z48" s="204">
        <f t="shared" si="28"/>
        <v>23.3293</v>
      </c>
      <c r="AA48" s="204">
        <f t="shared" si="9"/>
        <v>23.284199999999998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10"/>
        <v>135</v>
      </c>
      <c r="AE48" s="77" t="str">
        <f t="shared" si="11"/>
        <v>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 &amp; aws s3 cp s3://rtdc.mdm.uploadarchive.raw/RTDC4032/ "%USERPROFILE%\AppData\Local\Temp\OnboardLogs"\RTDC4032\2017-09-23 --exclude "*" --recursive --include "*20170923*" &amp; "%USERPROFILE%\Documents\GitHub\mrs-test-scripts\Headless Mode &amp; Sideloading\WalkAndUnGZ.bat" "%USERPROFILE%\AppData\Local\Temp\OnboardLogs"\RTDC4032\2017-09-23</v>
      </c>
      <c r="AF48" s="74" t="str">
        <f t="shared" si="12"/>
        <v>"C:\Program Files (x86)\AstroGrep\AstroGrep.exe" /e /r /s /spath="%USERPROFILE%\AppData\Local\Temp\OnboardLogs" /stypes="app*4032*20170922*" /stext=" 14:.+((SYSTEM_STATE.+slice.+state.+changed )|(ment ac)|(multiple cpu faults)|(system.+state.+changed )|(\[timeout)|(PRM\|1\|D)|(kpr)|(kdp)|(train st.+moving)|(\|lc)|(penalty))"</v>
      </c>
      <c r="AG48" s="182" t="str">
        <f t="shared" si="13"/>
        <v>EC</v>
      </c>
      <c r="AH48" s="78" t="str">
        <f t="shared" si="19"/>
        <v>"%USERPROFILE%\Documents\GitHub\eaglep3\Utilities\RefineRTDCRunTimes.py" --tripid 135-22 --locoid 4032 --swversion DE.1.0.9.0 --startMP 204:451 --initTime 2017-09-22T07:54:02 --startdatetime 2017-09-22T08:00:20 --delay 61 --endMP 204:233293 --enddatetime 2017-09-22T08:37:44 --enforcementcount 0 &gt;&gt;c:\users\stu\Documents\GitHub\eaglep3-reporting\EC\2017-09-22-refined-times.txt</v>
      </c>
      <c r="AI48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{"issue":{"subject":"","project_id":79,"tracker_id":40,"status_id":1,"priority_id":2,"assigned_to_id":338,"start_date":"2017-09-22","description":"","custom_fields":[{"id":1,"name":"Subdivision","value":"EC"},{"id":4,"name":"Milepost","value":"23.3293"},{"id":17,"name":"Train ID","value":"135-22"},{"id":16,"name":"Locomotive ID","value":"4032"},{"id":130,"name":"Impact","value":""},{"id":150,"name":"Time of Event (Mountain Time)","value":"08:37:44"},{"id":151,"name":"Denver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1"/>
        <v>start /low /b %USERPROFILE%\Documents\GitHub\eaglep3\Utilities\DownloadLogsFromS3.py --loco 4032 --day 2017-09-22</v>
      </c>
      <c r="AN48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14:37:44"},{"id":29,"name":"Sharepoint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3"/>
        <v>https://d0f6bd738d7f1b3e5a7ca70fe4ff75f0.us-east-1.aws.found.io/app/kibana#/discover/Steve-Slow-Train-Analysis-(2080s-and-2083s)?_g=(refreshInterval:(display:Off,pause:!f,section:0,value:0),time:(from:'2017-09-22T06:54:02-0600',mode:absolute,to:'2017-09-22T09:37:44-0600'))&amp;_a=(columns:!('Message%20ID',Summary),filters:!(),index:'emp_*',interval:auto,query:(query_string:(analyze_wildcard:!t,query:'Message%5C+ID:(*)+AND+%22rtdc.l.rtdc.4032%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678</v>
      </c>
      <c r="B49" s="7">
        <v>4031</v>
      </c>
      <c r="C49" s="21" t="s">
        <v>196</v>
      </c>
      <c r="D49" s="21" t="s">
        <v>847</v>
      </c>
      <c r="E49" s="13">
        <v>43000.360682870371</v>
      </c>
      <c r="F49" s="13">
        <v>43000.373136574075</v>
      </c>
      <c r="G49" s="7">
        <v>48</v>
      </c>
      <c r="H49" s="21" t="s">
        <v>379</v>
      </c>
      <c r="I49" s="13">
        <v>43000.398217592592</v>
      </c>
      <c r="J49" s="7">
        <v>0</v>
      </c>
      <c r="K49" s="89" t="str">
        <f t="shared" si="0"/>
        <v>4031/4032</v>
      </c>
      <c r="L49" s="185" t="str">
        <f>VLOOKUP(A49,'Trips&amp;Operators'!$C$1:$G$99911,5,FALSE)</f>
        <v>GEBRETEKLE DAGNEW</v>
      </c>
      <c r="M49" s="6">
        <f t="shared" si="1"/>
        <v>2.5081018517084885E-2</v>
      </c>
      <c r="N49" s="7">
        <f t="shared" si="25"/>
        <v>36.116666664602235</v>
      </c>
      <c r="O49" s="7"/>
      <c r="P49" s="7"/>
      <c r="Q49" s="22"/>
      <c r="R49" s="174"/>
      <c r="S49" s="221">
        <f t="shared" si="24"/>
        <v>1</v>
      </c>
      <c r="T49" s="174" t="str">
        <f t="shared" si="4"/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-09-22T07:39:23-0600',mode:absolute,to:'2017-09-22T10:33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9" s="204" t="str">
        <f>IF(AA49&lt;VLOOKUP(AG49,Variables!$AC$3:$AD$8,2,FALSE),"Y","N")</f>
        <v>N</v>
      </c>
      <c r="X49" s="204">
        <f t="shared" si="26"/>
        <v>1</v>
      </c>
      <c r="Y49" s="204">
        <f t="shared" si="27"/>
        <v>23.296399999999998</v>
      </c>
      <c r="Z49" s="204">
        <f t="shared" si="28"/>
        <v>1.5800000000000002E-2</v>
      </c>
      <c r="AA49" s="204">
        <f t="shared" si="9"/>
        <v>23.2806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10"/>
        <v>136</v>
      </c>
      <c r="AE49" s="77" t="str">
        <f t="shared" si="11"/>
        <v>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 &amp; aws s3 cp s3://rtdc.mdm.uploadarchive.raw/RTDC4031/ "%USERPROFILE%\AppData\Local\Temp\OnboardLogs"\RTDC4031\2017-09-23 --exclude "*" --recursive --include "*20170923*" &amp; "%USERPROFILE%\Documents\GitHub\mrs-test-scripts\Headless Mode &amp; Sideloading\WalkAndUnGZ.bat" "%USERPROFILE%\AppData\Local\Temp\OnboardLogs"\RTDC4031\2017-09-23</v>
      </c>
      <c r="AF49" s="74" t="str">
        <f t="shared" si="12"/>
        <v>"C:\Program Files (x86)\AstroGrep\AstroGrep.exe" /e /r /s /spath="%USERPROFILE%\AppData\Local\Temp\OnboardLogs" /stypes="app*4031*20170922*" /stext=" 15:.+((SYSTEM_STATE.+slice.+state.+changed )|(ment ac)|(multiple cpu faults)|(system.+state.+changed )|(\[timeout)|(PRM\|1\|D)|(kpr)|(kdp)|(train st.+moving)|(\|lc)|(penalty))"</v>
      </c>
      <c r="AG49" s="182" t="str">
        <f t="shared" si="13"/>
        <v>EC</v>
      </c>
      <c r="AH49" s="78" t="str">
        <f t="shared" si="19"/>
        <v>"%USERPROFILE%\Documents\GitHub\eaglep3\Utilities\RefineRTDCRunTimes.py" --tripid 136-22 --locoid 4031 --swversion DE.1.0.9.0 --startMP 204:232964 --initTime 2017-09-22T08:39:23 --startdatetime 2017-09-22T08:57:19 --delay 48 --endMP 204:158 --enddatetime 2017-09-22T09:33:26 --enforcementcount 0 &gt;&gt;c:\users\stu\Documents\GitHub\eaglep3-reporting\EC\2017-09-22-refined-times.txt</v>
      </c>
      <c r="AI49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{"issue":{"subject":"","project_id":79,"tracker_id":40,"status_id":1,"priority_id":2,"assigned_to_id":338,"start_date":"2017-09-22","description":"","custom_fields":[{"id":1,"name":"Subdivision","value":"EC"},{"id":4,"name":"Milepost","value":"0.0158"},{"id":17,"name":"Train ID","value":"136-22"},{"id":16,"name":"Locomotive ID","value":"4031"},{"id":130,"name":"Impact","value":""},{"id":150,"name":"Time of Event (Mountain Time)","value":"09:33:26"},{"id":151,"name":"Denver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1"/>
        <v>start /low /b %USERPROFILE%\Documents\GitHub\eaglep3\Utilities\DownloadLogsFromS3.py --loco 4031 --day 2017-09-22</v>
      </c>
      <c r="AN49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15:33:26"},{"id":29,"name":"Sharepoint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3"/>
        <v>https://d0f6bd738d7f1b3e5a7ca70fe4ff75f0.us-east-1.aws.found.io/app/kibana#/discover/Steve-Slow-Train-Analysis-(2080s-and-2083s)?_g=(refreshInterval:(display:Off,pause:!f,section:0,value:0),time:(from:'2017-09-22T07:39:23-0600',mode:absolute,to:'2017-09-22T10:33:26-0600'))&amp;_a=(columns:!('Message%20ID',Summary),filters:!(),index:'emp_*',interval:auto,query:(query_string:(analyze_wildcard:!t,query:'Message%5C+ID:(*)+AND+%22rtdc.l.rtdc.4031%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672</v>
      </c>
      <c r="B50" s="7">
        <v>4060</v>
      </c>
      <c r="C50" s="21" t="s">
        <v>196</v>
      </c>
      <c r="D50" s="21" t="s">
        <v>347</v>
      </c>
      <c r="E50" s="13">
        <v>43000.337997685187</v>
      </c>
      <c r="F50" s="13">
        <v>43000.3440162037</v>
      </c>
      <c r="G50" s="7">
        <v>83</v>
      </c>
      <c r="H50" s="21" t="s">
        <v>841</v>
      </c>
      <c r="I50" s="13">
        <v>43000.371331018519</v>
      </c>
      <c r="J50" s="7">
        <v>0</v>
      </c>
      <c r="K50" s="89" t="str">
        <f t="shared" si="0"/>
        <v>4059/4060</v>
      </c>
      <c r="L50" s="185" t="str">
        <f>VLOOKUP(A50,'Trips&amp;Operators'!$C$1:$G$99911,5,FALSE)</f>
        <v>DAVIS WENDY</v>
      </c>
      <c r="M50" s="6">
        <f t="shared" si="1"/>
        <v>2.7314814818964805E-2</v>
      </c>
      <c r="N50" s="7">
        <f t="shared" si="25"/>
        <v>39.33333333930932</v>
      </c>
      <c r="O50" s="7"/>
      <c r="P50" s="7"/>
      <c r="Q50" s="22"/>
      <c r="R50" s="174"/>
      <c r="S50" s="221">
        <f t="shared" si="24"/>
        <v>1</v>
      </c>
      <c r="T50" s="174" t="str">
        <f t="shared" si="4"/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-09-22T07:06:43-0600',mode:absolute,to:'2017-09-22T09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0" s="204" t="str">
        <f>IF(AA50&lt;VLOOKUP(AG50,Variables!$AC$3:$AD$8,2,FALSE),"Y","N")</f>
        <v>N</v>
      </c>
      <c r="X50" s="204">
        <f t="shared" si="26"/>
        <v>1</v>
      </c>
      <c r="Y50" s="204">
        <f t="shared" si="27"/>
        <v>4.5499999999999999E-2</v>
      </c>
      <c r="Z50" s="204">
        <f t="shared" si="28"/>
        <v>23.328800000000001</v>
      </c>
      <c r="AA50" s="204">
        <f t="shared" si="9"/>
        <v>23.283300000000001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10"/>
        <v>137</v>
      </c>
      <c r="AE50" s="77" t="str">
        <f t="shared" si="11"/>
        <v>aws s3 cp s3://rtdc.mdm.uploadarchive.raw/RTDC4060/ "%USERPROFILE%\AppData\Local\Temp\OnboardLogs"\RTDC4060\2017-09-22 --exclude "*" --recursive --include "*20170922*" &amp; "%USERPROFILE%\Documents\GitHub\mrs-test-scripts\Headless Mode &amp; Sideloading\WalkAndUnGZ.bat" "%USERPROFILE%\AppData\Local\Temp\OnboardLogs"\RTDC4060\2017-09-22 &amp; aws s3 cp s3://rtdc.mdm.uploadarchive.raw/RTDC4060/ "%USERPROFILE%\AppData\Local\Temp\OnboardLogs"\RTDC4060\2017-09-23 --exclude "*" --recursive --include "*20170923*" &amp; "%USERPROFILE%\Documents\GitHub\mrs-test-scripts\Headless Mode &amp; Sideloading\WalkAndUnGZ.bat" "%USERPROFILE%\AppData\Local\Temp\OnboardLogs"\RTDC4060\2017-09-23</v>
      </c>
      <c r="AF50" s="74" t="str">
        <f t="shared" si="12"/>
        <v>"C:\Program Files (x86)\AstroGrep\AstroGrep.exe" /e /r /s /spath="%USERPROFILE%\AppData\Local\Temp\OnboardLogs" /stypes="app*4060*20170922*" /stext=" 14:.+((SYSTEM_STATE.+slice.+state.+changed )|(ment ac)|(multiple cpu faults)|(system.+state.+changed )|(\[timeout)|(PRM\|1\|D)|(kpr)|(kdp)|(train st.+moving)|(\|lc)|(penalty))"</v>
      </c>
      <c r="AG50" s="182" t="str">
        <f t="shared" si="13"/>
        <v>EC</v>
      </c>
      <c r="AH50" s="78" t="str">
        <f t="shared" si="19"/>
        <v>"%USERPROFILE%\Documents\GitHub\eaglep3\Utilities\RefineRTDCRunTimes.py" --tripid 137-22 --locoid 4060 --swversion DE.1.0.9.0 --startMP 204:455 --initTime 2017-09-22T08:06:43 --startdatetime 2017-09-22T08:15:23 --delay 83 --endMP 204:233288 --enddatetime 2017-09-22T08:54:43 --enforcementcount 0 &gt;&gt;c:\users\stu\Documents\GitHub\eaglep3-reporting\EC\2017-09-22-refined-times.txt</v>
      </c>
      <c r="AI50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{"issue":{"subject":"","project_id":79,"tracker_id":40,"status_id":1,"priority_id":2,"assigned_to_id":338,"start_date":"2017-09-22","description":"","custom_fields":[{"id":1,"name":"Subdivision","value":"EC"},{"id":4,"name":"Milepost","value":"23.3288"},{"id":17,"name":"Train ID","value":"137-22"},{"id":16,"name":"Locomotive ID","value":"4060"},{"id":130,"name":"Impact","value":""},{"id":150,"name":"Time of Event (Mountain Time)","value":"08:54:43"},{"id":151,"name":"Denver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1"/>
        <v>start /low /b %USERPROFILE%\Documents\GitHub\eaglep3\Utilities\DownloadLogsFromS3.py --loco 4060 --day 2017-09-22</v>
      </c>
      <c r="AN50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14:54:43"},{"id":29,"name":"Sharepoint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3"/>
        <v>https://d0f6bd738d7f1b3e5a7ca70fe4ff75f0.us-east-1.aws.found.io/app/kibana#/discover/Steve-Slow-Train-Analysis-(2080s-and-2083s)?_g=(refreshInterval:(display:Off,pause:!f,section:0,value:0),time:(from:'2017-09-22T07:06:43-0600',mode:absolute,to:'2017-09-22T09:54:43-0600'))&amp;_a=(columns:!('Message%20ID',Summary),filters:!(),index:'emp_*',interval:auto,query:(query_string:(analyze_wildcard:!t,query:'Message%5C+ID:(*)+AND+%22rtdc.l.rtdc.4060%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587</v>
      </c>
      <c r="B51" s="7">
        <v>4059</v>
      </c>
      <c r="C51" s="21" t="s">
        <v>196</v>
      </c>
      <c r="D51" s="21" t="s">
        <v>463</v>
      </c>
      <c r="E51" s="13">
        <v>43000.37300925926</v>
      </c>
      <c r="F51" s="13">
        <v>43000.38349537037</v>
      </c>
      <c r="G51" s="7">
        <v>90</v>
      </c>
      <c r="H51" s="21" t="s">
        <v>367</v>
      </c>
      <c r="I51" s="13">
        <v>43000.412951388891</v>
      </c>
      <c r="J51" s="7">
        <v>0</v>
      </c>
      <c r="K51" s="89" t="str">
        <f t="shared" si="0"/>
        <v>4059/4060</v>
      </c>
      <c r="L51" s="185" t="str">
        <f>VLOOKUP(A51,'Trips&amp;Operators'!$C$1:$G$99911,5,FALSE)</f>
        <v>DAVIS WENDY</v>
      </c>
      <c r="M51" s="6">
        <f t="shared" si="1"/>
        <v>2.9456018521159422E-2</v>
      </c>
      <c r="N51" s="7">
        <f t="shared" si="25"/>
        <v>42.416666670469567</v>
      </c>
      <c r="O51" s="7"/>
      <c r="P51" s="7"/>
      <c r="Q51" s="22"/>
      <c r="R51" s="174"/>
      <c r="S51" s="221">
        <f t="shared" si="24"/>
        <v>1</v>
      </c>
      <c r="T51" s="174" t="str">
        <f t="shared" si="4"/>
        <v>Southbound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5"/>
        <v>https://d0f6bd738d7f1b3e5a7ca70fe4ff75f0.us-east-1.aws.found.io/app/kibana#/discover/Steve-Slow-Train-Analysis-(2080s-and-2083s)?_g=(refreshInterval:(display:Off,pause:!f,section:0,value:0),time:(from:'2017-09-22T07:57:08-0600',mode:absolute,to:'2017-09-22T10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1" s="204" t="str">
        <f>IF(AA51&lt;VLOOKUP(AG51,Variables!$AC$3:$AD$8,2,FALSE),"Y","N")</f>
        <v>N</v>
      </c>
      <c r="X51" s="204">
        <f t="shared" si="26"/>
        <v>1</v>
      </c>
      <c r="Y51" s="204">
        <f t="shared" si="27"/>
        <v>23.2973</v>
      </c>
      <c r="Z51" s="204">
        <f t="shared" si="28"/>
        <v>1.5599999999999999E-2</v>
      </c>
      <c r="AA51" s="204">
        <f t="shared" si="9"/>
        <v>23.281700000000001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10"/>
        <v>138</v>
      </c>
      <c r="AE51" s="77" t="str">
        <f t="shared" si="11"/>
        <v>aws s3 cp s3://rtdc.mdm.uploadarchive.raw/RTDC4059/ "%USERPROFILE%\AppData\Local\Temp\OnboardLogs"\RTDC4059\2017-09-22 --exclude "*" --recursive --include "*20170922*" &amp; "%USERPROFILE%\Documents\GitHub\mrs-test-scripts\Headless Mode &amp; Sideloading\WalkAndUnGZ.bat" "%USERPROFILE%\AppData\Local\Temp\OnboardLogs"\RTDC4059\2017-09-22 &amp; aws s3 cp s3://rtdc.mdm.uploadarchive.raw/RTDC4059/ "%USERPROFILE%\AppData\Local\Temp\OnboardLogs"\RTDC4059\2017-09-23 --exclude "*" --recursive --include "*20170923*" &amp; "%USERPROFILE%\Documents\GitHub\mrs-test-scripts\Headless Mode &amp; Sideloading\WalkAndUnGZ.bat" "%USERPROFILE%\AppData\Local\Temp\OnboardLogs"\RTDC4059\2017-09-23</v>
      </c>
      <c r="AF51" s="74" t="str">
        <f t="shared" si="12"/>
        <v>"C:\Program Files (x86)\AstroGrep\AstroGrep.exe" /e /r /s /spath="%USERPROFILE%\AppData\Local\Temp\OnboardLogs" /stypes="app*4059*20170922*" /stext=" 15:.+((SYSTEM_STATE.+slice.+state.+changed )|(ment ac)|(multiple cpu faults)|(system.+state.+changed )|(\[timeout)|(PRM\|1\|D)|(kpr)|(kdp)|(train st.+moving)|(\|lc)|(penalty))"</v>
      </c>
      <c r="AG51" s="182" t="str">
        <f t="shared" si="13"/>
        <v>EC</v>
      </c>
      <c r="AH51" s="78" t="str">
        <f t="shared" si="19"/>
        <v>"%USERPROFILE%\Documents\GitHub\eaglep3\Utilities\RefineRTDCRunTimes.py" --tripid 138-22 --locoid 4059 --swversion DE.1.0.9.0 --startMP 204:232973 --initTime 2017-09-22T08:57:08 --startdatetime 2017-09-22T09:12:14 --delay 90 --endMP 204:156 --enddatetime 2017-09-22T09:54:39 --enforcementcount 0 &gt;&gt;c:\users\stu\Documents\GitHub\eaglep3-reporting\EC\2017-09-22-refined-times.txt</v>
      </c>
      <c r="AI51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{"issue":{"subject":"","project_id":79,"tracker_id":40,"status_id":1,"priority_id":2,"assigned_to_id":338,"start_date":"2017-09-22","description":"","custom_fields":[{"id":1,"name":"Subdivision","value":"EC"},{"id":4,"name":"Milepost","value":"0.0156"},{"id":17,"name":"Train ID","value":"138-22"},{"id":16,"name":"Locomotive ID","value":"4059"},{"id":130,"name":"Impact","value":""},{"id":150,"name":"Time of Event (Mountain Time)","value":"09:54:39"},{"id":151,"name":"Denver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1"/>
        <v>start /low /b %USERPROFILE%\Documents\GitHub\eaglep3\Utilities\DownloadLogsFromS3.py --loco 4059 --day 2017-09-22</v>
      </c>
      <c r="AN51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15:54:39"},{"id":29,"name":"Sharepoint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3"/>
        <v>https://d0f6bd738d7f1b3e5a7ca70fe4ff75f0.us-east-1.aws.found.io/app/kibana#/discover/Steve-Slow-Train-Analysis-(2080s-and-2083s)?_g=(refreshInterval:(display:Off,pause:!f,section:0,value:0),time:(from:'2017-09-22T07:57:08-0600',mode:absolute,to:'2017-09-22T10:54:39-0600'))&amp;_a=(columns:!('Message%20ID',Summary),filters:!(),index:'emp_*',interval:auto,query:(query_string:(analyze_wildcard:!t,query:'Message%5C+ID:(*)+AND+%22rtdc.l.rtdc.4059%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674</v>
      </c>
      <c r="B52" s="7">
        <v>4064</v>
      </c>
      <c r="C52" s="21" t="s">
        <v>196</v>
      </c>
      <c r="D52" s="21" t="s">
        <v>848</v>
      </c>
      <c r="E52" s="13">
        <v>43000.352418981478</v>
      </c>
      <c r="F52" s="13">
        <v>43000.354826388888</v>
      </c>
      <c r="G52" s="7">
        <v>58</v>
      </c>
      <c r="H52" s="21" t="s">
        <v>426</v>
      </c>
      <c r="I52" s="13">
        <v>43000.378865740742</v>
      </c>
      <c r="J52" s="7">
        <v>0</v>
      </c>
      <c r="K52" s="89" t="str">
        <f t="shared" si="0"/>
        <v>4063/4064</v>
      </c>
      <c r="L52" s="185" t="str">
        <f>VLOOKUP(A52,'Trips&amp;Operators'!$C$1:$G$99911,5,FALSE)</f>
        <v>YORK EDGAR</v>
      </c>
      <c r="M52" s="6">
        <f t="shared" si="1"/>
        <v>2.4039351854298729E-2</v>
      </c>
      <c r="N52" s="7">
        <f t="shared" si="25"/>
        <v>34.61666667019017</v>
      </c>
      <c r="O52" s="7"/>
      <c r="P52" s="7"/>
      <c r="Q52" s="22"/>
      <c r="R52" s="174"/>
      <c r="S52" s="221">
        <f t="shared" si="24"/>
        <v>1</v>
      </c>
      <c r="T52" s="174" t="str">
        <f t="shared" si="4"/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-09-22T07:27:29-0600',mode:absolute,to:'2017-09-22T10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2" s="204" t="str">
        <f>IF(AA52&lt;VLOOKUP(AG52,Variables!$AC$3:$AD$8,2,FALSE),"Y","N")</f>
        <v>N</v>
      </c>
      <c r="X52" s="204">
        <f t="shared" si="26"/>
        <v>1</v>
      </c>
      <c r="Y52" s="204">
        <f t="shared" si="27"/>
        <v>4.2599999999999999E-2</v>
      </c>
      <c r="Z52" s="204">
        <f t="shared" si="28"/>
        <v>23.331</v>
      </c>
      <c r="AA52" s="204">
        <f t="shared" si="9"/>
        <v>23.288399999999999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10"/>
        <v>139</v>
      </c>
      <c r="AE52" s="77" t="str">
        <f t="shared" si="11"/>
        <v>aws s3 cp s3://rtdc.mdm.uploadarchive.raw/RTDC4064/ "%USERPROFILE%\AppData\Local\Temp\OnboardLogs"\RTDC4064\2017-09-22 --exclude "*" --recursive --include "*20170922*" &amp; "%USERPROFILE%\Documents\GitHub\mrs-test-scripts\Headless Mode &amp; Sideloading\WalkAndUnGZ.bat" "%USERPROFILE%\AppData\Local\Temp\OnboardLogs"\RTDC4064\2017-09-22 &amp; aws s3 cp s3://rtdc.mdm.uploadarchive.raw/RTDC4064/ "%USERPROFILE%\AppData\Local\Temp\OnboardLogs"\RTDC4064\2017-09-23 --exclude "*" --recursive --include "*20170923*" &amp; "%USERPROFILE%\Documents\GitHub\mrs-test-scripts\Headless Mode &amp; Sideloading\WalkAndUnGZ.bat" "%USERPROFILE%\AppData\Local\Temp\OnboardLogs"\RTDC4064\2017-09-23</v>
      </c>
      <c r="AF52" s="74" t="str">
        <f t="shared" si="12"/>
        <v>"C:\Program Files (x86)\AstroGrep\AstroGrep.exe" /e /r /s /spath="%USERPROFILE%\AppData\Local\Temp\OnboardLogs" /stypes="app*4064*20170922*" /stext=" 15:.+((SYSTEM_STATE.+slice.+state.+changed )|(ment ac)|(multiple cpu faults)|(system.+state.+changed )|(\[timeout)|(PRM\|1\|D)|(kpr)|(kdp)|(train st.+moving)|(\|lc)|(penalty))"</v>
      </c>
      <c r="AG52" s="182" t="str">
        <f t="shared" si="13"/>
        <v>EC</v>
      </c>
      <c r="AH52" s="78" t="str">
        <f t="shared" si="19"/>
        <v>"%USERPROFILE%\Documents\GitHub\eaglep3\Utilities\RefineRTDCRunTimes.py" --tripid 139-22 --locoid 4064 --swversion DE.1.0.9.0 --startMP 204:426 --initTime 2017-09-22T08:27:29 --startdatetime 2017-09-22T08:30:57 --delay 58 --endMP 204:233310 --enddatetime 2017-09-22T09:05:34 --enforcementcount 0 &gt;&gt;c:\users\stu\Documents\GitHub\eaglep3-reporting\EC\2017-09-22-refined-times.txt</v>
      </c>
      <c r="AI52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{"issue":{"subject":"","project_id":79,"tracker_id":40,"status_id":1,"priority_id":2,"assigned_to_id":338,"start_date":"2017-09-22","description":"","custom_fields":[{"id":1,"name":"Subdivision","value":"EC"},{"id":4,"name":"Milepost","value":"23.331"},{"id":17,"name":"Train ID","value":"139-22"},{"id":16,"name":"Locomotive ID","value":"4064"},{"id":130,"name":"Impact","value":""},{"id":150,"name":"Time of Event (Mountain Time)","value":"09:05:34"},{"id":151,"name":"Denver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1"/>
        <v>start /low /b %USERPROFILE%\Documents\GitHub\eaglep3\Utilities\DownloadLogsFromS3.py --loco 4064 --day 2017-09-22</v>
      </c>
      <c r="AN52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15:05:34"},{"id":29,"name":"Sharepoint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3"/>
        <v>https://d0f6bd738d7f1b3e5a7ca70fe4ff75f0.us-east-1.aws.found.io/app/kibana#/discover/Steve-Slow-Train-Analysis-(2080s-and-2083s)?_g=(refreshInterval:(display:Off,pause:!f,section:0,value:0),time:(from:'2017-09-22T07:27:29-0600',mode:absolute,to:'2017-09-22T10:05:34-0600'))&amp;_a=(columns:!('Message%20ID',Summary),filters:!(),index:'emp_*',interval:auto,query:(query_string:(analyze_wildcard:!t,query:'Message%5C+ID:(*)+AND+%22rtdc.l.rtdc.4064%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590</v>
      </c>
      <c r="B53" s="7">
        <v>4063</v>
      </c>
      <c r="C53" s="21" t="s">
        <v>196</v>
      </c>
      <c r="D53" s="21" t="s">
        <v>844</v>
      </c>
      <c r="E53" s="13">
        <v>43000.392731481479</v>
      </c>
      <c r="F53" s="13">
        <v>43000.39402777778</v>
      </c>
      <c r="G53" s="7">
        <v>43</v>
      </c>
      <c r="H53" s="21" t="s">
        <v>357</v>
      </c>
      <c r="I53" s="13">
        <v>43000.421493055554</v>
      </c>
      <c r="J53" s="7">
        <v>0</v>
      </c>
      <c r="K53" s="89" t="str">
        <f t="shared" si="0"/>
        <v>4063/4064</v>
      </c>
      <c r="L53" s="185" t="str">
        <f>VLOOKUP(A53,'Trips&amp;Operators'!$C$1:$G$99911,5,FALSE)</f>
        <v>YORK EDGAR</v>
      </c>
      <c r="M53" s="6">
        <f t="shared" si="1"/>
        <v>2.7465277773444541E-2</v>
      </c>
      <c r="N53" s="7">
        <f t="shared" si="25"/>
        <v>39.549999993760139</v>
      </c>
      <c r="O53" s="7"/>
      <c r="P53" s="7"/>
      <c r="Q53" s="22"/>
      <c r="R53" s="174"/>
      <c r="S53" s="221">
        <f t="shared" si="24"/>
        <v>1</v>
      </c>
      <c r="T53" s="174" t="str">
        <f t="shared" si="4"/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-09-22T08:25:32-0600',mode:absolute,to:'2017-09-22T11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3" s="204" t="str">
        <f>IF(AA53&lt;VLOOKUP(AG53,Variables!$AC$3:$AD$8,2,FALSE),"Y","N")</f>
        <v>N</v>
      </c>
      <c r="X53" s="204">
        <f t="shared" si="26"/>
        <v>1</v>
      </c>
      <c r="Y53" s="204">
        <f t="shared" si="27"/>
        <v>23.2989</v>
      </c>
      <c r="Z53" s="204">
        <f t="shared" si="28"/>
        <v>1.52E-2</v>
      </c>
      <c r="AA53" s="204">
        <f t="shared" si="9"/>
        <v>23.2837</v>
      </c>
      <c r="AB53" s="54" t="str">
        <f>VLOOKUP(A53,Enforcements!$C$7:$K$11,8,0)</f>
        <v>Bulletin (2)</v>
      </c>
      <c r="AC53" s="51" t="str">
        <f>VLOOKUP(A53,Enforcements!$C$7:$E$11,3,0)</f>
        <v>GRADE CROSSING</v>
      </c>
      <c r="AD53" s="179">
        <f t="shared" si="10"/>
        <v>140</v>
      </c>
      <c r="AE53" s="77" t="str">
        <f t="shared" si="11"/>
        <v>aws s3 cp s3://rtdc.mdm.uploadarchive.raw/RTDC4063/ "%USERPROFILE%\AppData\Local\Temp\OnboardLogs"\RTDC4063\2017-09-22 --exclude "*" --recursive --include "*20170922*" &amp; "%USERPROFILE%\Documents\GitHub\mrs-test-scripts\Headless Mode &amp; Sideloading\WalkAndUnGZ.bat" "%USERPROFILE%\AppData\Local\Temp\OnboardLogs"\RTDC4063\2017-09-22 &amp; aws s3 cp s3://rtdc.mdm.uploadarchive.raw/RTDC4063/ "%USERPROFILE%\AppData\Local\Temp\OnboardLogs"\RTDC4063\2017-09-23 --exclude "*" --recursive --include "*20170923*" &amp; "%USERPROFILE%\Documents\GitHub\mrs-test-scripts\Headless Mode &amp; Sideloading\WalkAndUnGZ.bat" "%USERPROFILE%\AppData\Local\Temp\OnboardLogs"\RTDC4063\2017-09-23</v>
      </c>
      <c r="AF53" s="74" t="str">
        <f t="shared" si="12"/>
        <v>"C:\Program Files (x86)\AstroGrep\AstroGrep.exe" /e /r /s /spath="%USERPROFILE%\AppData\Local\Temp\OnboardLogs" /stypes="app*4063*20170922*" /stext=" 16:.+((SYSTEM_STATE.+slice.+state.+changed )|(ment ac)|(multiple cpu faults)|(system.+state.+changed )|(\[timeout)|(PRM\|1\|D)|(kpr)|(kdp)|(train st.+moving)|(\|lc)|(penalty))"</v>
      </c>
      <c r="AG53" s="182" t="str">
        <f t="shared" si="13"/>
        <v>EC</v>
      </c>
      <c r="AH53" s="78" t="str">
        <f t="shared" si="19"/>
        <v>"%USERPROFILE%\Documents\GitHub\eaglep3\Utilities\RefineRTDCRunTimes.py" --tripid 140-22 --locoid 4063 --swversion DE.1.0.9.0 --startMP 204:232989 --initTime 2017-09-22T09:25:32 --startdatetime 2017-09-22T09:27:24 --delay 43 --endMP 204:152 --enddatetime 2017-09-22T10:06:57 --enforcementcount 0 &gt;&gt;c:\users\stu\Documents\GitHub\eaglep3-reporting\EC\2017-09-22-refined-times.txt</v>
      </c>
      <c r="AI53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{"issue":{"subject":"","project_id":79,"tracker_id":40,"status_id":1,"priority_id":2,"assigned_to_id":338,"start_date":"2017-09-22","description":"","custom_fields":[{"id":1,"name":"Subdivision","value":"EC"},{"id":4,"name":"Milepost","value":"0.0152"},{"id":17,"name":"Train ID","value":"140-22"},{"id":16,"name":"Locomotive ID","value":"4063"},{"id":130,"name":"Impact","value":""},{"id":150,"name":"Time of Event (Mountain Time)","value":"10:06:57"},{"id":151,"name":"Denver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1"/>
        <v>start /low /b %USERPROFILE%\Documents\GitHub\eaglep3\Utilities\DownloadLogsFromS3.py --loco 4063 --day 2017-09-22</v>
      </c>
      <c r="AN53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16:06:57"},{"id":29,"name":"Sharepoint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3"/>
        <v>https://d0f6bd738d7f1b3e5a7ca70fe4ff75f0.us-east-1.aws.found.io/app/kibana#/discover/Steve-Slow-Train-Analysis-(2080s-and-2083s)?_g=(refreshInterval:(display:Off,pause:!f,section:0,value:0),time:(from:'2017-09-22T08:25:32-0600',mode:absolute,to:'2017-09-22T11:06:57-0600'))&amp;_a=(columns:!('Message%20ID',Summary),filters:!(),index:'emp_*',interval:auto,query:(query_string:(analyze_wildcard:!t,query:'Message%5C+ID:(*)+AND+%22rtdc.l.rtdc.4063%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679</v>
      </c>
      <c r="B54" s="7">
        <v>4062</v>
      </c>
      <c r="C54" s="21" t="s">
        <v>196</v>
      </c>
      <c r="D54" s="21" t="s">
        <v>849</v>
      </c>
      <c r="E54" s="13">
        <v>43000.362453703703</v>
      </c>
      <c r="F54" s="13">
        <v>43000.364884259259</v>
      </c>
      <c r="G54" s="7">
        <v>52</v>
      </c>
      <c r="H54" s="21" t="s">
        <v>850</v>
      </c>
      <c r="I54" s="13">
        <v>43000.388958333337</v>
      </c>
      <c r="J54" s="7">
        <v>0</v>
      </c>
      <c r="K54" s="89" t="str">
        <f t="shared" si="0"/>
        <v>4061/4062</v>
      </c>
      <c r="L54" s="185" t="str">
        <f>VLOOKUP(A54,'Trips&amp;Operators'!$C$1:$G$99911,5,FALSE)</f>
        <v>BEAM ROSS</v>
      </c>
      <c r="M54" s="6">
        <f t="shared" si="1"/>
        <v>2.4074074077361729E-2</v>
      </c>
      <c r="N54" s="7">
        <f t="shared" ref="N54:N85" si="29">24*60*SUM($M54:$M54)</f>
        <v>34.66666667140089</v>
      </c>
      <c r="O54" s="7"/>
      <c r="P54" s="7"/>
      <c r="Q54" s="22"/>
      <c r="R54" s="174"/>
      <c r="S54" s="221">
        <f t="shared" si="24"/>
        <v>1</v>
      </c>
      <c r="T54" s="174" t="str">
        <f t="shared" si="4"/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-09-22T07:41:56-0600',mode:absolute,to:'2017-09-22T10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4" s="204" t="str">
        <f>IF(AA54&lt;VLOOKUP(AG54,Variables!$AC$3:$AD$8,2,FALSE),"Y","N")</f>
        <v>N</v>
      </c>
      <c r="X54" s="204">
        <f t="shared" si="26"/>
        <v>1</v>
      </c>
      <c r="Y54" s="204">
        <f t="shared" si="27"/>
        <v>0.05</v>
      </c>
      <c r="Z54" s="204">
        <f t="shared" si="28"/>
        <v>23.331399999999999</v>
      </c>
      <c r="AA54" s="204">
        <f t="shared" si="9"/>
        <v>23.281399999999998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10"/>
        <v>141</v>
      </c>
      <c r="AE54" s="77" t="str">
        <f t="shared" si="11"/>
        <v>aws s3 cp s3://rtdc.mdm.uploadarchive.raw/RTDC4062/ "%USERPROFILE%\AppData\Local\Temp\OnboardLogs"\RTDC4062\2017-09-22 --exclude "*" --recursive --include "*20170922*" &amp; "%USERPROFILE%\Documents\GitHub\mrs-test-scripts\Headless Mode &amp; Sideloading\WalkAndUnGZ.bat" "%USERPROFILE%\AppData\Local\Temp\OnboardLogs"\RTDC4062\2017-09-22 &amp; aws s3 cp s3://rtdc.mdm.uploadarchive.raw/RTDC4062/ "%USERPROFILE%\AppData\Local\Temp\OnboardLogs"\RTDC4062\2017-09-23 --exclude "*" --recursive --include "*20170923*" &amp; "%USERPROFILE%\Documents\GitHub\mrs-test-scripts\Headless Mode &amp; Sideloading\WalkAndUnGZ.bat" "%USERPROFILE%\AppData\Local\Temp\OnboardLogs"\RTDC4062\2017-09-23</v>
      </c>
      <c r="AF54" s="74" t="str">
        <f t="shared" si="12"/>
        <v>"C:\Program Files (x86)\AstroGrep\AstroGrep.exe" /e /r /s /spath="%USERPROFILE%\AppData\Local\Temp\OnboardLogs" /stypes="app*4062*20170922*" /stext=" 15:.+((SYSTEM_STATE.+slice.+state.+changed )|(ment ac)|(multiple cpu faults)|(system.+state.+changed )|(\[timeout)|(PRM\|1\|D)|(kpr)|(kdp)|(train st.+moving)|(\|lc)|(penalty))"</v>
      </c>
      <c r="AG54" s="182" t="str">
        <f t="shared" si="13"/>
        <v>EC</v>
      </c>
      <c r="AH54" s="78" t="str">
        <f t="shared" si="19"/>
        <v>"%USERPROFILE%\Documents\GitHub\eaglep3\Utilities\RefineRTDCRunTimes.py" --tripid 141-22 --locoid 4062 --swversion DE.1.0.9.0 --startMP 204:500 --initTime 2017-09-22T08:41:56 --startdatetime 2017-09-22T08:45:26 --delay 52 --endMP 204:233314 --enddatetime 2017-09-22T09:20:06 --enforcementcount 0 &gt;&gt;c:\users\stu\Documents\GitHub\eaglep3-reporting\EC\2017-09-22-refined-times.txt</v>
      </c>
      <c r="AI54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{"issue":{"subject":"","project_id":79,"tracker_id":40,"status_id":1,"priority_id":2,"assigned_to_id":338,"start_date":"2017-09-22","description":"","custom_fields":[{"id":1,"name":"Subdivision","value":"EC"},{"id":4,"name":"Milepost","value":"23.3314"},{"id":17,"name":"Train ID","value":"141-22"},{"id":16,"name":"Locomotive ID","value":"4062"},{"id":130,"name":"Impact","value":""},{"id":150,"name":"Time of Event (Mountain Time)","value":"09:20:06"},{"id":151,"name":"Denver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1"/>
        <v>start /low /b %USERPROFILE%\Documents\GitHub\eaglep3\Utilities\DownloadLogsFromS3.py --loco 4062 --day 2017-09-22</v>
      </c>
      <c r="AN54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15:20:06"},{"id":29,"name":"Sharepoint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3"/>
        <v>https://d0f6bd738d7f1b3e5a7ca70fe4ff75f0.us-east-1.aws.found.io/app/kibana#/discover/Steve-Slow-Train-Analysis-(2080s-and-2083s)?_g=(refreshInterval:(display:Off,pause:!f,section:0,value:0),time:(from:'2017-09-22T07:41:56-0600',mode:absolute,to:'2017-09-22T10:20:06-0600'))&amp;_a=(columns:!('Message%20ID',Summary),filters:!(),index:'emp_*',interval:auto,query:(query_string:(analyze_wildcard:!t,query:'Message%5C+ID:(*)+AND+%22rtdc.l.rtdc.4062%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682</v>
      </c>
      <c r="B55" s="7">
        <v>4061</v>
      </c>
      <c r="C55" s="21" t="s">
        <v>196</v>
      </c>
      <c r="D55" s="21" t="s">
        <v>418</v>
      </c>
      <c r="E55" s="13">
        <v>43000.390497685185</v>
      </c>
      <c r="F55" s="13">
        <v>43000.404398148145</v>
      </c>
      <c r="G55" s="7">
        <v>62</v>
      </c>
      <c r="H55" s="21" t="s">
        <v>361</v>
      </c>
      <c r="I55" s="13">
        <v>43000.429629629631</v>
      </c>
      <c r="J55" s="7">
        <v>0</v>
      </c>
      <c r="K55" s="89" t="str">
        <f t="shared" si="0"/>
        <v>4061/4062</v>
      </c>
      <c r="L55" s="185" t="str">
        <f>VLOOKUP(A55,'Trips&amp;Operators'!$C$1:$G$99911,5,FALSE)</f>
        <v>BEAM ROSS</v>
      </c>
      <c r="M55" s="6">
        <f t="shared" si="1"/>
        <v>2.5231481486116536E-2</v>
      </c>
      <c r="N55" s="7">
        <f t="shared" si="29"/>
        <v>36.333333340007812</v>
      </c>
      <c r="O55" s="7"/>
      <c r="P55" s="7"/>
      <c r="Q55" s="22"/>
      <c r="R55" s="174"/>
      <c r="S55" s="221">
        <f t="shared" si="24"/>
        <v>1</v>
      </c>
      <c r="T55" s="174" t="str">
        <f t="shared" si="4"/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-09-22T08:22:19-0600',mode:absolute,to:'2017-09-22T11:18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5" s="204" t="str">
        <f>IF(AA55&lt;VLOOKUP(AG55,Variables!$AC$3:$AD$8,2,FALSE),"Y","N")</f>
        <v>N</v>
      </c>
      <c r="X55" s="204">
        <f t="shared" si="26"/>
        <v>1</v>
      </c>
      <c r="Y55" s="204">
        <f t="shared" si="27"/>
        <v>23.298200000000001</v>
      </c>
      <c r="Z55" s="204">
        <f t="shared" si="28"/>
        <v>1.4500000000000001E-2</v>
      </c>
      <c r="AA55" s="204">
        <f t="shared" si="9"/>
        <v>23.2837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10"/>
        <v>142</v>
      </c>
      <c r="AE55" s="77" t="str">
        <f t="shared" si="11"/>
        <v>aws s3 cp s3://rtdc.mdm.uploadarchive.raw/RTDC4061/ "%USERPROFILE%\AppData\Local\Temp\OnboardLogs"\RTDC4061\2017-09-22 --exclude "*" --recursive --include "*20170922*" &amp; "%USERPROFILE%\Documents\GitHub\mrs-test-scripts\Headless Mode &amp; Sideloading\WalkAndUnGZ.bat" "%USERPROFILE%\AppData\Local\Temp\OnboardLogs"\RTDC4061\2017-09-22 &amp; aws s3 cp s3://rtdc.mdm.uploadarchive.raw/RTDC4061/ "%USERPROFILE%\AppData\Local\Temp\OnboardLogs"\RTDC4061\2017-09-23 --exclude "*" --recursive --include "*20170923*" &amp; "%USERPROFILE%\Documents\GitHub\mrs-test-scripts\Headless Mode &amp; Sideloading\WalkAndUnGZ.bat" "%USERPROFILE%\AppData\Local\Temp\OnboardLogs"\RTDC4061\2017-09-23</v>
      </c>
      <c r="AF55" s="74" t="str">
        <f t="shared" si="12"/>
        <v>"C:\Program Files (x86)\AstroGrep\AstroGrep.exe" /e /r /s /spath="%USERPROFILE%\AppData\Local\Temp\OnboardLogs" /stypes="app*4061*20170922*" /stext=" 16:.+((SYSTEM_STATE.+slice.+state.+changed )|(ment ac)|(multiple cpu faults)|(system.+state.+changed )|(\[timeout)|(PRM\|1\|D)|(kpr)|(kdp)|(train st.+moving)|(\|lc)|(penalty))"</v>
      </c>
      <c r="AG55" s="182" t="str">
        <f t="shared" si="13"/>
        <v>EC</v>
      </c>
      <c r="AH55" s="78" t="str">
        <f t="shared" si="19"/>
        <v>"%USERPROFILE%\Documents\GitHub\eaglep3\Utilities\RefineRTDCRunTimes.py" --tripid 142-22 --locoid 4061 --swversion DE.1.0.9.0 --startMP 204:232982 --initTime 2017-09-22T09:22:19 --startdatetime 2017-09-22T09:42:20 --delay 62 --endMP 204:145 --enddatetime 2017-09-22T10:18:40 --enforcementcount 0 &gt;&gt;c:\users\stu\Documents\GitHub\eaglep3-reporting\EC\2017-09-22-refined-times.txt</v>
      </c>
      <c r="AI55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{"issue":{"subject":"","project_id":79,"tracker_id":40,"status_id":1,"priority_id":2,"assigned_to_id":338,"start_date":"2017-09-22","description":"","custom_fields":[{"id":1,"name":"Subdivision","value":"EC"},{"id":4,"name":"Milepost","value":"0.0145"},{"id":17,"name":"Train ID","value":"142-22"},{"id":16,"name":"Locomotive ID","value":"4061"},{"id":130,"name":"Impact","value":""},{"id":150,"name":"Time of Event (Mountain Time)","value":"10:18:40"},{"id":151,"name":"Denver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1"/>
        <v>start /low /b %USERPROFILE%\Documents\GitHub\eaglep3\Utilities\DownloadLogsFromS3.py --loco 4061 --day 2017-09-22</v>
      </c>
      <c r="AN55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16:18:40"},{"id":29,"name":"Sharepoint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3"/>
        <v>https://d0f6bd738d7f1b3e5a7ca70fe4ff75f0.us-east-1.aws.found.io/app/kibana#/discover/Steve-Slow-Train-Analysis-(2080s-and-2083s)?_g=(refreshInterval:(display:Off,pause:!f,section:0,value:0),time:(from:'2017-09-22T08:22:19-0600',mode:absolute,to:'2017-09-22T11:18:40-0600'))&amp;_a=(columns:!('Message%20ID',Summary),filters:!(),index:'emp_*',interval:auto,query:(query_string:(analyze_wildcard:!t,query:'Message%5C+ID:(*)+AND+%22rtdc.l.rtdc.4061%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680</v>
      </c>
      <c r="B56" s="7">
        <v>4044</v>
      </c>
      <c r="C56" s="21" t="s">
        <v>196</v>
      </c>
      <c r="D56" s="21" t="s">
        <v>394</v>
      </c>
      <c r="E56" s="13">
        <v>43000.374224537038</v>
      </c>
      <c r="F56" s="13">
        <v>43000.377395833333</v>
      </c>
      <c r="G56" s="7">
        <v>78</v>
      </c>
      <c r="H56" s="21" t="s">
        <v>834</v>
      </c>
      <c r="I56" s="13">
        <v>43000.403449074074</v>
      </c>
      <c r="J56" s="7">
        <v>0</v>
      </c>
      <c r="K56" s="89" t="str">
        <f t="shared" si="0"/>
        <v>4043/4044</v>
      </c>
      <c r="L56" s="185" t="str">
        <f>VLOOKUP(A56,'Trips&amp;Operators'!$C$1:$G$99911,5,FALSE)</f>
        <v>LANGERAK WILLIAM</v>
      </c>
      <c r="M56" s="6">
        <f t="shared" si="1"/>
        <v>2.6053240741021E-2</v>
      </c>
      <c r="N56" s="7">
        <f t="shared" si="29"/>
        <v>37.51666666707024</v>
      </c>
      <c r="O56" s="7"/>
      <c r="P56" s="7"/>
      <c r="Q56" s="22"/>
      <c r="R56" s="174"/>
      <c r="S56" s="221">
        <f t="shared" si="24"/>
        <v>1</v>
      </c>
      <c r="T56" s="174" t="str">
        <f t="shared" si="4"/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-09-22T07:58:53-0600',mode:absolute,to:'2017-09-22T10:40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6" s="204" t="str">
        <f>IF(AA56&lt;VLOOKUP(AG56,Variables!$AC$3:$AD$8,2,FALSE),"Y","N")</f>
        <v>N</v>
      </c>
      <c r="X56" s="204">
        <f t="shared" si="26"/>
        <v>1</v>
      </c>
      <c r="Y56" s="204">
        <f t="shared" si="27"/>
        <v>4.6199999999999998E-2</v>
      </c>
      <c r="Z56" s="204">
        <f t="shared" si="28"/>
        <v>23.3291</v>
      </c>
      <c r="AA56" s="204">
        <f t="shared" si="9"/>
        <v>23.282900000000001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10"/>
        <v>143</v>
      </c>
      <c r="AE56" s="77" t="str">
        <f t="shared" si="11"/>
        <v>aws s3 cp s3://rtdc.mdm.uploadarchive.raw/RTDC4044/ "%USERPROFILE%\AppData\Local\Temp\OnboardLogs"\RTDC4044\2017-09-22 --exclude "*" --recursive --include "*20170922*" &amp; "%USERPROFILE%\Documents\GitHub\mrs-test-scripts\Headless Mode &amp; Sideloading\WalkAndUnGZ.bat" "%USERPROFILE%\AppData\Local\Temp\OnboardLogs"\RTDC4044\2017-09-22 &amp; aws s3 cp s3://rtdc.mdm.uploadarchive.raw/RTDC4044/ "%USERPROFILE%\AppData\Local\Temp\OnboardLogs"\RTDC4044\2017-09-23 --exclude "*" --recursive --include "*20170923*" &amp; "%USERPROFILE%\Documents\GitHub\mrs-test-scripts\Headless Mode &amp; Sideloading\WalkAndUnGZ.bat" "%USERPROFILE%\AppData\Local\Temp\OnboardLogs"\RTDC4044\2017-09-23</v>
      </c>
      <c r="AF56" s="74" t="str">
        <f t="shared" si="12"/>
        <v>"C:\Program Files (x86)\AstroGrep\AstroGrep.exe" /e /r /s /spath="%USERPROFILE%\AppData\Local\Temp\OnboardLogs" /stypes="app*4044*20170922*" /stext=" 15:.+((SYSTEM_STATE.+slice.+state.+changed )|(ment ac)|(multiple cpu faults)|(system.+state.+changed )|(\[timeout)|(PRM\|1\|D)|(kpr)|(kdp)|(train st.+moving)|(\|lc)|(penalty))"</v>
      </c>
      <c r="AG56" s="182" t="str">
        <f t="shared" si="13"/>
        <v>EC</v>
      </c>
      <c r="AH56" s="78" t="str">
        <f t="shared" si="19"/>
        <v>"%USERPROFILE%\Documents\GitHub\eaglep3\Utilities\RefineRTDCRunTimes.py" --tripid 143-22 --locoid 4044 --swversion DE.1.0.9.0 --startMP 204:462 --initTime 2017-09-22T08:58:53 --startdatetime 2017-09-22T09:03:27 --delay 78 --endMP 204:233291 --enddatetime 2017-09-22T09:40:58 --enforcementcount 0 &gt;&gt;c:\users\stu\Documents\GitHub\eaglep3-reporting\EC\2017-09-22-refined-times.txt</v>
      </c>
      <c r="AI56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{"issue":{"subject":"","project_id":79,"tracker_id":40,"status_id":1,"priority_id":2,"assigned_to_id":338,"start_date":"2017-09-22","description":"","custom_fields":[{"id":1,"name":"Subdivision","value":"EC"},{"id":4,"name":"Milepost","value":"23.3291"},{"id":17,"name":"Train ID","value":"143-22"},{"id":16,"name":"Locomotive ID","value":"4044"},{"id":130,"name":"Impact","value":""},{"id":150,"name":"Time of Event (Mountain Time)","value":"09:40:58"},{"id":151,"name":"Denver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1"/>
        <v>start /low /b %USERPROFILE%\Documents\GitHub\eaglep3\Utilities\DownloadLogsFromS3.py --loco 4044 --day 2017-09-22</v>
      </c>
      <c r="AN56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15:40:58"},{"id":29,"name":"Sharepoint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3"/>
        <v>https://d0f6bd738d7f1b3e5a7ca70fe4ff75f0.us-east-1.aws.found.io/app/kibana#/discover/Steve-Slow-Train-Analysis-(2080s-and-2083s)?_g=(refreshInterval:(display:Off,pause:!f,section:0,value:0),time:(from:'2017-09-22T07:58:53-0600',mode:absolute,to:'2017-09-22T10:40:58-0600'))&amp;_a=(columns:!('Message%20ID',Summary),filters:!(),index:'emp_*',interval:auto,query:(query_string:(analyze_wildcard:!t,query:'Message%5C+ID:(*)+AND+%22rtdc.l.rtdc.4044%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686</v>
      </c>
      <c r="B57" s="7">
        <v>4043</v>
      </c>
      <c r="C57" s="21" t="s">
        <v>196</v>
      </c>
      <c r="D57" s="21" t="s">
        <v>839</v>
      </c>
      <c r="E57" s="13">
        <v>43000.404733796298</v>
      </c>
      <c r="F57" s="13">
        <v>43000.414861111109</v>
      </c>
      <c r="G57" s="7">
        <v>63</v>
      </c>
      <c r="H57" s="21" t="s">
        <v>504</v>
      </c>
      <c r="I57" s="13">
        <v>43000.441446759258</v>
      </c>
      <c r="J57" s="7">
        <v>0</v>
      </c>
      <c r="K57" s="89" t="str">
        <f t="shared" si="0"/>
        <v>4043/4044</v>
      </c>
      <c r="L57" s="185" t="str">
        <f>VLOOKUP(A57,'Trips&amp;Operators'!$C$1:$G$99911,5,FALSE)</f>
        <v>LANGERAK WILLIAM</v>
      </c>
      <c r="M57" s="6">
        <f t="shared" si="1"/>
        <v>2.658564814919373E-2</v>
      </c>
      <c r="N57" s="7">
        <f t="shared" si="29"/>
        <v>38.283333334838971</v>
      </c>
      <c r="O57" s="7"/>
      <c r="P57" s="7"/>
      <c r="Q57" s="22"/>
      <c r="R57" s="174"/>
      <c r="S57" s="221">
        <f t="shared" si="24"/>
        <v>1</v>
      </c>
      <c r="T57" s="174" t="str">
        <f t="shared" si="4"/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-09-22T08:42:49-0600',mode:absolute,to:'2017-09-22T11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7" s="204" t="str">
        <f>IF(AA57&lt;VLOOKUP(AG57,Variables!$AC$3:$AD$8,2,FALSE),"Y","N")</f>
        <v>N</v>
      </c>
      <c r="X57" s="204">
        <f t="shared" si="26"/>
        <v>1</v>
      </c>
      <c r="Y57" s="204">
        <f t="shared" si="27"/>
        <v>23.297599999999999</v>
      </c>
      <c r="Z57" s="204">
        <f t="shared" si="28"/>
        <v>1.67E-2</v>
      </c>
      <c r="AA57" s="204">
        <f t="shared" si="9"/>
        <v>23.280899999999999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10"/>
        <v>144</v>
      </c>
      <c r="AE57" s="77" t="str">
        <f t="shared" si="11"/>
        <v>aws s3 cp s3://rtdc.mdm.uploadarchive.raw/RTDC4043/ "%USERPROFILE%\AppData\Local\Temp\OnboardLogs"\RTDC4043\2017-09-22 --exclude "*" --recursive --include "*20170922*" &amp; "%USERPROFILE%\Documents\GitHub\mrs-test-scripts\Headless Mode &amp; Sideloading\WalkAndUnGZ.bat" "%USERPROFILE%\AppData\Local\Temp\OnboardLogs"\RTDC4043\2017-09-22 &amp; aws s3 cp s3://rtdc.mdm.uploadarchive.raw/RTDC4043/ "%USERPROFILE%\AppData\Local\Temp\OnboardLogs"\RTDC4043\2017-09-23 --exclude "*" --recursive --include "*20170923*" &amp; "%USERPROFILE%\Documents\GitHub\mrs-test-scripts\Headless Mode &amp; Sideloading\WalkAndUnGZ.bat" "%USERPROFILE%\AppData\Local\Temp\OnboardLogs"\RTDC4043\2017-09-23</v>
      </c>
      <c r="AF57" s="74" t="str">
        <f t="shared" si="12"/>
        <v>"C:\Program Files (x86)\AstroGrep\AstroGrep.exe" /e /r /s /spath="%USERPROFILE%\AppData\Local\Temp\OnboardLogs" /stypes="app*4043*20170922*" /stext=" 16:.+((SYSTEM_STATE.+slice.+state.+changed )|(ment ac)|(multiple cpu faults)|(system.+state.+changed )|(\[timeout)|(PRM\|1\|D)|(kpr)|(kdp)|(train st.+moving)|(\|lc)|(penalty))"</v>
      </c>
      <c r="AG57" s="182" t="str">
        <f t="shared" si="13"/>
        <v>EC</v>
      </c>
      <c r="AH57" s="78" t="str">
        <f t="shared" si="19"/>
        <v>"%USERPROFILE%\Documents\GitHub\eaglep3\Utilities\RefineRTDCRunTimes.py" --tripid 144-22 --locoid 4043 --swversion DE.1.0.9.0 --startMP 204:232976 --initTime 2017-09-22T09:42:49 --startdatetime 2017-09-22T09:57:24 --delay 63 --endMP 204:167 --enddatetime 2017-09-22T10:35:41 --enforcementcount 0 &gt;&gt;c:\users\stu\Documents\GitHub\eaglep3-reporting\EC\2017-09-22-refined-times.txt</v>
      </c>
      <c r="AI57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{"issue":{"subject":"","project_id":79,"tracker_id":40,"status_id":1,"priority_id":2,"assigned_to_id":338,"start_date":"2017-09-22","description":"","custom_fields":[{"id":1,"name":"Subdivision","value":"EC"},{"id":4,"name":"Milepost","value":"0.0167"},{"id":17,"name":"Train ID","value":"144-22"},{"id":16,"name":"Locomotive ID","value":"4043"},{"id":130,"name":"Impact","value":""},{"id":150,"name":"Time of Event (Mountain Time)","value":"10:35:41"},{"id":151,"name":"Denver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1"/>
        <v>start /low /b %USERPROFILE%\Documents\GitHub\eaglep3\Utilities\DownloadLogsFromS3.py --loco 4043 --day 2017-09-22</v>
      </c>
      <c r="AN57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16:35:41"},{"id":29,"name":"Sharepoint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3"/>
        <v>https://d0f6bd738d7f1b3e5a7ca70fe4ff75f0.us-east-1.aws.found.io/app/kibana#/discover/Steve-Slow-Train-Analysis-(2080s-and-2083s)?_g=(refreshInterval:(display:Off,pause:!f,section:0,value:0),time:(from:'2017-09-22T08:42:49-0600',mode:absolute,to:'2017-09-22T11:35:41-0600'))&amp;_a=(columns:!('Message%20ID',Summary),filters:!(),index:'emp_*',interval:auto,query:(query_string:(analyze_wildcard:!t,query:'Message%5C+ID:(*)+AND+%22rtdc.l.rtdc.4043%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681</v>
      </c>
      <c r="B58" s="7">
        <v>4012</v>
      </c>
      <c r="C58" s="21" t="s">
        <v>196</v>
      </c>
      <c r="D58" s="21" t="s">
        <v>851</v>
      </c>
      <c r="E58" s="13">
        <v>43000.380046296297</v>
      </c>
      <c r="F58" s="13">
        <v>43000.385578703703</v>
      </c>
      <c r="G58" s="7">
        <v>63</v>
      </c>
      <c r="H58" s="21" t="s">
        <v>547</v>
      </c>
      <c r="I58" s="13">
        <v>43000.410104166665</v>
      </c>
      <c r="J58" s="7">
        <v>0</v>
      </c>
      <c r="K58" s="89" t="str">
        <f t="shared" si="0"/>
        <v>4011/4012</v>
      </c>
      <c r="L58" s="185" t="str">
        <f>VLOOKUP(A58,'Trips&amp;Operators'!$C$1:$G$99911,5,FALSE)</f>
        <v>YANAI IAN</v>
      </c>
      <c r="M58" s="6">
        <f t="shared" si="1"/>
        <v>2.4525462962628808E-2</v>
      </c>
      <c r="N58" s="7">
        <f t="shared" si="29"/>
        <v>35.316666666185483</v>
      </c>
      <c r="O58" s="7"/>
      <c r="P58" s="7"/>
      <c r="Q58" s="22"/>
      <c r="R58" s="174"/>
      <c r="S58" s="221">
        <f t="shared" si="24"/>
        <v>1</v>
      </c>
      <c r="T58" s="174" t="str">
        <f t="shared" si="4"/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-09-22T08:07:16-0600',mode:absolute,to:'2017-09-22T10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8" s="204" t="str">
        <f>IF(AA58&lt;VLOOKUP(AG58,Variables!$AC$3:$AD$8,2,FALSE),"Y","N")</f>
        <v>N</v>
      </c>
      <c r="X58" s="204">
        <f t="shared" si="26"/>
        <v>1</v>
      </c>
      <c r="Y58" s="204">
        <f t="shared" si="27"/>
        <v>4.3499999999999997E-2</v>
      </c>
      <c r="Z58" s="204">
        <f t="shared" si="28"/>
        <v>23.3307</v>
      </c>
      <c r="AA58" s="204">
        <f t="shared" si="9"/>
        <v>23.287199999999999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10"/>
        <v>145</v>
      </c>
      <c r="AE58" s="77" t="str">
        <f t="shared" si="11"/>
        <v>aws s3 cp s3://rtdc.mdm.uploadarchive.raw/RTDC4012/ "%USERPROFILE%\AppData\Local\Temp\OnboardLogs"\RTDC4012\2017-09-22 --exclude "*" --recursive --include "*20170922*" &amp; "%USERPROFILE%\Documents\GitHub\mrs-test-scripts\Headless Mode &amp; Sideloading\WalkAndUnGZ.bat" "%USERPROFILE%\AppData\Local\Temp\OnboardLogs"\RTDC4012\2017-09-22 &amp; aws s3 cp s3://rtdc.mdm.uploadarchive.raw/RTDC4012/ "%USERPROFILE%\AppData\Local\Temp\OnboardLogs"\RTDC4012\2017-09-23 --exclude "*" --recursive --include "*20170923*" &amp; "%USERPROFILE%\Documents\GitHub\mrs-test-scripts\Headless Mode &amp; Sideloading\WalkAndUnGZ.bat" "%USERPROFILE%\AppData\Local\Temp\OnboardLogs"\RTDC4012\2017-09-23</v>
      </c>
      <c r="AF58" s="74" t="str">
        <f t="shared" si="12"/>
        <v>"C:\Program Files (x86)\AstroGrep\AstroGrep.exe" /e /r /s /spath="%USERPROFILE%\AppData\Local\Temp\OnboardLogs" /stypes="app*4012*20170922*" /stext=" 15:.+((SYSTEM_STATE.+slice.+state.+changed )|(ment ac)|(multiple cpu faults)|(system.+state.+changed )|(\[timeout)|(PRM\|1\|D)|(kpr)|(kdp)|(train st.+moving)|(\|lc)|(penalty))"</v>
      </c>
      <c r="AG58" s="182" t="str">
        <f t="shared" si="13"/>
        <v>EC</v>
      </c>
      <c r="AH58" s="78" t="str">
        <f t="shared" si="19"/>
        <v>"%USERPROFILE%\Documents\GitHub\eaglep3\Utilities\RefineRTDCRunTimes.py" --tripid 145-22 --locoid 4012 --swversion DE.1.0.9.0 --startMP 204:435 --initTime 2017-09-22T09:07:16 --startdatetime 2017-09-22T09:15:14 --delay 63 --endMP 204:233307 --enddatetime 2017-09-22T09:50:33 --enforcementcount 0 &gt;&gt;c:\users\stu\Documents\GitHub\eaglep3-reporting\EC\2017-09-22-refined-times.txt</v>
      </c>
      <c r="AI58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{"issue":{"subject":"","project_id":79,"tracker_id":40,"status_id":1,"priority_id":2,"assigned_to_id":338,"start_date":"2017-09-22","description":"","custom_fields":[{"id":1,"name":"Subdivision","value":"EC"},{"id":4,"name":"Milepost","value":"23.3307"},{"id":17,"name":"Train ID","value":"145-22"},{"id":16,"name":"Locomotive ID","value":"4012"},{"id":130,"name":"Impact","value":""},{"id":150,"name":"Time of Event (Mountain Time)","value":"09:50:33"},{"id":151,"name":"Denver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1"/>
        <v>start /low /b %USERPROFILE%\Documents\GitHub\eaglep3\Utilities\DownloadLogsFromS3.py --loco 4012 --day 2017-09-22</v>
      </c>
      <c r="AN58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15:50:33"},{"id":29,"name":"Sharepoint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3"/>
        <v>https://d0f6bd738d7f1b3e5a7ca70fe4ff75f0.us-east-1.aws.found.io/app/kibana#/discover/Steve-Slow-Train-Analysis-(2080s-and-2083s)?_g=(refreshInterval:(display:Off,pause:!f,section:0,value:0),time:(from:'2017-09-22T08:07:16-0600',mode:absolute,to:'2017-09-22T10:50:33-0600'))&amp;_a=(columns:!('Message%20ID',Summary),filters:!(),index:'emp_*',interval:auto,query:(query_string:(analyze_wildcard:!t,query:'Message%5C+ID:(*)+AND+%22rtdc.l.rtdc.4012%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687</v>
      </c>
      <c r="B59" s="7">
        <v>4011</v>
      </c>
      <c r="C59" s="21" t="s">
        <v>196</v>
      </c>
      <c r="D59" s="21" t="s">
        <v>445</v>
      </c>
      <c r="E59" s="13">
        <v>43000.413263888891</v>
      </c>
      <c r="F59" s="13">
        <v>43000.425150462965</v>
      </c>
      <c r="G59" s="7">
        <v>49</v>
      </c>
      <c r="H59" s="21" t="s">
        <v>508</v>
      </c>
      <c r="I59" s="13">
        <v>43000.450729166667</v>
      </c>
      <c r="J59" s="7">
        <v>0</v>
      </c>
      <c r="K59" s="89" t="str">
        <f t="shared" si="0"/>
        <v>4011/4012</v>
      </c>
      <c r="L59" s="185" t="str">
        <f>VLOOKUP(A59,'Trips&amp;Operators'!$C$1:$G$99911,5,FALSE)</f>
        <v>YANAI IAN</v>
      </c>
      <c r="M59" s="6">
        <f t="shared" si="1"/>
        <v>2.5578703702194616E-2</v>
      </c>
      <c r="N59" s="7">
        <f t="shared" si="29"/>
        <v>36.833333331160247</v>
      </c>
      <c r="O59" s="7"/>
      <c r="P59" s="7"/>
      <c r="Q59" s="22"/>
      <c r="R59" s="174"/>
      <c r="S59" s="221">
        <f t="shared" si="24"/>
        <v>1</v>
      </c>
      <c r="T59" s="174" t="str">
        <f t="shared" si="4"/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-09-22T08:55:06-0600',mode:absolute,to:'2017-09-22T11:49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9" s="204" t="str">
        <f>IF(AA59&lt;VLOOKUP(AG59,Variables!$AC$3:$AD$8,2,FALSE),"Y","N")</f>
        <v>N</v>
      </c>
      <c r="X59" s="204">
        <f t="shared" si="26"/>
        <v>1</v>
      </c>
      <c r="Y59" s="204">
        <f t="shared" si="27"/>
        <v>23.298400000000001</v>
      </c>
      <c r="Z59" s="204">
        <f t="shared" si="28"/>
        <v>1.32E-2</v>
      </c>
      <c r="AA59" s="204">
        <f t="shared" si="9"/>
        <v>23.2852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10"/>
        <v>146</v>
      </c>
      <c r="AE59" s="77" t="str">
        <f t="shared" si="11"/>
        <v>aws s3 cp s3://rtdc.mdm.uploadarchive.raw/RTDC4011/ "%USERPROFILE%\AppData\Local\Temp\OnboardLogs"\RTDC4011\2017-09-22 --exclude "*" --recursive --include "*20170922*" &amp; "%USERPROFILE%\Documents\GitHub\mrs-test-scripts\Headless Mode &amp; Sideloading\WalkAndUnGZ.bat" "%USERPROFILE%\AppData\Local\Temp\OnboardLogs"\RTDC4011\2017-09-22 &amp; aws s3 cp s3://rtdc.mdm.uploadarchive.raw/RTDC4011/ "%USERPROFILE%\AppData\Local\Temp\OnboardLogs"\RTDC4011\2017-09-23 --exclude "*" --recursive --include "*20170923*" &amp; "%USERPROFILE%\Documents\GitHub\mrs-test-scripts\Headless Mode &amp; Sideloading\WalkAndUnGZ.bat" "%USERPROFILE%\AppData\Local\Temp\OnboardLogs"\RTDC4011\2017-09-23</v>
      </c>
      <c r="AF59" s="74" t="str">
        <f t="shared" si="12"/>
        <v>"C:\Program Files (x86)\AstroGrep\AstroGrep.exe" /e /r /s /spath="%USERPROFILE%\AppData\Local\Temp\OnboardLogs" /stypes="app*4011*20170922*" /stext=" 16:.+((SYSTEM_STATE.+slice.+state.+changed )|(ment ac)|(multiple cpu faults)|(system.+state.+changed )|(\[timeout)|(PRM\|1\|D)|(kpr)|(kdp)|(train st.+moving)|(\|lc)|(penalty))"</v>
      </c>
      <c r="AG59" s="182" t="str">
        <f t="shared" si="13"/>
        <v>EC</v>
      </c>
      <c r="AH59" s="78" t="str">
        <f t="shared" si="19"/>
        <v>"%USERPROFILE%\Documents\GitHub\eaglep3\Utilities\RefineRTDCRunTimes.py" --tripid 146-22 --locoid 4011 --swversion DE.1.0.9.0 --startMP 204:232984 --initTime 2017-09-22T09:55:06 --startdatetime 2017-09-22T10:12:13 --delay 49 --endMP 204:132 --enddatetime 2017-09-22T10:49:03 --enforcementcount 0 &gt;&gt;c:\users\stu\Documents\GitHub\eaglep3-reporting\EC\2017-09-22-refined-times.txt</v>
      </c>
      <c r="AI59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{"issue":{"subject":"","project_id":79,"tracker_id":40,"status_id":1,"priority_id":2,"assigned_to_id":338,"start_date":"2017-09-22","description":"","custom_fields":[{"id":1,"name":"Subdivision","value":"EC"},{"id":4,"name":"Milepost","value":"0.0132"},{"id":17,"name":"Train ID","value":"146-22"},{"id":16,"name":"Locomotive ID","value":"4011"},{"id":130,"name":"Impact","value":""},{"id":150,"name":"Time of Event (Mountain Time)","value":"10:49:03"},{"id":151,"name":"Denver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1"/>
        <v>start /low /b %USERPROFILE%\Documents\GitHub\eaglep3\Utilities\DownloadLogsFromS3.py --loco 4011 --day 2017-09-22</v>
      </c>
      <c r="AN59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16:49:03"},{"id":29,"name":"Sharepoint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3"/>
        <v>https://d0f6bd738d7f1b3e5a7ca70fe4ff75f0.us-east-1.aws.found.io/app/kibana#/discover/Steve-Slow-Train-Analysis-(2080s-and-2083s)?_g=(refreshInterval:(display:Off,pause:!f,section:0,value:0),time:(from:'2017-09-22T08:55:06-0600',mode:absolute,to:'2017-09-22T11:49:03-0600'))&amp;_a=(columns:!('Message%20ID',Summary),filters:!(),index:'emp_*',interval:auto,query:(query_string:(analyze_wildcard:!t,query:'Message%5C+ID:(*)+AND+%22rtdc.l.rtdc.4011%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684</v>
      </c>
      <c r="B60" s="7">
        <v>4018</v>
      </c>
      <c r="C60" s="21" t="s">
        <v>196</v>
      </c>
      <c r="D60" s="21" t="s">
        <v>358</v>
      </c>
      <c r="E60" s="13">
        <v>43000.392233796294</v>
      </c>
      <c r="F60" s="13">
        <v>43000.39603009259</v>
      </c>
      <c r="G60" s="7">
        <v>67</v>
      </c>
      <c r="H60" s="21" t="s">
        <v>502</v>
      </c>
      <c r="I60" s="13">
        <v>43000.421516203707</v>
      </c>
      <c r="J60" s="7">
        <v>0</v>
      </c>
      <c r="K60" s="89" t="str">
        <f t="shared" si="0"/>
        <v>4017/4018</v>
      </c>
      <c r="L60" s="185" t="str">
        <f>VLOOKUP(A60,'Trips&amp;Operators'!$C$1:$G$99911,5,FALSE)</f>
        <v>BONDS REYNALDO</v>
      </c>
      <c r="M60" s="6">
        <f t="shared" si="1"/>
        <v>2.5486111117061228E-2</v>
      </c>
      <c r="N60" s="7">
        <f t="shared" si="29"/>
        <v>36.700000008568168</v>
      </c>
      <c r="O60" s="7"/>
      <c r="P60" s="7"/>
      <c r="Q60" s="22"/>
      <c r="R60" s="174"/>
      <c r="S60" s="221">
        <f t="shared" si="24"/>
        <v>1</v>
      </c>
      <c r="T60" s="174" t="str">
        <f t="shared" si="4"/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-09-22T08:24:49-0600',mode:absolute,to:'2017-09-22T11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0" s="204" t="str">
        <f>IF(AA60&lt;VLOOKUP(AG60,Variables!$AC$3:$AD$8,2,FALSE),"Y","N")</f>
        <v>N</v>
      </c>
      <c r="X60" s="204">
        <f t="shared" si="26"/>
        <v>1</v>
      </c>
      <c r="Y60" s="204">
        <f t="shared" si="27"/>
        <v>4.4900000000000002E-2</v>
      </c>
      <c r="Z60" s="204">
        <f t="shared" si="28"/>
        <v>23.332699999999999</v>
      </c>
      <c r="AA60" s="204">
        <f t="shared" si="9"/>
        <v>23.287800000000001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10"/>
        <v>147</v>
      </c>
      <c r="AE60" s="77" t="str">
        <f t="shared" si="11"/>
        <v>aws s3 cp s3://rtdc.mdm.uploadarchive.raw/RTDC4018/ "%USERPROFILE%\AppData\Local\Temp\OnboardLogs"\RTDC4018\2017-09-22 --exclude "*" --recursive --include "*20170922*" &amp; "%USERPROFILE%\Documents\GitHub\mrs-test-scripts\Headless Mode &amp; Sideloading\WalkAndUnGZ.bat" "%USERPROFILE%\AppData\Local\Temp\OnboardLogs"\RTDC4018\2017-09-22 &amp; aws s3 cp s3://rtdc.mdm.uploadarchive.raw/RTDC4018/ "%USERPROFILE%\AppData\Local\Temp\OnboardLogs"\RTDC4018\2017-09-23 --exclude "*" --recursive --include "*20170923*" &amp; "%USERPROFILE%\Documents\GitHub\mrs-test-scripts\Headless Mode &amp; Sideloading\WalkAndUnGZ.bat" "%USERPROFILE%\AppData\Local\Temp\OnboardLogs"\RTDC4018\2017-09-23</v>
      </c>
      <c r="AF60" s="74" t="str">
        <f t="shared" si="12"/>
        <v>"C:\Program Files (x86)\AstroGrep\AstroGrep.exe" /e /r /s /spath="%USERPROFILE%\AppData\Local\Temp\OnboardLogs" /stypes="app*4018*20170922*" /stext=" 16:.+((SYSTEM_STATE.+slice.+state.+changed )|(ment ac)|(multiple cpu faults)|(system.+state.+changed )|(\[timeout)|(PRM\|1\|D)|(kpr)|(kdp)|(train st.+moving)|(\|lc)|(penalty))"</v>
      </c>
      <c r="AG60" s="182" t="str">
        <f t="shared" si="13"/>
        <v>EC</v>
      </c>
      <c r="AH60" s="78" t="str">
        <f t="shared" si="19"/>
        <v>"%USERPROFILE%\Documents\GitHub\eaglep3\Utilities\RefineRTDCRunTimes.py" --tripid 147-22 --locoid 4018 --swversion DE.1.0.9.0 --startMP 204:449 --initTime 2017-09-22T09:24:49 --startdatetime 2017-09-22T09:30:17 --delay 67 --endMP 204:233327 --enddatetime 2017-09-22T10:06:59 --enforcementcount 0 &gt;&gt;c:\users\stu\Documents\GitHub\eaglep3-reporting\EC\2017-09-22-refined-times.txt</v>
      </c>
      <c r="AI60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{"issue":{"subject":"","project_id":79,"tracker_id":40,"status_id":1,"priority_id":2,"assigned_to_id":338,"start_date":"2017-09-22","description":"","custom_fields":[{"id":1,"name":"Subdivision","value":"EC"},{"id":4,"name":"Milepost","value":"23.3327"},{"id":17,"name":"Train ID","value":"147-22"},{"id":16,"name":"Locomotive ID","value":"4018"},{"id":130,"name":"Impact","value":""},{"id":150,"name":"Time of Event (Mountain Time)","value":"10:06:59"},{"id":151,"name":"Denver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1"/>
        <v>start /low /b %USERPROFILE%\Documents\GitHub\eaglep3\Utilities\DownloadLogsFromS3.py --loco 4018 --day 2017-09-22</v>
      </c>
      <c r="AN60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16:06:59"},{"id":29,"name":"Sharepoint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3"/>
        <v>https://d0f6bd738d7f1b3e5a7ca70fe4ff75f0.us-east-1.aws.found.io/app/kibana#/discover/Steve-Slow-Train-Analysis-(2080s-and-2083s)?_g=(refreshInterval:(display:Off,pause:!f,section:0,value:0),time:(from:'2017-09-22T08:24:49-0600',mode:absolute,to:'2017-09-22T11:06:59-0600'))&amp;_a=(columns:!('Message%20ID',Summary),filters:!(),index:'emp_*',interval:auto,query:(query_string:(analyze_wildcard:!t,query:'Message%5C+ID:(*)+AND+%22rtdc.l.rtdc.4018%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691</v>
      </c>
      <c r="B61" s="7">
        <v>4017</v>
      </c>
      <c r="C61" s="21" t="s">
        <v>196</v>
      </c>
      <c r="D61" s="21" t="s">
        <v>462</v>
      </c>
      <c r="E61" s="13">
        <v>43000.431192129632</v>
      </c>
      <c r="F61" s="13">
        <v>43000.435937499999</v>
      </c>
      <c r="G61" s="7">
        <v>121</v>
      </c>
      <c r="H61" s="21" t="s">
        <v>340</v>
      </c>
      <c r="I61" s="13">
        <v>43000.462337962963</v>
      </c>
      <c r="J61" s="7">
        <v>0</v>
      </c>
      <c r="K61" s="89" t="str">
        <f t="shared" si="0"/>
        <v>4017/4018</v>
      </c>
      <c r="L61" s="185" t="str">
        <f>VLOOKUP(A61,'Trips&amp;Operators'!$C$1:$G$99911,5,FALSE)</f>
        <v>BONDS REYNALDO</v>
      </c>
      <c r="M61" s="6">
        <f t="shared" si="1"/>
        <v>2.6400462964375038E-2</v>
      </c>
      <c r="N61" s="7">
        <f t="shared" si="29"/>
        <v>38.016666668700054</v>
      </c>
      <c r="O61" s="7"/>
      <c r="P61" s="7"/>
      <c r="Q61" s="22"/>
      <c r="R61" s="174"/>
      <c r="S61" s="221">
        <f t="shared" si="24"/>
        <v>1</v>
      </c>
      <c r="T61" s="174" t="str">
        <f t="shared" si="4"/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-09-22T09:20:55-0600',mode:absolute,to:'2017-09-22T12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1" s="204" t="str">
        <f>IF(AA61&lt;VLOOKUP(AG61,Variables!$AC$3:$AD$8,2,FALSE),"Y","N")</f>
        <v>N</v>
      </c>
      <c r="X61" s="204">
        <f t="shared" si="26"/>
        <v>1</v>
      </c>
      <c r="Y61" s="204">
        <f t="shared" si="27"/>
        <v>23.300799999999999</v>
      </c>
      <c r="Z61" s="204">
        <f t="shared" si="28"/>
        <v>1.41E-2</v>
      </c>
      <c r="AA61" s="204">
        <f t="shared" si="9"/>
        <v>23.2867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10"/>
        <v>148</v>
      </c>
      <c r="AE61" s="77" t="str">
        <f t="shared" si="11"/>
        <v>aws s3 cp s3://rtdc.mdm.uploadarchive.raw/RTDC4017/ "%USERPROFILE%\AppData\Local\Temp\OnboardLogs"\RTDC4017\2017-09-22 --exclude "*" --recursive --include "*20170922*" &amp; "%USERPROFILE%\Documents\GitHub\mrs-test-scripts\Headless Mode &amp; Sideloading\WalkAndUnGZ.bat" "%USERPROFILE%\AppData\Local\Temp\OnboardLogs"\RTDC4017\2017-09-22 &amp; aws s3 cp s3://rtdc.mdm.uploadarchive.raw/RTDC4017/ "%USERPROFILE%\AppData\Local\Temp\OnboardLogs"\RTDC4017\2017-09-23 --exclude "*" --recursive --include "*20170923*" &amp; "%USERPROFILE%\Documents\GitHub\mrs-test-scripts\Headless Mode &amp; Sideloading\WalkAndUnGZ.bat" "%USERPROFILE%\AppData\Local\Temp\OnboardLogs"\RTDC4017\2017-09-23</v>
      </c>
      <c r="AF61" s="74" t="str">
        <f t="shared" si="12"/>
        <v>"C:\Program Files (x86)\AstroGrep\AstroGrep.exe" /e /r /s /spath="%USERPROFILE%\AppData\Local\Temp\OnboardLogs" /stypes="app*4017*20170922*" /stext=" 17:.+((SYSTEM_STATE.+slice.+state.+changed )|(ment ac)|(multiple cpu faults)|(system.+state.+changed )|(\[timeout)|(PRM\|1\|D)|(kpr)|(kdp)|(train st.+moving)|(\|lc)|(penalty))"</v>
      </c>
      <c r="AG61" s="182" t="str">
        <f t="shared" si="13"/>
        <v>EC</v>
      </c>
      <c r="AH61" s="78" t="str">
        <f t="shared" si="19"/>
        <v>"%USERPROFILE%\Documents\GitHub\eaglep3\Utilities\RefineRTDCRunTimes.py" --tripid 148-22 --locoid 4017 --swversion DE.1.0.9.0 --startMP 204:233008 --initTime 2017-09-22T10:20:55 --startdatetime 2017-09-22T10:27:45 --delay 121 --endMP 204:141 --enddatetime 2017-09-22T11:05:46 --enforcementcount 0 &gt;&gt;c:\users\stu\Documents\GitHub\eaglep3-reporting\EC\2017-09-22-refined-times.txt</v>
      </c>
      <c r="AI61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{"issue":{"subject":"","project_id":79,"tracker_id":40,"status_id":1,"priority_id":2,"assigned_to_id":338,"start_date":"2017-09-22","description":"","custom_fields":[{"id":1,"name":"Subdivision","value":"EC"},{"id":4,"name":"Milepost","value":"0.0141"},{"id":17,"name":"Train ID","value":"148-22"},{"id":16,"name":"Locomotive ID","value":"4017"},{"id":130,"name":"Impact","value":""},{"id":150,"name":"Time of Event (Mountain Time)","value":"11:05:46"},{"id":151,"name":"Denver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1"/>
        <v>start /low /b %USERPROFILE%\Documents\GitHub\eaglep3\Utilities\DownloadLogsFromS3.py --loco 4017 --day 2017-09-22</v>
      </c>
      <c r="AN61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17:05:46"},{"id":29,"name":"Sharepoint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3"/>
        <v>https://d0f6bd738d7f1b3e5a7ca70fe4ff75f0.us-east-1.aws.found.io/app/kibana#/discover/Steve-Slow-Train-Analysis-(2080s-and-2083s)?_g=(refreshInterval:(display:Off,pause:!f,section:0,value:0),time:(from:'2017-09-22T09:20:55-0600',mode:absolute,to:'2017-09-22T12:05:46-0600'))&amp;_a=(columns:!('Message%20ID',Summary),filters:!(),index:'emp_*',interval:auto,query:(query_string:(analyze_wildcard:!t,query:'Message%5C+ID:(*)+AND+%22rtdc.l.rtdc.4017%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685</v>
      </c>
      <c r="B62" s="7">
        <v>4032</v>
      </c>
      <c r="C62" s="21" t="s">
        <v>196</v>
      </c>
      <c r="D62" s="21" t="s">
        <v>852</v>
      </c>
      <c r="E62" s="13">
        <v>43000.400625000002</v>
      </c>
      <c r="F62" s="13">
        <v>43000.406597222223</v>
      </c>
      <c r="G62" s="7">
        <v>66</v>
      </c>
      <c r="H62" s="21" t="s">
        <v>503</v>
      </c>
      <c r="I62" s="13">
        <v>43000.430208333331</v>
      </c>
      <c r="J62" s="7">
        <v>0</v>
      </c>
      <c r="K62" s="89" t="str">
        <f t="shared" si="0"/>
        <v>4031/4032</v>
      </c>
      <c r="L62" s="185" t="str">
        <f>VLOOKUP(A62,'Trips&amp;Operators'!$C$1:$G$99911,5,FALSE)</f>
        <v>GEBRETEKLE DAGNEW</v>
      </c>
      <c r="M62" s="6">
        <f t="shared" si="1"/>
        <v>2.361111110803904E-2</v>
      </c>
      <c r="N62" s="7">
        <f t="shared" si="29"/>
        <v>33.999999995576218</v>
      </c>
      <c r="O62" s="7"/>
      <c r="P62" s="7"/>
      <c r="Q62" s="22"/>
      <c r="R62" s="174"/>
      <c r="S62" s="221">
        <f t="shared" si="24"/>
        <v>1</v>
      </c>
      <c r="T62" s="174" t="str">
        <f t="shared" si="4"/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-09-22T08:36:54-0600',mode:absolute,to:'2017-09-22T11:19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2" s="204" t="str">
        <f>IF(AA62&lt;VLOOKUP(AG62,Variables!$AC$3:$AD$8,2,FALSE),"Y","N")</f>
        <v>N</v>
      </c>
      <c r="X62" s="204">
        <f t="shared" si="26"/>
        <v>1</v>
      </c>
      <c r="Y62" s="204">
        <f t="shared" si="27"/>
        <v>4.8000000000000001E-2</v>
      </c>
      <c r="Z62" s="204">
        <f t="shared" si="28"/>
        <v>23.330500000000001</v>
      </c>
      <c r="AA62" s="204">
        <f t="shared" si="9"/>
        <v>23.282500000000002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10"/>
        <v>149</v>
      </c>
      <c r="AE62" s="77" t="str">
        <f t="shared" si="11"/>
        <v>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 &amp; aws s3 cp s3://rtdc.mdm.uploadarchive.raw/RTDC4032/ "%USERPROFILE%\AppData\Local\Temp\OnboardLogs"\RTDC4032\2017-09-23 --exclude "*" --recursive --include "*20170923*" &amp; "%USERPROFILE%\Documents\GitHub\mrs-test-scripts\Headless Mode &amp; Sideloading\WalkAndUnGZ.bat" "%USERPROFILE%\AppData\Local\Temp\OnboardLogs"\RTDC4032\2017-09-23</v>
      </c>
      <c r="AF62" s="74" t="str">
        <f t="shared" si="12"/>
        <v>"C:\Program Files (x86)\AstroGrep\AstroGrep.exe" /e /r /s /spath="%USERPROFILE%\AppData\Local\Temp\OnboardLogs" /stypes="app*4032*20170922*" /stext=" 16:.+((SYSTEM_STATE.+slice.+state.+changed )|(ment ac)|(multiple cpu faults)|(system.+state.+changed )|(\[timeout)|(PRM\|1\|D)|(kpr)|(kdp)|(train st.+moving)|(\|lc)|(penalty))"</v>
      </c>
      <c r="AG62" s="182" t="str">
        <f t="shared" si="13"/>
        <v>EC</v>
      </c>
      <c r="AH62" s="78" t="str">
        <f t="shared" si="19"/>
        <v>"%USERPROFILE%\Documents\GitHub\eaglep3\Utilities\RefineRTDCRunTimes.py" --tripid 149-22 --locoid 4032 --swversion DE.1.0.9.0 --startMP 204:480 --initTime 2017-09-22T09:36:54 --startdatetime 2017-09-22T09:45:30 --delay 66 --endMP 204:233305 --enddatetime 2017-09-22T10:19:30 --enforcementcount 0 &gt;&gt;c:\users\stu\Documents\GitHub\eaglep3-reporting\EC\2017-09-22-refined-times.txt</v>
      </c>
      <c r="AI62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{"issue":{"subject":"","project_id":79,"tracker_id":40,"status_id":1,"priority_id":2,"assigned_to_id":338,"start_date":"2017-09-22","description":"","custom_fields":[{"id":1,"name":"Subdivision","value":"EC"},{"id":4,"name":"Milepost","value":"23.3305"},{"id":17,"name":"Train ID","value":"149-22"},{"id":16,"name":"Locomotive ID","value":"4032"},{"id":130,"name":"Impact","value":""},{"id":150,"name":"Time of Event (Mountain Time)","value":"10:19:30"},{"id":151,"name":"Denver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1"/>
        <v>start /low /b %USERPROFILE%\Documents\GitHub\eaglep3\Utilities\DownloadLogsFromS3.py --loco 4032 --day 2017-09-22</v>
      </c>
      <c r="AN62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16:19:30"},{"id":29,"name":"Sharepoint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3"/>
        <v>https://d0f6bd738d7f1b3e5a7ca70fe4ff75f0.us-east-1.aws.found.io/app/kibana#/discover/Steve-Slow-Train-Analysis-(2080s-and-2083s)?_g=(refreshInterval:(display:Off,pause:!f,section:0,value:0),time:(from:'2017-09-22T08:36:54-0600',mode:absolute,to:'2017-09-22T11:19:30-0600'))&amp;_a=(columns:!('Message%20ID',Summary),filters:!(),index:'emp_*',interval:auto,query:(query_string:(analyze_wildcard:!t,query:'Message%5C+ID:(*)+AND+%22rtdc.l.rtdc.4032%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692</v>
      </c>
      <c r="B63" s="7">
        <v>4031</v>
      </c>
      <c r="C63" s="21" t="s">
        <v>196</v>
      </c>
      <c r="D63" s="21" t="s">
        <v>842</v>
      </c>
      <c r="E63" s="13">
        <v>43000.432430555556</v>
      </c>
      <c r="F63" s="13">
        <v>43000.446018518516</v>
      </c>
      <c r="G63" s="7">
        <v>51</v>
      </c>
      <c r="H63" s="21" t="s">
        <v>337</v>
      </c>
      <c r="I63" s="13">
        <v>43000.473043981481</v>
      </c>
      <c r="J63" s="7">
        <v>0</v>
      </c>
      <c r="K63" s="89" t="str">
        <f t="shared" si="0"/>
        <v>4031/4032</v>
      </c>
      <c r="L63" s="185" t="str">
        <f>VLOOKUP(A63,'Trips&amp;Operators'!$C$1:$G$99911,5,FALSE)</f>
        <v>GEBRETEKLE DAGNEW</v>
      </c>
      <c r="M63" s="6">
        <f t="shared" si="1"/>
        <v>2.7025462964957114E-2</v>
      </c>
      <c r="N63" s="7">
        <f t="shared" si="29"/>
        <v>38.916666669538245</v>
      </c>
      <c r="O63" s="7"/>
      <c r="P63" s="7"/>
      <c r="Q63" s="22"/>
      <c r="R63" s="174"/>
      <c r="S63" s="221">
        <f t="shared" si="24"/>
        <v>1</v>
      </c>
      <c r="T63" s="174" t="str">
        <f t="shared" si="4"/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-09-22T09:22:42-0600',mode:absolute,to:'2017-09-22T12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3" s="204" t="str">
        <f>IF(AA63&lt;VLOOKUP(AG63,Variables!$AC$3:$AD$8,2,FALSE),"Y","N")</f>
        <v>N</v>
      </c>
      <c r="X63" s="204">
        <f t="shared" si="26"/>
        <v>1</v>
      </c>
      <c r="Y63" s="204">
        <f t="shared" si="27"/>
        <v>23.2971</v>
      </c>
      <c r="Z63" s="204">
        <f t="shared" si="28"/>
        <v>1.49E-2</v>
      </c>
      <c r="AA63" s="204">
        <f t="shared" si="9"/>
        <v>23.2822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10"/>
        <v>150</v>
      </c>
      <c r="AE63" s="77" t="str">
        <f t="shared" si="11"/>
        <v>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 &amp; aws s3 cp s3://rtdc.mdm.uploadarchive.raw/RTDC4031/ "%USERPROFILE%\AppData\Local\Temp\OnboardLogs"\RTDC4031\2017-09-23 --exclude "*" --recursive --include "*20170923*" &amp; "%USERPROFILE%\Documents\GitHub\mrs-test-scripts\Headless Mode &amp; Sideloading\WalkAndUnGZ.bat" "%USERPROFILE%\AppData\Local\Temp\OnboardLogs"\RTDC4031\2017-09-23</v>
      </c>
      <c r="AF63" s="74" t="str">
        <f t="shared" si="12"/>
        <v>"C:\Program Files (x86)\AstroGrep\AstroGrep.exe" /e /r /s /spath="%USERPROFILE%\AppData\Local\Temp\OnboardLogs" /stypes="app*4031*20170922*" /stext=" 17:.+((SYSTEM_STATE.+slice.+state.+changed )|(ment ac)|(multiple cpu faults)|(system.+state.+changed )|(\[timeout)|(PRM\|1\|D)|(kpr)|(kdp)|(train st.+moving)|(\|lc)|(penalty))"</v>
      </c>
      <c r="AG63" s="182" t="str">
        <f t="shared" si="13"/>
        <v>EC</v>
      </c>
      <c r="AH63" s="78" t="str">
        <f t="shared" si="19"/>
        <v>"%USERPROFILE%\Documents\GitHub\eaglep3\Utilities\RefineRTDCRunTimes.py" --tripid 150-22 --locoid 4031 --swversion DE.1.0.9.0 --startMP 204:232971 --initTime 2017-09-22T10:22:42 --startdatetime 2017-09-22T10:42:16 --delay 51 --endMP 204:149 --enddatetime 2017-09-22T11:21:11 --enforcementcount 0 &gt;&gt;c:\users\stu\Documents\GitHub\eaglep3-reporting\EC\2017-09-22-refined-times.txt</v>
      </c>
      <c r="AI63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{"issue":{"subject":"","project_id":79,"tracker_id":40,"status_id":1,"priority_id":2,"assigned_to_id":338,"start_date":"2017-09-22","description":"","custom_fields":[{"id":1,"name":"Subdivision","value":"EC"},{"id":4,"name":"Milepost","value":"0.0149"},{"id":17,"name":"Train ID","value":"150-22"},{"id":16,"name":"Locomotive ID","value":"4031"},{"id":130,"name":"Impact","value":""},{"id":150,"name":"Time of Event (Mountain Time)","value":"11:21:11"},{"id":151,"name":"Denver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1"/>
        <v>start /low /b %USERPROFILE%\Documents\GitHub\eaglep3\Utilities\DownloadLogsFromS3.py --loco 4031 --day 2017-09-22</v>
      </c>
      <c r="AN63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17:21:11"},{"id":29,"name":"Sharepoint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3"/>
        <v>https://d0f6bd738d7f1b3e5a7ca70fe4ff75f0.us-east-1.aws.found.io/app/kibana#/discover/Steve-Slow-Train-Analysis-(2080s-and-2083s)?_g=(refreshInterval:(display:Off,pause:!f,section:0,value:0),time:(from:'2017-09-22T09:22:42-0600',mode:absolute,to:'2017-09-22T12:21:11-0600'))&amp;_a=(columns:!('Message%20ID',Summary),filters:!(),index:'emp_*',interval:auto,query:(query_string:(analyze_wildcard:!t,query:'Message%5C+ID:(*)+AND+%22rtdc.l.rtdc.4031%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689</v>
      </c>
      <c r="B64" s="7">
        <v>4060</v>
      </c>
      <c r="C64" s="21" t="s">
        <v>196</v>
      </c>
      <c r="D64" s="21" t="s">
        <v>394</v>
      </c>
      <c r="E64" s="13">
        <v>43000.414421296293</v>
      </c>
      <c r="F64" s="13">
        <v>43000.41684027778</v>
      </c>
      <c r="G64" s="7">
        <v>54</v>
      </c>
      <c r="H64" s="21" t="s">
        <v>403</v>
      </c>
      <c r="I64" s="13">
        <v>43000.44253472222</v>
      </c>
      <c r="J64" s="7">
        <v>0</v>
      </c>
      <c r="K64" s="89" t="str">
        <f t="shared" si="0"/>
        <v>4059/4060</v>
      </c>
      <c r="L64" s="185" t="str">
        <f>VLOOKUP(A64,'Trips&amp;Operators'!$C$1:$G$99911,5,FALSE)</f>
        <v>DAVIS WENDY</v>
      </c>
      <c r="M64" s="6">
        <f t="shared" si="1"/>
        <v>2.569444444088731E-2</v>
      </c>
      <c r="N64" s="7">
        <f t="shared" si="29"/>
        <v>36.999999994877726</v>
      </c>
      <c r="O64" s="7"/>
      <c r="P64" s="7"/>
      <c r="Q64" s="22"/>
      <c r="R64" s="174"/>
      <c r="S64" s="221">
        <f t="shared" si="24"/>
        <v>1</v>
      </c>
      <c r="T64" s="174" t="str">
        <f t="shared" si="4"/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-09-22T08:56:46-0600',mode:absolute,to:'2017-09-22T11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4" s="204" t="str">
        <f>IF(AA64&lt;VLOOKUP(AG64,Variables!$AC$3:$AD$8,2,FALSE),"Y","N")</f>
        <v>N</v>
      </c>
      <c r="X64" s="204">
        <f t="shared" si="26"/>
        <v>1</v>
      </c>
      <c r="Y64" s="204">
        <f t="shared" si="27"/>
        <v>4.6199999999999998E-2</v>
      </c>
      <c r="Z64" s="204">
        <f t="shared" si="28"/>
        <v>23.331499999999998</v>
      </c>
      <c r="AA64" s="204">
        <f t="shared" si="9"/>
        <v>23.285299999999999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10"/>
        <v>151</v>
      </c>
      <c r="AE64" s="77" t="str">
        <f t="shared" si="11"/>
        <v>aws s3 cp s3://rtdc.mdm.uploadarchive.raw/RTDC4060/ "%USERPROFILE%\AppData\Local\Temp\OnboardLogs"\RTDC4060\2017-09-22 --exclude "*" --recursive --include "*20170922*" &amp; "%USERPROFILE%\Documents\GitHub\mrs-test-scripts\Headless Mode &amp; Sideloading\WalkAndUnGZ.bat" "%USERPROFILE%\AppData\Local\Temp\OnboardLogs"\RTDC4060\2017-09-22 &amp; aws s3 cp s3://rtdc.mdm.uploadarchive.raw/RTDC4060/ "%USERPROFILE%\AppData\Local\Temp\OnboardLogs"\RTDC4060\2017-09-23 --exclude "*" --recursive --include "*20170923*" &amp; "%USERPROFILE%\Documents\GitHub\mrs-test-scripts\Headless Mode &amp; Sideloading\WalkAndUnGZ.bat" "%USERPROFILE%\AppData\Local\Temp\OnboardLogs"\RTDC4060\2017-09-23</v>
      </c>
      <c r="AF64" s="74" t="str">
        <f t="shared" si="12"/>
        <v>"C:\Program Files (x86)\AstroGrep\AstroGrep.exe" /e /r /s /spath="%USERPROFILE%\AppData\Local\Temp\OnboardLogs" /stypes="app*4060*20170922*" /stext=" 16:.+((SYSTEM_STATE.+slice.+state.+changed )|(ment ac)|(multiple cpu faults)|(system.+state.+changed )|(\[timeout)|(PRM\|1\|D)|(kpr)|(kdp)|(train st.+moving)|(\|lc)|(penalty))"</v>
      </c>
      <c r="AG64" s="182" t="str">
        <f t="shared" si="13"/>
        <v>EC</v>
      </c>
      <c r="AH64" s="78" t="str">
        <f t="shared" si="19"/>
        <v>"%USERPROFILE%\Documents\GitHub\eaglep3\Utilities\RefineRTDCRunTimes.py" --tripid 151-22 --locoid 4060 --swversion DE.1.0.9.0 --startMP 204:462 --initTime 2017-09-22T09:56:46 --startdatetime 2017-09-22T10:00:15 --delay 54 --endMP 204:233315 --enddatetime 2017-09-22T10:37:15 --enforcementcount 0 &gt;&gt;c:\users\stu\Documents\GitHub\eaglep3-reporting\EC\2017-09-22-refined-times.txt</v>
      </c>
      <c r="AI64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{"issue":{"subject":"","project_id":79,"tracker_id":40,"status_id":1,"priority_id":2,"assigned_to_id":338,"start_date":"2017-09-22","description":"","custom_fields":[{"id":1,"name":"Subdivision","value":"EC"},{"id":4,"name":"Milepost","value":"23.3315"},{"id":17,"name":"Train ID","value":"151-22"},{"id":16,"name":"Locomotive ID","value":"4060"},{"id":130,"name":"Impact","value":""},{"id":150,"name":"Time of Event (Mountain Time)","value":"10:37:15"},{"id":151,"name":"Denver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1"/>
        <v>start /low /b %USERPROFILE%\Documents\GitHub\eaglep3\Utilities\DownloadLogsFromS3.py --loco 4060 --day 2017-09-22</v>
      </c>
      <c r="AN64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16:37:15"},{"id":29,"name":"Sharepoint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3"/>
        <v>https://d0f6bd738d7f1b3e5a7ca70fe4ff75f0.us-east-1.aws.found.io/app/kibana#/discover/Steve-Slow-Train-Analysis-(2080s-and-2083s)?_g=(refreshInterval:(display:Off,pause:!f,section:0,value:0),time:(from:'2017-09-22T08:56:46-0600',mode:absolute,to:'2017-09-22T11:37:15-0600'))&amp;_a=(columns:!('Message%20ID',Summary),filters:!(),index:'emp_*',interval:auto,query:(query_string:(analyze_wildcard:!t,query:'Message%5C+ID:(*)+AND+%22rtdc.l.rtdc.4060%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696</v>
      </c>
      <c r="B65" s="7">
        <v>4059</v>
      </c>
      <c r="C65" s="21" t="s">
        <v>196</v>
      </c>
      <c r="D65" s="21" t="s">
        <v>505</v>
      </c>
      <c r="E65" s="13">
        <v>43000.443854166668</v>
      </c>
      <c r="F65" s="13">
        <v>43000.456516203703</v>
      </c>
      <c r="G65" s="7">
        <v>55</v>
      </c>
      <c r="H65" s="21" t="s">
        <v>341</v>
      </c>
      <c r="I65" s="13">
        <v>43000.483703703707</v>
      </c>
      <c r="J65" s="7">
        <v>0</v>
      </c>
      <c r="K65" s="89" t="str">
        <f t="shared" si="0"/>
        <v>4059/4060</v>
      </c>
      <c r="L65" s="185" t="str">
        <f>VLOOKUP(A65,'Trips&amp;Operators'!$C$1:$G$99911,5,FALSE)</f>
        <v>DAVIS WENDY</v>
      </c>
      <c r="M65" s="6">
        <f t="shared" si="1"/>
        <v>2.718750000349246E-2</v>
      </c>
      <c r="N65" s="7">
        <f t="shared" si="29"/>
        <v>39.150000005029142</v>
      </c>
      <c r="O65" s="7"/>
      <c r="P65" s="7"/>
      <c r="Q65" s="22"/>
      <c r="R65" s="174"/>
      <c r="S65" s="221">
        <f t="shared" si="24"/>
        <v>1</v>
      </c>
      <c r="T65" s="174" t="str">
        <f t="shared" si="4"/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-09-22T09:39:09-0600',mode:absolute,to:'2017-09-22T12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5" s="204" t="str">
        <f>IF(AA65&lt;VLOOKUP(AG65,Variables!$AC$3:$AD$8,2,FALSE),"Y","N")</f>
        <v>N</v>
      </c>
      <c r="X65" s="204">
        <f t="shared" si="26"/>
        <v>1</v>
      </c>
      <c r="Y65" s="204">
        <f t="shared" si="27"/>
        <v>23.3002</v>
      </c>
      <c r="Z65" s="204">
        <f t="shared" si="28"/>
        <v>1.47E-2</v>
      </c>
      <c r="AA65" s="204">
        <f t="shared" si="9"/>
        <v>23.285499999999999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10"/>
        <v>152</v>
      </c>
      <c r="AE65" s="77" t="str">
        <f t="shared" si="11"/>
        <v>aws s3 cp s3://rtdc.mdm.uploadarchive.raw/RTDC4059/ "%USERPROFILE%\AppData\Local\Temp\OnboardLogs"\RTDC4059\2017-09-22 --exclude "*" --recursive --include "*20170922*" &amp; "%USERPROFILE%\Documents\GitHub\mrs-test-scripts\Headless Mode &amp; Sideloading\WalkAndUnGZ.bat" "%USERPROFILE%\AppData\Local\Temp\OnboardLogs"\RTDC4059\2017-09-22 &amp; aws s3 cp s3://rtdc.mdm.uploadarchive.raw/RTDC4059/ "%USERPROFILE%\AppData\Local\Temp\OnboardLogs"\RTDC4059\2017-09-23 --exclude "*" --recursive --include "*20170923*" &amp; "%USERPROFILE%\Documents\GitHub\mrs-test-scripts\Headless Mode &amp; Sideloading\WalkAndUnGZ.bat" "%USERPROFILE%\AppData\Local\Temp\OnboardLogs"\RTDC4059\2017-09-23</v>
      </c>
      <c r="AF65" s="74" t="str">
        <f t="shared" si="12"/>
        <v>"C:\Program Files (x86)\AstroGrep\AstroGrep.exe" /e /r /s /spath="%USERPROFILE%\AppData\Local\Temp\OnboardLogs" /stypes="app*4059*20170922*" /stext=" 17:.+((SYSTEM_STATE.+slice.+state.+changed )|(ment ac)|(multiple cpu faults)|(system.+state.+changed )|(\[timeout)|(PRM\|1\|D)|(kpr)|(kdp)|(train st.+moving)|(\|lc)|(penalty))"</v>
      </c>
      <c r="AG65" s="182" t="str">
        <f t="shared" si="13"/>
        <v>EC</v>
      </c>
      <c r="AH65" s="78" t="str">
        <f t="shared" si="19"/>
        <v>"%USERPROFILE%\Documents\GitHub\eaglep3\Utilities\RefineRTDCRunTimes.py" --tripid 152-22 --locoid 4059 --swversion DE.1.0.9.0 --startMP 204:233002 --initTime 2017-09-22T10:39:09 --startdatetime 2017-09-22T10:57:23 --delay 55 --endMP 204:147 --enddatetime 2017-09-22T11:36:32 --enforcementcount 0 &gt;&gt;c:\users\stu\Documents\GitHub\eaglep3-reporting\EC\2017-09-22-refined-times.txt</v>
      </c>
      <c r="AI65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{"issue":{"subject":"","project_id":79,"tracker_id":40,"status_id":1,"priority_id":2,"assigned_to_id":338,"start_date":"2017-09-22","description":"","custom_fields":[{"id":1,"name":"Subdivision","value":"EC"},{"id":4,"name":"Milepost","value":"0.0147"},{"id":17,"name":"Train ID","value":"152-22"},{"id":16,"name":"Locomotive ID","value":"4059"},{"id":130,"name":"Impact","value":""},{"id":150,"name":"Time of Event (Mountain Time)","value":"11:36:32"},{"id":151,"name":"Denver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1"/>
        <v>start /low /b %USERPROFILE%\Documents\GitHub\eaglep3\Utilities\DownloadLogsFromS3.py --loco 4059 --day 2017-09-22</v>
      </c>
      <c r="AN65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17:36:32"},{"id":29,"name":"Sharepoint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3"/>
        <v>https://d0f6bd738d7f1b3e5a7ca70fe4ff75f0.us-east-1.aws.found.io/app/kibana#/discover/Steve-Slow-Train-Analysis-(2080s-and-2083s)?_g=(refreshInterval:(display:Off,pause:!f,section:0,value:0),time:(from:'2017-09-22T09:39:09-0600',mode:absolute,to:'2017-09-22T12:36:32-0600'))&amp;_a=(columns:!('Message%20ID',Summary),filters:!(),index:'emp_*',interval:auto,query:(query_string:(analyze_wildcard:!t,query:'Message%5C+ID:(*)+AND+%22rtdc.l.rtdc.4059%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690</v>
      </c>
      <c r="B66" s="7">
        <v>4064</v>
      </c>
      <c r="C66" s="21" t="s">
        <v>196</v>
      </c>
      <c r="D66" s="21" t="s">
        <v>546</v>
      </c>
      <c r="E66" s="13">
        <v>43000.423194444447</v>
      </c>
      <c r="F66" s="13">
        <v>43000.427291666667</v>
      </c>
      <c r="G66" s="7">
        <v>270</v>
      </c>
      <c r="H66" s="21" t="s">
        <v>507</v>
      </c>
      <c r="I66" s="13">
        <v>43000.454432870371</v>
      </c>
      <c r="J66" s="7">
        <v>0</v>
      </c>
      <c r="K66" s="89" t="str">
        <f t="shared" si="0"/>
        <v>4063/4064</v>
      </c>
      <c r="L66" s="185" t="str">
        <f>VLOOKUP(A66,'Trips&amp;Operators'!$C$1:$G$99911,5,FALSE)</f>
        <v>DE LA ROSA ALEX</v>
      </c>
      <c r="M66" s="6">
        <f t="shared" si="1"/>
        <v>2.7141203703649808E-2</v>
      </c>
      <c r="N66" s="7">
        <f t="shared" si="29"/>
        <v>39.083333333255723</v>
      </c>
      <c r="O66" s="7"/>
      <c r="P66" s="7"/>
      <c r="Q66" s="22"/>
      <c r="R66" s="174"/>
      <c r="S66" s="221">
        <f t="shared" si="24"/>
        <v>1</v>
      </c>
      <c r="T66" s="174" t="str">
        <f t="shared" si="4"/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-09-22T09:09:24-0600',mode:absolute,to:'2017-09-22T11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6" s="204" t="str">
        <f>IF(AA66&lt;VLOOKUP(AG66,Variables!$AC$3:$AD$8,2,FALSE),"Y","N")</f>
        <v>N</v>
      </c>
      <c r="X66" s="204">
        <f t="shared" si="26"/>
        <v>1</v>
      </c>
      <c r="Y66" s="204">
        <f t="shared" si="27"/>
        <v>4.82E-2</v>
      </c>
      <c r="Z66" s="204">
        <f t="shared" si="28"/>
        <v>23.330100000000002</v>
      </c>
      <c r="AA66" s="204">
        <f t="shared" si="9"/>
        <v>23.2819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10"/>
        <v>153</v>
      </c>
      <c r="AE66" s="77" t="str">
        <f t="shared" si="11"/>
        <v>aws s3 cp s3://rtdc.mdm.uploadarchive.raw/RTDC4064/ "%USERPROFILE%\AppData\Local\Temp\OnboardLogs"\RTDC4064\2017-09-22 --exclude "*" --recursive --include "*20170922*" &amp; "%USERPROFILE%\Documents\GitHub\mrs-test-scripts\Headless Mode &amp; Sideloading\WalkAndUnGZ.bat" "%USERPROFILE%\AppData\Local\Temp\OnboardLogs"\RTDC4064\2017-09-22 &amp; aws s3 cp s3://rtdc.mdm.uploadarchive.raw/RTDC4064/ "%USERPROFILE%\AppData\Local\Temp\OnboardLogs"\RTDC4064\2017-09-23 --exclude "*" --recursive --include "*20170923*" &amp; "%USERPROFILE%\Documents\GitHub\mrs-test-scripts\Headless Mode &amp; Sideloading\WalkAndUnGZ.bat" "%USERPROFILE%\AppData\Local\Temp\OnboardLogs"\RTDC4064\2017-09-23</v>
      </c>
      <c r="AF66" s="74" t="str">
        <f t="shared" si="12"/>
        <v>"C:\Program Files (x86)\AstroGrep\AstroGrep.exe" /e /r /s /spath="%USERPROFILE%\AppData\Local\Temp\OnboardLogs" /stypes="app*4064*20170922*" /stext=" 16:.+((SYSTEM_STATE.+slice.+state.+changed )|(ment ac)|(multiple cpu faults)|(system.+state.+changed )|(\[timeout)|(PRM\|1\|D)|(kpr)|(kdp)|(train st.+moving)|(\|lc)|(penalty))"</v>
      </c>
      <c r="AG66" s="182" t="str">
        <f t="shared" si="13"/>
        <v>EC</v>
      </c>
      <c r="AH66" s="78" t="str">
        <f t="shared" si="19"/>
        <v>"%USERPROFILE%\Documents\GitHub\eaglep3\Utilities\RefineRTDCRunTimes.py" --tripid 153-22 --locoid 4064 --swversion DE.1.0.9.0 --startMP 204:482 --initTime 2017-09-22T10:09:24 --startdatetime 2017-09-22T10:15:18 --delay 270 --endMP 204:233301 --enddatetime 2017-09-22T10:54:23 --enforcementcount 0 &gt;&gt;c:\users\stu\Documents\GitHub\eaglep3-reporting\EC\2017-09-22-refined-times.txt</v>
      </c>
      <c r="AI66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{"issue":{"subject":"","project_id":79,"tracker_id":40,"status_id":1,"priority_id":2,"assigned_to_id":338,"start_date":"2017-09-22","description":"","custom_fields":[{"id":1,"name":"Subdivision","value":"EC"},{"id":4,"name":"Milepost","value":"23.3301"},{"id":17,"name":"Train ID","value":"153-22"},{"id":16,"name":"Locomotive ID","value":"4064"},{"id":130,"name":"Impact","value":""},{"id":150,"name":"Time of Event (Mountain Time)","value":"10:54:23"},{"id":151,"name":"Denver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1"/>
        <v>start /low /b %USERPROFILE%\Documents\GitHub\eaglep3\Utilities\DownloadLogsFromS3.py --loco 4064 --day 2017-09-22</v>
      </c>
      <c r="AN66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16:54:23"},{"id":29,"name":"Sharepoint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3"/>
        <v>https://d0f6bd738d7f1b3e5a7ca70fe4ff75f0.us-east-1.aws.found.io/app/kibana#/discover/Steve-Slow-Train-Analysis-(2080s-and-2083s)?_g=(refreshInterval:(display:Off,pause:!f,section:0,value:0),time:(from:'2017-09-22T09:09:24-0600',mode:absolute,to:'2017-09-22T11:54:23-0600'))&amp;_a=(columns:!('Message%20ID',Summary),filters:!(),index:'emp_*',interval:auto,query:(query_string:(analyze_wildcard:!t,query:'Message%5C+ID:(*)+AND+%22rtdc.l.rtdc.4064%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699</v>
      </c>
      <c r="B67" s="7">
        <v>4063</v>
      </c>
      <c r="C67" s="21" t="s">
        <v>196</v>
      </c>
      <c r="D67" s="21" t="s">
        <v>371</v>
      </c>
      <c r="E67" s="13">
        <v>43000.460173611114</v>
      </c>
      <c r="F67" s="13">
        <v>43000.466840277775</v>
      </c>
      <c r="G67" s="7">
        <v>55</v>
      </c>
      <c r="H67" s="21" t="s">
        <v>341</v>
      </c>
      <c r="I67" s="13">
        <v>43000.493530092594</v>
      </c>
      <c r="J67" s="7">
        <v>0</v>
      </c>
      <c r="K67" s="89" t="str">
        <f t="shared" si="0"/>
        <v>4063/4064</v>
      </c>
      <c r="L67" s="185" t="str">
        <f>VLOOKUP(A67,'Trips&amp;Operators'!$C$1:$G$99911,5,FALSE)</f>
        <v>DE LA ROSA ALEX</v>
      </c>
      <c r="M67" s="6">
        <f t="shared" si="1"/>
        <v>2.6689814818382729E-2</v>
      </c>
      <c r="N67" s="7">
        <f t="shared" si="29"/>
        <v>38.43333333847113</v>
      </c>
      <c r="O67" s="7"/>
      <c r="P67" s="7"/>
      <c r="Q67" s="22"/>
      <c r="R67" s="174"/>
      <c r="S67" s="221">
        <f t="shared" si="24"/>
        <v>1</v>
      </c>
      <c r="T67" s="174" t="str">
        <f t="shared" si="4"/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-09-22T10:02:39-0600',mode:absolute,to:'2017-09-22T12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7" s="204" t="str">
        <f>IF(AA67&lt;VLOOKUP(AG67,Variables!$AC$3:$AD$8,2,FALSE),"Y","N")</f>
        <v>N</v>
      </c>
      <c r="X67" s="204">
        <f t="shared" si="26"/>
        <v>1</v>
      </c>
      <c r="Y67" s="204">
        <f t="shared" si="27"/>
        <v>23.297699999999999</v>
      </c>
      <c r="Z67" s="204">
        <f t="shared" si="28"/>
        <v>1.47E-2</v>
      </c>
      <c r="AA67" s="204">
        <f t="shared" si="9"/>
        <v>23.282999999999998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10"/>
        <v>154</v>
      </c>
      <c r="AE67" s="77" t="str">
        <f t="shared" si="11"/>
        <v>aws s3 cp s3://rtdc.mdm.uploadarchive.raw/RTDC4063/ "%USERPROFILE%\AppData\Local\Temp\OnboardLogs"\RTDC4063\2017-09-22 --exclude "*" --recursive --include "*20170922*" &amp; "%USERPROFILE%\Documents\GitHub\mrs-test-scripts\Headless Mode &amp; Sideloading\WalkAndUnGZ.bat" "%USERPROFILE%\AppData\Local\Temp\OnboardLogs"\RTDC4063\2017-09-22 &amp; aws s3 cp s3://rtdc.mdm.uploadarchive.raw/RTDC4063/ "%USERPROFILE%\AppData\Local\Temp\OnboardLogs"\RTDC4063\2017-09-23 --exclude "*" --recursive --include "*20170923*" &amp; "%USERPROFILE%\Documents\GitHub\mrs-test-scripts\Headless Mode &amp; Sideloading\WalkAndUnGZ.bat" "%USERPROFILE%\AppData\Local\Temp\OnboardLogs"\RTDC4063\2017-09-23</v>
      </c>
      <c r="AF67" s="74" t="str">
        <f t="shared" si="12"/>
        <v>"C:\Program Files (x86)\AstroGrep\AstroGrep.exe" /e /r /s /spath="%USERPROFILE%\AppData\Local\Temp\OnboardLogs" /stypes="app*4063*20170922*" /stext=" 17:.+((SYSTEM_STATE.+slice.+state.+changed )|(ment ac)|(multiple cpu faults)|(system.+state.+changed )|(\[timeout)|(PRM\|1\|D)|(kpr)|(kdp)|(train st.+moving)|(\|lc)|(penalty))"</v>
      </c>
      <c r="AG67" s="182" t="str">
        <f t="shared" si="13"/>
        <v>EC</v>
      </c>
      <c r="AH67" s="78" t="str">
        <f t="shared" si="19"/>
        <v>"%USERPROFILE%\Documents\GitHub\eaglep3\Utilities\RefineRTDCRunTimes.py" --tripid 154-22 --locoid 4063 --swversion DE.1.0.9.0 --startMP 204:232977 --initTime 2017-09-22T11:02:39 --startdatetime 2017-09-22T11:12:15 --delay 55 --endMP 204:147 --enddatetime 2017-09-22T11:50:41 --enforcementcount 0 &gt;&gt;c:\users\stu\Documents\GitHub\eaglep3-reporting\EC\2017-09-22-refined-times.txt</v>
      </c>
      <c r="AI67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{"issue":{"subject":"","project_id":79,"tracker_id":40,"status_id":1,"priority_id":2,"assigned_to_id":338,"start_date":"2017-09-22","description":"","custom_fields":[{"id":1,"name":"Subdivision","value":"EC"},{"id":4,"name":"Milepost","value":"0.0147"},{"id":17,"name":"Train ID","value":"154-22"},{"id":16,"name":"Locomotive ID","value":"4063"},{"id":130,"name":"Impact","value":""},{"id":150,"name":"Time of Event (Mountain Time)","value":"11:50:41"},{"id":151,"name":"Denver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1"/>
        <v>start /low /b %USERPROFILE%\Documents\GitHub\eaglep3\Utilities\DownloadLogsFromS3.py --loco 4063 --day 2017-09-22</v>
      </c>
      <c r="AN67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17:50:41"},{"id":29,"name":"Sharepoint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3"/>
        <v>https://d0f6bd738d7f1b3e5a7ca70fe4ff75f0.us-east-1.aws.found.io/app/kibana#/discover/Steve-Slow-Train-Analysis-(2080s-and-2083s)?_g=(refreshInterval:(display:Off,pause:!f,section:0,value:0),time:(from:'2017-09-22T10:02:39-0600',mode:absolute,to:'2017-09-22T12:50:41-0600'))&amp;_a=(columns:!('Message%20ID',Summary),filters:!(),index:'emp_*',interval:auto,query:(query_string:(analyze_wildcard:!t,query:'Message%5C+ID:(*)+AND+%22rtdc.l.rtdc.4063%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694</v>
      </c>
      <c r="B68" s="7">
        <v>4062</v>
      </c>
      <c r="C68" s="21" t="s">
        <v>196</v>
      </c>
      <c r="D68" s="21" t="s">
        <v>853</v>
      </c>
      <c r="E68" s="13">
        <v>43000.435439814813</v>
      </c>
      <c r="F68" s="13">
        <v>43000.437650462962</v>
      </c>
      <c r="G68" s="7">
        <v>50</v>
      </c>
      <c r="H68" s="21" t="s">
        <v>397</v>
      </c>
      <c r="I68" s="13">
        <v>43000.462569444448</v>
      </c>
      <c r="J68" s="7">
        <v>0</v>
      </c>
      <c r="K68" s="89" t="str">
        <f t="shared" si="0"/>
        <v>4061/4062</v>
      </c>
      <c r="L68" s="185" t="str">
        <f>VLOOKUP(A68,'Trips&amp;Operators'!$C$1:$G$99911,5,FALSE)</f>
        <v>BEAM ROSS</v>
      </c>
      <c r="M68" s="6">
        <f t="shared" si="1"/>
        <v>2.4918981485825498E-2</v>
      </c>
      <c r="N68" s="7">
        <f t="shared" si="29"/>
        <v>35.883333339588717</v>
      </c>
      <c r="O68" s="7"/>
      <c r="P68" s="7"/>
      <c r="Q68" s="22"/>
      <c r="R68" s="174"/>
      <c r="S68" s="221">
        <f t="shared" si="24"/>
        <v>1</v>
      </c>
      <c r="T68" s="174" t="str">
        <f t="shared" si="4"/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-09-22T09:27:02-0600',mode:absolute,to:'2017-09-22T12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8" s="204" t="str">
        <f>IF(AA68&lt;VLOOKUP(AG68,Variables!$AC$3:$AD$8,2,FALSE),"Y","N")</f>
        <v>N</v>
      </c>
      <c r="X68" s="204">
        <f t="shared" si="26"/>
        <v>1</v>
      </c>
      <c r="Y68" s="204">
        <f t="shared" si="27"/>
        <v>4.4400000000000002E-2</v>
      </c>
      <c r="Z68" s="204">
        <f t="shared" si="28"/>
        <v>23.331199999999999</v>
      </c>
      <c r="AA68" s="204">
        <f t="shared" si="9"/>
        <v>23.286799999999999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10"/>
        <v>155</v>
      </c>
      <c r="AE68" s="77" t="str">
        <f t="shared" si="11"/>
        <v>aws s3 cp s3://rtdc.mdm.uploadarchive.raw/RTDC4062/ "%USERPROFILE%\AppData\Local\Temp\OnboardLogs"\RTDC4062\2017-09-22 --exclude "*" --recursive --include "*20170922*" &amp; "%USERPROFILE%\Documents\GitHub\mrs-test-scripts\Headless Mode &amp; Sideloading\WalkAndUnGZ.bat" "%USERPROFILE%\AppData\Local\Temp\OnboardLogs"\RTDC4062\2017-09-22 &amp; aws s3 cp s3://rtdc.mdm.uploadarchive.raw/RTDC4062/ "%USERPROFILE%\AppData\Local\Temp\OnboardLogs"\RTDC4062\2017-09-23 --exclude "*" --recursive --include "*20170923*" &amp; "%USERPROFILE%\Documents\GitHub\mrs-test-scripts\Headless Mode &amp; Sideloading\WalkAndUnGZ.bat" "%USERPROFILE%\AppData\Local\Temp\OnboardLogs"\RTDC4062\2017-09-23</v>
      </c>
      <c r="AF68" s="74" t="str">
        <f t="shared" si="12"/>
        <v>"C:\Program Files (x86)\AstroGrep\AstroGrep.exe" /e /r /s /spath="%USERPROFILE%\AppData\Local\Temp\OnboardLogs" /stypes="app*4062*20170922*" /stext=" 17:.+((SYSTEM_STATE.+slice.+state.+changed )|(ment ac)|(multiple cpu faults)|(system.+state.+changed )|(\[timeout)|(PRM\|1\|D)|(kpr)|(kdp)|(train st.+moving)|(\|lc)|(penalty))"</v>
      </c>
      <c r="AG68" s="182" t="str">
        <f t="shared" si="13"/>
        <v>EC</v>
      </c>
      <c r="AH68" s="78" t="str">
        <f t="shared" si="19"/>
        <v>"%USERPROFILE%\Documents\GitHub\eaglep3\Utilities\RefineRTDCRunTimes.py" --tripid 155-22 --locoid 4062 --swversion DE.1.0.9.0 --startMP 204:444 --initTime 2017-09-22T10:27:02 --startdatetime 2017-09-22T10:30:13 --delay 50 --endMP 204:233312 --enddatetime 2017-09-22T11:06:06 --enforcementcount 0 &gt;&gt;c:\users\stu\Documents\GitHub\eaglep3-reporting\EC\2017-09-22-refined-times.txt</v>
      </c>
      <c r="AI68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{"issue":{"subject":"","project_id":79,"tracker_id":40,"status_id":1,"priority_id":2,"assigned_to_id":338,"start_date":"2017-09-22","description":"","custom_fields":[{"id":1,"name":"Subdivision","value":"EC"},{"id":4,"name":"Milepost","value":"23.3312"},{"id":17,"name":"Train ID","value":"155-22"},{"id":16,"name":"Locomotive ID","value":"4062"},{"id":130,"name":"Impact","value":""},{"id":150,"name":"Time of Event (Mountain Time)","value":"11:06:06"},{"id":151,"name":"Denver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1"/>
        <v>start /low /b %USERPROFILE%\Documents\GitHub\eaglep3\Utilities\DownloadLogsFromS3.py --loco 4062 --day 2017-09-22</v>
      </c>
      <c r="AN68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17:06:06"},{"id":29,"name":"Sharepoint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3"/>
        <v>https://d0f6bd738d7f1b3e5a7ca70fe4ff75f0.us-east-1.aws.found.io/app/kibana#/discover/Steve-Slow-Train-Analysis-(2080s-and-2083s)?_g=(refreshInterval:(display:Off,pause:!f,section:0,value:0),time:(from:'2017-09-22T09:27:02-0600',mode:absolute,to:'2017-09-22T12:06:06-0600'))&amp;_a=(columns:!('Message%20ID',Summary),filters:!(),index:'emp_*',interval:auto,query:(query_string:(analyze_wildcard:!t,query:'Message%5C+ID:(*)+AND+%22rtdc.l.rtdc.4062%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700</v>
      </c>
      <c r="B69" s="7">
        <v>4061</v>
      </c>
      <c r="C69" s="21" t="s">
        <v>196</v>
      </c>
      <c r="D69" s="21" t="s">
        <v>380</v>
      </c>
      <c r="E69" s="13">
        <v>43000.464432870373</v>
      </c>
      <c r="F69" s="13">
        <v>43000.477303240739</v>
      </c>
      <c r="G69" s="7">
        <v>45</v>
      </c>
      <c r="H69" s="21" t="s">
        <v>374</v>
      </c>
      <c r="I69" s="13">
        <v>43000.502233796295</v>
      </c>
      <c r="J69" s="7">
        <v>0</v>
      </c>
      <c r="K69" s="89" t="str">
        <f t="shared" si="0"/>
        <v>4061/4062</v>
      </c>
      <c r="L69" s="185" t="str">
        <f>VLOOKUP(A69,'Trips&amp;Operators'!$C$1:$G$99911,5,FALSE)</f>
        <v>BEAM ROSS</v>
      </c>
      <c r="M69" s="6">
        <f t="shared" si="1"/>
        <v>2.4930555555329192E-2</v>
      </c>
      <c r="N69" s="7">
        <f t="shared" si="29"/>
        <v>35.899999999674037</v>
      </c>
      <c r="O69" s="7"/>
      <c r="P69" s="7"/>
      <c r="Q69" s="22"/>
      <c r="R69" s="174"/>
      <c r="S69" s="221">
        <f t="shared" si="24"/>
        <v>1</v>
      </c>
      <c r="T69" s="174" t="str">
        <f t="shared" si="4"/>
        <v>Southbound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-09-22T10:08:47-0600',mode:absolute,to:'2017-09-22T13:03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9" s="204" t="str">
        <f>IF(AA69&lt;VLOOKUP(AG69,Variables!$AC$3:$AD$8,2,FALSE),"Y","N")</f>
        <v>N</v>
      </c>
      <c r="X69" s="204">
        <f t="shared" si="26"/>
        <v>1</v>
      </c>
      <c r="Y69" s="204">
        <f t="shared" si="27"/>
        <v>23.299399999999999</v>
      </c>
      <c r="Z69" s="204">
        <f t="shared" si="28"/>
        <v>1.61E-2</v>
      </c>
      <c r="AA69" s="204">
        <f t="shared" si="9"/>
        <v>23.283299999999997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10"/>
        <v>156</v>
      </c>
      <c r="AE69" s="77" t="str">
        <f t="shared" si="11"/>
        <v>aws s3 cp s3://rtdc.mdm.uploadarchive.raw/RTDC4061/ "%USERPROFILE%\AppData\Local\Temp\OnboardLogs"\RTDC4061\2017-09-22 --exclude "*" --recursive --include "*20170922*" &amp; "%USERPROFILE%\Documents\GitHub\mrs-test-scripts\Headless Mode &amp; Sideloading\WalkAndUnGZ.bat" "%USERPROFILE%\AppData\Local\Temp\OnboardLogs"\RTDC4061\2017-09-22 &amp; aws s3 cp s3://rtdc.mdm.uploadarchive.raw/RTDC4061/ "%USERPROFILE%\AppData\Local\Temp\OnboardLogs"\RTDC4061\2017-09-23 --exclude "*" --recursive --include "*20170923*" &amp; "%USERPROFILE%\Documents\GitHub\mrs-test-scripts\Headless Mode &amp; Sideloading\WalkAndUnGZ.bat" "%USERPROFILE%\AppData\Local\Temp\OnboardLogs"\RTDC4061\2017-09-23</v>
      </c>
      <c r="AF69" s="74" t="str">
        <f t="shared" si="12"/>
        <v>"C:\Program Files (x86)\AstroGrep\AstroGrep.exe" /e /r /s /spath="%USERPROFILE%\AppData\Local\Temp\OnboardLogs" /stypes="app*4061*20170922*" /stext=" 18:.+((SYSTEM_STATE.+slice.+state.+changed )|(ment ac)|(multiple cpu faults)|(system.+state.+changed )|(\[timeout)|(PRM\|1\|D)|(kpr)|(kdp)|(train st.+moving)|(\|lc)|(penalty))"</v>
      </c>
      <c r="AG69" s="182" t="str">
        <f t="shared" si="13"/>
        <v>EC</v>
      </c>
      <c r="AH69" s="78" t="str">
        <f t="shared" si="19"/>
        <v>"%USERPROFILE%\Documents\GitHub\eaglep3\Utilities\RefineRTDCRunTimes.py" --tripid 156-22 --locoid 4061 --swversion DE.1.0.9.0 --startMP 204:232994 --initTime 2017-09-22T11:08:47 --startdatetime 2017-09-22T11:27:19 --delay 45 --endMP 204:161 --enddatetime 2017-09-22T12:03:13 --enforcementcount 0 &gt;&gt;c:\users\stu\Documents\GitHub\eaglep3-reporting\EC\2017-09-22-refined-times.txt</v>
      </c>
      <c r="AI69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{"issue":{"subject":"","project_id":79,"tracker_id":40,"status_id":1,"priority_id":2,"assigned_to_id":338,"start_date":"2017-09-22","description":"","custom_fields":[{"id":1,"name":"Subdivision","value":"EC"},{"id":4,"name":"Milepost","value":"0.0161"},{"id":17,"name":"Train ID","value":"156-22"},{"id":16,"name":"Locomotive ID","value":"4061"},{"id":130,"name":"Impact","value":""},{"id":150,"name":"Time of Event (Mountain Time)","value":"12:03:13"},{"id":151,"name":"Denver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1"/>
        <v>start /low /b %USERPROFILE%\Documents\GitHub\eaglep3\Utilities\DownloadLogsFromS3.py --loco 4061 --day 2017-09-22</v>
      </c>
      <c r="AN69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18:03:13"},{"id":29,"name":"Sharepoint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3"/>
        <v>https://d0f6bd738d7f1b3e5a7ca70fe4ff75f0.us-east-1.aws.found.io/app/kibana#/discover/Steve-Slow-Train-Analysis-(2080s-and-2083s)?_g=(refreshInterval:(display:Off,pause:!f,section:0,value:0),time:(from:'2017-09-22T10:08:47-0600',mode:absolute,to:'2017-09-22T13:03:13-0600'))&amp;_a=(columns:!('Message%20ID',Summary),filters:!(),index:'emp_*',interval:auto,query:(query_string:(analyze_wildcard:!t,query:'Message%5C+ID:(*)+AND+%22rtdc.l.rtdc.4061%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695</v>
      </c>
      <c r="B70" s="7">
        <v>4044</v>
      </c>
      <c r="C70" s="21" t="s">
        <v>196</v>
      </c>
      <c r="D70" s="21" t="s">
        <v>546</v>
      </c>
      <c r="E70" s="13">
        <v>43000.443159722221</v>
      </c>
      <c r="F70" s="13">
        <v>43000.448078703703</v>
      </c>
      <c r="G70" s="7">
        <v>99</v>
      </c>
      <c r="H70" s="21" t="s">
        <v>841</v>
      </c>
      <c r="I70" s="13">
        <v>43000.473171296297</v>
      </c>
      <c r="J70" s="7">
        <v>0</v>
      </c>
      <c r="K70" s="89" t="str">
        <f t="shared" si="0"/>
        <v>4043/4044</v>
      </c>
      <c r="L70" s="185" t="str">
        <f>VLOOKUP(A70,'Trips&amp;Operators'!$C$1:$G$99911,5,FALSE)</f>
        <v>BADERTSCHER DIANE</v>
      </c>
      <c r="M70" s="6">
        <f t="shared" si="1"/>
        <v>2.5092592593864538E-2</v>
      </c>
      <c r="N70" s="7">
        <f t="shared" si="29"/>
        <v>36.133333335164934</v>
      </c>
      <c r="O70" s="7"/>
      <c r="P70" s="7"/>
      <c r="Q70" s="22"/>
      <c r="R70" s="174"/>
      <c r="S70" s="221">
        <f t="shared" si="24"/>
        <v>1</v>
      </c>
      <c r="T70" s="174" t="str">
        <f t="shared" si="4"/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-09-22T09:38:09-0600',mode:absolute,to:'2017-09-22T12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0" s="204" t="str">
        <f>IF(AA70&lt;VLOOKUP(AG70,Variables!$AC$3:$AD$8,2,FALSE),"Y","N")</f>
        <v>N</v>
      </c>
      <c r="X70" s="204">
        <f t="shared" si="26"/>
        <v>1</v>
      </c>
      <c r="Y70" s="204">
        <f t="shared" si="27"/>
        <v>4.82E-2</v>
      </c>
      <c r="Z70" s="204">
        <f t="shared" si="28"/>
        <v>23.328800000000001</v>
      </c>
      <c r="AA70" s="204">
        <f t="shared" si="9"/>
        <v>23.2806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10"/>
        <v>157</v>
      </c>
      <c r="AE70" s="77" t="str">
        <f t="shared" si="11"/>
        <v>aws s3 cp s3://rtdc.mdm.uploadarchive.raw/RTDC4044/ "%USERPROFILE%\AppData\Local\Temp\OnboardLogs"\RTDC4044\2017-09-22 --exclude "*" --recursive --include "*20170922*" &amp; "%USERPROFILE%\Documents\GitHub\mrs-test-scripts\Headless Mode &amp; Sideloading\WalkAndUnGZ.bat" "%USERPROFILE%\AppData\Local\Temp\OnboardLogs"\RTDC4044\2017-09-22 &amp; aws s3 cp s3://rtdc.mdm.uploadarchive.raw/RTDC4044/ "%USERPROFILE%\AppData\Local\Temp\OnboardLogs"\RTDC4044\2017-09-23 --exclude "*" --recursive --include "*20170923*" &amp; "%USERPROFILE%\Documents\GitHub\mrs-test-scripts\Headless Mode &amp; Sideloading\WalkAndUnGZ.bat" "%USERPROFILE%\AppData\Local\Temp\OnboardLogs"\RTDC4044\2017-09-23</v>
      </c>
      <c r="AF70" s="74" t="str">
        <f t="shared" si="12"/>
        <v>"C:\Program Files (x86)\AstroGrep\AstroGrep.exe" /e /r /s /spath="%USERPROFILE%\AppData\Local\Temp\OnboardLogs" /stypes="app*4044*20170922*" /stext=" 17:.+((SYSTEM_STATE.+slice.+state.+changed )|(ment ac)|(multiple cpu faults)|(system.+state.+changed )|(\[timeout)|(PRM\|1\|D)|(kpr)|(kdp)|(train st.+moving)|(\|lc)|(penalty))"</v>
      </c>
      <c r="AG70" s="182" t="str">
        <f t="shared" si="13"/>
        <v>EC</v>
      </c>
      <c r="AH70" s="78" t="str">
        <f t="shared" si="19"/>
        <v>"%USERPROFILE%\Documents\GitHub\eaglep3\Utilities\RefineRTDCRunTimes.py" --tripid 157-22 --locoid 4044 --swversion DE.1.0.9.0 --startMP 204:482 --initTime 2017-09-22T10:38:09 --startdatetime 2017-09-22T10:45:14 --delay 99 --endMP 204:233288 --enddatetime 2017-09-22T11:21:22 --enforcementcount 0 &gt;&gt;c:\users\stu\Documents\GitHub\eaglep3-reporting\EC\2017-09-22-refined-times.txt</v>
      </c>
      <c r="AI70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{"issue":{"subject":"","project_id":79,"tracker_id":40,"status_id":1,"priority_id":2,"assigned_to_id":338,"start_date":"2017-09-22","description":"","custom_fields":[{"id":1,"name":"Subdivision","value":"EC"},{"id":4,"name":"Milepost","value":"23.3288"},{"id":17,"name":"Train ID","value":"157-22"},{"id":16,"name":"Locomotive ID","value":"4044"},{"id":130,"name":"Impact","value":""},{"id":150,"name":"Time of Event (Mountain Time)","value":"11:21:22"},{"id":151,"name":"Denver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1"/>
        <v>start /low /b %USERPROFILE%\Documents\GitHub\eaglep3\Utilities\DownloadLogsFromS3.py --loco 4044 --day 2017-09-22</v>
      </c>
      <c r="AN70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17:21:22"},{"id":29,"name":"Sharepoint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3"/>
        <v>https://d0f6bd738d7f1b3e5a7ca70fe4ff75f0.us-east-1.aws.found.io/app/kibana#/discover/Steve-Slow-Train-Analysis-(2080s-and-2083s)?_g=(refreshInterval:(display:Off,pause:!f,section:0,value:0),time:(from:'2017-09-22T09:38:09-0600',mode:absolute,to:'2017-09-22T12:21:22-0600'))&amp;_a=(columns:!('Message%20ID',Summary),filters:!(),index:'emp_*',interval:auto,query:(query_string:(analyze_wildcard:!t,query:'Message%5C+ID:(*)+AND+%22rtdc.l.rtdc.4044%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706</v>
      </c>
      <c r="B71" s="7">
        <v>4043</v>
      </c>
      <c r="C71" s="21" t="s">
        <v>196</v>
      </c>
      <c r="D71" s="21" t="s">
        <v>510</v>
      </c>
      <c r="E71" s="13">
        <v>43000.48097222222</v>
      </c>
      <c r="F71" s="13">
        <v>43000.487685185188</v>
      </c>
      <c r="G71" s="7">
        <v>77</v>
      </c>
      <c r="H71" s="21" t="s">
        <v>341</v>
      </c>
      <c r="I71" s="13">
        <v>43000.515266203707</v>
      </c>
      <c r="J71" s="7">
        <v>0</v>
      </c>
      <c r="K71" s="89" t="str">
        <f t="shared" si="0"/>
        <v>4043/4044</v>
      </c>
      <c r="L71" s="185" t="str">
        <f>VLOOKUP(A71,'Trips&amp;Operators'!$C$1:$G$99911,5,FALSE)</f>
        <v>BADERTSCHER DIANE</v>
      </c>
      <c r="M71" s="6">
        <f t="shared" si="1"/>
        <v>2.7581018519413192E-2</v>
      </c>
      <c r="N71" s="7">
        <f t="shared" si="29"/>
        <v>39.716666667954996</v>
      </c>
      <c r="O71" s="7"/>
      <c r="P71" s="7"/>
      <c r="Q71" s="22"/>
      <c r="R71" s="174"/>
      <c r="S71" s="221">
        <f t="shared" si="24"/>
        <v>1</v>
      </c>
      <c r="T71" s="174" t="str">
        <f t="shared" si="4"/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-09-22T10:32:36-0600',mode:absolute,to:'2017-09-22T13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1" s="204" t="str">
        <f>IF(AA71&lt;VLOOKUP(AG71,Variables!$AC$3:$AD$8,2,FALSE),"Y","N")</f>
        <v>N</v>
      </c>
      <c r="X71" s="204">
        <f t="shared" si="26"/>
        <v>1</v>
      </c>
      <c r="Y71" s="204">
        <f t="shared" si="27"/>
        <v>23.296900000000001</v>
      </c>
      <c r="Z71" s="204">
        <f t="shared" si="28"/>
        <v>1.47E-2</v>
      </c>
      <c r="AA71" s="204">
        <f t="shared" si="9"/>
        <v>23.2822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10"/>
        <v>158</v>
      </c>
      <c r="AE71" s="77" t="str">
        <f t="shared" si="11"/>
        <v>aws s3 cp s3://rtdc.mdm.uploadarchive.raw/RTDC4043/ "%USERPROFILE%\AppData\Local\Temp\OnboardLogs"\RTDC4043\2017-09-22 --exclude "*" --recursive --include "*20170922*" &amp; "%USERPROFILE%\Documents\GitHub\mrs-test-scripts\Headless Mode &amp; Sideloading\WalkAndUnGZ.bat" "%USERPROFILE%\AppData\Local\Temp\OnboardLogs"\RTDC4043\2017-09-22 &amp; aws s3 cp s3://rtdc.mdm.uploadarchive.raw/RTDC4043/ "%USERPROFILE%\AppData\Local\Temp\OnboardLogs"\RTDC4043\2017-09-23 --exclude "*" --recursive --include "*20170923*" &amp; "%USERPROFILE%\Documents\GitHub\mrs-test-scripts\Headless Mode &amp; Sideloading\WalkAndUnGZ.bat" "%USERPROFILE%\AppData\Local\Temp\OnboardLogs"\RTDC4043\2017-09-23</v>
      </c>
      <c r="AF71" s="74" t="str">
        <f t="shared" si="12"/>
        <v>"C:\Program Files (x86)\AstroGrep\AstroGrep.exe" /e /r /s /spath="%USERPROFILE%\AppData\Local\Temp\OnboardLogs" /stypes="app*4043*20170922*" /stext=" 18:.+((SYSTEM_STATE.+slice.+state.+changed )|(ment ac)|(multiple cpu faults)|(system.+state.+changed )|(\[timeout)|(PRM\|1\|D)|(kpr)|(kdp)|(train st.+moving)|(\|lc)|(penalty))"</v>
      </c>
      <c r="AG71" s="182" t="str">
        <f t="shared" si="13"/>
        <v>EC</v>
      </c>
      <c r="AH71" s="78" t="str">
        <f t="shared" si="19"/>
        <v>"%USERPROFILE%\Documents\GitHub\eaglep3\Utilities\RefineRTDCRunTimes.py" --tripid 158-22 --locoid 4043 --swversion DE.1.0.9.0 --startMP 204:232969 --initTime 2017-09-22T11:32:36 --startdatetime 2017-09-22T11:42:16 --delay 77 --endMP 204:147 --enddatetime 2017-09-22T12:21:59 --enforcementcount 0 &gt;&gt;c:\users\stu\Documents\GitHub\eaglep3-reporting\EC\2017-09-22-refined-times.txt</v>
      </c>
      <c r="AI71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{"issue":{"subject":"","project_id":79,"tracker_id":40,"status_id":1,"priority_id":2,"assigned_to_id":338,"start_date":"2017-09-22","description":"","custom_fields":[{"id":1,"name":"Subdivision","value":"EC"},{"id":4,"name":"Milepost","value":"0.0147"},{"id":17,"name":"Train ID","value":"158-22"},{"id":16,"name":"Locomotive ID","value":"4043"},{"id":130,"name":"Impact","value":""},{"id":150,"name":"Time of Event (Mountain Time)","value":"12:21:59"},{"id":151,"name":"Denver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1"/>
        <v>start /low /b %USERPROFILE%\Documents\GitHub\eaglep3\Utilities\DownloadLogsFromS3.py --loco 4043 --day 2017-09-22</v>
      </c>
      <c r="AN71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18:21:59"},{"id":29,"name":"Sharepoint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3"/>
        <v>https://d0f6bd738d7f1b3e5a7ca70fe4ff75f0.us-east-1.aws.found.io/app/kibana#/discover/Steve-Slow-Train-Analysis-(2080s-and-2083s)?_g=(refreshInterval:(display:Off,pause:!f,section:0,value:0),time:(from:'2017-09-22T10:32:36-0600',mode:absolute,to:'2017-09-22T13:21:59-0600'))&amp;_a=(columns:!('Message%20ID',Summary),filters:!(),index:'emp_*',interval:auto,query:(query_string:(analyze_wildcard:!t,query:'Message%5C+ID:(*)+AND+%22rtdc.l.rtdc.4043%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697</v>
      </c>
      <c r="B72" s="7">
        <v>4012</v>
      </c>
      <c r="C72" s="21" t="s">
        <v>196</v>
      </c>
      <c r="D72" s="21" t="s">
        <v>378</v>
      </c>
      <c r="E72" s="13">
        <v>43000.455104166664</v>
      </c>
      <c r="F72" s="13">
        <v>43000.458518518521</v>
      </c>
      <c r="G72" s="7">
        <v>47</v>
      </c>
      <c r="H72" s="21" t="s">
        <v>838</v>
      </c>
      <c r="I72" s="13">
        <v>43000.483344907407</v>
      </c>
      <c r="J72" s="7">
        <v>0</v>
      </c>
      <c r="K72" s="89" t="str">
        <f t="shared" si="0"/>
        <v>4011/4012</v>
      </c>
      <c r="L72" s="185" t="str">
        <f>VLOOKUP(A72,'Trips&amp;Operators'!$C$1:$G$99911,5,FALSE)</f>
        <v>YANAI IAN</v>
      </c>
      <c r="M72" s="6">
        <f t="shared" si="1"/>
        <v>2.4826388886140194E-2</v>
      </c>
      <c r="N72" s="7">
        <f t="shared" si="29"/>
        <v>35.749999996041879</v>
      </c>
      <c r="O72" s="7"/>
      <c r="P72" s="7"/>
      <c r="Q72" s="22"/>
      <c r="R72" s="174"/>
      <c r="S72" s="221">
        <f t="shared" si="24"/>
        <v>1</v>
      </c>
      <c r="T72" s="174" t="str">
        <f t="shared" si="4"/>
        <v>NorthBound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-09-22T09:55:21-0600',mode:absolute,to:'2017-09-22T12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2" s="204" t="str">
        <f>IF(AA72&lt;VLOOKUP(AG72,Variables!$AC$3:$AD$8,2,FALSE),"Y","N")</f>
        <v>N</v>
      </c>
      <c r="X72" s="204">
        <f t="shared" si="26"/>
        <v>1</v>
      </c>
      <c r="Y72" s="204">
        <f t="shared" si="27"/>
        <v>4.5999999999999999E-2</v>
      </c>
      <c r="Z72" s="204">
        <f t="shared" si="28"/>
        <v>23.330400000000001</v>
      </c>
      <c r="AA72" s="204">
        <f t="shared" si="9"/>
        <v>23.284400000000002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10"/>
        <v>159</v>
      </c>
      <c r="AE72" s="77" t="str">
        <f t="shared" si="11"/>
        <v>aws s3 cp s3://rtdc.mdm.uploadarchive.raw/RTDC4012/ "%USERPROFILE%\AppData\Local\Temp\OnboardLogs"\RTDC4012\2017-09-22 --exclude "*" --recursive --include "*20170922*" &amp; "%USERPROFILE%\Documents\GitHub\mrs-test-scripts\Headless Mode &amp; Sideloading\WalkAndUnGZ.bat" "%USERPROFILE%\AppData\Local\Temp\OnboardLogs"\RTDC4012\2017-09-22 &amp; aws s3 cp s3://rtdc.mdm.uploadarchive.raw/RTDC4012/ "%USERPROFILE%\AppData\Local\Temp\OnboardLogs"\RTDC4012\2017-09-23 --exclude "*" --recursive --include "*20170923*" &amp; "%USERPROFILE%\Documents\GitHub\mrs-test-scripts\Headless Mode &amp; Sideloading\WalkAndUnGZ.bat" "%USERPROFILE%\AppData\Local\Temp\OnboardLogs"\RTDC4012\2017-09-23</v>
      </c>
      <c r="AF72" s="74" t="str">
        <f t="shared" si="12"/>
        <v>"C:\Program Files (x86)\AstroGrep\AstroGrep.exe" /e /r /s /spath="%USERPROFILE%\AppData\Local\Temp\OnboardLogs" /stypes="app*4012*20170922*" /stext=" 17:.+((SYSTEM_STATE.+slice.+state.+changed )|(ment ac)|(multiple cpu faults)|(system.+state.+changed )|(\[timeout)|(PRM\|1\|D)|(kpr)|(kdp)|(train st.+moving)|(\|lc)|(penalty))"</v>
      </c>
      <c r="AG72" s="182" t="str">
        <f t="shared" si="13"/>
        <v>EC</v>
      </c>
      <c r="AH72" s="78" t="str">
        <f t="shared" si="19"/>
        <v>"%USERPROFILE%\Documents\GitHub\eaglep3\Utilities\RefineRTDCRunTimes.py" --tripid 159-22 --locoid 4012 --swversion DE.1.0.9.0 --startMP 204:460 --initTime 2017-09-22T10:55:21 --startdatetime 2017-09-22T11:00:16 --delay 47 --endMP 204:233304 --enddatetime 2017-09-22T11:36:01 --enforcementcount 0 &gt;&gt;c:\users\stu\Documents\GitHub\eaglep3-reporting\EC\2017-09-22-refined-times.txt</v>
      </c>
      <c r="AI72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{"issue":{"subject":"","project_id":79,"tracker_id":40,"status_id":1,"priority_id":2,"assigned_to_id":338,"start_date":"2017-09-22","description":"","custom_fields":[{"id":1,"name":"Subdivision","value":"EC"},{"id":4,"name":"Milepost","value":"23.3304"},{"id":17,"name":"Train ID","value":"159-22"},{"id":16,"name":"Locomotive ID","value":"4012"},{"id":130,"name":"Impact","value":""},{"id":150,"name":"Time of Event (Mountain Time)","value":"11:36:01"},{"id":151,"name":"Denver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1"/>
        <v>start /low /b %USERPROFILE%\Documents\GitHub\eaglep3\Utilities\DownloadLogsFromS3.py --loco 4012 --day 2017-09-22</v>
      </c>
      <c r="AN72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17:36:01"},{"id":29,"name":"Sharepoint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3"/>
        <v>https://d0f6bd738d7f1b3e5a7ca70fe4ff75f0.us-east-1.aws.found.io/app/kibana#/discover/Steve-Slow-Train-Analysis-(2080s-and-2083s)?_g=(refreshInterval:(display:Off,pause:!f,section:0,value:0),time:(from:'2017-09-22T09:55:21-0600',mode:absolute,to:'2017-09-22T12:36:01-0600'))&amp;_a=(columns:!('Message%20ID',Summary),filters:!(),index:'emp_*',interval:auto,query:(query_string:(analyze_wildcard:!t,query:'Message%5C+ID:(*)+AND+%22rtdc.l.rtdc.4012%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707</v>
      </c>
      <c r="B73" s="7">
        <v>4011</v>
      </c>
      <c r="C73" s="21" t="s">
        <v>196</v>
      </c>
      <c r="D73" s="21" t="s">
        <v>443</v>
      </c>
      <c r="E73" s="13">
        <v>43000.486655092594</v>
      </c>
      <c r="F73" s="13">
        <v>43000.498078703706</v>
      </c>
      <c r="G73" s="7">
        <v>65</v>
      </c>
      <c r="H73" s="21" t="s">
        <v>357</v>
      </c>
      <c r="I73" s="13">
        <v>43000.523634259262</v>
      </c>
      <c r="J73" s="7">
        <v>0</v>
      </c>
      <c r="K73" s="89" t="str">
        <f t="shared" si="0"/>
        <v>4011/4012</v>
      </c>
      <c r="L73" s="185" t="str">
        <f>VLOOKUP(A73,'Trips&amp;Operators'!$C$1:$G$99911,5,FALSE)</f>
        <v>YANAI IAN</v>
      </c>
      <c r="M73" s="6">
        <f t="shared" si="1"/>
        <v>2.5555555555911269E-2</v>
      </c>
      <c r="N73" s="7">
        <f t="shared" si="29"/>
        <v>36.800000000512227</v>
      </c>
      <c r="O73" s="7"/>
      <c r="P73" s="7"/>
      <c r="Q73" s="22"/>
      <c r="R73" s="174"/>
      <c r="S73" s="221">
        <f t="shared" si="24"/>
        <v>1</v>
      </c>
      <c r="T73" s="174" t="str">
        <f t="shared" si="4"/>
        <v>Southbound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-09-22T10:40:47-0600',mode:absolute,to:'2017-09-22T13:34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3" s="204" t="str">
        <f>IF(AA73&lt;VLOOKUP(AG73,Variables!$AC$3:$AD$8,2,FALSE),"Y","N")</f>
        <v>N</v>
      </c>
      <c r="X73" s="204">
        <f t="shared" si="26"/>
        <v>1</v>
      </c>
      <c r="Y73" s="204">
        <f t="shared" si="27"/>
        <v>23.2987</v>
      </c>
      <c r="Z73" s="204">
        <f t="shared" si="28"/>
        <v>1.52E-2</v>
      </c>
      <c r="AA73" s="204">
        <f t="shared" si="9"/>
        <v>23.2835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10"/>
        <v>160</v>
      </c>
      <c r="AE73" s="77" t="str">
        <f t="shared" si="11"/>
        <v>aws s3 cp s3://rtdc.mdm.uploadarchive.raw/RTDC4011/ "%USERPROFILE%\AppData\Local\Temp\OnboardLogs"\RTDC4011\2017-09-22 --exclude "*" --recursive --include "*20170922*" &amp; "%USERPROFILE%\Documents\GitHub\mrs-test-scripts\Headless Mode &amp; Sideloading\WalkAndUnGZ.bat" "%USERPROFILE%\AppData\Local\Temp\OnboardLogs"\RTDC4011\2017-09-22 &amp; aws s3 cp s3://rtdc.mdm.uploadarchive.raw/RTDC4011/ "%USERPROFILE%\AppData\Local\Temp\OnboardLogs"\RTDC4011\2017-09-23 --exclude "*" --recursive --include "*20170923*" &amp; "%USERPROFILE%\Documents\GitHub\mrs-test-scripts\Headless Mode &amp; Sideloading\WalkAndUnGZ.bat" "%USERPROFILE%\AppData\Local\Temp\OnboardLogs"\RTDC4011\2017-09-23</v>
      </c>
      <c r="AF73" s="74" t="str">
        <f t="shared" si="12"/>
        <v>"C:\Program Files (x86)\AstroGrep\AstroGrep.exe" /e /r /s /spath="%USERPROFILE%\AppData\Local\Temp\OnboardLogs" /stypes="app*4011*20170922*" /stext=" 18:.+((SYSTEM_STATE.+slice.+state.+changed )|(ment ac)|(multiple cpu faults)|(system.+state.+changed )|(\[timeout)|(PRM\|1\|D)|(kpr)|(kdp)|(train st.+moving)|(\|lc)|(penalty))"</v>
      </c>
      <c r="AG73" s="182" t="str">
        <f t="shared" si="13"/>
        <v>EC</v>
      </c>
      <c r="AH73" s="78" t="str">
        <f t="shared" si="19"/>
        <v>"%USERPROFILE%\Documents\GitHub\eaglep3\Utilities\RefineRTDCRunTimes.py" --tripid 160-22 --locoid 4011 --swversion DE.1.0.9.0 --startMP 204:232987 --initTime 2017-09-22T11:40:47 --startdatetime 2017-09-22T11:57:14 --delay 65 --endMP 204:152 --enddatetime 2017-09-22T12:34:02 --enforcementcount 0 &gt;&gt;c:\users\stu\Documents\GitHub\eaglep3-reporting\EC\2017-09-22-refined-times.txt</v>
      </c>
      <c r="AI73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{"issue":{"subject":"","project_id":79,"tracker_id":40,"status_id":1,"priority_id":2,"assigned_to_id":338,"start_date":"2017-09-22","description":"","custom_fields":[{"id":1,"name":"Subdivision","value":"EC"},{"id":4,"name":"Milepost","value":"0.0152"},{"id":17,"name":"Train ID","value":"160-22"},{"id":16,"name":"Locomotive ID","value":"4011"},{"id":130,"name":"Impact","value":""},{"id":150,"name":"Time of Event (Mountain Time)","value":"12:34:02"},{"id":151,"name":"Denver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1"/>
        <v>start /low /b %USERPROFILE%\Documents\GitHub\eaglep3\Utilities\DownloadLogsFromS3.py --loco 4011 --day 2017-09-22</v>
      </c>
      <c r="AN73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18:34:02"},{"id":29,"name":"Sharepoint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3"/>
        <v>https://d0f6bd738d7f1b3e5a7ca70fe4ff75f0.us-east-1.aws.found.io/app/kibana#/discover/Steve-Slow-Train-Analysis-(2080s-and-2083s)?_g=(refreshInterval:(display:Off,pause:!f,section:0,value:0),time:(from:'2017-09-22T10:40:47-0600',mode:absolute,to:'2017-09-22T13:34:02-0600'))&amp;_a=(columns:!('Message%20ID',Summary),filters:!(),index:'emp_*',interval:auto,query:(query_string:(analyze_wildcard:!t,query:'Message%5C+ID:(*)+AND+%22rtdc.l.rtdc.4011%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701</v>
      </c>
      <c r="B74" s="7">
        <v>4018</v>
      </c>
      <c r="C74" s="21" t="s">
        <v>196</v>
      </c>
      <c r="D74" s="21" t="s">
        <v>373</v>
      </c>
      <c r="E74" s="13">
        <v>43000.464375000003</v>
      </c>
      <c r="F74" s="13">
        <v>43000.468969907408</v>
      </c>
      <c r="G74" s="7">
        <v>156</v>
      </c>
      <c r="H74" s="21" t="s">
        <v>425</v>
      </c>
      <c r="I74" s="13">
        <v>43000.493333333332</v>
      </c>
      <c r="J74" s="7">
        <v>0</v>
      </c>
      <c r="K74" s="89" t="str">
        <f t="shared" si="0"/>
        <v>4017/4018</v>
      </c>
      <c r="L74" s="185" t="str">
        <f>VLOOKUP(A74,'Trips&amp;Operators'!$C$1:$G$99911,5,FALSE)</f>
        <v>SAFIEF AEIMEN</v>
      </c>
      <c r="M74" s="6">
        <f t="shared" si="1"/>
        <v>2.4363425924093463E-2</v>
      </c>
      <c r="N74" s="7">
        <f t="shared" si="29"/>
        <v>35.083333330694586</v>
      </c>
      <c r="O74" s="7"/>
      <c r="P74" s="7"/>
      <c r="Q74" s="22"/>
      <c r="R74" s="174"/>
      <c r="S74" s="221">
        <f t="shared" si="24"/>
        <v>1</v>
      </c>
      <c r="T74" s="174" t="str">
        <f t="shared" si="4"/>
        <v>NorthBound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-09-22T10:08:42-0600',mode:absolute,to:'2017-09-22T12:50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4" s="204" t="str">
        <f>IF(AA74&lt;VLOOKUP(AG74,Variables!$AC$3:$AD$8,2,FALSE),"Y","N")</f>
        <v>N</v>
      </c>
      <c r="X74" s="204">
        <f t="shared" si="26"/>
        <v>1</v>
      </c>
      <c r="Y74" s="204">
        <f t="shared" si="27"/>
        <v>4.6899999999999997E-2</v>
      </c>
      <c r="Z74" s="204">
        <f t="shared" si="28"/>
        <v>23.331800000000001</v>
      </c>
      <c r="AA74" s="204">
        <f t="shared" si="9"/>
        <v>23.2849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10"/>
        <v>161</v>
      </c>
      <c r="AE74" s="77" t="str">
        <f t="shared" si="11"/>
        <v>aws s3 cp s3://rtdc.mdm.uploadarchive.raw/RTDC4018/ "%USERPROFILE%\AppData\Local\Temp\OnboardLogs"\RTDC4018\2017-09-22 --exclude "*" --recursive --include "*20170922*" &amp; "%USERPROFILE%\Documents\GitHub\mrs-test-scripts\Headless Mode &amp; Sideloading\WalkAndUnGZ.bat" "%USERPROFILE%\AppData\Local\Temp\OnboardLogs"\RTDC4018\2017-09-22 &amp; aws s3 cp s3://rtdc.mdm.uploadarchive.raw/RTDC4018/ "%USERPROFILE%\AppData\Local\Temp\OnboardLogs"\RTDC4018\2017-09-23 --exclude "*" --recursive --include "*20170923*" &amp; "%USERPROFILE%\Documents\GitHub\mrs-test-scripts\Headless Mode &amp; Sideloading\WalkAndUnGZ.bat" "%USERPROFILE%\AppData\Local\Temp\OnboardLogs"\RTDC4018\2017-09-23</v>
      </c>
      <c r="AF74" s="74" t="str">
        <f t="shared" si="12"/>
        <v>"C:\Program Files (x86)\AstroGrep\AstroGrep.exe" /e /r /s /spath="%USERPROFILE%\AppData\Local\Temp\OnboardLogs" /stypes="app*4018*20170922*" /stext=" 17:.+((SYSTEM_STATE.+slice.+state.+changed )|(ment ac)|(multiple cpu faults)|(system.+state.+changed )|(\[timeout)|(PRM\|1\|D)|(kpr)|(kdp)|(train st.+moving)|(\|lc)|(penalty))"</v>
      </c>
      <c r="AG74" s="182" t="str">
        <f t="shared" si="13"/>
        <v>EC</v>
      </c>
      <c r="AH74" s="78" t="str">
        <f t="shared" si="19"/>
        <v>"%USERPROFILE%\Documents\GitHub\eaglep3\Utilities\RefineRTDCRunTimes.py" --tripid 161-22 --locoid 4018 --swversion DE.1.0.9.0 --startMP 204:469 --initTime 2017-09-22T11:08:42 --startdatetime 2017-09-22T11:15:19 --delay 156 --endMP 204:233318 --enddatetime 2017-09-22T11:50:24 --enforcementcount 0 &gt;&gt;c:\users\stu\Documents\GitHub\eaglep3-reporting\EC\2017-09-22-refined-times.txt</v>
      </c>
      <c r="AI74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{"issue":{"subject":"","project_id":79,"tracker_id":40,"status_id":1,"priority_id":2,"assigned_to_id":338,"start_date":"2017-09-22","description":"","custom_fields":[{"id":1,"name":"Subdivision","value":"EC"},{"id":4,"name":"Milepost","value":"23.3318"},{"id":17,"name":"Train ID","value":"161-22"},{"id":16,"name":"Locomotive ID","value":"4018"},{"id":130,"name":"Impact","value":""},{"id":150,"name":"Time of Event (Mountain Time)","value":"11:50:24"},{"id":151,"name":"Denver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1"/>
        <v>start /low /b %USERPROFILE%\Documents\GitHub\eaglep3\Utilities\DownloadLogsFromS3.py --loco 4018 --day 2017-09-22</v>
      </c>
      <c r="AN74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17:50:24"},{"id":29,"name":"Sharepoint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3"/>
        <v>https://d0f6bd738d7f1b3e5a7ca70fe4ff75f0.us-east-1.aws.found.io/app/kibana#/discover/Steve-Slow-Train-Analysis-(2080s-and-2083s)?_g=(refreshInterval:(display:Off,pause:!f,section:0,value:0),time:(from:'2017-09-22T10:08:42-0600',mode:absolute,to:'2017-09-22T12:50:24-0600'))&amp;_a=(columns:!('Message%20ID',Summary),filters:!(),index:'emp_*',interval:auto,query:(query_string:(analyze_wildcard:!t,query:'Message%5C+ID:(*)+AND+%22rtdc.l.rtdc.4018%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710</v>
      </c>
      <c r="B75" s="7">
        <v>4017</v>
      </c>
      <c r="C75" s="21" t="s">
        <v>196</v>
      </c>
      <c r="D75" s="21" t="s">
        <v>552</v>
      </c>
      <c r="E75" s="13">
        <v>43000.496111111112</v>
      </c>
      <c r="F75" s="13">
        <v>43000.508634259262</v>
      </c>
      <c r="G75" s="7">
        <v>125</v>
      </c>
      <c r="H75" s="21" t="s">
        <v>361</v>
      </c>
      <c r="I75" s="13">
        <v>43000.534629629627</v>
      </c>
      <c r="J75" s="7">
        <v>0</v>
      </c>
      <c r="K75" s="89" t="str">
        <f t="shared" si="0"/>
        <v>4017/4018</v>
      </c>
      <c r="L75" s="185" t="str">
        <f>VLOOKUP(A75,'Trips&amp;Operators'!$C$1:$G$99911,5,FALSE)</f>
        <v>SAFIEF AEIMEN</v>
      </c>
      <c r="M75" s="6">
        <f t="shared" si="1"/>
        <v>2.5995370364398696E-2</v>
      </c>
      <c r="N75" s="7">
        <f t="shared" si="29"/>
        <v>37.433333324734122</v>
      </c>
      <c r="O75" s="7"/>
      <c r="P75" s="7"/>
      <c r="Q75" s="22"/>
      <c r="R75" s="174"/>
      <c r="S75" s="221">
        <f t="shared" si="24"/>
        <v>1</v>
      </c>
      <c r="T75" s="174" t="str">
        <f t="shared" si="4"/>
        <v>Southbound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-09-22T10:54:24-0600',mode:absolute,to:'2017-09-22T13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5" s="204" t="str">
        <f>IF(AA75&lt;VLOOKUP(AG75,Variables!$AC$3:$AD$8,2,FALSE),"Y","N")</f>
        <v>N</v>
      </c>
      <c r="X75" s="204">
        <f t="shared" si="26"/>
        <v>1</v>
      </c>
      <c r="Y75" s="204">
        <f t="shared" si="27"/>
        <v>23.298999999999999</v>
      </c>
      <c r="Z75" s="204">
        <f t="shared" si="28"/>
        <v>1.4500000000000001E-2</v>
      </c>
      <c r="AA75" s="204">
        <f t="shared" si="9"/>
        <v>23.284499999999998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10"/>
        <v>162</v>
      </c>
      <c r="AE75" s="77" t="str">
        <f t="shared" si="11"/>
        <v>aws s3 cp s3://rtdc.mdm.uploadarchive.raw/RTDC4017/ "%USERPROFILE%\AppData\Local\Temp\OnboardLogs"\RTDC4017\2017-09-22 --exclude "*" --recursive --include "*20170922*" &amp; "%USERPROFILE%\Documents\GitHub\mrs-test-scripts\Headless Mode &amp; Sideloading\WalkAndUnGZ.bat" "%USERPROFILE%\AppData\Local\Temp\OnboardLogs"\RTDC4017\2017-09-22 &amp; aws s3 cp s3://rtdc.mdm.uploadarchive.raw/RTDC4017/ "%USERPROFILE%\AppData\Local\Temp\OnboardLogs"\RTDC4017\2017-09-23 --exclude "*" --recursive --include "*20170923*" &amp; "%USERPROFILE%\Documents\GitHub\mrs-test-scripts\Headless Mode &amp; Sideloading\WalkAndUnGZ.bat" "%USERPROFILE%\AppData\Local\Temp\OnboardLogs"\RTDC4017\2017-09-23</v>
      </c>
      <c r="AF75" s="74" t="str">
        <f t="shared" si="12"/>
        <v>"C:\Program Files (x86)\AstroGrep\AstroGrep.exe" /e /r /s /spath="%USERPROFILE%\AppData\Local\Temp\OnboardLogs" /stypes="app*4017*20170922*" /stext=" 18:.+((SYSTEM_STATE.+slice.+state.+changed )|(ment ac)|(multiple cpu faults)|(system.+state.+changed )|(\[timeout)|(PRM\|1\|D)|(kpr)|(kdp)|(train st.+moving)|(\|lc)|(penalty))"</v>
      </c>
      <c r="AG75" s="182" t="str">
        <f t="shared" si="13"/>
        <v>EC</v>
      </c>
      <c r="AH75" s="78" t="str">
        <f t="shared" si="19"/>
        <v>"%USERPROFILE%\Documents\GitHub\eaglep3\Utilities\RefineRTDCRunTimes.py" --tripid 162-22 --locoid 4017 --swversion DE.1.0.9.0 --startMP 204:232990 --initTime 2017-09-22T11:54:24 --startdatetime 2017-09-22T12:12:26 --delay 125 --endMP 204:145 --enddatetime 2017-09-22T12:49:52 --enforcementcount 0 &gt;&gt;c:\users\stu\Documents\GitHub\eaglep3-reporting\EC\2017-09-22-refined-times.txt</v>
      </c>
      <c r="AI75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{"issue":{"subject":"","project_id":79,"tracker_id":40,"status_id":1,"priority_id":2,"assigned_to_id":338,"start_date":"2017-09-22","description":"","custom_fields":[{"id":1,"name":"Subdivision","value":"EC"},{"id":4,"name":"Milepost","value":"0.0145"},{"id":17,"name":"Train ID","value":"162-22"},{"id":16,"name":"Locomotive ID","value":"4017"},{"id":130,"name":"Impact","value":""},{"id":150,"name":"Time of Event (Mountain Time)","value":"12:49:52"},{"id":151,"name":"Denver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1"/>
        <v>start /low /b %USERPROFILE%\Documents\GitHub\eaglep3\Utilities\DownloadLogsFromS3.py --loco 4017 --day 2017-09-22</v>
      </c>
      <c r="AN75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18:49:52"},{"id":29,"name":"Sharepoint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3"/>
        <v>https://d0f6bd738d7f1b3e5a7ca70fe4ff75f0.us-east-1.aws.found.io/app/kibana#/discover/Steve-Slow-Train-Analysis-(2080s-and-2083s)?_g=(refreshInterval:(display:Off,pause:!f,section:0,value:0),time:(from:'2017-09-22T10:54:24-0600',mode:absolute,to:'2017-09-22T13:49:52-0600'))&amp;_a=(columns:!('Message%20ID',Summary),filters:!(),index:'emp_*',interval:auto,query:(query_string:(analyze_wildcard:!t,query:'Message%5C+ID:(*)+AND+%22rtdc.l.rtdc.4017%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705</v>
      </c>
      <c r="B76" s="7">
        <v>4032</v>
      </c>
      <c r="C76" s="21" t="s">
        <v>196</v>
      </c>
      <c r="D76" s="21" t="s">
        <v>407</v>
      </c>
      <c r="E76" s="13">
        <v>43000.476331018515</v>
      </c>
      <c r="F76" s="13">
        <v>43000.479398148149</v>
      </c>
      <c r="G76" s="7">
        <v>131</v>
      </c>
      <c r="H76" s="21" t="s">
        <v>452</v>
      </c>
      <c r="I76" s="13">
        <v>43000.504259259258</v>
      </c>
      <c r="J76" s="7">
        <v>0</v>
      </c>
      <c r="K76" s="89" t="str">
        <f t="shared" si="0"/>
        <v>4031/4032</v>
      </c>
      <c r="L76" s="185" t="str">
        <f>VLOOKUP(A76,'Trips&amp;Operators'!$C$1:$G$99911,5,FALSE)</f>
        <v>BRUDER RICHARD</v>
      </c>
      <c r="M76" s="6">
        <f t="shared" si="1"/>
        <v>2.4861111109203193E-2</v>
      </c>
      <c r="N76" s="7">
        <f t="shared" si="29"/>
        <v>35.799999997252598</v>
      </c>
      <c r="O76" s="7"/>
      <c r="P76" s="7"/>
      <c r="Q76" s="22"/>
      <c r="R76" s="174"/>
      <c r="S76" s="221">
        <f t="shared" si="24"/>
        <v>1</v>
      </c>
      <c r="T76" s="174" t="str">
        <f t="shared" si="4"/>
        <v>NorthBound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5"/>
        <v>https://d0f6bd738d7f1b3e5a7ca70fe4ff75f0.us-east-1.aws.found.io/app/kibana#/discover/Steve-Slow-Train-Analysis-(2080s-and-2083s)?_g=(refreshInterval:(display:Off,pause:!f,section:0,value:0),time:(from:'2017-09-22T10:25:55-0600',mode:absolute,to:'2017-09-22T13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6" s="204" t="str">
        <f>IF(AA76&lt;VLOOKUP(AG76,Variables!$AC$3:$AD$8,2,FALSE),"Y","N")</f>
        <v>N</v>
      </c>
      <c r="X76" s="204">
        <f t="shared" si="26"/>
        <v>1</v>
      </c>
      <c r="Y76" s="204">
        <f t="shared" si="27"/>
        <v>4.4699999999999997E-2</v>
      </c>
      <c r="Z76" s="204">
        <f t="shared" si="28"/>
        <v>23.332100000000001</v>
      </c>
      <c r="AA76" s="204">
        <f t="shared" si="9"/>
        <v>23.287400000000002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10"/>
        <v>163</v>
      </c>
      <c r="AE76" s="77" t="str">
        <f t="shared" si="11"/>
        <v>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 &amp; aws s3 cp s3://rtdc.mdm.uploadarchive.raw/RTDC4032/ "%USERPROFILE%\AppData\Local\Temp\OnboardLogs"\RTDC4032\2017-09-23 --exclude "*" --recursive --include "*20170923*" &amp; "%USERPROFILE%\Documents\GitHub\mrs-test-scripts\Headless Mode &amp; Sideloading\WalkAndUnGZ.bat" "%USERPROFILE%\AppData\Local\Temp\OnboardLogs"\RTDC4032\2017-09-23</v>
      </c>
      <c r="AF76" s="74" t="str">
        <f t="shared" si="12"/>
        <v>"C:\Program Files (x86)\AstroGrep\AstroGrep.exe" /e /r /s /spath="%USERPROFILE%\AppData\Local\Temp\OnboardLogs" /stypes="app*4032*20170922*" /stext=" 18:.+((SYSTEM_STATE.+slice.+state.+changed )|(ment ac)|(multiple cpu faults)|(system.+state.+changed )|(\[timeout)|(PRM\|1\|D)|(kpr)|(kdp)|(train st.+moving)|(\|lc)|(penalty))"</v>
      </c>
      <c r="AG76" s="182" t="str">
        <f t="shared" si="13"/>
        <v>EC</v>
      </c>
      <c r="AH76" s="78" t="str">
        <f t="shared" si="19"/>
        <v>"%USERPROFILE%\Documents\GitHub\eaglep3\Utilities\RefineRTDCRunTimes.py" --tripid 163-22 --locoid 4032 --swversion DE.1.0.9.0 --startMP 204:447 --initTime 2017-09-22T11:25:55 --startdatetime 2017-09-22T11:30:20 --delay 131 --endMP 204:233321 --enddatetime 2017-09-22T12:06:08 --enforcementcount 0 &gt;&gt;c:\users\stu\Documents\GitHub\eaglep3-reporting\EC\2017-09-22-refined-times.txt</v>
      </c>
      <c r="AI76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{"issue":{"subject":"","project_id":79,"tracker_id":40,"status_id":1,"priority_id":2,"assigned_to_id":338,"start_date":"2017-09-22","description":"","custom_fields":[{"id":1,"name":"Subdivision","value":"EC"},{"id":4,"name":"Milepost","value":"23.3321"},{"id":17,"name":"Train ID","value":"163-22"},{"id":16,"name":"Locomotive ID","value":"4032"},{"id":130,"name":"Impact","value":""},{"id":150,"name":"Time of Event (Mountain Time)","value":"12:06:08"},{"id":151,"name":"Denver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1"/>
        <v>start /low /b %USERPROFILE%\Documents\GitHub\eaglep3\Utilities\DownloadLogsFromS3.py --loco 4032 --day 2017-09-22</v>
      </c>
      <c r="AN76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18:06:08"},{"id":29,"name":"Sharepoint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3"/>
        <v>https://d0f6bd738d7f1b3e5a7ca70fe4ff75f0.us-east-1.aws.found.io/app/kibana#/discover/Steve-Slow-Train-Analysis-(2080s-and-2083s)?_g=(refreshInterval:(display:Off,pause:!f,section:0,value:0),time:(from:'2017-09-22T10:25:55-0600',mode:absolute,to:'2017-09-22T13:06:08-0600'))&amp;_a=(columns:!('Message%20ID',Summary),filters:!(),index:'emp_*',interval:auto,query:(query_string:(analyze_wildcard:!t,query:'Message%5C+ID:(*)+AND+%22rtdc.l.rtdc.4032%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714</v>
      </c>
      <c r="B77" s="7">
        <v>4031</v>
      </c>
      <c r="C77" s="21" t="s">
        <v>196</v>
      </c>
      <c r="D77" s="21" t="s">
        <v>554</v>
      </c>
      <c r="E77" s="13">
        <v>43000.515439814815</v>
      </c>
      <c r="F77" s="13">
        <v>43000.51898148148</v>
      </c>
      <c r="G77" s="7">
        <v>110</v>
      </c>
      <c r="H77" s="21" t="s">
        <v>379</v>
      </c>
      <c r="I77" s="13">
        <v>43000.544768518521</v>
      </c>
      <c r="J77" s="7">
        <v>0</v>
      </c>
      <c r="K77" s="89" t="str">
        <f t="shared" ref="K77:K140" si="30">IF(ISEVEN(B77),(B77-1)&amp;"/"&amp;B77,B77&amp;"/"&amp;(B77+1))</f>
        <v>4031/4032</v>
      </c>
      <c r="L77" s="185" t="str">
        <f>VLOOKUP(A77,'Trips&amp;Operators'!$C$1:$G$99911,5,FALSE)</f>
        <v>BRUDER RICHARD</v>
      </c>
      <c r="M77" s="6">
        <f t="shared" ref="M77:M140" si="31">I77-F77</f>
        <v>2.5787037040572613E-2</v>
      </c>
      <c r="N77" s="7">
        <f t="shared" si="29"/>
        <v>37.133333338424563</v>
      </c>
      <c r="O77" s="7"/>
      <c r="P77" s="7"/>
      <c r="Q77" s="22"/>
      <c r="R77" s="174"/>
      <c r="S77" s="221">
        <f t="shared" si="24"/>
        <v>1</v>
      </c>
      <c r="T77" s="174" t="str">
        <f t="shared" ref="T77:T140" si="32">IF(ISEVEN(LEFT(AD77,4)),"Southbound","NorthBound")</f>
        <v>Southbound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3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-22T11:22:14-0600',mode:absolute,to:'2017-09-22T14:04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7" s="204" t="str">
        <f>IF(AA77&lt;VLOOKUP(AG77,Variables!$AC$3:$AD$8,2,FALSE),"Y","N")</f>
        <v>N</v>
      </c>
      <c r="X77" s="204">
        <f t="shared" ref="X77:X108" si="34">VALUE(LEFT(AD77,4))-VALUE(LEFT(AD76,4))</f>
        <v>1</v>
      </c>
      <c r="Y77" s="204">
        <f t="shared" ref="Y77:Y106" si="35">RIGHT(D77,LEN(D77)-4)/10000</f>
        <v>23.3</v>
      </c>
      <c r="Z77" s="204">
        <f t="shared" ref="Z77:Z106" si="36">RIGHT(H77,LEN(H77)-4)/10000</f>
        <v>1.5800000000000002E-2</v>
      </c>
      <c r="AA77" s="204">
        <f t="shared" ref="AA77:AA140" si="37">ABS(Z77-Y77)</f>
        <v>23.284200000000002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ref="AD77:AD140" si="38">VALUE(LEFT(A77,LEN(A77)-3))</f>
        <v>164</v>
      </c>
      <c r="AE77" s="77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 &amp; aws s3 cp s3://rtdc.mdm.uploadarchive.raw/RTDC4031/ "%USERPROFILE%\AppData\Local\Temp\OnboardLogs"\RTDC4031\2017-09-23 --exclude "*" --recursive --include "*20170923*" &amp; "%USERPROFILE%\Documents\GitHub\mrs-test-scripts\Headless Mode &amp; Sideloading\WalkAndUnGZ.bat" "%USERPROFILE%\AppData\Local\Temp\OnboardLogs"\RTDC4031\2017-09-23</v>
      </c>
      <c r="AF77" s="74" t="str">
        <f t="shared" ref="AF77:AF14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/stypes="app*4031*20170922*" /stext=" 19:.+((SYSTEM_STATE.+slice.+state.+changed )|(ment ac)|(multiple cpu faults)|(system.+state.+changed )|(\[timeout)|(PRM\|1\|D)|(kpr)|(kdp)|(train st.+moving)|(\|lc)|(penalty))"</v>
      </c>
      <c r="AG77" s="182" t="str">
        <f t="shared" ref="AG77:AG140" si="41">DetSubdiv(A77)</f>
        <v>EC</v>
      </c>
      <c r="AH77" s="78" t="str">
        <f t="shared" si="19"/>
        <v>"%USERPROFILE%\Documents\GitHub\eaglep3\Utilities\RefineRTDCRunTimes.py" --tripid 164-22 --locoid 4031 --swversion DE.1.0.9.0 --startMP 204:233000 --initTime 2017-09-22T12:22:14 --startdatetime 2017-09-22T12:27:20 --delay 110 --endMP 204:158 --enddatetime 2017-09-22T13:04:28 --enforcementcount 0 &gt;&gt;c:\users\stu\Documents\GitHub\eaglep3-reporting\EC\2017-09-22-refined-times.txt</v>
      </c>
      <c r="AI77" s="96" t="str">
        <f t="shared" si="20"/>
        <v>echo {"issue":{"subject":"","project_id":79,"tracker_id":40,"status_id":1,"priority_id":2,"assigned_to_id":338,"start_date":"2017-09-22","description":"","custom_fields":[{"id":1,"name":"Subdivision","value":"EC"},{"id":4,"name":"Milepost","value":"0.0158"},{"id":17,"name":"Train ID","value":"164-22"},{"id":16,"name":"Locomotive ID","value":"4031"},{"id":130,"name":"Impact","value":""},{"id":150,"name":"Time of Event (Mountain Time)","value":"13:04:28"},{"id":151,"name":"Denver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1"/>
        <v>start /low /b %USERPROFILE%\Documents\GitHub\eaglep3\Utilities\DownloadLogsFromS3.py --loco 4031 --day 2017-09-22</v>
      </c>
      <c r="AN77" s="151" t="str">
        <f t="shared" si="22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19:04:28"},{"id":29,"name":"Sharepoint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23"/>
        <v>https://d0f6bd738d7f1b3e5a7ca70fe4ff75f0.us-east-1.aws.found.io/app/kibana#/discover/Steve-Slow-Train-Analysis-(2080s-and-2083s)?_g=(refreshInterval:(display:Off,pause:!f,section:0,value:0),time:(from:'2017-09-22T11:22:14-0600',mode:absolute,to:'2017-09-22T14:04:28-0600'))&amp;_a=(columns:!('Message%20ID',Summary),filters:!(),index:'emp_*',interval:auto,query:(query_string:(analyze_wildcard:!t,query:'Message%5C+ID:(*)+AND+%22rtdc.l.rtdc.4031%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708</v>
      </c>
      <c r="B78" s="7">
        <v>4060</v>
      </c>
      <c r="C78" s="21" t="s">
        <v>196</v>
      </c>
      <c r="D78" s="21" t="s">
        <v>407</v>
      </c>
      <c r="E78" s="13">
        <v>43000.486516203702</v>
      </c>
      <c r="F78" s="13">
        <v>43000.489756944444</v>
      </c>
      <c r="G78" s="7">
        <v>91</v>
      </c>
      <c r="H78" s="21" t="s">
        <v>547</v>
      </c>
      <c r="I78" s="13">
        <v>43000.513425925928</v>
      </c>
      <c r="J78" s="7">
        <v>0</v>
      </c>
      <c r="K78" s="89" t="str">
        <f t="shared" si="30"/>
        <v>4059/4060</v>
      </c>
      <c r="L78" s="185" t="str">
        <f>VLOOKUP(A78,'Trips&amp;Operators'!$C$1:$G$99911,5,FALSE)</f>
        <v>DELGADO DIANAH</v>
      </c>
      <c r="M78" s="6">
        <f t="shared" si="31"/>
        <v>2.3668981484661344E-2</v>
      </c>
      <c r="N78" s="7">
        <f t="shared" si="29"/>
        <v>34.083333337912336</v>
      </c>
      <c r="O78" s="7"/>
      <c r="P78" s="7"/>
      <c r="Q78" s="22"/>
      <c r="R78" s="174"/>
      <c r="S78" s="221">
        <f t="shared" si="24"/>
        <v>1</v>
      </c>
      <c r="T78" s="174" t="str">
        <f t="shared" si="32"/>
        <v>NorthBound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33"/>
        <v>https://d0f6bd738d7f1b3e5a7ca70fe4ff75f0.us-east-1.aws.found.io/app/kibana#/discover/Steve-Slow-Train-Analysis-(2080s-and-2083s)?_g=(refreshInterval:(display:Off,pause:!f,section:0,value:0),time:(from:'2017-09-22T10:40:35-0600',mode:absolute,to:'2017-09-22T13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8" s="204" t="str">
        <f>IF(AA78&lt;VLOOKUP(AG78,Variables!$AC$3:$AD$8,2,FALSE),"Y","N")</f>
        <v>N</v>
      </c>
      <c r="X78" s="204">
        <f t="shared" si="34"/>
        <v>1</v>
      </c>
      <c r="Y78" s="204">
        <f t="shared" si="35"/>
        <v>4.4699999999999997E-2</v>
      </c>
      <c r="Z78" s="204">
        <f t="shared" si="36"/>
        <v>23.3307</v>
      </c>
      <c r="AA78" s="204">
        <f t="shared" si="37"/>
        <v>23.286000000000001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38"/>
        <v>165</v>
      </c>
      <c r="AE78" s="77" t="str">
        <f t="shared" si="39"/>
        <v>aws s3 cp s3://rtdc.mdm.uploadarchive.raw/RTDC4060/ "%USERPROFILE%\AppData\Local\Temp\OnboardLogs"\RTDC4060\2017-09-22 --exclude "*" --recursive --include "*20170922*" &amp; "%USERPROFILE%\Documents\GitHub\mrs-test-scripts\Headless Mode &amp; Sideloading\WalkAndUnGZ.bat" "%USERPROFILE%\AppData\Local\Temp\OnboardLogs"\RTDC4060\2017-09-22 &amp; aws s3 cp s3://rtdc.mdm.uploadarchive.raw/RTDC4060/ "%USERPROFILE%\AppData\Local\Temp\OnboardLogs"\RTDC4060\2017-09-23 --exclude "*" --recursive --include "*20170923*" &amp; "%USERPROFILE%\Documents\GitHub\mrs-test-scripts\Headless Mode &amp; Sideloading\WalkAndUnGZ.bat" "%USERPROFILE%\AppData\Local\Temp\OnboardLogs"\RTDC4060\2017-09-23</v>
      </c>
      <c r="AF78" s="74" t="str">
        <f t="shared" si="40"/>
        <v>"C:\Program Files (x86)\AstroGrep\AstroGrep.exe" /e /r /s /spath="%USERPROFILE%\AppData\Local\Temp\OnboardLogs" /stypes="app*4060*20170922*" /stext=" 18:.+((SYSTEM_STATE.+slice.+state.+changed )|(ment ac)|(multiple cpu faults)|(system.+state.+changed )|(\[timeout)|(PRM\|1\|D)|(kpr)|(kdp)|(train st.+moving)|(\|lc)|(penalty))"</v>
      </c>
      <c r="AG78" s="182" t="str">
        <f t="shared" si="41"/>
        <v>EC</v>
      </c>
      <c r="AH78" s="78" t="str">
        <f t="shared" ref="AH78:AH142" si="42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165-22 --locoid 4060 --swversion DE.1.0.9.0 --startMP 204:447 --initTime 2017-09-22T11:40:35 --startdatetime 2017-09-22T11:45:15 --delay 91 --endMP 204:233307 --enddatetime 2017-09-22T12:19:20 --enforcementcount 0 &gt;&gt;c:\users\stu\Documents\GitHub\eaglep3-reporting\EC\2017-09-22-refined-times.txt</v>
      </c>
      <c r="AI78" s="96" t="str">
        <f t="shared" ref="AI78:AI142" si="43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{"issue":{"subject":"","project_id":79,"tracker_id":40,"status_id":1,"priority_id":2,"assigned_to_id":338,"start_date":"2017-09-22","description":"","custom_fields":[{"id":1,"name":"Subdivision","value":"EC"},{"id":4,"name":"Milepost","value":"23.3307"},{"id":17,"name":"Train ID","value":"165-22"},{"id":16,"name":"Locomotive ID","value":"4060"},{"id":130,"name":"Impact","value":""},{"id":150,"name":"Time of Event (Mountain Time)","value":"12:19:20"},{"id":151,"name":"Denver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2" si="44">"start /low /b "&amp;dls3logs&amp;" --loco "&amp;B78&amp;" --day "&amp;TEXT(F78,"YYYY-MM-DD")</f>
        <v>start /low /b %USERPROFILE%\Documents\GitHub\eaglep3\Utilities\DownloadLogsFromS3.py --loco 4060 --day 2017-09-22</v>
      </c>
      <c r="AN78" s="151" t="str">
        <f t="shared" ref="AN78:AN142" si="45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18:19:20"},{"id":29,"name":"Sharepoint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2" si="46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Message%5C+ID:(*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-09-22T10:40:35-0600',mode:absolute,to:'2017-09-22T13:19:20-0600'))&amp;_a=(columns:!('Message%20ID',Summary),filters:!(),index:'emp_*',interval:auto,query:(query_string:(analyze_wildcard:!t,query:'Message%5C+ID:(*)+AND+%22rtdc.l.rtdc.4060%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593</v>
      </c>
      <c r="B79" s="7">
        <v>4059</v>
      </c>
      <c r="C79" s="21" t="s">
        <v>196</v>
      </c>
      <c r="D79" s="21" t="s">
        <v>445</v>
      </c>
      <c r="E79" s="13">
        <v>43000.523298611108</v>
      </c>
      <c r="F79" s="13">
        <v>43000.529328703706</v>
      </c>
      <c r="G79" s="7">
        <v>140</v>
      </c>
      <c r="H79" s="21" t="s">
        <v>854</v>
      </c>
      <c r="I79" s="13">
        <v>43000.555439814816</v>
      </c>
      <c r="J79" s="7">
        <v>0</v>
      </c>
      <c r="K79" s="89" t="str">
        <f t="shared" si="30"/>
        <v>4059/4060</v>
      </c>
      <c r="L79" s="185" t="str">
        <f>VLOOKUP(A79,'Trips&amp;Operators'!$C$1:$G$99911,5,FALSE)</f>
        <v>DELGADO DIANAH</v>
      </c>
      <c r="M79" s="6">
        <f t="shared" si="31"/>
        <v>2.6111111110367347E-2</v>
      </c>
      <c r="N79" s="7">
        <f t="shared" si="29"/>
        <v>37.599999998928979</v>
      </c>
      <c r="O79" s="7"/>
      <c r="P79" s="7"/>
      <c r="Q79" s="22"/>
      <c r="R79" s="174"/>
      <c r="S79" s="221">
        <f t="shared" si="24"/>
        <v>1</v>
      </c>
      <c r="T79" s="174" t="str">
        <f t="shared" si="32"/>
        <v>Southbound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33"/>
        <v>https://d0f6bd738d7f1b3e5a7ca70fe4ff75f0.us-east-1.aws.found.io/app/kibana#/discover/Steve-Slow-Train-Analysis-(2080s-and-2083s)?_g=(refreshInterval:(display:Off,pause:!f,section:0,value:0),time:(from:'2017-09-22T11:33:33-0600',mode:absolute,to:'2017-09-22T14:19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9" s="204" t="str">
        <f>IF(AA79&lt;VLOOKUP(AG79,Variables!$AC$3:$AD$8,2,FALSE),"Y","N")</f>
        <v>N</v>
      </c>
      <c r="X79" s="204">
        <f t="shared" si="34"/>
        <v>1</v>
      </c>
      <c r="Y79" s="204">
        <f t="shared" si="35"/>
        <v>23.298400000000001</v>
      </c>
      <c r="Z79" s="204">
        <f t="shared" si="36"/>
        <v>0.1222</v>
      </c>
      <c r="AA79" s="204">
        <f t="shared" si="37"/>
        <v>23.176200000000001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38"/>
        <v>166</v>
      </c>
      <c r="AE79" s="77" t="str">
        <f t="shared" si="39"/>
        <v>aws s3 cp s3://rtdc.mdm.uploadarchive.raw/RTDC4059/ "%USERPROFILE%\AppData\Local\Temp\OnboardLogs"\RTDC4059\2017-09-22 --exclude "*" --recursive --include "*20170922*" &amp; "%USERPROFILE%\Documents\GitHub\mrs-test-scripts\Headless Mode &amp; Sideloading\WalkAndUnGZ.bat" "%USERPROFILE%\AppData\Local\Temp\OnboardLogs"\RTDC4059\2017-09-22 &amp; aws s3 cp s3://rtdc.mdm.uploadarchive.raw/RTDC4059/ "%USERPROFILE%\AppData\Local\Temp\OnboardLogs"\RTDC4059\2017-09-23 --exclude "*" --recursive --include "*20170923*" &amp; "%USERPROFILE%\Documents\GitHub\mrs-test-scripts\Headless Mode &amp; Sideloading\WalkAndUnGZ.bat" "%USERPROFILE%\AppData\Local\Temp\OnboardLogs"\RTDC4059\2017-09-23</v>
      </c>
      <c r="AF79" s="74" t="str">
        <f t="shared" si="40"/>
        <v>"C:\Program Files (x86)\AstroGrep\AstroGrep.exe" /e /r /s /spath="%USERPROFILE%\AppData\Local\Temp\OnboardLogs" /stypes="app*4059*20170922*" /stext=" 19:.+((SYSTEM_STATE.+slice.+state.+changed )|(ment ac)|(multiple cpu faults)|(system.+state.+changed )|(\[timeout)|(PRM\|1\|D)|(kpr)|(kdp)|(train st.+moving)|(\|lc)|(penalty))"</v>
      </c>
      <c r="AG79" s="182" t="str">
        <f t="shared" si="41"/>
        <v>EC</v>
      </c>
      <c r="AH79" s="78" t="str">
        <f t="shared" si="42"/>
        <v>"%USERPROFILE%\Documents\GitHub\eaglep3\Utilities\RefineRTDCRunTimes.py" --tripid 166-22 --locoid 4059 --swversion DE.1.0.9.0 --startMP 204:232984 --initTime 2017-09-22T12:33:33 --startdatetime 2017-09-22T12:42:14 --delay 140 --endMP 204:1222 --enddatetime 2017-09-22T13:19:50 --enforcementcount 0 &gt;&gt;c:\users\stu\Documents\GitHub\eaglep3-reporting\EC\2017-09-22-refined-times.txt</v>
      </c>
      <c r="AI79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{"issue":{"subject":"","project_id":79,"tracker_id":40,"status_id":1,"priority_id":2,"assigned_to_id":338,"start_date":"2017-09-22","description":"","custom_fields":[{"id":1,"name":"Subdivision","value":"EC"},{"id":4,"name":"Milepost","value":"0.1222"},{"id":17,"name":"Train ID","value":"166-22"},{"id":16,"name":"Locomotive ID","value":"4059"},{"id":130,"name":"Impact","value":""},{"id":150,"name":"Time of Event (Mountain Time)","value":"13:19:50"},{"id":151,"name":"Denver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4"/>
        <v>start /low /b %USERPROFILE%\Documents\GitHub\eaglep3\Utilities\DownloadLogsFromS3.py --loco 4059 --day 2017-09-22</v>
      </c>
      <c r="AN79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19:19:50"},{"id":29,"name":"Sharepoint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46"/>
        <v>https://d0f6bd738d7f1b3e5a7ca70fe4ff75f0.us-east-1.aws.found.io/app/kibana#/discover/Steve-Slow-Train-Analysis-(2080s-and-2083s)?_g=(refreshInterval:(display:Off,pause:!f,section:0,value:0),time:(from:'2017-09-22T11:33:33-0600',mode:absolute,to:'2017-09-22T14:19:50-0600'))&amp;_a=(columns:!('Message%20ID',Summary),filters:!(),index:'emp_*',interval:auto,query:(query_string:(analyze_wildcard:!t,query:'Message%5C+ID:(*)+AND+%22rtdc.l.rtdc.4059%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709</v>
      </c>
      <c r="B80" s="7">
        <v>4064</v>
      </c>
      <c r="C80" s="21" t="s">
        <v>196</v>
      </c>
      <c r="D80" s="21" t="s">
        <v>347</v>
      </c>
      <c r="E80" s="13">
        <v>43000.495717592596</v>
      </c>
      <c r="F80" s="13">
        <v>43000.500277777777</v>
      </c>
      <c r="G80" s="7">
        <v>64</v>
      </c>
      <c r="H80" s="21" t="s">
        <v>397</v>
      </c>
      <c r="I80" s="13">
        <v>43000.525625000002</v>
      </c>
      <c r="J80" s="7">
        <v>0</v>
      </c>
      <c r="K80" s="89" t="str">
        <f t="shared" si="30"/>
        <v>4063/4064</v>
      </c>
      <c r="L80" s="185" t="str">
        <f>VLOOKUP(A80,'Trips&amp;Operators'!$C$1:$G$99911,5,FALSE)</f>
        <v>FORTUNATO FRANK</v>
      </c>
      <c r="M80" s="6">
        <f t="shared" si="31"/>
        <v>2.5347222224809229E-2</v>
      </c>
      <c r="N80" s="7">
        <f t="shared" si="29"/>
        <v>36.50000000372529</v>
      </c>
      <c r="O80" s="7"/>
      <c r="P80" s="7"/>
      <c r="Q80" s="22"/>
      <c r="R80" s="174"/>
      <c r="S80" s="221">
        <f t="shared" si="24"/>
        <v>1</v>
      </c>
      <c r="T80" s="174" t="str">
        <f t="shared" si="32"/>
        <v>NorthBound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33"/>
        <v>https://d0f6bd738d7f1b3e5a7ca70fe4ff75f0.us-east-1.aws.found.io/app/kibana#/discover/Steve-Slow-Train-Analysis-(2080s-and-2083s)?_g=(refreshInterval:(display:Off,pause:!f,section:0,value:0),time:(from:'2017-09-22T10:53:50-0600',mode:absolute,to:'2017-09-22T13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0" s="204" t="str">
        <f>IF(AA80&lt;VLOOKUP(AG80,Variables!$AC$3:$AD$8,2,FALSE),"Y","N")</f>
        <v>N</v>
      </c>
      <c r="X80" s="204">
        <f t="shared" si="34"/>
        <v>1</v>
      </c>
      <c r="Y80" s="204">
        <f t="shared" si="35"/>
        <v>4.5499999999999999E-2</v>
      </c>
      <c r="Z80" s="204">
        <f t="shared" si="36"/>
        <v>23.331199999999999</v>
      </c>
      <c r="AA80" s="204">
        <f t="shared" si="37"/>
        <v>23.285699999999999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 t="shared" si="38"/>
        <v>167</v>
      </c>
      <c r="AE80" s="77" t="str">
        <f t="shared" si="39"/>
        <v>aws s3 cp s3://rtdc.mdm.uploadarchive.raw/RTDC4064/ "%USERPROFILE%\AppData\Local\Temp\OnboardLogs"\RTDC4064\2017-09-22 --exclude "*" --recursive --include "*20170922*" &amp; "%USERPROFILE%\Documents\GitHub\mrs-test-scripts\Headless Mode &amp; Sideloading\WalkAndUnGZ.bat" "%USERPROFILE%\AppData\Local\Temp\OnboardLogs"\RTDC4064\2017-09-22 &amp; aws s3 cp s3://rtdc.mdm.uploadarchive.raw/RTDC4064/ "%USERPROFILE%\AppData\Local\Temp\OnboardLogs"\RTDC4064\2017-09-23 --exclude "*" --recursive --include "*20170923*" &amp; "%USERPROFILE%\Documents\GitHub\mrs-test-scripts\Headless Mode &amp; Sideloading\WalkAndUnGZ.bat" "%USERPROFILE%\AppData\Local\Temp\OnboardLogs"\RTDC4064\2017-09-23</v>
      </c>
      <c r="AF80" s="74" t="str">
        <f t="shared" si="40"/>
        <v>"C:\Program Files (x86)\AstroGrep\AstroGrep.exe" /e /r /s /spath="%USERPROFILE%\AppData\Local\Temp\OnboardLogs" /stypes="app*4064*20170922*" /stext=" 18:.+((SYSTEM_STATE.+slice.+state.+changed )|(ment ac)|(multiple cpu faults)|(system.+state.+changed )|(\[timeout)|(PRM\|1\|D)|(kpr)|(kdp)|(train st.+moving)|(\|lc)|(penalty))"</v>
      </c>
      <c r="AG80" s="182" t="str">
        <f t="shared" si="41"/>
        <v>EC</v>
      </c>
      <c r="AH80" s="78" t="str">
        <f t="shared" si="42"/>
        <v>"%USERPROFILE%\Documents\GitHub\eaglep3\Utilities\RefineRTDCRunTimes.py" --tripid 167-22 --locoid 4064 --swversion DE.1.0.9.0 --startMP 204:455 --initTime 2017-09-22T11:53:50 --startdatetime 2017-09-22T12:00:24 --delay 64 --endMP 204:233312 --enddatetime 2017-09-22T12:36:54 --enforcementcount 0 &gt;&gt;c:\users\stu\Documents\GitHub\eaglep3-reporting\EC\2017-09-22-refined-times.txt</v>
      </c>
      <c r="AI80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{"issue":{"subject":"","project_id":79,"tracker_id":40,"status_id":1,"priority_id":2,"assigned_to_id":338,"start_date":"2017-09-22","description":"","custom_fields":[{"id":1,"name":"Subdivision","value":"EC"},{"id":4,"name":"Milepost","value":"23.3312"},{"id":17,"name":"Train ID","value":"167-22"},{"id":16,"name":"Locomotive ID","value":"4064"},{"id":130,"name":"Impact","value":""},{"id":150,"name":"Time of Event (Mountain Time)","value":"12:36:54"},{"id":151,"name":"Denver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4"/>
        <v>start /low /b %USERPROFILE%\Documents\GitHub\eaglep3\Utilities\DownloadLogsFromS3.py --loco 4064 --day 2017-09-22</v>
      </c>
      <c r="AN80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18:36:54"},{"id":29,"name":"Sharepoint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46"/>
        <v>https://d0f6bd738d7f1b3e5a7ca70fe4ff75f0.us-east-1.aws.found.io/app/kibana#/discover/Steve-Slow-Train-Analysis-(2080s-and-2083s)?_g=(refreshInterval:(display:Off,pause:!f,section:0,value:0),time:(from:'2017-09-22T10:53:50-0600',mode:absolute,to:'2017-09-22T13:36:54-0600'))&amp;_a=(columns:!('Message%20ID',Summary),filters:!(),index:'emp_*',interval:auto,query:(query_string:(analyze_wildcard:!t,query:'Message%5C+ID:(*)+AND+%22rtdc.l.rtdc.4064%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716</v>
      </c>
      <c r="B81" s="7">
        <v>4063</v>
      </c>
      <c r="C81" s="21" t="s">
        <v>196</v>
      </c>
      <c r="D81" s="21" t="s">
        <v>443</v>
      </c>
      <c r="E81" s="13">
        <v>43000.526875000003</v>
      </c>
      <c r="F81" s="13">
        <v>43000.539780092593</v>
      </c>
      <c r="G81" s="7">
        <v>62</v>
      </c>
      <c r="H81" s="21" t="s">
        <v>338</v>
      </c>
      <c r="I81" s="13">
        <v>43000.567453703705</v>
      </c>
      <c r="J81" s="7">
        <v>0</v>
      </c>
      <c r="K81" s="89" t="str">
        <f t="shared" si="30"/>
        <v>4063/4064</v>
      </c>
      <c r="L81" s="185" t="str">
        <f>VLOOKUP(A81,'Trips&amp;Operators'!$C$1:$G$99911,5,FALSE)</f>
        <v>FORTUNATO FRANK</v>
      </c>
      <c r="M81" s="6">
        <f t="shared" si="31"/>
        <v>2.7673611111822538E-2</v>
      </c>
      <c r="N81" s="7">
        <f t="shared" si="29"/>
        <v>39.850000001024455</v>
      </c>
      <c r="O81" s="7"/>
      <c r="P81" s="7"/>
      <c r="Q81" s="22"/>
      <c r="R81" s="174"/>
      <c r="S81" s="221">
        <f t="shared" si="24"/>
        <v>1</v>
      </c>
      <c r="T81" s="174" t="str">
        <f t="shared" si="32"/>
        <v>Southbound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33"/>
        <v>https://d0f6bd738d7f1b3e5a7ca70fe4ff75f0.us-east-1.aws.found.io/app/kibana#/discover/Steve-Slow-Train-Analysis-(2080s-and-2083s)?_g=(refreshInterval:(display:Off,pause:!f,section:0,value:0),time:(from:'2017-09-22T11:38:42-0600',mode:absolute,to:'2017-09-22T14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1" s="204" t="str">
        <f>IF(AA81&lt;VLOOKUP(AG81,Variables!$AC$3:$AD$8,2,FALSE),"Y","N")</f>
        <v>N</v>
      </c>
      <c r="X81" s="204">
        <f t="shared" si="34"/>
        <v>1</v>
      </c>
      <c r="Y81" s="204">
        <f t="shared" si="35"/>
        <v>23.2987</v>
      </c>
      <c r="Z81" s="204">
        <f t="shared" si="36"/>
        <v>1.43E-2</v>
      </c>
      <c r="AA81" s="204">
        <f t="shared" si="37"/>
        <v>23.284400000000002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38"/>
        <v>168</v>
      </c>
      <c r="AE81" s="77" t="str">
        <f t="shared" si="39"/>
        <v>aws s3 cp s3://rtdc.mdm.uploadarchive.raw/RTDC4063/ "%USERPROFILE%\AppData\Local\Temp\OnboardLogs"\RTDC4063\2017-09-22 --exclude "*" --recursive --include "*20170922*" &amp; "%USERPROFILE%\Documents\GitHub\mrs-test-scripts\Headless Mode &amp; Sideloading\WalkAndUnGZ.bat" "%USERPROFILE%\AppData\Local\Temp\OnboardLogs"\RTDC4063\2017-09-22 &amp; aws s3 cp s3://rtdc.mdm.uploadarchive.raw/RTDC4063/ "%USERPROFILE%\AppData\Local\Temp\OnboardLogs"\RTDC4063\2017-09-23 --exclude "*" --recursive --include "*20170923*" &amp; "%USERPROFILE%\Documents\GitHub\mrs-test-scripts\Headless Mode &amp; Sideloading\WalkAndUnGZ.bat" "%USERPROFILE%\AppData\Local\Temp\OnboardLogs"\RTDC4063\2017-09-23</v>
      </c>
      <c r="AF81" s="74" t="str">
        <f t="shared" si="40"/>
        <v>"C:\Program Files (x86)\AstroGrep\AstroGrep.exe" /e /r /s /spath="%USERPROFILE%\AppData\Local\Temp\OnboardLogs" /stypes="app*4063*20170922*" /stext=" 19:.+((SYSTEM_STATE.+slice.+state.+changed )|(ment ac)|(multiple cpu faults)|(system.+state.+changed )|(\[timeout)|(PRM\|1\|D)|(kpr)|(kdp)|(train st.+moving)|(\|lc)|(penalty))"</v>
      </c>
      <c r="AG81" s="182" t="str">
        <f t="shared" si="41"/>
        <v>EC</v>
      </c>
      <c r="AH81" s="78" t="str">
        <f t="shared" si="42"/>
        <v>"%USERPROFILE%\Documents\GitHub\eaglep3\Utilities\RefineRTDCRunTimes.py" --tripid 168-22 --locoid 4063 --swversion DE.1.0.9.0 --startMP 204:232987 --initTime 2017-09-22T12:38:42 --startdatetime 2017-09-22T12:57:17 --delay 62 --endMP 204:143 --enddatetime 2017-09-22T13:37:08 --enforcementcount 0 &gt;&gt;c:\users\stu\Documents\GitHub\eaglep3-reporting\EC\2017-09-22-refined-times.txt</v>
      </c>
      <c r="AI81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{"issue":{"subject":"","project_id":79,"tracker_id":40,"status_id":1,"priority_id":2,"assigned_to_id":338,"start_date":"2017-09-22","description":"","custom_fields":[{"id":1,"name":"Subdivision","value":"EC"},{"id":4,"name":"Milepost","value":"0.0143"},{"id":17,"name":"Train ID","value":"168-22"},{"id":16,"name":"Locomotive ID","value":"4063"},{"id":130,"name":"Impact","value":""},{"id":150,"name":"Time of Event (Mountain Time)","value":"13:37:08"},{"id":151,"name":"Denver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4"/>
        <v>start /low /b %USERPROFILE%\Documents\GitHub\eaglep3\Utilities\DownloadLogsFromS3.py --loco 4063 --day 2017-09-22</v>
      </c>
      <c r="AN81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19:37:08"},{"id":29,"name":"Sharepoint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46"/>
        <v>https://d0f6bd738d7f1b3e5a7ca70fe4ff75f0.us-east-1.aws.found.io/app/kibana#/discover/Steve-Slow-Train-Analysis-(2080s-and-2083s)?_g=(refreshInterval:(display:Off,pause:!f,section:0,value:0),time:(from:'2017-09-22T11:38:42-0600',mode:absolute,to:'2017-09-22T14:37:08-0600'))&amp;_a=(columns:!('Message%20ID',Summary),filters:!(),index:'emp_*',interval:auto,query:(query_string:(analyze_wildcard:!t,query:'Message%5C+ID:(*)+AND+%22rtdc.l.rtdc.4063%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713</v>
      </c>
      <c r="B82" s="7">
        <v>4062</v>
      </c>
      <c r="C82" s="21" t="s">
        <v>196</v>
      </c>
      <c r="D82" s="21" t="s">
        <v>419</v>
      </c>
      <c r="E82" s="13">
        <v>43000.504548611112</v>
      </c>
      <c r="F82" s="13">
        <v>43000.510972222219</v>
      </c>
      <c r="G82" s="7">
        <v>101</v>
      </c>
      <c r="H82" s="21" t="s">
        <v>855</v>
      </c>
      <c r="I82" s="13">
        <v>43000.534398148149</v>
      </c>
      <c r="J82" s="7">
        <v>0</v>
      </c>
      <c r="K82" s="89" t="str">
        <f t="shared" si="30"/>
        <v>4061/4062</v>
      </c>
      <c r="L82" s="185" t="str">
        <f>VLOOKUP(A82,'Trips&amp;Operators'!$C$1:$G$99911,5,FALSE)</f>
        <v>LEVIN SCOTT</v>
      </c>
      <c r="M82" s="6">
        <f t="shared" si="31"/>
        <v>2.3425925930496305E-2</v>
      </c>
      <c r="N82" s="7">
        <f t="shared" si="29"/>
        <v>33.73333333991468</v>
      </c>
      <c r="O82" s="7"/>
      <c r="P82" s="7"/>
      <c r="Q82" s="22"/>
      <c r="R82" s="174"/>
      <c r="S82" s="221">
        <f t="shared" si="24"/>
        <v>1</v>
      </c>
      <c r="T82" s="174" t="str">
        <f t="shared" si="32"/>
        <v>NorthBound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33"/>
        <v>https://d0f6bd738d7f1b3e5a7ca70fe4ff75f0.us-east-1.aws.found.io/app/kibana#/discover/Steve-Slow-Train-Analysis-(2080s-and-2083s)?_g=(refreshInterval:(display:Off,pause:!f,section:0,value:0),time:(from:'2017-09-22T11:06:33-0600',mode:absolute,to:'2017-09-22T13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2" s="204" t="str">
        <f>IF(AA82&lt;VLOOKUP(AG82,Variables!$AC$3:$AD$8,2,FALSE),"Y","N")</f>
        <v>N</v>
      </c>
      <c r="X82" s="204">
        <f t="shared" si="34"/>
        <v>1</v>
      </c>
      <c r="Y82" s="204">
        <f t="shared" si="35"/>
        <v>4.7500000000000001E-2</v>
      </c>
      <c r="Z82" s="204">
        <f t="shared" si="36"/>
        <v>23.331099999999999</v>
      </c>
      <c r="AA82" s="204">
        <f t="shared" si="37"/>
        <v>23.2836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38"/>
        <v>169</v>
      </c>
      <c r="AE82" s="77" t="str">
        <f t="shared" si="39"/>
        <v>aws s3 cp s3://rtdc.mdm.uploadarchive.raw/RTDC4062/ "%USERPROFILE%\AppData\Local\Temp\OnboardLogs"\RTDC4062\2017-09-22 --exclude "*" --recursive --include "*20170922*" &amp; "%USERPROFILE%\Documents\GitHub\mrs-test-scripts\Headless Mode &amp; Sideloading\WalkAndUnGZ.bat" "%USERPROFILE%\AppData\Local\Temp\OnboardLogs"\RTDC4062\2017-09-22 &amp; aws s3 cp s3://rtdc.mdm.uploadarchive.raw/RTDC4062/ "%USERPROFILE%\AppData\Local\Temp\OnboardLogs"\RTDC4062\2017-09-23 --exclude "*" --recursive --include "*20170923*" &amp; "%USERPROFILE%\Documents\GitHub\mrs-test-scripts\Headless Mode &amp; Sideloading\WalkAndUnGZ.bat" "%USERPROFILE%\AppData\Local\Temp\OnboardLogs"\RTDC4062\2017-09-23</v>
      </c>
      <c r="AF82" s="74" t="str">
        <f t="shared" si="40"/>
        <v>"C:\Program Files (x86)\AstroGrep\AstroGrep.exe" /e /r /s /spath="%USERPROFILE%\AppData\Local\Temp\OnboardLogs" /stypes="app*4062*20170922*" /stext=" 18:.+((SYSTEM_STATE.+slice.+state.+changed )|(ment ac)|(multiple cpu faults)|(system.+state.+changed )|(\[timeout)|(PRM\|1\|D)|(kpr)|(kdp)|(train st.+moving)|(\|lc)|(penalty))"</v>
      </c>
      <c r="AG82" s="182" t="str">
        <f t="shared" si="41"/>
        <v>EC</v>
      </c>
      <c r="AH82" s="78" t="str">
        <f t="shared" si="42"/>
        <v>"%USERPROFILE%\Documents\GitHub\eaglep3\Utilities\RefineRTDCRunTimes.py" --tripid 169-22 --locoid 4062 --swversion DE.1.0.9.0 --startMP 204:475 --initTime 2017-09-22T12:06:33 --startdatetime 2017-09-22T12:15:48 --delay 101 --endMP 204:233311 --enddatetime 2017-09-22T12:49:32 --enforcementcount 0 &gt;&gt;c:\users\stu\Documents\GitHub\eaglep3-reporting\EC\2017-09-22-refined-times.txt</v>
      </c>
      <c r="AI82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{"issue":{"subject":"","project_id":79,"tracker_id":40,"status_id":1,"priority_id":2,"assigned_to_id":338,"start_date":"2017-09-22","description":"","custom_fields":[{"id":1,"name":"Subdivision","value":"EC"},{"id":4,"name":"Milepost","value":"23.3311"},{"id":17,"name":"Train ID","value":"169-22"},{"id":16,"name":"Locomotive ID","value":"4062"},{"id":130,"name":"Impact","value":""},{"id":150,"name":"Time of Event (Mountain Time)","value":"12:49:32"},{"id":151,"name":"Denver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4"/>
        <v>start /low /b %USERPROFILE%\Documents\GitHub\eaglep3\Utilities\DownloadLogsFromS3.py --loco 4062 --day 2017-09-22</v>
      </c>
      <c r="AN82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18:49:32"},{"id":29,"name":"Sharepoint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46"/>
        <v>https://d0f6bd738d7f1b3e5a7ca70fe4ff75f0.us-east-1.aws.found.io/app/kibana#/discover/Steve-Slow-Train-Analysis-(2080s-and-2083s)?_g=(refreshInterval:(display:Off,pause:!f,section:0,value:0),time:(from:'2017-09-22T11:06:33-0600',mode:absolute,to:'2017-09-22T13:49:32-0600'))&amp;_a=(columns:!('Message%20ID',Summary),filters:!(),index:'emp_*',interval:auto,query:(query_string:(analyze_wildcard:!t,query:'Message%5C+ID:(*)+AND+%22rtdc.l.rtdc.4062%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721</v>
      </c>
      <c r="B83" s="7">
        <v>4061</v>
      </c>
      <c r="C83" s="21" t="s">
        <v>196</v>
      </c>
      <c r="D83" s="21" t="s">
        <v>371</v>
      </c>
      <c r="E83" s="13">
        <v>43000.542893518519</v>
      </c>
      <c r="F83" s="13">
        <v>43000.550208333334</v>
      </c>
      <c r="G83" s="7">
        <v>90</v>
      </c>
      <c r="H83" s="21" t="s">
        <v>388</v>
      </c>
      <c r="I83" s="13">
        <v>43000.575949074075</v>
      </c>
      <c r="J83" s="7">
        <v>0</v>
      </c>
      <c r="K83" s="89" t="str">
        <f t="shared" si="30"/>
        <v>4061/4062</v>
      </c>
      <c r="L83" s="185" t="str">
        <f>VLOOKUP(A83,'Trips&amp;Operators'!$C$1:$G$99911,5,FALSE)</f>
        <v>LEVIN SCOTT</v>
      </c>
      <c r="M83" s="6">
        <f t="shared" si="31"/>
        <v>2.5740740740729962E-2</v>
      </c>
      <c r="N83" s="7">
        <f t="shared" si="29"/>
        <v>37.066666666651145</v>
      </c>
      <c r="O83" s="7"/>
      <c r="P83" s="7"/>
      <c r="Q83" s="22"/>
      <c r="R83" s="174"/>
      <c r="S83" s="221">
        <f t="shared" si="24"/>
        <v>1</v>
      </c>
      <c r="T83" s="174" t="str">
        <f t="shared" si="32"/>
        <v>Southbound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33"/>
        <v>https://d0f6bd738d7f1b3e5a7ca70fe4ff75f0.us-east-1.aws.found.io/app/kibana#/discover/Steve-Slow-Train-Analysis-(2080s-and-2083s)?_g=(refreshInterval:(display:Off,pause:!f,section:0,value:0),time:(from:'2017-09-22T12:01:46-0600',mode:absolute,to:'2017-09-22T14:49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3" s="204" t="str">
        <f>IF(AA83&lt;VLOOKUP(AG83,Variables!$AC$3:$AD$8,2,FALSE),"Y","N")</f>
        <v>N</v>
      </c>
      <c r="X83" s="204">
        <f t="shared" si="34"/>
        <v>1</v>
      </c>
      <c r="Y83" s="204">
        <f t="shared" si="35"/>
        <v>23.297699999999999</v>
      </c>
      <c r="Z83" s="204">
        <f t="shared" si="36"/>
        <v>1.3899999999999999E-2</v>
      </c>
      <c r="AA83" s="204">
        <f t="shared" si="37"/>
        <v>23.283799999999999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38"/>
        <v>170</v>
      </c>
      <c r="AE83" s="77" t="str">
        <f t="shared" si="39"/>
        <v>aws s3 cp s3://rtdc.mdm.uploadarchive.raw/RTDC4061/ "%USERPROFILE%\AppData\Local\Temp\OnboardLogs"\RTDC4061\2017-09-22 --exclude "*" --recursive --include "*20170922*" &amp; "%USERPROFILE%\Documents\GitHub\mrs-test-scripts\Headless Mode &amp; Sideloading\WalkAndUnGZ.bat" "%USERPROFILE%\AppData\Local\Temp\OnboardLogs"\RTDC4061\2017-09-22 &amp; aws s3 cp s3://rtdc.mdm.uploadarchive.raw/RTDC4061/ "%USERPROFILE%\AppData\Local\Temp\OnboardLogs"\RTDC4061\2017-09-23 --exclude "*" --recursive --include "*20170923*" &amp; "%USERPROFILE%\Documents\GitHub\mrs-test-scripts\Headless Mode &amp; Sideloading\WalkAndUnGZ.bat" "%USERPROFILE%\AppData\Local\Temp\OnboardLogs"\RTDC4061\2017-09-23</v>
      </c>
      <c r="AF83" s="74" t="str">
        <f t="shared" si="40"/>
        <v>"C:\Program Files (x86)\AstroGrep\AstroGrep.exe" /e /r /s /spath="%USERPROFILE%\AppData\Local\Temp\OnboardLogs" /stypes="app*4061*20170922*" /stext=" 19:.+((SYSTEM_STATE.+slice.+state.+changed )|(ment ac)|(multiple cpu faults)|(system.+state.+changed )|(\[timeout)|(PRM\|1\|D)|(kpr)|(kdp)|(train st.+moving)|(\|lc)|(penalty))"</v>
      </c>
      <c r="AG83" s="182" t="str">
        <f t="shared" si="41"/>
        <v>EC</v>
      </c>
      <c r="AH83" s="78" t="str">
        <f t="shared" si="42"/>
        <v>"%USERPROFILE%\Documents\GitHub\eaglep3\Utilities\RefineRTDCRunTimes.py" --tripid 170-22 --locoid 4061 --swversion DE.1.0.9.0 --startMP 204:232977 --initTime 2017-09-22T13:01:46 --startdatetime 2017-09-22T13:12:18 --delay 90 --endMP 204:139 --enddatetime 2017-09-22T13:49:22 --enforcementcount 0 &gt;&gt;c:\users\stu\Documents\GitHub\eaglep3-reporting\EC\2017-09-22-refined-times.txt</v>
      </c>
      <c r="AI83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{"issue":{"subject":"","project_id":79,"tracker_id":40,"status_id":1,"priority_id":2,"assigned_to_id":338,"start_date":"2017-09-22","description":"","custom_fields":[{"id":1,"name":"Subdivision","value":"EC"},{"id":4,"name":"Milepost","value":"0.0139"},{"id":17,"name":"Train ID","value":"170-22"},{"id":16,"name":"Locomotive ID","value":"4061"},{"id":130,"name":"Impact","value":""},{"id":150,"name":"Time of Event (Mountain Time)","value":"13:49:22"},{"id":151,"name":"Denver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4"/>
        <v>start /low /b %USERPROFILE%\Documents\GitHub\eaglep3\Utilities\DownloadLogsFromS3.py --loco 4061 --day 2017-09-22</v>
      </c>
      <c r="AN83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19:49:22"},{"id":29,"name":"Sharepoint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46"/>
        <v>https://d0f6bd738d7f1b3e5a7ca70fe4ff75f0.us-east-1.aws.found.io/app/kibana#/discover/Steve-Slow-Train-Analysis-(2080s-and-2083s)?_g=(refreshInterval:(display:Off,pause:!f,section:0,value:0),time:(from:'2017-09-22T12:01:46-0600',mode:absolute,to:'2017-09-22T14:49:22-0600'))&amp;_a=(columns:!('Message%20ID',Summary),filters:!(),index:'emp_*',interval:auto,query:(query_string:(analyze_wildcard:!t,query:'Message%5C+ID:(*)+AND+%22rtdc.l.rtdc.4061%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591</v>
      </c>
      <c r="B84" s="7">
        <v>4044</v>
      </c>
      <c r="C84" s="21" t="s">
        <v>196</v>
      </c>
      <c r="D84" s="21" t="s">
        <v>358</v>
      </c>
      <c r="E84" s="13">
        <v>43000.517152777778</v>
      </c>
      <c r="F84" s="13">
        <v>43000.521932870368</v>
      </c>
      <c r="G84" s="7">
        <v>55</v>
      </c>
      <c r="H84" s="21" t="s">
        <v>410</v>
      </c>
      <c r="I84" s="13">
        <v>43000.548611111109</v>
      </c>
      <c r="J84" s="7">
        <v>0</v>
      </c>
      <c r="K84" s="89" t="str">
        <f t="shared" si="30"/>
        <v>4043/4044</v>
      </c>
      <c r="L84" s="185" t="str">
        <f>VLOOKUP(A84,'Trips&amp;Operators'!$C$1:$G$99911,5,FALSE)</f>
        <v>BADERTSCHER DIANE</v>
      </c>
      <c r="M84" s="6">
        <f t="shared" si="31"/>
        <v>2.6678240741603076E-2</v>
      </c>
      <c r="N84" s="7">
        <f t="shared" si="29"/>
        <v>38.41666666790843</v>
      </c>
      <c r="O84" s="7"/>
      <c r="P84" s="7"/>
      <c r="Q84" s="22"/>
      <c r="R84" s="174"/>
      <c r="S84" s="221">
        <f t="shared" si="24"/>
        <v>1</v>
      </c>
      <c r="T84" s="174" t="str">
        <f t="shared" si="32"/>
        <v>NorthBound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33"/>
        <v>https://d0f6bd738d7f1b3e5a7ca70fe4ff75f0.us-east-1.aws.found.io/app/kibana#/discover/Steve-Slow-Train-Analysis-(2080s-and-2083s)?_g=(refreshInterval:(display:Off,pause:!f,section:0,value:0),time:(from:'2017-09-22T11:24:42-0600',mode:absolute,to:'2017-09-22T14:10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4" s="204" t="str">
        <f>IF(AA84&lt;VLOOKUP(AG84,Variables!$AC$3:$AD$8,2,FALSE),"Y","N")</f>
        <v>N</v>
      </c>
      <c r="X84" s="204">
        <f t="shared" si="34"/>
        <v>1</v>
      </c>
      <c r="Y84" s="204">
        <f t="shared" si="35"/>
        <v>4.4900000000000002E-2</v>
      </c>
      <c r="Z84" s="204">
        <f t="shared" si="36"/>
        <v>23.331900000000001</v>
      </c>
      <c r="AA84" s="204">
        <f t="shared" si="37"/>
        <v>23.287000000000003</v>
      </c>
      <c r="AB84" s="54" t="str">
        <f>VLOOKUP(A84,Enforcements!$C$7:$K$11,8,0)</f>
        <v>Bulletin (2)</v>
      </c>
      <c r="AC84" s="51" t="str">
        <f>VLOOKUP(A84,Enforcements!$C$7:$E$11,3,0)</f>
        <v>GRADE CROSSING</v>
      </c>
      <c r="AD84" s="179">
        <f t="shared" si="38"/>
        <v>171</v>
      </c>
      <c r="AE84" s="77" t="str">
        <f t="shared" si="39"/>
        <v>aws s3 cp s3://rtdc.mdm.uploadarchive.raw/RTDC4044/ "%USERPROFILE%\AppData\Local\Temp\OnboardLogs"\RTDC4044\2017-09-22 --exclude "*" --recursive --include "*20170922*" &amp; "%USERPROFILE%\Documents\GitHub\mrs-test-scripts\Headless Mode &amp; Sideloading\WalkAndUnGZ.bat" "%USERPROFILE%\AppData\Local\Temp\OnboardLogs"\RTDC4044\2017-09-22 &amp; aws s3 cp s3://rtdc.mdm.uploadarchive.raw/RTDC4044/ "%USERPROFILE%\AppData\Local\Temp\OnboardLogs"\RTDC4044\2017-09-23 --exclude "*" --recursive --include "*20170923*" &amp; "%USERPROFILE%\Documents\GitHub\mrs-test-scripts\Headless Mode &amp; Sideloading\WalkAndUnGZ.bat" "%USERPROFILE%\AppData\Local\Temp\OnboardLogs"\RTDC4044\2017-09-23</v>
      </c>
      <c r="AF84" s="74" t="str">
        <f t="shared" si="40"/>
        <v>"C:\Program Files (x86)\AstroGrep\AstroGrep.exe" /e /r /s /spath="%USERPROFILE%\AppData\Local\Temp\OnboardLogs" /stypes="app*4044*20170922*" /stext=" 19:.+((SYSTEM_STATE.+slice.+state.+changed )|(ment ac)|(multiple cpu faults)|(system.+state.+changed )|(\[timeout)|(PRM\|1\|D)|(kpr)|(kdp)|(train st.+moving)|(\|lc)|(penalty))"</v>
      </c>
      <c r="AG84" s="182" t="str">
        <f t="shared" si="41"/>
        <v>EC</v>
      </c>
      <c r="AH84" s="78" t="str">
        <f t="shared" si="42"/>
        <v>"%USERPROFILE%\Documents\GitHub\eaglep3\Utilities\RefineRTDCRunTimes.py" --tripid 171-22 --locoid 4044 --swversion DE.1.0.9.0 --startMP 204:449 --initTime 2017-09-22T12:24:42 --startdatetime 2017-09-22T12:31:35 --delay 55 --endMP 204:233319 --enddatetime 2017-09-22T13:10:00 --enforcementcount 0 &gt;&gt;c:\users\stu\Documents\GitHub\eaglep3-reporting\EC\2017-09-22-refined-times.txt</v>
      </c>
      <c r="AI84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{"issue":{"subject":"","project_id":79,"tracker_id":40,"status_id":1,"priority_id":2,"assigned_to_id":338,"start_date":"2017-09-22","description":"","custom_fields":[{"id":1,"name":"Subdivision","value":"EC"},{"id":4,"name":"Milepost","value":"23.3319"},{"id":17,"name":"Train ID","value":"171-22"},{"id":16,"name":"Locomotive ID","value":"4044"},{"id":130,"name":"Impact","value":""},{"id":150,"name":"Time of Event (Mountain Time)","value":"13:10:00"},{"id":151,"name":"Denver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4"/>
        <v>start /low /b %USERPROFILE%\Documents\GitHub\eaglep3\Utilities\DownloadLogsFromS3.py --loco 4044 --day 2017-09-22</v>
      </c>
      <c r="AN84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19:10:00"},{"id":29,"name":"Sharepoint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46"/>
        <v>https://d0f6bd738d7f1b3e5a7ca70fe4ff75f0.us-east-1.aws.found.io/app/kibana#/discover/Steve-Slow-Train-Analysis-(2080s-and-2083s)?_g=(refreshInterval:(display:Off,pause:!f,section:0,value:0),time:(from:'2017-09-22T11:24:42-0600',mode:absolute,to:'2017-09-22T14:10:00-0600'))&amp;_a=(columns:!('Message%20ID',Summary),filters:!(),index:'emp_*',interval:auto,query:(query_string:(analyze_wildcard:!t,query:'Message%5C+ID:(*)+AND+%22rtdc.l.rtdc.4044%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723</v>
      </c>
      <c r="B85" s="7">
        <v>4043</v>
      </c>
      <c r="C85" s="21" t="s">
        <v>196</v>
      </c>
      <c r="D85" s="21" t="s">
        <v>429</v>
      </c>
      <c r="E85" s="13">
        <v>43000.551979166667</v>
      </c>
      <c r="F85" s="13">
        <v>43000.560601851852</v>
      </c>
      <c r="G85" s="7">
        <v>166</v>
      </c>
      <c r="H85" s="21" t="s">
        <v>430</v>
      </c>
      <c r="I85" s="13">
        <v>43000.58797453704</v>
      </c>
      <c r="J85" s="7">
        <v>0</v>
      </c>
      <c r="K85" s="89" t="str">
        <f t="shared" si="30"/>
        <v>4043/4044</v>
      </c>
      <c r="L85" s="185" t="str">
        <f>VLOOKUP(A85,'Trips&amp;Operators'!$C$1:$G$99911,5,FALSE)</f>
        <v>BADERTSCHER DIANE</v>
      </c>
      <c r="M85" s="6">
        <f t="shared" si="31"/>
        <v>2.7372685188311152E-2</v>
      </c>
      <c r="N85" s="7">
        <f t="shared" si="29"/>
        <v>39.416666671168059</v>
      </c>
      <c r="O85" s="7"/>
      <c r="P85" s="7"/>
      <c r="Q85" s="22"/>
      <c r="R85" s="174"/>
      <c r="S85" s="221">
        <f t="shared" ref="S85:S148" si="47">1/IF(AG85="EC",12,1)*SUM(U85:U85)</f>
        <v>1</v>
      </c>
      <c r="T85" s="174" t="str">
        <f t="shared" si="32"/>
        <v>Southbound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33"/>
        <v>https://d0f6bd738d7f1b3e5a7ca70fe4ff75f0.us-east-1.aws.found.io/app/kibana#/discover/Steve-Slow-Train-Analysis-(2080s-and-2083s)?_g=(refreshInterval:(display:Off,pause:!f,section:0,value:0),time:(from:'2017-09-22T12:14:51-0600',mode:absolute,to:'2017-09-22T15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5" s="204" t="str">
        <f>IF(AA85&lt;VLOOKUP(AG85,Variables!$AC$3:$AD$8,2,FALSE),"Y","N")</f>
        <v>N</v>
      </c>
      <c r="X85" s="204">
        <f t="shared" si="34"/>
        <v>1</v>
      </c>
      <c r="Y85" s="204">
        <f t="shared" si="35"/>
        <v>23.3019</v>
      </c>
      <c r="Z85" s="204">
        <f t="shared" si="36"/>
        <v>1.2999999999999999E-2</v>
      </c>
      <c r="AA85" s="204">
        <f t="shared" si="37"/>
        <v>23.288899999999998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38"/>
        <v>172</v>
      </c>
      <c r="AE85" s="77" t="str">
        <f t="shared" si="39"/>
        <v>aws s3 cp s3://rtdc.mdm.uploadarchive.raw/RTDC4043/ "%USERPROFILE%\AppData\Local\Temp\OnboardLogs"\RTDC4043\2017-09-22 --exclude "*" --recursive --include "*20170922*" &amp; "%USERPROFILE%\Documents\GitHub\mrs-test-scripts\Headless Mode &amp; Sideloading\WalkAndUnGZ.bat" "%USERPROFILE%\AppData\Local\Temp\OnboardLogs"\RTDC4043\2017-09-22 &amp; aws s3 cp s3://rtdc.mdm.uploadarchive.raw/RTDC4043/ "%USERPROFILE%\AppData\Local\Temp\OnboardLogs"\RTDC4043\2017-09-23 --exclude "*" --recursive --include "*20170923*" &amp; "%USERPROFILE%\Documents\GitHub\mrs-test-scripts\Headless Mode &amp; Sideloading\WalkAndUnGZ.bat" "%USERPROFILE%\AppData\Local\Temp\OnboardLogs"\RTDC4043\2017-09-23</v>
      </c>
      <c r="AF85" s="74" t="str">
        <f t="shared" si="40"/>
        <v>"C:\Program Files (x86)\AstroGrep\AstroGrep.exe" /e /r /s /spath="%USERPROFILE%\AppData\Local\Temp\OnboardLogs" /stypes="app*4043*20170922*" /stext=" 20:.+((SYSTEM_STATE.+slice.+state.+changed )|(ment ac)|(multiple cpu faults)|(system.+state.+changed )|(\[timeout)|(PRM\|1\|D)|(kpr)|(kdp)|(train st.+moving)|(\|lc)|(penalty))"</v>
      </c>
      <c r="AG85" s="182" t="str">
        <f t="shared" si="41"/>
        <v>EC</v>
      </c>
      <c r="AH85" s="78" t="str">
        <f t="shared" si="42"/>
        <v>"%USERPROFILE%\Documents\GitHub\eaglep3\Utilities\RefineRTDCRunTimes.py" --tripid 172-22 --locoid 4043 --swversion DE.1.0.9.0 --startMP 204:233019 --initTime 2017-09-22T13:14:51 --startdatetime 2017-09-22T13:27:16 --delay 166 --endMP 204:130 --enddatetime 2017-09-22T14:06:41 --enforcementcount 0 &gt;&gt;c:\users\stu\Documents\GitHub\eaglep3-reporting\EC\2017-09-22-refined-times.txt</v>
      </c>
      <c r="AI85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{"issue":{"subject":"","project_id":79,"tracker_id":40,"status_id":1,"priority_id":2,"assigned_to_id":338,"start_date":"2017-09-22","description":"","custom_fields":[{"id":1,"name":"Subdivision","value":"EC"},{"id":4,"name":"Milepost","value":"0.013"},{"id":17,"name":"Train ID","value":"172-22"},{"id":16,"name":"Locomotive ID","value":"4043"},{"id":130,"name":"Impact","value":""},{"id":150,"name":"Time of Event (Mountain Time)","value":"14:06:41"},{"id":151,"name":"Denver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4"/>
        <v>start /low /b %USERPROFILE%\Documents\GitHub\eaglep3\Utilities\DownloadLogsFromS3.py --loco 4043 --day 2017-09-22</v>
      </c>
      <c r="AN85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20:06:41"},{"id":29,"name":"Sharepoint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46"/>
        <v>https://d0f6bd738d7f1b3e5a7ca70fe4ff75f0.us-east-1.aws.found.io/app/kibana#/discover/Steve-Slow-Train-Analysis-(2080s-and-2083s)?_g=(refreshInterval:(display:Off,pause:!f,section:0,value:0),time:(from:'2017-09-22T12:14:51-0600',mode:absolute,to:'2017-09-22T15:06:41-0600'))&amp;_a=(columns:!('Message%20ID',Summary),filters:!(),index:'emp_*',interval:auto,query:(query_string:(analyze_wildcard:!t,query:'Message%5C+ID:(*)+AND+%22rtdc.l.rtdc.4043%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717</v>
      </c>
      <c r="B86" s="7">
        <v>4012</v>
      </c>
      <c r="C86" s="21" t="s">
        <v>196</v>
      </c>
      <c r="D86" s="21" t="s">
        <v>394</v>
      </c>
      <c r="E86" s="13">
        <v>43000.525902777779</v>
      </c>
      <c r="F86" s="13">
        <v>43000.531458333331</v>
      </c>
      <c r="G86" s="7">
        <v>184</v>
      </c>
      <c r="H86" s="21" t="s">
        <v>856</v>
      </c>
      <c r="I86" s="13">
        <v>43000.555497685185</v>
      </c>
      <c r="J86" s="7">
        <v>0</v>
      </c>
      <c r="K86" s="89" t="str">
        <f t="shared" si="30"/>
        <v>4011/4012</v>
      </c>
      <c r="L86" s="185" t="str">
        <f>VLOOKUP(A86,'Trips&amp;Operators'!$C$1:$G$99911,5,FALSE)</f>
        <v>GONZALEZ ARMANDO</v>
      </c>
      <c r="M86" s="6">
        <f t="shared" si="31"/>
        <v>2.4039351854298729E-2</v>
      </c>
      <c r="N86" s="7">
        <f t="shared" ref="N86:N117" si="48">24*60*SUM($M86:$M86)</f>
        <v>34.61666667019017</v>
      </c>
      <c r="O86" s="7"/>
      <c r="P86" s="7"/>
      <c r="Q86" s="22"/>
      <c r="R86" s="174"/>
      <c r="S86" s="221">
        <f t="shared" si="47"/>
        <v>1</v>
      </c>
      <c r="T86" s="174" t="str">
        <f t="shared" si="32"/>
        <v>NorthBound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33"/>
        <v>https://d0f6bd738d7f1b3e5a7ca70fe4ff75f0.us-east-1.aws.found.io/app/kibana#/discover/Steve-Slow-Train-Analysis-(2080s-and-2083s)?_g=(refreshInterval:(display:Off,pause:!f,section:0,value:0),time:(from:'2017-09-22T11:37:18-0600',mode:absolute,to:'2017-09-22T14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6" s="204" t="str">
        <f>IF(AA86&lt;VLOOKUP(AG86,Variables!$AC$3:$AD$8,2,FALSE),"Y","N")</f>
        <v>N</v>
      </c>
      <c r="X86" s="204">
        <f t="shared" si="34"/>
        <v>1</v>
      </c>
      <c r="Y86" s="204">
        <f t="shared" si="35"/>
        <v>4.6199999999999998E-2</v>
      </c>
      <c r="Z86" s="204">
        <f t="shared" si="36"/>
        <v>23.334499999999998</v>
      </c>
      <c r="AA86" s="204">
        <f t="shared" si="37"/>
        <v>23.2883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38"/>
        <v>173</v>
      </c>
      <c r="AE86" s="77" t="str">
        <f t="shared" si="39"/>
        <v>aws s3 cp s3://rtdc.mdm.uploadarchive.raw/RTDC4012/ "%USERPROFILE%\AppData\Local\Temp\OnboardLogs"\RTDC4012\2017-09-22 --exclude "*" --recursive --include "*20170922*" &amp; "%USERPROFILE%\Documents\GitHub\mrs-test-scripts\Headless Mode &amp; Sideloading\WalkAndUnGZ.bat" "%USERPROFILE%\AppData\Local\Temp\OnboardLogs"\RTDC4012\2017-09-22 &amp; aws s3 cp s3://rtdc.mdm.uploadarchive.raw/RTDC4012/ "%USERPROFILE%\AppData\Local\Temp\OnboardLogs"\RTDC4012\2017-09-23 --exclude "*" --recursive --include "*20170923*" &amp; "%USERPROFILE%\Documents\GitHub\mrs-test-scripts\Headless Mode &amp; Sideloading\WalkAndUnGZ.bat" "%USERPROFILE%\AppData\Local\Temp\OnboardLogs"\RTDC4012\2017-09-23</v>
      </c>
      <c r="AF86" s="74" t="str">
        <f t="shared" si="40"/>
        <v>"C:\Program Files (x86)\AstroGrep\AstroGrep.exe" /e /r /s /spath="%USERPROFILE%\AppData\Local\Temp\OnboardLogs" /stypes="app*4012*20170922*" /stext=" 19:.+((SYSTEM_STATE.+slice.+state.+changed )|(ment ac)|(multiple cpu faults)|(system.+state.+changed )|(\[timeout)|(PRM\|1\|D)|(kpr)|(kdp)|(train st.+moving)|(\|lc)|(penalty))"</v>
      </c>
      <c r="AG86" s="182" t="str">
        <f t="shared" si="41"/>
        <v>EC</v>
      </c>
      <c r="AH86" s="78" t="str">
        <f t="shared" si="42"/>
        <v>"%USERPROFILE%\Documents\GitHub\eaglep3\Utilities\RefineRTDCRunTimes.py" --tripid 173-22 --locoid 4012 --swversion DE.1.0.9.0 --startMP 204:462 --initTime 2017-09-22T12:37:18 --startdatetime 2017-09-22T12:45:18 --delay 184 --endMP 204:233345 --enddatetime 2017-09-22T13:19:55 --enforcementcount 0 &gt;&gt;c:\users\stu\Documents\GitHub\eaglep3-reporting\EC\2017-09-22-refined-times.txt</v>
      </c>
      <c r="AI86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{"issue":{"subject":"","project_id":79,"tracker_id":40,"status_id":1,"priority_id":2,"assigned_to_id":338,"start_date":"2017-09-22","description":"","custom_fields":[{"id":1,"name":"Subdivision","value":"EC"},{"id":4,"name":"Milepost","value":"23.3345"},{"id":17,"name":"Train ID","value":"173-22"},{"id":16,"name":"Locomotive ID","value":"4012"},{"id":130,"name":"Impact","value":""},{"id":150,"name":"Time of Event (Mountain Time)","value":"13:19:55"},{"id":151,"name":"Denver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4"/>
        <v>start /low /b %USERPROFILE%\Documents\GitHub\eaglep3\Utilities\DownloadLogsFromS3.py --loco 4012 --day 2017-09-22</v>
      </c>
      <c r="AN86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19:19:55"},{"id":29,"name":"Sharepoint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46"/>
        <v>https://d0f6bd738d7f1b3e5a7ca70fe4ff75f0.us-east-1.aws.found.io/app/kibana#/discover/Steve-Slow-Train-Analysis-(2080s-and-2083s)?_g=(refreshInterval:(display:Off,pause:!f,section:0,value:0),time:(from:'2017-09-22T11:37:18-0600',mode:absolute,to:'2017-09-22T14:19:55-0600'))&amp;_a=(columns:!('Message%20ID',Summary),filters:!(),index:'emp_*',interval:auto,query:(query_string:(analyze_wildcard:!t,query:'Message%5C+ID:(*)+AND+%22rtdc.l.rtdc.4012%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726</v>
      </c>
      <c r="B87" s="7">
        <v>4011</v>
      </c>
      <c r="C87" s="21" t="s">
        <v>196</v>
      </c>
      <c r="D87" s="21" t="s">
        <v>857</v>
      </c>
      <c r="E87" s="13">
        <v>43000.56690972222</v>
      </c>
      <c r="F87" s="13">
        <v>43000.571006944447</v>
      </c>
      <c r="G87" s="7">
        <v>71</v>
      </c>
      <c r="H87" s="21" t="s">
        <v>377</v>
      </c>
      <c r="I87" s="13">
        <v>43000.596828703703</v>
      </c>
      <c r="J87" s="7">
        <v>0</v>
      </c>
      <c r="K87" s="89" t="str">
        <f t="shared" si="30"/>
        <v>4011/4012</v>
      </c>
      <c r="L87" s="185" t="str">
        <f>VLOOKUP(A87,'Trips&amp;Operators'!$C$1:$G$99911,5,FALSE)</f>
        <v>GONZALEZ ARMANDO</v>
      </c>
      <c r="M87" s="6">
        <f t="shared" si="31"/>
        <v>2.5821759256359655E-2</v>
      </c>
      <c r="N87" s="7">
        <f t="shared" si="48"/>
        <v>37.183333329157904</v>
      </c>
      <c r="O87" s="7"/>
      <c r="P87" s="7"/>
      <c r="Q87" s="22"/>
      <c r="R87" s="174"/>
      <c r="S87" s="221">
        <f t="shared" si="47"/>
        <v>1</v>
      </c>
      <c r="T87" s="174" t="str">
        <f t="shared" si="32"/>
        <v>Southbound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33"/>
        <v>https://d0f6bd738d7f1b3e5a7ca70fe4ff75f0.us-east-1.aws.found.io/app/kibana#/discover/Steve-Slow-Train-Analysis-(2080s-and-2083s)?_g=(refreshInterval:(display:Off,pause:!f,section:0,value:0),time:(from:'2017-09-22T12:36:21-0600',mode:absolute,to:'2017-09-22T15:19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7" s="204" t="str">
        <f>IF(AA87&lt;VLOOKUP(AG87,Variables!$AC$3:$AD$8,2,FALSE),"Y","N")</f>
        <v>N</v>
      </c>
      <c r="X87" s="204">
        <f t="shared" si="34"/>
        <v>1</v>
      </c>
      <c r="Y87" s="204">
        <f t="shared" si="35"/>
        <v>23.3001</v>
      </c>
      <c r="Z87" s="204">
        <f t="shared" si="36"/>
        <v>1.6E-2</v>
      </c>
      <c r="AA87" s="204">
        <f t="shared" si="37"/>
        <v>23.284100000000002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38"/>
        <v>174</v>
      </c>
      <c r="AE87" s="77" t="str">
        <f t="shared" si="39"/>
        <v>aws s3 cp s3://rtdc.mdm.uploadarchive.raw/RTDC4011/ "%USERPROFILE%\AppData\Local\Temp\OnboardLogs"\RTDC4011\2017-09-22 --exclude "*" --recursive --include "*20170922*" &amp; "%USERPROFILE%\Documents\GitHub\mrs-test-scripts\Headless Mode &amp; Sideloading\WalkAndUnGZ.bat" "%USERPROFILE%\AppData\Local\Temp\OnboardLogs"\RTDC4011\2017-09-22 &amp; aws s3 cp s3://rtdc.mdm.uploadarchive.raw/RTDC4011/ "%USERPROFILE%\AppData\Local\Temp\OnboardLogs"\RTDC4011\2017-09-23 --exclude "*" --recursive --include "*20170923*" &amp; "%USERPROFILE%\Documents\GitHub\mrs-test-scripts\Headless Mode &amp; Sideloading\WalkAndUnGZ.bat" "%USERPROFILE%\AppData\Local\Temp\OnboardLogs"\RTDC4011\2017-09-23</v>
      </c>
      <c r="AF87" s="74" t="str">
        <f t="shared" si="40"/>
        <v>"C:\Program Files (x86)\AstroGrep\AstroGrep.exe" /e /r /s /spath="%USERPROFILE%\AppData\Local\Temp\OnboardLogs" /stypes="app*4011*20170922*" /stext=" 20:.+((SYSTEM_STATE.+slice.+state.+changed )|(ment ac)|(multiple cpu faults)|(system.+state.+changed )|(\[timeout)|(PRM\|1\|D)|(kpr)|(kdp)|(train st.+moving)|(\|lc)|(penalty))"</v>
      </c>
      <c r="AG87" s="182" t="str">
        <f t="shared" si="41"/>
        <v>EC</v>
      </c>
      <c r="AH87" s="78" t="str">
        <f t="shared" si="42"/>
        <v>"%USERPROFILE%\Documents\GitHub\eaglep3\Utilities\RefineRTDCRunTimes.py" --tripid 174-22 --locoid 4011 --swversion DE.1.0.9.0 --startMP 204:233001 --initTime 2017-09-22T13:36:21 --startdatetime 2017-09-22T13:42:15 --delay 71 --endMP 204:160 --enddatetime 2017-09-22T14:19:26 --enforcementcount 0 &gt;&gt;c:\users\stu\Documents\GitHub\eaglep3-reporting\EC\2017-09-22-refined-times.txt</v>
      </c>
      <c r="AI87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{"issue":{"subject":"","project_id":79,"tracker_id":40,"status_id":1,"priority_id":2,"assigned_to_id":338,"start_date":"2017-09-22","description":"","custom_fields":[{"id":1,"name":"Subdivision","value":"EC"},{"id":4,"name":"Milepost","value":"0.016"},{"id":17,"name":"Train ID","value":"174-22"},{"id":16,"name":"Locomotive ID","value":"4011"},{"id":130,"name":"Impact","value":""},{"id":150,"name":"Time of Event (Mountain Time)","value":"14:19:26"},{"id":151,"name":"Denver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4"/>
        <v>start /low /b %USERPROFILE%\Documents\GitHub\eaglep3\Utilities\DownloadLogsFromS3.py --loco 4011 --day 2017-09-22</v>
      </c>
      <c r="AN87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20:19:26"},{"id":29,"name":"Sharepoint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46"/>
        <v>https://d0f6bd738d7f1b3e5a7ca70fe4ff75f0.us-east-1.aws.found.io/app/kibana#/discover/Steve-Slow-Train-Analysis-(2080s-and-2083s)?_g=(refreshInterval:(display:Off,pause:!f,section:0,value:0),time:(from:'2017-09-22T12:36:21-0600',mode:absolute,to:'2017-09-22T15:19:26-0600'))&amp;_a=(columns:!('Message%20ID',Summary),filters:!(),index:'emp_*',interval:auto,query:(query_string:(analyze_wildcard:!t,query:'Message%5C+ID:(*)+AND+%22rtdc.l.rtdc.4011%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719</v>
      </c>
      <c r="B88" s="7">
        <v>4018</v>
      </c>
      <c r="C88" s="21" t="s">
        <v>196</v>
      </c>
      <c r="D88" s="21" t="s">
        <v>853</v>
      </c>
      <c r="E88" s="13">
        <v>43000.537870370368</v>
      </c>
      <c r="F88" s="13">
        <v>43000.541863425926</v>
      </c>
      <c r="G88" s="7">
        <v>71</v>
      </c>
      <c r="H88" s="21" t="s">
        <v>556</v>
      </c>
      <c r="I88" s="13">
        <v>43000.566967592589</v>
      </c>
      <c r="J88" s="7">
        <v>0</v>
      </c>
      <c r="K88" s="89" t="str">
        <f t="shared" si="30"/>
        <v>4017/4018</v>
      </c>
      <c r="L88" s="185" t="str">
        <f>VLOOKUP(A88,'Trips&amp;Operators'!$C$1:$G$99911,5,FALSE)</f>
        <v>SAFIEF AEIMEN</v>
      </c>
      <c r="M88" s="6">
        <f t="shared" si="31"/>
        <v>2.5104166663368233E-2</v>
      </c>
      <c r="N88" s="7">
        <f t="shared" si="48"/>
        <v>36.149999995250255</v>
      </c>
      <c r="O88" s="7"/>
      <c r="P88" s="7"/>
      <c r="Q88" s="22"/>
      <c r="R88" s="174"/>
      <c r="S88" s="221">
        <f t="shared" si="47"/>
        <v>1</v>
      </c>
      <c r="T88" s="174" t="str">
        <f t="shared" si="32"/>
        <v>NorthBound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33"/>
        <v>https://d0f6bd738d7f1b3e5a7ca70fe4ff75f0.us-east-1.aws.found.io/app/kibana#/discover/Steve-Slow-Train-Analysis-(2080s-and-2083s)?_g=(refreshInterval:(display:Off,pause:!f,section:0,value:0),time:(from:'2017-09-22T11:54:32-0600',mode:absolute,to:'2017-09-22T14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8" s="204" t="str">
        <f>IF(AA88&lt;VLOOKUP(AG88,Variables!$AC$3:$AD$8,2,FALSE),"Y","N")</f>
        <v>N</v>
      </c>
      <c r="X88" s="204">
        <f t="shared" si="34"/>
        <v>1</v>
      </c>
      <c r="Y88" s="204">
        <f t="shared" si="35"/>
        <v>4.4400000000000002E-2</v>
      </c>
      <c r="Z88" s="204">
        <f t="shared" si="36"/>
        <v>23.3323</v>
      </c>
      <c r="AA88" s="204">
        <f t="shared" si="37"/>
        <v>23.2879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38"/>
        <v>175</v>
      </c>
      <c r="AE88" s="77" t="str">
        <f t="shared" si="39"/>
        <v>aws s3 cp s3://rtdc.mdm.uploadarchive.raw/RTDC4018/ "%USERPROFILE%\AppData\Local\Temp\OnboardLogs"\RTDC4018\2017-09-22 --exclude "*" --recursive --include "*20170922*" &amp; "%USERPROFILE%\Documents\GitHub\mrs-test-scripts\Headless Mode &amp; Sideloading\WalkAndUnGZ.bat" "%USERPROFILE%\AppData\Local\Temp\OnboardLogs"\RTDC4018\2017-09-22 &amp; aws s3 cp s3://rtdc.mdm.uploadarchive.raw/RTDC4018/ "%USERPROFILE%\AppData\Local\Temp\OnboardLogs"\RTDC4018\2017-09-23 --exclude "*" --recursive --include "*20170923*" &amp; "%USERPROFILE%\Documents\GitHub\mrs-test-scripts\Headless Mode &amp; Sideloading\WalkAndUnGZ.bat" "%USERPROFILE%\AppData\Local\Temp\OnboardLogs"\RTDC4018\2017-09-23</v>
      </c>
      <c r="AF88" s="74" t="str">
        <f t="shared" si="40"/>
        <v>"C:\Program Files (x86)\AstroGrep\AstroGrep.exe" /e /r /s /spath="%USERPROFILE%\AppData\Local\Temp\OnboardLogs" /stypes="app*4018*20170922*" /stext=" 19:.+((SYSTEM_STATE.+slice.+state.+changed )|(ment ac)|(multiple cpu faults)|(system.+state.+changed )|(\[timeout)|(PRM\|1\|D)|(kpr)|(kdp)|(train st.+moving)|(\|lc)|(penalty))"</v>
      </c>
      <c r="AG88" s="182" t="str">
        <f t="shared" si="41"/>
        <v>EC</v>
      </c>
      <c r="AH88" s="78" t="str">
        <f t="shared" si="42"/>
        <v>"%USERPROFILE%\Documents\GitHub\eaglep3\Utilities\RefineRTDCRunTimes.py" --tripid 175-22 --locoid 4018 --swversion DE.1.0.9.0 --startMP 204:444 --initTime 2017-09-22T12:54:32 --startdatetime 2017-09-22T13:00:17 --delay 71 --endMP 204:233323 --enddatetime 2017-09-22T13:36:26 --enforcementcount 0 &gt;&gt;c:\users\stu\Documents\GitHub\eaglep3-reporting\EC\2017-09-22-refined-times.txt</v>
      </c>
      <c r="AI88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{"issue":{"subject":"","project_id":79,"tracker_id":40,"status_id":1,"priority_id":2,"assigned_to_id":338,"start_date":"2017-09-22","description":"","custom_fields":[{"id":1,"name":"Subdivision","value":"EC"},{"id":4,"name":"Milepost","value":"23.3323"},{"id":17,"name":"Train ID","value":"175-22"},{"id":16,"name":"Locomotive ID","value":"4018"},{"id":130,"name":"Impact","value":""},{"id":150,"name":"Time of Event (Mountain Time)","value":"13:36:26"},{"id":151,"name":"Denver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4"/>
        <v>start /low /b %USERPROFILE%\Documents\GitHub\eaglep3\Utilities\DownloadLogsFromS3.py --loco 4018 --day 2017-09-22</v>
      </c>
      <c r="AN88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19:36:26"},{"id":29,"name":"Sharepoint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46"/>
        <v>https://d0f6bd738d7f1b3e5a7ca70fe4ff75f0.us-east-1.aws.found.io/app/kibana#/discover/Steve-Slow-Train-Analysis-(2080s-and-2083s)?_g=(refreshInterval:(display:Off,pause:!f,section:0,value:0),time:(from:'2017-09-22T11:54:32-0600',mode:absolute,to:'2017-09-22T14:36:26-0600'))&amp;_a=(columns:!('Message%20ID',Summary),filters:!(),index:'emp_*',interval:auto,query:(query_string:(analyze_wildcard:!t,query:'Message%5C+ID:(*)+AND+%22rtdc.l.rtdc.4018%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594</v>
      </c>
      <c r="B89" s="7">
        <v>4017</v>
      </c>
      <c r="C89" s="21" t="s">
        <v>196</v>
      </c>
      <c r="D89" s="21" t="s">
        <v>858</v>
      </c>
      <c r="E89" s="13">
        <v>43000.5702662037</v>
      </c>
      <c r="F89" s="13">
        <v>43000.581446759257</v>
      </c>
      <c r="G89" s="7">
        <v>80</v>
      </c>
      <c r="H89" s="21" t="s">
        <v>336</v>
      </c>
      <c r="I89" s="13">
        <v>43000.609050925923</v>
      </c>
      <c r="J89" s="7">
        <v>0</v>
      </c>
      <c r="K89" s="89" t="str">
        <f t="shared" si="30"/>
        <v>4017/4018</v>
      </c>
      <c r="L89" s="185" t="str">
        <f>VLOOKUP(A89,'Trips&amp;Operators'!$C$1:$G$99911,5,FALSE)</f>
        <v>SAFIEF AEIMEN</v>
      </c>
      <c r="M89" s="6">
        <f t="shared" si="31"/>
        <v>2.7604166665696539E-2</v>
      </c>
      <c r="N89" s="7">
        <f t="shared" si="48"/>
        <v>39.749999998603016</v>
      </c>
      <c r="O89" s="7"/>
      <c r="P89" s="7"/>
      <c r="Q89" s="22"/>
      <c r="R89" s="174"/>
      <c r="S89" s="221">
        <f t="shared" si="47"/>
        <v>1</v>
      </c>
      <c r="T89" s="174" t="str">
        <f t="shared" si="32"/>
        <v>Southbound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33"/>
        <v>https://d0f6bd738d7f1b3e5a7ca70fe4ff75f0.us-east-1.aws.found.io/app/kibana#/discover/Steve-Slow-Train-Analysis-(2080s-and-2083s)?_g=(refreshInterval:(display:Off,pause:!f,section:0,value:0),time:(from:'2017-09-22T12:41:11-0600',mode:absolute,to:'2017-09-22T15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9" s="204" t="str">
        <f>IF(AA89&lt;VLOOKUP(AG89,Variables!$AC$3:$AD$8,2,FALSE),"Y","N")</f>
        <v>N</v>
      </c>
      <c r="X89" s="204">
        <f t="shared" si="34"/>
        <v>1</v>
      </c>
      <c r="Y89" s="204">
        <f t="shared" si="35"/>
        <v>23.300999999999998</v>
      </c>
      <c r="Z89" s="204">
        <f t="shared" si="36"/>
        <v>1.4999999999999999E-2</v>
      </c>
      <c r="AA89" s="204">
        <f t="shared" si="37"/>
        <v>23.285999999999998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38"/>
        <v>176</v>
      </c>
      <c r="AE89" s="77" t="str">
        <f t="shared" si="39"/>
        <v>aws s3 cp s3://rtdc.mdm.uploadarchive.raw/RTDC4017/ "%USERPROFILE%\AppData\Local\Temp\OnboardLogs"\RTDC4017\2017-09-22 --exclude "*" --recursive --include "*20170922*" &amp; "%USERPROFILE%\Documents\GitHub\mrs-test-scripts\Headless Mode &amp; Sideloading\WalkAndUnGZ.bat" "%USERPROFILE%\AppData\Local\Temp\OnboardLogs"\RTDC4017\2017-09-22 &amp; aws s3 cp s3://rtdc.mdm.uploadarchive.raw/RTDC4017/ "%USERPROFILE%\AppData\Local\Temp\OnboardLogs"\RTDC4017\2017-09-23 --exclude "*" --recursive --include "*20170923*" &amp; "%USERPROFILE%\Documents\GitHub\mrs-test-scripts\Headless Mode &amp; Sideloading\WalkAndUnGZ.bat" "%USERPROFILE%\AppData\Local\Temp\OnboardLogs"\RTDC4017\2017-09-23</v>
      </c>
      <c r="AF89" s="74" t="str">
        <f t="shared" si="40"/>
        <v>"C:\Program Files (x86)\AstroGrep\AstroGrep.exe" /e /r /s /spath="%USERPROFILE%\AppData\Local\Temp\OnboardLogs" /stypes="app*4017*20170922*" /stext=" 20:.+((SYSTEM_STATE.+slice.+state.+changed )|(ment ac)|(multiple cpu faults)|(system.+state.+changed )|(\[timeout)|(PRM\|1\|D)|(kpr)|(kdp)|(train st.+moving)|(\|lc)|(penalty))"</v>
      </c>
      <c r="AG89" s="182" t="str">
        <f t="shared" si="41"/>
        <v>EC</v>
      </c>
      <c r="AH89" s="78" t="str">
        <f t="shared" si="42"/>
        <v>"%USERPROFILE%\Documents\GitHub\eaglep3\Utilities\RefineRTDCRunTimes.py" --tripid 176-22 --locoid 4017 --swversion DE.1.0.9.0 --startMP 204:233010 --initTime 2017-09-22T13:41:11 --startdatetime 2017-09-22T13:57:17 --delay 80 --endMP 204:150 --enddatetime 2017-09-22T14:37:02 --enforcementcount 0 &gt;&gt;c:\users\stu\Documents\GitHub\eaglep3-reporting\EC\2017-09-22-refined-times.txt</v>
      </c>
      <c r="AI89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{"issue":{"subject":"","project_id":79,"tracker_id":40,"status_id":1,"priority_id":2,"assigned_to_id":338,"start_date":"2017-09-22","description":"","custom_fields":[{"id":1,"name":"Subdivision","value":"EC"},{"id":4,"name":"Milepost","value":"0.015"},{"id":17,"name":"Train ID","value":"176-22"},{"id":16,"name":"Locomotive ID","value":"4017"},{"id":130,"name":"Impact","value":""},{"id":150,"name":"Time of Event (Mountain Time)","value":"14:37:02"},{"id":151,"name":"Denver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4"/>
        <v>start /low /b %USERPROFILE%\Documents\GitHub\eaglep3\Utilities\DownloadLogsFromS3.py --loco 4017 --day 2017-09-22</v>
      </c>
      <c r="AN89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20:37:02"},{"id":29,"name":"Sharepoint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46"/>
        <v>https://d0f6bd738d7f1b3e5a7ca70fe4ff75f0.us-east-1.aws.found.io/app/kibana#/discover/Steve-Slow-Train-Analysis-(2080s-and-2083s)?_g=(refreshInterval:(display:Off,pause:!f,section:0,value:0),time:(from:'2017-09-22T12:41:11-0600',mode:absolute,to:'2017-09-22T15:37:02-0600'))&amp;_a=(columns:!('Message%20ID',Summary),filters:!(),index:'emp_*',interval:auto,query:(query_string:(analyze_wildcard:!t,query:'Message%5C+ID:(*)+AND+%22rtdc.l.rtdc.4017%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722</v>
      </c>
      <c r="B90" s="7">
        <v>4032</v>
      </c>
      <c r="C90" s="21" t="s">
        <v>196</v>
      </c>
      <c r="D90" s="21" t="s">
        <v>405</v>
      </c>
      <c r="E90" s="13">
        <v>43000.54828703704</v>
      </c>
      <c r="F90" s="13">
        <v>43000.552268518521</v>
      </c>
      <c r="G90" s="7">
        <v>63</v>
      </c>
      <c r="H90" s="21" t="s">
        <v>461</v>
      </c>
      <c r="I90" s="13">
        <v>43000.576539351852</v>
      </c>
      <c r="J90" s="7">
        <v>0</v>
      </c>
      <c r="K90" s="89" t="str">
        <f t="shared" si="30"/>
        <v>4031/4032</v>
      </c>
      <c r="L90" s="185" t="str">
        <f>VLOOKUP(A90,'Trips&amp;Operators'!$C$1:$G$99911,5,FALSE)</f>
        <v>BRUDER RICHARD</v>
      </c>
      <c r="M90" s="6">
        <f t="shared" si="31"/>
        <v>2.4270833331684116E-2</v>
      </c>
      <c r="N90" s="7">
        <f t="shared" si="48"/>
        <v>34.949999997625127</v>
      </c>
      <c r="O90" s="7"/>
      <c r="P90" s="7"/>
      <c r="Q90" s="22"/>
      <c r="R90" s="174"/>
      <c r="S90" s="221">
        <f t="shared" si="47"/>
        <v>1</v>
      </c>
      <c r="T90" s="174" t="str">
        <f t="shared" si="32"/>
        <v>NorthBound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33"/>
        <v>https://d0f6bd738d7f1b3e5a7ca70fe4ff75f0.us-east-1.aws.found.io/app/kibana#/discover/Steve-Slow-Train-Analysis-(2080s-and-2083s)?_g=(refreshInterval:(display:Off,pause:!f,section:0,value:0),time:(from:'2017-09-22T12:09:32-0600',mode:absolute,to:'2017-09-22T14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0" s="204" t="str">
        <f>IF(AA90&lt;VLOOKUP(AG90,Variables!$AC$3:$AD$8,2,FALSE),"Y","N")</f>
        <v>N</v>
      </c>
      <c r="X90" s="204">
        <f t="shared" si="34"/>
        <v>1</v>
      </c>
      <c r="Y90" s="204">
        <f t="shared" si="35"/>
        <v>4.6600000000000003E-2</v>
      </c>
      <c r="Z90" s="204">
        <f t="shared" si="36"/>
        <v>23.328600000000002</v>
      </c>
      <c r="AA90" s="204">
        <f t="shared" si="37"/>
        <v>23.282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38"/>
        <v>177</v>
      </c>
      <c r="AE90" s="77" t="str">
        <f t="shared" si="39"/>
        <v>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 &amp; aws s3 cp s3://rtdc.mdm.uploadarchive.raw/RTDC4032/ "%USERPROFILE%\AppData\Local\Temp\OnboardLogs"\RTDC4032\2017-09-23 --exclude "*" --recursive --include "*20170923*" &amp; "%USERPROFILE%\Documents\GitHub\mrs-test-scripts\Headless Mode &amp; Sideloading\WalkAndUnGZ.bat" "%USERPROFILE%\AppData\Local\Temp\OnboardLogs"\RTDC4032\2017-09-23</v>
      </c>
      <c r="AF90" s="74" t="str">
        <f t="shared" si="40"/>
        <v>"C:\Program Files (x86)\AstroGrep\AstroGrep.exe" /e /r /s /spath="%USERPROFILE%\AppData\Local\Temp\OnboardLogs" /stypes="app*4032*20170922*" /stext=" 19:.+((SYSTEM_STATE.+slice.+state.+changed )|(ment ac)|(multiple cpu faults)|(system.+state.+changed )|(\[timeout)|(PRM\|1\|D)|(kpr)|(kdp)|(train st.+moving)|(\|lc)|(penalty))"</v>
      </c>
      <c r="AG90" s="182" t="str">
        <f t="shared" si="41"/>
        <v>EC</v>
      </c>
      <c r="AH90" s="78" t="str">
        <f t="shared" si="42"/>
        <v>"%USERPROFILE%\Documents\GitHub\eaglep3\Utilities\RefineRTDCRunTimes.py" --tripid 177-22 --locoid 4032 --swversion DE.1.0.9.0 --startMP 204:466 --initTime 2017-09-22T13:09:32 --startdatetime 2017-09-22T13:15:16 --delay 63 --endMP 204:233286 --enddatetime 2017-09-22T13:50:13 --enforcementcount 0 &gt;&gt;c:\users\stu\Documents\GitHub\eaglep3-reporting\EC\2017-09-22-refined-times.txt</v>
      </c>
      <c r="AI90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{"issue":{"subject":"","project_id":79,"tracker_id":40,"status_id":1,"priority_id":2,"assigned_to_id":338,"start_date":"2017-09-22","description":"","custom_fields":[{"id":1,"name":"Subdivision","value":"EC"},{"id":4,"name":"Milepost","value":"23.3286"},{"id":17,"name":"Train ID","value":"177-22"},{"id":16,"name":"Locomotive ID","value":"4032"},{"id":130,"name":"Impact","value":""},{"id":150,"name":"Time of Event (Mountain Time)","value":"13:50:13"},{"id":151,"name":"Denver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4"/>
        <v>start /low /b %USERPROFILE%\Documents\GitHub\eaglep3\Utilities\DownloadLogsFromS3.py --loco 4032 --day 2017-09-22</v>
      </c>
      <c r="AN90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19:50:13"},{"id":29,"name":"Sharepoint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46"/>
        <v>https://d0f6bd738d7f1b3e5a7ca70fe4ff75f0.us-east-1.aws.found.io/app/kibana#/discover/Steve-Slow-Train-Analysis-(2080s-and-2083s)?_g=(refreshInterval:(display:Off,pause:!f,section:0,value:0),time:(from:'2017-09-22T12:09:32-0600',mode:absolute,to:'2017-09-22T14:50:13-0600'))&amp;_a=(columns:!('Message%20ID',Summary),filters:!(),index:'emp_*',interval:auto,query:(query_string:(analyze_wildcard:!t,query:'Message%5C+ID:(*)+AND+%22rtdc.l.rtdc.4032%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729</v>
      </c>
      <c r="B91" s="7">
        <v>4031</v>
      </c>
      <c r="C91" s="21" t="s">
        <v>196</v>
      </c>
      <c r="D91" s="21" t="s">
        <v>409</v>
      </c>
      <c r="E91" s="13">
        <v>43000.589259259257</v>
      </c>
      <c r="F91" s="13">
        <v>43000.592002314814</v>
      </c>
      <c r="G91" s="7">
        <v>94</v>
      </c>
      <c r="H91" s="21" t="s">
        <v>402</v>
      </c>
      <c r="I91" s="13">
        <v>43000.619050925925</v>
      </c>
      <c r="J91" s="7">
        <v>0</v>
      </c>
      <c r="K91" s="89" t="str">
        <f t="shared" si="30"/>
        <v>4031/4032</v>
      </c>
      <c r="L91" s="185" t="str">
        <f>VLOOKUP(A91,'Trips&amp;Operators'!$C$1:$G$99911,5,FALSE)</f>
        <v>BRUDER RICHARD</v>
      </c>
      <c r="M91" s="6">
        <f t="shared" si="31"/>
        <v>2.7048611111240461E-2</v>
      </c>
      <c r="N91" s="7">
        <f t="shared" si="48"/>
        <v>38.950000000186265</v>
      </c>
      <c r="O91" s="7"/>
      <c r="P91" s="7"/>
      <c r="Q91" s="22"/>
      <c r="R91" s="174"/>
      <c r="S91" s="221">
        <f t="shared" si="47"/>
        <v>1</v>
      </c>
      <c r="T91" s="174" t="str">
        <f t="shared" si="32"/>
        <v>Southbound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33"/>
        <v>https://d0f6bd738d7f1b3e5a7ca70fe4ff75f0.us-east-1.aws.found.io/app/kibana#/discover/Steve-Slow-Train-Analysis-(2080s-and-2083s)?_g=(refreshInterval:(display:Off,pause:!f,section:0,value:0),time:(from:'2017-09-22T13:08:32-0600',mode:absolute,to:'2017-09-22T15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1" s="204" t="str">
        <f>IF(AA91&lt;VLOOKUP(AG91,Variables!$AC$3:$AD$8,2,FALSE),"Y","N")</f>
        <v>N</v>
      </c>
      <c r="X91" s="204">
        <f t="shared" si="34"/>
        <v>1</v>
      </c>
      <c r="Y91" s="204">
        <f t="shared" si="35"/>
        <v>23.297799999999999</v>
      </c>
      <c r="Z91" s="204">
        <f t="shared" si="36"/>
        <v>1.54E-2</v>
      </c>
      <c r="AA91" s="204">
        <f t="shared" si="37"/>
        <v>23.282399999999999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38"/>
        <v>178</v>
      </c>
      <c r="AE91" s="77" t="str">
        <f t="shared" si="39"/>
        <v>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 &amp; aws s3 cp s3://rtdc.mdm.uploadarchive.raw/RTDC4031/ "%USERPROFILE%\AppData\Local\Temp\OnboardLogs"\RTDC4031\2017-09-23 --exclude "*" --recursive --include "*20170923*" &amp; "%USERPROFILE%\Documents\GitHub\mrs-test-scripts\Headless Mode &amp; Sideloading\WalkAndUnGZ.bat" "%USERPROFILE%\AppData\Local\Temp\OnboardLogs"\RTDC4031\2017-09-23</v>
      </c>
      <c r="AF91" s="74" t="str">
        <f t="shared" si="40"/>
        <v>"C:\Program Files (x86)\AstroGrep\AstroGrep.exe" /e /r /s /spath="%USERPROFILE%\AppData\Local\Temp\OnboardLogs" /stypes="app*4031*20170922*" /stext=" 20:.+((SYSTEM_STATE.+slice.+state.+changed )|(ment ac)|(multiple cpu faults)|(system.+state.+changed )|(\[timeout)|(PRM\|1\|D)|(kpr)|(kdp)|(train st.+moving)|(\|lc)|(penalty))"</v>
      </c>
      <c r="AG91" s="182" t="str">
        <f t="shared" si="41"/>
        <v>EC</v>
      </c>
      <c r="AH91" s="78" t="str">
        <f t="shared" si="42"/>
        <v>"%USERPROFILE%\Documents\GitHub\eaglep3\Utilities\RefineRTDCRunTimes.py" --tripid 178-22 --locoid 4031 --swversion DE.1.0.9.0 --startMP 204:232978 --initTime 2017-09-22T14:08:32 --startdatetime 2017-09-22T14:12:29 --delay 94 --endMP 204:154 --enddatetime 2017-09-22T14:51:26 --enforcementcount 0 &gt;&gt;c:\users\stu\Documents\GitHub\eaglep3-reporting\EC\2017-09-22-refined-times.txt</v>
      </c>
      <c r="AI91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{"issue":{"subject":"","project_id":79,"tracker_id":40,"status_id":1,"priority_id":2,"assigned_to_id":338,"start_date":"2017-09-22","description":"","custom_fields":[{"id":1,"name":"Subdivision","value":"EC"},{"id":4,"name":"Milepost","value":"0.0154"},{"id":17,"name":"Train ID","value":"178-22"},{"id":16,"name":"Locomotive ID","value":"4031"},{"id":130,"name":"Impact","value":""},{"id":150,"name":"Time of Event (Mountain Time)","value":"14:51:26"},{"id":151,"name":"Denver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4"/>
        <v>start /low /b %USERPROFILE%\Documents\GitHub\eaglep3\Utilities\DownloadLogsFromS3.py --loco 4031 --day 2017-09-22</v>
      </c>
      <c r="AN91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20:51:26"},{"id":29,"name":"Sharepoint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46"/>
        <v>https://d0f6bd738d7f1b3e5a7ca70fe4ff75f0.us-east-1.aws.found.io/app/kibana#/discover/Steve-Slow-Train-Analysis-(2080s-and-2083s)?_g=(refreshInterval:(display:Off,pause:!f,section:0,value:0),time:(from:'2017-09-22T13:08:32-0600',mode:absolute,to:'2017-09-22T15:51:26-0600'))&amp;_a=(columns:!('Message%20ID',Summary),filters:!(),index:'emp_*',interval:auto,query:(query_string:(analyze_wildcard:!t,query:'Message%5C+ID:(*)+AND+%22rtdc.l.rtdc.4031%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724</v>
      </c>
      <c r="B92" s="7">
        <v>4002</v>
      </c>
      <c r="C92" s="21" t="s">
        <v>196</v>
      </c>
      <c r="D92" s="21" t="s">
        <v>859</v>
      </c>
      <c r="E92" s="13">
        <v>43000.558171296296</v>
      </c>
      <c r="F92" s="13">
        <v>43000.562662037039</v>
      </c>
      <c r="G92" s="7">
        <v>62</v>
      </c>
      <c r="H92" s="21" t="s">
        <v>860</v>
      </c>
      <c r="I92" s="13">
        <v>43000.587013888886</v>
      </c>
      <c r="J92" s="7">
        <v>0</v>
      </c>
      <c r="K92" s="89" t="str">
        <f t="shared" si="30"/>
        <v>4001/4002</v>
      </c>
      <c r="L92" s="185" t="str">
        <f>VLOOKUP(A92,'Trips&amp;Operators'!$C$1:$G$99911,5,FALSE)</f>
        <v>NEWELL JAMES</v>
      </c>
      <c r="M92" s="6">
        <f t="shared" si="31"/>
        <v>2.435185184731381E-2</v>
      </c>
      <c r="N92" s="7">
        <f t="shared" si="48"/>
        <v>35.066666660131887</v>
      </c>
      <c r="O92" s="7"/>
      <c r="P92" s="7"/>
      <c r="Q92" s="22"/>
      <c r="R92" s="174"/>
      <c r="S92" s="221">
        <f t="shared" si="47"/>
        <v>1</v>
      </c>
      <c r="T92" s="174" t="str">
        <f t="shared" si="32"/>
        <v>NorthBound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33"/>
        <v>https://d0f6bd738d7f1b3e5a7ca70fe4ff75f0.us-east-1.aws.found.io/app/kibana#/discover/Steve-Slow-Train-Analysis-(2080s-and-2083s)?_g=(refreshInterval:(display:Off,pause:!f,section:0,value:0),time:(from:'2017-09-22T12:23:46-0600',mode:absolute,to:'2017-09-22T15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2" s="204" t="str">
        <f>IF(AA92&lt;VLOOKUP(AG92,Variables!$AC$3:$AD$8,2,FALSE),"Y","N")</f>
        <v>N</v>
      </c>
      <c r="X92" s="204">
        <f t="shared" si="34"/>
        <v>1</v>
      </c>
      <c r="Y92" s="204">
        <f t="shared" si="35"/>
        <v>4.7800000000000002E-2</v>
      </c>
      <c r="Z92" s="204">
        <f t="shared" si="36"/>
        <v>23.328099999999999</v>
      </c>
      <c r="AA92" s="204">
        <f t="shared" si="37"/>
        <v>23.2803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38"/>
        <v>179</v>
      </c>
      <c r="AE92" s="77" t="str">
        <f t="shared" si="39"/>
        <v>aws s3 cp s3://rtdc.mdm.uploadarchive.raw/RTDC4002/ "%USERPROFILE%\AppData\Local\Temp\OnboardLogs"\RTDC4002\2017-09-22 --exclude "*" --recursive --include "*20170922*" &amp; "%USERPROFILE%\Documents\GitHub\mrs-test-scripts\Headless Mode &amp; Sideloading\WalkAndUnGZ.bat" "%USERPROFILE%\AppData\Local\Temp\OnboardLogs"\RTDC4002\2017-09-22 &amp; 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</v>
      </c>
      <c r="AF92" s="74" t="str">
        <f t="shared" si="40"/>
        <v>"C:\Program Files (x86)\AstroGrep\AstroGrep.exe" /e /r /s /spath="%USERPROFILE%\AppData\Local\Temp\OnboardLogs" /stypes="app*4002*20170922*" /stext=" 20:.+((SYSTEM_STATE.+slice.+state.+changed )|(ment ac)|(multiple cpu faults)|(system.+state.+changed )|(\[timeout)|(PRM\|1\|D)|(kpr)|(kdp)|(train st.+moving)|(\|lc)|(penalty))"</v>
      </c>
      <c r="AG92" s="182" t="str">
        <f t="shared" si="41"/>
        <v>EC</v>
      </c>
      <c r="AH92" s="78" t="str">
        <f t="shared" si="42"/>
        <v>"%USERPROFILE%\Documents\GitHub\eaglep3\Utilities\RefineRTDCRunTimes.py" --tripid 179-22 --locoid 4002 --swversion DE.1.0.9.0 --startMP 204:478 --initTime 2017-09-22T13:23:46 --startdatetime 2017-09-22T13:30:14 --delay 62 --endMP 204:233281 --enddatetime 2017-09-22T14:05:18 --enforcementcount 0 &gt;&gt;c:\users\stu\Documents\GitHub\eaglep3-reporting\EC\2017-09-22-refined-times.txt</v>
      </c>
      <c r="AI92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{"issue":{"subject":"","project_id":79,"tracker_id":40,"status_id":1,"priority_id":2,"assigned_to_id":338,"start_date":"2017-09-22","description":"","custom_fields":[{"id":1,"name":"Subdivision","value":"EC"},{"id":4,"name":"Milepost","value":"23.3281"},{"id":17,"name":"Train ID","value":"179-22"},{"id":16,"name":"Locomotive ID","value":"4002"},{"id":130,"name":"Impact","value":""},{"id":150,"name":"Time of Event (Mountain Time)","value":"14:05:18"},{"id":151,"name":"Denver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4"/>
        <v>start /low /b %USERPROFILE%\Documents\GitHub\eaglep3\Utilities\DownloadLogsFromS3.py --loco 4002 --day 2017-09-22</v>
      </c>
      <c r="AN92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20:05:18"},{"id":29,"name":"Sharepoint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46"/>
        <v>https://d0f6bd738d7f1b3e5a7ca70fe4ff75f0.us-east-1.aws.found.io/app/kibana#/discover/Steve-Slow-Train-Analysis-(2080s-and-2083s)?_g=(refreshInterval:(display:Off,pause:!f,section:0,value:0),time:(from:'2017-09-22T12:23:46-0600',mode:absolute,to:'2017-09-22T15:05:18-0600'))&amp;_a=(columns:!('Message%20ID',Summary),filters:!(),index:'emp_*',interval:auto,query:(query_string:(analyze_wildcard:!t,query:'Message%5C+ID:(*)+AND+%22rtdc.l.rtdc.4002%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731</v>
      </c>
      <c r="B93" s="7">
        <v>4001</v>
      </c>
      <c r="C93" s="21" t="s">
        <v>196</v>
      </c>
      <c r="D93" s="21" t="s">
        <v>839</v>
      </c>
      <c r="E93" s="13">
        <v>43000.593622685185</v>
      </c>
      <c r="F93" s="13">
        <v>43000.60229166667</v>
      </c>
      <c r="G93" s="7">
        <v>48</v>
      </c>
      <c r="H93" s="21" t="s">
        <v>357</v>
      </c>
      <c r="I93" s="13">
        <v>43000.627488425926</v>
      </c>
      <c r="J93" s="7">
        <v>0</v>
      </c>
      <c r="K93" s="89" t="str">
        <f t="shared" si="30"/>
        <v>4001/4002</v>
      </c>
      <c r="L93" s="185" t="str">
        <f>VLOOKUP(A93,'Trips&amp;Operators'!$C$1:$G$99911,5,FALSE)</f>
        <v>NEWELL JAMES</v>
      </c>
      <c r="M93" s="6">
        <f t="shared" si="31"/>
        <v>2.5196759255777579E-2</v>
      </c>
      <c r="N93" s="7">
        <f t="shared" si="48"/>
        <v>36.283333328319713</v>
      </c>
      <c r="O93" s="7"/>
      <c r="P93" s="7"/>
      <c r="Q93" s="22"/>
      <c r="R93" s="174"/>
      <c r="S93" s="221">
        <f t="shared" si="47"/>
        <v>1</v>
      </c>
      <c r="T93" s="174" t="str">
        <f t="shared" si="32"/>
        <v>Southbound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33"/>
        <v>https://d0f6bd738d7f1b3e5a7ca70fe4ff75f0.us-east-1.aws.found.io/app/kibana#/discover/Steve-Slow-Train-Analysis-(2080s-and-2083s)?_g=(refreshInterval:(display:Off,pause:!f,section:0,value:0),time:(from:'2017-09-22T13:14:49-0600',mode:absolute,to:'2017-09-22T16:03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3" s="204" t="str">
        <f>IF(AA93&lt;VLOOKUP(AG93,Variables!$AC$3:$AD$8,2,FALSE),"Y","N")</f>
        <v>N</v>
      </c>
      <c r="X93" s="204">
        <f t="shared" si="34"/>
        <v>1</v>
      </c>
      <c r="Y93" s="204">
        <f t="shared" si="35"/>
        <v>23.297599999999999</v>
      </c>
      <c r="Z93" s="204">
        <f t="shared" si="36"/>
        <v>1.52E-2</v>
      </c>
      <c r="AA93" s="204">
        <f t="shared" si="37"/>
        <v>23.282399999999999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38"/>
        <v>180</v>
      </c>
      <c r="AE93" s="77" t="str">
        <f t="shared" si="39"/>
        <v>aws s3 cp s3://rtdc.mdm.uploadarchive.raw/RTDC4001/ "%USERPROFILE%\AppData\Local\Temp\OnboardLogs"\RTDC4001\2017-09-22 --exclude "*" --recursive --include "*20170922*" &amp; "%USERPROFILE%\Documents\GitHub\mrs-test-scripts\Headless Mode &amp; Sideloading\WalkAndUnGZ.bat" "%USERPROFILE%\AppData\Local\Temp\OnboardLogs"\RTDC4001\2017-09-22 &amp; 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</v>
      </c>
      <c r="AF93" s="74" t="str">
        <f t="shared" si="40"/>
        <v>"C:\Program Files (x86)\AstroGrep\AstroGrep.exe" /e /r /s /spath="%USERPROFILE%\AppData\Local\Temp\OnboardLogs" /stypes="app*4001*20170922*" /stext=" 21:.+((SYSTEM_STATE.+slice.+state.+changed )|(ment ac)|(multiple cpu faults)|(system.+state.+changed )|(\[timeout)|(PRM\|1\|D)|(kpr)|(kdp)|(train st.+moving)|(\|lc)|(penalty))"</v>
      </c>
      <c r="AG93" s="182" t="str">
        <f t="shared" si="41"/>
        <v>EC</v>
      </c>
      <c r="AH93" s="78" t="str">
        <f t="shared" si="42"/>
        <v>"%USERPROFILE%\Documents\GitHub\eaglep3\Utilities\RefineRTDCRunTimes.py" --tripid 180-22 --locoid 4001 --swversion DE.1.0.9.0 --startMP 204:232976 --initTime 2017-09-22T14:14:49 --startdatetime 2017-09-22T14:27:18 --delay 48 --endMP 204:152 --enddatetime 2017-09-22T15:03:35 --enforcementcount 0 &gt;&gt;c:\users\stu\Documents\GitHub\eaglep3-reporting\EC\2017-09-22-refined-times.txt</v>
      </c>
      <c r="AI93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{"issue":{"subject":"","project_id":79,"tracker_id":40,"status_id":1,"priority_id":2,"assigned_to_id":338,"start_date":"2017-09-22","description":"","custom_fields":[{"id":1,"name":"Subdivision","value":"EC"},{"id":4,"name":"Milepost","value":"0.0152"},{"id":17,"name":"Train ID","value":"180-22"},{"id":16,"name":"Locomotive ID","value":"4001"},{"id":130,"name":"Impact","value":""},{"id":150,"name":"Time of Event (Mountain Time)","value":"15:03:35"},{"id":151,"name":"Denver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4"/>
        <v>start /low /b %USERPROFILE%\Documents\GitHub\eaglep3\Utilities\DownloadLogsFromS3.py --loco 4001 --day 2017-09-22</v>
      </c>
      <c r="AN93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21:03:35"},{"id":29,"name":"Sharepoint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46"/>
        <v>https://d0f6bd738d7f1b3e5a7ca70fe4ff75f0.us-east-1.aws.found.io/app/kibana#/discover/Steve-Slow-Train-Analysis-(2080s-and-2083s)?_g=(refreshInterval:(display:Off,pause:!f,section:0,value:0),time:(from:'2017-09-22T13:14:49-0600',mode:absolute,to:'2017-09-22T16:03:35-0600'))&amp;_a=(columns:!('Message%20ID',Summary),filters:!(),index:'emp_*',interval:auto,query:(query_string:(analyze_wildcard:!t,query:'Message%5C+ID:(*)+AND+%22rtdc.l.rtdc.4001%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727</v>
      </c>
      <c r="B94" s="7">
        <v>4064</v>
      </c>
      <c r="C94" s="21" t="s">
        <v>196</v>
      </c>
      <c r="D94" s="21" t="s">
        <v>431</v>
      </c>
      <c r="E94" s="13">
        <v>43000.569201388891</v>
      </c>
      <c r="F94" s="13">
        <v>43000.573055555556</v>
      </c>
      <c r="G94" s="7">
        <v>73</v>
      </c>
      <c r="H94" s="21" t="s">
        <v>415</v>
      </c>
      <c r="I94" s="13">
        <v>43000.597453703704</v>
      </c>
      <c r="J94" s="7">
        <v>0</v>
      </c>
      <c r="K94" s="89" t="str">
        <f t="shared" si="30"/>
        <v>4063/4064</v>
      </c>
      <c r="L94" s="185" t="str">
        <f>VLOOKUP(A94,'Trips&amp;Operators'!$C$1:$G$99911,5,FALSE)</f>
        <v>FORTUNATO FRANK</v>
      </c>
      <c r="M94" s="6">
        <f t="shared" si="31"/>
        <v>2.4398148147156462E-2</v>
      </c>
      <c r="N94" s="7">
        <f t="shared" si="48"/>
        <v>35.133333331905305</v>
      </c>
      <c r="O94" s="7"/>
      <c r="P94" s="7"/>
      <c r="Q94" s="22"/>
      <c r="R94" s="174"/>
      <c r="S94" s="221">
        <f t="shared" si="47"/>
        <v>1</v>
      </c>
      <c r="T94" s="174" t="str">
        <f t="shared" si="32"/>
        <v>NorthBound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33"/>
        <v>https://d0f6bd738d7f1b3e5a7ca70fe4ff75f0.us-east-1.aws.found.io/app/kibana#/discover/Steve-Slow-Train-Analysis-(2080s-and-2083s)?_g=(refreshInterval:(display:Off,pause:!f,section:0,value:0),time:(from:'2017-09-22T12:39:39-0600',mode:absolute,to:'2017-09-22T15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4" s="204" t="str">
        <f>IF(AA94&lt;VLOOKUP(AG94,Variables!$AC$3:$AD$8,2,FALSE),"Y","N")</f>
        <v>N</v>
      </c>
      <c r="X94" s="204">
        <f t="shared" si="34"/>
        <v>1</v>
      </c>
      <c r="Y94" s="204">
        <f t="shared" si="35"/>
        <v>4.5699999999999998E-2</v>
      </c>
      <c r="Z94" s="204">
        <f t="shared" si="36"/>
        <v>23.329899999999999</v>
      </c>
      <c r="AA94" s="204">
        <f t="shared" si="37"/>
        <v>23.284199999999998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 t="shared" si="38"/>
        <v>181</v>
      </c>
      <c r="AE94" s="77" t="str">
        <f t="shared" si="39"/>
        <v>aws s3 cp s3://rtdc.mdm.uploadarchive.raw/RTDC4064/ "%USERPROFILE%\AppData\Local\Temp\OnboardLogs"\RTDC4064\2017-09-22 --exclude "*" --recursive --include "*20170922*" &amp; "%USERPROFILE%\Documents\GitHub\mrs-test-scripts\Headless Mode &amp; Sideloading\WalkAndUnGZ.bat" "%USERPROFILE%\AppData\Local\Temp\OnboardLogs"\RTDC4064\2017-09-22 &amp; aws s3 cp s3://rtdc.mdm.uploadarchive.raw/RTDC4064/ "%USERPROFILE%\AppData\Local\Temp\OnboardLogs"\RTDC4064\2017-09-23 --exclude "*" --recursive --include "*20170923*" &amp; "%USERPROFILE%\Documents\GitHub\mrs-test-scripts\Headless Mode &amp; Sideloading\WalkAndUnGZ.bat" "%USERPROFILE%\AppData\Local\Temp\OnboardLogs"\RTDC4064\2017-09-23</v>
      </c>
      <c r="AF94" s="74" t="str">
        <f t="shared" si="40"/>
        <v>"C:\Program Files (x86)\AstroGrep\AstroGrep.exe" /e /r /s /spath="%USERPROFILE%\AppData\Local\Temp\OnboardLogs" /stypes="app*4064*20170922*" /stext=" 20:.+((SYSTEM_STATE.+slice.+state.+changed )|(ment ac)|(multiple cpu faults)|(system.+state.+changed )|(\[timeout)|(PRM\|1\|D)|(kpr)|(kdp)|(train st.+moving)|(\|lc)|(penalty))"</v>
      </c>
      <c r="AG94" s="182" t="str">
        <f t="shared" si="41"/>
        <v>EC</v>
      </c>
      <c r="AH94" s="78" t="str">
        <f t="shared" si="42"/>
        <v>"%USERPROFILE%\Documents\GitHub\eaglep3\Utilities\RefineRTDCRunTimes.py" --tripid 181-22 --locoid 4064 --swversion DE.1.0.9.0 --startMP 204:457 --initTime 2017-09-22T13:39:39 --startdatetime 2017-09-22T13:45:12 --delay 73 --endMP 204:233299 --enddatetime 2017-09-22T14:20:20 --enforcementcount 0 &gt;&gt;c:\users\stu\Documents\GitHub\eaglep3-reporting\EC\2017-09-22-refined-times.txt</v>
      </c>
      <c r="AI94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{"issue":{"subject":"","project_id":79,"tracker_id":40,"status_id":1,"priority_id":2,"assigned_to_id":338,"start_date":"2017-09-22","description":"","custom_fields":[{"id":1,"name":"Subdivision","value":"EC"},{"id":4,"name":"Milepost","value":"23.3299"},{"id":17,"name":"Train ID","value":"181-22"},{"id":16,"name":"Locomotive ID","value":"4064"},{"id":130,"name":"Impact","value":""},{"id":150,"name":"Time of Event (Mountain Time)","value":"14:20:20"},{"id":151,"name":"Denver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4"/>
        <v>start /low /b %USERPROFILE%\Documents\GitHub\eaglep3\Utilities\DownloadLogsFromS3.py --loco 4064 --day 2017-09-22</v>
      </c>
      <c r="AN94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20:20:20"},{"id":29,"name":"Sharepoint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46"/>
        <v>https://d0f6bd738d7f1b3e5a7ca70fe4ff75f0.us-east-1.aws.found.io/app/kibana#/discover/Steve-Slow-Train-Analysis-(2080s-and-2083s)?_g=(refreshInterval:(display:Off,pause:!f,section:0,value:0),time:(from:'2017-09-22T12:39:39-0600',mode:absolute,to:'2017-09-22T15:20:20-0600'))&amp;_a=(columns:!('Message%20ID',Summary),filters:!(),index:'emp_*',interval:auto,query:(query_string:(analyze_wildcard:!t,query:'Message%5C+ID:(*)+AND+%22rtdc.l.rtdc.4064%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733</v>
      </c>
      <c r="B95" s="7">
        <v>4063</v>
      </c>
      <c r="C95" s="21" t="s">
        <v>196</v>
      </c>
      <c r="D95" s="21" t="s">
        <v>554</v>
      </c>
      <c r="E95" s="13">
        <v>43000.598900462966</v>
      </c>
      <c r="F95" s="13">
        <v>43000.612638888888</v>
      </c>
      <c r="G95" s="7">
        <v>54</v>
      </c>
      <c r="H95" s="21" t="s">
        <v>338</v>
      </c>
      <c r="I95" s="13">
        <v>43000.63857638889</v>
      </c>
      <c r="J95" s="7">
        <v>0</v>
      </c>
      <c r="K95" s="89" t="str">
        <f t="shared" si="30"/>
        <v>4063/4064</v>
      </c>
      <c r="L95" s="185" t="str">
        <f>VLOOKUP(A95,'Trips&amp;Operators'!$C$1:$G$99911,5,FALSE)</f>
        <v>FORTUNATO FRANK</v>
      </c>
      <c r="M95" s="6">
        <f t="shared" si="31"/>
        <v>2.5937500002328306E-2</v>
      </c>
      <c r="N95" s="7">
        <f t="shared" si="48"/>
        <v>37.350000003352761</v>
      </c>
      <c r="O95" s="7"/>
      <c r="P95" s="7"/>
      <c r="Q95" s="22"/>
      <c r="R95" s="174"/>
      <c r="S95" s="221">
        <f t="shared" si="47"/>
        <v>1</v>
      </c>
      <c r="T95" s="174" t="str">
        <f t="shared" si="32"/>
        <v>Southbound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33"/>
        <v>https://d0f6bd738d7f1b3e5a7ca70fe4ff75f0.us-east-1.aws.found.io/app/kibana#/discover/Steve-Slow-Train-Analysis-(2080s-and-2083s)?_g=(refreshInterval:(display:Off,pause:!f,section:0,value:0),time:(from:'2017-09-22T13:22:25-0600',mode:absolute,to:'2017-09-22T16:19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5" s="204" t="str">
        <f>IF(AA95&lt;VLOOKUP(AG95,Variables!$AC$3:$AD$8,2,FALSE),"Y","N")</f>
        <v>N</v>
      </c>
      <c r="X95" s="204">
        <f t="shared" si="34"/>
        <v>1</v>
      </c>
      <c r="Y95" s="204">
        <f t="shared" si="35"/>
        <v>23.3</v>
      </c>
      <c r="Z95" s="204">
        <f t="shared" si="36"/>
        <v>1.43E-2</v>
      </c>
      <c r="AA95" s="204">
        <f t="shared" si="37"/>
        <v>23.285700000000002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38"/>
        <v>182</v>
      </c>
      <c r="AE95" s="77" t="str">
        <f t="shared" si="39"/>
        <v>aws s3 cp s3://rtdc.mdm.uploadarchive.raw/RTDC4063/ "%USERPROFILE%\AppData\Local\Temp\OnboardLogs"\RTDC4063\2017-09-22 --exclude "*" --recursive --include "*20170922*" &amp; "%USERPROFILE%\Documents\GitHub\mrs-test-scripts\Headless Mode &amp; Sideloading\WalkAndUnGZ.bat" "%USERPROFILE%\AppData\Local\Temp\OnboardLogs"\RTDC4063\2017-09-22 &amp; aws s3 cp s3://rtdc.mdm.uploadarchive.raw/RTDC4063/ "%USERPROFILE%\AppData\Local\Temp\OnboardLogs"\RTDC4063\2017-09-23 --exclude "*" --recursive --include "*20170923*" &amp; "%USERPROFILE%\Documents\GitHub\mrs-test-scripts\Headless Mode &amp; Sideloading\WalkAndUnGZ.bat" "%USERPROFILE%\AppData\Local\Temp\OnboardLogs"\RTDC4063\2017-09-23</v>
      </c>
      <c r="AF95" s="74" t="str">
        <f t="shared" si="40"/>
        <v>"C:\Program Files (x86)\AstroGrep\AstroGrep.exe" /e /r /s /spath="%USERPROFILE%\AppData\Local\Temp\OnboardLogs" /stypes="app*4063*20170922*" /stext=" 21:.+((SYSTEM_STATE.+slice.+state.+changed )|(ment ac)|(multiple cpu faults)|(system.+state.+changed )|(\[timeout)|(PRM\|1\|D)|(kpr)|(kdp)|(train st.+moving)|(\|lc)|(penalty))"</v>
      </c>
      <c r="AG95" s="182" t="str">
        <f t="shared" si="41"/>
        <v>EC</v>
      </c>
      <c r="AH95" s="78" t="str">
        <f t="shared" si="42"/>
        <v>"%USERPROFILE%\Documents\GitHub\eaglep3\Utilities\RefineRTDCRunTimes.py" --tripid 182-22 --locoid 4063 --swversion DE.1.0.9.0 --startMP 204:233000 --initTime 2017-09-22T14:22:25 --startdatetime 2017-09-22T14:42:12 --delay 54 --endMP 204:143 --enddatetime 2017-09-22T15:19:33 --enforcementcount 0 &gt;&gt;c:\users\stu\Documents\GitHub\eaglep3-reporting\EC\2017-09-22-refined-times.txt</v>
      </c>
      <c r="AI95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{"issue":{"subject":"","project_id":79,"tracker_id":40,"status_id":1,"priority_id":2,"assigned_to_id":338,"start_date":"2017-09-22","description":"","custom_fields":[{"id":1,"name":"Subdivision","value":"EC"},{"id":4,"name":"Milepost","value":"0.0143"},{"id":17,"name":"Train ID","value":"182-22"},{"id":16,"name":"Locomotive ID","value":"4063"},{"id":130,"name":"Impact","value":""},{"id":150,"name":"Time of Event (Mountain Time)","value":"15:19:33"},{"id":151,"name":"Denver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4"/>
        <v>start /low /b %USERPROFILE%\Documents\GitHub\eaglep3\Utilities\DownloadLogsFromS3.py --loco 4063 --day 2017-09-22</v>
      </c>
      <c r="AN95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21:19:33"},{"id":29,"name":"Sharepoint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46"/>
        <v>https://d0f6bd738d7f1b3e5a7ca70fe4ff75f0.us-east-1.aws.found.io/app/kibana#/discover/Steve-Slow-Train-Analysis-(2080s-and-2083s)?_g=(refreshInterval:(display:Off,pause:!f,section:0,value:0),time:(from:'2017-09-22T13:22:25-0600',mode:absolute,to:'2017-09-22T16:19:33-0600'))&amp;_a=(columns:!('Message%20ID',Summary),filters:!(),index:'emp_*',interval:auto,query:(query_string:(analyze_wildcard:!t,query:'Message%5C+ID:(*)+AND+%22rtdc.l.rtdc.4063%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596</v>
      </c>
      <c r="B96" s="7">
        <v>4062</v>
      </c>
      <c r="C96" s="21" t="s">
        <v>196</v>
      </c>
      <c r="D96" s="21" t="s">
        <v>404</v>
      </c>
      <c r="E96" s="13">
        <v>43000.577013888891</v>
      </c>
      <c r="F96" s="13">
        <v>43000.583611111113</v>
      </c>
      <c r="G96" s="7">
        <v>54</v>
      </c>
      <c r="H96" s="21" t="s">
        <v>502</v>
      </c>
      <c r="I96" s="13">
        <v>43000.608356481483</v>
      </c>
      <c r="J96" s="7">
        <v>0</v>
      </c>
      <c r="K96" s="89" t="str">
        <f t="shared" si="30"/>
        <v>4061/4062</v>
      </c>
      <c r="L96" s="185" t="str">
        <f>VLOOKUP(A96,'Trips&amp;Operators'!$C$1:$G$99911,5,FALSE)</f>
        <v>LEVIN SCOTT</v>
      </c>
      <c r="M96" s="6">
        <f t="shared" si="31"/>
        <v>2.47453703705105E-2</v>
      </c>
      <c r="N96" s="7">
        <f t="shared" si="48"/>
        <v>35.63333333353512</v>
      </c>
      <c r="O96" s="7"/>
      <c r="P96" s="7"/>
      <c r="Q96" s="22"/>
      <c r="R96" s="174"/>
      <c r="S96" s="221">
        <f t="shared" si="47"/>
        <v>1</v>
      </c>
      <c r="T96" s="174" t="str">
        <f t="shared" si="32"/>
        <v>NorthBound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33"/>
        <v>https://d0f6bd738d7f1b3e5a7ca70fe4ff75f0.us-east-1.aws.found.io/app/kibana#/discover/Steve-Slow-Train-Analysis-(2080s-and-2083s)?_g=(refreshInterval:(display:Off,pause:!f,section:0,value:0),time:(from:'2017-09-22T12:50:54-0600',mode:absolute,to:'2017-09-22T15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6" s="204" t="str">
        <f>IF(AA96&lt;VLOOKUP(AG96,Variables!$AC$3:$AD$8,2,FALSE),"Y","N")</f>
        <v>N</v>
      </c>
      <c r="X96" s="204">
        <f t="shared" si="34"/>
        <v>1</v>
      </c>
      <c r="Y96" s="204">
        <f t="shared" si="35"/>
        <v>4.3700000000000003E-2</v>
      </c>
      <c r="Z96" s="204">
        <f t="shared" si="36"/>
        <v>23.332699999999999</v>
      </c>
      <c r="AA96" s="204">
        <f t="shared" si="37"/>
        <v>23.288999999999998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38"/>
        <v>183</v>
      </c>
      <c r="AE96" s="77" t="str">
        <f t="shared" si="39"/>
        <v>aws s3 cp s3://rtdc.mdm.uploadarchive.raw/RTDC4062/ "%USERPROFILE%\AppData\Local\Temp\OnboardLogs"\RTDC4062\2017-09-22 --exclude "*" --recursive --include "*20170922*" &amp; "%USERPROFILE%\Documents\GitHub\mrs-test-scripts\Headless Mode &amp; Sideloading\WalkAndUnGZ.bat" "%USERPROFILE%\AppData\Local\Temp\OnboardLogs"\RTDC4062\2017-09-22 &amp; aws s3 cp s3://rtdc.mdm.uploadarchive.raw/RTDC4062/ "%USERPROFILE%\AppData\Local\Temp\OnboardLogs"\RTDC4062\2017-09-23 --exclude "*" --recursive --include "*20170923*" &amp; "%USERPROFILE%\Documents\GitHub\mrs-test-scripts\Headless Mode &amp; Sideloading\WalkAndUnGZ.bat" "%USERPROFILE%\AppData\Local\Temp\OnboardLogs"\RTDC4062\2017-09-23</v>
      </c>
      <c r="AF96" s="74" t="str">
        <f t="shared" si="40"/>
        <v>"C:\Program Files (x86)\AstroGrep\AstroGrep.exe" /e /r /s /spath="%USERPROFILE%\AppData\Local\Temp\OnboardLogs" /stypes="app*4062*20170922*" /stext=" 20:.+((SYSTEM_STATE.+slice.+state.+changed )|(ment ac)|(multiple cpu faults)|(system.+state.+changed )|(\[timeout)|(PRM\|1\|D)|(kpr)|(kdp)|(train st.+moving)|(\|lc)|(penalty))"</v>
      </c>
      <c r="AG96" s="182" t="str">
        <f t="shared" si="41"/>
        <v>EC</v>
      </c>
      <c r="AH96" s="78" t="str">
        <f t="shared" si="42"/>
        <v>"%USERPROFILE%\Documents\GitHub\eaglep3\Utilities\RefineRTDCRunTimes.py" --tripid 183-22 --locoid 4062 --swversion DE.1.0.9.0 --startMP 204:437 --initTime 2017-09-22T13:50:54 --startdatetime 2017-09-22T14:00:24 --delay 54 --endMP 204:233327 --enddatetime 2017-09-22T14:36:02 --enforcementcount 0 &gt;&gt;c:\users\stu\Documents\GitHub\eaglep3-reporting\EC\2017-09-22-refined-times.txt</v>
      </c>
      <c r="AI96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{"issue":{"subject":"","project_id":79,"tracker_id":40,"status_id":1,"priority_id":2,"assigned_to_id":338,"start_date":"2017-09-22","description":"","custom_fields":[{"id":1,"name":"Subdivision","value":"EC"},{"id":4,"name":"Milepost","value":"23.3327"},{"id":17,"name":"Train ID","value":"183-22"},{"id":16,"name":"Locomotive ID","value":"4062"},{"id":130,"name":"Impact","value":""},{"id":150,"name":"Time of Event (Mountain Time)","value":"14:36:02"},{"id":151,"name":"Denver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4"/>
        <v>start /low /b %USERPROFILE%\Documents\GitHub\eaglep3\Utilities\DownloadLogsFromS3.py --loco 4062 --day 2017-09-22</v>
      </c>
      <c r="AN96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20:36:02"},{"id":29,"name":"Sharepoint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46"/>
        <v>https://d0f6bd738d7f1b3e5a7ca70fe4ff75f0.us-east-1.aws.found.io/app/kibana#/discover/Steve-Slow-Train-Analysis-(2080s-and-2083s)?_g=(refreshInterval:(display:Off,pause:!f,section:0,value:0),time:(from:'2017-09-22T12:50:54-0600',mode:absolute,to:'2017-09-22T15:36:02-0600'))&amp;_a=(columns:!('Message%20ID',Summary),filters:!(),index:'emp_*',interval:auto,query:(query_string:(analyze_wildcard:!t,query:'Message%5C+ID:(*)+AND+%22rtdc.l.rtdc.4062%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738</v>
      </c>
      <c r="B97" s="7">
        <v>4061</v>
      </c>
      <c r="C97" s="21" t="s">
        <v>196</v>
      </c>
      <c r="D97" s="21" t="s">
        <v>428</v>
      </c>
      <c r="E97" s="13">
        <v>43000.615358796298</v>
      </c>
      <c r="F97" s="13">
        <v>43000.623206018521</v>
      </c>
      <c r="G97" s="7">
        <v>47</v>
      </c>
      <c r="H97" s="21" t="s">
        <v>362</v>
      </c>
      <c r="I97" s="13">
        <v>43000.649247685185</v>
      </c>
      <c r="J97" s="7">
        <v>0</v>
      </c>
      <c r="K97" s="89" t="str">
        <f t="shared" si="30"/>
        <v>4061/4062</v>
      </c>
      <c r="L97" s="185" t="str">
        <f>VLOOKUP(A97,'Trips&amp;Operators'!$C$1:$G$99911,5,FALSE)</f>
        <v>LEVIN SCOTT</v>
      </c>
      <c r="M97" s="6">
        <f t="shared" si="31"/>
        <v>2.6041666664241347E-2</v>
      </c>
      <c r="N97" s="7">
        <f t="shared" si="48"/>
        <v>37.49999999650754</v>
      </c>
      <c r="O97" s="7"/>
      <c r="P97" s="7"/>
      <c r="Q97" s="22"/>
      <c r="R97" s="174"/>
      <c r="S97" s="221">
        <f t="shared" si="47"/>
        <v>1</v>
      </c>
      <c r="T97" s="174" t="str">
        <f t="shared" si="32"/>
        <v>Southbound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33"/>
        <v>https://d0f6bd738d7f1b3e5a7ca70fe4ff75f0.us-east-1.aws.found.io/app/kibana#/discover/Steve-Slow-Train-Analysis-(2080s-and-2083s)?_g=(refreshInterval:(display:Off,pause:!f,section:0,value:0),time:(from:'2017-09-22T13:46:07-0600',mode:absolute,to:'2017-09-22T16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7" s="204" t="str">
        <f>IF(AA97&lt;VLOOKUP(AG97,Variables!$AC$3:$AD$8,2,FALSE),"Y","N")</f>
        <v>N</v>
      </c>
      <c r="X97" s="204">
        <f t="shared" si="34"/>
        <v>1</v>
      </c>
      <c r="Y97" s="204">
        <f t="shared" si="35"/>
        <v>23.300599999999999</v>
      </c>
      <c r="Z97" s="204">
        <f t="shared" si="36"/>
        <v>1.38E-2</v>
      </c>
      <c r="AA97" s="204">
        <f t="shared" si="37"/>
        <v>23.286799999999999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38"/>
        <v>184</v>
      </c>
      <c r="AE97" s="77" t="str">
        <f t="shared" si="39"/>
        <v>aws s3 cp s3://rtdc.mdm.uploadarchive.raw/RTDC4061/ "%USERPROFILE%\AppData\Local\Temp\OnboardLogs"\RTDC4061\2017-09-22 --exclude "*" --recursive --include "*20170922*" &amp; "%USERPROFILE%\Documents\GitHub\mrs-test-scripts\Headless Mode &amp; Sideloading\WalkAndUnGZ.bat" "%USERPROFILE%\AppData\Local\Temp\OnboardLogs"\RTDC4061\2017-09-22 &amp; aws s3 cp s3://rtdc.mdm.uploadarchive.raw/RTDC4061/ "%USERPROFILE%\AppData\Local\Temp\OnboardLogs"\RTDC4061\2017-09-23 --exclude "*" --recursive --include "*20170923*" &amp; "%USERPROFILE%\Documents\GitHub\mrs-test-scripts\Headless Mode &amp; Sideloading\WalkAndUnGZ.bat" "%USERPROFILE%\AppData\Local\Temp\OnboardLogs"\RTDC4061\2017-09-23</v>
      </c>
      <c r="AF97" s="74" t="str">
        <f t="shared" si="40"/>
        <v>"C:\Program Files (x86)\AstroGrep\AstroGrep.exe" /e /r /s /spath="%USERPROFILE%\AppData\Local\Temp\OnboardLogs" /stypes="app*4061*20170922*" /stext=" 21:.+((SYSTEM_STATE.+slice.+state.+changed )|(ment ac)|(multiple cpu faults)|(system.+state.+changed )|(\[timeout)|(PRM\|1\|D)|(kpr)|(kdp)|(train st.+moving)|(\|lc)|(penalty))"</v>
      </c>
      <c r="AG97" s="182" t="str">
        <f t="shared" si="41"/>
        <v>EC</v>
      </c>
      <c r="AH97" s="78" t="str">
        <f t="shared" si="42"/>
        <v>"%USERPROFILE%\Documents\GitHub\eaglep3\Utilities\RefineRTDCRunTimes.py" --tripid 184-22 --locoid 4061 --swversion DE.1.0.9.0 --startMP 204:233006 --initTime 2017-09-22T14:46:07 --startdatetime 2017-09-22T14:57:25 --delay 47 --endMP 204:138 --enddatetime 2017-09-22T15:34:55 --enforcementcount 0 &gt;&gt;c:\users\stu\Documents\GitHub\eaglep3-reporting\EC\2017-09-22-refined-times.txt</v>
      </c>
      <c r="AI97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{"issue":{"subject":"","project_id":79,"tracker_id":40,"status_id":1,"priority_id":2,"assigned_to_id":338,"start_date":"2017-09-22","description":"","custom_fields":[{"id":1,"name":"Subdivision","value":"EC"},{"id":4,"name":"Milepost","value":"0.0138"},{"id":17,"name":"Train ID","value":"184-22"},{"id":16,"name":"Locomotive ID","value":"4061"},{"id":130,"name":"Impact","value":""},{"id":150,"name":"Time of Event (Mountain Time)","value":"15:34:55"},{"id":151,"name":"Denver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4"/>
        <v>start /low /b %USERPROFILE%\Documents\GitHub\eaglep3\Utilities\DownloadLogsFromS3.py --loco 4061 --day 2017-09-22</v>
      </c>
      <c r="AN97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21:34:55"},{"id":29,"name":"Sharepoint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46"/>
        <v>https://d0f6bd738d7f1b3e5a7ca70fe4ff75f0.us-east-1.aws.found.io/app/kibana#/discover/Steve-Slow-Train-Analysis-(2080s-and-2083s)?_g=(refreshInterval:(display:Off,pause:!f,section:0,value:0),time:(from:'2017-09-22T13:46:07-0600',mode:absolute,to:'2017-09-22T16:34:55-0600'))&amp;_a=(columns:!('Message%20ID',Summary),filters:!(),index:'emp_*',interval:auto,query:(query_string:(analyze_wildcard:!t,query:'Message%5C+ID:(*)+AND+%22rtdc.l.rtdc.4061%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730</v>
      </c>
      <c r="B98" s="7">
        <v>4044</v>
      </c>
      <c r="C98" s="21" t="s">
        <v>196</v>
      </c>
      <c r="D98" s="21" t="s">
        <v>339</v>
      </c>
      <c r="E98" s="13">
        <v>43000.589965277781</v>
      </c>
      <c r="F98" s="13">
        <v>43000.593912037039</v>
      </c>
      <c r="G98" s="7">
        <v>53</v>
      </c>
      <c r="H98" s="21" t="s">
        <v>856</v>
      </c>
      <c r="I98" s="13">
        <v>43000.619872685187</v>
      </c>
      <c r="J98" s="7">
        <v>0</v>
      </c>
      <c r="K98" s="89" t="str">
        <f t="shared" si="30"/>
        <v>4043/4044</v>
      </c>
      <c r="L98" s="185" t="str">
        <f>VLOOKUP(A98,'Trips&amp;Operators'!$C$1:$G$99911,5,FALSE)</f>
        <v>BADERTSCHER DIANE</v>
      </c>
      <c r="M98" s="6">
        <f t="shared" si="31"/>
        <v>2.5960648148611654E-2</v>
      </c>
      <c r="N98" s="7">
        <f t="shared" si="48"/>
        <v>37.383333334000781</v>
      </c>
      <c r="O98" s="7"/>
      <c r="P98" s="7"/>
      <c r="Q98" s="22"/>
      <c r="R98" s="174"/>
      <c r="S98" s="221">
        <f t="shared" si="47"/>
        <v>1</v>
      </c>
      <c r="T98" s="174" t="str">
        <f t="shared" si="32"/>
        <v>NorthBound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33"/>
        <v>https://d0f6bd738d7f1b3e5a7ca70fe4ff75f0.us-east-1.aws.found.io/app/kibana#/discover/Steve-Slow-Train-Analysis-(2080s-and-2083s)?_g=(refreshInterval:(display:Off,pause:!f,section:0,value:0),time:(from:'2017-09-22T13:09:33-0600',mode:absolute,to:'2017-09-22T15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8" s="204" t="str">
        <f>IF(AA98&lt;VLOOKUP(AG98,Variables!$AC$3:$AD$8,2,FALSE),"Y","N")</f>
        <v>N</v>
      </c>
      <c r="X98" s="204">
        <f t="shared" si="34"/>
        <v>1</v>
      </c>
      <c r="Y98" s="204">
        <f t="shared" si="35"/>
        <v>4.53E-2</v>
      </c>
      <c r="Z98" s="204">
        <f t="shared" si="36"/>
        <v>23.334499999999998</v>
      </c>
      <c r="AA98" s="204">
        <f t="shared" si="37"/>
        <v>23.289199999999997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38"/>
        <v>185</v>
      </c>
      <c r="AE98" s="77" t="str">
        <f t="shared" si="39"/>
        <v>aws s3 cp s3://rtdc.mdm.uploadarchive.raw/RTDC4044/ "%USERPROFILE%\AppData\Local\Temp\OnboardLogs"\RTDC4044\2017-09-22 --exclude "*" --recursive --include "*20170922*" &amp; "%USERPROFILE%\Documents\GitHub\mrs-test-scripts\Headless Mode &amp; Sideloading\WalkAndUnGZ.bat" "%USERPROFILE%\AppData\Local\Temp\OnboardLogs"\RTDC4044\2017-09-22 &amp; aws s3 cp s3://rtdc.mdm.uploadarchive.raw/RTDC4044/ "%USERPROFILE%\AppData\Local\Temp\OnboardLogs"\RTDC4044\2017-09-23 --exclude "*" --recursive --include "*20170923*" &amp; "%USERPROFILE%\Documents\GitHub\mrs-test-scripts\Headless Mode &amp; Sideloading\WalkAndUnGZ.bat" "%USERPROFILE%\AppData\Local\Temp\OnboardLogs"\RTDC4044\2017-09-23</v>
      </c>
      <c r="AF98" s="74" t="str">
        <f t="shared" si="40"/>
        <v>"C:\Program Files (x86)\AstroGrep\AstroGrep.exe" /e /r /s /spath="%USERPROFILE%\AppData\Local\Temp\OnboardLogs" /stypes="app*4044*20170922*" /stext=" 20:.+((SYSTEM_STATE.+slice.+state.+changed )|(ment ac)|(multiple cpu faults)|(system.+state.+changed )|(\[timeout)|(PRM\|1\|D)|(kpr)|(kdp)|(train st.+moving)|(\|lc)|(penalty))"</v>
      </c>
      <c r="AG98" s="182" t="str">
        <f t="shared" si="41"/>
        <v>EC</v>
      </c>
      <c r="AH98" s="78" t="str">
        <f t="shared" si="42"/>
        <v>"%USERPROFILE%\Documents\GitHub\eaglep3\Utilities\RefineRTDCRunTimes.py" --tripid 185-22 --locoid 4044 --swversion DE.1.0.9.0 --startMP 204:453 --initTime 2017-09-22T14:09:33 --startdatetime 2017-09-22T14:15:14 --delay 53 --endMP 204:233345 --enddatetime 2017-09-22T14:52:37 --enforcementcount 0 &gt;&gt;c:\users\stu\Documents\GitHub\eaglep3-reporting\EC\2017-09-22-refined-times.txt</v>
      </c>
      <c r="AI98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{"issue":{"subject":"","project_id":79,"tracker_id":40,"status_id":1,"priority_id":2,"assigned_to_id":338,"start_date":"2017-09-22","description":"","custom_fields":[{"id":1,"name":"Subdivision","value":"EC"},{"id":4,"name":"Milepost","value":"23.3345"},{"id":17,"name":"Train ID","value":"185-22"},{"id":16,"name":"Locomotive ID","value":"4044"},{"id":130,"name":"Impact","value":""},{"id":150,"name":"Time of Event (Mountain Time)","value":"14:52:37"},{"id":151,"name":"Denver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44"/>
        <v>start /low /b %USERPROFILE%\Documents\GitHub\eaglep3\Utilities\DownloadLogsFromS3.py --loco 4044 --day 2017-09-22</v>
      </c>
      <c r="AN98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20:52:37"},{"id":29,"name":"Sharepoint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46"/>
        <v>https://d0f6bd738d7f1b3e5a7ca70fe4ff75f0.us-east-1.aws.found.io/app/kibana#/discover/Steve-Slow-Train-Analysis-(2080s-and-2083s)?_g=(refreshInterval:(display:Off,pause:!f,section:0,value:0),time:(from:'2017-09-22T13:09:33-0600',mode:absolute,to:'2017-09-22T15:52:37-0600'))&amp;_a=(columns:!('Message%20ID',Summary),filters:!(),index:'emp_*',interval:auto,query:(query_string:(analyze_wildcard:!t,query:'Message%5C+ID:(*)+AND+%22rtdc.l.rtdc.4044%22')),sort:!(Time.ISO8601,asc))</v>
      </c>
    </row>
    <row r="99" spans="1:91" s="20" customFormat="1" x14ac:dyDescent="0.25">
      <c r="A99" s="32" t="s">
        <v>741</v>
      </c>
      <c r="B99" s="7">
        <v>4043</v>
      </c>
      <c r="C99" s="21" t="s">
        <v>196</v>
      </c>
      <c r="D99" s="21" t="s">
        <v>861</v>
      </c>
      <c r="E99" s="13">
        <v>43000.627002314817</v>
      </c>
      <c r="F99" s="13">
        <v>43000.633506944447</v>
      </c>
      <c r="G99" s="7">
        <v>67</v>
      </c>
      <c r="H99" s="21" t="s">
        <v>379</v>
      </c>
      <c r="I99" s="13">
        <v>43000.660439814812</v>
      </c>
      <c r="J99" s="7">
        <v>0</v>
      </c>
      <c r="K99" s="89" t="str">
        <f t="shared" si="30"/>
        <v>4043/4044</v>
      </c>
      <c r="L99" s="185" t="str">
        <f>VLOOKUP(A99,'Trips&amp;Operators'!$C$1:$G$99911,5,FALSE)</f>
        <v>BADERTSCHER DIANE</v>
      </c>
      <c r="M99" s="6">
        <f t="shared" si="31"/>
        <v>2.693287036527181E-2</v>
      </c>
      <c r="N99" s="7">
        <f t="shared" si="48"/>
        <v>38.783333325991407</v>
      </c>
      <c r="O99" s="7"/>
      <c r="P99" s="7"/>
      <c r="Q99" s="22"/>
      <c r="R99" s="174"/>
      <c r="S99" s="221">
        <f t="shared" si="47"/>
        <v>1</v>
      </c>
      <c r="T99" s="174" t="str">
        <f t="shared" si="32"/>
        <v>Southbound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33"/>
        <v>https://d0f6bd738d7f1b3e5a7ca70fe4ff75f0.us-east-1.aws.found.io/app/kibana#/discover/Steve-Slow-Train-Analysis-(2080s-and-2083s)?_g=(refreshInterval:(display:Off,pause:!f,section:0,value:0),time:(from:'2017-09-22T14:02:53-0600',mode:absolute,to:'2017-09-22T16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9" s="204" t="str">
        <f>IF(AA99&lt;VLOOKUP(AG99,Variables!$AC$3:$AD$8,2,FALSE),"Y","N")</f>
        <v>N</v>
      </c>
      <c r="X99" s="204">
        <f t="shared" si="34"/>
        <v>1</v>
      </c>
      <c r="Y99" s="204">
        <f t="shared" si="35"/>
        <v>23.300699999999999</v>
      </c>
      <c r="Z99" s="204">
        <f t="shared" si="36"/>
        <v>1.5800000000000002E-2</v>
      </c>
      <c r="AA99" s="204">
        <f t="shared" si="37"/>
        <v>23.2849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38"/>
        <v>186</v>
      </c>
      <c r="AE99" s="77" t="str">
        <f t="shared" si="39"/>
        <v>aws s3 cp s3://rtdc.mdm.uploadarchive.raw/RTDC4043/ "%USERPROFILE%\AppData\Local\Temp\OnboardLogs"\RTDC4043\2017-09-22 --exclude "*" --recursive --include "*20170922*" &amp; "%USERPROFILE%\Documents\GitHub\mrs-test-scripts\Headless Mode &amp; Sideloading\WalkAndUnGZ.bat" "%USERPROFILE%\AppData\Local\Temp\OnboardLogs"\RTDC4043\2017-09-22 &amp; aws s3 cp s3://rtdc.mdm.uploadarchive.raw/RTDC4043/ "%USERPROFILE%\AppData\Local\Temp\OnboardLogs"\RTDC4043\2017-09-23 --exclude "*" --recursive --include "*20170923*" &amp; "%USERPROFILE%\Documents\GitHub\mrs-test-scripts\Headless Mode &amp; Sideloading\WalkAndUnGZ.bat" "%USERPROFILE%\AppData\Local\Temp\OnboardLogs"\RTDC4043\2017-09-23</v>
      </c>
      <c r="AF99" s="74" t="str">
        <f t="shared" si="40"/>
        <v>"C:\Program Files (x86)\AstroGrep\AstroGrep.exe" /e /r /s /spath="%USERPROFILE%\AppData\Local\Temp\OnboardLogs" /stypes="app*4043*20170922*" /stext=" 21:.+((SYSTEM_STATE.+slice.+state.+changed )|(ment ac)|(multiple cpu faults)|(system.+state.+changed )|(\[timeout)|(PRM\|1\|D)|(kpr)|(kdp)|(train st.+moving)|(\|lc)|(penalty))"</v>
      </c>
      <c r="AG99" s="182" t="str">
        <f t="shared" si="41"/>
        <v>EC</v>
      </c>
      <c r="AH99" s="78" t="str">
        <f t="shared" si="42"/>
        <v>"%USERPROFILE%\Documents\GitHub\eaglep3\Utilities\RefineRTDCRunTimes.py" --tripid 186-22 --locoid 4043 --swversion DE.1.0.9.0 --startMP 204:233007 --initTime 2017-09-22T15:02:53 --startdatetime 2017-09-22T15:12:15 --delay 67 --endMP 204:158 --enddatetime 2017-09-22T15:51:02 --enforcementcount 0 &gt;&gt;c:\users\stu\Documents\GitHub\eaglep3-reporting\EC\2017-09-22-refined-times.txt</v>
      </c>
      <c r="AI99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{"issue":{"subject":"","project_id":79,"tracker_id":40,"status_id":1,"priority_id":2,"assigned_to_id":338,"start_date":"2017-09-22","description":"","custom_fields":[{"id":1,"name":"Subdivision","value":"EC"},{"id":4,"name":"Milepost","value":"0.0158"},{"id":17,"name":"Train ID","value":"186-22"},{"id":16,"name":"Locomotive ID","value":"4043"},{"id":130,"name":"Impact","value":""},{"id":150,"name":"Time of Event (Mountain Time)","value":"15:51:02"},{"id":151,"name":"Denver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4"/>
        <v>start /low /b %USERPROFILE%\Documents\GitHub\eaglep3\Utilities\DownloadLogsFromS3.py --loco 4043 --day 2017-09-22</v>
      </c>
      <c r="AN99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21:51:02"},{"id":29,"name":"Sharepoint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46"/>
        <v>https://d0f6bd738d7f1b3e5a7ca70fe4ff75f0.us-east-1.aws.found.io/app/kibana#/discover/Steve-Slow-Train-Analysis-(2080s-and-2083s)?_g=(refreshInterval:(display:Off,pause:!f,section:0,value:0),time:(from:'2017-09-22T14:02:53-0600',mode:absolute,to:'2017-09-22T16:51:02-0600'))&amp;_a=(columns:!('Message%20ID',Summary),filters:!(),index:'emp_*',interval:auto,query:(query_string:(analyze_wildcard:!t,query:'Message%5C+ID:(*)+AND+%22rtdc.l.rtdc.4043%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734</v>
      </c>
      <c r="B100" s="7">
        <v>4012</v>
      </c>
      <c r="C100" s="21" t="s">
        <v>196</v>
      </c>
      <c r="D100" s="21" t="s">
        <v>396</v>
      </c>
      <c r="E100" s="13">
        <v>43000.599212962959</v>
      </c>
      <c r="F100" s="13">
        <v>43000.604398148149</v>
      </c>
      <c r="G100" s="7">
        <v>75</v>
      </c>
      <c r="H100" s="21" t="s">
        <v>862</v>
      </c>
      <c r="I100" s="13">
        <v>43000.629814814813</v>
      </c>
      <c r="J100" s="7">
        <v>0</v>
      </c>
      <c r="K100" s="89" t="str">
        <f t="shared" si="30"/>
        <v>4011/4012</v>
      </c>
      <c r="L100" s="185" t="str">
        <f>VLOOKUP(A100,'Trips&amp;Operators'!$C$1:$G$99911,5,FALSE)</f>
        <v>SWANSON BRYCE</v>
      </c>
      <c r="M100" s="6">
        <f t="shared" si="31"/>
        <v>2.5416666663659271E-2</v>
      </c>
      <c r="N100" s="7">
        <f t="shared" si="48"/>
        <v>36.59999999566935</v>
      </c>
      <c r="O100" s="7"/>
      <c r="P100" s="7"/>
      <c r="Q100" s="22"/>
      <c r="R100" s="174"/>
      <c r="S100" s="221">
        <f t="shared" si="47"/>
        <v>1</v>
      </c>
      <c r="T100" s="174" t="str">
        <f t="shared" si="32"/>
        <v>NorthBound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33"/>
        <v>https://d0f6bd738d7f1b3e5a7ca70fe4ff75f0.us-east-1.aws.found.io/app/kibana#/discover/Steve-Slow-Train-Analysis-(2080s-and-2083s)?_g=(refreshInterval:(display:Off,pause:!f,section:0,value:0),time:(from:'2017-09-22T13:22:52-0600',mode:absolute,to:'2017-09-22T16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0" s="204" t="str">
        <f>IF(AA100&lt;VLOOKUP(AG100,Variables!$AC$3:$AD$8,2,FALSE),"Y","N")</f>
        <v>N</v>
      </c>
      <c r="X100" s="204">
        <f t="shared" si="34"/>
        <v>1</v>
      </c>
      <c r="Y100" s="204">
        <f t="shared" si="35"/>
        <v>4.5100000000000001E-2</v>
      </c>
      <c r="Z100" s="204">
        <f t="shared" si="36"/>
        <v>23.334599999999998</v>
      </c>
      <c r="AA100" s="204">
        <f t="shared" si="37"/>
        <v>23.289499999999997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38"/>
        <v>187</v>
      </c>
      <c r="AE100" s="77" t="str">
        <f t="shared" si="39"/>
        <v>aws s3 cp s3://rtdc.mdm.uploadarchive.raw/RTDC4012/ "%USERPROFILE%\AppData\Local\Temp\OnboardLogs"\RTDC4012\2017-09-22 --exclude "*" --recursive --include "*20170922*" &amp; "%USERPROFILE%\Documents\GitHub\mrs-test-scripts\Headless Mode &amp; Sideloading\WalkAndUnGZ.bat" "%USERPROFILE%\AppData\Local\Temp\OnboardLogs"\RTDC4012\2017-09-22 &amp; aws s3 cp s3://rtdc.mdm.uploadarchive.raw/RTDC4012/ "%USERPROFILE%\AppData\Local\Temp\OnboardLogs"\RTDC4012\2017-09-23 --exclude "*" --recursive --include "*20170923*" &amp; "%USERPROFILE%\Documents\GitHub\mrs-test-scripts\Headless Mode &amp; Sideloading\WalkAndUnGZ.bat" "%USERPROFILE%\AppData\Local\Temp\OnboardLogs"\RTDC4012\2017-09-23</v>
      </c>
      <c r="AF100" s="74" t="str">
        <f t="shared" si="40"/>
        <v>"C:\Program Files (x86)\AstroGrep\AstroGrep.exe" /e /r /s /spath="%USERPROFILE%\AppData\Local\Temp\OnboardLogs" /stypes="app*4012*20170922*" /stext=" 21:.+((SYSTEM_STATE.+slice.+state.+changed )|(ment ac)|(multiple cpu faults)|(system.+state.+changed )|(\[timeout)|(PRM\|1\|D)|(kpr)|(kdp)|(train st.+moving)|(\|lc)|(penalty))"</v>
      </c>
      <c r="AG100" s="182" t="str">
        <f t="shared" si="41"/>
        <v>EC</v>
      </c>
      <c r="AH100" s="78" t="str">
        <f t="shared" si="42"/>
        <v>"%USERPROFILE%\Documents\GitHub\eaglep3\Utilities\RefineRTDCRunTimes.py" --tripid 187-22 --locoid 4012 --swversion DE.1.0.9.0 --startMP 204:451 --initTime 2017-09-22T14:22:52 --startdatetime 2017-09-22T14:30:20 --delay 75 --endMP 204:233346 --enddatetime 2017-09-22T15:06:56 --enforcementcount 0 &gt;&gt;c:\users\stu\Documents\GitHub\eaglep3-reporting\EC\2017-09-22-refined-times.txt</v>
      </c>
      <c r="AI100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{"issue":{"subject":"","project_id":79,"tracker_id":40,"status_id":1,"priority_id":2,"assigned_to_id":338,"start_date":"2017-09-22","description":"","custom_fields":[{"id":1,"name":"Subdivision","value":"EC"},{"id":4,"name":"Milepost","value":"23.3346"},{"id":17,"name":"Train ID","value":"187-22"},{"id":16,"name":"Locomotive ID","value":"4012"},{"id":130,"name":"Impact","value":""},{"id":150,"name":"Time of Event (Mountain Time)","value":"15:06:56"},{"id":151,"name":"Denver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4"/>
        <v>start /low /b %USERPROFILE%\Documents\GitHub\eaglep3\Utilities\DownloadLogsFromS3.py --loco 4012 --day 2017-09-22</v>
      </c>
      <c r="AN100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21:06:56"},{"id":29,"name":"Sharepoint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46"/>
        <v>https://d0f6bd738d7f1b3e5a7ca70fe4ff75f0.us-east-1.aws.found.io/app/kibana#/discover/Steve-Slow-Train-Analysis-(2080s-and-2083s)?_g=(refreshInterval:(display:Off,pause:!f,section:0,value:0),time:(from:'2017-09-22T13:22:52-0600',mode:absolute,to:'2017-09-22T16:06:56-0600'))&amp;_a=(columns:!('Message%20ID',Summary),filters:!(),index:'emp_*',interval:auto,query:(query_string:(analyze_wildcard:!t,query:'Message%5C+ID:(*)+AND+%22rtdc.l.rtdc.4012%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743</v>
      </c>
      <c r="B101" s="7">
        <v>4011</v>
      </c>
      <c r="C101" s="21" t="s">
        <v>196</v>
      </c>
      <c r="D101" s="21" t="s">
        <v>863</v>
      </c>
      <c r="E101" s="13">
        <v>43000.631701388891</v>
      </c>
      <c r="F101" s="13">
        <v>43000.643923611111</v>
      </c>
      <c r="G101" s="7">
        <v>70</v>
      </c>
      <c r="H101" s="21" t="s">
        <v>864</v>
      </c>
      <c r="I101" s="13">
        <v>43000.670949074076</v>
      </c>
      <c r="J101" s="7">
        <v>0</v>
      </c>
      <c r="K101" s="89" t="str">
        <f t="shared" si="30"/>
        <v>4011/4012</v>
      </c>
      <c r="L101" s="185" t="str">
        <f>VLOOKUP(A101,'Trips&amp;Operators'!$C$1:$G$99911,5,FALSE)</f>
        <v>SWANSON BRYCE</v>
      </c>
      <c r="M101" s="6">
        <f t="shared" si="31"/>
        <v>2.7025462964957114E-2</v>
      </c>
      <c r="N101" s="7">
        <f t="shared" si="48"/>
        <v>38.916666669538245</v>
      </c>
      <c r="O101" s="7"/>
      <c r="P101" s="7"/>
      <c r="Q101" s="22"/>
      <c r="R101" s="174"/>
      <c r="S101" s="221">
        <f t="shared" si="47"/>
        <v>1</v>
      </c>
      <c r="T101" s="174" t="str">
        <f t="shared" si="32"/>
        <v>Southbound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33"/>
        <v>https://d0f6bd738d7f1b3e5a7ca70fe4ff75f0.us-east-1.aws.found.io/app/kibana#/discover/Steve-Slow-Train-Analysis-(2080s-and-2083s)?_g=(refreshInterval:(display:Off,pause:!f,section:0,value:0),time:(from:'2017-09-22T14:09:39-0600',mode:absolute,to:'2017-09-22T17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1" s="204" t="str">
        <f>IF(AA101&lt;VLOOKUP(AG101,Variables!$AC$3:$AD$8,2,FALSE),"Y","N")</f>
        <v>N</v>
      </c>
      <c r="X101" s="204">
        <f t="shared" si="34"/>
        <v>1</v>
      </c>
      <c r="Y101" s="204">
        <f t="shared" si="35"/>
        <v>23.3032</v>
      </c>
      <c r="Z101" s="204">
        <f t="shared" si="36"/>
        <v>1.7000000000000001E-2</v>
      </c>
      <c r="AA101" s="204">
        <f t="shared" si="37"/>
        <v>23.286200000000001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38"/>
        <v>188</v>
      </c>
      <c r="AE101" s="77" t="str">
        <f t="shared" si="39"/>
        <v>aws s3 cp s3://rtdc.mdm.uploadarchive.raw/RTDC4011/ "%USERPROFILE%\AppData\Local\Temp\OnboardLogs"\RTDC4011\2017-09-22 --exclude "*" --recursive --include "*20170922*" &amp; "%USERPROFILE%\Documents\GitHub\mrs-test-scripts\Headless Mode &amp; Sideloading\WalkAndUnGZ.bat" "%USERPROFILE%\AppData\Local\Temp\OnboardLogs"\RTDC4011\2017-09-22 &amp; aws s3 cp s3://rtdc.mdm.uploadarchive.raw/RTDC4011/ "%USERPROFILE%\AppData\Local\Temp\OnboardLogs"\RTDC4011\2017-09-23 --exclude "*" --recursive --include "*20170923*" &amp; "%USERPROFILE%\Documents\GitHub\mrs-test-scripts\Headless Mode &amp; Sideloading\WalkAndUnGZ.bat" "%USERPROFILE%\AppData\Local\Temp\OnboardLogs"\RTDC4011\2017-09-23</v>
      </c>
      <c r="AF101" s="74" t="str">
        <f t="shared" si="40"/>
        <v>"C:\Program Files (x86)\AstroGrep\AstroGrep.exe" /e /r /s /spath="%USERPROFILE%\AppData\Local\Temp\OnboardLogs" /stypes="app*4011*20170922*" /stext=" 22:.+((SYSTEM_STATE.+slice.+state.+changed )|(ment ac)|(multiple cpu faults)|(system.+state.+changed )|(\[timeout)|(PRM\|1\|D)|(kpr)|(kdp)|(train st.+moving)|(\|lc)|(penalty))"</v>
      </c>
      <c r="AG101" s="182" t="str">
        <f t="shared" si="41"/>
        <v>EC</v>
      </c>
      <c r="AH101" s="78" t="str">
        <f t="shared" si="42"/>
        <v>"%USERPROFILE%\Documents\GitHub\eaglep3\Utilities\RefineRTDCRunTimes.py" --tripid 188-22 --locoid 4011 --swversion DE.1.0.9.0 --startMP 204:233032 --initTime 2017-09-22T15:09:39 --startdatetime 2017-09-22T15:27:15 --delay 70 --endMP 204:170 --enddatetime 2017-09-22T16:06:10 --enforcementcount 0 &gt;&gt;c:\users\stu\Documents\GitHub\eaglep3-reporting\EC\2017-09-22-refined-times.txt</v>
      </c>
      <c r="AI101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{"issue":{"subject":"","project_id":79,"tracker_id":40,"status_id":1,"priority_id":2,"assigned_to_id":338,"start_date":"2017-09-22","description":"","custom_fields":[{"id":1,"name":"Subdivision","value":"EC"},{"id":4,"name":"Milepost","value":"0.017"},{"id":17,"name":"Train ID","value":"188-22"},{"id":16,"name":"Locomotive ID","value":"4011"},{"id":130,"name":"Impact","value":""},{"id":150,"name":"Time of Event (Mountain Time)","value":"16:06:10"},{"id":151,"name":"Denver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4"/>
        <v>start /low /b %USERPROFILE%\Documents\GitHub\eaglep3\Utilities\DownloadLogsFromS3.py --loco 4011 --day 2017-09-22</v>
      </c>
      <c r="AN101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22:06:10"},{"id":29,"name":"Sharepoint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46"/>
        <v>https://d0f6bd738d7f1b3e5a7ca70fe4ff75f0.us-east-1.aws.found.io/app/kibana#/discover/Steve-Slow-Train-Analysis-(2080s-and-2083s)?_g=(refreshInterval:(display:Off,pause:!f,section:0,value:0),time:(from:'2017-09-22T14:09:39-0600',mode:absolute,to:'2017-09-22T17:06:10-0600'))&amp;_a=(columns:!('Message%20ID',Summary),filters:!(),index:'emp_*',interval:auto,query:(query_string:(analyze_wildcard:!t,query:'Message%5C+ID:(*)+AND+%22rtdc.l.rtdc.4011%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737</v>
      </c>
      <c r="B102" s="7">
        <v>4018</v>
      </c>
      <c r="C102" s="21" t="s">
        <v>196</v>
      </c>
      <c r="D102" s="21" t="s">
        <v>407</v>
      </c>
      <c r="E102" s="13">
        <v>43000.612881944442</v>
      </c>
      <c r="F102" s="13">
        <v>43000.61478009259</v>
      </c>
      <c r="G102" s="7">
        <v>60</v>
      </c>
      <c r="H102" s="21" t="s">
        <v>865</v>
      </c>
      <c r="I102" s="13">
        <v>43000.640011574076</v>
      </c>
      <c r="J102" s="7">
        <v>0</v>
      </c>
      <c r="K102" s="89" t="str">
        <f t="shared" si="30"/>
        <v>4017/4018</v>
      </c>
      <c r="L102" s="185" t="str">
        <f>VLOOKUP(A102,'Trips&amp;Operators'!$C$1:$G$99911,5,FALSE)</f>
        <v>SAFIEF AEIMEN</v>
      </c>
      <c r="M102" s="6">
        <f t="shared" si="31"/>
        <v>2.5231481486116536E-2</v>
      </c>
      <c r="N102" s="7">
        <f t="shared" si="48"/>
        <v>36.333333340007812</v>
      </c>
      <c r="O102" s="7"/>
      <c r="P102" s="7"/>
      <c r="Q102" s="22"/>
      <c r="R102" s="174"/>
      <c r="S102" s="221">
        <f t="shared" si="47"/>
        <v>1</v>
      </c>
      <c r="T102" s="174" t="str">
        <f t="shared" si="32"/>
        <v>NorthBound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33"/>
        <v>https://d0f6bd738d7f1b3e5a7ca70fe4ff75f0.us-east-1.aws.found.io/app/kibana#/discover/Steve-Slow-Train-Analysis-(2080s-and-2083s)?_g=(refreshInterval:(display:Off,pause:!f,section:0,value:0),time:(from:'2017-09-22T13:42:33-0600',mode:absolute,to:'2017-09-22T16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2" s="204" t="str">
        <f>IF(AA102&lt;VLOOKUP(AG102,Variables!$AC$3:$AD$8,2,FALSE),"Y","N")</f>
        <v>N</v>
      </c>
      <c r="X102" s="204">
        <f t="shared" si="34"/>
        <v>1</v>
      </c>
      <c r="Y102" s="204">
        <f t="shared" si="35"/>
        <v>4.4699999999999997E-2</v>
      </c>
      <c r="Z102" s="204">
        <f t="shared" si="36"/>
        <v>23.325099999999999</v>
      </c>
      <c r="AA102" s="204">
        <f t="shared" si="37"/>
        <v>23.2804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38"/>
        <v>189</v>
      </c>
      <c r="AE102" s="77" t="str">
        <f t="shared" si="39"/>
        <v>aws s3 cp s3://rtdc.mdm.uploadarchive.raw/RTDC4018/ "%USERPROFILE%\AppData\Local\Temp\OnboardLogs"\RTDC4018\2017-09-22 --exclude "*" --recursive --include "*20170922*" &amp; "%USERPROFILE%\Documents\GitHub\mrs-test-scripts\Headless Mode &amp; Sideloading\WalkAndUnGZ.bat" "%USERPROFILE%\AppData\Local\Temp\OnboardLogs"\RTDC4018\2017-09-22 &amp; aws s3 cp s3://rtdc.mdm.uploadarchive.raw/RTDC4018/ "%USERPROFILE%\AppData\Local\Temp\OnboardLogs"\RTDC4018\2017-09-23 --exclude "*" --recursive --include "*20170923*" &amp; "%USERPROFILE%\Documents\GitHub\mrs-test-scripts\Headless Mode &amp; Sideloading\WalkAndUnGZ.bat" "%USERPROFILE%\AppData\Local\Temp\OnboardLogs"\RTDC4018\2017-09-23</v>
      </c>
      <c r="AF102" s="74" t="str">
        <f t="shared" si="40"/>
        <v>"C:\Program Files (x86)\AstroGrep\AstroGrep.exe" /e /r /s /spath="%USERPROFILE%\AppData\Local\Temp\OnboardLogs" /stypes="app*4018*20170922*" /stext=" 21:.+((SYSTEM_STATE.+slice.+state.+changed )|(ment ac)|(multiple cpu faults)|(system.+state.+changed )|(\[timeout)|(PRM\|1\|D)|(kpr)|(kdp)|(train st.+moving)|(\|lc)|(penalty))"</v>
      </c>
      <c r="AG102" s="182" t="str">
        <f t="shared" si="41"/>
        <v>EC</v>
      </c>
      <c r="AH102" s="78" t="str">
        <f t="shared" si="42"/>
        <v>"%USERPROFILE%\Documents\GitHub\eaglep3\Utilities\RefineRTDCRunTimes.py" --tripid 189-22 --locoid 4018 --swversion DE.1.0.9.0 --startMP 204:447 --initTime 2017-09-22T14:42:33 --startdatetime 2017-09-22T14:45:17 --delay 60 --endMP 204:233251 --enddatetime 2017-09-22T15:21:37 --enforcementcount 0 &gt;&gt;c:\users\stu\Documents\GitHub\eaglep3-reporting\EC\2017-09-22-refined-times.txt</v>
      </c>
      <c r="AI102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{"issue":{"subject":"","project_id":79,"tracker_id":40,"status_id":1,"priority_id":2,"assigned_to_id":338,"start_date":"2017-09-22","description":"","custom_fields":[{"id":1,"name":"Subdivision","value":"EC"},{"id":4,"name":"Milepost","value":"23.3251"},{"id":17,"name":"Train ID","value":"189-22"},{"id":16,"name":"Locomotive ID","value":"4018"},{"id":130,"name":"Impact","value":""},{"id":150,"name":"Time of Event (Mountain Time)","value":"15:21:37"},{"id":151,"name":"Denver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4"/>
        <v>start /low /b %USERPROFILE%\Documents\GitHub\eaglep3\Utilities\DownloadLogsFromS3.py --loco 4018 --day 2017-09-22</v>
      </c>
      <c r="AN102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21:21:37"},{"id":29,"name":"Sharepoint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46"/>
        <v>https://d0f6bd738d7f1b3e5a7ca70fe4ff75f0.us-east-1.aws.found.io/app/kibana#/discover/Steve-Slow-Train-Analysis-(2080s-and-2083s)?_g=(refreshInterval:(display:Off,pause:!f,section:0,value:0),time:(from:'2017-09-22T13:42:33-0600',mode:absolute,to:'2017-09-22T16:21:37-0600'))&amp;_a=(columns:!('Message%20ID',Summary),filters:!(),index:'emp_*',interval:auto,query:(query_string:(analyze_wildcard:!t,query:'Message%5C+ID:(*)+AND+%22rtdc.l.rtdc.4018%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747</v>
      </c>
      <c r="B103" s="7">
        <v>4017</v>
      </c>
      <c r="C103" s="21" t="s">
        <v>196</v>
      </c>
      <c r="D103" s="21" t="s">
        <v>554</v>
      </c>
      <c r="E103" s="13">
        <v>43000.64366898148</v>
      </c>
      <c r="F103" s="13">
        <v>43000.654363425929</v>
      </c>
      <c r="G103" s="7">
        <v>58</v>
      </c>
      <c r="H103" s="21" t="s">
        <v>377</v>
      </c>
      <c r="I103" s="13">
        <v>43000.680127314816</v>
      </c>
      <c r="J103" s="7">
        <v>0</v>
      </c>
      <c r="K103" s="89" t="str">
        <f t="shared" si="30"/>
        <v>4017/4018</v>
      </c>
      <c r="L103" s="185" t="str">
        <f>VLOOKUP(A103,'Trips&amp;Operators'!$C$1:$G$99911,5,FALSE)</f>
        <v>SAFIEF AEIMEN</v>
      </c>
      <c r="M103" s="6">
        <f t="shared" si="31"/>
        <v>2.5763888887013309E-2</v>
      </c>
      <c r="N103" s="7">
        <f t="shared" si="48"/>
        <v>37.099999997299165</v>
      </c>
      <c r="O103" s="7"/>
      <c r="P103" s="7"/>
      <c r="Q103" s="22"/>
      <c r="R103" s="174"/>
      <c r="S103" s="221">
        <f t="shared" si="47"/>
        <v>1</v>
      </c>
      <c r="T103" s="174" t="str">
        <f t="shared" si="32"/>
        <v>Southbound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33"/>
        <v>https://d0f6bd738d7f1b3e5a7ca70fe4ff75f0.us-east-1.aws.found.io/app/kibana#/discover/Steve-Slow-Train-Analysis-(2080s-and-2083s)?_g=(refreshInterval:(display:Off,pause:!f,section:0,value:0),time:(from:'2017-09-22T14:26:53-0600',mode:absolute,to:'2017-09-22T17:19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3" s="204" t="str">
        <f>IF(AA103&lt;VLOOKUP(AG103,Variables!$AC$3:$AD$8,2,FALSE),"Y","N")</f>
        <v>N</v>
      </c>
      <c r="X103" s="204">
        <f t="shared" si="34"/>
        <v>1</v>
      </c>
      <c r="Y103" s="204">
        <f t="shared" si="35"/>
        <v>23.3</v>
      </c>
      <c r="Z103" s="204">
        <f t="shared" si="36"/>
        <v>1.6E-2</v>
      </c>
      <c r="AA103" s="204">
        <f t="shared" si="37"/>
        <v>23.284000000000002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38"/>
        <v>190</v>
      </c>
      <c r="AE103" s="77" t="str">
        <f t="shared" si="39"/>
        <v>aws s3 cp s3://rtdc.mdm.uploadarchive.raw/RTDC4017/ "%USERPROFILE%\AppData\Local\Temp\OnboardLogs"\RTDC4017\2017-09-22 --exclude "*" --recursive --include "*20170922*" &amp; "%USERPROFILE%\Documents\GitHub\mrs-test-scripts\Headless Mode &amp; Sideloading\WalkAndUnGZ.bat" "%USERPROFILE%\AppData\Local\Temp\OnboardLogs"\RTDC4017\2017-09-22 &amp; aws s3 cp s3://rtdc.mdm.uploadarchive.raw/RTDC4017/ "%USERPROFILE%\AppData\Local\Temp\OnboardLogs"\RTDC4017\2017-09-23 --exclude "*" --recursive --include "*20170923*" &amp; "%USERPROFILE%\Documents\GitHub\mrs-test-scripts\Headless Mode &amp; Sideloading\WalkAndUnGZ.bat" "%USERPROFILE%\AppData\Local\Temp\OnboardLogs"\RTDC4017\2017-09-23</v>
      </c>
      <c r="AF103" s="74" t="str">
        <f t="shared" si="40"/>
        <v>"C:\Program Files (x86)\AstroGrep\AstroGrep.exe" /e /r /s /spath="%USERPROFILE%\AppData\Local\Temp\OnboardLogs" /stypes="app*4017*20170922*" /stext=" 22:.+((SYSTEM_STATE.+slice.+state.+changed )|(ment ac)|(multiple cpu faults)|(system.+state.+changed )|(\[timeout)|(PRM\|1\|D)|(kpr)|(kdp)|(train st.+moving)|(\|lc)|(penalty))"</v>
      </c>
      <c r="AG103" s="182" t="str">
        <f t="shared" si="41"/>
        <v>EC</v>
      </c>
      <c r="AH103" s="78" t="str">
        <f t="shared" si="42"/>
        <v>"%USERPROFILE%\Documents\GitHub\eaglep3\Utilities\RefineRTDCRunTimes.py" --tripid 190-22 --locoid 4017 --swversion DE.1.0.9.0 --startMP 204:233000 --initTime 2017-09-22T15:26:53 --startdatetime 2017-09-22T15:42:17 --delay 58 --endMP 204:160 --enddatetime 2017-09-22T16:19:23 --enforcementcount 0 &gt;&gt;c:\users\stu\Documents\GitHub\eaglep3-reporting\EC\2017-09-22-refined-times.txt</v>
      </c>
      <c r="AI103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{"issue":{"subject":"","project_id":79,"tracker_id":40,"status_id":1,"priority_id":2,"assigned_to_id":338,"start_date":"2017-09-22","description":"","custom_fields":[{"id":1,"name":"Subdivision","value":"EC"},{"id":4,"name":"Milepost","value":"0.016"},{"id":17,"name":"Train ID","value":"190-22"},{"id":16,"name":"Locomotive ID","value":"4017"},{"id":130,"name":"Impact","value":""},{"id":150,"name":"Time of Event (Mountain Time)","value":"16:19:23"},{"id":151,"name":"Denver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4"/>
        <v>start /low /b %USERPROFILE%\Documents\GitHub\eaglep3\Utilities\DownloadLogsFromS3.py --loco 4017 --day 2017-09-22</v>
      </c>
      <c r="AN103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22:19:23"},{"id":29,"name":"Sharepoint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46"/>
        <v>https://d0f6bd738d7f1b3e5a7ca70fe4ff75f0.us-east-1.aws.found.io/app/kibana#/discover/Steve-Slow-Train-Analysis-(2080s-and-2083s)?_g=(refreshInterval:(display:Off,pause:!f,section:0,value:0),time:(from:'2017-09-22T14:26:53-0600',mode:absolute,to:'2017-09-22T17:19:23-0600'))&amp;_a=(columns:!('Message%20ID',Summary),filters:!(),index:'emp_*',interval:auto,query:(query_string:(analyze_wildcard:!t,query:'Message%5C+ID:(*)+AND+%22rtdc.l.rtdc.4017%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739</v>
      </c>
      <c r="B104" s="7">
        <v>4032</v>
      </c>
      <c r="C104" s="21" t="s">
        <v>196</v>
      </c>
      <c r="D104" s="21" t="s">
        <v>431</v>
      </c>
      <c r="E104" s="13">
        <v>43000.621203703704</v>
      </c>
      <c r="F104" s="13">
        <v>43000.625243055554</v>
      </c>
      <c r="G104" s="7">
        <v>137</v>
      </c>
      <c r="H104" s="21" t="s">
        <v>444</v>
      </c>
      <c r="I104" s="13">
        <v>43000.649895833332</v>
      </c>
      <c r="J104" s="7">
        <v>0</v>
      </c>
      <c r="K104" s="89" t="str">
        <f t="shared" si="30"/>
        <v>4031/4032</v>
      </c>
      <c r="L104" s="185" t="str">
        <f>VLOOKUP(A104,'Trips&amp;Operators'!$C$1:$G$99911,5,FALSE)</f>
        <v>BRUDER RICHARD</v>
      </c>
      <c r="M104" s="6">
        <f t="shared" si="31"/>
        <v>2.4652777778101154E-2</v>
      </c>
      <c r="N104" s="7">
        <f t="shared" si="48"/>
        <v>35.500000000465661</v>
      </c>
      <c r="O104" s="7"/>
      <c r="P104" s="7"/>
      <c r="Q104" s="22"/>
      <c r="R104" s="174"/>
      <c r="S104" s="221">
        <f t="shared" si="47"/>
        <v>1</v>
      </c>
      <c r="T104" s="174" t="str">
        <f t="shared" si="32"/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33"/>
        <v>https://d0f6bd738d7f1b3e5a7ca70fe4ff75f0.us-east-1.aws.found.io/app/kibana#/discover/Steve-Slow-Train-Analysis-(2080s-and-2083s)?_g=(refreshInterval:(display:Off,pause:!f,section:0,value:0),time:(from:'2017-09-22T13:54:32-0600',mode:absolute,to:'2017-09-22T16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4" s="204" t="str">
        <f>IF(AA104&lt;VLOOKUP(AG104,Variables!$AC$3:$AD$8,2,FALSE),"Y","N")</f>
        <v>N</v>
      </c>
      <c r="X104" s="204">
        <f t="shared" si="34"/>
        <v>1</v>
      </c>
      <c r="Y104" s="204">
        <f t="shared" si="35"/>
        <v>4.5699999999999998E-2</v>
      </c>
      <c r="Z104" s="204">
        <f t="shared" si="36"/>
        <v>23.329499999999999</v>
      </c>
      <c r="AA104" s="204">
        <f t="shared" si="37"/>
        <v>23.283799999999999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38"/>
        <v>191</v>
      </c>
      <c r="AE104" s="77" t="str">
        <f t="shared" si="39"/>
        <v>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 &amp; aws s3 cp s3://rtdc.mdm.uploadarchive.raw/RTDC4032/ "%USERPROFILE%\AppData\Local\Temp\OnboardLogs"\RTDC4032\2017-09-23 --exclude "*" --recursive --include "*20170923*" &amp; "%USERPROFILE%\Documents\GitHub\mrs-test-scripts\Headless Mode &amp; Sideloading\WalkAndUnGZ.bat" "%USERPROFILE%\AppData\Local\Temp\OnboardLogs"\RTDC4032\2017-09-23</v>
      </c>
      <c r="AF104" s="74" t="str">
        <f t="shared" si="40"/>
        <v>"C:\Program Files (x86)\AstroGrep\AstroGrep.exe" /e /r /s /spath="%USERPROFILE%\AppData\Local\Temp\OnboardLogs" /stypes="app*4032*20170922*" /stext=" 21:.+((SYSTEM_STATE.+slice.+state.+changed )|(ment ac)|(multiple cpu faults)|(system.+state.+changed )|(\[timeout)|(PRM\|1\|D)|(kpr)|(kdp)|(train st.+moving)|(\|lc)|(penalty))"</v>
      </c>
      <c r="AG104" s="182" t="str">
        <f t="shared" si="41"/>
        <v>EC</v>
      </c>
      <c r="AH104" s="78" t="str">
        <f t="shared" si="42"/>
        <v>"%USERPROFILE%\Documents\GitHub\eaglep3\Utilities\RefineRTDCRunTimes.py" --tripid 191-22 --locoid 4032 --swversion DE.1.0.9.0 --startMP 204:457 --initTime 2017-09-22T14:54:32 --startdatetime 2017-09-22T15:00:21 --delay 137 --endMP 204:233295 --enddatetime 2017-09-22T15:35:51 --enforcementcount 0 &gt;&gt;c:\users\stu\Documents\GitHub\eaglep3-reporting\EC\2017-09-22-refined-times.txt</v>
      </c>
      <c r="AI104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{"issue":{"subject":"","project_id":79,"tracker_id":40,"status_id":1,"priority_id":2,"assigned_to_id":338,"start_date":"2017-09-22","description":"","custom_fields":[{"id":1,"name":"Subdivision","value":"EC"},{"id":4,"name":"Milepost","value":"23.3295"},{"id":17,"name":"Train ID","value":"191-22"},{"id":16,"name":"Locomotive ID","value":"4032"},{"id":130,"name":"Impact","value":""},{"id":150,"name":"Time of Event (Mountain Time)","value":"15:35:51"},{"id":151,"name":"Denver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4"/>
        <v>start /low /b %USERPROFILE%\Documents\GitHub\eaglep3\Utilities\DownloadLogsFromS3.py --loco 4032 --day 2017-09-22</v>
      </c>
      <c r="AN104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21:35:51"},{"id":29,"name":"Sharepoint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46"/>
        <v>https://d0f6bd738d7f1b3e5a7ca70fe4ff75f0.us-east-1.aws.found.io/app/kibana#/discover/Steve-Slow-Train-Analysis-(2080s-and-2083s)?_g=(refreshInterval:(display:Off,pause:!f,section:0,value:0),time:(from:'2017-09-22T13:54:32-0600',mode:absolute,to:'2017-09-22T16:35:51-0600'))&amp;_a=(columns:!('Message%20ID',Summary),filters:!(),index:'emp_*',interval:auto,query:(query_string:(analyze_wildcard:!t,query:'Message%5C+ID:(*)+AND+%22rtdc.l.rtdc.4032%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750</v>
      </c>
      <c r="B105" s="7">
        <v>4031</v>
      </c>
      <c r="C105" s="21" t="s">
        <v>196</v>
      </c>
      <c r="D105" s="21" t="s">
        <v>420</v>
      </c>
      <c r="E105" s="13">
        <v>43000.661504629628</v>
      </c>
      <c r="F105" s="13">
        <v>43000.664768518516</v>
      </c>
      <c r="G105" s="7">
        <v>55</v>
      </c>
      <c r="H105" s="21" t="s">
        <v>341</v>
      </c>
      <c r="I105" s="13">
        <v>43000.690671296295</v>
      </c>
      <c r="J105" s="7">
        <v>0</v>
      </c>
      <c r="K105" s="89" t="str">
        <f t="shared" si="30"/>
        <v>4031/4032</v>
      </c>
      <c r="L105" s="185" t="str">
        <f>VLOOKUP(A105,'Trips&amp;Operators'!$C$1:$G$99911,5,FALSE)</f>
        <v>BRUDER RICHARD</v>
      </c>
      <c r="M105" s="6">
        <f t="shared" si="31"/>
        <v>2.5902777779265307E-2</v>
      </c>
      <c r="N105" s="7">
        <f t="shared" si="48"/>
        <v>37.300000002142042</v>
      </c>
      <c r="O105" s="7"/>
      <c r="P105" s="7"/>
      <c r="Q105" s="22"/>
      <c r="R105" s="174"/>
      <c r="S105" s="221">
        <f t="shared" si="47"/>
        <v>1</v>
      </c>
      <c r="T105" s="174" t="str">
        <f t="shared" si="32"/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33"/>
        <v>https://d0f6bd738d7f1b3e5a7ca70fe4ff75f0.us-east-1.aws.found.io/app/kibana#/discover/Steve-Slow-Train-Analysis-(2080s-and-2083s)?_g=(refreshInterval:(display:Off,pause:!f,section:0,value:0),time:(from:'2017-09-22T14:52:34-0600',mode:absolute,to:'2017-09-22T17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5" s="204" t="str">
        <f>IF(AA105&lt;VLOOKUP(AG105,Variables!$AC$3:$AD$8,2,FALSE),"Y","N")</f>
        <v>N</v>
      </c>
      <c r="X105" s="204">
        <f t="shared" si="34"/>
        <v>1</v>
      </c>
      <c r="Y105" s="204">
        <f t="shared" si="35"/>
        <v>23.299299999999999</v>
      </c>
      <c r="Z105" s="204">
        <f t="shared" si="36"/>
        <v>1.47E-2</v>
      </c>
      <c r="AA105" s="204">
        <f t="shared" si="37"/>
        <v>23.284599999999998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38"/>
        <v>192</v>
      </c>
      <c r="AE105" s="77" t="str">
        <f t="shared" si="39"/>
        <v>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 &amp; aws s3 cp s3://rtdc.mdm.uploadarchive.raw/RTDC4031/ "%USERPROFILE%\AppData\Local\Temp\OnboardLogs"\RTDC4031\2017-09-23 --exclude "*" --recursive --include "*20170923*" &amp; "%USERPROFILE%\Documents\GitHub\mrs-test-scripts\Headless Mode &amp; Sideloading\WalkAndUnGZ.bat" "%USERPROFILE%\AppData\Local\Temp\OnboardLogs"\RTDC4031\2017-09-23</v>
      </c>
      <c r="AF105" s="74" t="str">
        <f t="shared" si="40"/>
        <v>"C:\Program Files (x86)\AstroGrep\AstroGrep.exe" /e /r /s /spath="%USERPROFILE%\AppData\Local\Temp\OnboardLogs" /stypes="app*4031*20170922*" /stext=" 22:.+((SYSTEM_STATE.+slice.+state.+changed )|(ment ac)|(multiple cpu faults)|(system.+state.+changed )|(\[timeout)|(PRM\|1\|D)|(kpr)|(kdp)|(train st.+moving)|(\|lc)|(penalty))"</v>
      </c>
      <c r="AG105" s="182" t="str">
        <f t="shared" si="41"/>
        <v>EC</v>
      </c>
      <c r="AH105" s="78" t="str">
        <f t="shared" si="42"/>
        <v>"%USERPROFILE%\Documents\GitHub\eaglep3\Utilities\RefineRTDCRunTimes.py" --tripid 192-22 --locoid 4031 --swversion DE.1.0.9.0 --startMP 204:232993 --initTime 2017-09-22T15:52:34 --startdatetime 2017-09-22T15:57:16 --delay 55 --endMP 204:147 --enddatetime 2017-09-22T16:34:34 --enforcementcount 0 &gt;&gt;c:\users\stu\Documents\GitHub\eaglep3-reporting\EC\2017-09-22-refined-times.txt</v>
      </c>
      <c r="AI105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{"issue":{"subject":"","project_id":79,"tracker_id":40,"status_id":1,"priority_id":2,"assigned_to_id":338,"start_date":"2017-09-22","description":"","custom_fields":[{"id":1,"name":"Subdivision","value":"EC"},{"id":4,"name":"Milepost","value":"0.0147"},{"id":17,"name":"Train ID","value":"192-22"},{"id":16,"name":"Locomotive ID","value":"4031"},{"id":130,"name":"Impact","value":""},{"id":150,"name":"Time of Event (Mountain Time)","value":"16:34:34"},{"id":151,"name":"Denver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4"/>
        <v>start /low /b %USERPROFILE%\Documents\GitHub\eaglep3\Utilities\DownloadLogsFromS3.py --loco 4031 --day 2017-09-22</v>
      </c>
      <c r="AN105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22:34:34"},{"id":29,"name":"Sharepoint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46"/>
        <v>https://d0f6bd738d7f1b3e5a7ca70fe4ff75f0.us-east-1.aws.found.io/app/kibana#/discover/Steve-Slow-Train-Analysis-(2080s-and-2083s)?_g=(refreshInterval:(display:Off,pause:!f,section:0,value:0),time:(from:'2017-09-22T14:52:34-0600',mode:absolute,to:'2017-09-22T17:34:34-0600'))&amp;_a=(columns:!('Message%20ID',Summary),filters:!(),index:'emp_*',interval:auto,query:(query_string:(analyze_wildcard:!t,query:'Message%5C+ID:(*)+AND+%22rtdc.l.rtdc.4031%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742</v>
      </c>
      <c r="B106" s="7">
        <v>4002</v>
      </c>
      <c r="C106" s="21" t="s">
        <v>196</v>
      </c>
      <c r="D106" s="21" t="s">
        <v>557</v>
      </c>
      <c r="E106" s="13">
        <v>43000.629560185182</v>
      </c>
      <c r="F106" s="13">
        <v>43000.635601851849</v>
      </c>
      <c r="G106" s="7">
        <v>173</v>
      </c>
      <c r="H106" s="21" t="s">
        <v>549</v>
      </c>
      <c r="I106" s="13">
        <v>43000.660266203704</v>
      </c>
      <c r="J106" s="7">
        <v>0</v>
      </c>
      <c r="K106" s="89" t="str">
        <f t="shared" si="30"/>
        <v>4001/4002</v>
      </c>
      <c r="L106" s="185" t="str">
        <f>VLOOKUP(A106,'Trips&amp;Operators'!$C$1:$G$99911,5,FALSE)</f>
        <v>DELGADO DIANAH</v>
      </c>
      <c r="M106" s="6">
        <f t="shared" si="31"/>
        <v>2.4664351854880806E-2</v>
      </c>
      <c r="N106" s="7">
        <f t="shared" si="48"/>
        <v>35.516666671028361</v>
      </c>
      <c r="O106" s="7"/>
      <c r="P106" s="7"/>
      <c r="Q106" s="22"/>
      <c r="R106" s="174"/>
      <c r="S106" s="221">
        <f t="shared" si="47"/>
        <v>1</v>
      </c>
      <c r="T106" s="174" t="str">
        <f t="shared" si="32"/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33"/>
        <v>https://d0f6bd738d7f1b3e5a7ca70fe4ff75f0.us-east-1.aws.found.io/app/kibana#/discover/Steve-Slow-Train-Analysis-(2080s-and-2083s)?_g=(refreshInterval:(display:Off,pause:!f,section:0,value:0),time:(from:'2017-09-22T14:06:34-0600',mode:absolute,to:'2017-09-22T16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6" s="204" t="str">
        <f>IF(AA106&lt;VLOOKUP(AG106,Variables!$AC$3:$AD$8,2,FALSE),"Y","N")</f>
        <v>N</v>
      </c>
      <c r="X106" s="204">
        <f t="shared" si="34"/>
        <v>1</v>
      </c>
      <c r="Y106" s="204">
        <f t="shared" si="35"/>
        <v>4.24E-2</v>
      </c>
      <c r="Z106" s="204">
        <f t="shared" si="36"/>
        <v>23.328399999999998</v>
      </c>
      <c r="AA106" s="204">
        <f t="shared" si="37"/>
        <v>23.285999999999998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38"/>
        <v>193</v>
      </c>
      <c r="AE106" s="77" t="str">
        <f t="shared" si="39"/>
        <v>aws s3 cp s3://rtdc.mdm.uploadarchive.raw/RTDC4002/ "%USERPROFILE%\AppData\Local\Temp\OnboardLogs"\RTDC4002\2017-09-22 --exclude "*" --recursive --include "*20170922*" &amp; "%USERPROFILE%\Documents\GitHub\mrs-test-scripts\Headless Mode &amp; Sideloading\WalkAndUnGZ.bat" "%USERPROFILE%\AppData\Local\Temp\OnboardLogs"\RTDC4002\2017-09-22 &amp; 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</v>
      </c>
      <c r="AF106" s="74" t="str">
        <f t="shared" si="40"/>
        <v>"C:\Program Files (x86)\AstroGrep\AstroGrep.exe" /e /r /s /spath="%USERPROFILE%\AppData\Local\Temp\OnboardLogs" /stypes="app*4002*20170922*" /stext=" 21:.+((SYSTEM_STATE.+slice.+state.+changed )|(ment ac)|(multiple cpu faults)|(system.+state.+changed )|(\[timeout)|(PRM\|1\|D)|(kpr)|(kdp)|(train st.+moving)|(\|lc)|(penalty))"</v>
      </c>
      <c r="AG106" s="182" t="str">
        <f t="shared" si="41"/>
        <v>EC</v>
      </c>
      <c r="AH106" s="78" t="str">
        <f t="shared" si="42"/>
        <v>"%USERPROFILE%\Documents\GitHub\eaglep3\Utilities\RefineRTDCRunTimes.py" --tripid 193-22 --locoid 4002 --swversion DE.1.0.9.0 --startMP 204:424 --initTime 2017-09-22T15:06:34 --startdatetime 2017-09-22T15:15:16 --delay 173 --endMP 204:233284 --enddatetime 2017-09-22T15:50:47 --enforcementcount 0 &gt;&gt;c:\users\stu\Documents\GitHub\eaglep3-reporting\EC\2017-09-22-refined-times.txt</v>
      </c>
      <c r="AI106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{"issue":{"subject":"","project_id":79,"tracker_id":40,"status_id":1,"priority_id":2,"assigned_to_id":338,"start_date":"2017-09-22","description":"","custom_fields":[{"id":1,"name":"Subdivision","value":"EC"},{"id":4,"name":"Milepost","value":"23.3284"},{"id":17,"name":"Train ID","value":"193-22"},{"id":16,"name":"Locomotive ID","value":"4002"},{"id":130,"name":"Impact","value":""},{"id":150,"name":"Time of Event (Mountain Time)","value":"15:50:47"},{"id":151,"name":"Denver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4"/>
        <v>start /low /b %USERPROFILE%\Documents\GitHub\eaglep3\Utilities\DownloadLogsFromS3.py --loco 4002 --day 2017-09-22</v>
      </c>
      <c r="AN106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21:50:47"},{"id":29,"name":"Sharepoint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46"/>
        <v>https://d0f6bd738d7f1b3e5a7ca70fe4ff75f0.us-east-1.aws.found.io/app/kibana#/discover/Steve-Slow-Train-Analysis-(2080s-and-2083s)?_g=(refreshInterval:(display:Off,pause:!f,section:0,value:0),time:(from:'2017-09-22T14:06:34-0600',mode:absolute,to:'2017-09-22T16:50:47-0600'))&amp;_a=(columns:!('Message%20ID',Summary),filters:!(),index:'emp_*',interval:auto,query:(query_string:(analyze_wildcard:!t,query:'Message%5C+ID:(*)+AND+%22rtdc.l.rtdc.4002%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753</v>
      </c>
      <c r="B107" s="7">
        <v>4001</v>
      </c>
      <c r="C107" s="21" t="s">
        <v>196</v>
      </c>
      <c r="D107" s="21" t="s">
        <v>557</v>
      </c>
      <c r="E107" s="13">
        <v>43000.629560185182</v>
      </c>
      <c r="F107" s="13">
        <v>43000.675173611111</v>
      </c>
      <c r="G107" s="7">
        <v>173</v>
      </c>
      <c r="H107" s="21" t="s">
        <v>549</v>
      </c>
      <c r="I107" s="13">
        <v>43000.700335648151</v>
      </c>
      <c r="J107" s="7">
        <v>0</v>
      </c>
      <c r="K107" s="89" t="str">
        <f t="shared" si="30"/>
        <v>4001/4002</v>
      </c>
      <c r="L107" s="185" t="str">
        <f>VLOOKUP(A107,'Trips&amp;Operators'!$C$1:$G$99911,5,FALSE)</f>
        <v>DELGADO DIANAH</v>
      </c>
      <c r="M107" s="6">
        <f t="shared" si="31"/>
        <v>2.5162037039990537E-2</v>
      </c>
      <c r="N107" s="7">
        <f t="shared" si="48"/>
        <v>36.233333337586373</v>
      </c>
      <c r="O107" s="7"/>
      <c r="P107" s="7"/>
      <c r="Q107" s="22"/>
      <c r="R107" s="174"/>
      <c r="S107" s="221">
        <f t="shared" si="47"/>
        <v>1</v>
      </c>
      <c r="T107" s="174" t="str">
        <f t="shared" si="32"/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33"/>
        <v>https://d0f6bd738d7f1b3e5a7ca70fe4ff75f0.us-east-1.aws.found.io/app/kibana#/discover/Steve-Slow-Train-Analysis-(2080s-and-2083s)?_g=(refreshInterval:(display:Off,pause:!f,section:0,value:0),time:(from:'2017-09-22T14:06:34-0600',mode:absolute,to:'2017-09-22T17:48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7" s="204" t="str">
        <f>IF(AA107&lt;VLOOKUP(AG107,Variables!$AC$3:$AD$8,2,FALSE),"Y","N")</f>
        <v>N</v>
      </c>
      <c r="X107" s="204">
        <f t="shared" si="34"/>
        <v>1</v>
      </c>
      <c r="Y107" s="204">
        <v>23.299299999999999</v>
      </c>
      <c r="Z107" s="204">
        <v>1.47E-2</v>
      </c>
      <c r="AA107" s="204">
        <f t="shared" si="37"/>
        <v>23.284599999999998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38"/>
        <v>194</v>
      </c>
      <c r="AE107" s="77" t="str">
        <f t="shared" si="39"/>
        <v>aws s3 cp s3://rtdc.mdm.uploadarchive.raw/RTDC4001/ "%USERPROFILE%\AppData\Local\Temp\OnboardLogs"\RTDC4001\2017-09-22 --exclude "*" --recursive --include "*20170922*" &amp; "%USERPROFILE%\Documents\GitHub\mrs-test-scripts\Headless Mode &amp; Sideloading\WalkAndUnGZ.bat" "%USERPROFILE%\AppData\Local\Temp\OnboardLogs"\RTDC4001\2017-09-22 &amp; 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</v>
      </c>
      <c r="AF107" s="74" t="str">
        <f t="shared" si="40"/>
        <v>"C:\Program Files (x86)\AstroGrep\AstroGrep.exe" /e /r /s /spath="%USERPROFILE%\AppData\Local\Temp\OnboardLogs" /stypes="app*4001*20170922*" /stext=" 22:.+((SYSTEM_STATE.+slice.+state.+changed )|(ment ac)|(multiple cpu faults)|(system.+state.+changed )|(\[timeout)|(PRM\|1\|D)|(kpr)|(kdp)|(train st.+moving)|(\|lc)|(penalty))"</v>
      </c>
      <c r="AG107" s="182" t="str">
        <f t="shared" si="41"/>
        <v>EC</v>
      </c>
      <c r="AH107" s="78" t="str">
        <f t="shared" ref="AH107" si="49">refinertdcruntimes&amp;" --tripid "&amp;A107&amp;" --locoid "&amp;B107&amp;" --swversion "&amp;C107&amp;" --startMP "&amp;D107&amp;" --initTime "&amp;TEXT(E107,"yyyy-mm-ddTHH:MM:SS")&amp;" --startdatetime "&amp;TEXT(F107,"yyyy-mm-ddTHH:MM:SS")&amp;" --delay "&amp;G107&amp;" --endMP "&amp;H107&amp;" --enddatetime "&amp;TEXT(I107,"yyyy-mm-ddTHH:MM:SS")&amp;" --enforcementcount "&amp;J107&amp;IF(outputrefinedruntimes," &gt;&gt;"&amp;RefinedRTDCRunTimesOutputFile,"")</f>
        <v>"%USERPROFILE%\Documents\GitHub\eaglep3\Utilities\RefineRTDCRunTimes.py" --tripid 194-22 --locoid 4001 --swversion DE.1.0.9.0 --startMP 204:424 --initTime 2017-09-22T15:06:34 --startdatetime 2017-09-22T16:12:15 --delay 173 --endMP 204:233284 --enddatetime 2017-09-22T16:48:29 --enforcementcount 0 &gt;&gt;c:\users\stu\Documents\GitHub\eaglep3-reporting\EC\2017-09-22-refined-times.txt</v>
      </c>
      <c r="AI107" s="96" t="str">
        <f t="shared" ref="AI107" si="50">"echo {""issue"":{""subject"":"""&amp;R107&amp;""",""project_id"":79,""tracker_id"":40,""status_id"":"&amp;redmine_status&amp;",""priority_id"":"&amp;redmine_priority&amp;",""assigned_to_id"":"&amp;redmine_assignee&amp;",""start_date"":"""&amp;TEXT(I107,"YYYY-mm-dd")&amp;""",""description"":"""&amp;AJ107&amp;""",""custom_fields"":[{""id"":1,""name"":""Subdivision"",""value"":"""&amp;AG107&amp;"""},{""id"":4,""name"":""Milepost"",""value"":"""&amp;Z107&amp;"""},{""id"":17,""name"":""Train ID"",""value"":"""&amp;A107&amp;"""},{""id"":16,""name"":""Locomotive ID"",""value"":"""&amp;B107&amp;"""},{""id"":130,""name"":""Impact"",""value"":"""&amp;AK107&amp;"""},{""id"":150,""name"":""Time of Event (Mountain Time)"",""value"":"""&amp;TEXT(I107,"hh:mm:ss")&amp;"""},{""id"":151,""name"":""Denver Issue ID"",""value"":"""&amp;"""},{""id"":178,""name"":""Operational Impact"",""value"":"""&amp;redmine_op_impact&amp;"""},{""id"":179,""name"":""Denver Segment Assigned"",""value"":"""&amp;AL107&amp;"""}]}}"&amp;"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{"issue":{"subject":"","project_id":79,"tracker_id":40,"status_id":1,"priority_id":2,"assigned_to_id":338,"start_date":"2017-09-22","description":"","custom_fields":[{"id":1,"name":"Subdivision","value":"EC"},{"id":4,"name":"Milepost","value":"0.0147"},{"id":17,"name":"Train ID","value":"194-22"},{"id":16,"name":"Locomotive ID","value":"4001"},{"id":130,"name":"Impact","value":""},{"id":150,"name":"Time of Event (Mountain Time)","value":"16:48:29"},{"id":151,"name":"Denver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ref="AM107" si="51">"start /low /b "&amp;dls3logs&amp;" --loco "&amp;B107&amp;" --day "&amp;TEXT(F107,"YYYY-MM-DD")</f>
        <v>start /low /b %USERPROFILE%\Documents\GitHub\eaglep3\Utilities\DownloadLogsFromS3.py --loco 4001 --day 2017-09-22</v>
      </c>
      <c r="AN107" s="151" t="str">
        <f t="shared" ref="AN107" si="52">"echo {""issue"":{""subject"":"""&amp;R107&amp;""",""project_id"":30,""tracker_id"":4,""status_id"":"&amp;redmine_status_wcr&amp;",""priority_id"":"&amp;redmine_priority_wcr&amp;",""assigned_to_id"":"&amp;redmine_assignee_wcr&amp;",""start_date"":"""&amp;TEXT(I107-utc_offset/24,"YYYY-mm-dd")&amp;""",""description"":"""&amp;AJ107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22:48:29"},{"id":29,"name":"Sharepoint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ref="AO107" si="53"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Message%20ID',Summary),filters:!(),index:'emp_*',interval:auto,query:"&amp;"(query_string:(analyze_wildcard:!t,query:'Message%5C+ID:(*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-09-22T14:06:34-0600',mode:absolute,to:'2017-09-22T17:48:29-0600'))&amp;_a=(columns:!('Message%20ID',Summary),filters:!(),index:'emp_*',interval:auto,query:(query_string:(analyze_wildcard:!t,query:'Message%5C+ID:(*)+AND+%22rtdc.l.rtdc.4001%22')),sort:!(Time.ISO8601,asc))</v>
      </c>
    </row>
    <row r="108" spans="1:91" s="20" customFormat="1" x14ac:dyDescent="0.25">
      <c r="A108" s="32" t="s">
        <v>598</v>
      </c>
      <c r="B108" s="7">
        <v>4064</v>
      </c>
      <c r="C108" s="21" t="s">
        <v>196</v>
      </c>
      <c r="D108" s="21" t="s">
        <v>851</v>
      </c>
      <c r="E108" s="13">
        <v>43000.639907407407</v>
      </c>
      <c r="F108" s="13">
        <v>43000.645972222221</v>
      </c>
      <c r="G108" s="7">
        <v>48</v>
      </c>
      <c r="H108" s="21" t="s">
        <v>866</v>
      </c>
      <c r="I108" s="13">
        <v>43000.671307870369</v>
      </c>
      <c r="J108" s="7">
        <v>0</v>
      </c>
      <c r="K108" s="89" t="str">
        <f t="shared" si="30"/>
        <v>4063/4064</v>
      </c>
      <c r="L108" s="185" t="str">
        <f>VLOOKUP(A108,'Trips&amp;Operators'!$C$1:$G$99911,5,FALSE)</f>
        <v>FORTUNATO FRANK</v>
      </c>
      <c r="M108" s="6">
        <f t="shared" si="31"/>
        <v>2.5335648148029577E-2</v>
      </c>
      <c r="N108" s="7">
        <f t="shared" si="48"/>
        <v>36.483333333162591</v>
      </c>
      <c r="O108" s="7"/>
      <c r="P108" s="7"/>
      <c r="Q108" s="22"/>
      <c r="R108" s="174" t="s">
        <v>983</v>
      </c>
      <c r="S108" s="221">
        <f t="shared" si="47"/>
        <v>1</v>
      </c>
      <c r="T108" s="174" t="str">
        <f t="shared" si="32"/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33"/>
        <v>https://d0f6bd738d7f1b3e5a7ca70fe4ff75f0.us-east-1.aws.found.io/app/kibana#/discover/Steve-Slow-Train-Analysis-(2080s-and-2083s)?_g=(refreshInterval:(display:Off,pause:!f,section:0,value:0),time:(from:'2017-09-22T14:21:28-0600',mode:absolute,to:'2017-09-22T17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8" s="204" t="str">
        <f>IF(AA108&lt;VLOOKUP(AG108,Variables!$AC$3:$AD$8,2,FALSE),"Y","N")</f>
        <v>N</v>
      </c>
      <c r="X108" s="204">
        <f t="shared" si="34"/>
        <v>1</v>
      </c>
      <c r="Y108" s="204">
        <f t="shared" ref="Y108:Y139" si="54">RIGHT(D108,LEN(D108)-4)/10000</f>
        <v>4.3499999999999997E-2</v>
      </c>
      <c r="Z108" s="204">
        <f t="shared" ref="Z108:Z139" si="55">RIGHT(H108,LEN(H108)-4)/10000</f>
        <v>23.332899999999999</v>
      </c>
      <c r="AA108" s="204">
        <f t="shared" si="37"/>
        <v>23.289399999999997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38"/>
        <v>195</v>
      </c>
      <c r="AE108" s="77" t="str">
        <f t="shared" si="39"/>
        <v>aws s3 cp s3://rtdc.mdm.uploadarchive.raw/RTDC4064/ "%USERPROFILE%\AppData\Local\Temp\OnboardLogs"\RTDC4064\2017-09-22 --exclude "*" --recursive --include "*20170922*" &amp; "%USERPROFILE%\Documents\GitHub\mrs-test-scripts\Headless Mode &amp; Sideloading\WalkAndUnGZ.bat" "%USERPROFILE%\AppData\Local\Temp\OnboardLogs"\RTDC4064\2017-09-22 &amp; aws s3 cp s3://rtdc.mdm.uploadarchive.raw/RTDC4064/ "%USERPROFILE%\AppData\Local\Temp\OnboardLogs"\RTDC4064\2017-09-23 --exclude "*" --recursive --include "*20170923*" &amp; "%USERPROFILE%\Documents\GitHub\mrs-test-scripts\Headless Mode &amp; Sideloading\WalkAndUnGZ.bat" "%USERPROFILE%\AppData\Local\Temp\OnboardLogs"\RTDC4064\2017-09-23</v>
      </c>
      <c r="AF108" s="74" t="str">
        <f t="shared" si="40"/>
        <v>"C:\Program Files (x86)\AstroGrep\AstroGrep.exe" /e /r /s /spath="%USERPROFILE%\AppData\Local\Temp\OnboardLogs" /stypes="app*4064*20170922*" /stext=" 22:.+((SYSTEM_STATE.+slice.+state.+changed )|(ment ac)|(multiple cpu faults)|(system.+state.+changed )|(\[timeout)|(PRM\|1\|D)|(kpr)|(kdp)|(train st.+moving)|(\|lc)|(penalty))"</v>
      </c>
      <c r="AG108" s="182" t="str">
        <f t="shared" si="41"/>
        <v>EC</v>
      </c>
      <c r="AH108" s="78" t="str">
        <f t="shared" si="42"/>
        <v>"%USERPROFILE%\Documents\GitHub\eaglep3\Utilities\RefineRTDCRunTimes.py" --tripid 195-22 --locoid 4064 --swversion DE.1.0.9.0 --startMP 204:435 --initTime 2017-09-22T15:21:28 --startdatetime 2017-09-22T15:30:12 --delay 48 --endMP 204:233329 --enddatetime 2017-09-22T16:06:41 --enforcementcount 0 &gt;&gt;c:\users\stu\Documents\GitHub\eaglep3-reporting\EC\2017-09-22-refined-times.txt</v>
      </c>
      <c r="AI108" s="96" t="str">
        <f t="shared" si="43"/>
        <v>echo {"issue":{"subject":"Braking without banner","project_id":79,"tracker_id":40,"status_id":1,"priority_id":2,"assigned_to_id":338,"start_date":"2017-09-22","description":"","custom_fields":[{"id":1,"name":"Subdivision","value":"EC"},{"id":4,"name":"Milepost","value":"23.3329"},{"id":17,"name":"Train ID","value":"195-22"},{"id":16,"name":"Locomotive ID","value":"4064"},{"id":130,"name":"Impact","value":""},{"id":150,"name":"Time of Event (Mountain Time)","value":"16:06:41"},{"id":151,"name":"Denver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4"/>
        <v>start /low /b %USERPROFILE%\Documents\GitHub\eaglep3\Utilities\DownloadLogsFromS3.py --loco 4064 --day 2017-09-22</v>
      </c>
      <c r="AN108" s="151" t="str">
        <f t="shared" si="45"/>
        <v>echo {"issue":{"subject":"Braking without banner","project_id":30,"tracker_id":4,"status_id":1,"priority_id":1,"assigned_to_id":10,"start_date":"2017-09-22","description":"","custom_fields":[{"id":30,"name":"Category","value":"Issue"},{"id":3,"name":"Functional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22:06:41"},{"id":29,"name":"Sharepoint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46"/>
        <v>https://d0f6bd738d7f1b3e5a7ca70fe4ff75f0.us-east-1.aws.found.io/app/kibana#/discover/Steve-Slow-Train-Analysis-(2080s-and-2083s)?_g=(refreshInterval:(display:Off,pause:!f,section:0,value:0),time:(from:'2017-09-22T14:21:28-0600',mode:absolute,to:'2017-09-22T17:06:41-0600'))&amp;_a=(columns:!('Message%20ID',Summary),filters:!(),index:'emp_*',interval:auto,query:(query_string:(analyze_wildcard:!t,query:'Message%5C+ID:(*)+AND+%22rtdc.l.rtdc.4064%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755</v>
      </c>
      <c r="B109" s="7">
        <v>4063</v>
      </c>
      <c r="C109" s="21" t="s">
        <v>196</v>
      </c>
      <c r="D109" s="21" t="s">
        <v>867</v>
      </c>
      <c r="E109" s="13">
        <v>43000.674340277779</v>
      </c>
      <c r="F109" s="13">
        <v>43000.685555555552</v>
      </c>
      <c r="G109" s="7">
        <v>53</v>
      </c>
      <c r="H109" s="21" t="s">
        <v>362</v>
      </c>
      <c r="I109" s="13">
        <v>43000.712604166663</v>
      </c>
      <c r="J109" s="7">
        <v>0</v>
      </c>
      <c r="K109" s="89" t="str">
        <f t="shared" si="30"/>
        <v>4063/4064</v>
      </c>
      <c r="L109" s="185" t="str">
        <f>VLOOKUP(A109,'Trips&amp;Operators'!$C$1:$G$99911,5,FALSE)</f>
        <v>FORTUNATO FRANK</v>
      </c>
      <c r="M109" s="6">
        <f t="shared" si="31"/>
        <v>2.7048611111240461E-2</v>
      </c>
      <c r="N109" s="7">
        <f t="shared" si="48"/>
        <v>38.950000000186265</v>
      </c>
      <c r="O109" s="7"/>
      <c r="P109" s="7"/>
      <c r="Q109" s="22"/>
      <c r="R109" s="174"/>
      <c r="S109" s="221">
        <f t="shared" si="47"/>
        <v>1</v>
      </c>
      <c r="T109" s="174" t="str">
        <f t="shared" si="32"/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33"/>
        <v>https://d0f6bd738d7f1b3e5a7ca70fe4ff75f0.us-east-1.aws.found.io/app/kibana#/discover/Steve-Slow-Train-Analysis-(2080s-and-2083s)?_g=(refreshInterval:(display:Off,pause:!f,section:0,value:0),time:(from:'2017-09-22T15:11:03-0600',mode:absolute,to:'2017-09-22T18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9" s="204" t="str">
        <f>IF(AA109&lt;VLOOKUP(AG109,Variables!$AC$3:$AD$8,2,FALSE),"Y","N")</f>
        <v>N</v>
      </c>
      <c r="X109" s="204">
        <f t="shared" ref="X109:X140" si="56">VALUE(LEFT(AD109,4))-VALUE(LEFT(AD108,4))</f>
        <v>1</v>
      </c>
      <c r="Y109" s="204">
        <f t="shared" si="54"/>
        <v>23.3017</v>
      </c>
      <c r="Z109" s="204">
        <f t="shared" si="55"/>
        <v>1.38E-2</v>
      </c>
      <c r="AA109" s="204">
        <f t="shared" si="37"/>
        <v>23.2879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si="38"/>
        <v>196</v>
      </c>
      <c r="AE109" s="77" t="str">
        <f t="shared" si="39"/>
        <v>aws s3 cp s3://rtdc.mdm.uploadarchive.raw/RTDC4063/ "%USERPROFILE%\AppData\Local\Temp\OnboardLogs"\RTDC4063\2017-09-22 --exclude "*" --recursive --include "*20170922*" &amp; "%USERPROFILE%\Documents\GitHub\mrs-test-scripts\Headless Mode &amp; Sideloading\WalkAndUnGZ.bat" "%USERPROFILE%\AppData\Local\Temp\OnboardLogs"\RTDC4063\2017-09-22 &amp; aws s3 cp s3://rtdc.mdm.uploadarchive.raw/RTDC4063/ "%USERPROFILE%\AppData\Local\Temp\OnboardLogs"\RTDC4063\2017-09-23 --exclude "*" --recursive --include "*20170923*" &amp; "%USERPROFILE%\Documents\GitHub\mrs-test-scripts\Headless Mode &amp; Sideloading\WalkAndUnGZ.bat" "%USERPROFILE%\AppData\Local\Temp\OnboardLogs"\RTDC4063\2017-09-23</v>
      </c>
      <c r="AF109" s="74" t="str">
        <f t="shared" si="40"/>
        <v>"C:\Program Files (x86)\AstroGrep\AstroGrep.exe" /e /r /s /spath="%USERPROFILE%\AppData\Local\Temp\OnboardLogs" /stypes="app*4063*20170922*" /stext=" 23:.+((SYSTEM_STATE.+slice.+state.+changed )|(ment ac)|(multiple cpu faults)|(system.+state.+changed )|(\[timeout)|(PRM\|1\|D)|(kpr)|(kdp)|(train st.+moving)|(\|lc)|(penalty))"</v>
      </c>
      <c r="AG109" s="182" t="str">
        <f t="shared" si="41"/>
        <v>EC</v>
      </c>
      <c r="AH109" s="78" t="str">
        <f t="shared" si="42"/>
        <v>"%USERPROFILE%\Documents\GitHub\eaglep3\Utilities\RefineRTDCRunTimes.py" --tripid 196-22 --locoid 4063 --swversion DE.1.0.9.0 --startMP 204:233017 --initTime 2017-09-22T16:11:03 --startdatetime 2017-09-22T16:27:12 --delay 53 --endMP 204:138 --enddatetime 2017-09-22T17:06:09 --enforcementcount 0 &gt;&gt;c:\users\stu\Documents\GitHub\eaglep3-reporting\EC\2017-09-22-refined-times.txt</v>
      </c>
      <c r="AI109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{"issue":{"subject":"","project_id":79,"tracker_id":40,"status_id":1,"priority_id":2,"assigned_to_id":338,"start_date":"2017-09-22","description":"","custom_fields":[{"id":1,"name":"Subdivision","value":"EC"},{"id":4,"name":"Milepost","value":"0.0138"},{"id":17,"name":"Train ID","value":"196-22"},{"id":16,"name":"Locomotive ID","value":"4063"},{"id":130,"name":"Impact","value":""},{"id":150,"name":"Time of Event (Mountain Time)","value":"17:06:09"},{"id":151,"name":"Denver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4"/>
        <v>start /low /b %USERPROFILE%\Documents\GitHub\eaglep3\Utilities\DownloadLogsFromS3.py --loco 4063 --day 2017-09-22</v>
      </c>
      <c r="AN109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23:06:09"},{"id":29,"name":"Sharepoint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46"/>
        <v>https://d0f6bd738d7f1b3e5a7ca70fe4ff75f0.us-east-1.aws.found.io/app/kibana#/discover/Steve-Slow-Train-Analysis-(2080s-and-2083s)?_g=(refreshInterval:(display:Off,pause:!f,section:0,value:0),time:(from:'2017-09-22T15:11:03-0600',mode:absolute,to:'2017-09-22T18:06:09-0600'))&amp;_a=(columns:!('Message%20ID',Summary),filters:!(),index:'emp_*',interval:auto,query:(query_string:(analyze_wildcard:!t,query:'Message%5C+ID:(*)+AND+%22rtdc.l.rtdc.4063%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749</v>
      </c>
      <c r="B110" s="7">
        <v>4062</v>
      </c>
      <c r="C110" s="21" t="s">
        <v>196</v>
      </c>
      <c r="D110" s="21" t="s">
        <v>398</v>
      </c>
      <c r="E110" s="13">
        <v>43000.652638888889</v>
      </c>
      <c r="F110" s="13">
        <v>43000.656412037039</v>
      </c>
      <c r="G110" s="7">
        <v>70</v>
      </c>
      <c r="H110" s="21" t="s">
        <v>868</v>
      </c>
      <c r="I110" s="13">
        <v>43000.681574074071</v>
      </c>
      <c r="J110" s="7">
        <v>0</v>
      </c>
      <c r="K110" s="89" t="str">
        <f t="shared" si="30"/>
        <v>4061/4062</v>
      </c>
      <c r="L110" s="185" t="str">
        <f>VLOOKUP(A110,'Trips&amp;Operators'!$C$1:$G$99911,5,FALSE)</f>
        <v>LEVIN SCOTT</v>
      </c>
      <c r="M110" s="6">
        <f t="shared" si="31"/>
        <v>2.5162037032714579E-2</v>
      </c>
      <c r="N110" s="7">
        <f t="shared" si="48"/>
        <v>36.233333327108994</v>
      </c>
      <c r="O110" s="7"/>
      <c r="P110" s="7"/>
      <c r="Q110" s="22"/>
      <c r="R110" s="174"/>
      <c r="S110" s="221">
        <f t="shared" si="47"/>
        <v>1</v>
      </c>
      <c r="T110" s="174" t="str">
        <f t="shared" si="32"/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33"/>
        <v>https://d0f6bd738d7f1b3e5a7ca70fe4ff75f0.us-east-1.aws.found.io/app/kibana#/discover/Steve-Slow-Train-Analysis-(2080s-and-2083s)?_g=(refreshInterval:(display:Off,pause:!f,section:0,value:0),time:(from:'2017-09-22T14:39:48-0600',mode:absolute,to:'2017-09-22T17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0" s="204" t="str">
        <f>IF(AA110&lt;VLOOKUP(AG110,Variables!$AC$3:$AD$8,2,FALSE),"Y","N")</f>
        <v>N</v>
      </c>
      <c r="X110" s="204">
        <f t="shared" si="56"/>
        <v>1</v>
      </c>
      <c r="Y110" s="204">
        <f t="shared" si="54"/>
        <v>4.7100000000000003E-2</v>
      </c>
      <c r="Z110" s="204">
        <f t="shared" si="55"/>
        <v>23.3322</v>
      </c>
      <c r="AA110" s="204">
        <f t="shared" si="37"/>
        <v>23.2851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38"/>
        <v>197</v>
      </c>
      <c r="AE110" s="77" t="str">
        <f t="shared" si="39"/>
        <v>aws s3 cp s3://rtdc.mdm.uploadarchive.raw/RTDC4062/ "%USERPROFILE%\AppData\Local\Temp\OnboardLogs"\RTDC4062\2017-09-22 --exclude "*" --recursive --include "*20170922*" &amp; "%USERPROFILE%\Documents\GitHub\mrs-test-scripts\Headless Mode &amp; Sideloading\WalkAndUnGZ.bat" "%USERPROFILE%\AppData\Local\Temp\OnboardLogs"\RTDC4062\2017-09-22 &amp; aws s3 cp s3://rtdc.mdm.uploadarchive.raw/RTDC4062/ "%USERPROFILE%\AppData\Local\Temp\OnboardLogs"\RTDC4062\2017-09-23 --exclude "*" --recursive --include "*20170923*" &amp; "%USERPROFILE%\Documents\GitHub\mrs-test-scripts\Headless Mode &amp; Sideloading\WalkAndUnGZ.bat" "%USERPROFILE%\AppData\Local\Temp\OnboardLogs"\RTDC4062\2017-09-23</v>
      </c>
      <c r="AF110" s="74" t="str">
        <f t="shared" si="40"/>
        <v>"C:\Program Files (x86)\AstroGrep\AstroGrep.exe" /e /r /s /spath="%USERPROFILE%\AppData\Local\Temp\OnboardLogs" /stypes="app*4062*20170922*" /stext=" 22:.+((SYSTEM_STATE.+slice.+state.+changed )|(ment ac)|(multiple cpu faults)|(system.+state.+changed )|(\[timeout)|(PRM\|1\|D)|(kpr)|(kdp)|(train st.+moving)|(\|lc)|(penalty))"</v>
      </c>
      <c r="AG110" s="182" t="str">
        <f t="shared" si="41"/>
        <v>EC</v>
      </c>
      <c r="AH110" s="78" t="str">
        <f t="shared" si="42"/>
        <v>"%USERPROFILE%\Documents\GitHub\eaglep3\Utilities\RefineRTDCRunTimes.py" --tripid 197-22 --locoid 4062 --swversion DE.1.0.9.0 --startMP 204:471 --initTime 2017-09-22T15:39:48 --startdatetime 2017-09-22T15:45:14 --delay 70 --endMP 204:233322 --enddatetime 2017-09-22T16:21:28 --enforcementcount 0 &gt;&gt;c:\users\stu\Documents\GitHub\eaglep3-reporting\EC\2017-09-22-refined-times.txt</v>
      </c>
      <c r="AI110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{"issue":{"subject":"","project_id":79,"tracker_id":40,"status_id":1,"priority_id":2,"assigned_to_id":338,"start_date":"2017-09-22","description":"","custom_fields":[{"id":1,"name":"Subdivision","value":"EC"},{"id":4,"name":"Milepost","value":"23.3322"},{"id":17,"name":"Train ID","value":"197-22"},{"id":16,"name":"Locomotive ID","value":"4062"},{"id":130,"name":"Impact","value":""},{"id":150,"name":"Time of Event (Mountain Time)","value":"16:21:28"},{"id":151,"name":"Denver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4"/>
        <v>start /low /b %USERPROFILE%\Documents\GitHub\eaglep3\Utilities\DownloadLogsFromS3.py --loco 4062 --day 2017-09-22</v>
      </c>
      <c r="AN110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22:21:28"},{"id":29,"name":"Sharepoint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46"/>
        <v>https://d0f6bd738d7f1b3e5a7ca70fe4ff75f0.us-east-1.aws.found.io/app/kibana#/discover/Steve-Slow-Train-Analysis-(2080s-and-2083s)?_g=(refreshInterval:(display:Off,pause:!f,section:0,value:0),time:(from:'2017-09-22T14:39:48-0600',mode:absolute,to:'2017-09-22T17:21:28-0600'))&amp;_a=(columns:!('Message%20ID',Summary),filters:!(),index:'emp_*',interval:auto,query:(query_string:(analyze_wildcard:!t,query:'Message%5C+ID:(*)+AND+%22rtdc.l.rtdc.4062%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759</v>
      </c>
      <c r="B111" s="7">
        <v>4061</v>
      </c>
      <c r="C111" s="21" t="s">
        <v>196</v>
      </c>
      <c r="D111" s="21" t="s">
        <v>869</v>
      </c>
      <c r="E111" s="13">
        <v>43000.690324074072</v>
      </c>
      <c r="F111" s="13">
        <v>43000.695983796293</v>
      </c>
      <c r="G111" s="7">
        <v>60</v>
      </c>
      <c r="H111" s="21" t="s">
        <v>337</v>
      </c>
      <c r="I111" s="13">
        <v>43000.721921296295</v>
      </c>
      <c r="J111" s="7">
        <v>0</v>
      </c>
      <c r="K111" s="89" t="str">
        <f t="shared" si="30"/>
        <v>4061/4062</v>
      </c>
      <c r="L111" s="185" t="str">
        <f>VLOOKUP(A111,'Trips&amp;Operators'!$C$1:$G$99911,5,FALSE)</f>
        <v>LEVIN SCOTT</v>
      </c>
      <c r="M111" s="6">
        <f t="shared" si="31"/>
        <v>2.5937500002328306E-2</v>
      </c>
      <c r="N111" s="7">
        <f t="shared" si="48"/>
        <v>37.350000003352761</v>
      </c>
      <c r="O111" s="7"/>
      <c r="P111" s="7"/>
      <c r="Q111" s="22"/>
      <c r="R111" s="174"/>
      <c r="S111" s="221">
        <f t="shared" si="47"/>
        <v>1</v>
      </c>
      <c r="T111" s="174" t="str">
        <f t="shared" si="32"/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33"/>
        <v>https://d0f6bd738d7f1b3e5a7ca70fe4ff75f0.us-east-1.aws.found.io/app/kibana#/discover/Steve-Slow-Train-Analysis-(2080s-and-2083s)?_g=(refreshInterval:(display:Off,pause:!f,section:0,value:0),time:(from:'2017-09-22T15:34:04-0600',mode:absolute,to:'2017-09-22T18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1" s="204" t="str">
        <f>IF(AA111&lt;VLOOKUP(AG111,Variables!$AC$3:$AD$8,2,FALSE),"Y","N")</f>
        <v>N</v>
      </c>
      <c r="X111" s="204">
        <f t="shared" si="56"/>
        <v>1</v>
      </c>
      <c r="Y111" s="204">
        <f t="shared" si="54"/>
        <v>23.3003</v>
      </c>
      <c r="Z111" s="204">
        <f t="shared" si="55"/>
        <v>1.49E-2</v>
      </c>
      <c r="AA111" s="204">
        <f t="shared" si="37"/>
        <v>23.285399999999999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38"/>
        <v>198</v>
      </c>
      <c r="AE111" s="77" t="str">
        <f t="shared" si="39"/>
        <v>aws s3 cp s3://rtdc.mdm.uploadarchive.raw/RTDC4061/ "%USERPROFILE%\AppData\Local\Temp\OnboardLogs"\RTDC4061\2017-09-22 --exclude "*" --recursive --include "*20170922*" &amp; "%USERPROFILE%\Documents\GitHub\mrs-test-scripts\Headless Mode &amp; Sideloading\WalkAndUnGZ.bat" "%USERPROFILE%\AppData\Local\Temp\OnboardLogs"\RTDC4061\2017-09-22 &amp; aws s3 cp s3://rtdc.mdm.uploadarchive.raw/RTDC4061/ "%USERPROFILE%\AppData\Local\Temp\OnboardLogs"\RTDC4061\2017-09-23 --exclude "*" --recursive --include "*20170923*" &amp; "%USERPROFILE%\Documents\GitHub\mrs-test-scripts\Headless Mode &amp; Sideloading\WalkAndUnGZ.bat" "%USERPROFILE%\AppData\Local\Temp\OnboardLogs"\RTDC4061\2017-09-23</v>
      </c>
      <c r="AF111" s="74" t="str">
        <f t="shared" si="40"/>
        <v>"C:\Program Files (x86)\AstroGrep\AstroGrep.exe" /e /r /s /spath="%USERPROFILE%\AppData\Local\Temp\OnboardLogs" /stypes="app*4061*20170922*" /stext=" 23:.+((SYSTEM_STATE.+slice.+state.+changed )|(ment ac)|(multiple cpu faults)|(system.+state.+changed )|(\[timeout)|(PRM\|1\|D)|(kpr)|(kdp)|(train st.+moving)|(\|lc)|(penalty))"</v>
      </c>
      <c r="AG111" s="182" t="str">
        <f t="shared" si="41"/>
        <v>EC</v>
      </c>
      <c r="AH111" s="78" t="str">
        <f t="shared" si="42"/>
        <v>"%USERPROFILE%\Documents\GitHub\eaglep3\Utilities\RefineRTDCRunTimes.py" --tripid 198-22 --locoid 4061 --swversion DE.1.0.9.0 --startMP 204:233003 --initTime 2017-09-22T16:34:04 --startdatetime 2017-09-22T16:42:13 --delay 60 --endMP 204:149 --enddatetime 2017-09-22T17:19:34 --enforcementcount 0 &gt;&gt;c:\users\stu\Documents\GitHub\eaglep3-reporting\EC\2017-09-22-refined-times.txt</v>
      </c>
      <c r="AI111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{"issue":{"subject":"","project_id":79,"tracker_id":40,"status_id":1,"priority_id":2,"assigned_to_id":338,"start_date":"2017-09-22","description":"","custom_fields":[{"id":1,"name":"Subdivision","value":"EC"},{"id":4,"name":"Milepost","value":"0.0149"},{"id":17,"name":"Train ID","value":"198-22"},{"id":16,"name":"Locomotive ID","value":"4061"},{"id":130,"name":"Impact","value":""},{"id":150,"name":"Time of Event (Mountain Time)","value":"17:19:34"},{"id":151,"name":"Denver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4"/>
        <v>start /low /b %USERPROFILE%\Documents\GitHub\eaglep3\Utilities\DownloadLogsFromS3.py --loco 4061 --day 2017-09-22</v>
      </c>
      <c r="AN111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23:19:34"},{"id":29,"name":"Sharepoint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46"/>
        <v>https://d0f6bd738d7f1b3e5a7ca70fe4ff75f0.us-east-1.aws.found.io/app/kibana#/discover/Steve-Slow-Train-Analysis-(2080s-and-2083s)?_g=(refreshInterval:(display:Off,pause:!f,section:0,value:0),time:(from:'2017-09-22T15:34:04-0600',mode:absolute,to:'2017-09-22T18:19:34-0600'))&amp;_a=(columns:!('Message%20ID',Summary),filters:!(),index:'emp_*',interval:auto,query:(query_string:(analyze_wildcard:!t,query:'Message%5C+ID:(*)+AND+%22rtdc.l.rtdc.4061%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751</v>
      </c>
      <c r="B112" s="7">
        <v>4044</v>
      </c>
      <c r="C112" s="21" t="s">
        <v>196</v>
      </c>
      <c r="D112" s="21" t="s">
        <v>870</v>
      </c>
      <c r="E112" s="13">
        <v>43000.662708333337</v>
      </c>
      <c r="F112" s="13">
        <v>43000.666828703703</v>
      </c>
      <c r="G112" s="7">
        <v>71</v>
      </c>
      <c r="H112" s="21" t="s">
        <v>452</v>
      </c>
      <c r="I112" s="13">
        <v>43000.692673611113</v>
      </c>
      <c r="J112" s="7">
        <v>0</v>
      </c>
      <c r="K112" s="89" t="str">
        <f t="shared" si="30"/>
        <v>4043/4044</v>
      </c>
      <c r="L112" s="185" t="str">
        <f>VLOOKUP(A112,'Trips&amp;Operators'!$C$1:$G$99911,5,FALSE)</f>
        <v>BADERTSCHER DIANE</v>
      </c>
      <c r="M112" s="6">
        <f t="shared" si="31"/>
        <v>2.584490740991896E-2</v>
      </c>
      <c r="N112" s="7">
        <f t="shared" si="48"/>
        <v>37.216666670283303</v>
      </c>
      <c r="O112" s="7"/>
      <c r="P112" s="7"/>
      <c r="Q112" s="22"/>
      <c r="R112" s="174"/>
      <c r="S112" s="221">
        <f t="shared" si="47"/>
        <v>1</v>
      </c>
      <c r="T112" s="174" t="str">
        <f t="shared" si="32"/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33"/>
        <v>https://d0f6bd738d7f1b3e5a7ca70fe4ff75f0.us-east-1.aws.found.io/app/kibana#/discover/Steve-Slow-Train-Analysis-(2080s-and-2083s)?_g=(refreshInterval:(display:Off,pause:!f,section:0,value:0),time:(from:'2017-09-22T14:54:18-0600',mode:absolute,to:'2017-09-22T17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2" s="204" t="str">
        <f>IF(AA112&lt;VLOOKUP(AG112,Variables!$AC$3:$AD$8,2,FALSE),"Y","N")</f>
        <v>N</v>
      </c>
      <c r="X112" s="204">
        <f t="shared" si="56"/>
        <v>1</v>
      </c>
      <c r="Y112" s="204">
        <f t="shared" si="54"/>
        <v>4.8599999999999997E-2</v>
      </c>
      <c r="Z112" s="204">
        <f t="shared" si="55"/>
        <v>23.332100000000001</v>
      </c>
      <c r="AA112" s="204">
        <f t="shared" si="37"/>
        <v>23.2835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38"/>
        <v>199</v>
      </c>
      <c r="AE112" s="77" t="str">
        <f t="shared" si="39"/>
        <v>aws s3 cp s3://rtdc.mdm.uploadarchive.raw/RTDC4044/ "%USERPROFILE%\AppData\Local\Temp\OnboardLogs"\RTDC4044\2017-09-22 --exclude "*" --recursive --include "*20170922*" &amp; "%USERPROFILE%\Documents\GitHub\mrs-test-scripts\Headless Mode &amp; Sideloading\WalkAndUnGZ.bat" "%USERPROFILE%\AppData\Local\Temp\OnboardLogs"\RTDC4044\2017-09-22 &amp; aws s3 cp s3://rtdc.mdm.uploadarchive.raw/RTDC4044/ "%USERPROFILE%\AppData\Local\Temp\OnboardLogs"\RTDC4044\2017-09-23 --exclude "*" --recursive --include "*20170923*" &amp; "%USERPROFILE%\Documents\GitHub\mrs-test-scripts\Headless Mode &amp; Sideloading\WalkAndUnGZ.bat" "%USERPROFILE%\AppData\Local\Temp\OnboardLogs"\RTDC4044\2017-09-23</v>
      </c>
      <c r="AF112" s="74" t="str">
        <f t="shared" si="40"/>
        <v>"C:\Program Files (x86)\AstroGrep\AstroGrep.exe" /e /r /s /spath="%USERPROFILE%\AppData\Local\Temp\OnboardLogs" /stypes="app*4044*20170922*" /stext=" 22:.+((SYSTEM_STATE.+slice.+state.+changed )|(ment ac)|(multiple cpu faults)|(system.+state.+changed )|(\[timeout)|(PRM\|1\|D)|(kpr)|(kdp)|(train st.+moving)|(\|lc)|(penalty))"</v>
      </c>
      <c r="AG112" s="182" t="str">
        <f t="shared" si="41"/>
        <v>EC</v>
      </c>
      <c r="AH112" s="78" t="str">
        <f t="shared" si="42"/>
        <v>"%USERPROFILE%\Documents\GitHub\eaglep3\Utilities\RefineRTDCRunTimes.py" --tripid 199-22 --locoid 4044 --swversion DE.1.0.9.0 --startMP 204:486 --initTime 2017-09-22T15:54:18 --startdatetime 2017-09-22T16:00:14 --delay 71 --endMP 204:233321 --enddatetime 2017-09-22T16:37:27 --enforcementcount 0 &gt;&gt;c:\users\stu\Documents\GitHub\eaglep3-reporting\EC\2017-09-22-refined-times.txt</v>
      </c>
      <c r="AI112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{"issue":{"subject":"","project_id":79,"tracker_id":40,"status_id":1,"priority_id":2,"assigned_to_id":338,"start_date":"2017-09-22","description":"","custom_fields":[{"id":1,"name":"Subdivision","value":"EC"},{"id":4,"name":"Milepost","value":"23.3321"},{"id":17,"name":"Train ID","value":"199-22"},{"id":16,"name":"Locomotive ID","value":"4044"},{"id":130,"name":"Impact","value":""},{"id":150,"name":"Time of Event (Mountain Time)","value":"16:37:27"},{"id":151,"name":"Denver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4"/>
        <v>start /low /b %USERPROFILE%\Documents\GitHub\eaglep3\Utilities\DownloadLogsFromS3.py --loco 4044 --day 2017-09-22</v>
      </c>
      <c r="AN112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22:37:27"},{"id":29,"name":"Sharepoint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46"/>
        <v>https://d0f6bd738d7f1b3e5a7ca70fe4ff75f0.us-east-1.aws.found.io/app/kibana#/discover/Steve-Slow-Train-Analysis-(2080s-and-2083s)?_g=(refreshInterval:(display:Off,pause:!f,section:0,value:0),time:(from:'2017-09-22T14:54:18-0600',mode:absolute,to:'2017-09-22T17:37:27-0600'))&amp;_a=(columns:!('Message%20ID',Summary),filters:!(),index:'emp_*',interval:auto,query:(query_string:(analyze_wildcard:!t,query:'Message%5C+ID:(*)+AND+%22rtdc.l.rtdc.4044%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761</v>
      </c>
      <c r="B113" s="7">
        <v>4043</v>
      </c>
      <c r="C113" s="21" t="s">
        <v>196</v>
      </c>
      <c r="D113" s="21" t="s">
        <v>433</v>
      </c>
      <c r="E113" s="13">
        <v>43000.69908564815</v>
      </c>
      <c r="F113" s="13">
        <v>43000.706516203703</v>
      </c>
      <c r="G113" s="7">
        <v>63</v>
      </c>
      <c r="H113" s="21" t="s">
        <v>362</v>
      </c>
      <c r="I113" s="13">
        <v>43000.734027777777</v>
      </c>
      <c r="J113" s="7">
        <v>0</v>
      </c>
      <c r="K113" s="89" t="str">
        <f t="shared" si="30"/>
        <v>4043/4044</v>
      </c>
      <c r="L113" s="185" t="str">
        <f>VLOOKUP(A113,'Trips&amp;Operators'!$C$1:$G$99911,5,FALSE)</f>
        <v>BADERTSCHER DIANE</v>
      </c>
      <c r="M113" s="6">
        <f t="shared" si="31"/>
        <v>2.7511574073287193E-2</v>
      </c>
      <c r="N113" s="7">
        <f t="shared" si="48"/>
        <v>39.616666665533558</v>
      </c>
      <c r="O113" s="7"/>
      <c r="P113" s="7"/>
      <c r="Q113" s="22"/>
      <c r="R113" s="174"/>
      <c r="S113" s="221">
        <f t="shared" si="47"/>
        <v>1</v>
      </c>
      <c r="T113" s="174" t="str">
        <f t="shared" si="32"/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33"/>
        <v>https://d0f6bd738d7f1b3e5a7ca70fe4ff75f0.us-east-1.aws.found.io/app/kibana#/discover/Steve-Slow-Train-Analysis-(2080s-and-2083s)?_g=(refreshInterval:(display:Off,pause:!f,section:0,value:0),time:(from:'2017-09-22T15:46:41-0600',mode:absolute,to:'2017-09-22T18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3" s="204" t="str">
        <f>IF(AA113&lt;VLOOKUP(AG113,Variables!$AC$3:$AD$8,2,FALSE),"Y","N")</f>
        <v>N</v>
      </c>
      <c r="X113" s="204">
        <f t="shared" si="56"/>
        <v>1</v>
      </c>
      <c r="Y113" s="204">
        <f t="shared" si="54"/>
        <v>23.302299999999999</v>
      </c>
      <c r="Z113" s="204">
        <f t="shared" si="55"/>
        <v>1.38E-2</v>
      </c>
      <c r="AA113" s="204">
        <f t="shared" si="37"/>
        <v>23.288499999999999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38"/>
        <v>200</v>
      </c>
      <c r="AE113" s="77" t="str">
        <f t="shared" si="39"/>
        <v>aws s3 cp s3://rtdc.mdm.uploadarchive.raw/RTDC4043/ "%USERPROFILE%\AppData\Local\Temp\OnboardLogs"\RTDC4043\2017-09-22 --exclude "*" --recursive --include "*20170922*" &amp; "%USERPROFILE%\Documents\GitHub\mrs-test-scripts\Headless Mode &amp; Sideloading\WalkAndUnGZ.bat" "%USERPROFILE%\AppData\Local\Temp\OnboardLogs"\RTDC4043\2017-09-22 &amp; aws s3 cp s3://rtdc.mdm.uploadarchive.raw/RTDC4043/ "%USERPROFILE%\AppData\Local\Temp\OnboardLogs"\RTDC4043\2017-09-23 --exclude "*" --recursive --include "*20170923*" &amp; "%USERPROFILE%\Documents\GitHub\mrs-test-scripts\Headless Mode &amp; Sideloading\WalkAndUnGZ.bat" "%USERPROFILE%\AppData\Local\Temp\OnboardLogs"\RTDC4043\2017-09-23</v>
      </c>
      <c r="AF113" s="74" t="str">
        <f t="shared" si="40"/>
        <v>"C:\Program Files (x86)\AstroGrep\AstroGrep.exe" /e /r /s /spath="%USERPROFILE%\AppData\Local\Temp\OnboardLogs" /stypes="app*4043*20170922*" /stext=" 23:.+((SYSTEM_STATE.+slice.+state.+changed )|(ment ac)|(multiple cpu faults)|(system.+state.+changed )|(\[timeout)|(PRM\|1\|D)|(kpr)|(kdp)|(train st.+moving)|(\|lc)|(penalty))"</v>
      </c>
      <c r="AG113" s="182" t="str">
        <f t="shared" si="41"/>
        <v>EC</v>
      </c>
      <c r="AH113" s="78" t="str">
        <f t="shared" si="42"/>
        <v>"%USERPROFILE%\Documents\GitHub\eaglep3\Utilities\RefineRTDCRunTimes.py" --tripid 200-22 --locoid 4043 --swversion DE.1.0.9.0 --startMP 204:233023 --initTime 2017-09-22T16:46:41 --startdatetime 2017-09-22T16:57:23 --delay 63 --endMP 204:138 --enddatetime 2017-09-22T17:37:00 --enforcementcount 0 &gt;&gt;c:\users\stu\Documents\GitHub\eaglep3-reporting\EC\2017-09-22-refined-times.txt</v>
      </c>
      <c r="AI113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{"issue":{"subject":"","project_id":79,"tracker_id":40,"status_id":1,"priority_id":2,"assigned_to_id":338,"start_date":"2017-09-22","description":"","custom_fields":[{"id":1,"name":"Subdivision","value":"EC"},{"id":4,"name":"Milepost","value":"0.0138"},{"id":17,"name":"Train ID","value":"200-22"},{"id":16,"name":"Locomotive ID","value":"4043"},{"id":130,"name":"Impact","value":""},{"id":150,"name":"Time of Event (Mountain Time)","value":"17:37:00"},{"id":151,"name":"Denver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4"/>
        <v>start /low /b %USERPROFILE%\Documents\GitHub\eaglep3\Utilities\DownloadLogsFromS3.py --loco 4043 --day 2017-09-22</v>
      </c>
      <c r="AN113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23:37:00"},{"id":29,"name":"Sharepoint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46"/>
        <v>https://d0f6bd738d7f1b3e5a7ca70fe4ff75f0.us-east-1.aws.found.io/app/kibana#/discover/Steve-Slow-Train-Analysis-(2080s-and-2083s)?_g=(refreshInterval:(display:Off,pause:!f,section:0,value:0),time:(from:'2017-09-22T15:46:41-0600',mode:absolute,to:'2017-09-22T18:37:00-0600'))&amp;_a=(columns:!('Message%20ID',Summary),filters:!(),index:'emp_*',interval:auto,query:(query_string:(analyze_wildcard:!t,query:'Message%5C+ID:(*)+AND+%22rtdc.l.rtdc.4043%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754</v>
      </c>
      <c r="B114" s="7">
        <v>4012</v>
      </c>
      <c r="C114" s="21" t="s">
        <v>196</v>
      </c>
      <c r="D114" s="21" t="s">
        <v>431</v>
      </c>
      <c r="E114" s="13">
        <v>43000.672465277778</v>
      </c>
      <c r="F114" s="13">
        <v>43000.677245370367</v>
      </c>
      <c r="G114" s="7">
        <v>53</v>
      </c>
      <c r="H114" s="21" t="s">
        <v>871</v>
      </c>
      <c r="I114" s="13">
        <v>43000.703275462962</v>
      </c>
      <c r="J114" s="7">
        <v>0</v>
      </c>
      <c r="K114" s="89" t="str">
        <f t="shared" si="30"/>
        <v>4011/4012</v>
      </c>
      <c r="L114" s="185" t="str">
        <f>VLOOKUP(A114,'Trips&amp;Operators'!$C$1:$G$99911,5,FALSE)</f>
        <v>SWANSON BRYCE</v>
      </c>
      <c r="M114" s="6">
        <f t="shared" si="31"/>
        <v>2.6030092594737653E-2</v>
      </c>
      <c r="N114" s="7">
        <f t="shared" si="48"/>
        <v>37.48333333642222</v>
      </c>
      <c r="O114" s="7"/>
      <c r="P114" s="7"/>
      <c r="Q114" s="22"/>
      <c r="R114" s="174"/>
      <c r="S114" s="221">
        <f t="shared" si="47"/>
        <v>1</v>
      </c>
      <c r="T114" s="174" t="str">
        <f t="shared" si="32"/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33"/>
        <v>https://d0f6bd738d7f1b3e5a7ca70fe4ff75f0.us-east-1.aws.found.io/app/kibana#/discover/Steve-Slow-Train-Analysis-(2080s-and-2083s)?_g=(refreshInterval:(display:Off,pause:!f,section:0,value:0),time:(from:'2017-09-22T15:08:21-0600',mode:absolute,to:'2017-09-22T17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4" s="204" t="str">
        <f>IF(AA114&lt;VLOOKUP(AG114,Variables!$AC$3:$AD$8,2,FALSE),"Y","N")</f>
        <v>N</v>
      </c>
      <c r="X114" s="204">
        <f t="shared" si="56"/>
        <v>1</v>
      </c>
      <c r="Y114" s="204">
        <f t="shared" si="54"/>
        <v>4.5699999999999998E-2</v>
      </c>
      <c r="Z114" s="204">
        <f t="shared" si="55"/>
        <v>23.328199999999999</v>
      </c>
      <c r="AA114" s="204">
        <f t="shared" si="37"/>
        <v>23.282499999999999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38"/>
        <v>201</v>
      </c>
      <c r="AE114" s="77" t="str">
        <f t="shared" si="39"/>
        <v>aws s3 cp s3://rtdc.mdm.uploadarchive.raw/RTDC4012/ "%USERPROFILE%\AppData\Local\Temp\OnboardLogs"\RTDC4012\2017-09-22 --exclude "*" --recursive --include "*20170922*" &amp; "%USERPROFILE%\Documents\GitHub\mrs-test-scripts\Headless Mode &amp; Sideloading\WalkAndUnGZ.bat" "%USERPROFILE%\AppData\Local\Temp\OnboardLogs"\RTDC4012\2017-09-22 &amp; aws s3 cp s3://rtdc.mdm.uploadarchive.raw/RTDC4012/ "%USERPROFILE%\AppData\Local\Temp\OnboardLogs"\RTDC4012\2017-09-23 --exclude "*" --recursive --include "*20170923*" &amp; "%USERPROFILE%\Documents\GitHub\mrs-test-scripts\Headless Mode &amp; Sideloading\WalkAndUnGZ.bat" "%USERPROFILE%\AppData\Local\Temp\OnboardLogs"\RTDC4012\2017-09-23</v>
      </c>
      <c r="AF114" s="74" t="str">
        <f t="shared" si="40"/>
        <v>"C:\Program Files (x86)\AstroGrep\AstroGrep.exe" /e /r /s /spath="%USERPROFILE%\AppData\Local\Temp\OnboardLogs" /stypes="app*4012*20170922*" /stext=" 22:.+((SYSTEM_STATE.+slice.+state.+changed )|(ment ac)|(multiple cpu faults)|(system.+state.+changed )|(\[timeout)|(PRM\|1\|D)|(kpr)|(kdp)|(train st.+moving)|(\|lc)|(penalty))"</v>
      </c>
      <c r="AG114" s="182" t="str">
        <f t="shared" si="41"/>
        <v>EC</v>
      </c>
      <c r="AH114" s="78" t="str">
        <f t="shared" si="42"/>
        <v>"%USERPROFILE%\Documents\GitHub\eaglep3\Utilities\RefineRTDCRunTimes.py" --tripid 201-22 --locoid 4012 --swversion DE.1.0.9.0 --startMP 204:457 --initTime 2017-09-22T16:08:21 --startdatetime 2017-09-22T16:15:14 --delay 53 --endMP 204:233282 --enddatetime 2017-09-22T16:52:43 --enforcementcount 0 &gt;&gt;c:\users\stu\Documents\GitHub\eaglep3-reporting\EC\2017-09-22-refined-times.txt</v>
      </c>
      <c r="AI114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{"issue":{"subject":"","project_id":79,"tracker_id":40,"status_id":1,"priority_id":2,"assigned_to_id":338,"start_date":"2017-09-22","description":"","custom_fields":[{"id":1,"name":"Subdivision","value":"EC"},{"id":4,"name":"Milepost","value":"23.3282"},{"id":17,"name":"Train ID","value":"201-22"},{"id":16,"name":"Locomotive ID","value":"4012"},{"id":130,"name":"Impact","value":""},{"id":150,"name":"Time of Event (Mountain Time)","value":"16:52:43"},{"id":151,"name":"Denver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4"/>
        <v>start /low /b %USERPROFILE%\Documents\GitHub\eaglep3\Utilities\DownloadLogsFromS3.py --loco 4012 --day 2017-09-22</v>
      </c>
      <c r="AN114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22:52:43"},{"id":29,"name":"Sharepoint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46"/>
        <v>https://d0f6bd738d7f1b3e5a7ca70fe4ff75f0.us-east-1.aws.found.io/app/kibana#/discover/Steve-Slow-Train-Analysis-(2080s-and-2083s)?_g=(refreshInterval:(display:Off,pause:!f,section:0,value:0),time:(from:'2017-09-22T15:08:21-0600',mode:absolute,to:'2017-09-22T17:52:43-0600'))&amp;_a=(columns:!('Message%20ID',Summary),filters:!(),index:'emp_*',interval:auto,query:(query_string:(analyze_wildcard:!t,query:'Message%5C+ID:(*)+AND+%22rtdc.l.rtdc.4012%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762</v>
      </c>
      <c r="B115" s="7">
        <v>4011</v>
      </c>
      <c r="C115" s="21" t="s">
        <v>196</v>
      </c>
      <c r="D115" s="21" t="s">
        <v>551</v>
      </c>
      <c r="E115" s="13">
        <v>43000.70517361111</v>
      </c>
      <c r="F115" s="13">
        <v>43000.716817129629</v>
      </c>
      <c r="G115" s="7">
        <v>70</v>
      </c>
      <c r="H115" s="21" t="s">
        <v>361</v>
      </c>
      <c r="I115" s="13">
        <v>43000.743587962963</v>
      </c>
      <c r="J115" s="7">
        <v>0</v>
      </c>
      <c r="K115" s="89" t="str">
        <f t="shared" si="30"/>
        <v>4011/4012</v>
      </c>
      <c r="L115" s="185" t="str">
        <f>VLOOKUP(A115,'Trips&amp;Operators'!$C$1:$G$99911,5,FALSE)</f>
        <v>SWANSON BRYCE</v>
      </c>
      <c r="M115" s="6">
        <f t="shared" si="31"/>
        <v>2.6770833334012423E-2</v>
      </c>
      <c r="N115" s="7">
        <f t="shared" si="48"/>
        <v>38.550000000977889</v>
      </c>
      <c r="O115" s="7"/>
      <c r="P115" s="7"/>
      <c r="Q115" s="22"/>
      <c r="R115" s="174"/>
      <c r="S115" s="221">
        <f t="shared" si="47"/>
        <v>1</v>
      </c>
      <c r="T115" s="174" t="str">
        <f t="shared" si="32"/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33"/>
        <v>https://d0f6bd738d7f1b3e5a7ca70fe4ff75f0.us-east-1.aws.found.io/app/kibana#/discover/Steve-Slow-Train-Analysis-(2080s-and-2083s)?_g=(refreshInterval:(display:Off,pause:!f,section:0,value:0),time:(from:'2017-09-22T15:55:27-0600',mode:absolute,to:'2017-09-22T18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5" s="204" t="str">
        <f>IF(AA115&lt;VLOOKUP(AG115,Variables!$AC$3:$AD$8,2,FALSE),"Y","N")</f>
        <v>N</v>
      </c>
      <c r="X115" s="204">
        <f t="shared" si="56"/>
        <v>1</v>
      </c>
      <c r="Y115" s="204">
        <f t="shared" si="54"/>
        <v>23.297999999999998</v>
      </c>
      <c r="Z115" s="204">
        <f t="shared" si="55"/>
        <v>1.4500000000000001E-2</v>
      </c>
      <c r="AA115" s="204">
        <f t="shared" si="37"/>
        <v>23.283499999999997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38"/>
        <v>202</v>
      </c>
      <c r="AE115" s="77" t="str">
        <f t="shared" si="39"/>
        <v>aws s3 cp s3://rtdc.mdm.uploadarchive.raw/RTDC4011/ "%USERPROFILE%\AppData\Local\Temp\OnboardLogs"\RTDC4011\2017-09-22 --exclude "*" --recursive --include "*20170922*" &amp; "%USERPROFILE%\Documents\GitHub\mrs-test-scripts\Headless Mode &amp; Sideloading\WalkAndUnGZ.bat" "%USERPROFILE%\AppData\Local\Temp\OnboardLogs"\RTDC4011\2017-09-22 &amp; aws s3 cp s3://rtdc.mdm.uploadarchive.raw/RTDC4011/ "%USERPROFILE%\AppData\Local\Temp\OnboardLogs"\RTDC4011\2017-09-23 --exclude "*" --recursive --include "*20170923*" &amp; "%USERPROFILE%\Documents\GitHub\mrs-test-scripts\Headless Mode &amp; Sideloading\WalkAndUnGZ.bat" "%USERPROFILE%\AppData\Local\Temp\OnboardLogs"\RTDC4011\2017-09-23</v>
      </c>
      <c r="AF115" s="74" t="str">
        <f t="shared" si="40"/>
        <v>"C:\Program Files (x86)\AstroGrep\AstroGrep.exe" /e /r /s /spath="%USERPROFILE%\AppData\Local\Temp\OnboardLogs" /stypes="app*4011*20170922*" /stext=" 23:.+((SYSTEM_STATE.+slice.+state.+changed )|(ment ac)|(multiple cpu faults)|(system.+state.+changed )|(\[timeout)|(PRM\|1\|D)|(kpr)|(kdp)|(train st.+moving)|(\|lc)|(penalty))"</v>
      </c>
      <c r="AG115" s="182" t="str">
        <f t="shared" si="41"/>
        <v>EC</v>
      </c>
      <c r="AH115" s="78" t="str">
        <f t="shared" si="42"/>
        <v>"%USERPROFILE%\Documents\GitHub\eaglep3\Utilities\RefineRTDCRunTimes.py" --tripid 202-22 --locoid 4011 --swversion DE.1.0.9.0 --startMP 204:232980 --initTime 2017-09-22T16:55:27 --startdatetime 2017-09-22T17:12:13 --delay 70 --endMP 204:145 --enddatetime 2017-09-22T17:50:46 --enforcementcount 0 &gt;&gt;c:\users\stu\Documents\GitHub\eaglep3-reporting\EC\2017-09-22-refined-times.txt</v>
      </c>
      <c r="AI115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{"issue":{"subject":"","project_id":79,"tracker_id":40,"status_id":1,"priority_id":2,"assigned_to_id":338,"start_date":"2017-09-22","description":"","custom_fields":[{"id":1,"name":"Subdivision","value":"EC"},{"id":4,"name":"Milepost","value":"0.0145"},{"id":17,"name":"Train ID","value":"202-22"},{"id":16,"name":"Locomotive ID","value":"4011"},{"id":130,"name":"Impact","value":""},{"id":150,"name":"Time of Event (Mountain Time)","value":"17:50:46"},{"id":151,"name":"Denver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4"/>
        <v>start /low /b %USERPROFILE%\Documents\GitHub\eaglep3\Utilities\DownloadLogsFromS3.py --loco 4011 --day 2017-09-22</v>
      </c>
      <c r="AN115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23:50:46"},{"id":29,"name":"Sharepoint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46"/>
        <v>https://d0f6bd738d7f1b3e5a7ca70fe4ff75f0.us-east-1.aws.found.io/app/kibana#/discover/Steve-Slow-Train-Analysis-(2080s-and-2083s)?_g=(refreshInterval:(display:Off,pause:!f,section:0,value:0),time:(from:'2017-09-22T15:55:27-0600',mode:absolute,to:'2017-09-22T18:50:46-0600'))&amp;_a=(columns:!('Message%20ID',Summary),filters:!(),index:'emp_*',interval:auto,query:(query_string:(analyze_wildcard:!t,query:'Message%5C+ID:(*)+AND+%22rtdc.l.rtdc.4011%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601</v>
      </c>
      <c r="B116" s="7">
        <v>4018</v>
      </c>
      <c r="C116" s="21" t="s">
        <v>196</v>
      </c>
      <c r="D116" s="21" t="s">
        <v>394</v>
      </c>
      <c r="E116" s="13">
        <v>43000.683645833335</v>
      </c>
      <c r="F116" s="13">
        <v>43000.687685185185</v>
      </c>
      <c r="G116" s="7">
        <v>135</v>
      </c>
      <c r="H116" s="21" t="s">
        <v>452</v>
      </c>
      <c r="I116" s="13">
        <v>43000.713553240741</v>
      </c>
      <c r="J116" s="7">
        <v>0</v>
      </c>
      <c r="K116" s="89" t="str">
        <f t="shared" si="30"/>
        <v>4017/4018</v>
      </c>
      <c r="L116" s="185" t="str">
        <f>VLOOKUP(A116,'Trips&amp;Operators'!$C$1:$G$99911,5,FALSE)</f>
        <v>ZEWDU DEREJE</v>
      </c>
      <c r="M116" s="6">
        <f t="shared" si="31"/>
        <v>2.5868055556202307E-2</v>
      </c>
      <c r="N116" s="7">
        <f t="shared" si="48"/>
        <v>37.250000000931323</v>
      </c>
      <c r="O116" s="7"/>
      <c r="P116" s="7"/>
      <c r="Q116" s="22"/>
      <c r="R116" s="174"/>
      <c r="S116" s="221">
        <f t="shared" si="47"/>
        <v>1</v>
      </c>
      <c r="T116" s="174" t="str">
        <f t="shared" si="32"/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33"/>
        <v>https://d0f6bd738d7f1b3e5a7ca70fe4ff75f0.us-east-1.aws.found.io/app/kibana#/discover/Steve-Slow-Train-Analysis-(2080s-and-2083s)?_g=(refreshInterval:(display:Off,pause:!f,section:0,value:0),time:(from:'2017-09-22T15:24:27-0600',mode:absolute,to:'2017-09-22T18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6" s="204" t="str">
        <f>IF(AA116&lt;VLOOKUP(AG116,Variables!$AC$3:$AD$8,2,FALSE),"Y","N")</f>
        <v>N</v>
      </c>
      <c r="X116" s="204">
        <f t="shared" si="56"/>
        <v>1</v>
      </c>
      <c r="Y116" s="204">
        <f t="shared" si="54"/>
        <v>4.6199999999999998E-2</v>
      </c>
      <c r="Z116" s="204">
        <f t="shared" si="55"/>
        <v>23.332100000000001</v>
      </c>
      <c r="AA116" s="204">
        <f t="shared" si="37"/>
        <v>23.285900000000002</v>
      </c>
      <c r="AB116" s="54" t="str">
        <f>VLOOKUP(A116,Enforcements!$C$7:$K$11,8,0)</f>
        <v>Bulletin (2)</v>
      </c>
      <c r="AC116" s="51" t="str">
        <f>VLOOKUP(A116,Enforcements!$C$7:$E$11,3,0)</f>
        <v>GRADE CROSSING</v>
      </c>
      <c r="AD116" s="179">
        <f t="shared" si="38"/>
        <v>203</v>
      </c>
      <c r="AE116" s="77" t="str">
        <f t="shared" si="39"/>
        <v>aws s3 cp s3://rtdc.mdm.uploadarchive.raw/RTDC4018/ "%USERPROFILE%\AppData\Local\Temp\OnboardLogs"\RTDC4018\2017-09-22 --exclude "*" --recursive --include "*20170922*" &amp; "%USERPROFILE%\Documents\GitHub\mrs-test-scripts\Headless Mode &amp; Sideloading\WalkAndUnGZ.bat" "%USERPROFILE%\AppData\Local\Temp\OnboardLogs"\RTDC4018\2017-09-22 &amp; aws s3 cp s3://rtdc.mdm.uploadarchive.raw/RTDC4018/ "%USERPROFILE%\AppData\Local\Temp\OnboardLogs"\RTDC4018\2017-09-23 --exclude "*" --recursive --include "*20170923*" &amp; "%USERPROFILE%\Documents\GitHub\mrs-test-scripts\Headless Mode &amp; Sideloading\WalkAndUnGZ.bat" "%USERPROFILE%\AppData\Local\Temp\OnboardLogs"\RTDC4018\2017-09-23</v>
      </c>
      <c r="AF116" s="74" t="str">
        <f t="shared" si="40"/>
        <v>"C:\Program Files (x86)\AstroGrep\AstroGrep.exe" /e /r /s /spath="%USERPROFILE%\AppData\Local\Temp\OnboardLogs" /stypes="app*4018*20170922*" /stext=" 23:.+((SYSTEM_STATE.+slice.+state.+changed )|(ment ac)|(multiple cpu faults)|(system.+state.+changed )|(\[timeout)|(PRM\|1\|D)|(kpr)|(kdp)|(train st.+moving)|(\|lc)|(penalty))"</v>
      </c>
      <c r="AG116" s="182" t="str">
        <f t="shared" si="41"/>
        <v>EC</v>
      </c>
      <c r="AH116" s="78" t="str">
        <f t="shared" si="42"/>
        <v>"%USERPROFILE%\Documents\GitHub\eaglep3\Utilities\RefineRTDCRunTimes.py" --tripid 203-22 --locoid 4018 --swversion DE.1.0.9.0 --startMP 204:462 --initTime 2017-09-22T16:24:27 --startdatetime 2017-09-22T16:30:16 --delay 135 --endMP 204:233321 --enddatetime 2017-09-22T17:07:31 --enforcementcount 0 &gt;&gt;c:\users\stu\Documents\GitHub\eaglep3-reporting\EC\2017-09-22-refined-times.txt</v>
      </c>
      <c r="AI116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{"issue":{"subject":"","project_id":79,"tracker_id":40,"status_id":1,"priority_id":2,"assigned_to_id":338,"start_date":"2017-09-22","description":"","custom_fields":[{"id":1,"name":"Subdivision","value":"EC"},{"id":4,"name":"Milepost","value":"23.3321"},{"id":17,"name":"Train ID","value":"203-22"},{"id":16,"name":"Locomotive ID","value":"4018"},{"id":130,"name":"Impact","value":""},{"id":150,"name":"Time of Event (Mountain Time)","value":"17:07:31"},{"id":151,"name":"Denver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4"/>
        <v>start /low /b %USERPROFILE%\Documents\GitHub\eaglep3\Utilities\DownloadLogsFromS3.py --loco 4018 --day 2017-09-22</v>
      </c>
      <c r="AN116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23:07:31"},{"id":29,"name":"Sharepoint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46"/>
        <v>https://d0f6bd738d7f1b3e5a7ca70fe4ff75f0.us-east-1.aws.found.io/app/kibana#/discover/Steve-Slow-Train-Analysis-(2080s-and-2083s)?_g=(refreshInterval:(display:Off,pause:!f,section:0,value:0),time:(from:'2017-09-22T15:24:27-0600',mode:absolute,to:'2017-09-22T18:07:31-0600'))&amp;_a=(columns:!('Message%20ID',Summary),filters:!(),index:'emp_*',interval:auto,query:(query_string:(analyze_wildcard:!t,query:'Message%5C+ID:(*)+AND+%22rtdc.l.rtdc.4018%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766</v>
      </c>
      <c r="B117" s="7">
        <v>4017</v>
      </c>
      <c r="C117" s="21" t="s">
        <v>196</v>
      </c>
      <c r="D117" s="21" t="s">
        <v>428</v>
      </c>
      <c r="E117" s="13">
        <v>43000.722662037035</v>
      </c>
      <c r="F117" s="13">
        <v>43000.727280092593</v>
      </c>
      <c r="G117" s="7">
        <v>128</v>
      </c>
      <c r="H117" s="21" t="s">
        <v>362</v>
      </c>
      <c r="I117" s="13">
        <v>43000.753564814811</v>
      </c>
      <c r="J117" s="7">
        <v>0</v>
      </c>
      <c r="K117" s="89" t="str">
        <f t="shared" si="30"/>
        <v>4017/4018</v>
      </c>
      <c r="L117" s="185" t="str">
        <f>VLOOKUP(A117,'Trips&amp;Operators'!$C$1:$G$99911,5,FALSE)</f>
        <v>ZEWDU DEREJE</v>
      </c>
      <c r="M117" s="6">
        <f t="shared" si="31"/>
        <v>2.6284722218406387E-2</v>
      </c>
      <c r="N117" s="7">
        <f t="shared" si="48"/>
        <v>37.849999994505197</v>
      </c>
      <c r="O117" s="7"/>
      <c r="P117" s="7"/>
      <c r="Q117" s="22"/>
      <c r="R117" s="174"/>
      <c r="S117" s="221">
        <f t="shared" si="47"/>
        <v>1</v>
      </c>
      <c r="T117" s="174" t="str">
        <f t="shared" si="32"/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33"/>
        <v>https://d0f6bd738d7f1b3e5a7ca70fe4ff75f0.us-east-1.aws.found.io/app/kibana#/discover/Steve-Slow-Train-Analysis-(2080s-and-2083s)?_g=(refreshInterval:(display:Off,pause:!f,section:0,value:0),time:(from:'2017-09-22T16:20:38-0600',mode:absolute,to:'2017-09-22T19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7" s="204" t="str">
        <f>IF(AA117&lt;VLOOKUP(AG117,Variables!$AC$3:$AD$8,2,FALSE),"Y","N")</f>
        <v>N</v>
      </c>
      <c r="X117" s="204">
        <f t="shared" si="56"/>
        <v>1</v>
      </c>
      <c r="Y117" s="204">
        <f t="shared" si="54"/>
        <v>23.300599999999999</v>
      </c>
      <c r="Z117" s="204">
        <f t="shared" si="55"/>
        <v>1.38E-2</v>
      </c>
      <c r="AA117" s="204">
        <f t="shared" si="37"/>
        <v>23.286799999999999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38"/>
        <v>204</v>
      </c>
      <c r="AE117" s="77" t="str">
        <f t="shared" si="39"/>
        <v>aws s3 cp s3://rtdc.mdm.uploadarchive.raw/RTDC4017/ "%USERPROFILE%\AppData\Local\Temp\OnboardLogs"\RTDC4017\2017-09-22 --exclude "*" --recursive --include "*20170922*" &amp; "%USERPROFILE%\Documents\GitHub\mrs-test-scripts\Headless Mode &amp; Sideloading\WalkAndUnGZ.bat" "%USERPROFILE%\AppData\Local\Temp\OnboardLogs"\RTDC4017\2017-09-22 &amp; aws s3 cp s3://rtdc.mdm.uploadarchive.raw/RTDC4017/ "%USERPROFILE%\AppData\Local\Temp\OnboardLogs"\RTDC4017\2017-09-23 --exclude "*" --recursive --include "*20170923*" &amp; "%USERPROFILE%\Documents\GitHub\mrs-test-scripts\Headless Mode &amp; Sideloading\WalkAndUnGZ.bat" "%USERPROFILE%\AppData\Local\Temp\OnboardLogs"\RTDC4017\2017-09-23</v>
      </c>
      <c r="AF117" s="74" t="str">
        <f t="shared" si="40"/>
        <v>"C:\Program Files (x86)\AstroGrep\AstroGrep.exe" /e /r /s /spath="%USERPROFILE%\AppData\Local\Temp\OnboardLogs" /stypes="app*4017*20170923*" /stext=" 00:.+((SYSTEM_STATE.+slice.+state.+changed )|(ment ac)|(multiple cpu faults)|(system.+state.+changed )|(\[timeout)|(PRM\|1\|D)|(kpr)|(kdp)|(train st.+moving)|(\|lc)|(penalty))"</v>
      </c>
      <c r="AG117" s="182" t="str">
        <f t="shared" si="41"/>
        <v>EC</v>
      </c>
      <c r="AH117" s="78" t="str">
        <f t="shared" si="42"/>
        <v>"%USERPROFILE%\Documents\GitHub\eaglep3\Utilities\RefineRTDCRunTimes.py" --tripid 204-22 --locoid 4017 --swversion DE.1.0.9.0 --startMP 204:233006 --initTime 2017-09-22T17:20:38 --startdatetime 2017-09-22T17:27:17 --delay 128 --endMP 204:138 --enddatetime 2017-09-22T18:05:08 --enforcementcount 0 &gt;&gt;c:\users\stu\Documents\GitHub\eaglep3-reporting\EC\2017-09-22-refined-times.txt</v>
      </c>
      <c r="AI117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{"issue":{"subject":"","project_id":79,"tracker_id":40,"status_id":1,"priority_id":2,"assigned_to_id":338,"start_date":"2017-09-22","description":"","custom_fields":[{"id":1,"name":"Subdivision","value":"EC"},{"id":4,"name":"Milepost","value":"0.0138"},{"id":17,"name":"Train ID","value":"204-22"},{"id":16,"name":"Locomotive ID","value":"4017"},{"id":130,"name":"Impact","value":""},{"id":150,"name":"Time of Event (Mountain Time)","value":"18:05:08"},{"id":151,"name":"Denver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4"/>
        <v>start /low /b %USERPROFILE%\Documents\GitHub\eaglep3\Utilities\DownloadLogsFromS3.py --loco 4017 --day 2017-09-22</v>
      </c>
      <c r="AN117" s="151" t="str">
        <f t="shared" si="45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00:05:08"},{"id":29,"name":"Sharepoint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46"/>
        <v>https://d0f6bd738d7f1b3e5a7ca70fe4ff75f0.us-east-1.aws.found.io/app/kibana#/discover/Steve-Slow-Train-Analysis-(2080s-and-2083s)?_g=(refreshInterval:(display:Off,pause:!f,section:0,value:0),time:(from:'2017-09-22T16:20:38-0600',mode:absolute,to:'2017-09-22T19:05:08-0600'))&amp;_a=(columns:!('Message%20ID',Summary),filters:!(),index:'emp_*',interval:auto,query:(query_string:(analyze_wildcard:!t,query:'Message%5C+ID:(*)+AND+%22rtdc.l.rtdc.4017%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760</v>
      </c>
      <c r="B118" s="7">
        <v>4032</v>
      </c>
      <c r="C118" s="21" t="s">
        <v>196</v>
      </c>
      <c r="D118" s="21" t="s">
        <v>356</v>
      </c>
      <c r="E118" s="13">
        <v>43000.693969907406</v>
      </c>
      <c r="F118" s="13">
        <v>43000.698101851849</v>
      </c>
      <c r="G118" s="7">
        <v>57</v>
      </c>
      <c r="H118" s="21" t="s">
        <v>507</v>
      </c>
      <c r="I118" s="13">
        <v>43000.723078703704</v>
      </c>
      <c r="J118" s="7">
        <v>0</v>
      </c>
      <c r="K118" s="89" t="str">
        <f t="shared" si="30"/>
        <v>4031/4032</v>
      </c>
      <c r="L118" s="185" t="str">
        <f>VLOOKUP(A118,'Trips&amp;Operators'!$C$1:$G$99911,5,FALSE)</f>
        <v>BRUDER RICHARD</v>
      </c>
      <c r="M118" s="6">
        <f t="shared" si="31"/>
        <v>2.4976851855171844E-2</v>
      </c>
      <c r="N118" s="7">
        <f t="shared" ref="N118:N149" si="57">24*60*SUM($M118:$M118)</f>
        <v>35.966666671447456</v>
      </c>
      <c r="O118" s="7"/>
      <c r="P118" s="7"/>
      <c r="Q118" s="22"/>
      <c r="R118" s="174"/>
      <c r="S118" s="221">
        <f t="shared" si="47"/>
        <v>1</v>
      </c>
      <c r="T118" s="174" t="str">
        <f t="shared" si="32"/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33"/>
        <v>https://d0f6bd738d7f1b3e5a7ca70fe4ff75f0.us-east-1.aws.found.io/app/kibana#/discover/Steve-Slow-Train-Analysis-(2080s-and-2083s)?_g=(refreshInterval:(display:Off,pause:!f,section:0,value:0),time:(from:'2017-09-22T15:39:19-0600',mode:absolute,to:'2017-09-22T18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8" s="204" t="str">
        <f>IF(AA118&lt;VLOOKUP(AG118,Variables!$AC$3:$AD$8,2,FALSE),"Y","N")</f>
        <v>N</v>
      </c>
      <c r="X118" s="204">
        <f t="shared" si="56"/>
        <v>1</v>
      </c>
      <c r="Y118" s="204">
        <f t="shared" si="54"/>
        <v>4.58E-2</v>
      </c>
      <c r="Z118" s="204">
        <f t="shared" si="55"/>
        <v>23.330100000000002</v>
      </c>
      <c r="AA118" s="204">
        <f t="shared" si="37"/>
        <v>23.284300000000002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38"/>
        <v>205</v>
      </c>
      <c r="AE118" s="77" t="str">
        <f t="shared" si="39"/>
        <v>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 &amp; aws s3 cp s3://rtdc.mdm.uploadarchive.raw/RTDC4032/ "%USERPROFILE%\AppData\Local\Temp\OnboardLogs"\RTDC4032\2017-09-23 --exclude "*" --recursive --include "*20170923*" &amp; "%USERPROFILE%\Documents\GitHub\mrs-test-scripts\Headless Mode &amp; Sideloading\WalkAndUnGZ.bat" "%USERPROFILE%\AppData\Local\Temp\OnboardLogs"\RTDC4032\2017-09-23</v>
      </c>
      <c r="AF118" s="74" t="str">
        <f t="shared" si="40"/>
        <v>"C:\Program Files (x86)\AstroGrep\AstroGrep.exe" /e /r /s /spath="%USERPROFILE%\AppData\Local\Temp\OnboardLogs" /stypes="app*4032*20170922*" /stext=" 23:.+((SYSTEM_STATE.+slice.+state.+changed )|(ment ac)|(multiple cpu faults)|(system.+state.+changed )|(\[timeout)|(PRM\|1\|D)|(kpr)|(kdp)|(train st.+moving)|(\|lc)|(penalty))"</v>
      </c>
      <c r="AG118" s="182" t="str">
        <f t="shared" si="41"/>
        <v>EC</v>
      </c>
      <c r="AH118" s="78" t="str">
        <f t="shared" si="42"/>
        <v>"%USERPROFILE%\Documents\GitHub\eaglep3\Utilities\RefineRTDCRunTimes.py" --tripid 205-22 --locoid 4032 --swversion DE.1.0.9.0 --startMP 204:458 --initTime 2017-09-22T16:39:19 --startdatetime 2017-09-22T16:45:16 --delay 57 --endMP 204:233301 --enddatetime 2017-09-22T17:21:14 --enforcementcount 0 &gt;&gt;c:\users\stu\Documents\GitHub\eaglep3-reporting\EC\2017-09-22-refined-times.txt</v>
      </c>
      <c r="AI118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{"issue":{"subject":"","project_id":79,"tracker_id":40,"status_id":1,"priority_id":2,"assigned_to_id":338,"start_date":"2017-09-22","description":"","custom_fields":[{"id":1,"name":"Subdivision","value":"EC"},{"id":4,"name":"Milepost","value":"23.3301"},{"id":17,"name":"Train ID","value":"205-22"},{"id":16,"name":"Locomotive ID","value":"4032"},{"id":130,"name":"Impact","value":""},{"id":150,"name":"Time of Event (Mountain Time)","value":"17:21:14"},{"id":151,"name":"Denver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4"/>
        <v>start /low /b %USERPROFILE%\Documents\GitHub\eaglep3\Utilities\DownloadLogsFromS3.py --loco 4032 --day 2017-09-22</v>
      </c>
      <c r="AN118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23:21:14"},{"id":29,"name":"Sharepoint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46"/>
        <v>https://d0f6bd738d7f1b3e5a7ca70fe4ff75f0.us-east-1.aws.found.io/app/kibana#/discover/Steve-Slow-Train-Analysis-(2080s-and-2083s)?_g=(refreshInterval:(display:Off,pause:!f,section:0,value:0),time:(from:'2017-09-22T15:39:19-0600',mode:absolute,to:'2017-09-22T18:21:14-0600'))&amp;_a=(columns:!('Message%20ID',Summary),filters:!(),index:'emp_*',interval:auto,query:(query_string:(analyze_wildcard:!t,query:'Message%5C+ID:(*)+AND+%22rtdc.l.rtdc.4032%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768</v>
      </c>
      <c r="B119" s="7">
        <v>4031</v>
      </c>
      <c r="C119" s="21" t="s">
        <v>196</v>
      </c>
      <c r="D119" s="21" t="s">
        <v>418</v>
      </c>
      <c r="E119" s="13">
        <v>43000.731041666666</v>
      </c>
      <c r="F119" s="13">
        <v>43000.737685185188</v>
      </c>
      <c r="G119" s="7">
        <v>60</v>
      </c>
      <c r="H119" s="21" t="s">
        <v>337</v>
      </c>
      <c r="I119" s="13">
        <v>43000.763124999998</v>
      </c>
      <c r="J119" s="7">
        <v>0</v>
      </c>
      <c r="K119" s="89" t="str">
        <f t="shared" si="30"/>
        <v>4031/4032</v>
      </c>
      <c r="L119" s="185" t="str">
        <f>VLOOKUP(A119,'Trips&amp;Operators'!$C$1:$G$99911,5,FALSE)</f>
        <v>BRUDER RICHARD</v>
      </c>
      <c r="M119" s="6">
        <f t="shared" si="31"/>
        <v>2.5439814809942618E-2</v>
      </c>
      <c r="N119" s="7">
        <f t="shared" si="57"/>
        <v>36.63333332631737</v>
      </c>
      <c r="O119" s="7"/>
      <c r="P119" s="7"/>
      <c r="Q119" s="22"/>
      <c r="R119" s="174"/>
      <c r="S119" s="221">
        <f t="shared" si="47"/>
        <v>1</v>
      </c>
      <c r="T119" s="174" t="str">
        <f t="shared" si="32"/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33"/>
        <v>https://d0f6bd738d7f1b3e5a7ca70fe4ff75f0.us-east-1.aws.found.io/app/kibana#/discover/Steve-Slow-Train-Analysis-(2080s-and-2083s)?_g=(refreshInterval:(display:Off,pause:!f,section:0,value:0),time:(from:'2017-09-22T16:32:42-0600',mode:absolute,to:'2017-09-22T19:18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9" s="204" t="str">
        <f>IF(AA119&lt;VLOOKUP(AG119,Variables!$AC$3:$AD$8,2,FALSE),"Y","N")</f>
        <v>N</v>
      </c>
      <c r="X119" s="204">
        <f t="shared" si="56"/>
        <v>1</v>
      </c>
      <c r="Y119" s="204">
        <f t="shared" si="54"/>
        <v>23.298200000000001</v>
      </c>
      <c r="Z119" s="204">
        <f t="shared" si="55"/>
        <v>1.49E-2</v>
      </c>
      <c r="AA119" s="204">
        <f t="shared" si="37"/>
        <v>23.283300000000001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38"/>
        <v>206</v>
      </c>
      <c r="AE119" s="77" t="str">
        <f t="shared" si="39"/>
        <v>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 &amp; aws s3 cp s3://rtdc.mdm.uploadarchive.raw/RTDC4031/ "%USERPROFILE%\AppData\Local\Temp\OnboardLogs"\RTDC4031\2017-09-23 --exclude "*" --recursive --include "*20170923*" &amp; "%USERPROFILE%\Documents\GitHub\mrs-test-scripts\Headless Mode &amp; Sideloading\WalkAndUnGZ.bat" "%USERPROFILE%\AppData\Local\Temp\OnboardLogs"\RTDC4031\2017-09-23</v>
      </c>
      <c r="AF119" s="74" t="str">
        <f t="shared" si="40"/>
        <v>"C:\Program Files (x86)\AstroGrep\AstroGrep.exe" /e /r /s /spath="%USERPROFILE%\AppData\Local\Temp\OnboardLogs" /stypes="app*4031*20170923*" /stext=" 00:.+((SYSTEM_STATE.+slice.+state.+changed )|(ment ac)|(multiple cpu faults)|(system.+state.+changed )|(\[timeout)|(PRM\|1\|D)|(kpr)|(kdp)|(train st.+moving)|(\|lc)|(penalty))"</v>
      </c>
      <c r="AG119" s="182" t="str">
        <f t="shared" si="41"/>
        <v>EC</v>
      </c>
      <c r="AH119" s="78" t="str">
        <f t="shared" si="42"/>
        <v>"%USERPROFILE%\Documents\GitHub\eaglep3\Utilities\RefineRTDCRunTimes.py" --tripid 206-22 --locoid 4031 --swversion DE.1.0.9.0 --startMP 204:232982 --initTime 2017-09-22T17:32:42 --startdatetime 2017-09-22T17:42:16 --delay 60 --endMP 204:149 --enddatetime 2017-09-22T18:18:54 --enforcementcount 0 &gt;&gt;c:\users\stu\Documents\GitHub\eaglep3-reporting\EC\2017-09-22-refined-times.txt</v>
      </c>
      <c r="AI119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{"issue":{"subject":"","project_id":79,"tracker_id":40,"status_id":1,"priority_id":2,"assigned_to_id":338,"start_date":"2017-09-22","description":"","custom_fields":[{"id":1,"name":"Subdivision","value":"EC"},{"id":4,"name":"Milepost","value":"0.0149"},{"id":17,"name":"Train ID","value":"206-22"},{"id":16,"name":"Locomotive ID","value":"4031"},{"id":130,"name":"Impact","value":""},{"id":150,"name":"Time of Event (Mountain Time)","value":"18:18:54"},{"id":151,"name":"Denver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4"/>
        <v>start /low /b %USERPROFILE%\Documents\GitHub\eaglep3\Utilities\DownloadLogsFromS3.py --loco 4031 --day 2017-09-22</v>
      </c>
      <c r="AN119" s="151" t="str">
        <f t="shared" si="45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00:18:54"},{"id":29,"name":"Sharepoint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46"/>
        <v>https://d0f6bd738d7f1b3e5a7ca70fe4ff75f0.us-east-1.aws.found.io/app/kibana#/discover/Steve-Slow-Train-Analysis-(2080s-and-2083s)?_g=(refreshInterval:(display:Off,pause:!f,section:0,value:0),time:(from:'2017-09-22T16:32:42-0600',mode:absolute,to:'2017-09-22T19:18:54-0600'))&amp;_a=(columns:!('Message%20ID',Summary),filters:!(),index:'emp_*',interval:auto,query:(query_string:(analyze_wildcard:!t,query:'Message%5C+ID:(*)+AND+%22rtdc.l.rtdc.4031%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603</v>
      </c>
      <c r="B120" s="7">
        <v>4002</v>
      </c>
      <c r="C120" s="21" t="s">
        <v>196</v>
      </c>
      <c r="D120" s="21" t="s">
        <v>431</v>
      </c>
      <c r="E120" s="13">
        <v>43000.702418981484</v>
      </c>
      <c r="F120" s="13">
        <v>43000.708518518521</v>
      </c>
      <c r="G120" s="7">
        <v>113</v>
      </c>
      <c r="H120" s="21" t="s">
        <v>421</v>
      </c>
      <c r="I120" s="13">
        <v>43000.733344907407</v>
      </c>
      <c r="J120" s="7">
        <v>0</v>
      </c>
      <c r="K120" s="89" t="str">
        <f t="shared" si="30"/>
        <v>4001/4002</v>
      </c>
      <c r="L120" s="185" t="str">
        <f>VLOOKUP(A120,'Trips&amp;Operators'!$C$1:$G$99911,5,FALSE)</f>
        <v>DELGADO DIANAH</v>
      </c>
      <c r="M120" s="6">
        <f t="shared" si="31"/>
        <v>2.4826388886140194E-2</v>
      </c>
      <c r="N120" s="7">
        <f t="shared" si="57"/>
        <v>35.749999996041879</v>
      </c>
      <c r="O120" s="7"/>
      <c r="P120" s="7"/>
      <c r="Q120" s="22"/>
      <c r="R120" s="174"/>
      <c r="S120" s="221">
        <f t="shared" si="47"/>
        <v>1</v>
      </c>
      <c r="T120" s="174" t="str">
        <f t="shared" si="32"/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33"/>
        <v>https://d0f6bd738d7f1b3e5a7ca70fe4ff75f0.us-east-1.aws.found.io/app/kibana#/discover/Steve-Slow-Train-Analysis-(2080s-and-2083s)?_g=(refreshInterval:(display:Off,pause:!f,section:0,value:0),time:(from:'2017-09-22T15:51:29-0600',mode:absolute,to:'2017-09-22T18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0" s="204" t="str">
        <f>IF(AA120&lt;VLOOKUP(AG120,Variables!$AC$3:$AD$8,2,FALSE),"Y","N")</f>
        <v>N</v>
      </c>
      <c r="X120" s="204">
        <f t="shared" si="56"/>
        <v>1</v>
      </c>
      <c r="Y120" s="204">
        <f t="shared" si="54"/>
        <v>4.5699999999999998E-2</v>
      </c>
      <c r="Z120" s="204">
        <f t="shared" si="55"/>
        <v>23.333200000000001</v>
      </c>
      <c r="AA120" s="204">
        <f t="shared" si="37"/>
        <v>23.287500000000001</v>
      </c>
      <c r="AB120" s="54" t="str">
        <f>VLOOKUP(A120,Enforcements!$C$7:$K$11,8,0)</f>
        <v>Bulletin (2)</v>
      </c>
      <c r="AC120" s="51" t="str">
        <f>VLOOKUP(A120,Enforcements!$C$7:$E$11,3,0)</f>
        <v>GRADE CROSSING</v>
      </c>
      <c r="AD120" s="179">
        <f t="shared" si="38"/>
        <v>207</v>
      </c>
      <c r="AE120" s="77" t="str">
        <f t="shared" si="39"/>
        <v>aws s3 cp s3://rtdc.mdm.uploadarchive.raw/RTDC4002/ "%USERPROFILE%\AppData\Local\Temp\OnboardLogs"\RTDC4002\2017-09-22 --exclude "*" --recursive --include "*20170922*" &amp; "%USERPROFILE%\Documents\GitHub\mrs-test-scripts\Headless Mode &amp; Sideloading\WalkAndUnGZ.bat" "%USERPROFILE%\AppData\Local\Temp\OnboardLogs"\RTDC4002\2017-09-22 &amp; 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</v>
      </c>
      <c r="AF120" s="74" t="str">
        <f t="shared" si="40"/>
        <v>"C:\Program Files (x86)\AstroGrep\AstroGrep.exe" /e /r /s /spath="%USERPROFILE%\AppData\Local\Temp\OnboardLogs" /stypes="app*4002*20170922*" /stext=" 23:.+((SYSTEM_STATE.+slice.+state.+changed )|(ment ac)|(multiple cpu faults)|(system.+state.+changed )|(\[timeout)|(PRM\|1\|D)|(kpr)|(kdp)|(train st.+moving)|(\|lc)|(penalty))"</v>
      </c>
      <c r="AG120" s="182" t="str">
        <f t="shared" si="41"/>
        <v>EC</v>
      </c>
      <c r="AH120" s="78" t="str">
        <f t="shared" si="42"/>
        <v>"%USERPROFILE%\Documents\GitHub\eaglep3\Utilities\RefineRTDCRunTimes.py" --tripid 207-22 --locoid 4002 --swversion DE.1.0.9.0 --startMP 204:457 --initTime 2017-09-22T16:51:29 --startdatetime 2017-09-22T17:00:16 --delay 113 --endMP 204:233332 --enddatetime 2017-09-22T17:36:01 --enforcementcount 0 &gt;&gt;c:\users\stu\Documents\GitHub\eaglep3-reporting\EC\2017-09-22-refined-times.txt</v>
      </c>
      <c r="AI120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{"issue":{"subject":"","project_id":79,"tracker_id":40,"status_id":1,"priority_id":2,"assigned_to_id":338,"start_date":"2017-09-22","description":"","custom_fields":[{"id":1,"name":"Subdivision","value":"EC"},{"id":4,"name":"Milepost","value":"23.3332"},{"id":17,"name":"Train ID","value":"207-22"},{"id":16,"name":"Locomotive ID","value":"4002"},{"id":130,"name":"Impact","value":""},{"id":150,"name":"Time of Event (Mountain Time)","value":"17:36:01"},{"id":151,"name":"Denver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4"/>
        <v>start /low /b %USERPROFILE%\Documents\GitHub\eaglep3\Utilities\DownloadLogsFromS3.py --loco 4002 --day 2017-09-22</v>
      </c>
      <c r="AN120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23:36:01"},{"id":29,"name":"Sharepoint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46"/>
        <v>https://d0f6bd738d7f1b3e5a7ca70fe4ff75f0.us-east-1.aws.found.io/app/kibana#/discover/Steve-Slow-Train-Analysis-(2080s-and-2083s)?_g=(refreshInterval:(display:Off,pause:!f,section:0,value:0),time:(from:'2017-09-22T15:51:29-0600',mode:absolute,to:'2017-09-22T18:36:01-0600'))&amp;_a=(columns:!('Message%20ID',Summary),filters:!(),index:'emp_*',interval:auto,query:(query_string:(analyze_wildcard:!t,query:'Message%5C+ID:(*)+AND+%22rtdc.l.rtdc.4002%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771</v>
      </c>
      <c r="B121" s="7">
        <v>4001</v>
      </c>
      <c r="C121" s="21" t="s">
        <v>196</v>
      </c>
      <c r="D121" s="21" t="s">
        <v>858</v>
      </c>
      <c r="E121" s="13">
        <v>43000.739282407405</v>
      </c>
      <c r="F121" s="13">
        <v>43000.748263888891</v>
      </c>
      <c r="G121" s="7">
        <v>50</v>
      </c>
      <c r="H121" s="21" t="s">
        <v>872</v>
      </c>
      <c r="I121" s="13">
        <v>43000.773287037038</v>
      </c>
      <c r="J121" s="7">
        <v>0</v>
      </c>
      <c r="K121" s="89" t="str">
        <f t="shared" si="30"/>
        <v>4001/4002</v>
      </c>
      <c r="L121" s="185" t="str">
        <f>VLOOKUP(A121,'Trips&amp;Operators'!$C$1:$G$99911,5,FALSE)</f>
        <v>DELGADO DIANAH</v>
      </c>
      <c r="M121" s="6">
        <f t="shared" si="31"/>
        <v>2.5023148147738539E-2</v>
      </c>
      <c r="N121" s="7">
        <f t="shared" si="57"/>
        <v>36.033333332743496</v>
      </c>
      <c r="O121" s="7"/>
      <c r="P121" s="7"/>
      <c r="Q121" s="22"/>
      <c r="R121" s="174"/>
      <c r="S121" s="221">
        <f t="shared" si="47"/>
        <v>1</v>
      </c>
      <c r="T121" s="174" t="str">
        <f t="shared" si="32"/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33"/>
        <v>https://d0f6bd738d7f1b3e5a7ca70fe4ff75f0.us-east-1.aws.found.io/app/kibana#/discover/Steve-Slow-Train-Analysis-(2080s-and-2083s)?_g=(refreshInterval:(display:Off,pause:!f,section:0,value:0),time:(from:'2017-09-22T16:44:34-0600',mode:absolute,to:'2017-09-22T19:33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1" s="204" t="str">
        <f>IF(AA121&lt;VLOOKUP(AG121,Variables!$AC$3:$AD$8,2,FALSE),"Y","N")</f>
        <v>N</v>
      </c>
      <c r="X121" s="204">
        <f t="shared" si="56"/>
        <v>1</v>
      </c>
      <c r="Y121" s="204">
        <f t="shared" si="54"/>
        <v>23.300999999999998</v>
      </c>
      <c r="Z121" s="204">
        <f t="shared" si="55"/>
        <v>9.4700000000000006E-2</v>
      </c>
      <c r="AA121" s="204">
        <f t="shared" si="37"/>
        <v>23.206299999999999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38"/>
        <v>208</v>
      </c>
      <c r="AE121" s="77" t="str">
        <f t="shared" si="39"/>
        <v>aws s3 cp s3://rtdc.mdm.uploadarchive.raw/RTDC4001/ "%USERPROFILE%\AppData\Local\Temp\OnboardLogs"\RTDC4001\2017-09-22 --exclude "*" --recursive --include "*20170922*" &amp; "%USERPROFILE%\Documents\GitHub\mrs-test-scripts\Headless Mode &amp; Sideloading\WalkAndUnGZ.bat" "%USERPROFILE%\AppData\Local\Temp\OnboardLogs"\RTDC4001\2017-09-22 &amp; 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</v>
      </c>
      <c r="AF121" s="74" t="str">
        <f t="shared" si="40"/>
        <v>"C:\Program Files (x86)\AstroGrep\AstroGrep.exe" /e /r /s /spath="%USERPROFILE%\AppData\Local\Temp\OnboardLogs" /stypes="app*4001*20170923*" /stext=" 00:.+((SYSTEM_STATE.+slice.+state.+changed )|(ment ac)|(multiple cpu faults)|(system.+state.+changed )|(\[timeout)|(PRM\|1\|D)|(kpr)|(kdp)|(train st.+moving)|(\|lc)|(penalty))"</v>
      </c>
      <c r="AG121" s="182" t="str">
        <f t="shared" si="41"/>
        <v>EC</v>
      </c>
      <c r="AH121" s="78" t="str">
        <f t="shared" si="42"/>
        <v>"%USERPROFILE%\Documents\GitHub\eaglep3\Utilities\RefineRTDCRunTimes.py" --tripid 208-22 --locoid 4001 --swversion DE.1.0.9.0 --startMP 204:233010 --initTime 2017-09-22T17:44:34 --startdatetime 2017-09-22T17:57:30 --delay 50 --endMP 204:947 --enddatetime 2017-09-22T18:33:32 --enforcementcount 0 &gt;&gt;c:\users\stu\Documents\GitHub\eaglep3-reporting\EC\2017-09-22-refined-times.txt</v>
      </c>
      <c r="AI121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{"issue":{"subject":"","project_id":79,"tracker_id":40,"status_id":1,"priority_id":2,"assigned_to_id":338,"start_date":"2017-09-22","description":"","custom_fields":[{"id":1,"name":"Subdivision","value":"EC"},{"id":4,"name":"Milepost","value":"0.0947"},{"id":17,"name":"Train ID","value":"208-22"},{"id":16,"name":"Locomotive ID","value":"4001"},{"id":130,"name":"Impact","value":""},{"id":150,"name":"Time of Event (Mountain Time)","value":"18:33:32"},{"id":151,"name":"Denver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4"/>
        <v>start /low /b %USERPROFILE%\Documents\GitHub\eaglep3\Utilities\DownloadLogsFromS3.py --loco 4001 --day 2017-09-22</v>
      </c>
      <c r="AN121" s="151" t="str">
        <f t="shared" si="45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00:33:32"},{"id":29,"name":"Sharepoint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46"/>
        <v>https://d0f6bd738d7f1b3e5a7ca70fe4ff75f0.us-east-1.aws.found.io/app/kibana#/discover/Steve-Slow-Train-Analysis-(2080s-and-2083s)?_g=(refreshInterval:(display:Off,pause:!f,section:0,value:0),time:(from:'2017-09-22T16:44:34-0600',mode:absolute,to:'2017-09-22T19:33:32-0600'))&amp;_a=(columns:!('Message%20ID',Summary),filters:!(),index:'emp_*',interval:auto,query:(query_string:(analyze_wildcard:!t,query:'Message%5C+ID:(*)+AND+%22rtdc.l.rtdc.4001%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765</v>
      </c>
      <c r="B122" s="7">
        <v>4064</v>
      </c>
      <c r="C122" s="21" t="s">
        <v>196</v>
      </c>
      <c r="D122" s="21" t="s">
        <v>356</v>
      </c>
      <c r="E122" s="13">
        <v>43000.715752314813</v>
      </c>
      <c r="F122" s="13">
        <v>43000.718958333331</v>
      </c>
      <c r="G122" s="7">
        <v>71</v>
      </c>
      <c r="H122" s="21" t="s">
        <v>397</v>
      </c>
      <c r="I122" s="13">
        <v>43000.744166666664</v>
      </c>
      <c r="J122" s="7">
        <v>0</v>
      </c>
      <c r="K122" s="89" t="str">
        <f t="shared" si="30"/>
        <v>4063/4064</v>
      </c>
      <c r="L122" s="185" t="str">
        <f>VLOOKUP(A122,'Trips&amp;Operators'!$C$1:$G$99911,5,FALSE)</f>
        <v>FORTUNATO FRANK</v>
      </c>
      <c r="M122" s="6">
        <f t="shared" si="31"/>
        <v>2.5208333332557231E-2</v>
      </c>
      <c r="N122" s="7">
        <f t="shared" si="57"/>
        <v>36.299999998882413</v>
      </c>
      <c r="O122" s="7"/>
      <c r="P122" s="7"/>
      <c r="Q122" s="22"/>
      <c r="R122" s="174"/>
      <c r="S122" s="221">
        <f t="shared" si="47"/>
        <v>1</v>
      </c>
      <c r="T122" s="174" t="str">
        <f t="shared" si="32"/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33"/>
        <v>https://d0f6bd738d7f1b3e5a7ca70fe4ff75f0.us-east-1.aws.found.io/app/kibana#/discover/Steve-Slow-Train-Analysis-(2080s-and-2083s)?_g=(refreshInterval:(display:Off,pause:!f,section:0,value:0),time:(from:'2017-09-22T16:10:41-0600',mode:absolute,to:'2017-09-22T18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2" s="204" t="str">
        <f>IF(AA122&lt;VLOOKUP(AG122,Variables!$AC$3:$AD$8,2,FALSE),"Y","N")</f>
        <v>N</v>
      </c>
      <c r="X122" s="204">
        <f t="shared" si="56"/>
        <v>1</v>
      </c>
      <c r="Y122" s="204">
        <f t="shared" si="54"/>
        <v>4.58E-2</v>
      </c>
      <c r="Z122" s="204">
        <f t="shared" si="55"/>
        <v>23.331199999999999</v>
      </c>
      <c r="AA122" s="204">
        <f t="shared" si="37"/>
        <v>23.285399999999999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38"/>
        <v>209</v>
      </c>
      <c r="AE122" s="77" t="str">
        <f t="shared" si="39"/>
        <v>aws s3 cp s3://rtdc.mdm.uploadarchive.raw/RTDC4064/ "%USERPROFILE%\AppData\Local\Temp\OnboardLogs"\RTDC4064\2017-09-22 --exclude "*" --recursive --include "*20170922*" &amp; "%USERPROFILE%\Documents\GitHub\mrs-test-scripts\Headless Mode &amp; Sideloading\WalkAndUnGZ.bat" "%USERPROFILE%\AppData\Local\Temp\OnboardLogs"\RTDC4064\2017-09-22 &amp; aws s3 cp s3://rtdc.mdm.uploadarchive.raw/RTDC4064/ "%USERPROFILE%\AppData\Local\Temp\OnboardLogs"\RTDC4064\2017-09-23 --exclude "*" --recursive --include "*20170923*" &amp; "%USERPROFILE%\Documents\GitHub\mrs-test-scripts\Headless Mode &amp; Sideloading\WalkAndUnGZ.bat" "%USERPROFILE%\AppData\Local\Temp\OnboardLogs"\RTDC4064\2017-09-23</v>
      </c>
      <c r="AF122" s="74" t="str">
        <f t="shared" si="40"/>
        <v>"C:\Program Files (x86)\AstroGrep\AstroGrep.exe" /e /r /s /spath="%USERPROFILE%\AppData\Local\Temp\OnboardLogs" /stypes="app*4064*20170922*" /stext=" 23:.+((SYSTEM_STATE.+slice.+state.+changed )|(ment ac)|(multiple cpu faults)|(system.+state.+changed )|(\[timeout)|(PRM\|1\|D)|(kpr)|(kdp)|(train st.+moving)|(\|lc)|(penalty))"</v>
      </c>
      <c r="AG122" s="182" t="str">
        <f t="shared" si="41"/>
        <v>EC</v>
      </c>
      <c r="AH122" s="78" t="str">
        <f t="shared" si="42"/>
        <v>"%USERPROFILE%\Documents\GitHub\eaglep3\Utilities\RefineRTDCRunTimes.py" --tripid 209-22 --locoid 4064 --swversion DE.1.0.9.0 --startMP 204:458 --initTime 2017-09-22T17:10:41 --startdatetime 2017-09-22T17:15:18 --delay 71 --endMP 204:233312 --enddatetime 2017-09-22T17:51:36 --enforcementcount 0 &gt;&gt;c:\users\stu\Documents\GitHub\eaglep3-reporting\EC\2017-09-22-refined-times.txt</v>
      </c>
      <c r="AI122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{"issue":{"subject":"","project_id":79,"tracker_id":40,"status_id":1,"priority_id":2,"assigned_to_id":338,"start_date":"2017-09-22","description":"","custom_fields":[{"id":1,"name":"Subdivision","value":"EC"},{"id":4,"name":"Milepost","value":"23.3312"},{"id":17,"name":"Train ID","value":"209-22"},{"id":16,"name":"Locomotive ID","value":"4064"},{"id":130,"name":"Impact","value":""},{"id":150,"name":"Time of Event (Mountain Time)","value":"17:51:36"},{"id":151,"name":"Denver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4"/>
        <v>start /low /b %USERPROFILE%\Documents\GitHub\eaglep3\Utilities\DownloadLogsFromS3.py --loco 4064 --day 2017-09-22</v>
      </c>
      <c r="AN122" s="151" t="str">
        <f t="shared" si="45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23:51:36"},{"id":29,"name":"Sharepoint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46"/>
        <v>https://d0f6bd738d7f1b3e5a7ca70fe4ff75f0.us-east-1.aws.found.io/app/kibana#/discover/Steve-Slow-Train-Analysis-(2080s-and-2083s)?_g=(refreshInterval:(display:Off,pause:!f,section:0,value:0),time:(from:'2017-09-22T16:10:41-0600',mode:absolute,to:'2017-09-22T18:51:36-0600'))&amp;_a=(columns:!('Message%20ID',Summary),filters:!(),index:'emp_*',interval:auto,query:(query_string:(analyze_wildcard:!t,query:'Message%5C+ID:(*)+AND+%22rtdc.l.rtdc.4064%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774</v>
      </c>
      <c r="B123" s="7">
        <v>4063</v>
      </c>
      <c r="C123" s="21" t="s">
        <v>196</v>
      </c>
      <c r="D123" s="21" t="s">
        <v>380</v>
      </c>
      <c r="E123" s="13">
        <v>43000.745509259257</v>
      </c>
      <c r="F123" s="13">
        <v>43000.758576388886</v>
      </c>
      <c r="G123" s="7">
        <v>51</v>
      </c>
      <c r="H123" s="21" t="s">
        <v>336</v>
      </c>
      <c r="I123" s="13">
        <v>43000.78429398148</v>
      </c>
      <c r="J123" s="7">
        <v>0</v>
      </c>
      <c r="K123" s="89" t="str">
        <f t="shared" si="30"/>
        <v>4063/4064</v>
      </c>
      <c r="L123" s="185" t="str">
        <f>VLOOKUP(A123,'Trips&amp;Operators'!$C$1:$G$99911,5,FALSE)</f>
        <v>FORTUNATO FRANK</v>
      </c>
      <c r="M123" s="6">
        <f t="shared" si="31"/>
        <v>2.5717592594446614E-2</v>
      </c>
      <c r="N123" s="7">
        <f t="shared" si="57"/>
        <v>37.033333336003125</v>
      </c>
      <c r="O123" s="7"/>
      <c r="P123" s="7"/>
      <c r="Q123" s="22"/>
      <c r="R123" s="174"/>
      <c r="S123" s="221">
        <f t="shared" si="47"/>
        <v>1</v>
      </c>
      <c r="T123" s="174" t="str">
        <f t="shared" si="32"/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33"/>
        <v>https://d0f6bd738d7f1b3e5a7ca70fe4ff75f0.us-east-1.aws.found.io/app/kibana#/discover/Steve-Slow-Train-Analysis-(2080s-and-2083s)?_g=(refreshInterval:(display:Off,pause:!f,section:0,value:0),time:(from:'2017-09-22T16:53:32-0600',mode:absolute,to:'2017-09-22T19:49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3" s="204" t="str">
        <f>IF(AA123&lt;VLOOKUP(AG123,Variables!$AC$3:$AD$8,2,FALSE),"Y","N")</f>
        <v>N</v>
      </c>
      <c r="X123" s="204">
        <f t="shared" si="56"/>
        <v>1</v>
      </c>
      <c r="Y123" s="204">
        <f t="shared" si="54"/>
        <v>23.299399999999999</v>
      </c>
      <c r="Z123" s="204">
        <f t="shared" si="55"/>
        <v>1.4999999999999999E-2</v>
      </c>
      <c r="AA123" s="204">
        <f t="shared" si="37"/>
        <v>23.284399999999998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38"/>
        <v>210</v>
      </c>
      <c r="AE123" s="77" t="str">
        <f t="shared" si="39"/>
        <v>aws s3 cp s3://rtdc.mdm.uploadarchive.raw/RTDC4063/ "%USERPROFILE%\AppData\Local\Temp\OnboardLogs"\RTDC4063\2017-09-22 --exclude "*" --recursive --include "*20170922*" &amp; "%USERPROFILE%\Documents\GitHub\mrs-test-scripts\Headless Mode &amp; Sideloading\WalkAndUnGZ.bat" "%USERPROFILE%\AppData\Local\Temp\OnboardLogs"\RTDC4063\2017-09-22 &amp; aws s3 cp s3://rtdc.mdm.uploadarchive.raw/RTDC4063/ "%USERPROFILE%\AppData\Local\Temp\OnboardLogs"\RTDC4063\2017-09-23 --exclude "*" --recursive --include "*20170923*" &amp; "%USERPROFILE%\Documents\GitHub\mrs-test-scripts\Headless Mode &amp; Sideloading\WalkAndUnGZ.bat" "%USERPROFILE%\AppData\Local\Temp\OnboardLogs"\RTDC4063\2017-09-23</v>
      </c>
      <c r="AF123" s="74" t="str">
        <f t="shared" si="40"/>
        <v>"C:\Program Files (x86)\AstroGrep\AstroGrep.exe" /e /r /s /spath="%USERPROFILE%\AppData\Local\Temp\OnboardLogs" /stypes="app*4063*20170923*" /stext=" 00:.+((SYSTEM_STATE.+slice.+state.+changed )|(ment ac)|(multiple cpu faults)|(system.+state.+changed )|(\[timeout)|(PRM\|1\|D)|(kpr)|(kdp)|(train st.+moving)|(\|lc)|(penalty))"</v>
      </c>
      <c r="AG123" s="182" t="str">
        <f t="shared" si="41"/>
        <v>EC</v>
      </c>
      <c r="AH123" s="78" t="str">
        <f t="shared" si="42"/>
        <v>"%USERPROFILE%\Documents\GitHub\eaglep3\Utilities\RefineRTDCRunTimes.py" --tripid 210-22 --locoid 4063 --swversion DE.1.0.9.0 --startMP 204:232994 --initTime 2017-09-22T17:53:32 --startdatetime 2017-09-22T18:12:21 --delay 51 --endMP 204:150 --enddatetime 2017-09-22T18:49:23 --enforcementcount 0 &gt;&gt;c:\users\stu\Documents\GitHub\eaglep3-reporting\EC\2017-09-22-refined-times.txt</v>
      </c>
      <c r="AI123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{"issue":{"subject":"","project_id":79,"tracker_id":40,"status_id":1,"priority_id":2,"assigned_to_id":338,"start_date":"2017-09-22","description":"","custom_fields":[{"id":1,"name":"Subdivision","value":"EC"},{"id":4,"name":"Milepost","value":"0.015"},{"id":17,"name":"Train ID","value":"210-22"},{"id":16,"name":"Locomotive ID","value":"4063"},{"id":130,"name":"Impact","value":""},{"id":150,"name":"Time of Event (Mountain Time)","value":"18:49:23"},{"id":151,"name":"Denver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4"/>
        <v>start /low /b %USERPROFILE%\Documents\GitHub\eaglep3\Utilities\DownloadLogsFromS3.py --loco 4063 --day 2017-09-22</v>
      </c>
      <c r="AN123" s="151" t="str">
        <f t="shared" si="45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00:49:23"},{"id":29,"name":"Sharepoint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46"/>
        <v>https://d0f6bd738d7f1b3e5a7ca70fe4ff75f0.us-east-1.aws.found.io/app/kibana#/discover/Steve-Slow-Train-Analysis-(2080s-and-2083s)?_g=(refreshInterval:(display:Off,pause:!f,section:0,value:0),time:(from:'2017-09-22T16:53:32-0600',mode:absolute,to:'2017-09-22T19:49:23-0600'))&amp;_a=(columns:!('Message%20ID',Summary),filters:!(),index:'emp_*',interval:auto,query:(query_string:(analyze_wildcard:!t,query:'Message%5C+ID:(*)+AND+%22rtdc.l.rtdc.4063%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767</v>
      </c>
      <c r="B124" s="7">
        <v>4062</v>
      </c>
      <c r="C124" s="21" t="s">
        <v>196</v>
      </c>
      <c r="D124" s="21" t="s">
        <v>396</v>
      </c>
      <c r="E124" s="13">
        <v>43000.724606481483</v>
      </c>
      <c r="F124" s="13">
        <v>43000.729363425926</v>
      </c>
      <c r="G124" s="7">
        <v>75</v>
      </c>
      <c r="H124" s="21" t="s">
        <v>862</v>
      </c>
      <c r="I124" s="13">
        <v>43000.754305555558</v>
      </c>
      <c r="J124" s="7">
        <v>0</v>
      </c>
      <c r="K124" s="89" t="str">
        <f t="shared" si="30"/>
        <v>4061/4062</v>
      </c>
      <c r="L124" s="185" t="str">
        <f>VLOOKUP(A124,'Trips&amp;Operators'!$C$1:$G$99911,5,FALSE)</f>
        <v>LEVIN SCOTT</v>
      </c>
      <c r="M124" s="6">
        <f t="shared" si="31"/>
        <v>2.4942129632108845E-2</v>
      </c>
      <c r="N124" s="7">
        <f t="shared" si="57"/>
        <v>35.916666670236737</v>
      </c>
      <c r="O124" s="7"/>
      <c r="P124" s="7"/>
      <c r="Q124" s="22"/>
      <c r="R124" s="174"/>
      <c r="S124" s="221">
        <f t="shared" si="47"/>
        <v>1</v>
      </c>
      <c r="T124" s="174" t="str">
        <f t="shared" si="32"/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33"/>
        <v>https://d0f6bd738d7f1b3e5a7ca70fe4ff75f0.us-east-1.aws.found.io/app/kibana#/discover/Steve-Slow-Train-Analysis-(2080s-and-2083s)?_g=(refreshInterval:(display:Off,pause:!f,section:0,value:0),time:(from:'2017-09-22T16:23:26-0600',mode:absolute,to:'2017-09-22T19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4" s="204" t="str">
        <f>IF(AA124&lt;VLOOKUP(AG124,Variables!$AC$3:$AD$8,2,FALSE),"Y","N")</f>
        <v>N</v>
      </c>
      <c r="X124" s="204">
        <f t="shared" si="56"/>
        <v>1</v>
      </c>
      <c r="Y124" s="204">
        <f t="shared" si="54"/>
        <v>4.5100000000000001E-2</v>
      </c>
      <c r="Z124" s="204">
        <f t="shared" si="55"/>
        <v>23.334599999999998</v>
      </c>
      <c r="AA124" s="204">
        <f t="shared" si="37"/>
        <v>23.289499999999997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38"/>
        <v>211</v>
      </c>
      <c r="AE124" s="77" t="str">
        <f t="shared" si="39"/>
        <v>aws s3 cp s3://rtdc.mdm.uploadarchive.raw/RTDC4062/ "%USERPROFILE%\AppData\Local\Temp\OnboardLogs"\RTDC4062\2017-09-22 --exclude "*" --recursive --include "*20170922*" &amp; "%USERPROFILE%\Documents\GitHub\mrs-test-scripts\Headless Mode &amp; Sideloading\WalkAndUnGZ.bat" "%USERPROFILE%\AppData\Local\Temp\OnboardLogs"\RTDC4062\2017-09-22 &amp; aws s3 cp s3://rtdc.mdm.uploadarchive.raw/RTDC4062/ "%USERPROFILE%\AppData\Local\Temp\OnboardLogs"\RTDC4062\2017-09-23 --exclude "*" --recursive --include "*20170923*" &amp; "%USERPROFILE%\Documents\GitHub\mrs-test-scripts\Headless Mode &amp; Sideloading\WalkAndUnGZ.bat" "%USERPROFILE%\AppData\Local\Temp\OnboardLogs"\RTDC4062\2017-09-23</v>
      </c>
      <c r="AF124" s="74" t="str">
        <f t="shared" si="40"/>
        <v>"C:\Program Files (x86)\AstroGrep\AstroGrep.exe" /e /r /s /spath="%USERPROFILE%\AppData\Local\Temp\OnboardLogs" /stypes="app*4062*20170923*" /stext=" 00:.+((SYSTEM_STATE.+slice.+state.+changed )|(ment ac)|(multiple cpu faults)|(system.+state.+changed )|(\[timeout)|(PRM\|1\|D)|(kpr)|(kdp)|(train st.+moving)|(\|lc)|(penalty))"</v>
      </c>
      <c r="AG124" s="182" t="str">
        <f t="shared" si="41"/>
        <v>EC</v>
      </c>
      <c r="AH124" s="78" t="str">
        <f t="shared" si="42"/>
        <v>"%USERPROFILE%\Documents\GitHub\eaglep3\Utilities\RefineRTDCRunTimes.py" --tripid 211-22 --locoid 4062 --swversion DE.1.0.9.0 --startMP 204:451 --initTime 2017-09-22T17:23:26 --startdatetime 2017-09-22T17:30:17 --delay 75 --endMP 204:233346 --enddatetime 2017-09-22T18:06:12 --enforcementcount 0 &gt;&gt;c:\users\stu\Documents\GitHub\eaglep3-reporting\EC\2017-09-22-refined-times.txt</v>
      </c>
      <c r="AI124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{"issue":{"subject":"","project_id":79,"tracker_id":40,"status_id":1,"priority_id":2,"assigned_to_id":338,"start_date":"2017-09-22","description":"","custom_fields":[{"id":1,"name":"Subdivision","value":"EC"},{"id":4,"name":"Milepost","value":"23.3346"},{"id":17,"name":"Train ID","value":"211-22"},{"id":16,"name":"Locomotive ID","value":"4062"},{"id":130,"name":"Impact","value":""},{"id":150,"name":"Time of Event (Mountain Time)","value":"18:06:12"},{"id":151,"name":"Denver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4"/>
        <v>start /low /b %USERPROFILE%\Documents\GitHub\eaglep3\Utilities\DownloadLogsFromS3.py --loco 4062 --day 2017-09-22</v>
      </c>
      <c r="AN124" s="151" t="str">
        <f t="shared" si="45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00:06:12"},{"id":29,"name":"Sharepoint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46"/>
        <v>https://d0f6bd738d7f1b3e5a7ca70fe4ff75f0.us-east-1.aws.found.io/app/kibana#/discover/Steve-Slow-Train-Analysis-(2080s-and-2083s)?_g=(refreshInterval:(display:Off,pause:!f,section:0,value:0),time:(from:'2017-09-22T16:23:26-0600',mode:absolute,to:'2017-09-22T19:06:12-0600'))&amp;_a=(columns:!('Message%20ID',Summary),filters:!(),index:'emp_*',interval:auto,query:(query_string:(analyze_wildcard:!t,query:'Message%5C+ID:(*)+AND+%22rtdc.l.rtdc.4062%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776</v>
      </c>
      <c r="B125" s="7">
        <v>4061</v>
      </c>
      <c r="C125" s="21" t="s">
        <v>196</v>
      </c>
      <c r="D125" s="21" t="s">
        <v>400</v>
      </c>
      <c r="E125" s="13">
        <v>43000.75818287037</v>
      </c>
      <c r="F125" s="13">
        <v>43000.768923611111</v>
      </c>
      <c r="G125" s="7">
        <v>50</v>
      </c>
      <c r="H125" s="21" t="s">
        <v>393</v>
      </c>
      <c r="I125" s="13">
        <v>43000.794699074075</v>
      </c>
      <c r="J125" s="7">
        <v>0</v>
      </c>
      <c r="K125" s="89" t="str">
        <f t="shared" si="30"/>
        <v>4061/4062</v>
      </c>
      <c r="L125" s="185" t="str">
        <f>VLOOKUP(A125,'Trips&amp;Operators'!$C$1:$G$99911,5,FALSE)</f>
        <v>LEVIN SCOTT</v>
      </c>
      <c r="M125" s="6">
        <f t="shared" si="31"/>
        <v>2.5775462963792961E-2</v>
      </c>
      <c r="N125" s="7">
        <f t="shared" si="57"/>
        <v>37.116666667861864</v>
      </c>
      <c r="O125" s="7"/>
      <c r="P125" s="7"/>
      <c r="Q125" s="22"/>
      <c r="R125" s="174"/>
      <c r="S125" s="221">
        <f t="shared" si="47"/>
        <v>1</v>
      </c>
      <c r="T125" s="174" t="str">
        <f t="shared" si="32"/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33"/>
        <v>https://d0f6bd738d7f1b3e5a7ca70fe4ff75f0.us-east-1.aws.found.io/app/kibana#/discover/Steve-Slow-Train-Analysis-(2080s-and-2083s)?_g=(refreshInterval:(display:Off,pause:!f,section:0,value:0),time:(from:'2017-09-22T17:11:47-0600',mode:absolute,to:'2017-09-22T20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5" s="204" t="str">
        <f>IF(AA125&lt;VLOOKUP(AG125,Variables!$AC$3:$AD$8,2,FALSE),"Y","N")</f>
        <v>N</v>
      </c>
      <c r="X125" s="204">
        <f t="shared" si="56"/>
        <v>1</v>
      </c>
      <c r="Y125" s="204">
        <f t="shared" si="54"/>
        <v>23.301300000000001</v>
      </c>
      <c r="Z125" s="204">
        <f t="shared" si="55"/>
        <v>1.6299999999999999E-2</v>
      </c>
      <c r="AA125" s="204">
        <f t="shared" si="37"/>
        <v>23.285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38"/>
        <v>212</v>
      </c>
      <c r="AE125" s="77" t="str">
        <f t="shared" si="39"/>
        <v>aws s3 cp s3://rtdc.mdm.uploadarchive.raw/RTDC4061/ "%USERPROFILE%\AppData\Local\Temp\OnboardLogs"\RTDC4061\2017-09-22 --exclude "*" --recursive --include "*20170922*" &amp; "%USERPROFILE%\Documents\GitHub\mrs-test-scripts\Headless Mode &amp; Sideloading\WalkAndUnGZ.bat" "%USERPROFILE%\AppData\Local\Temp\OnboardLogs"\RTDC4061\2017-09-22 &amp; aws s3 cp s3://rtdc.mdm.uploadarchive.raw/RTDC4061/ "%USERPROFILE%\AppData\Local\Temp\OnboardLogs"\RTDC4061\2017-09-23 --exclude "*" --recursive --include "*20170923*" &amp; "%USERPROFILE%\Documents\GitHub\mrs-test-scripts\Headless Mode &amp; Sideloading\WalkAndUnGZ.bat" "%USERPROFILE%\AppData\Local\Temp\OnboardLogs"\RTDC4061\2017-09-23</v>
      </c>
      <c r="AF125" s="74" t="str">
        <f t="shared" si="40"/>
        <v>"C:\Program Files (x86)\AstroGrep\AstroGrep.exe" /e /r /s /spath="%USERPROFILE%\AppData\Local\Temp\OnboardLogs" /stypes="app*4061*20170923*" /stext=" 01:.+((SYSTEM_STATE.+slice.+state.+changed )|(ment ac)|(multiple cpu faults)|(system.+state.+changed )|(\[timeout)|(PRM\|1\|D)|(kpr)|(kdp)|(train st.+moving)|(\|lc)|(penalty))"</v>
      </c>
      <c r="AG125" s="182" t="str">
        <f t="shared" si="41"/>
        <v>EC</v>
      </c>
      <c r="AH125" s="78" t="str">
        <f t="shared" si="42"/>
        <v>"%USERPROFILE%\Documents\GitHub\eaglep3\Utilities\RefineRTDCRunTimes.py" --tripid 212-22 --locoid 4061 --swversion DE.1.0.9.0 --startMP 204:233013 --initTime 2017-09-22T18:11:47 --startdatetime 2017-09-22T18:27:15 --delay 50 --endMP 204:163 --enddatetime 2017-09-22T19:04:22 --enforcementcount 0 &gt;&gt;c:\users\stu\Documents\GitHub\eaglep3-reporting\EC\2017-09-22-refined-times.txt</v>
      </c>
      <c r="AI125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{"issue":{"subject":"","project_id":79,"tracker_id":40,"status_id":1,"priority_id":2,"assigned_to_id":338,"start_date":"2017-09-22","description":"","custom_fields":[{"id":1,"name":"Subdivision","value":"EC"},{"id":4,"name":"Milepost","value":"0.0163"},{"id":17,"name":"Train ID","value":"212-22"},{"id":16,"name":"Locomotive ID","value":"4061"},{"id":130,"name":"Impact","value":""},{"id":150,"name":"Time of Event (Mountain Time)","value":"19:04:22"},{"id":151,"name":"Denver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4"/>
        <v>start /low /b %USERPROFILE%\Documents\GitHub\eaglep3\Utilities\DownloadLogsFromS3.py --loco 4061 --day 2017-09-22</v>
      </c>
      <c r="AN125" s="151" t="str">
        <f t="shared" si="45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01:04:22"},{"id":29,"name":"Sharepoint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46"/>
        <v>https://d0f6bd738d7f1b3e5a7ca70fe4ff75f0.us-east-1.aws.found.io/app/kibana#/discover/Steve-Slow-Train-Analysis-(2080s-and-2083s)?_g=(refreshInterval:(display:Off,pause:!f,section:0,value:0),time:(from:'2017-09-22T17:11:47-0600',mode:absolute,to:'2017-09-22T20:04:22-0600'))&amp;_a=(columns:!('Message%20ID',Summary),filters:!(),index:'emp_*',interval:auto,query:(query_string:(analyze_wildcard:!t,query:'Message%5C+ID:(*)+AND+%22rtdc.l.rtdc.4061%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770</v>
      </c>
      <c r="B126" s="7">
        <v>4044</v>
      </c>
      <c r="C126" s="21" t="s">
        <v>196</v>
      </c>
      <c r="D126" s="21" t="s">
        <v>873</v>
      </c>
      <c r="E126" s="13">
        <v>43000.736435185187</v>
      </c>
      <c r="F126" s="13">
        <v>43000.739872685182</v>
      </c>
      <c r="G126" s="7">
        <v>79</v>
      </c>
      <c r="H126" s="21" t="s">
        <v>425</v>
      </c>
      <c r="I126" s="13">
        <v>43000.765451388892</v>
      </c>
      <c r="J126" s="7">
        <v>0</v>
      </c>
      <c r="K126" s="89" t="str">
        <f t="shared" si="30"/>
        <v>4043/4044</v>
      </c>
      <c r="L126" s="185" t="str">
        <f>VLOOKUP(A126,'Trips&amp;Operators'!$C$1:$G$99911,5,FALSE)</f>
        <v>YANG JAN</v>
      </c>
      <c r="M126" s="6">
        <f t="shared" si="31"/>
        <v>2.5578703709470574E-2</v>
      </c>
      <c r="N126" s="7">
        <f t="shared" si="57"/>
        <v>36.833333341637626</v>
      </c>
      <c r="O126" s="7"/>
      <c r="P126" s="7"/>
      <c r="Q126" s="22"/>
      <c r="R126" s="174"/>
      <c r="S126" s="221">
        <f t="shared" si="47"/>
        <v>1</v>
      </c>
      <c r="T126" s="174" t="str">
        <f t="shared" si="32"/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33"/>
        <v>https://d0f6bd738d7f1b3e5a7ca70fe4ff75f0.us-east-1.aws.found.io/app/kibana#/discover/Steve-Slow-Train-Analysis-(2080s-and-2083s)?_g=(refreshInterval:(display:Off,pause:!f,section:0,value:0),time:(from:'2017-09-22T16:40:28-0600',mode:absolute,to:'2017-09-22T19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6" s="204" t="str">
        <f>IF(AA126&lt;VLOOKUP(AG126,Variables!$AC$3:$AD$8,2,FALSE),"Y","N")</f>
        <v>N</v>
      </c>
      <c r="X126" s="204">
        <f t="shared" si="56"/>
        <v>1</v>
      </c>
      <c r="Y126" s="204">
        <f t="shared" si="54"/>
        <v>4.2900000000000001E-2</v>
      </c>
      <c r="Z126" s="204">
        <f t="shared" si="55"/>
        <v>23.331800000000001</v>
      </c>
      <c r="AA126" s="204">
        <f t="shared" si="37"/>
        <v>23.288900000000002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38"/>
        <v>213</v>
      </c>
      <c r="AE126" s="77" t="str">
        <f t="shared" si="39"/>
        <v>aws s3 cp s3://rtdc.mdm.uploadarchive.raw/RTDC4044/ "%USERPROFILE%\AppData\Local\Temp\OnboardLogs"\RTDC4044\2017-09-22 --exclude "*" --recursive --include "*20170922*" &amp; "%USERPROFILE%\Documents\GitHub\mrs-test-scripts\Headless Mode &amp; Sideloading\WalkAndUnGZ.bat" "%USERPROFILE%\AppData\Local\Temp\OnboardLogs"\RTDC4044\2017-09-22 &amp; aws s3 cp s3://rtdc.mdm.uploadarchive.raw/RTDC4044/ "%USERPROFILE%\AppData\Local\Temp\OnboardLogs"\RTDC4044\2017-09-23 --exclude "*" --recursive --include "*20170923*" &amp; "%USERPROFILE%\Documents\GitHub\mrs-test-scripts\Headless Mode &amp; Sideloading\WalkAndUnGZ.bat" "%USERPROFILE%\AppData\Local\Temp\OnboardLogs"\RTDC4044\2017-09-23</v>
      </c>
      <c r="AF126" s="74" t="str">
        <f t="shared" si="40"/>
        <v>"C:\Program Files (x86)\AstroGrep\AstroGrep.exe" /e /r /s /spath="%USERPROFILE%\AppData\Local\Temp\OnboardLogs" /stypes="app*4044*20170923*" /stext=" 00:.+((SYSTEM_STATE.+slice.+state.+changed )|(ment ac)|(multiple cpu faults)|(system.+state.+changed )|(\[timeout)|(PRM\|1\|D)|(kpr)|(kdp)|(train st.+moving)|(\|lc)|(penalty))"</v>
      </c>
      <c r="AG126" s="182" t="str">
        <f t="shared" si="41"/>
        <v>EC</v>
      </c>
      <c r="AH126" s="78" t="str">
        <f t="shared" si="42"/>
        <v>"%USERPROFILE%\Documents\GitHub\eaglep3\Utilities\RefineRTDCRunTimes.py" --tripid 213-22 --locoid 4044 --swversion DE.1.0.9.0 --startMP 204:429 --initTime 2017-09-22T17:40:28 --startdatetime 2017-09-22T17:45:25 --delay 79 --endMP 204:233318 --enddatetime 2017-09-22T18:22:15 --enforcementcount 0 &gt;&gt;c:\users\stu\Documents\GitHub\eaglep3-reporting\EC\2017-09-22-refined-times.txt</v>
      </c>
      <c r="AI126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{"issue":{"subject":"","project_id":79,"tracker_id":40,"status_id":1,"priority_id":2,"assigned_to_id":338,"start_date":"2017-09-22","description":"","custom_fields":[{"id":1,"name":"Subdivision","value":"EC"},{"id":4,"name":"Milepost","value":"23.3318"},{"id":17,"name":"Train ID","value":"213-22"},{"id":16,"name":"Locomotive ID","value":"4044"},{"id":130,"name":"Impact","value":""},{"id":150,"name":"Time of Event (Mountain Time)","value":"18:22:15"},{"id":151,"name":"Denver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4"/>
        <v>start /low /b %USERPROFILE%\Documents\GitHub\eaglep3\Utilities\DownloadLogsFromS3.py --loco 4044 --day 2017-09-22</v>
      </c>
      <c r="AN126" s="151" t="str">
        <f t="shared" si="45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00:22:15"},{"id":29,"name":"Sharepoint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46"/>
        <v>https://d0f6bd738d7f1b3e5a7ca70fe4ff75f0.us-east-1.aws.found.io/app/kibana#/discover/Steve-Slow-Train-Analysis-(2080s-and-2083s)?_g=(refreshInterval:(display:Off,pause:!f,section:0,value:0),time:(from:'2017-09-22T16:40:28-0600',mode:absolute,to:'2017-09-22T19:22:15-0600'))&amp;_a=(columns:!('Message%20ID',Summary),filters:!(),index:'emp_*',interval:auto,query:(query_string:(analyze_wildcard:!t,query:'Message%5C+ID:(*)+AND+%22rtdc.l.rtdc.4044%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780</v>
      </c>
      <c r="B127" s="7">
        <v>4043</v>
      </c>
      <c r="C127" s="21" t="s">
        <v>196</v>
      </c>
      <c r="D127" s="21" t="s">
        <v>400</v>
      </c>
      <c r="E127" s="13">
        <v>43000.774768518517</v>
      </c>
      <c r="F127" s="13">
        <v>43000.779340277775</v>
      </c>
      <c r="G127" s="7">
        <v>66</v>
      </c>
      <c r="H127" s="21" t="s">
        <v>336</v>
      </c>
      <c r="I127" s="13">
        <v>43000.804895833331</v>
      </c>
      <c r="J127" s="7">
        <v>0</v>
      </c>
      <c r="K127" s="89" t="str">
        <f t="shared" si="30"/>
        <v>4043/4044</v>
      </c>
      <c r="L127" s="185" t="str">
        <f>VLOOKUP(A127,'Trips&amp;Operators'!$C$1:$G$99911,5,FALSE)</f>
        <v>YANG JAN</v>
      </c>
      <c r="M127" s="6">
        <f t="shared" si="31"/>
        <v>2.5555555555911269E-2</v>
      </c>
      <c r="N127" s="7">
        <f t="shared" si="57"/>
        <v>36.800000000512227</v>
      </c>
      <c r="O127" s="7"/>
      <c r="P127" s="7"/>
      <c r="Q127" s="22"/>
      <c r="R127" s="174"/>
      <c r="S127" s="221">
        <f t="shared" si="47"/>
        <v>1</v>
      </c>
      <c r="T127" s="174" t="str">
        <f t="shared" si="32"/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33"/>
        <v>https://d0f6bd738d7f1b3e5a7ca70fe4ff75f0.us-east-1.aws.found.io/app/kibana#/discover/Steve-Slow-Train-Analysis-(2080s-and-2083s)?_g=(refreshInterval:(display:Off,pause:!f,section:0,value:0),time:(from:'2017-09-22T17:35:40-0600',mode:absolute,to:'2017-09-22T20:19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7" s="204" t="str">
        <f>IF(AA127&lt;VLOOKUP(AG127,Variables!$AC$3:$AD$8,2,FALSE),"Y","N")</f>
        <v>N</v>
      </c>
      <c r="X127" s="204">
        <f t="shared" si="56"/>
        <v>1</v>
      </c>
      <c r="Y127" s="204">
        <f t="shared" si="54"/>
        <v>23.301300000000001</v>
      </c>
      <c r="Z127" s="204">
        <f t="shared" si="55"/>
        <v>1.4999999999999999E-2</v>
      </c>
      <c r="AA127" s="204">
        <f t="shared" si="37"/>
        <v>23.286300000000001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38"/>
        <v>214</v>
      </c>
      <c r="AE127" s="77" t="str">
        <f t="shared" si="39"/>
        <v>aws s3 cp s3://rtdc.mdm.uploadarchive.raw/RTDC4043/ "%USERPROFILE%\AppData\Local\Temp\OnboardLogs"\RTDC4043\2017-09-22 --exclude "*" --recursive --include "*20170922*" &amp; "%USERPROFILE%\Documents\GitHub\mrs-test-scripts\Headless Mode &amp; Sideloading\WalkAndUnGZ.bat" "%USERPROFILE%\AppData\Local\Temp\OnboardLogs"\RTDC4043\2017-09-22 &amp; aws s3 cp s3://rtdc.mdm.uploadarchive.raw/RTDC4043/ "%USERPROFILE%\AppData\Local\Temp\OnboardLogs"\RTDC4043\2017-09-23 --exclude "*" --recursive --include "*20170923*" &amp; "%USERPROFILE%\Documents\GitHub\mrs-test-scripts\Headless Mode &amp; Sideloading\WalkAndUnGZ.bat" "%USERPROFILE%\AppData\Local\Temp\OnboardLogs"\RTDC4043\2017-09-23</v>
      </c>
      <c r="AF127" s="74" t="str">
        <f t="shared" si="40"/>
        <v>"C:\Program Files (x86)\AstroGrep\AstroGrep.exe" /e /r /s /spath="%USERPROFILE%\AppData\Local\Temp\OnboardLogs" /stypes="app*4043*20170923*" /stext=" 01:.+((SYSTEM_STATE.+slice.+state.+changed )|(ment ac)|(multiple cpu faults)|(system.+state.+changed )|(\[timeout)|(PRM\|1\|D)|(kpr)|(kdp)|(train st.+moving)|(\|lc)|(penalty))"</v>
      </c>
      <c r="AG127" s="182" t="str">
        <f t="shared" si="41"/>
        <v>EC</v>
      </c>
      <c r="AH127" s="78" t="str">
        <f t="shared" si="42"/>
        <v>"%USERPROFILE%\Documents\GitHub\eaglep3\Utilities\RefineRTDCRunTimes.py" --tripid 214-22 --locoid 4043 --swversion DE.1.0.9.0 --startMP 204:233013 --initTime 2017-09-22T18:35:40 --startdatetime 2017-09-22T18:42:15 --delay 66 --endMP 204:150 --enddatetime 2017-09-22T19:19:03 --enforcementcount 0 &gt;&gt;c:\users\stu\Documents\GitHub\eaglep3-reporting\EC\2017-09-22-refined-times.txt</v>
      </c>
      <c r="AI127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{"issue":{"subject":"","project_id":79,"tracker_id":40,"status_id":1,"priority_id":2,"assigned_to_id":338,"start_date":"2017-09-22","description":"","custom_fields":[{"id":1,"name":"Subdivision","value":"EC"},{"id":4,"name":"Milepost","value":"0.015"},{"id":17,"name":"Train ID","value":"214-22"},{"id":16,"name":"Locomotive ID","value":"4043"},{"id":130,"name":"Impact","value":""},{"id":150,"name":"Time of Event (Mountain Time)","value":"19:19:03"},{"id":151,"name":"Denver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4"/>
        <v>start /low /b %USERPROFILE%\Documents\GitHub\eaglep3\Utilities\DownloadLogsFromS3.py --loco 4043 --day 2017-09-22</v>
      </c>
      <c r="AN127" s="151" t="str">
        <f t="shared" si="45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01:19:03"},{"id":29,"name":"Sharepoint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46"/>
        <v>https://d0f6bd738d7f1b3e5a7ca70fe4ff75f0.us-east-1.aws.found.io/app/kibana#/discover/Steve-Slow-Train-Analysis-(2080s-and-2083s)?_g=(refreshInterval:(display:Off,pause:!f,section:0,value:0),time:(from:'2017-09-22T17:35:40-0600',mode:absolute,to:'2017-09-22T20:19:03-0600'))&amp;_a=(columns:!('Message%20ID',Summary),filters:!(),index:'emp_*',interval:auto,query:(query_string:(analyze_wildcard:!t,query:'Message%5C+ID:(*)+AND+%22rtdc.l.rtdc.4043%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772</v>
      </c>
      <c r="B128" s="7">
        <v>4012</v>
      </c>
      <c r="C128" s="21" t="s">
        <v>196</v>
      </c>
      <c r="D128" s="21" t="s">
        <v>431</v>
      </c>
      <c r="E128" s="13">
        <v>43000.745000000003</v>
      </c>
      <c r="F128" s="13">
        <v>43000.750173611108</v>
      </c>
      <c r="G128" s="7">
        <v>46</v>
      </c>
      <c r="H128" s="21" t="s">
        <v>874</v>
      </c>
      <c r="I128" s="13">
        <v>43000.775821759256</v>
      </c>
      <c r="J128" s="7">
        <v>0</v>
      </c>
      <c r="K128" s="89" t="str">
        <f t="shared" si="30"/>
        <v>4011/4012</v>
      </c>
      <c r="L128" s="185" t="str">
        <f>VLOOKUP(A128,'Trips&amp;Operators'!$C$1:$G$99911,5,FALSE)</f>
        <v>SWANSON BRYCE</v>
      </c>
      <c r="M128" s="6">
        <f t="shared" si="31"/>
        <v>2.5648148148320615E-2</v>
      </c>
      <c r="N128" s="7">
        <f t="shared" si="57"/>
        <v>36.933333333581686</v>
      </c>
      <c r="O128" s="7"/>
      <c r="P128" s="7"/>
      <c r="Q128" s="22"/>
      <c r="R128" s="174"/>
      <c r="S128" s="221">
        <f t="shared" si="47"/>
        <v>1</v>
      </c>
      <c r="T128" s="174" t="str">
        <f t="shared" si="32"/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33"/>
        <v>https://d0f6bd738d7f1b3e5a7ca70fe4ff75f0.us-east-1.aws.found.io/app/kibana#/discover/Steve-Slow-Train-Analysis-(2080s-and-2083s)?_g=(refreshInterval:(display:Off,pause:!f,section:0,value:0),time:(from:'2017-09-22T16:52:48-0600',mode:absolute,to:'2017-09-22T19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8" s="204" t="str">
        <f>IF(AA128&lt;VLOOKUP(AG128,Variables!$AC$3:$AD$8,2,FALSE),"Y","N")</f>
        <v>N</v>
      </c>
      <c r="X128" s="204">
        <f t="shared" si="56"/>
        <v>1</v>
      </c>
      <c r="Y128" s="204">
        <f t="shared" si="54"/>
        <v>4.5699999999999998E-2</v>
      </c>
      <c r="Z128" s="204">
        <f t="shared" si="55"/>
        <v>23.340199999999999</v>
      </c>
      <c r="AA128" s="204">
        <f t="shared" si="37"/>
        <v>23.294499999999999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38"/>
        <v>215</v>
      </c>
      <c r="AE128" s="77" t="str">
        <f t="shared" si="39"/>
        <v>aws s3 cp s3://rtdc.mdm.uploadarchive.raw/RTDC4012/ "%USERPROFILE%\AppData\Local\Temp\OnboardLogs"\RTDC4012\2017-09-22 --exclude "*" --recursive --include "*20170922*" &amp; "%USERPROFILE%\Documents\GitHub\mrs-test-scripts\Headless Mode &amp; Sideloading\WalkAndUnGZ.bat" "%USERPROFILE%\AppData\Local\Temp\OnboardLogs"\RTDC4012\2017-09-22 &amp; aws s3 cp s3://rtdc.mdm.uploadarchive.raw/RTDC4012/ "%USERPROFILE%\AppData\Local\Temp\OnboardLogs"\RTDC4012\2017-09-23 --exclude "*" --recursive --include "*20170923*" &amp; "%USERPROFILE%\Documents\GitHub\mrs-test-scripts\Headless Mode &amp; Sideloading\WalkAndUnGZ.bat" "%USERPROFILE%\AppData\Local\Temp\OnboardLogs"\RTDC4012\2017-09-23</v>
      </c>
      <c r="AF128" s="74" t="str">
        <f t="shared" si="40"/>
        <v>"C:\Program Files (x86)\AstroGrep\AstroGrep.exe" /e /r /s /spath="%USERPROFILE%\AppData\Local\Temp\OnboardLogs" /stypes="app*4012*20170923*" /stext=" 00:.+((SYSTEM_STATE.+slice.+state.+changed )|(ment ac)|(multiple cpu faults)|(system.+state.+changed )|(\[timeout)|(PRM\|1\|D)|(kpr)|(kdp)|(train st.+moving)|(\|lc)|(penalty))"</v>
      </c>
      <c r="AG128" s="182" t="str">
        <f t="shared" si="41"/>
        <v>EC</v>
      </c>
      <c r="AH128" s="78" t="str">
        <f t="shared" si="42"/>
        <v>"%USERPROFILE%\Documents\GitHub\eaglep3\Utilities\RefineRTDCRunTimes.py" --tripid 215-22 --locoid 4012 --swversion DE.1.0.9.0 --startMP 204:457 --initTime 2017-09-22T17:52:48 --startdatetime 2017-09-22T18:00:15 --delay 46 --endMP 204:233402 --enddatetime 2017-09-22T18:37:11 --enforcementcount 0 &gt;&gt;c:\users\stu\Documents\GitHub\eaglep3-reporting\EC\2017-09-22-refined-times.txt</v>
      </c>
      <c r="AI128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{"issue":{"subject":"","project_id":79,"tracker_id":40,"status_id":1,"priority_id":2,"assigned_to_id":338,"start_date":"2017-09-22","description":"","custom_fields":[{"id":1,"name":"Subdivision","value":"EC"},{"id":4,"name":"Milepost","value":"23.3402"},{"id":17,"name":"Train ID","value":"215-22"},{"id":16,"name":"Locomotive ID","value":"4012"},{"id":130,"name":"Impact","value":""},{"id":150,"name":"Time of Event (Mountain Time)","value":"18:37:11"},{"id":151,"name":"Denver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4"/>
        <v>start /low /b %USERPROFILE%\Documents\GitHub\eaglep3\Utilities\DownloadLogsFromS3.py --loco 4012 --day 2017-09-22</v>
      </c>
      <c r="AN128" s="151" t="str">
        <f t="shared" si="45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00:37:11"},{"id":29,"name":"Sharepoint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46"/>
        <v>https://d0f6bd738d7f1b3e5a7ca70fe4ff75f0.us-east-1.aws.found.io/app/kibana#/discover/Steve-Slow-Train-Analysis-(2080s-and-2083s)?_g=(refreshInterval:(display:Off,pause:!f,section:0,value:0),time:(from:'2017-09-22T16:52:48-0600',mode:absolute,to:'2017-09-22T19:37:11-0600'))&amp;_a=(columns:!('Message%20ID',Summary),filters:!(),index:'emp_*',interval:auto,query:(query_string:(analyze_wildcard:!t,query:'Message%5C+ID:(*)+AND+%22rtdc.l.rtdc.4012%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782</v>
      </c>
      <c r="B129" s="7">
        <v>4011</v>
      </c>
      <c r="C129" s="21" t="s">
        <v>196</v>
      </c>
      <c r="D129" s="21" t="s">
        <v>875</v>
      </c>
      <c r="E129" s="13">
        <v>43000.777199074073</v>
      </c>
      <c r="F129" s="13">
        <v>43000.78974537037</v>
      </c>
      <c r="G129" s="7">
        <v>47</v>
      </c>
      <c r="H129" s="21" t="s">
        <v>393</v>
      </c>
      <c r="I129" s="13">
        <v>43000.820219907408</v>
      </c>
      <c r="J129" s="7">
        <v>0</v>
      </c>
      <c r="K129" s="89" t="str">
        <f t="shared" si="30"/>
        <v>4011/4012</v>
      </c>
      <c r="L129" s="185" t="str">
        <f>VLOOKUP(A129,'Trips&amp;Operators'!$C$1:$G$99911,5,FALSE)</f>
        <v>SWANSON BRYCE</v>
      </c>
      <c r="M129" s="6">
        <f t="shared" si="31"/>
        <v>3.047453703766223E-2</v>
      </c>
      <c r="N129" s="7">
        <f t="shared" si="57"/>
        <v>43.883333334233612</v>
      </c>
      <c r="O129" s="7"/>
      <c r="P129" s="7"/>
      <c r="Q129" s="22"/>
      <c r="R129" s="174"/>
      <c r="S129" s="221">
        <f t="shared" si="47"/>
        <v>1</v>
      </c>
      <c r="T129" s="174" t="str">
        <f t="shared" si="32"/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33"/>
        <v>https://d0f6bd738d7f1b3e5a7ca70fe4ff75f0.us-east-1.aws.found.io/app/kibana#/discover/Steve-Slow-Train-Analysis-(2080s-and-2083s)?_g=(refreshInterval:(display:Off,pause:!f,section:0,value:0),time:(from:'2017-09-22T17:39:10-0600',mode:absolute,to:'2017-09-22T20:41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9" s="204" t="str">
        <f>IF(AA129&lt;VLOOKUP(AG129,Variables!$AC$3:$AD$8,2,FALSE),"Y","N")</f>
        <v>N</v>
      </c>
      <c r="X129" s="204">
        <f t="shared" si="56"/>
        <v>1</v>
      </c>
      <c r="Y129" s="204">
        <f t="shared" si="54"/>
        <v>23.309799999999999</v>
      </c>
      <c r="Z129" s="204">
        <f t="shared" si="55"/>
        <v>1.6299999999999999E-2</v>
      </c>
      <c r="AA129" s="204">
        <f t="shared" si="37"/>
        <v>23.293499999999998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38"/>
        <v>216</v>
      </c>
      <c r="AE129" s="77" t="str">
        <f t="shared" si="39"/>
        <v>aws s3 cp s3://rtdc.mdm.uploadarchive.raw/RTDC4011/ "%USERPROFILE%\AppData\Local\Temp\OnboardLogs"\RTDC4011\2017-09-22 --exclude "*" --recursive --include "*20170922*" &amp; "%USERPROFILE%\Documents\GitHub\mrs-test-scripts\Headless Mode &amp; Sideloading\WalkAndUnGZ.bat" "%USERPROFILE%\AppData\Local\Temp\OnboardLogs"\RTDC4011\2017-09-22 &amp; aws s3 cp s3://rtdc.mdm.uploadarchive.raw/RTDC4011/ "%USERPROFILE%\AppData\Local\Temp\OnboardLogs"\RTDC4011\2017-09-23 --exclude "*" --recursive --include "*20170923*" &amp; "%USERPROFILE%\Documents\GitHub\mrs-test-scripts\Headless Mode &amp; Sideloading\WalkAndUnGZ.bat" "%USERPROFILE%\AppData\Local\Temp\OnboardLogs"\RTDC4011\2017-09-23</v>
      </c>
      <c r="AF129" s="74" t="str">
        <f t="shared" si="40"/>
        <v>"C:\Program Files (x86)\AstroGrep\AstroGrep.exe" /e /r /s /spath="%USERPROFILE%\AppData\Local\Temp\OnboardLogs" /stypes="app*4011*20170923*" /stext=" 01:.+((SYSTEM_STATE.+slice.+state.+changed )|(ment ac)|(multiple cpu faults)|(system.+state.+changed )|(\[timeout)|(PRM\|1\|D)|(kpr)|(kdp)|(train st.+moving)|(\|lc)|(penalty))"</v>
      </c>
      <c r="AG129" s="182" t="str">
        <f t="shared" si="41"/>
        <v>EC</v>
      </c>
      <c r="AH129" s="78" t="str">
        <f t="shared" si="42"/>
        <v>"%USERPROFILE%\Documents\GitHub\eaglep3\Utilities\RefineRTDCRunTimes.py" --tripid 216-22 --locoid 4011 --swversion DE.1.0.9.0 --startMP 204:233098 --initTime 2017-09-22T18:39:10 --startdatetime 2017-09-22T18:57:14 --delay 47 --endMP 204:163 --enddatetime 2017-09-22T19:41:07 --enforcementcount 0 &gt;&gt;c:\users\stu\Documents\GitHub\eaglep3-reporting\EC\2017-09-22-refined-times.txt</v>
      </c>
      <c r="AI129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{"issue":{"subject":"","project_id":79,"tracker_id":40,"status_id":1,"priority_id":2,"assigned_to_id":338,"start_date":"2017-09-22","description":"","custom_fields":[{"id":1,"name":"Subdivision","value":"EC"},{"id":4,"name":"Milepost","value":"0.0163"},{"id":17,"name":"Train ID","value":"216-22"},{"id":16,"name":"Locomotive ID","value":"4011"},{"id":130,"name":"Impact","value":""},{"id":150,"name":"Time of Event (Mountain Time)","value":"19:41:07"},{"id":151,"name":"Denver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4"/>
        <v>start /low /b %USERPROFILE%\Documents\GitHub\eaglep3\Utilities\DownloadLogsFromS3.py --loco 4011 --day 2017-09-22</v>
      </c>
      <c r="AN129" s="151" t="str">
        <f t="shared" si="45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01:41:07"},{"id":29,"name":"Sharepoint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46"/>
        <v>https://d0f6bd738d7f1b3e5a7ca70fe4ff75f0.us-east-1.aws.found.io/app/kibana#/discover/Steve-Slow-Train-Analysis-(2080s-and-2083s)?_g=(refreshInterval:(display:Off,pause:!f,section:0,value:0),time:(from:'2017-09-22T17:39:10-0600',mode:absolute,to:'2017-09-22T20:41:07-0600'))&amp;_a=(columns:!('Message%20ID',Summary),filters:!(),index:'emp_*',interval:auto,query:(query_string:(analyze_wildcard:!t,query:'Message%5C+ID:(*)+AND+%22rtdc.l.rtdc.4011%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775</v>
      </c>
      <c r="B130" s="7">
        <v>4018</v>
      </c>
      <c r="C130" s="21" t="s">
        <v>196</v>
      </c>
      <c r="D130" s="21" t="s">
        <v>396</v>
      </c>
      <c r="E130" s="13">
        <v>43000.755636574075</v>
      </c>
      <c r="F130" s="13">
        <v>43000.760960648149</v>
      </c>
      <c r="G130" s="7">
        <v>67</v>
      </c>
      <c r="H130" s="21" t="s">
        <v>408</v>
      </c>
      <c r="I130" s="13">
        <v>43000.785856481481</v>
      </c>
      <c r="J130" s="7">
        <v>0</v>
      </c>
      <c r="K130" s="89" t="str">
        <f t="shared" si="30"/>
        <v>4017/4018</v>
      </c>
      <c r="L130" s="185" t="str">
        <f>VLOOKUP(A130,'Trips&amp;Operators'!$C$1:$G$99911,5,FALSE)</f>
        <v>PERKINS DARREN</v>
      </c>
      <c r="M130" s="6">
        <f t="shared" si="31"/>
        <v>2.4895833332266193E-2</v>
      </c>
      <c r="N130" s="7">
        <f t="shared" si="57"/>
        <v>35.849999998463318</v>
      </c>
      <c r="O130" s="7"/>
      <c r="P130" s="7"/>
      <c r="Q130" s="22"/>
      <c r="R130" s="174"/>
      <c r="S130" s="221">
        <f t="shared" si="47"/>
        <v>1</v>
      </c>
      <c r="T130" s="174" t="str">
        <f t="shared" si="32"/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33"/>
        <v>https://d0f6bd738d7f1b3e5a7ca70fe4ff75f0.us-east-1.aws.found.io/app/kibana#/discover/Steve-Slow-Train-Analysis-(2080s-and-2083s)?_g=(refreshInterval:(display:Off,pause:!f,section:0,value:0),time:(from:'2017-09-22T17:08:07-0600',mode:absolute,to:'2017-09-22T19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0" s="204" t="str">
        <f>IF(AA130&lt;VLOOKUP(AG130,Variables!$AC$3:$AD$8,2,FALSE),"Y","N")</f>
        <v>N</v>
      </c>
      <c r="X130" s="204">
        <f t="shared" si="56"/>
        <v>1</v>
      </c>
      <c r="Y130" s="204">
        <f t="shared" si="54"/>
        <v>4.5100000000000001E-2</v>
      </c>
      <c r="Z130" s="204">
        <f t="shared" si="55"/>
        <v>23.3293</v>
      </c>
      <c r="AA130" s="204">
        <f t="shared" si="37"/>
        <v>23.284199999999998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38"/>
        <v>217</v>
      </c>
      <c r="AE130" s="77" t="str">
        <f t="shared" si="39"/>
        <v>aws s3 cp s3://rtdc.mdm.uploadarchive.raw/RTDC4018/ "%USERPROFILE%\AppData\Local\Temp\OnboardLogs"\RTDC4018\2017-09-22 --exclude "*" --recursive --include "*20170922*" &amp; "%USERPROFILE%\Documents\GitHub\mrs-test-scripts\Headless Mode &amp; Sideloading\WalkAndUnGZ.bat" "%USERPROFILE%\AppData\Local\Temp\OnboardLogs"\RTDC4018\2017-09-22 &amp; aws s3 cp s3://rtdc.mdm.uploadarchive.raw/RTDC4018/ "%USERPROFILE%\AppData\Local\Temp\OnboardLogs"\RTDC4018\2017-09-23 --exclude "*" --recursive --include "*20170923*" &amp; "%USERPROFILE%\Documents\GitHub\mrs-test-scripts\Headless Mode &amp; Sideloading\WalkAndUnGZ.bat" "%USERPROFILE%\AppData\Local\Temp\OnboardLogs"\RTDC4018\2017-09-23</v>
      </c>
      <c r="AF130" s="74" t="str">
        <f t="shared" si="40"/>
        <v>"C:\Program Files (x86)\AstroGrep\AstroGrep.exe" /e /r /s /spath="%USERPROFILE%\AppData\Local\Temp\OnboardLogs" /stypes="app*4018*20170923*" /stext=" 00:.+((SYSTEM_STATE.+slice.+state.+changed )|(ment ac)|(multiple cpu faults)|(system.+state.+changed )|(\[timeout)|(PRM\|1\|D)|(kpr)|(kdp)|(train st.+moving)|(\|lc)|(penalty))"</v>
      </c>
      <c r="AG130" s="182" t="str">
        <f t="shared" si="41"/>
        <v>EC</v>
      </c>
      <c r="AH130" s="78" t="str">
        <f t="shared" si="42"/>
        <v>"%USERPROFILE%\Documents\GitHub\eaglep3\Utilities\RefineRTDCRunTimes.py" --tripid 217-22 --locoid 4018 --swversion DE.1.0.9.0 --startMP 204:451 --initTime 2017-09-22T18:08:07 --startdatetime 2017-09-22T18:15:47 --delay 67 --endMP 204:233293 --enddatetime 2017-09-22T18:51:38 --enforcementcount 0 &gt;&gt;c:\users\stu\Documents\GitHub\eaglep3-reporting\EC\2017-09-22-refined-times.txt</v>
      </c>
      <c r="AI130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{"issue":{"subject":"","project_id":79,"tracker_id":40,"status_id":1,"priority_id":2,"assigned_to_id":338,"start_date":"2017-09-22","description":"","custom_fields":[{"id":1,"name":"Subdivision","value":"EC"},{"id":4,"name":"Milepost","value":"23.3293"},{"id":17,"name":"Train ID","value":"217-22"},{"id":16,"name":"Locomotive ID","value":"4018"},{"id":130,"name":"Impact","value":""},{"id":150,"name":"Time of Event (Mountain Time)","value":"18:51:38"},{"id":151,"name":"Denver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4"/>
        <v>start /low /b %USERPROFILE%\Documents\GitHub\eaglep3\Utilities\DownloadLogsFromS3.py --loco 4018 --day 2017-09-22</v>
      </c>
      <c r="AN130" s="151" t="str">
        <f t="shared" si="45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00:51:38"},{"id":29,"name":"Sharepoint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46"/>
        <v>https://d0f6bd738d7f1b3e5a7ca70fe4ff75f0.us-east-1.aws.found.io/app/kibana#/discover/Steve-Slow-Train-Analysis-(2080s-and-2083s)?_g=(refreshInterval:(display:Off,pause:!f,section:0,value:0),time:(from:'2017-09-22T17:08:07-0600',mode:absolute,to:'2017-09-22T19:51:38-0600'))&amp;_a=(columns:!('Message%20ID',Summary),filters:!(),index:'emp_*',interval:auto,query:(query_string:(analyze_wildcard:!t,query:'Message%5C+ID:(*)+AND+%22rtdc.l.rtdc.4018%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786</v>
      </c>
      <c r="B131" s="7">
        <v>4017</v>
      </c>
      <c r="C131" s="21" t="s">
        <v>196</v>
      </c>
      <c r="D131" s="21" t="s">
        <v>427</v>
      </c>
      <c r="E131" s="13">
        <v>43000.791076388887</v>
      </c>
      <c r="F131" s="13">
        <v>43000.80023148148</v>
      </c>
      <c r="G131" s="7">
        <v>75</v>
      </c>
      <c r="H131" s="21" t="s">
        <v>357</v>
      </c>
      <c r="I131" s="13">
        <v>43000.827210648145</v>
      </c>
      <c r="J131" s="7">
        <v>0</v>
      </c>
      <c r="K131" s="89" t="str">
        <f t="shared" si="30"/>
        <v>4017/4018</v>
      </c>
      <c r="L131" s="185" t="str">
        <f>VLOOKUP(A131,'Trips&amp;Operators'!$C$1:$G$99911,5,FALSE)</f>
        <v>PERKINS DARREN</v>
      </c>
      <c r="M131" s="6">
        <f t="shared" si="31"/>
        <v>2.6979166665114462E-2</v>
      </c>
      <c r="N131" s="7">
        <f t="shared" si="57"/>
        <v>38.849999997764826</v>
      </c>
      <c r="O131" s="7"/>
      <c r="P131" s="7"/>
      <c r="Q131" s="22"/>
      <c r="R131" s="174"/>
      <c r="S131" s="221">
        <f t="shared" si="47"/>
        <v>1</v>
      </c>
      <c r="T131" s="174" t="str">
        <f t="shared" si="32"/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33"/>
        <v>https://d0f6bd738d7f1b3e5a7ca70fe4ff75f0.us-east-1.aws.found.io/app/kibana#/discover/Steve-Slow-Train-Analysis-(2080s-and-2083s)?_g=(refreshInterval:(display:Off,pause:!f,section:0,value:0),time:(from:'2017-09-22T17:59:09-0600',mode:absolute,to:'2017-09-22T20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1" s="204" t="str">
        <f>IF(AA131&lt;VLOOKUP(AG131,Variables!$AC$3:$AD$8,2,FALSE),"Y","N")</f>
        <v>N</v>
      </c>
      <c r="X131" s="204">
        <f t="shared" si="56"/>
        <v>1</v>
      </c>
      <c r="Y131" s="204">
        <f t="shared" si="54"/>
        <v>23.297499999999999</v>
      </c>
      <c r="Z131" s="204">
        <f t="shared" si="55"/>
        <v>1.52E-2</v>
      </c>
      <c r="AA131" s="204">
        <f t="shared" si="37"/>
        <v>23.282299999999999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38"/>
        <v>218</v>
      </c>
      <c r="AE131" s="77" t="str">
        <f t="shared" si="39"/>
        <v>aws s3 cp s3://rtdc.mdm.uploadarchive.raw/RTDC4017/ "%USERPROFILE%\AppData\Local\Temp\OnboardLogs"\RTDC4017\2017-09-22 --exclude "*" --recursive --include "*20170922*" &amp; "%USERPROFILE%\Documents\GitHub\mrs-test-scripts\Headless Mode &amp; Sideloading\WalkAndUnGZ.bat" "%USERPROFILE%\AppData\Local\Temp\OnboardLogs"\RTDC4017\2017-09-22 &amp; aws s3 cp s3://rtdc.mdm.uploadarchive.raw/RTDC4017/ "%USERPROFILE%\AppData\Local\Temp\OnboardLogs"\RTDC4017\2017-09-23 --exclude "*" --recursive --include "*20170923*" &amp; "%USERPROFILE%\Documents\GitHub\mrs-test-scripts\Headless Mode &amp; Sideloading\WalkAndUnGZ.bat" "%USERPROFILE%\AppData\Local\Temp\OnboardLogs"\RTDC4017\2017-09-23</v>
      </c>
      <c r="AF131" s="74" t="str">
        <f t="shared" si="40"/>
        <v>"C:\Program Files (x86)\AstroGrep\AstroGrep.exe" /e /r /s /spath="%USERPROFILE%\AppData\Local\Temp\OnboardLogs" /stypes="app*4017*20170923*" /stext=" 01:.+((SYSTEM_STATE.+slice.+state.+changed )|(ment ac)|(multiple cpu faults)|(system.+state.+changed )|(\[timeout)|(PRM\|1\|D)|(kpr)|(kdp)|(train st.+moving)|(\|lc)|(penalty))"</v>
      </c>
      <c r="AG131" s="182" t="str">
        <f t="shared" si="41"/>
        <v>EC</v>
      </c>
      <c r="AH131" s="78" t="str">
        <f t="shared" si="42"/>
        <v>"%USERPROFILE%\Documents\GitHub\eaglep3\Utilities\RefineRTDCRunTimes.py" --tripid 218-22 --locoid 4017 --swversion DE.1.0.9.0 --startMP 204:232975 --initTime 2017-09-22T18:59:09 --startdatetime 2017-09-22T19:12:20 --delay 75 --endMP 204:152 --enddatetime 2017-09-22T19:51:11 --enforcementcount 0 &gt;&gt;c:\users\stu\Documents\GitHub\eaglep3-reporting\EC\2017-09-22-refined-times.txt</v>
      </c>
      <c r="AI131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{"issue":{"subject":"","project_id":79,"tracker_id":40,"status_id":1,"priority_id":2,"assigned_to_id":338,"start_date":"2017-09-22","description":"","custom_fields":[{"id":1,"name":"Subdivision","value":"EC"},{"id":4,"name":"Milepost","value":"0.0152"},{"id":17,"name":"Train ID","value":"218-22"},{"id":16,"name":"Locomotive ID","value":"4017"},{"id":130,"name":"Impact","value":""},{"id":150,"name":"Time of Event (Mountain Time)","value":"19:51:11"},{"id":151,"name":"Denver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4"/>
        <v>start /low /b %USERPROFILE%\Documents\GitHub\eaglep3\Utilities\DownloadLogsFromS3.py --loco 4017 --day 2017-09-22</v>
      </c>
      <c r="AN131" s="151" t="str">
        <f t="shared" si="45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01:51:11"},{"id":29,"name":"Sharepoint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46"/>
        <v>https://d0f6bd738d7f1b3e5a7ca70fe4ff75f0.us-east-1.aws.found.io/app/kibana#/discover/Steve-Slow-Train-Analysis-(2080s-and-2083s)?_g=(refreshInterval:(display:Off,pause:!f,section:0,value:0),time:(from:'2017-09-22T17:59:09-0600',mode:absolute,to:'2017-09-22T20:51:11-0600'))&amp;_a=(columns:!('Message%20ID',Summary),filters:!(),index:'emp_*',interval:auto,query:(query_string:(analyze_wildcard:!t,query:'Message%5C+ID:(*)+AND+%22rtdc.l.rtdc.4017%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777</v>
      </c>
      <c r="B132" s="7">
        <v>4032</v>
      </c>
      <c r="C132" s="21" t="s">
        <v>196</v>
      </c>
      <c r="D132" s="21" t="s">
        <v>852</v>
      </c>
      <c r="E132" s="13">
        <v>43000.765208333331</v>
      </c>
      <c r="F132" s="13">
        <v>43000.771145833336</v>
      </c>
      <c r="G132" s="7">
        <v>74</v>
      </c>
      <c r="H132" s="21" t="s">
        <v>397</v>
      </c>
      <c r="I132" s="13">
        <v>43000.796215277776</v>
      </c>
      <c r="J132" s="7">
        <v>0</v>
      </c>
      <c r="K132" s="89" t="str">
        <f t="shared" si="30"/>
        <v>4031/4032</v>
      </c>
      <c r="L132" s="185" t="str">
        <f>VLOOKUP(A132,'Trips&amp;Operators'!$C$1:$G$99911,5,FALSE)</f>
        <v>ZEWDU DEREJE</v>
      </c>
      <c r="M132" s="6">
        <f t="shared" si="31"/>
        <v>2.5069444440305233E-2</v>
      </c>
      <c r="N132" s="7">
        <f t="shared" si="57"/>
        <v>36.099999994039536</v>
      </c>
      <c r="O132" s="7"/>
      <c r="P132" s="7"/>
      <c r="Q132" s="22"/>
      <c r="R132" s="174"/>
      <c r="S132" s="221">
        <f t="shared" si="47"/>
        <v>1</v>
      </c>
      <c r="T132" s="174" t="str">
        <f t="shared" si="32"/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33"/>
        <v>https://d0f6bd738d7f1b3e5a7ca70fe4ff75f0.us-east-1.aws.found.io/app/kibana#/discover/Steve-Slow-Train-Analysis-(2080s-and-2083s)?_g=(refreshInterval:(display:Off,pause:!f,section:0,value:0),time:(from:'2017-09-22T17:21:54-0600',mode:absolute,to:'2017-09-22T20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2" s="204" t="str">
        <f>IF(AA132&lt;VLOOKUP(AG132,Variables!$AC$3:$AD$8,2,FALSE),"Y","N")</f>
        <v>N</v>
      </c>
      <c r="X132" s="204">
        <f t="shared" si="56"/>
        <v>1</v>
      </c>
      <c r="Y132" s="204">
        <f t="shared" si="54"/>
        <v>4.8000000000000001E-2</v>
      </c>
      <c r="Z132" s="204">
        <f t="shared" si="55"/>
        <v>23.331199999999999</v>
      </c>
      <c r="AA132" s="204">
        <f t="shared" si="37"/>
        <v>23.283200000000001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38"/>
        <v>219</v>
      </c>
      <c r="AE132" s="77" t="str">
        <f t="shared" si="39"/>
        <v>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 &amp; aws s3 cp s3://rtdc.mdm.uploadarchive.raw/RTDC4032/ "%USERPROFILE%\AppData\Local\Temp\OnboardLogs"\RTDC4032\2017-09-23 --exclude "*" --recursive --include "*20170923*" &amp; "%USERPROFILE%\Documents\GitHub\mrs-test-scripts\Headless Mode &amp; Sideloading\WalkAndUnGZ.bat" "%USERPROFILE%\AppData\Local\Temp\OnboardLogs"\RTDC4032\2017-09-23</v>
      </c>
      <c r="AF132" s="74" t="str">
        <f t="shared" si="40"/>
        <v>"C:\Program Files (x86)\AstroGrep\AstroGrep.exe" /e /r /s /spath="%USERPROFILE%\AppData\Local\Temp\OnboardLogs" /stypes="app*4032*20170923*" /stext=" 01:.+((SYSTEM_STATE.+slice.+state.+changed )|(ment ac)|(multiple cpu faults)|(system.+state.+changed )|(\[timeout)|(PRM\|1\|D)|(kpr)|(kdp)|(train st.+moving)|(\|lc)|(penalty))"</v>
      </c>
      <c r="AG132" s="182" t="str">
        <f t="shared" si="41"/>
        <v>EC</v>
      </c>
      <c r="AH132" s="78" t="str">
        <f t="shared" si="42"/>
        <v>"%USERPROFILE%\Documents\GitHub\eaglep3\Utilities\RefineRTDCRunTimes.py" --tripid 219-22 --locoid 4032 --swversion DE.1.0.9.0 --startMP 204:480 --initTime 2017-09-22T18:21:54 --startdatetime 2017-09-22T18:30:27 --delay 74 --endMP 204:233312 --enddatetime 2017-09-22T19:06:33 --enforcementcount 0 &gt;&gt;c:\users\stu\Documents\GitHub\eaglep3-reporting\EC\2017-09-22-refined-times.txt</v>
      </c>
      <c r="AI132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{"issue":{"subject":"","project_id":79,"tracker_id":40,"status_id":1,"priority_id":2,"assigned_to_id":338,"start_date":"2017-09-22","description":"","custom_fields":[{"id":1,"name":"Subdivision","value":"EC"},{"id":4,"name":"Milepost","value":"23.3312"},{"id":17,"name":"Train ID","value":"219-22"},{"id":16,"name":"Locomotive ID","value":"4032"},{"id":130,"name":"Impact","value":""},{"id":150,"name":"Time of Event (Mountain Time)","value":"19:06:33"},{"id":151,"name":"Denver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4"/>
        <v>start /low /b %USERPROFILE%\Documents\GitHub\eaglep3\Utilities\DownloadLogsFromS3.py --loco 4032 --day 2017-09-22</v>
      </c>
      <c r="AN132" s="151" t="str">
        <f t="shared" si="45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01:06:33"},{"id":29,"name":"Sharepoint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46"/>
        <v>https://d0f6bd738d7f1b3e5a7ca70fe4ff75f0.us-east-1.aws.found.io/app/kibana#/discover/Steve-Slow-Train-Analysis-(2080s-and-2083s)?_g=(refreshInterval:(display:Off,pause:!f,section:0,value:0),time:(from:'2017-09-22T17:21:54-0600',mode:absolute,to:'2017-09-22T20:06:33-0600'))&amp;_a=(columns:!('Message%20ID',Summary),filters:!(),index:'emp_*',interval:auto,query:(query_string:(analyze_wildcard:!t,query:'Message%5C+ID:(*)+AND+%22rtdc.l.rtdc.4032%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788</v>
      </c>
      <c r="B133" s="7">
        <v>4031</v>
      </c>
      <c r="C133" s="21" t="s">
        <v>196</v>
      </c>
      <c r="D133" s="21" t="s">
        <v>464</v>
      </c>
      <c r="E133" s="13">
        <v>43000.806331018517</v>
      </c>
      <c r="F133" s="13">
        <v>43000.810810185183</v>
      </c>
      <c r="G133" s="7">
        <v>140</v>
      </c>
      <c r="H133" s="21" t="s">
        <v>336</v>
      </c>
      <c r="I133" s="13">
        <v>43000.838067129633</v>
      </c>
      <c r="J133" s="7">
        <v>0</v>
      </c>
      <c r="K133" s="89" t="str">
        <f t="shared" si="30"/>
        <v>4031/4032</v>
      </c>
      <c r="L133" s="185" t="str">
        <f>VLOOKUP(A133,'Trips&amp;Operators'!$C$1:$G$99911,5,FALSE)</f>
        <v>ZEWDU DEREJE</v>
      </c>
      <c r="M133" s="6">
        <f t="shared" si="31"/>
        <v>2.7256944449618459E-2</v>
      </c>
      <c r="N133" s="7">
        <f t="shared" si="57"/>
        <v>39.250000007450581</v>
      </c>
      <c r="O133" s="7"/>
      <c r="P133" s="7"/>
      <c r="Q133" s="22"/>
      <c r="R133" s="174"/>
      <c r="S133" s="221">
        <f t="shared" si="47"/>
        <v>1</v>
      </c>
      <c r="T133" s="174" t="str">
        <f t="shared" si="32"/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33"/>
        <v>https://d0f6bd738d7f1b3e5a7ca70fe4ff75f0.us-east-1.aws.found.io/app/kibana#/discover/Steve-Slow-Train-Analysis-(2080s-and-2083s)?_g=(refreshInterval:(display:Off,pause:!f,section:0,value:0),time:(from:'2017-09-22T18:21:07-0600',mode:absolute,to:'2017-09-22T21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3" s="204" t="str">
        <f>IF(AA133&lt;VLOOKUP(AG133,Variables!$AC$3:$AD$8,2,FALSE),"Y","N")</f>
        <v>N</v>
      </c>
      <c r="X133" s="204">
        <f t="shared" si="56"/>
        <v>1</v>
      </c>
      <c r="Y133" s="204">
        <f t="shared" si="54"/>
        <v>23.3004</v>
      </c>
      <c r="Z133" s="204">
        <f t="shared" si="55"/>
        <v>1.4999999999999999E-2</v>
      </c>
      <c r="AA133" s="204">
        <f t="shared" si="37"/>
        <v>23.285399999999999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38"/>
        <v>220</v>
      </c>
      <c r="AE133" s="77" t="str">
        <f t="shared" si="39"/>
        <v>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 &amp; aws s3 cp s3://rtdc.mdm.uploadarchive.raw/RTDC4031/ "%USERPROFILE%\AppData\Local\Temp\OnboardLogs"\RTDC4031\2017-09-23 --exclude "*" --recursive --include "*20170923*" &amp; "%USERPROFILE%\Documents\GitHub\mrs-test-scripts\Headless Mode &amp; Sideloading\WalkAndUnGZ.bat" "%USERPROFILE%\AppData\Local\Temp\OnboardLogs"\RTDC4031\2017-09-23</v>
      </c>
      <c r="AF133" s="74" t="str">
        <f t="shared" si="40"/>
        <v>"C:\Program Files (x86)\AstroGrep\AstroGrep.exe" /e /r /s /spath="%USERPROFILE%\AppData\Local\Temp\OnboardLogs" /stypes="app*4031*20170923*" /stext=" 02:.+((SYSTEM_STATE.+slice.+state.+changed )|(ment ac)|(multiple cpu faults)|(system.+state.+changed )|(\[timeout)|(PRM\|1\|D)|(kpr)|(kdp)|(train st.+moving)|(\|lc)|(penalty))"</v>
      </c>
      <c r="AG133" s="182" t="str">
        <f t="shared" si="41"/>
        <v>EC</v>
      </c>
      <c r="AH133" s="78" t="str">
        <f t="shared" si="42"/>
        <v>"%USERPROFILE%\Documents\GitHub\eaglep3\Utilities\RefineRTDCRunTimes.py" --tripid 220-22 --locoid 4031 --swversion DE.1.0.9.0 --startMP 204:233004 --initTime 2017-09-22T19:21:07 --startdatetime 2017-09-22T19:27:34 --delay 140 --endMP 204:150 --enddatetime 2017-09-22T20:06:49 --enforcementcount 0 &gt;&gt;c:\users\stu\Documents\GitHub\eaglep3-reporting\EC\2017-09-22-refined-times.txt</v>
      </c>
      <c r="AI133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{"issue":{"subject":"","project_id":79,"tracker_id":40,"status_id":1,"priority_id":2,"assigned_to_id":338,"start_date":"2017-09-22","description":"","custom_fields":[{"id":1,"name":"Subdivision","value":"EC"},{"id":4,"name":"Milepost","value":"0.015"},{"id":17,"name":"Train ID","value":"220-22"},{"id":16,"name":"Locomotive ID","value":"4031"},{"id":130,"name":"Impact","value":""},{"id":150,"name":"Time of Event (Mountain Time)","value":"20:06:49"},{"id":151,"name":"Denver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4"/>
        <v>start /low /b %USERPROFILE%\Documents\GitHub\eaglep3\Utilities\DownloadLogsFromS3.py --loco 4031 --day 2017-09-22</v>
      </c>
      <c r="AN133" s="151" t="str">
        <f t="shared" si="45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02:06:49"},{"id":29,"name":"Sharepoint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46"/>
        <v>https://d0f6bd738d7f1b3e5a7ca70fe4ff75f0.us-east-1.aws.found.io/app/kibana#/discover/Steve-Slow-Train-Analysis-(2080s-and-2083s)?_g=(refreshInterval:(display:Off,pause:!f,section:0,value:0),time:(from:'2017-09-22T18:21:07-0600',mode:absolute,to:'2017-09-22T21:06:49-0600'))&amp;_a=(columns:!('Message%20ID',Summary),filters:!(),index:'emp_*',interval:auto,query:(query_string:(analyze_wildcard:!t,query:'Message%5C+ID:(*)+AND+%22rtdc.l.rtdc.4031%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784</v>
      </c>
      <c r="B134" s="7">
        <v>4064</v>
      </c>
      <c r="C134" s="21" t="s">
        <v>196</v>
      </c>
      <c r="D134" s="21" t="s">
        <v>431</v>
      </c>
      <c r="E134" s="13">
        <v>43000.786979166667</v>
      </c>
      <c r="F134" s="13">
        <v>43000.791828703703</v>
      </c>
      <c r="G134" s="7">
        <v>72</v>
      </c>
      <c r="H134" s="21" t="s">
        <v>871</v>
      </c>
      <c r="I134" s="13">
        <v>43000.81753472222</v>
      </c>
      <c r="J134" s="7">
        <v>0</v>
      </c>
      <c r="K134" s="89" t="str">
        <f t="shared" si="30"/>
        <v>4063/4064</v>
      </c>
      <c r="L134" s="185" t="str">
        <f>VLOOKUP(A134,'Trips&amp;Operators'!$C$1:$G$99911,5,FALSE)</f>
        <v>HART KEVIN</v>
      </c>
      <c r="M134" s="6">
        <f t="shared" si="31"/>
        <v>2.5706018517666962E-2</v>
      </c>
      <c r="N134" s="7">
        <f t="shared" si="57"/>
        <v>37.016666665440425</v>
      </c>
      <c r="O134" s="7"/>
      <c r="P134" s="7"/>
      <c r="Q134" s="22"/>
      <c r="R134" s="174"/>
      <c r="S134" s="221">
        <f t="shared" si="47"/>
        <v>1</v>
      </c>
      <c r="T134" s="174" t="str">
        <f t="shared" si="32"/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33"/>
        <v>https://d0f6bd738d7f1b3e5a7ca70fe4ff75f0.us-east-1.aws.found.io/app/kibana#/discover/Steve-Slow-Train-Analysis-(2080s-and-2083s)?_g=(refreshInterval:(display:Off,pause:!f,section:0,value:0),time:(from:'2017-09-22T17:53:15-0600',mode:absolute,to:'2017-09-22T20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4" s="204" t="str">
        <f>IF(AA134&lt;VLOOKUP(AG134,Variables!$AC$3:$AD$8,2,FALSE),"Y","N")</f>
        <v>N</v>
      </c>
      <c r="X134" s="204">
        <f t="shared" si="56"/>
        <v>1</v>
      </c>
      <c r="Y134" s="204">
        <f t="shared" si="54"/>
        <v>4.5699999999999998E-2</v>
      </c>
      <c r="Z134" s="204">
        <f t="shared" si="55"/>
        <v>23.328199999999999</v>
      </c>
      <c r="AA134" s="204">
        <f t="shared" si="37"/>
        <v>23.282499999999999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38"/>
        <v>221</v>
      </c>
      <c r="AE134" s="77" t="str">
        <f t="shared" si="39"/>
        <v>aws s3 cp s3://rtdc.mdm.uploadarchive.raw/RTDC4064/ "%USERPROFILE%\AppData\Local\Temp\OnboardLogs"\RTDC4064\2017-09-22 --exclude "*" --recursive --include "*20170922*" &amp; "%USERPROFILE%\Documents\GitHub\mrs-test-scripts\Headless Mode &amp; Sideloading\WalkAndUnGZ.bat" "%USERPROFILE%\AppData\Local\Temp\OnboardLogs"\RTDC4064\2017-09-22 &amp; aws s3 cp s3://rtdc.mdm.uploadarchive.raw/RTDC4064/ "%USERPROFILE%\AppData\Local\Temp\OnboardLogs"\RTDC4064\2017-09-23 --exclude "*" --recursive --include "*20170923*" &amp; "%USERPROFILE%\Documents\GitHub\mrs-test-scripts\Headless Mode &amp; Sideloading\WalkAndUnGZ.bat" "%USERPROFILE%\AppData\Local\Temp\OnboardLogs"\RTDC4064\2017-09-23</v>
      </c>
      <c r="AF134" s="74" t="str">
        <f t="shared" si="40"/>
        <v>"C:\Program Files (x86)\AstroGrep\AstroGrep.exe" /e /r /s /spath="%USERPROFILE%\AppData\Local\Temp\OnboardLogs" /stypes="app*4064*20170923*" /stext=" 01:.+((SYSTEM_STATE.+slice.+state.+changed )|(ment ac)|(multiple cpu faults)|(system.+state.+changed )|(\[timeout)|(PRM\|1\|D)|(kpr)|(kdp)|(train st.+moving)|(\|lc)|(penalty))"</v>
      </c>
      <c r="AG134" s="182" t="str">
        <f t="shared" si="41"/>
        <v>EC</v>
      </c>
      <c r="AH134" s="78" t="str">
        <f t="shared" si="42"/>
        <v>"%USERPROFILE%\Documents\GitHub\eaglep3\Utilities\RefineRTDCRunTimes.py" --tripid 221-22 --locoid 4064 --swversion DE.1.0.9.0 --startMP 204:457 --initTime 2017-09-22T18:53:15 --startdatetime 2017-09-22T19:00:14 --delay 72 --endMP 204:233282 --enddatetime 2017-09-22T19:37:15 --enforcementcount 0 &gt;&gt;c:\users\stu\Documents\GitHub\eaglep3-reporting\EC\2017-09-22-refined-times.txt</v>
      </c>
      <c r="AI134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{"issue":{"subject":"","project_id":79,"tracker_id":40,"status_id":1,"priority_id":2,"assigned_to_id":338,"start_date":"2017-09-22","description":"","custom_fields":[{"id":1,"name":"Subdivision","value":"EC"},{"id":4,"name":"Milepost","value":"23.3282"},{"id":17,"name":"Train ID","value":"221-22"},{"id":16,"name":"Locomotive ID","value":"4064"},{"id":130,"name":"Impact","value":""},{"id":150,"name":"Time of Event (Mountain Time)","value":"19:37:15"},{"id":151,"name":"Denver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4"/>
        <v>start /low /b %USERPROFILE%\Documents\GitHub\eaglep3\Utilities\DownloadLogsFromS3.py --loco 4064 --day 2017-09-22</v>
      </c>
      <c r="AN134" s="151" t="str">
        <f t="shared" si="45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01:37:15"},{"id":29,"name":"Sharepoint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46"/>
        <v>https://d0f6bd738d7f1b3e5a7ca70fe4ff75f0.us-east-1.aws.found.io/app/kibana#/discover/Steve-Slow-Train-Analysis-(2080s-and-2083s)?_g=(refreshInterval:(display:Off,pause:!f,section:0,value:0),time:(from:'2017-09-22T17:53:15-0600',mode:absolute,to:'2017-09-22T20:37:15-0600'))&amp;_a=(columns:!('Message%20ID',Summary),filters:!(),index:'emp_*',interval:auto,query:(query_string:(analyze_wildcard:!t,query:'Message%5C+ID:(*)+AND+%22rtdc.l.rtdc.4064%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792</v>
      </c>
      <c r="B135" s="7">
        <v>4063</v>
      </c>
      <c r="C135" s="21" t="s">
        <v>196</v>
      </c>
      <c r="D135" s="21" t="s">
        <v>555</v>
      </c>
      <c r="E135" s="13">
        <v>43000.828981481478</v>
      </c>
      <c r="F135" s="13">
        <v>43000.831446759257</v>
      </c>
      <c r="G135" s="7">
        <v>60</v>
      </c>
      <c r="H135" s="21" t="s">
        <v>361</v>
      </c>
      <c r="I135" s="13">
        <v>43000.856504629628</v>
      </c>
      <c r="J135" s="7">
        <v>0</v>
      </c>
      <c r="K135" s="89" t="str">
        <f t="shared" si="30"/>
        <v>4063/4064</v>
      </c>
      <c r="L135" s="185" t="str">
        <f>VLOOKUP(A135,'Trips&amp;Operators'!$C$1:$G$99911,5,FALSE)</f>
        <v>HART KEVIN</v>
      </c>
      <c r="M135" s="6">
        <f t="shared" si="31"/>
        <v>2.5057870370801538E-2</v>
      </c>
      <c r="N135" s="7">
        <f t="shared" si="57"/>
        <v>36.083333333954215</v>
      </c>
      <c r="O135" s="7"/>
      <c r="P135" s="7"/>
      <c r="Q135" s="22"/>
      <c r="R135" s="174"/>
      <c r="S135" s="221">
        <f t="shared" si="47"/>
        <v>1</v>
      </c>
      <c r="T135" s="174" t="str">
        <f t="shared" si="32"/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33"/>
        <v>https://d0f6bd738d7f1b3e5a7ca70fe4ff75f0.us-east-1.aws.found.io/app/kibana#/discover/Steve-Slow-Train-Analysis-(2080s-and-2083s)?_g=(refreshInterval:(display:Off,pause:!f,section:0,value:0),time:(from:'2017-09-22T18:53:44-0600',mode:absolute,to:'2017-09-22T21:33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5" s="204" t="str">
        <f>IF(AA135&lt;VLOOKUP(AG135,Variables!$AC$3:$AD$8,2,FALSE),"Y","N")</f>
        <v>N</v>
      </c>
      <c r="X135" s="204">
        <f t="shared" si="56"/>
        <v>1</v>
      </c>
      <c r="Y135" s="204">
        <f t="shared" si="54"/>
        <v>23.296099999999999</v>
      </c>
      <c r="Z135" s="204">
        <f t="shared" si="55"/>
        <v>1.4500000000000001E-2</v>
      </c>
      <c r="AA135" s="204">
        <f t="shared" si="37"/>
        <v>23.281599999999997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38"/>
        <v>222</v>
      </c>
      <c r="AE135" s="77" t="str">
        <f t="shared" si="39"/>
        <v>aws s3 cp s3://rtdc.mdm.uploadarchive.raw/RTDC4063/ "%USERPROFILE%\AppData\Local\Temp\OnboardLogs"\RTDC4063\2017-09-22 --exclude "*" --recursive --include "*20170922*" &amp; "%USERPROFILE%\Documents\GitHub\mrs-test-scripts\Headless Mode &amp; Sideloading\WalkAndUnGZ.bat" "%USERPROFILE%\AppData\Local\Temp\OnboardLogs"\RTDC4063\2017-09-22 &amp; aws s3 cp s3://rtdc.mdm.uploadarchive.raw/RTDC4063/ "%USERPROFILE%\AppData\Local\Temp\OnboardLogs"\RTDC4063\2017-09-23 --exclude "*" --recursive --include "*20170923*" &amp; "%USERPROFILE%\Documents\GitHub\mrs-test-scripts\Headless Mode &amp; Sideloading\WalkAndUnGZ.bat" "%USERPROFILE%\AppData\Local\Temp\OnboardLogs"\RTDC4063\2017-09-23</v>
      </c>
      <c r="AF135" s="74" t="str">
        <f t="shared" si="40"/>
        <v>"C:\Program Files (x86)\AstroGrep\AstroGrep.exe" /e /r /s /spath="%USERPROFILE%\AppData\Local\Temp\OnboardLogs" /stypes="app*4063*20170923*" /stext=" 02:.+((SYSTEM_STATE.+slice.+state.+changed )|(ment ac)|(multiple cpu faults)|(system.+state.+changed )|(\[timeout)|(PRM\|1\|D)|(kpr)|(kdp)|(train st.+moving)|(\|lc)|(penalty))"</v>
      </c>
      <c r="AG135" s="182" t="str">
        <f t="shared" si="41"/>
        <v>EC</v>
      </c>
      <c r="AH135" s="78" t="str">
        <f t="shared" si="42"/>
        <v>"%USERPROFILE%\Documents\GitHub\eaglep3\Utilities\RefineRTDCRunTimes.py" --tripid 222-22 --locoid 4063 --swversion DE.1.0.9.0 --startMP 204:232961 --initTime 2017-09-22T19:53:44 --startdatetime 2017-09-22T19:57:17 --delay 60 --endMP 204:145 --enddatetime 2017-09-22T20:33:22 --enforcementcount 0 &gt;&gt;c:\users\stu\Documents\GitHub\eaglep3-reporting\EC\2017-09-22-refined-times.txt</v>
      </c>
      <c r="AI135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{"issue":{"subject":"","project_id":79,"tracker_id":40,"status_id":1,"priority_id":2,"assigned_to_id":338,"start_date":"2017-09-22","description":"","custom_fields":[{"id":1,"name":"Subdivision","value":"EC"},{"id":4,"name":"Milepost","value":"0.0145"},{"id":17,"name":"Train ID","value":"222-22"},{"id":16,"name":"Locomotive ID","value":"4063"},{"id":130,"name":"Impact","value":""},{"id":150,"name":"Time of Event (Mountain Time)","value":"20:33:22"},{"id":151,"name":"Denver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4"/>
        <v>start /low /b %USERPROFILE%\Documents\GitHub\eaglep3\Utilities\DownloadLogsFromS3.py --loco 4063 --day 2017-09-22</v>
      </c>
      <c r="AN135" s="151" t="str">
        <f t="shared" si="45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02:33:22"},{"id":29,"name":"Sharepoint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46"/>
        <v>https://d0f6bd738d7f1b3e5a7ca70fe4ff75f0.us-east-1.aws.found.io/app/kibana#/discover/Steve-Slow-Train-Analysis-(2080s-and-2083s)?_g=(refreshInterval:(display:Off,pause:!f,section:0,value:0),time:(from:'2017-09-22T18:53:44-0600',mode:absolute,to:'2017-09-22T21:33:22-0600'))&amp;_a=(columns:!('Message%20ID',Summary),filters:!(),index:'emp_*',interval:auto,query:(query_string:(analyze_wildcard:!t,query:'Message%5C+ID:(*)+AND+%22rtdc.l.rtdc.4063%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789</v>
      </c>
      <c r="B136" s="7">
        <v>4044</v>
      </c>
      <c r="C136" s="21" t="s">
        <v>196</v>
      </c>
      <c r="D136" s="21" t="s">
        <v>356</v>
      </c>
      <c r="E136" s="13">
        <v>43000.807546296295</v>
      </c>
      <c r="F136" s="13">
        <v>43000.812673611108</v>
      </c>
      <c r="G136" s="7">
        <v>52</v>
      </c>
      <c r="H136" s="21" t="s">
        <v>421</v>
      </c>
      <c r="I136" s="13">
        <v>43000.837881944448</v>
      </c>
      <c r="J136" s="7">
        <v>0</v>
      </c>
      <c r="K136" s="89" t="str">
        <f t="shared" si="30"/>
        <v>4043/4044</v>
      </c>
      <c r="L136" s="185" t="str">
        <f>VLOOKUP(A136,'Trips&amp;Operators'!$C$1:$G$99911,5,FALSE)</f>
        <v>YANG JAN</v>
      </c>
      <c r="M136" s="6">
        <f t="shared" si="31"/>
        <v>2.5208333339833189E-2</v>
      </c>
      <c r="N136" s="7">
        <f t="shared" si="57"/>
        <v>36.300000009359792</v>
      </c>
      <c r="O136" s="7"/>
      <c r="P136" s="7"/>
      <c r="Q136" s="22"/>
      <c r="R136" s="174"/>
      <c r="S136" s="221">
        <f t="shared" si="47"/>
        <v>1</v>
      </c>
      <c r="T136" s="174" t="str">
        <f t="shared" si="32"/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33"/>
        <v>https://d0f6bd738d7f1b3e5a7ca70fe4ff75f0.us-east-1.aws.found.io/app/kibana#/discover/Steve-Slow-Train-Analysis-(2080s-and-2083s)?_g=(refreshInterval:(display:Off,pause:!f,section:0,value:0),time:(from:'2017-09-22T18:22:52-0600',mode:absolute,to:'2017-09-22T21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6" s="204" t="str">
        <f>IF(AA136&lt;VLOOKUP(AG136,Variables!$AC$3:$AD$8,2,FALSE),"Y","N")</f>
        <v>N</v>
      </c>
      <c r="X136" s="204">
        <f t="shared" si="56"/>
        <v>1</v>
      </c>
      <c r="Y136" s="204">
        <f t="shared" si="54"/>
        <v>4.58E-2</v>
      </c>
      <c r="Z136" s="204">
        <f t="shared" si="55"/>
        <v>23.333200000000001</v>
      </c>
      <c r="AA136" s="204">
        <f t="shared" si="37"/>
        <v>23.287400000000002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38"/>
        <v>223</v>
      </c>
      <c r="AE136" s="77" t="str">
        <f t="shared" si="39"/>
        <v>aws s3 cp s3://rtdc.mdm.uploadarchive.raw/RTDC4044/ "%USERPROFILE%\AppData\Local\Temp\OnboardLogs"\RTDC4044\2017-09-22 --exclude "*" --recursive --include "*20170922*" &amp; "%USERPROFILE%\Documents\GitHub\mrs-test-scripts\Headless Mode &amp; Sideloading\WalkAndUnGZ.bat" "%USERPROFILE%\AppData\Local\Temp\OnboardLogs"\RTDC4044\2017-09-22 &amp; aws s3 cp s3://rtdc.mdm.uploadarchive.raw/RTDC4044/ "%USERPROFILE%\AppData\Local\Temp\OnboardLogs"\RTDC4044\2017-09-23 --exclude "*" --recursive --include "*20170923*" &amp; "%USERPROFILE%\Documents\GitHub\mrs-test-scripts\Headless Mode &amp; Sideloading\WalkAndUnGZ.bat" "%USERPROFILE%\AppData\Local\Temp\OnboardLogs"\RTDC4044\2017-09-23</v>
      </c>
      <c r="AF136" s="74" t="str">
        <f t="shared" si="40"/>
        <v>"C:\Program Files (x86)\AstroGrep\AstroGrep.exe" /e /r /s /spath="%USERPROFILE%\AppData\Local\Temp\OnboardLogs" /stypes="app*4044*20170923*" /stext=" 02:.+((SYSTEM_STATE.+slice.+state.+changed )|(ment ac)|(multiple cpu faults)|(system.+state.+changed )|(\[timeout)|(PRM\|1\|D)|(kpr)|(kdp)|(train st.+moving)|(\|lc)|(penalty))"</v>
      </c>
      <c r="AG136" s="182" t="str">
        <f t="shared" si="41"/>
        <v>EC</v>
      </c>
      <c r="AH136" s="78" t="str">
        <f t="shared" si="42"/>
        <v>"%USERPROFILE%\Documents\GitHub\eaglep3\Utilities\RefineRTDCRunTimes.py" --tripid 223-22 --locoid 4044 --swversion DE.1.0.9.0 --startMP 204:458 --initTime 2017-09-22T19:22:52 --startdatetime 2017-09-22T19:30:15 --delay 52 --endMP 204:233332 --enddatetime 2017-09-22T20:06:33 --enforcementcount 0 &gt;&gt;c:\users\stu\Documents\GitHub\eaglep3-reporting\EC\2017-09-22-refined-times.txt</v>
      </c>
      <c r="AI136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{"issue":{"subject":"","project_id":79,"tracker_id":40,"status_id":1,"priority_id":2,"assigned_to_id":338,"start_date":"2017-09-22","description":"","custom_fields":[{"id":1,"name":"Subdivision","value":"EC"},{"id":4,"name":"Milepost","value":"23.3332"},{"id":17,"name":"Train ID","value":"223-22"},{"id":16,"name":"Locomotive ID","value":"4044"},{"id":130,"name":"Impact","value":""},{"id":150,"name":"Time of Event (Mountain Time)","value":"20:06:33"},{"id":151,"name":"Denver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4"/>
        <v>start /low /b %USERPROFILE%\Documents\GitHub\eaglep3\Utilities\DownloadLogsFromS3.py --loco 4044 --day 2017-09-22</v>
      </c>
      <c r="AN136" s="151" t="str">
        <f t="shared" si="45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02:06:33"},{"id":29,"name":"Sharepoint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46"/>
        <v>https://d0f6bd738d7f1b3e5a7ca70fe4ff75f0.us-east-1.aws.found.io/app/kibana#/discover/Steve-Slow-Train-Analysis-(2080s-and-2083s)?_g=(refreshInterval:(display:Off,pause:!f,section:0,value:0),time:(from:'2017-09-22T18:22:52-0600',mode:absolute,to:'2017-09-22T21:06:33-0600'))&amp;_a=(columns:!('Message%20ID',Summary),filters:!(),index:'emp_*',interval:auto,query:(query_string:(analyze_wildcard:!t,query:'Message%5C+ID:(*)+AND+%22rtdc.l.rtdc.4044%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795</v>
      </c>
      <c r="B137" s="7">
        <v>4043</v>
      </c>
      <c r="C137" s="21" t="s">
        <v>196</v>
      </c>
      <c r="D137" s="21" t="s">
        <v>399</v>
      </c>
      <c r="E137" s="13">
        <v>43000.846805555557</v>
      </c>
      <c r="F137" s="13">
        <v>43000.852361111109</v>
      </c>
      <c r="G137" s="7">
        <v>52</v>
      </c>
      <c r="H137" s="21" t="s">
        <v>341</v>
      </c>
      <c r="I137" s="13">
        <v>43000.878425925926</v>
      </c>
      <c r="J137" s="7">
        <v>0</v>
      </c>
      <c r="K137" s="89" t="str">
        <f t="shared" si="30"/>
        <v>4043/4044</v>
      </c>
      <c r="L137" s="185" t="str">
        <f>VLOOKUP(A137,'Trips&amp;Operators'!$C$1:$G$99911,5,FALSE)</f>
        <v>YANG JAN</v>
      </c>
      <c r="M137" s="6">
        <f t="shared" si="31"/>
        <v>2.6064814817800652E-2</v>
      </c>
      <c r="N137" s="7">
        <f t="shared" si="57"/>
        <v>37.533333337632939</v>
      </c>
      <c r="O137" s="7"/>
      <c r="P137" s="7"/>
      <c r="Q137" s="22"/>
      <c r="R137" s="174"/>
      <c r="S137" s="221">
        <f t="shared" si="47"/>
        <v>1</v>
      </c>
      <c r="T137" s="174" t="str">
        <f t="shared" si="32"/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33"/>
        <v>https://d0f6bd738d7f1b3e5a7ca70fe4ff75f0.us-east-1.aws.found.io/app/kibana#/discover/Steve-Slow-Train-Analysis-(2080s-and-2083s)?_g=(refreshInterval:(display:Off,pause:!f,section:0,value:0),time:(from:'2017-09-22T19:19:24-0600',mode:absolute,to:'2017-09-22T22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7" s="204" t="str">
        <f>IF(AA137&lt;VLOOKUP(AG137,Variables!$AC$3:$AD$8,2,FALSE),"Y","N")</f>
        <v>N</v>
      </c>
      <c r="X137" s="204">
        <f t="shared" si="56"/>
        <v>1</v>
      </c>
      <c r="Y137" s="204">
        <f t="shared" si="54"/>
        <v>23.299800000000001</v>
      </c>
      <c r="Z137" s="204">
        <f t="shared" si="55"/>
        <v>1.47E-2</v>
      </c>
      <c r="AA137" s="204">
        <f t="shared" si="37"/>
        <v>23.2851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38"/>
        <v>224</v>
      </c>
      <c r="AE137" s="77" t="str">
        <f t="shared" si="39"/>
        <v>aws s3 cp s3://rtdc.mdm.uploadarchive.raw/RTDC4043/ "%USERPROFILE%\AppData\Local\Temp\OnboardLogs"\RTDC4043\2017-09-22 --exclude "*" --recursive --include "*20170922*" &amp; "%USERPROFILE%\Documents\GitHub\mrs-test-scripts\Headless Mode &amp; Sideloading\WalkAndUnGZ.bat" "%USERPROFILE%\AppData\Local\Temp\OnboardLogs"\RTDC4043\2017-09-22 &amp; aws s3 cp s3://rtdc.mdm.uploadarchive.raw/RTDC4043/ "%USERPROFILE%\AppData\Local\Temp\OnboardLogs"\RTDC4043\2017-09-23 --exclude "*" --recursive --include "*20170923*" &amp; "%USERPROFILE%\Documents\GitHub\mrs-test-scripts\Headless Mode &amp; Sideloading\WalkAndUnGZ.bat" "%USERPROFILE%\AppData\Local\Temp\OnboardLogs"\RTDC4043\2017-09-23</v>
      </c>
      <c r="AF137" s="74" t="str">
        <f t="shared" si="40"/>
        <v>"C:\Program Files (x86)\AstroGrep\AstroGrep.exe" /e /r /s /spath="%USERPROFILE%\AppData\Local\Temp\OnboardLogs" /stypes="app*4043*20170923*" /stext=" 03:.+((SYSTEM_STATE.+slice.+state.+changed )|(ment ac)|(multiple cpu faults)|(system.+state.+changed )|(\[timeout)|(PRM\|1\|D)|(kpr)|(kdp)|(train st.+moving)|(\|lc)|(penalty))"</v>
      </c>
      <c r="AG137" s="182" t="str">
        <f t="shared" si="41"/>
        <v>EC</v>
      </c>
      <c r="AH137" s="78" t="str">
        <f t="shared" si="42"/>
        <v>"%USERPROFILE%\Documents\GitHub\eaglep3\Utilities\RefineRTDCRunTimes.py" --tripid 224-22 --locoid 4043 --swversion DE.1.0.9.0 --startMP 204:232998 --initTime 2017-09-22T20:19:24 --startdatetime 2017-09-22T20:27:24 --delay 52 --endMP 204:147 --enddatetime 2017-09-22T21:04:56 --enforcementcount 0 &gt;&gt;c:\users\stu\Documents\GitHub\eaglep3-reporting\EC\2017-09-22-refined-times.txt</v>
      </c>
      <c r="AI137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{"issue":{"subject":"","project_id":79,"tracker_id":40,"status_id":1,"priority_id":2,"assigned_to_id":338,"start_date":"2017-09-22","description":"","custom_fields":[{"id":1,"name":"Subdivision","value":"EC"},{"id":4,"name":"Milepost","value":"0.0147"},{"id":17,"name":"Train ID","value":"224-22"},{"id":16,"name":"Locomotive ID","value":"4043"},{"id":130,"name":"Impact","value":""},{"id":150,"name":"Time of Event (Mountain Time)","value":"21:04:56"},{"id":151,"name":"Denver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4"/>
        <v>start /low /b %USERPROFILE%\Documents\GitHub\eaglep3\Utilities\DownloadLogsFromS3.py --loco 4043 --day 2017-09-22</v>
      </c>
      <c r="AN137" s="151" t="str">
        <f t="shared" si="45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03:04:56"},{"id":29,"name":"Sharepoint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46"/>
        <v>https://d0f6bd738d7f1b3e5a7ca70fe4ff75f0.us-east-1.aws.found.io/app/kibana#/discover/Steve-Slow-Train-Analysis-(2080s-and-2083s)?_g=(refreshInterval:(display:Off,pause:!f,section:0,value:0),time:(from:'2017-09-22T19:19:24-0600',mode:absolute,to:'2017-09-22T22:04:56-0600'))&amp;_a=(columns:!('Message%20ID',Summary),filters:!(),index:'emp_*',interval:auto,query:(query_string:(analyze_wildcard:!t,query:'Message%5C+ID:(*)+AND+%22rtdc.l.rtdc.4043%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793</v>
      </c>
      <c r="B138" s="7">
        <v>4018</v>
      </c>
      <c r="C138" s="21" t="s">
        <v>196</v>
      </c>
      <c r="D138" s="21" t="s">
        <v>358</v>
      </c>
      <c r="E138" s="13">
        <v>43000.829641203702</v>
      </c>
      <c r="F138" s="13">
        <v>43000.83353009259</v>
      </c>
      <c r="G138" s="7">
        <v>80</v>
      </c>
      <c r="H138" s="21" t="s">
        <v>549</v>
      </c>
      <c r="I138" s="13">
        <v>43000.858622685184</v>
      </c>
      <c r="J138" s="7">
        <v>0</v>
      </c>
      <c r="K138" s="89" t="str">
        <f t="shared" si="30"/>
        <v>4017/4018</v>
      </c>
      <c r="L138" s="185" t="str">
        <f>VLOOKUP(A138,'Trips&amp;Operators'!$C$1:$G$99911,5,FALSE)</f>
        <v>DAVIDSON DAVID</v>
      </c>
      <c r="M138" s="6">
        <f t="shared" si="31"/>
        <v>2.5092592593864538E-2</v>
      </c>
      <c r="N138" s="7">
        <f t="shared" si="57"/>
        <v>36.133333335164934</v>
      </c>
      <c r="O138" s="7"/>
      <c r="P138" s="7"/>
      <c r="Q138" s="22"/>
      <c r="R138" s="174"/>
      <c r="S138" s="221">
        <f t="shared" si="47"/>
        <v>1</v>
      </c>
      <c r="T138" s="174" t="str">
        <f t="shared" si="32"/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33"/>
        <v>https://d0f6bd738d7f1b3e5a7ca70fe4ff75f0.us-east-1.aws.found.io/app/kibana#/discover/Steve-Slow-Train-Analysis-(2080s-and-2083s)?_g=(refreshInterval:(display:Off,pause:!f,section:0,value:0),time:(from:'2017-09-22T18:54:41-0600',mode:absolute,to:'2017-09-22T21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8" s="204" t="str">
        <f>IF(AA138&lt;VLOOKUP(AG138,Variables!$AC$3:$AD$8,2,FALSE),"Y","N")</f>
        <v>N</v>
      </c>
      <c r="X138" s="204">
        <f t="shared" si="56"/>
        <v>1</v>
      </c>
      <c r="Y138" s="204">
        <f t="shared" si="54"/>
        <v>4.4900000000000002E-2</v>
      </c>
      <c r="Z138" s="204">
        <f t="shared" si="55"/>
        <v>23.328399999999998</v>
      </c>
      <c r="AA138" s="204">
        <f t="shared" si="37"/>
        <v>23.2835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38"/>
        <v>225</v>
      </c>
      <c r="AE138" s="77" t="str">
        <f t="shared" si="39"/>
        <v>aws s3 cp s3://rtdc.mdm.uploadarchive.raw/RTDC4018/ "%USERPROFILE%\AppData\Local\Temp\OnboardLogs"\RTDC4018\2017-09-22 --exclude "*" --recursive --include "*20170922*" &amp; "%USERPROFILE%\Documents\GitHub\mrs-test-scripts\Headless Mode &amp; Sideloading\WalkAndUnGZ.bat" "%USERPROFILE%\AppData\Local\Temp\OnboardLogs"\RTDC4018\2017-09-22 &amp; aws s3 cp s3://rtdc.mdm.uploadarchive.raw/RTDC4018/ "%USERPROFILE%\AppData\Local\Temp\OnboardLogs"\RTDC4018\2017-09-23 --exclude "*" --recursive --include "*20170923*" &amp; "%USERPROFILE%\Documents\GitHub\mrs-test-scripts\Headless Mode &amp; Sideloading\WalkAndUnGZ.bat" "%USERPROFILE%\AppData\Local\Temp\OnboardLogs"\RTDC4018\2017-09-23</v>
      </c>
      <c r="AF138" s="74" t="str">
        <f t="shared" si="40"/>
        <v>"C:\Program Files (x86)\AstroGrep\AstroGrep.exe" /e /r /s /spath="%USERPROFILE%\AppData\Local\Temp\OnboardLogs" /stypes="app*4018*20170923*" /stext=" 02:.+((SYSTEM_STATE.+slice.+state.+changed )|(ment ac)|(multiple cpu faults)|(system.+state.+changed )|(\[timeout)|(PRM\|1\|D)|(kpr)|(kdp)|(train st.+moving)|(\|lc)|(penalty))"</v>
      </c>
      <c r="AG138" s="182" t="str">
        <f t="shared" si="41"/>
        <v>EC</v>
      </c>
      <c r="AH138" s="78" t="str">
        <f t="shared" si="42"/>
        <v>"%USERPROFILE%\Documents\GitHub\eaglep3\Utilities\RefineRTDCRunTimes.py" --tripid 225-22 --locoid 4018 --swversion DE.1.0.9.0 --startMP 204:449 --initTime 2017-09-22T19:54:41 --startdatetime 2017-09-22T20:00:17 --delay 80 --endMP 204:233284 --enddatetime 2017-09-22T20:36:25 --enforcementcount 0 &gt;&gt;c:\users\stu\Documents\GitHub\eaglep3-reporting\EC\2017-09-22-refined-times.txt</v>
      </c>
      <c r="AI138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{"issue":{"subject":"","project_id":79,"tracker_id":40,"status_id":1,"priority_id":2,"assigned_to_id":338,"start_date":"2017-09-22","description":"","custom_fields":[{"id":1,"name":"Subdivision","value":"EC"},{"id":4,"name":"Milepost","value":"23.3284"},{"id":17,"name":"Train ID","value":"225-22"},{"id":16,"name":"Locomotive ID","value":"4018"},{"id":130,"name":"Impact","value":""},{"id":150,"name":"Time of Event (Mountain Time)","value":"20:36:25"},{"id":151,"name":"Denver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4"/>
        <v>start /low /b %USERPROFILE%\Documents\GitHub\eaglep3\Utilities\DownloadLogsFromS3.py --loco 4018 --day 2017-09-22</v>
      </c>
      <c r="AN138" s="151" t="str">
        <f t="shared" si="45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02:36:25"},{"id":29,"name":"Sharepoint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46"/>
        <v>https://d0f6bd738d7f1b3e5a7ca70fe4ff75f0.us-east-1.aws.found.io/app/kibana#/discover/Steve-Slow-Train-Analysis-(2080s-and-2083s)?_g=(refreshInterval:(display:Off,pause:!f,section:0,value:0),time:(from:'2017-09-22T18:54:41-0600',mode:absolute,to:'2017-09-22T21:36:25-0600'))&amp;_a=(columns:!('Message%20ID',Summary),filters:!(),index:'emp_*',interval:auto,query:(query_string:(analyze_wildcard:!t,query:'Message%5C+ID:(*)+AND+%22rtdc.l.rtdc.4018%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797</v>
      </c>
      <c r="B139" s="7">
        <v>4017</v>
      </c>
      <c r="C139" s="21" t="s">
        <v>196</v>
      </c>
      <c r="D139" s="21" t="s">
        <v>835</v>
      </c>
      <c r="E139" s="13">
        <v>43000.860405092593</v>
      </c>
      <c r="F139" s="13">
        <v>43000.873935185184</v>
      </c>
      <c r="G139" s="7">
        <v>70</v>
      </c>
      <c r="H139" s="21" t="s">
        <v>361</v>
      </c>
      <c r="I139" s="13">
        <v>43000.900729166664</v>
      </c>
      <c r="J139" s="7">
        <v>0</v>
      </c>
      <c r="K139" s="89" t="str">
        <f t="shared" si="30"/>
        <v>4017/4018</v>
      </c>
      <c r="L139" s="185" t="str">
        <f>VLOOKUP(A139,'Trips&amp;Operators'!$C$1:$G$99911,5,FALSE)</f>
        <v>DAVIDSON DAVID</v>
      </c>
      <c r="M139" s="6">
        <f t="shared" si="31"/>
        <v>2.679398148029577E-2</v>
      </c>
      <c r="N139" s="7">
        <f t="shared" si="57"/>
        <v>38.583333331625909</v>
      </c>
      <c r="O139" s="7"/>
      <c r="P139" s="7"/>
      <c r="Q139" s="22"/>
      <c r="R139" s="174"/>
      <c r="S139" s="221">
        <f t="shared" si="47"/>
        <v>1</v>
      </c>
      <c r="T139" s="174" t="str">
        <f t="shared" si="32"/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33"/>
        <v>https://d0f6bd738d7f1b3e5a7ca70fe4ff75f0.us-east-1.aws.found.io/app/kibana#/discover/Steve-Slow-Train-Analysis-(2080s-and-2083s)?_g=(refreshInterval:(display:Off,pause:!f,section:0,value:0),time:(from:'2017-09-22T19:38:59-0600',mode:absolute,to:'2017-09-22T22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9" s="204" t="str">
        <f>IF(AA139&lt;VLOOKUP(AG139,Variables!$AC$3:$AD$8,2,FALSE),"Y","N")</f>
        <v>N</v>
      </c>
      <c r="X139" s="204">
        <f t="shared" si="56"/>
        <v>1</v>
      </c>
      <c r="Y139" s="204">
        <f t="shared" si="54"/>
        <v>23.296700000000001</v>
      </c>
      <c r="Z139" s="204">
        <f t="shared" si="55"/>
        <v>1.4500000000000001E-2</v>
      </c>
      <c r="AA139" s="204">
        <f t="shared" si="37"/>
        <v>23.2822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38"/>
        <v>226</v>
      </c>
      <c r="AE139" s="77" t="str">
        <f t="shared" si="39"/>
        <v>aws s3 cp s3://rtdc.mdm.uploadarchive.raw/RTDC4017/ "%USERPROFILE%\AppData\Local\Temp\OnboardLogs"\RTDC4017\2017-09-22 --exclude "*" --recursive --include "*20170922*" &amp; "%USERPROFILE%\Documents\GitHub\mrs-test-scripts\Headless Mode &amp; Sideloading\WalkAndUnGZ.bat" "%USERPROFILE%\AppData\Local\Temp\OnboardLogs"\RTDC4017\2017-09-22 &amp; aws s3 cp s3://rtdc.mdm.uploadarchive.raw/RTDC4017/ "%USERPROFILE%\AppData\Local\Temp\OnboardLogs"\RTDC4017\2017-09-23 --exclude "*" --recursive --include "*20170923*" &amp; "%USERPROFILE%\Documents\GitHub\mrs-test-scripts\Headless Mode &amp; Sideloading\WalkAndUnGZ.bat" "%USERPROFILE%\AppData\Local\Temp\OnboardLogs"\RTDC4017\2017-09-23</v>
      </c>
      <c r="AF139" s="74" t="str">
        <f t="shared" si="40"/>
        <v>"C:\Program Files (x86)\AstroGrep\AstroGrep.exe" /e /r /s /spath="%USERPROFILE%\AppData\Local\Temp\OnboardLogs" /stypes="app*4017*20170923*" /stext=" 03:.+((SYSTEM_STATE.+slice.+state.+changed )|(ment ac)|(multiple cpu faults)|(system.+state.+changed )|(\[timeout)|(PRM\|1\|D)|(kpr)|(kdp)|(train st.+moving)|(\|lc)|(penalty))"</v>
      </c>
      <c r="AG139" s="182" t="str">
        <f t="shared" si="41"/>
        <v>EC</v>
      </c>
      <c r="AH139" s="78" t="str">
        <f t="shared" si="42"/>
        <v>"%USERPROFILE%\Documents\GitHub\eaglep3\Utilities\RefineRTDCRunTimes.py" --tripid 226-22 --locoid 4017 --swversion DE.1.0.9.0 --startMP 204:232967 --initTime 2017-09-22T20:38:59 --startdatetime 2017-09-22T20:58:28 --delay 70 --endMP 204:145 --enddatetime 2017-09-22T21:37:03 --enforcementcount 0 &gt;&gt;c:\users\stu\Documents\GitHub\eaglep3-reporting\EC\2017-09-22-refined-times.txt</v>
      </c>
      <c r="AI139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{"issue":{"subject":"","project_id":79,"tracker_id":40,"status_id":1,"priority_id":2,"assigned_to_id":338,"start_date":"2017-09-22","description":"","custom_fields":[{"id":1,"name":"Subdivision","value":"EC"},{"id":4,"name":"Milepost","value":"0.0145"},{"id":17,"name":"Train ID","value":"226-22"},{"id":16,"name":"Locomotive ID","value":"4017"},{"id":130,"name":"Impact","value":""},{"id":150,"name":"Time of Event (Mountain Time)","value":"21:37:03"},{"id":151,"name":"Denver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4"/>
        <v>start /low /b %USERPROFILE%\Documents\GitHub\eaglep3\Utilities\DownloadLogsFromS3.py --loco 4017 --day 2017-09-22</v>
      </c>
      <c r="AN139" s="151" t="str">
        <f t="shared" si="45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03:37:03"},{"id":29,"name":"Sharepoint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46"/>
        <v>https://d0f6bd738d7f1b3e5a7ca70fe4ff75f0.us-east-1.aws.found.io/app/kibana#/discover/Steve-Slow-Train-Analysis-(2080s-and-2083s)?_g=(refreshInterval:(display:Off,pause:!f,section:0,value:0),time:(from:'2017-09-22T19:38:59-0600',mode:absolute,to:'2017-09-22T22:37:03-0600'))&amp;_a=(columns:!('Message%20ID',Summary),filters:!(),index:'emp_*',interval:auto,query:(query_string:(analyze_wildcard:!t,query:'Message%5C+ID:(*)+AND+%22rtdc.l.rtdc.4017%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794</v>
      </c>
      <c r="B140" s="7">
        <v>4032</v>
      </c>
      <c r="C140" s="21" t="s">
        <v>196</v>
      </c>
      <c r="D140" s="21" t="s">
        <v>347</v>
      </c>
      <c r="E140" s="13">
        <v>43000.839305555557</v>
      </c>
      <c r="F140" s="13">
        <v>43000.854328703703</v>
      </c>
      <c r="G140" s="7">
        <v>69</v>
      </c>
      <c r="H140" s="21" t="s">
        <v>507</v>
      </c>
      <c r="I140" s="13">
        <v>43000.878680555557</v>
      </c>
      <c r="J140" s="7">
        <v>0</v>
      </c>
      <c r="K140" s="89" t="str">
        <f t="shared" si="30"/>
        <v>4031/4032</v>
      </c>
      <c r="L140" s="185" t="str">
        <f>VLOOKUP(A140,'Trips&amp;Operators'!$C$1:$G$99911,5,FALSE)</f>
        <v>ELBAUM MIKE</v>
      </c>
      <c r="M140" s="6">
        <f t="shared" si="31"/>
        <v>2.4351851854589768E-2</v>
      </c>
      <c r="N140" s="7">
        <f t="shared" si="57"/>
        <v>35.066666670609266</v>
      </c>
      <c r="O140" s="7"/>
      <c r="P140" s="7"/>
      <c r="Q140" s="22"/>
      <c r="R140" s="174"/>
      <c r="S140" s="221">
        <f t="shared" si="47"/>
        <v>1</v>
      </c>
      <c r="T140" s="174" t="str">
        <f t="shared" si="32"/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33"/>
        <v>https://d0f6bd738d7f1b3e5a7ca70fe4ff75f0.us-east-1.aws.found.io/app/kibana#/discover/Steve-Slow-Train-Analysis-(2080s-and-2083s)?_g=(refreshInterval:(display:Off,pause:!f,section:0,value:0),time:(from:'2017-09-22T19:08:36-0600',mode:absolute,to:'2017-09-22T22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0" s="204" t="str">
        <f>IF(AA140&lt;VLOOKUP(AG140,Variables!$AC$3:$AD$8,2,FALSE),"Y","N")</f>
        <v>N</v>
      </c>
      <c r="X140" s="204">
        <f t="shared" si="56"/>
        <v>1</v>
      </c>
      <c r="Y140" s="204">
        <f t="shared" ref="Y140:Y160" si="58">RIGHT(D140,LEN(D140)-4)/10000</f>
        <v>4.5499999999999999E-2</v>
      </c>
      <c r="Z140" s="204">
        <f t="shared" ref="Z140:Z160" si="59">RIGHT(H140,LEN(H140)-4)/10000</f>
        <v>23.330100000000002</v>
      </c>
      <c r="AA140" s="204">
        <f t="shared" si="37"/>
        <v>23.284600000000001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38"/>
        <v>227</v>
      </c>
      <c r="AE140" s="77" t="str">
        <f t="shared" si="39"/>
        <v>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 &amp; aws s3 cp s3://rtdc.mdm.uploadarchive.raw/RTDC4032/ "%USERPROFILE%\AppData\Local\Temp\OnboardLogs"\RTDC4032\2017-09-23 --exclude "*" --recursive --include "*20170923*" &amp; "%USERPROFILE%\Documents\GitHub\mrs-test-scripts\Headless Mode &amp; Sideloading\WalkAndUnGZ.bat" "%USERPROFILE%\AppData\Local\Temp\OnboardLogs"\RTDC4032\2017-09-23</v>
      </c>
      <c r="AF140" s="74" t="str">
        <f t="shared" si="40"/>
        <v>"C:\Program Files (x86)\AstroGrep\AstroGrep.exe" /e /r /s /spath="%USERPROFILE%\AppData\Local\Temp\OnboardLogs" /stypes="app*4032*20170923*" /stext=" 03:.+((SYSTEM_STATE.+slice.+state.+changed )|(ment ac)|(multiple cpu faults)|(system.+state.+changed )|(\[timeout)|(PRM\|1\|D)|(kpr)|(kdp)|(train st.+moving)|(\|lc)|(penalty))"</v>
      </c>
      <c r="AG140" s="182" t="str">
        <f t="shared" si="41"/>
        <v>EC</v>
      </c>
      <c r="AH140" s="78" t="str">
        <f t="shared" si="42"/>
        <v>"%USERPROFILE%\Documents\GitHub\eaglep3\Utilities\RefineRTDCRunTimes.py" --tripid 227-22 --locoid 4032 --swversion DE.1.0.9.0 --startMP 204:455 --initTime 2017-09-22T20:08:36 --startdatetime 2017-09-22T20:30:14 --delay 69 --endMP 204:233301 --enddatetime 2017-09-22T21:05:18 --enforcementcount 0 &gt;&gt;c:\users\stu\Documents\GitHub\eaglep3-reporting\EC\2017-09-22-refined-times.txt</v>
      </c>
      <c r="AI140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{"issue":{"subject":"","project_id":79,"tracker_id":40,"status_id":1,"priority_id":2,"assigned_to_id":338,"start_date":"2017-09-22","description":"","custom_fields":[{"id":1,"name":"Subdivision","value":"EC"},{"id":4,"name":"Milepost","value":"23.3301"},{"id":17,"name":"Train ID","value":"227-22"},{"id":16,"name":"Locomotive ID","value":"4032"},{"id":130,"name":"Impact","value":""},{"id":150,"name":"Time of Event (Mountain Time)","value":"21:05:18"},{"id":151,"name":"Denver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4"/>
        <v>start /low /b %USERPROFILE%\Documents\GitHub\eaglep3\Utilities\DownloadLogsFromS3.py --loco 4032 --day 2017-09-22</v>
      </c>
      <c r="AN140" s="151" t="str">
        <f t="shared" si="45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03:05:18"},{"id":29,"name":"Sharepoint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46"/>
        <v>https://d0f6bd738d7f1b3e5a7ca70fe4ff75f0.us-east-1.aws.found.io/app/kibana#/discover/Steve-Slow-Train-Analysis-(2080s-and-2083s)?_g=(refreshInterval:(display:Off,pause:!f,section:0,value:0),time:(from:'2017-09-22T19:08:36-0600',mode:absolute,to:'2017-09-22T22:05:18-0600'))&amp;_a=(columns:!('Message%20ID',Summary),filters:!(),index:'emp_*',interval:auto,query:(query_string:(analyze_wildcard:!t,query:'Message%5C+ID:(*)+AND+%22rtdc.l.rtdc.4032%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800</v>
      </c>
      <c r="B141" s="7">
        <v>4031</v>
      </c>
      <c r="C141" s="21" t="s">
        <v>196</v>
      </c>
      <c r="D141" s="21" t="s">
        <v>450</v>
      </c>
      <c r="E141" s="13">
        <v>43000.879837962966</v>
      </c>
      <c r="F141" s="13">
        <v>43000.893888888888</v>
      </c>
      <c r="G141" s="7">
        <v>77</v>
      </c>
      <c r="H141" s="21" t="s">
        <v>361</v>
      </c>
      <c r="I141" s="13">
        <v>43000.919814814813</v>
      </c>
      <c r="J141" s="7">
        <v>0</v>
      </c>
      <c r="K141" s="89" t="str">
        <f t="shared" ref="K141:K204" si="60">IF(ISEVEN(B141),(B141-1)&amp;"/"&amp;B141,B141&amp;"/"&amp;(B141+1))</f>
        <v>4031/4032</v>
      </c>
      <c r="L141" s="185" t="str">
        <f>VLOOKUP(A141,'Trips&amp;Operators'!$C$1:$G$99911,5,FALSE)</f>
        <v>ELBAUM MIKE</v>
      </c>
      <c r="M141" s="6">
        <f t="shared" ref="M141:M204" si="61">I141-F141</f>
        <v>2.5925925925548654E-2</v>
      </c>
      <c r="N141" s="7">
        <f t="shared" si="57"/>
        <v>37.333333332790062</v>
      </c>
      <c r="O141" s="7"/>
      <c r="P141" s="7"/>
      <c r="Q141" s="22"/>
      <c r="R141" s="174"/>
      <c r="S141" s="221">
        <f t="shared" si="47"/>
        <v>1</v>
      </c>
      <c r="T141" s="174" t="str">
        <f t="shared" ref="T141:T204" si="62"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6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-22T20:06:58-0600',mode:absolute,to:'2017-09-22T23:04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1" s="204" t="str">
        <f>IF(AA141&lt;VLOOKUP(AG141,Variables!$AC$3:$AD$8,2,FALSE),"Y","N")</f>
        <v>N</v>
      </c>
      <c r="X141" s="204">
        <f t="shared" ref="X141:X148" si="64">VALUE(LEFT(AD141,4))-VALUE(LEFT(AD140,4))</f>
        <v>1</v>
      </c>
      <c r="Y141" s="204">
        <f t="shared" si="58"/>
        <v>23.2986</v>
      </c>
      <c r="Z141" s="204">
        <f t="shared" si="59"/>
        <v>1.4500000000000001E-2</v>
      </c>
      <c r="AA141" s="204">
        <f t="shared" ref="AA141:AA204" si="65">ABS(Z141-Y141)</f>
        <v>23.284099999999999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204" si="66">VALUE(LEFT(A141,LEN(A141)-3))</f>
        <v>228</v>
      </c>
      <c r="AE141" s="77" t="str">
        <f t="shared" ref="AE141:AE204" si="6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 &amp; aws s3 cp s3://rtdc.mdm.uploadarchive.raw/RTDC4031/ "%USERPROFILE%\AppData\Local\Temp\OnboardLogs"\RTDC4031\2017-09-23 --exclude "*" --recursive --include "*20170923*" &amp; "%USERPROFILE%\Documents\GitHub\mrs-test-scripts\Headless Mode &amp; Sideloading\WalkAndUnGZ.bat" "%USERPROFILE%\AppData\Local\Temp\OnboardLogs"\RTDC4031\2017-09-23</v>
      </c>
      <c r="AF141" s="74" t="str">
        <f t="shared" ref="AF141:AF204" si="6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/stypes="app*4031*20170923*" /stext=" 04:.+((SYSTEM_STATE.+slice.+state.+changed )|(ment ac)|(multiple cpu faults)|(system.+state.+changed )|(\[timeout)|(PRM\|1\|D)|(kpr)|(kdp)|(train st.+moving)|(\|lc)|(penalty))"</v>
      </c>
      <c r="AG141" s="182" t="str">
        <f t="shared" ref="AG141:AG204" si="69">DetSubdiv(A141)</f>
        <v>EC</v>
      </c>
      <c r="AH141" s="78" t="str">
        <f t="shared" si="42"/>
        <v>"%USERPROFILE%\Documents\GitHub\eaglep3\Utilities\RefineRTDCRunTimes.py" --tripid 228-22 --locoid 4031 --swversion DE.1.0.9.0 --startMP 204:232986 --initTime 2017-09-22T21:06:58 --startdatetime 2017-09-22T21:27:12 --delay 77 --endMP 204:145 --enddatetime 2017-09-22T22:04:32 --enforcementcount 0 &gt;&gt;c:\users\stu\Documents\GitHub\eaglep3-reporting\EC\2017-09-22-refined-times.txt</v>
      </c>
      <c r="AI141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{"issue":{"subject":"","project_id":79,"tracker_id":40,"status_id":1,"priority_id":2,"assigned_to_id":338,"start_date":"2017-09-22","description":"","custom_fields":[{"id":1,"name":"Subdivision","value":"EC"},{"id":4,"name":"Milepost","value":"0.0145"},{"id":17,"name":"Train ID","value":"228-22"},{"id":16,"name":"Locomotive ID","value":"4031"},{"id":130,"name":"Impact","value":""},{"id":150,"name":"Time of Event (Mountain Time)","value":"22:04:32"},{"id":151,"name":"Denver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4"/>
        <v>start /low /b %USERPROFILE%\Documents\GitHub\eaglep3\Utilities\DownloadLogsFromS3.py --loco 4031 --day 2017-09-22</v>
      </c>
      <c r="AN141" s="151" t="str">
        <f t="shared" si="45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04:04:32"},{"id":29,"name":"Sharepoint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46"/>
        <v>https://d0f6bd738d7f1b3e5a7ca70fe4ff75f0.us-east-1.aws.found.io/app/kibana#/discover/Steve-Slow-Train-Analysis-(2080s-and-2083s)?_g=(refreshInterval:(display:Off,pause:!f,section:0,value:0),time:(from:'2017-09-22T20:06:58-0600',mode:absolute,to:'2017-09-22T23:04:32-0600'))&amp;_a=(columns:!('Message%20ID',Summary),filters:!(),index:'emp_*',interval:auto,query:(query_string:(analyze_wildcard:!t,query:'Message%5C+ID:(*)+AND+%22rtdc.l.rtdc.4031%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798</v>
      </c>
      <c r="B142" s="7">
        <v>4064</v>
      </c>
      <c r="C142" s="21" t="s">
        <v>196</v>
      </c>
      <c r="D142" s="21" t="s">
        <v>394</v>
      </c>
      <c r="E142" s="13">
        <v>43000.871990740743</v>
      </c>
      <c r="F142" s="13">
        <v>43000.875254629631</v>
      </c>
      <c r="G142" s="7">
        <v>50</v>
      </c>
      <c r="H142" s="21" t="s">
        <v>547</v>
      </c>
      <c r="I142" s="13">
        <v>43000.899143518516</v>
      </c>
      <c r="J142" s="7">
        <v>0</v>
      </c>
      <c r="K142" s="89" t="str">
        <f t="shared" si="60"/>
        <v>4063/4064</v>
      </c>
      <c r="L142" s="185" t="str">
        <f>VLOOKUP(A142,'Trips&amp;Operators'!$C$1:$G$99911,5,FALSE)</f>
        <v>HART KEVIN</v>
      </c>
      <c r="M142" s="6">
        <f t="shared" si="61"/>
        <v>2.3888888885267079E-2</v>
      </c>
      <c r="N142" s="7">
        <f t="shared" si="57"/>
        <v>34.399999994784594</v>
      </c>
      <c r="O142" s="7"/>
      <c r="P142" s="7"/>
      <c r="Q142" s="22"/>
      <c r="R142" s="174"/>
      <c r="S142" s="221">
        <f t="shared" si="47"/>
        <v>1</v>
      </c>
      <c r="T142" s="174" t="str">
        <f t="shared" si="62"/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63"/>
        <v>https://d0f6bd738d7f1b3e5a7ca70fe4ff75f0.us-east-1.aws.found.io/app/kibana#/discover/Steve-Slow-Train-Analysis-(2080s-and-2083s)?_g=(refreshInterval:(display:Off,pause:!f,section:0,value:0),time:(from:'2017-09-22T19:55:40-0600',mode:absolute,to:'2017-09-22T22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2" s="204" t="str">
        <f>IF(AA142&lt;VLOOKUP(AG142,Variables!$AC$3:$AD$8,2,FALSE),"Y","N")</f>
        <v>N</v>
      </c>
      <c r="X142" s="204">
        <f t="shared" si="64"/>
        <v>1</v>
      </c>
      <c r="Y142" s="204">
        <f t="shared" si="58"/>
        <v>4.6199999999999998E-2</v>
      </c>
      <c r="Z142" s="204">
        <f t="shared" si="59"/>
        <v>23.3307</v>
      </c>
      <c r="AA142" s="204">
        <f t="shared" si="65"/>
        <v>23.284500000000001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66"/>
        <v>229</v>
      </c>
      <c r="AE142" s="77" t="str">
        <f t="shared" si="67"/>
        <v>aws s3 cp s3://rtdc.mdm.uploadarchive.raw/RTDC4064/ "%USERPROFILE%\AppData\Local\Temp\OnboardLogs"\RTDC4064\2017-09-22 --exclude "*" --recursive --include "*20170922*" &amp; "%USERPROFILE%\Documents\GitHub\mrs-test-scripts\Headless Mode &amp; Sideloading\WalkAndUnGZ.bat" "%USERPROFILE%\AppData\Local\Temp\OnboardLogs"\RTDC4064\2017-09-22 &amp; aws s3 cp s3://rtdc.mdm.uploadarchive.raw/RTDC4064/ "%USERPROFILE%\AppData\Local\Temp\OnboardLogs"\RTDC4064\2017-09-23 --exclude "*" --recursive --include "*20170923*" &amp; "%USERPROFILE%\Documents\GitHub\mrs-test-scripts\Headless Mode &amp; Sideloading\WalkAndUnGZ.bat" "%USERPROFILE%\AppData\Local\Temp\OnboardLogs"\RTDC4064\2017-09-23</v>
      </c>
      <c r="AF142" s="74" t="str">
        <f t="shared" si="68"/>
        <v>"C:\Program Files (x86)\AstroGrep\AstroGrep.exe" /e /r /s /spath="%USERPROFILE%\AppData\Local\Temp\OnboardLogs" /stypes="app*4064*20170923*" /stext=" 03:.+((SYSTEM_STATE.+slice.+state.+changed )|(ment ac)|(multiple cpu faults)|(system.+state.+changed )|(\[timeout)|(PRM\|1\|D)|(kpr)|(kdp)|(train st.+moving)|(\|lc)|(penalty))"</v>
      </c>
      <c r="AG142" s="182" t="str">
        <f t="shared" si="69"/>
        <v>EC</v>
      </c>
      <c r="AH142" s="78" t="str">
        <f t="shared" si="42"/>
        <v>"%USERPROFILE%\Documents\GitHub\eaglep3\Utilities\RefineRTDCRunTimes.py" --tripid 229-22 --locoid 4064 --swversion DE.1.0.9.0 --startMP 204:462 --initTime 2017-09-22T20:55:40 --startdatetime 2017-09-22T21:00:22 --delay 50 --endMP 204:233307 --enddatetime 2017-09-22T21:34:46 --enforcementcount 0 &gt;&gt;c:\users\stu\Documents\GitHub\eaglep3-reporting\EC\2017-09-22-refined-times.txt</v>
      </c>
      <c r="AI142" s="96" t="str">
        <f t="shared" si="43"/>
        <v>echo {"issue":{"subject":"","project_id":79,"tracker_id":40,"status_id":1,"priority_id":2,"assigned_to_id":338,"start_date":"2017-09-22","description":"","custom_fields":[{"id":1,"name":"Subdivision","value":"EC"},{"id":4,"name":"Milepost","value":"23.3307"},{"id":17,"name":"Train ID","value":"229-22"},{"id":16,"name":"Locomotive ID","value":"4064"},{"id":130,"name":"Impact","value":""},{"id":150,"name":"Time of Event (Mountain Time)","value":"21:34:46"},{"id":151,"name":"Denver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44"/>
        <v>start /low /b %USERPROFILE%\Documents\GitHub\eaglep3\Utilities\DownloadLogsFromS3.py --loco 4064 --day 2017-09-22</v>
      </c>
      <c r="AN142" s="151" t="str">
        <f t="shared" si="45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03:34:46"},{"id":29,"name":"Sharepoint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46"/>
        <v>https://d0f6bd738d7f1b3e5a7ca70fe4ff75f0.us-east-1.aws.found.io/app/kibana#/discover/Steve-Slow-Train-Analysis-(2080s-and-2083s)?_g=(refreshInterval:(display:Off,pause:!f,section:0,value:0),time:(from:'2017-09-22T19:55:40-0600',mode:absolute,to:'2017-09-22T22:34:46-0600'))&amp;_a=(columns:!('Message%20ID',Summary),filters:!(),index:'emp_*',interval:auto,query:(query_string:(analyze_wildcard:!t,query:'Message%5C+ID:(*)+AND+%22rtdc.l.rtdc.4064%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806</v>
      </c>
      <c r="B143" s="7">
        <v>4063</v>
      </c>
      <c r="C143" s="21" t="s">
        <v>196</v>
      </c>
      <c r="D143" s="21" t="s">
        <v>842</v>
      </c>
      <c r="E143" s="13">
        <v>43000.906770833331</v>
      </c>
      <c r="F143" s="13">
        <v>43000.914768518516</v>
      </c>
      <c r="G143" s="7">
        <v>58</v>
      </c>
      <c r="H143" s="21" t="s">
        <v>876</v>
      </c>
      <c r="I143" s="13">
        <v>43000.940520833334</v>
      </c>
      <c r="J143" s="7">
        <v>0</v>
      </c>
      <c r="K143" s="89" t="str">
        <f t="shared" si="60"/>
        <v>4063/4064</v>
      </c>
      <c r="L143" s="185" t="str">
        <f>VLOOKUP(A143,'Trips&amp;Operators'!$C$1:$G$99911,5,FALSE)</f>
        <v>HART KEVIN</v>
      </c>
      <c r="M143" s="6">
        <f t="shared" si="61"/>
        <v>2.5752314817509614E-2</v>
      </c>
      <c r="N143" s="7">
        <f t="shared" si="57"/>
        <v>37.083333337213844</v>
      </c>
      <c r="O143" s="7"/>
      <c r="P143" s="7"/>
      <c r="Q143" s="22"/>
      <c r="R143" s="174"/>
      <c r="S143" s="221">
        <f t="shared" si="47"/>
        <v>1</v>
      </c>
      <c r="T143" s="174" t="str">
        <f t="shared" si="62"/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63"/>
        <v>https://d0f6bd738d7f1b3e5a7ca70fe4ff75f0.us-east-1.aws.found.io/app/kibana#/discover/Steve-Slow-Train-Analysis-(2080s-and-2083s)?_g=(refreshInterval:(display:Off,pause:!f,section:0,value:0),time:(from:'2017-09-22T20:45:45-0600',mode:absolute,to:'2017-09-22T23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3" s="204" t="str">
        <f>IF(AA143&lt;VLOOKUP(AG143,Variables!$AC$3:$AD$8,2,FALSE),"Y","N")</f>
        <v>N</v>
      </c>
      <c r="X143" s="204">
        <f t="shared" si="64"/>
        <v>1</v>
      </c>
      <c r="Y143" s="204">
        <f t="shared" si="58"/>
        <v>23.2971</v>
      </c>
      <c r="Z143" s="204">
        <f t="shared" si="59"/>
        <v>1.2500000000000001E-2</v>
      </c>
      <c r="AA143" s="204">
        <f t="shared" si="65"/>
        <v>23.284600000000001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66"/>
        <v>230</v>
      </c>
      <c r="AE143" s="77" t="str">
        <f t="shared" si="67"/>
        <v>aws s3 cp s3://rtdc.mdm.uploadarchive.raw/RTDC4063/ "%USERPROFILE%\AppData\Local\Temp\OnboardLogs"\RTDC4063\2017-09-22 --exclude "*" --recursive --include "*20170922*" &amp; "%USERPROFILE%\Documents\GitHub\mrs-test-scripts\Headless Mode &amp; Sideloading\WalkAndUnGZ.bat" "%USERPROFILE%\AppData\Local\Temp\OnboardLogs"\RTDC4063\2017-09-22 &amp; aws s3 cp s3://rtdc.mdm.uploadarchive.raw/RTDC4063/ "%USERPROFILE%\AppData\Local\Temp\OnboardLogs"\RTDC4063\2017-09-23 --exclude "*" --recursive --include "*20170923*" &amp; "%USERPROFILE%\Documents\GitHub\mrs-test-scripts\Headless Mode &amp; Sideloading\WalkAndUnGZ.bat" "%USERPROFILE%\AppData\Local\Temp\OnboardLogs"\RTDC4063\2017-09-23</v>
      </c>
      <c r="AF143" s="74" t="str">
        <f t="shared" si="68"/>
        <v>"C:\Program Files (x86)\AstroGrep\AstroGrep.exe" /e /r /s /spath="%USERPROFILE%\AppData\Local\Temp\OnboardLogs" /stypes="app*4063*20170923*" /stext=" 04:.+((SYSTEM_STATE.+slice.+state.+changed )|(ment ac)|(multiple cpu faults)|(system.+state.+changed )|(\[timeout)|(PRM\|1\|D)|(kpr)|(kdp)|(train st.+moving)|(\|lc)|(penalty))"</v>
      </c>
      <c r="AG143" s="182" t="str">
        <f t="shared" si="69"/>
        <v>EC</v>
      </c>
      <c r="AH143" s="78" t="str">
        <f t="shared" ref="AH143:AH211" si="70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230-22 --locoid 4063 --swversion DE.1.0.9.0 --startMP 204:232971 --initTime 2017-09-22T21:45:45 --startdatetime 2017-09-22T21:57:16 --delay 58 --endMP 204:125 --enddatetime 2017-09-22T22:34:21 --enforcementcount 0 &gt;&gt;c:\users\stu\Documents\GitHub\eaglep3-reporting\EC\2017-09-22-refined-times.txt</v>
      </c>
      <c r="AI143" s="96" t="str">
        <f t="shared" ref="AI143:AI211" si="71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{"issue":{"subject":"","project_id":79,"tracker_id":40,"status_id":1,"priority_id":2,"assigned_to_id":338,"start_date":"2017-09-22","description":"","custom_fields":[{"id":1,"name":"Subdivision","value":"EC"},{"id":4,"name":"Milepost","value":"0.0125"},{"id":17,"name":"Train ID","value":"230-22"},{"id":16,"name":"Locomotive ID","value":"4063"},{"id":130,"name":"Impact","value":""},{"id":150,"name":"Time of Event (Mountain Time)","value":"22:34:21"},{"id":151,"name":"Denver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ref="AM143:AM211" si="72">"start /low /b "&amp;dls3logs&amp;" --loco "&amp;B143&amp;" --day "&amp;TEXT(F143,"YYYY-MM-DD")</f>
        <v>start /low /b %USERPROFILE%\Documents\GitHub\eaglep3\Utilities\DownloadLogsFromS3.py --loco 4063 --day 2017-09-22</v>
      </c>
      <c r="AN143" s="151" t="str">
        <f t="shared" ref="AN143:AN211" si="73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04:34:21"},{"id":29,"name":"Sharepoint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ref="AO143:AO211" si="74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Message%5C+ID:(*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-09-22T20:45:45-0600',mode:absolute,to:'2017-09-22T23:34:21-0600'))&amp;_a=(columns:!('Message%20ID',Summary),filters:!(),index:'emp_*',interval:auto,query:(query_string:(analyze_wildcard:!t,query:'Message%5C+ID:(*)+AND+%22rtdc.l.rtdc.4063%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801</v>
      </c>
      <c r="B144" s="7">
        <v>4044</v>
      </c>
      <c r="C144" s="21" t="s">
        <v>196</v>
      </c>
      <c r="D144" s="21" t="s">
        <v>339</v>
      </c>
      <c r="E144" s="13">
        <v>43000.886053240742</v>
      </c>
      <c r="F144" s="13">
        <v>43000.896122685182</v>
      </c>
      <c r="G144" s="7">
        <v>68</v>
      </c>
      <c r="H144" s="21" t="s">
        <v>425</v>
      </c>
      <c r="I144" s="13">
        <v>43000.920706018522</v>
      </c>
      <c r="J144" s="7">
        <v>0</v>
      </c>
      <c r="K144" s="89" t="str">
        <f t="shared" si="60"/>
        <v>4043/4044</v>
      </c>
      <c r="L144" s="185" t="str">
        <f>VLOOKUP(A144,'Trips&amp;Operators'!$C$1:$G$99911,5,FALSE)</f>
        <v>GUNTHIER ERIC</v>
      </c>
      <c r="M144" s="6">
        <f t="shared" si="61"/>
        <v>2.4583333339251112E-2</v>
      </c>
      <c r="N144" s="7">
        <f t="shared" si="57"/>
        <v>35.400000008521602</v>
      </c>
      <c r="O144" s="7"/>
      <c r="P144" s="7"/>
      <c r="Q144" s="22"/>
      <c r="R144" s="174"/>
      <c r="S144" s="221">
        <f t="shared" si="47"/>
        <v>1</v>
      </c>
      <c r="T144" s="174" t="str">
        <f t="shared" si="62"/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63"/>
        <v>https://d0f6bd738d7f1b3e5a7ca70fe4ff75f0.us-east-1.aws.found.io/app/kibana#/discover/Steve-Slow-Train-Analysis-(2080s-and-2083s)?_g=(refreshInterval:(display:Off,pause:!f,section:0,value:0),time:(from:'2017-09-22T20:15:55-0600',mode:absolute,to:'2017-09-22T23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4" s="204" t="str">
        <f>IF(AA144&lt;VLOOKUP(AG144,Variables!$AC$3:$AD$8,2,FALSE),"Y","N")</f>
        <v>N</v>
      </c>
      <c r="X144" s="204">
        <f t="shared" si="64"/>
        <v>1</v>
      </c>
      <c r="Y144" s="204">
        <f t="shared" si="58"/>
        <v>4.53E-2</v>
      </c>
      <c r="Z144" s="204">
        <f t="shared" si="59"/>
        <v>23.331800000000001</v>
      </c>
      <c r="AA144" s="204">
        <f t="shared" si="65"/>
        <v>23.2865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66"/>
        <v>231</v>
      </c>
      <c r="AE144" s="77" t="str">
        <f t="shared" si="67"/>
        <v>aws s3 cp s3://rtdc.mdm.uploadarchive.raw/RTDC4044/ "%USERPROFILE%\AppData\Local\Temp\OnboardLogs"\RTDC4044\2017-09-22 --exclude "*" --recursive --include "*20170922*" &amp; "%USERPROFILE%\Documents\GitHub\mrs-test-scripts\Headless Mode &amp; Sideloading\WalkAndUnGZ.bat" "%USERPROFILE%\AppData\Local\Temp\OnboardLogs"\RTDC4044\2017-09-22 &amp; aws s3 cp s3://rtdc.mdm.uploadarchive.raw/RTDC4044/ "%USERPROFILE%\AppData\Local\Temp\OnboardLogs"\RTDC4044\2017-09-23 --exclude "*" --recursive --include "*20170923*" &amp; "%USERPROFILE%\Documents\GitHub\mrs-test-scripts\Headless Mode &amp; Sideloading\WalkAndUnGZ.bat" "%USERPROFILE%\AppData\Local\Temp\OnboardLogs"\RTDC4044\2017-09-23</v>
      </c>
      <c r="AF144" s="74" t="str">
        <f t="shared" si="68"/>
        <v>"C:\Program Files (x86)\AstroGrep\AstroGrep.exe" /e /r /s /spath="%USERPROFILE%\AppData\Local\Temp\OnboardLogs" /stypes="app*4044*20170923*" /stext=" 04:.+((SYSTEM_STATE.+slice.+state.+changed )|(ment ac)|(multiple cpu faults)|(system.+state.+changed )|(\[timeout)|(PRM\|1\|D)|(kpr)|(kdp)|(train st.+moving)|(\|lc)|(penalty))"</v>
      </c>
      <c r="AG144" s="182" t="str">
        <f t="shared" si="69"/>
        <v>EC</v>
      </c>
      <c r="AH144" s="78" t="str">
        <f t="shared" si="70"/>
        <v>"%USERPROFILE%\Documents\GitHub\eaglep3\Utilities\RefineRTDCRunTimes.py" --tripid 231-22 --locoid 4044 --swversion DE.1.0.9.0 --startMP 204:453 --initTime 2017-09-22T21:15:55 --startdatetime 2017-09-22T21:30:25 --delay 68 --endMP 204:233318 --enddatetime 2017-09-22T22:05:49 --enforcementcount 0 &gt;&gt;c:\users\stu\Documents\GitHub\eaglep3-reporting\EC\2017-09-22-refined-times.txt</v>
      </c>
      <c r="AI144" s="96" t="str">
        <f t="shared" si="71"/>
        <v>echo {"issue":{"subject":"","project_id":79,"tracker_id":40,"status_id":1,"priority_id":2,"assigned_to_id":338,"start_date":"2017-09-22","description":"","custom_fields":[{"id":1,"name":"Subdivision","value":"EC"},{"id":4,"name":"Milepost","value":"23.3318"},{"id":17,"name":"Train ID","value":"231-22"},{"id":16,"name":"Locomotive ID","value":"4044"},{"id":130,"name":"Impact","value":""},{"id":150,"name":"Time of Event (Mountain Time)","value":"22:05:49"},{"id":151,"name":"Denver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72"/>
        <v>start /low /b %USERPROFILE%\Documents\GitHub\eaglep3\Utilities\DownloadLogsFromS3.py --loco 4044 --day 2017-09-22</v>
      </c>
      <c r="AN144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04:05:49"},{"id":29,"name":"Sharepoint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74"/>
        <v>https://d0f6bd738d7f1b3e5a7ca70fe4ff75f0.us-east-1.aws.found.io/app/kibana#/discover/Steve-Slow-Train-Analysis-(2080s-and-2083s)?_g=(refreshInterval:(display:Off,pause:!f,section:0,value:0),time:(from:'2017-09-22T20:15:55-0600',mode:absolute,to:'2017-09-22T23:05:49-0600'))&amp;_a=(columns:!('Message%20ID',Summary),filters:!(),index:'emp_*',interval:auto,query:(query_string:(analyze_wildcard:!t,query:'Message%5C+ID:(*)+AND+%22rtdc.l.rtdc.4044%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809</v>
      </c>
      <c r="B145" s="7">
        <v>4043</v>
      </c>
      <c r="C145" s="21" t="s">
        <v>196</v>
      </c>
      <c r="D145" s="21" t="s">
        <v>551</v>
      </c>
      <c r="E145" s="13">
        <v>43000.932303240741</v>
      </c>
      <c r="F145" s="13">
        <v>43000.935671296298</v>
      </c>
      <c r="G145" s="7">
        <v>66</v>
      </c>
      <c r="H145" s="21" t="s">
        <v>341</v>
      </c>
      <c r="I145" s="13">
        <v>43000.963414351849</v>
      </c>
      <c r="J145" s="7">
        <v>0</v>
      </c>
      <c r="K145" s="89" t="str">
        <f t="shared" si="60"/>
        <v>4043/4044</v>
      </c>
      <c r="L145" s="185" t="str">
        <f>VLOOKUP(A145,'Trips&amp;Operators'!$C$1:$G$99911,5,FALSE)</f>
        <v>GUNTHIER ERIC</v>
      </c>
      <c r="M145" s="6">
        <f t="shared" si="61"/>
        <v>2.774305555067258E-2</v>
      </c>
      <c r="N145" s="7">
        <f t="shared" si="57"/>
        <v>39.949999992968515</v>
      </c>
      <c r="O145" s="7"/>
      <c r="P145" s="7"/>
      <c r="Q145" s="22"/>
      <c r="R145" s="174"/>
      <c r="S145" s="221">
        <f t="shared" si="47"/>
        <v>1</v>
      </c>
      <c r="T145" s="174" t="str">
        <f t="shared" si="62"/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63"/>
        <v>https://d0f6bd738d7f1b3e5a7ca70fe4ff75f0.us-east-1.aws.found.io/app/kibana#/discover/Steve-Slow-Train-Analysis-(2080s-and-2083s)?_g=(refreshInterval:(display:Off,pause:!f,section:0,value:0),time:(from:'2017-09-22T21:22:31-0600',mode:absolute,to:'2017-09-23T00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5" s="204" t="str">
        <f>IF(AA145&lt;VLOOKUP(AG145,Variables!$AC$3:$AD$8,2,FALSE),"Y","N")</f>
        <v>N</v>
      </c>
      <c r="X145" s="204">
        <f t="shared" si="64"/>
        <v>1</v>
      </c>
      <c r="Y145" s="204">
        <f t="shared" si="58"/>
        <v>23.297999999999998</v>
      </c>
      <c r="Z145" s="204">
        <f t="shared" si="59"/>
        <v>1.47E-2</v>
      </c>
      <c r="AA145" s="204">
        <f t="shared" si="65"/>
        <v>23.283299999999997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66"/>
        <v>232</v>
      </c>
      <c r="AE145" s="77" t="str">
        <f t="shared" si="67"/>
        <v>aws s3 cp s3://rtdc.mdm.uploadarchive.raw/RTDC4043/ "%USERPROFILE%\AppData\Local\Temp\OnboardLogs"\RTDC4043\2017-09-22 --exclude "*" --recursive --include "*20170922*" &amp; "%USERPROFILE%\Documents\GitHub\mrs-test-scripts\Headless Mode &amp; Sideloading\WalkAndUnGZ.bat" "%USERPROFILE%\AppData\Local\Temp\OnboardLogs"\RTDC4043\2017-09-22 &amp; aws s3 cp s3://rtdc.mdm.uploadarchive.raw/RTDC4043/ "%USERPROFILE%\AppData\Local\Temp\OnboardLogs"\RTDC4043\2017-09-23 --exclude "*" --recursive --include "*20170923*" &amp; "%USERPROFILE%\Documents\GitHub\mrs-test-scripts\Headless Mode &amp; Sideloading\WalkAndUnGZ.bat" "%USERPROFILE%\AppData\Local\Temp\OnboardLogs"\RTDC4043\2017-09-23</v>
      </c>
      <c r="AF145" s="74" t="str">
        <f t="shared" si="68"/>
        <v>"C:\Program Files (x86)\AstroGrep\AstroGrep.exe" /e /r /s /spath="%USERPROFILE%\AppData\Local\Temp\OnboardLogs" /stypes="app*4043*20170923*" /stext=" 05:.+((SYSTEM_STATE.+slice.+state.+changed )|(ment ac)|(multiple cpu faults)|(system.+state.+changed )|(\[timeout)|(PRM\|1\|D)|(kpr)|(kdp)|(train st.+moving)|(\|lc)|(penalty))"</v>
      </c>
      <c r="AG145" s="182" t="str">
        <f t="shared" si="69"/>
        <v>EC</v>
      </c>
      <c r="AH145" s="78" t="str">
        <f t="shared" si="70"/>
        <v>"%USERPROFILE%\Documents\GitHub\eaglep3\Utilities\RefineRTDCRunTimes.py" --tripid 232-22 --locoid 4043 --swversion DE.1.0.9.0 --startMP 204:232980 --initTime 2017-09-22T22:22:31 --startdatetime 2017-09-22T22:27:22 --delay 66 --endMP 204:147 --enddatetime 2017-09-22T23:07:19 --enforcementcount 0 &gt;&gt;c:\users\stu\Documents\GitHub\eaglep3-reporting\EC\2017-09-22-refined-times.txt</v>
      </c>
      <c r="AI145" s="96" t="str">
        <f t="shared" si="71"/>
        <v>echo {"issue":{"subject":"","project_id":79,"tracker_id":40,"status_id":1,"priority_id":2,"assigned_to_id":338,"start_date":"2017-09-22","description":"","custom_fields":[{"id":1,"name":"Subdivision","value":"EC"},{"id":4,"name":"Milepost","value":"0.0147"},{"id":17,"name":"Train ID","value":"232-22"},{"id":16,"name":"Locomotive ID","value":"4043"},{"id":130,"name":"Impact","value":""},{"id":150,"name":"Time of Event (Mountain Time)","value":"23:07:19"},{"id":151,"name":"Denver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72"/>
        <v>start /low /b %USERPROFILE%\Documents\GitHub\eaglep3\Utilities\DownloadLogsFromS3.py --loco 4043 --day 2017-09-22</v>
      </c>
      <c r="AN145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05:07:19"},{"id":29,"name":"Sharepoint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74"/>
        <v>https://d0f6bd738d7f1b3e5a7ca70fe4ff75f0.us-east-1.aws.found.io/app/kibana#/discover/Steve-Slow-Train-Analysis-(2080s-and-2083s)?_g=(refreshInterval:(display:Off,pause:!f,section:0,value:0),time:(from:'2017-09-22T21:22:31-0600',mode:absolute,to:'2017-09-23T00:07:19-0600'))&amp;_a=(columns:!('Message%20ID',Summary),filters:!(),index:'emp_*',interval:auto,query:(query_string:(analyze_wildcard:!t,query:'Message%5C+ID:(*)+AND+%22rtdc.l.rtdc.4043%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805</v>
      </c>
      <c r="B146" s="7">
        <v>4018</v>
      </c>
      <c r="C146" s="21" t="s">
        <v>196</v>
      </c>
      <c r="D146" s="21" t="s">
        <v>873</v>
      </c>
      <c r="E146" s="13">
        <v>43000.902731481481</v>
      </c>
      <c r="F146" s="13">
        <v>43000.916875000003</v>
      </c>
      <c r="G146" s="7">
        <v>86</v>
      </c>
      <c r="H146" s="21" t="s">
        <v>550</v>
      </c>
      <c r="I146" s="13">
        <v>43000.942314814813</v>
      </c>
      <c r="J146" s="7">
        <v>0</v>
      </c>
      <c r="K146" s="89" t="str">
        <f t="shared" si="60"/>
        <v>4017/4018</v>
      </c>
      <c r="L146" s="185" t="str">
        <f>VLOOKUP(A146,'Trips&amp;Operators'!$C$1:$G$99911,5,FALSE)</f>
        <v>PERKINS DARREN</v>
      </c>
      <c r="M146" s="6">
        <f t="shared" si="61"/>
        <v>2.5439814809942618E-2</v>
      </c>
      <c r="N146" s="7">
        <f t="shared" si="57"/>
        <v>36.63333332631737</v>
      </c>
      <c r="O146" s="7"/>
      <c r="P146" s="7"/>
      <c r="Q146" s="22"/>
      <c r="R146" s="174"/>
      <c r="S146" s="221">
        <f t="shared" si="47"/>
        <v>1</v>
      </c>
      <c r="T146" s="174" t="str">
        <f t="shared" si="62"/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63"/>
        <v>https://d0f6bd738d7f1b3e5a7ca70fe4ff75f0.us-east-1.aws.found.io/app/kibana#/discover/Steve-Slow-Train-Analysis-(2080s-and-2083s)?_g=(refreshInterval:(display:Off,pause:!f,section:0,value:0),time:(from:'2017-09-22T20:39:56-0600',mode:absolute,to:'2017-09-22T23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6" s="204" t="str">
        <f>IF(AA146&lt;VLOOKUP(AG146,Variables!$AC$3:$AD$8,2,FALSE),"Y","N")</f>
        <v>N</v>
      </c>
      <c r="X146" s="204">
        <f t="shared" si="64"/>
        <v>1</v>
      </c>
      <c r="Y146" s="204">
        <f t="shared" si="58"/>
        <v>4.2900000000000001E-2</v>
      </c>
      <c r="Z146" s="204">
        <f t="shared" si="59"/>
        <v>23.329699999999999</v>
      </c>
      <c r="AA146" s="204">
        <f t="shared" si="65"/>
        <v>23.286799999999999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66"/>
        <v>233</v>
      </c>
      <c r="AE146" s="77" t="str">
        <f t="shared" si="67"/>
        <v>aws s3 cp s3://rtdc.mdm.uploadarchive.raw/RTDC4018/ "%USERPROFILE%\AppData\Local\Temp\OnboardLogs"\RTDC4018\2017-09-22 --exclude "*" --recursive --include "*20170922*" &amp; "%USERPROFILE%\Documents\GitHub\mrs-test-scripts\Headless Mode &amp; Sideloading\WalkAndUnGZ.bat" "%USERPROFILE%\AppData\Local\Temp\OnboardLogs"\RTDC4018\2017-09-22 &amp; aws s3 cp s3://rtdc.mdm.uploadarchive.raw/RTDC4018/ "%USERPROFILE%\AppData\Local\Temp\OnboardLogs"\RTDC4018\2017-09-23 --exclude "*" --recursive --include "*20170923*" &amp; "%USERPROFILE%\Documents\GitHub\mrs-test-scripts\Headless Mode &amp; Sideloading\WalkAndUnGZ.bat" "%USERPROFILE%\AppData\Local\Temp\OnboardLogs"\RTDC4018\2017-09-23</v>
      </c>
      <c r="AF146" s="74" t="str">
        <f t="shared" si="68"/>
        <v>"C:\Program Files (x86)\AstroGrep\AstroGrep.exe" /e /r /s /spath="%USERPROFILE%\AppData\Local\Temp\OnboardLogs" /stypes="app*4018*20170923*" /stext=" 04:.+((SYSTEM_STATE.+slice.+state.+changed )|(ment ac)|(multiple cpu faults)|(system.+state.+changed )|(\[timeout)|(PRM\|1\|D)|(kpr)|(kdp)|(train st.+moving)|(\|lc)|(penalty))"</v>
      </c>
      <c r="AG146" s="182" t="str">
        <f t="shared" si="69"/>
        <v>EC</v>
      </c>
      <c r="AH146" s="78" t="str">
        <f t="shared" si="70"/>
        <v>"%USERPROFILE%\Documents\GitHub\eaglep3\Utilities\RefineRTDCRunTimes.py" --tripid 233-22 --locoid 4018 --swversion DE.1.0.9.0 --startMP 204:429 --initTime 2017-09-22T21:39:56 --startdatetime 2017-09-22T22:00:18 --delay 86 --endMP 204:233297 --enddatetime 2017-09-22T22:36:56 --enforcementcount 0 &gt;&gt;c:\users\stu\Documents\GitHub\eaglep3-reporting\EC\2017-09-22-refined-times.txt</v>
      </c>
      <c r="AI146" s="96" t="str">
        <f t="shared" si="71"/>
        <v>echo {"issue":{"subject":"","project_id":79,"tracker_id":40,"status_id":1,"priority_id":2,"assigned_to_id":338,"start_date":"2017-09-22","description":"","custom_fields":[{"id":1,"name":"Subdivision","value":"EC"},{"id":4,"name":"Milepost","value":"23.3297"},{"id":17,"name":"Train ID","value":"233-22"},{"id":16,"name":"Locomotive ID","value":"4018"},{"id":130,"name":"Impact","value":""},{"id":150,"name":"Time of Event (Mountain Time)","value":"22:36:56"},{"id":151,"name":"Denver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72"/>
        <v>start /low /b %USERPROFILE%\Documents\GitHub\eaglep3\Utilities\DownloadLogsFromS3.py --loco 4018 --day 2017-09-22</v>
      </c>
      <c r="AN146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04:36:56"},{"id":29,"name":"Sharepoint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74"/>
        <v>https://d0f6bd738d7f1b3e5a7ca70fe4ff75f0.us-east-1.aws.found.io/app/kibana#/discover/Steve-Slow-Train-Analysis-(2080s-and-2083s)?_g=(refreshInterval:(display:Off,pause:!f,section:0,value:0),time:(from:'2017-09-22T20:39:56-0600',mode:absolute,to:'2017-09-22T23:36:56-0600'))&amp;_a=(columns:!('Message%20ID',Summary),filters:!(),index:'emp_*',interval:auto,query:(query_string:(analyze_wildcard:!t,query:'Message%5C+ID:(*)+AND+%22rtdc.l.rtdc.4018%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812</v>
      </c>
      <c r="B147" s="7">
        <v>4017</v>
      </c>
      <c r="C147" s="21" t="s">
        <v>196</v>
      </c>
      <c r="D147" s="21" t="s">
        <v>449</v>
      </c>
      <c r="E147" s="13">
        <v>43000.952280092592</v>
      </c>
      <c r="F147" s="13">
        <v>43000.956446759257</v>
      </c>
      <c r="G147" s="7">
        <v>81</v>
      </c>
      <c r="H147" s="21" t="s">
        <v>876</v>
      </c>
      <c r="I147" s="13">
        <v>43000.983506944445</v>
      </c>
      <c r="J147" s="7">
        <v>0</v>
      </c>
      <c r="K147" s="89" t="str">
        <f t="shared" si="60"/>
        <v>4017/4018</v>
      </c>
      <c r="L147" s="185" t="str">
        <f>VLOOKUP(A147,'Trips&amp;Operators'!$C$1:$G$99911,5,FALSE)</f>
        <v>PERKINS DARREN</v>
      </c>
      <c r="M147" s="6">
        <f t="shared" si="61"/>
        <v>2.7060185188020114E-2</v>
      </c>
      <c r="N147" s="7">
        <f t="shared" si="57"/>
        <v>38.966666670748964</v>
      </c>
      <c r="O147" s="7"/>
      <c r="P147" s="7"/>
      <c r="Q147" s="22"/>
      <c r="R147" s="174"/>
      <c r="S147" s="221">
        <f t="shared" si="47"/>
        <v>1</v>
      </c>
      <c r="T147" s="174" t="str">
        <f t="shared" si="62"/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63"/>
        <v>https://d0f6bd738d7f1b3e5a7ca70fe4ff75f0.us-east-1.aws.found.io/app/kibana#/discover/Steve-Slow-Train-Analysis-(2080s-and-2083s)?_g=(refreshInterval:(display:Off,pause:!f,section:0,value:0),time:(from:'2017-09-22T21:51:17-0600',mode:absolute,to:'2017-09-23T00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7" s="204" t="str">
        <f>IF(AA147&lt;VLOOKUP(AG147,Variables!$AC$3:$AD$8,2,FALSE),"Y","N")</f>
        <v>N</v>
      </c>
      <c r="X147" s="204">
        <f t="shared" si="64"/>
        <v>1</v>
      </c>
      <c r="Y147" s="204">
        <f t="shared" si="58"/>
        <v>23.2988</v>
      </c>
      <c r="Z147" s="204">
        <f t="shared" si="59"/>
        <v>1.2500000000000001E-2</v>
      </c>
      <c r="AA147" s="204">
        <f t="shared" si="65"/>
        <v>23.286300000000001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66"/>
        <v>234</v>
      </c>
      <c r="AE147" s="77" t="str">
        <f t="shared" si="67"/>
        <v>aws s3 cp s3://rtdc.mdm.uploadarchive.raw/RTDC4017/ "%USERPROFILE%\AppData\Local\Temp\OnboardLogs"\RTDC4017\2017-09-22 --exclude "*" --recursive --include "*20170922*" &amp; "%USERPROFILE%\Documents\GitHub\mrs-test-scripts\Headless Mode &amp; Sideloading\WalkAndUnGZ.bat" "%USERPROFILE%\AppData\Local\Temp\OnboardLogs"\RTDC4017\2017-09-22 &amp; aws s3 cp s3://rtdc.mdm.uploadarchive.raw/RTDC4017/ "%USERPROFILE%\AppData\Local\Temp\OnboardLogs"\RTDC4017\2017-09-23 --exclude "*" --recursive --include "*20170923*" &amp; "%USERPROFILE%\Documents\GitHub\mrs-test-scripts\Headless Mode &amp; Sideloading\WalkAndUnGZ.bat" "%USERPROFILE%\AppData\Local\Temp\OnboardLogs"\RTDC4017\2017-09-23</v>
      </c>
      <c r="AF147" s="74" t="str">
        <f t="shared" si="68"/>
        <v>"C:\Program Files (x86)\AstroGrep\AstroGrep.exe" /e /r /s /spath="%USERPROFILE%\AppData\Local\Temp\OnboardLogs" /stypes="app*4017*20170923*" /stext=" 05:.+((SYSTEM_STATE.+slice.+state.+changed )|(ment ac)|(multiple cpu faults)|(system.+state.+changed )|(\[timeout)|(PRM\|1\|D)|(kpr)|(kdp)|(train st.+moving)|(\|lc)|(penalty))"</v>
      </c>
      <c r="AG147" s="182" t="str">
        <f t="shared" si="69"/>
        <v>EC</v>
      </c>
      <c r="AH147" s="78" t="str">
        <f t="shared" si="70"/>
        <v>"%USERPROFILE%\Documents\GitHub\eaglep3\Utilities\RefineRTDCRunTimes.py" --tripid 234-22 --locoid 4017 --swversion DE.1.0.9.0 --startMP 204:232988 --initTime 2017-09-22T22:51:17 --startdatetime 2017-09-22T22:57:17 --delay 81 --endMP 204:125 --enddatetime 2017-09-22T23:36:15 --enforcementcount 0 &gt;&gt;c:\users\stu\Documents\GitHub\eaglep3-reporting\EC\2017-09-22-refined-times.txt</v>
      </c>
      <c r="AI147" s="96" t="str">
        <f t="shared" si="71"/>
        <v>echo {"issue":{"subject":"","project_id":79,"tracker_id":40,"status_id":1,"priority_id":2,"assigned_to_id":338,"start_date":"2017-09-22","description":"","custom_fields":[{"id":1,"name":"Subdivision","value":"EC"},{"id":4,"name":"Milepost","value":"0.0125"},{"id":17,"name":"Train ID","value":"234-22"},{"id":16,"name":"Locomotive ID","value":"4017"},{"id":130,"name":"Impact","value":""},{"id":150,"name":"Time of Event (Mountain Time)","value":"23:36:15"},{"id":151,"name":"Denver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72"/>
        <v>start /low /b %USERPROFILE%\Documents\GitHub\eaglep3\Utilities\DownloadLogsFromS3.py --loco 4017 --day 2017-09-22</v>
      </c>
      <c r="AN147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05:36:15"},{"id":29,"name":"Sharepoint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74"/>
        <v>https://d0f6bd738d7f1b3e5a7ca70fe4ff75f0.us-east-1.aws.found.io/app/kibana#/discover/Steve-Slow-Train-Analysis-(2080s-and-2083s)?_g=(refreshInterval:(display:Off,pause:!f,section:0,value:0),time:(from:'2017-09-22T21:51:17-0600',mode:absolute,to:'2017-09-23T00:36:15-0600'))&amp;_a=(columns:!('Message%20ID',Summary),filters:!(),index:'emp_*',interval:auto,query:(query_string:(analyze_wildcard:!t,query:'Message%5C+ID:(*)+AND+%22rtdc.l.rtdc.4017%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808</v>
      </c>
      <c r="B148" s="7">
        <v>4032</v>
      </c>
      <c r="C148" s="21" t="s">
        <v>196</v>
      </c>
      <c r="D148" s="21" t="s">
        <v>405</v>
      </c>
      <c r="E148" s="13">
        <v>43000.920891203707</v>
      </c>
      <c r="F148" s="13">
        <v>43000.937708333331</v>
      </c>
      <c r="G148" s="7">
        <v>63</v>
      </c>
      <c r="H148" s="21" t="s">
        <v>850</v>
      </c>
      <c r="I148" s="13">
        <v>43000.961805555555</v>
      </c>
      <c r="J148" s="7">
        <v>0</v>
      </c>
      <c r="K148" s="89" t="str">
        <f t="shared" si="60"/>
        <v>4031/4032</v>
      </c>
      <c r="L148" s="185" t="str">
        <f>VLOOKUP(A148,'Trips&amp;Operators'!$C$1:$G$99911,5,FALSE)</f>
        <v>ELBAUM MIKE</v>
      </c>
      <c r="M148" s="6">
        <f t="shared" si="61"/>
        <v>2.4097222223645076E-2</v>
      </c>
      <c r="N148" s="7">
        <f t="shared" si="57"/>
        <v>34.70000000204891</v>
      </c>
      <c r="O148" s="7"/>
      <c r="P148" s="7"/>
      <c r="Q148" s="22"/>
      <c r="R148" s="174"/>
      <c r="S148" s="221">
        <f t="shared" si="47"/>
        <v>1</v>
      </c>
      <c r="T148" s="174" t="str">
        <f t="shared" si="62"/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63"/>
        <v>https://d0f6bd738d7f1b3e5a7ca70fe4ff75f0.us-east-1.aws.found.io/app/kibana#/discover/Steve-Slow-Train-Analysis-(2080s-and-2083s)?_g=(refreshInterval:(display:Off,pause:!f,section:0,value:0),time:(from:'2017-09-22T21:06:05-0600',mode:absolute,to:'2017-09-23T00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8" s="204" t="str">
        <f>IF(AA148&lt;VLOOKUP(AG148,Variables!$AC$3:$AD$8,2,FALSE),"Y","N")</f>
        <v>N</v>
      </c>
      <c r="X148" s="204">
        <f t="shared" si="64"/>
        <v>1</v>
      </c>
      <c r="Y148" s="204">
        <f t="shared" si="58"/>
        <v>4.6600000000000003E-2</v>
      </c>
      <c r="Z148" s="204">
        <f t="shared" si="59"/>
        <v>23.331399999999999</v>
      </c>
      <c r="AA148" s="204">
        <f t="shared" si="65"/>
        <v>23.284799999999997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66"/>
        <v>235</v>
      </c>
      <c r="AE148" s="77" t="str">
        <f t="shared" si="67"/>
        <v>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 &amp; aws s3 cp s3://rtdc.mdm.uploadarchive.raw/RTDC4032/ "%USERPROFILE%\AppData\Local\Temp\OnboardLogs"\RTDC4032\2017-09-23 --exclude "*" --recursive --include "*20170923*" &amp; "%USERPROFILE%\Documents\GitHub\mrs-test-scripts\Headless Mode &amp; Sideloading\WalkAndUnGZ.bat" "%USERPROFILE%\AppData\Local\Temp\OnboardLogs"\RTDC4032\2017-09-23</v>
      </c>
      <c r="AF148" s="74" t="str">
        <f t="shared" si="68"/>
        <v>"C:\Program Files (x86)\AstroGrep\AstroGrep.exe" /e /r /s /spath="%USERPROFILE%\AppData\Local\Temp\OnboardLogs" /stypes="app*4032*20170923*" /stext=" 05:.+((SYSTEM_STATE.+slice.+state.+changed )|(ment ac)|(multiple cpu faults)|(system.+state.+changed )|(\[timeout)|(PRM\|1\|D)|(kpr)|(kdp)|(train st.+moving)|(\|lc)|(penalty))"</v>
      </c>
      <c r="AG148" s="182" t="str">
        <f t="shared" si="69"/>
        <v>EC</v>
      </c>
      <c r="AH148" s="78" t="str">
        <f t="shared" si="70"/>
        <v>"%USERPROFILE%\Documents\GitHub\eaglep3\Utilities\RefineRTDCRunTimes.py" --tripid 235-22 --locoid 4032 --swversion DE.1.0.9.0 --startMP 204:466 --initTime 2017-09-22T22:06:05 --startdatetime 2017-09-22T22:30:18 --delay 63 --endMP 204:233314 --enddatetime 2017-09-22T23:05:00 --enforcementcount 0 &gt;&gt;c:\users\stu\Documents\GitHub\eaglep3-reporting\EC\2017-09-22-refined-times.txt</v>
      </c>
      <c r="AI148" s="96" t="str">
        <f t="shared" si="71"/>
        <v>echo {"issue":{"subject":"","project_id":79,"tracker_id":40,"status_id":1,"priority_id":2,"assigned_to_id":338,"start_date":"2017-09-22","description":"","custom_fields":[{"id":1,"name":"Subdivision","value":"EC"},{"id":4,"name":"Milepost","value":"23.3314"},{"id":17,"name":"Train ID","value":"235-22"},{"id":16,"name":"Locomotive ID","value":"4032"},{"id":130,"name":"Impact","value":""},{"id":150,"name":"Time of Event (Mountain Time)","value":"23:05:00"},{"id":151,"name":"Denver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72"/>
        <v>start /low /b %USERPROFILE%\Documents\GitHub\eaglep3\Utilities\DownloadLogsFromS3.py --loco 4032 --day 2017-09-22</v>
      </c>
      <c r="AN148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05:05:00"},{"id":29,"name":"Sharepoint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74"/>
        <v>https://d0f6bd738d7f1b3e5a7ca70fe4ff75f0.us-east-1.aws.found.io/app/kibana#/discover/Steve-Slow-Train-Analysis-(2080s-and-2083s)?_g=(refreshInterval:(display:Off,pause:!f,section:0,value:0),time:(from:'2017-09-22T21:06:05-0600',mode:absolute,to:'2017-09-23T00:05:00-0600'))&amp;_a=(columns:!('Message%20ID',Summary),filters:!(),index:'emp_*',interval:auto,query:(query_string:(analyze_wildcard:!t,query:'Message%5C+ID:(*)+AND+%22rtdc.l.rtdc.4032%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813</v>
      </c>
      <c r="B149" s="7">
        <v>4031</v>
      </c>
      <c r="C149" s="21" t="s">
        <v>196</v>
      </c>
      <c r="D149" s="21" t="s">
        <v>448</v>
      </c>
      <c r="E149" s="13">
        <v>43000.974652777775</v>
      </c>
      <c r="F149" s="13">
        <v>43000.977303240739</v>
      </c>
      <c r="G149" s="7">
        <v>51</v>
      </c>
      <c r="H149" s="21" t="s">
        <v>361</v>
      </c>
      <c r="I149" s="13">
        <v>43001.003229166665</v>
      </c>
      <c r="J149" s="7">
        <v>0</v>
      </c>
      <c r="K149" s="89" t="str">
        <f t="shared" si="60"/>
        <v>4031/4032</v>
      </c>
      <c r="L149" s="185" t="str">
        <f>VLOOKUP(A149,'Trips&amp;Operators'!$C$1:$G$99911,5,FALSE)</f>
        <v>ELBAUM MIKE</v>
      </c>
      <c r="M149" s="6">
        <f t="shared" si="61"/>
        <v>2.5925925925548654E-2</v>
      </c>
      <c r="N149" s="7">
        <f t="shared" si="57"/>
        <v>37.333333332790062</v>
      </c>
      <c r="O149" s="7"/>
      <c r="P149" s="7"/>
      <c r="Q149" s="22"/>
      <c r="R149" s="174"/>
      <c r="S149" s="221">
        <f t="shared" ref="S149:S212" si="75">1/IF(AG149="EC",12,1)*SUM(U149:U149)</f>
        <v>1</v>
      </c>
      <c r="T149" s="174" t="str">
        <f t="shared" si="62"/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63"/>
        <v>https://d0f6bd738d7f1b3e5a7ca70fe4ff75f0.us-east-1.aws.found.io/app/kibana#/discover/Steve-Slow-Train-Analysis-(2080s-and-2083s)?_g=(refreshInterval:(display:Off,pause:!f,section:0,value:0),time:(from:'2017-09-22T22:23:30-0600',mode:absolute,to:'2017-09-23T01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9" s="204" t="str">
        <f>IF(AA149&lt;VLOOKUP(AG149,Variables!$AC$3:$AD$8,2,FALSE),"Y","N")</f>
        <v>N</v>
      </c>
      <c r="X149" s="204">
        <f t="shared" ref="X149:X153" si="76">VALUE(LEFT(AD149,4))-VALUE(LEFT(AD148,4))</f>
        <v>1</v>
      </c>
      <c r="Y149" s="204">
        <f t="shared" si="58"/>
        <v>23.299199999999999</v>
      </c>
      <c r="Z149" s="204">
        <f t="shared" si="59"/>
        <v>1.4500000000000001E-2</v>
      </c>
      <c r="AA149" s="204">
        <f t="shared" si="65"/>
        <v>23.284699999999997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66"/>
        <v>236</v>
      </c>
      <c r="AE149" s="77" t="str">
        <f t="shared" si="67"/>
        <v>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 &amp; aws s3 cp s3://rtdc.mdm.uploadarchive.raw/RTDC4031/ "%USERPROFILE%\AppData\Local\Temp\OnboardLogs"\RTDC4031\2017-09-23 --exclude "*" --recursive --include "*20170923*" &amp; "%USERPROFILE%\Documents\GitHub\mrs-test-scripts\Headless Mode &amp; Sideloading\WalkAndUnGZ.bat" "%USERPROFILE%\AppData\Local\Temp\OnboardLogs"\RTDC4031\2017-09-23</v>
      </c>
      <c r="AF149" s="74" t="str">
        <f t="shared" si="68"/>
        <v>"C:\Program Files (x86)\AstroGrep\AstroGrep.exe" /e /r /s /spath="%USERPROFILE%\AppData\Local\Temp\OnboardLogs" /stypes="app*4031*20170923*" /stext=" 06:.+((SYSTEM_STATE.+slice.+state.+changed )|(ment ac)|(multiple cpu faults)|(system.+state.+changed )|(\[timeout)|(PRM\|1\|D)|(kpr)|(kdp)|(train st.+moving)|(\|lc)|(penalty))"</v>
      </c>
      <c r="AG149" s="182" t="str">
        <f t="shared" si="69"/>
        <v>EC</v>
      </c>
      <c r="AH149" s="78" t="str">
        <f t="shared" si="70"/>
        <v>"%USERPROFILE%\Documents\GitHub\eaglep3\Utilities\RefineRTDCRunTimes.py" --tripid 236-22 --locoid 4031 --swversion DE.1.0.9.0 --startMP 204:232992 --initTime 2017-09-22T23:23:30 --startdatetime 2017-09-22T23:27:19 --delay 51 --endMP 204:145 --enddatetime 2017-09-23T00:04:39 --enforcementcount 0 &gt;&gt;c:\users\stu\Documents\GitHub\eaglep3-reporting\EC\2017-09-22-refined-times.txt</v>
      </c>
      <c r="AI149" s="96" t="str">
        <f t="shared" si="71"/>
        <v>echo {"issue":{"subject":"","project_id":79,"tracker_id":40,"status_id":1,"priority_id":2,"assigned_to_id":338,"start_date":"2017-09-23","description":"","custom_fields":[{"id":1,"name":"Subdivision","value":"EC"},{"id":4,"name":"Milepost","value":"0.0145"},{"id":17,"name":"Train ID","value":"236-22"},{"id":16,"name":"Locomotive ID","value":"4031"},{"id":130,"name":"Impact","value":""},{"id":150,"name":"Time of Event (Mountain Time)","value":"00:04:39"},{"id":151,"name":"Denver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72"/>
        <v>start /low /b %USERPROFILE%\Documents\GitHub\eaglep3\Utilities\DownloadLogsFromS3.py --loco 4031 --day 2017-09-22</v>
      </c>
      <c r="AN149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06:04:39"},{"id":29,"name":"Sharepoint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74"/>
        <v>https://d0f6bd738d7f1b3e5a7ca70fe4ff75f0.us-east-1.aws.found.io/app/kibana#/discover/Steve-Slow-Train-Analysis-(2080s-and-2083s)?_g=(refreshInterval:(display:Off,pause:!f,section:0,value:0),time:(from:'2017-09-22T22:23:30-0600',mode:absolute,to:'2017-09-23T01:04:39-0600'))&amp;_a=(columns:!('Message%20ID',Summary),filters:!(),index:'emp_*',interval:auto,query:(query_string:(analyze_wildcard:!t,query:'Message%5C+ID:(*)+AND+%22rtdc.l.rtdc.4031%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811</v>
      </c>
      <c r="B150" s="7">
        <v>4064</v>
      </c>
      <c r="C150" s="21" t="s">
        <v>196</v>
      </c>
      <c r="D150" s="21" t="s">
        <v>339</v>
      </c>
      <c r="E150" s="13">
        <v>43000.946157407408</v>
      </c>
      <c r="F150" s="13">
        <v>43000.958773148152</v>
      </c>
      <c r="G150" s="7">
        <v>188</v>
      </c>
      <c r="H150" s="21" t="s">
        <v>877</v>
      </c>
      <c r="I150" s="13">
        <v>43000.984386574077</v>
      </c>
      <c r="J150" s="7">
        <v>0</v>
      </c>
      <c r="K150" s="89" t="str">
        <f t="shared" si="60"/>
        <v>4063/4064</v>
      </c>
      <c r="L150" s="185" t="str">
        <f>VLOOKUP(A150,'Trips&amp;Operators'!$C$1:$G$99911,5,FALSE)</f>
        <v>NICHOLSON WESLEY</v>
      </c>
      <c r="M150" s="6">
        <f t="shared" si="61"/>
        <v>2.5613425925257616E-2</v>
      </c>
      <c r="N150" s="7">
        <f t="shared" ref="N150:N158" si="77">24*60*SUM($M150:$M150)</f>
        <v>36.883333332370967</v>
      </c>
      <c r="O150" s="7"/>
      <c r="P150" s="7"/>
      <c r="Q150" s="22"/>
      <c r="R150" s="174"/>
      <c r="S150" s="221">
        <f t="shared" si="75"/>
        <v>1</v>
      </c>
      <c r="T150" s="174" t="str">
        <f t="shared" si="62"/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63"/>
        <v>https://d0f6bd738d7f1b3e5a7ca70fe4ff75f0.us-east-1.aws.found.io/app/kibana#/discover/Steve-Slow-Train-Analysis-(2080s-and-2083s)?_g=(refreshInterval:(display:Off,pause:!f,section:0,value:0),time:(from:'2017-09-22T21:42:28-0600',mode:absolute,to:'2017-09-23T00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0" s="204" t="str">
        <f>IF(AA150&lt;VLOOKUP(AG150,Variables!$AC$3:$AD$8,2,FALSE),"Y","N")</f>
        <v>N</v>
      </c>
      <c r="X150" s="204">
        <f t="shared" si="76"/>
        <v>1</v>
      </c>
      <c r="Y150" s="204">
        <f t="shared" si="58"/>
        <v>4.53E-2</v>
      </c>
      <c r="Z150" s="204">
        <f t="shared" si="59"/>
        <v>23.3278</v>
      </c>
      <c r="AA150" s="204">
        <f t="shared" si="65"/>
        <v>23.282499999999999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 t="shared" si="66"/>
        <v>237</v>
      </c>
      <c r="AE150" s="77" t="str">
        <f t="shared" si="67"/>
        <v>aws s3 cp s3://rtdc.mdm.uploadarchive.raw/RTDC4064/ "%USERPROFILE%\AppData\Local\Temp\OnboardLogs"\RTDC4064\2017-09-22 --exclude "*" --recursive --include "*20170922*" &amp; "%USERPROFILE%\Documents\GitHub\mrs-test-scripts\Headless Mode &amp; Sideloading\WalkAndUnGZ.bat" "%USERPROFILE%\AppData\Local\Temp\OnboardLogs"\RTDC4064\2017-09-22 &amp; aws s3 cp s3://rtdc.mdm.uploadarchive.raw/RTDC4064/ "%USERPROFILE%\AppData\Local\Temp\OnboardLogs"\RTDC4064\2017-09-23 --exclude "*" --recursive --include "*20170923*" &amp; "%USERPROFILE%\Documents\GitHub\mrs-test-scripts\Headless Mode &amp; Sideloading\WalkAndUnGZ.bat" "%USERPROFILE%\AppData\Local\Temp\OnboardLogs"\RTDC4064\2017-09-23</v>
      </c>
      <c r="AF150" s="74" t="str">
        <f t="shared" si="68"/>
        <v>"C:\Program Files (x86)\AstroGrep\AstroGrep.exe" /e /r /s /spath="%USERPROFILE%\AppData\Local\Temp\OnboardLogs" /stypes="app*4064*20170923*" /stext=" 05:.+((SYSTEM_STATE.+slice.+state.+changed )|(ment ac)|(multiple cpu faults)|(system.+state.+changed )|(\[timeout)|(PRM\|1\|D)|(kpr)|(kdp)|(train st.+moving)|(\|lc)|(penalty))"</v>
      </c>
      <c r="AG150" s="182" t="str">
        <f t="shared" si="69"/>
        <v>EC</v>
      </c>
      <c r="AH150" s="78" t="str">
        <f t="shared" si="70"/>
        <v>"%USERPROFILE%\Documents\GitHub\eaglep3\Utilities\RefineRTDCRunTimes.py" --tripid 237-22 --locoid 4064 --swversion DE.1.0.9.0 --startMP 204:453 --initTime 2017-09-22T22:42:28 --startdatetime 2017-09-22T23:00:38 --delay 188 --endMP 204:233278 --enddatetime 2017-09-22T23:37:31 --enforcementcount 0 &gt;&gt;c:\users\stu\Documents\GitHub\eaglep3-reporting\EC\2017-09-22-refined-times.txt</v>
      </c>
      <c r="AI150" s="96" t="str">
        <f t="shared" si="71"/>
        <v>echo {"issue":{"subject":"","project_id":79,"tracker_id":40,"status_id":1,"priority_id":2,"assigned_to_id":338,"start_date":"2017-09-22","description":"","custom_fields":[{"id":1,"name":"Subdivision","value":"EC"},{"id":4,"name":"Milepost","value":"23.3278"},{"id":17,"name":"Train ID","value":"237-22"},{"id":16,"name":"Locomotive ID","value":"4064"},{"id":130,"name":"Impact","value":""},{"id":150,"name":"Time of Event (Mountain Time)","value":"23:37:31"},{"id":151,"name":"Denver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72"/>
        <v>start /low /b %USERPROFILE%\Documents\GitHub\eaglep3\Utilities\DownloadLogsFromS3.py --loco 4064 --day 2017-09-22</v>
      </c>
      <c r="AN150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05:37:31"},{"id":29,"name":"Sharepoint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74"/>
        <v>https://d0f6bd738d7f1b3e5a7ca70fe4ff75f0.us-east-1.aws.found.io/app/kibana#/discover/Steve-Slow-Train-Analysis-(2080s-and-2083s)?_g=(refreshInterval:(display:Off,pause:!f,section:0,value:0),time:(from:'2017-09-22T21:42:28-0600',mode:absolute,to:'2017-09-23T00:37:31-0600'))&amp;_a=(columns:!('Message%20ID',Summary),filters:!(),index:'emp_*',interval:auto,query:(query_string:(analyze_wildcard:!t,query:'Message%5C+ID:(*)+AND+%22rtdc.l.rtdc.4064%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817</v>
      </c>
      <c r="B151" s="7">
        <v>4063</v>
      </c>
      <c r="C151" s="21" t="s">
        <v>196</v>
      </c>
      <c r="D151" s="21" t="s">
        <v>555</v>
      </c>
      <c r="E151" s="13">
        <v>43000.993541666663</v>
      </c>
      <c r="F151" s="13">
        <v>43000.998206018521</v>
      </c>
      <c r="G151" s="7">
        <v>128</v>
      </c>
      <c r="H151" s="21" t="s">
        <v>336</v>
      </c>
      <c r="I151" s="13">
        <v>43001.025439814817</v>
      </c>
      <c r="J151" s="7">
        <v>0</v>
      </c>
      <c r="K151" s="89" t="str">
        <f t="shared" si="60"/>
        <v>4063/4064</v>
      </c>
      <c r="L151" s="185" t="str">
        <f>VLOOKUP(A151,'Trips&amp;Operators'!$C$1:$G$99911,5,FALSE)</f>
        <v>NICHOLSON WESLEY</v>
      </c>
      <c r="M151" s="6">
        <f t="shared" si="61"/>
        <v>2.7233796296059154E-2</v>
      </c>
      <c r="N151" s="7">
        <f t="shared" si="77"/>
        <v>39.216666666325182</v>
      </c>
      <c r="O151" s="7"/>
      <c r="P151" s="7"/>
      <c r="Q151" s="22"/>
      <c r="R151" s="174"/>
      <c r="S151" s="221">
        <f t="shared" si="75"/>
        <v>1</v>
      </c>
      <c r="T151" s="174" t="str">
        <f t="shared" si="62"/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63"/>
        <v>https://d0f6bd738d7f1b3e5a7ca70fe4ff75f0.us-east-1.aws.found.io/app/kibana#/discover/Steve-Slow-Train-Analysis-(2080s-and-2083s)?_g=(refreshInterval:(display:Off,pause:!f,section:0,value:0),time:(from:'2017-09-22T22:50:42-0600',mode:absolute,to:'2017-09-23T01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1" s="204" t="str">
        <f>IF(AA151&lt;VLOOKUP(AG151,Variables!$AC$3:$AD$8,2,FALSE),"Y","N")</f>
        <v>N</v>
      </c>
      <c r="X151" s="204">
        <f t="shared" si="76"/>
        <v>1</v>
      </c>
      <c r="Y151" s="204">
        <f t="shared" si="58"/>
        <v>23.296099999999999</v>
      </c>
      <c r="Z151" s="204">
        <f t="shared" si="59"/>
        <v>1.4999999999999999E-2</v>
      </c>
      <c r="AA151" s="204">
        <f t="shared" si="65"/>
        <v>23.281099999999999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66"/>
        <v>238</v>
      </c>
      <c r="AE151" s="77" t="str">
        <f t="shared" si="67"/>
        <v>aws s3 cp s3://rtdc.mdm.uploadarchive.raw/RTDC4063/ "%USERPROFILE%\AppData\Local\Temp\OnboardLogs"\RTDC4063\2017-09-22 --exclude "*" --recursive --include "*20170922*" &amp; "%USERPROFILE%\Documents\GitHub\mrs-test-scripts\Headless Mode &amp; Sideloading\WalkAndUnGZ.bat" "%USERPROFILE%\AppData\Local\Temp\OnboardLogs"\RTDC4063\2017-09-22 &amp; aws s3 cp s3://rtdc.mdm.uploadarchive.raw/RTDC4063/ "%USERPROFILE%\AppData\Local\Temp\OnboardLogs"\RTDC4063\2017-09-23 --exclude "*" --recursive --include "*20170923*" &amp; "%USERPROFILE%\Documents\GitHub\mrs-test-scripts\Headless Mode &amp; Sideloading\WalkAndUnGZ.bat" "%USERPROFILE%\AppData\Local\Temp\OnboardLogs"\RTDC4063\2017-09-23</v>
      </c>
      <c r="AF151" s="74" t="str">
        <f t="shared" si="68"/>
        <v>"C:\Program Files (x86)\AstroGrep\AstroGrep.exe" /e /r /s /spath="%USERPROFILE%\AppData\Local\Temp\OnboardLogs" /stypes="app*4063*20170923*" /stext=" 06:.+((SYSTEM_STATE.+slice.+state.+changed )|(ment ac)|(multiple cpu faults)|(system.+state.+changed )|(\[timeout)|(PRM\|1\|D)|(kpr)|(kdp)|(train st.+moving)|(\|lc)|(penalty))"</v>
      </c>
      <c r="AG151" s="182" t="str">
        <f t="shared" si="69"/>
        <v>EC</v>
      </c>
      <c r="AH151" s="78" t="str">
        <f t="shared" si="70"/>
        <v>"%USERPROFILE%\Documents\GitHub\eaglep3\Utilities\RefineRTDCRunTimes.py" --tripid 238-22 --locoid 4063 --swversion DE.1.0.9.0 --startMP 204:232961 --initTime 2017-09-22T23:50:42 --startdatetime 2017-09-22T23:57:25 --delay 128 --endMP 204:150 --enddatetime 2017-09-23T00:36:38 --enforcementcount 0 &gt;&gt;c:\users\stu\Documents\GitHub\eaglep3-reporting\EC\2017-09-22-refined-times.txt</v>
      </c>
      <c r="AI151" s="96" t="str">
        <f t="shared" si="71"/>
        <v>echo {"issue":{"subject":"","project_id":79,"tracker_id":40,"status_id":1,"priority_id":2,"assigned_to_id":338,"start_date":"2017-09-23","description":"","custom_fields":[{"id":1,"name":"Subdivision","value":"EC"},{"id":4,"name":"Milepost","value":"0.015"},{"id":17,"name":"Train ID","value":"238-22"},{"id":16,"name":"Locomotive ID","value":"4063"},{"id":130,"name":"Impact","value":""},{"id":150,"name":"Time of Event (Mountain Time)","value":"00:36:38"},{"id":151,"name":"Denver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72"/>
        <v>start /low /b %USERPROFILE%\Documents\GitHub\eaglep3\Utilities\DownloadLogsFromS3.py --loco 4063 --day 2017-09-22</v>
      </c>
      <c r="AN151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06:36:38"},{"id":29,"name":"Sharepoint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74"/>
        <v>https://d0f6bd738d7f1b3e5a7ca70fe4ff75f0.us-east-1.aws.found.io/app/kibana#/discover/Steve-Slow-Train-Analysis-(2080s-and-2083s)?_g=(refreshInterval:(display:Off,pause:!f,section:0,value:0),time:(from:'2017-09-22T22:50:42-0600',mode:absolute,to:'2017-09-23T01:36:38-0600'))&amp;_a=(columns:!('Message%20ID',Summary),filters:!(),index:'emp_*',interval:auto,query:(query_string:(analyze_wildcard:!t,query:'Message%5C+ID:(*)+AND+%22rtdc.l.rtdc.4063%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814</v>
      </c>
      <c r="B152" s="7">
        <v>4044</v>
      </c>
      <c r="C152" s="21" t="s">
        <v>196</v>
      </c>
      <c r="D152" s="21" t="s">
        <v>368</v>
      </c>
      <c r="E152" s="13">
        <v>43000.965173611112</v>
      </c>
      <c r="F152" s="13">
        <v>43000.97934027778</v>
      </c>
      <c r="G152" s="7">
        <v>112</v>
      </c>
      <c r="H152" s="21" t="s">
        <v>553</v>
      </c>
      <c r="I152" s="13">
        <v>43001.003703703704</v>
      </c>
      <c r="J152" s="7">
        <v>0</v>
      </c>
      <c r="K152" s="89" t="str">
        <f t="shared" si="60"/>
        <v>4043/4044</v>
      </c>
      <c r="L152" s="185" t="str">
        <f>VLOOKUP(A152,'Trips&amp;Operators'!$C$1:$G$99911,5,FALSE)</f>
        <v>YANG JAN</v>
      </c>
      <c r="M152" s="6">
        <f t="shared" si="61"/>
        <v>2.4363425924093463E-2</v>
      </c>
      <c r="N152" s="7">
        <f t="shared" si="77"/>
        <v>35.083333330694586</v>
      </c>
      <c r="O152" s="7"/>
      <c r="P152" s="7"/>
      <c r="Q152" s="22"/>
      <c r="R152" s="174"/>
      <c r="S152" s="221">
        <f t="shared" si="75"/>
        <v>1</v>
      </c>
      <c r="T152" s="174" t="str">
        <f t="shared" si="62"/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63"/>
        <v>https://d0f6bd738d7f1b3e5a7ca70fe4ff75f0.us-east-1.aws.found.io/app/kibana#/discover/Steve-Slow-Train-Analysis-(2080s-and-2083s)?_g=(refreshInterval:(display:Off,pause:!f,section:0,value:0),time:(from:'2017-09-22T22:09:51-0600',mode:absolute,to:'2017-09-23T01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2" s="204" t="str">
        <f>IF(AA152&lt;VLOOKUP(AG152,Variables!$AC$3:$AD$8,2,FALSE),"Y","N")</f>
        <v>N</v>
      </c>
      <c r="X152" s="204">
        <f t="shared" si="76"/>
        <v>1</v>
      </c>
      <c r="Y152" s="204">
        <f t="shared" si="58"/>
        <v>4.6699999999999998E-2</v>
      </c>
      <c r="Z152" s="204">
        <f t="shared" si="59"/>
        <v>23.3309</v>
      </c>
      <c r="AA152" s="204">
        <f t="shared" si="65"/>
        <v>23.284199999999998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66"/>
        <v>239</v>
      </c>
      <c r="AE152" s="77" t="str">
        <f t="shared" si="67"/>
        <v>aws s3 cp s3://rtdc.mdm.uploadarchive.raw/RTDC4044/ "%USERPROFILE%\AppData\Local\Temp\OnboardLogs"\RTDC4044\2017-09-22 --exclude "*" --recursive --include "*20170922*" &amp; "%USERPROFILE%\Documents\GitHub\mrs-test-scripts\Headless Mode &amp; Sideloading\WalkAndUnGZ.bat" "%USERPROFILE%\AppData\Local\Temp\OnboardLogs"\RTDC4044\2017-09-22 &amp; aws s3 cp s3://rtdc.mdm.uploadarchive.raw/RTDC4044/ "%USERPROFILE%\AppData\Local\Temp\OnboardLogs"\RTDC4044\2017-09-23 --exclude "*" --recursive --include "*20170923*" &amp; "%USERPROFILE%\Documents\GitHub\mrs-test-scripts\Headless Mode &amp; Sideloading\WalkAndUnGZ.bat" "%USERPROFILE%\AppData\Local\Temp\OnboardLogs"\RTDC4044\2017-09-23</v>
      </c>
      <c r="AF152" s="74" t="str">
        <f t="shared" si="68"/>
        <v>"C:\Program Files (x86)\AstroGrep\AstroGrep.exe" /e /r /s /spath="%USERPROFILE%\AppData\Local\Temp\OnboardLogs" /stypes="app*4044*20170923*" /stext=" 06:.+((SYSTEM_STATE.+slice.+state.+changed )|(ment ac)|(multiple cpu faults)|(system.+state.+changed )|(\[timeout)|(PRM\|1\|D)|(kpr)|(kdp)|(train st.+moving)|(\|lc)|(penalty))"</v>
      </c>
      <c r="AG152" s="182" t="str">
        <f t="shared" si="69"/>
        <v>EC</v>
      </c>
      <c r="AH152" s="78" t="str">
        <f t="shared" si="70"/>
        <v>"%USERPROFILE%\Documents\GitHub\eaglep3\Utilities\RefineRTDCRunTimes.py" --tripid 239-22 --locoid 4044 --swversion DE.1.0.9.0 --startMP 204:467 --initTime 2017-09-22T23:09:51 --startdatetime 2017-09-22T23:30:15 --delay 112 --endMP 204:233309 --enddatetime 2017-09-23T00:05:20 --enforcementcount 0 &gt;&gt;c:\users\stu\Documents\GitHub\eaglep3-reporting\EC\2017-09-22-refined-times.txt</v>
      </c>
      <c r="AI152" s="96" t="str">
        <f t="shared" si="71"/>
        <v>echo {"issue":{"subject":"","project_id":79,"tracker_id":40,"status_id":1,"priority_id":2,"assigned_to_id":338,"start_date":"2017-09-23","description":"","custom_fields":[{"id":1,"name":"Subdivision","value":"EC"},{"id":4,"name":"Milepost","value":"23.3309"},{"id":17,"name":"Train ID","value":"239-22"},{"id":16,"name":"Locomotive ID","value":"4044"},{"id":130,"name":"Impact","value":""},{"id":150,"name":"Time of Event (Mountain Time)","value":"00:05:20"},{"id":151,"name":"Denver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72"/>
        <v>start /low /b %USERPROFILE%\Documents\GitHub\eaglep3\Utilities\DownloadLogsFromS3.py --loco 4044 --day 2017-09-22</v>
      </c>
      <c r="AN152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06:05:20"},{"id":29,"name":"Sharepoint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74"/>
        <v>https://d0f6bd738d7f1b3e5a7ca70fe4ff75f0.us-east-1.aws.found.io/app/kibana#/discover/Steve-Slow-Train-Analysis-(2080s-and-2083s)?_g=(refreshInterval:(display:Off,pause:!f,section:0,value:0),time:(from:'2017-09-22T22:09:51-0600',mode:absolute,to:'2017-09-23T01:05:20-0600'))&amp;_a=(columns:!('Message%20ID',Summary),filters:!(),index:'emp_*',interval:auto,query:(query_string:(analyze_wildcard:!t,query:'Message%5C+ID:(*)+AND+%22rtdc.l.rtdc.4044%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819</v>
      </c>
      <c r="B153" s="7">
        <v>4043</v>
      </c>
      <c r="C153" s="21" t="s">
        <v>196</v>
      </c>
      <c r="D153" s="21" t="s">
        <v>869</v>
      </c>
      <c r="E153" s="13">
        <v>43001.013240740744</v>
      </c>
      <c r="F153" s="13">
        <v>43001.018923611111</v>
      </c>
      <c r="G153" s="7">
        <v>74</v>
      </c>
      <c r="H153" s="21" t="s">
        <v>338</v>
      </c>
      <c r="I153" s="13">
        <v>43001.045266203706</v>
      </c>
      <c r="J153" s="7">
        <v>0</v>
      </c>
      <c r="K153" s="89" t="str">
        <f t="shared" si="60"/>
        <v>4043/4044</v>
      </c>
      <c r="L153" s="185" t="str">
        <f>VLOOKUP(A153,'Trips&amp;Operators'!$C$1:$G$99911,5,FALSE)</f>
        <v>YANG JAN</v>
      </c>
      <c r="M153" s="6">
        <f t="shared" si="61"/>
        <v>2.6342592595028691E-2</v>
      </c>
      <c r="N153" s="7">
        <f t="shared" si="77"/>
        <v>37.933333336841315</v>
      </c>
      <c r="O153" s="7"/>
      <c r="P153" s="7"/>
      <c r="Q153" s="22"/>
      <c r="R153" s="174"/>
      <c r="S153" s="221">
        <f t="shared" si="75"/>
        <v>1</v>
      </c>
      <c r="T153" s="174" t="str">
        <f t="shared" si="62"/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63"/>
        <v>https://d0f6bd738d7f1b3e5a7ca70fe4ff75f0.us-east-1.aws.found.io/app/kibana#/discover/Steve-Slow-Train-Analysis-(2080s-and-2083s)?_g=(refreshInterval:(display:Off,pause:!f,section:0,value:0),time:(from:'2017-09-22T23:19:04-0600',mode:absolute,to:'2017-09-23T02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3" s="204" t="str">
        <f>IF(AA153&lt;VLOOKUP(AG153,Variables!$AC$3:$AD$8,2,FALSE),"Y","N")</f>
        <v>N</v>
      </c>
      <c r="X153" s="204">
        <f t="shared" si="76"/>
        <v>1</v>
      </c>
      <c r="Y153" s="204">
        <f t="shared" si="58"/>
        <v>23.3003</v>
      </c>
      <c r="Z153" s="204">
        <f t="shared" si="59"/>
        <v>1.43E-2</v>
      </c>
      <c r="AA153" s="204">
        <f t="shared" si="65"/>
        <v>23.286000000000001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66"/>
        <v>240</v>
      </c>
      <c r="AE153" s="77" t="str">
        <f t="shared" si="67"/>
        <v>aws s3 cp s3://rtdc.mdm.uploadarchive.raw/RTDC4043/ "%USERPROFILE%\AppData\Local\Temp\OnboardLogs"\RTDC4043\2017-09-23 --exclude "*" --recursive --include "*20170923*" &amp; "%USERPROFILE%\Documents\GitHub\mrs-test-scripts\Headless Mode &amp; Sideloading\WalkAndUnGZ.bat" "%USERPROFILE%\AppData\Local\Temp\OnboardLogs"\RTDC4043\2017-09-23 &amp; aws s3 cp s3://rtdc.mdm.uploadarchive.raw/RTDC4043/ "%USERPROFILE%\AppData\Local\Temp\OnboardLogs"\RTDC4043\2017-09-24 --exclude "*" --recursive --include "*20170924*" &amp; "%USERPROFILE%\Documents\GitHub\mrs-test-scripts\Headless Mode &amp; Sideloading\WalkAndUnGZ.bat" "%USERPROFILE%\AppData\Local\Temp\OnboardLogs"\RTDC4043\2017-09-24</v>
      </c>
      <c r="AF153" s="74" t="str">
        <f t="shared" si="68"/>
        <v>"C:\Program Files (x86)\AstroGrep\AstroGrep.exe" /e /r /s /spath="%USERPROFILE%\AppData\Local\Temp\OnboardLogs" /stypes="app*4043*20170923*" /stext=" 07:.+((SYSTEM_STATE.+slice.+state.+changed )|(ment ac)|(multiple cpu faults)|(system.+state.+changed )|(\[timeout)|(PRM\|1\|D)|(kpr)|(kdp)|(train st.+moving)|(\|lc)|(penalty))"</v>
      </c>
      <c r="AG153" s="182" t="str">
        <f t="shared" si="69"/>
        <v>EC</v>
      </c>
      <c r="AH153" s="78" t="str">
        <f t="shared" si="70"/>
        <v>"%USERPROFILE%\Documents\GitHub\eaglep3\Utilities\RefineRTDCRunTimes.py" --tripid 240-22 --locoid 4043 --swversion DE.1.0.9.0 --startMP 204:233003 --initTime 2017-09-23T00:19:04 --startdatetime 2017-09-23T00:27:15 --delay 74 --endMP 204:143 --enddatetime 2017-09-23T01:05:11 --enforcementcount 0 &gt;&gt;c:\users\stu\Documents\GitHub\eaglep3-reporting\EC\2017-09-22-refined-times.txt</v>
      </c>
      <c r="AI153" s="96" t="str">
        <f t="shared" si="71"/>
        <v>echo {"issue":{"subject":"","project_id":79,"tracker_id":40,"status_id":1,"priority_id":2,"assigned_to_id":338,"start_date":"2017-09-23","description":"","custom_fields":[{"id":1,"name":"Subdivision","value":"EC"},{"id":4,"name":"Milepost","value":"0.0143"},{"id":17,"name":"Train ID","value":"240-22"},{"id":16,"name":"Locomotive ID","value":"4043"},{"id":130,"name":"Impact","value":""},{"id":150,"name":"Time of Event (Mountain Time)","value":"01:05:11"},{"id":151,"name":"Denver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72"/>
        <v>start /low /b %USERPROFILE%\Documents\GitHub\eaglep3\Utilities\DownloadLogsFromS3.py --loco 4043 --day 2017-09-23</v>
      </c>
      <c r="AN153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07:05:11"},{"id":29,"name":"Sharepoint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74"/>
        <v>https://d0f6bd738d7f1b3e5a7ca70fe4ff75f0.us-east-1.aws.found.io/app/kibana#/discover/Steve-Slow-Train-Analysis-(2080s-and-2083s)?_g=(refreshInterval:(display:Off,pause:!f,section:0,value:0),time:(from:'2017-09-22T23:19:04-0600',mode:absolute,to:'2017-09-23T02:05:11-0600'))&amp;_a=(columns:!('Message%20ID',Summary),filters:!(),index:'emp_*',interval:auto,query:(query_string:(analyze_wildcard:!t,query:'Message%5C+ID:(*)+AND+%22rtdc.l.rtdc.4043%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816</v>
      </c>
      <c r="B154" s="7">
        <v>4018</v>
      </c>
      <c r="C154" s="21" t="s">
        <v>196</v>
      </c>
      <c r="D154" s="21" t="s">
        <v>873</v>
      </c>
      <c r="E154" s="13">
        <v>43000.988391203704</v>
      </c>
      <c r="F154" s="13">
        <v>43001.000162037039</v>
      </c>
      <c r="G154" s="7">
        <v>73</v>
      </c>
      <c r="H154" s="21" t="s">
        <v>553</v>
      </c>
      <c r="I154" s="13">
        <v>43001.025416666664</v>
      </c>
      <c r="J154" s="7">
        <v>0</v>
      </c>
      <c r="K154" s="89" t="str">
        <f t="shared" si="60"/>
        <v>4017/4018</v>
      </c>
      <c r="L154" s="185" t="str">
        <f>VLOOKUP(A154,'Trips&amp;Operators'!$C$1:$G$99911,5,FALSE)</f>
        <v>PERKINS DARREN</v>
      </c>
      <c r="M154" s="6">
        <f t="shared" si="61"/>
        <v>2.5254629625123926E-2</v>
      </c>
      <c r="N154" s="7">
        <f t="shared" si="77"/>
        <v>36.366666660178453</v>
      </c>
      <c r="O154" s="7"/>
      <c r="P154" s="7"/>
      <c r="Q154" s="22"/>
      <c r="R154" s="174"/>
      <c r="S154" s="221">
        <f t="shared" si="75"/>
        <v>1</v>
      </c>
      <c r="T154" s="174" t="str">
        <f t="shared" si="62"/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63"/>
        <v>https://d0f6bd738d7f1b3e5a7ca70fe4ff75f0.us-east-1.aws.found.io/app/kibana#/discover/Steve-Slow-Train-Analysis-(2080s-and-2083s)?_g=(refreshInterval:(display:Off,pause:!f,section:0,value:0),time:(from:'2017-09-22T22:43:17-0600',mode:absolute,to:'2017-09-23T01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4" s="204" t="str">
        <f>IF(AA154&lt;VLOOKUP(AG154,Variables!$AC$3:$AD$8,2,FALSE),"Y","N")</f>
        <v>N</v>
      </c>
      <c r="X154" s="204">
        <f t="shared" ref="X154:X191" si="78">VALUE(LEFT(AD154,4))-VALUE(LEFT(AD153,4))</f>
        <v>1</v>
      </c>
      <c r="Y154" s="204">
        <f t="shared" si="58"/>
        <v>4.2900000000000001E-2</v>
      </c>
      <c r="Z154" s="204">
        <f t="shared" si="59"/>
        <v>23.3309</v>
      </c>
      <c r="AA154" s="204">
        <f t="shared" si="65"/>
        <v>23.288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66"/>
        <v>241</v>
      </c>
      <c r="AE154" s="77" t="str">
        <f t="shared" si="67"/>
        <v>aws s3 cp s3://rtdc.mdm.uploadarchive.raw/RTDC4018/ "%USERPROFILE%\AppData\Local\Temp\OnboardLogs"\RTDC4018\2017-09-23 --exclude "*" --recursive --include "*20170923*" &amp; "%USERPROFILE%\Documents\GitHub\mrs-test-scripts\Headless Mode &amp; Sideloading\WalkAndUnGZ.bat" "%USERPROFILE%\AppData\Local\Temp\OnboardLogs"\RTDC4018\2017-09-23 &amp; aws s3 cp s3://rtdc.mdm.uploadarchive.raw/RTDC4018/ "%USERPROFILE%\AppData\Local\Temp\OnboardLogs"\RTDC4018\2017-09-24 --exclude "*" --recursive --include "*20170924*" &amp; "%USERPROFILE%\Documents\GitHub\mrs-test-scripts\Headless Mode &amp; Sideloading\WalkAndUnGZ.bat" "%USERPROFILE%\AppData\Local\Temp\OnboardLogs"\RTDC4018\2017-09-24</v>
      </c>
      <c r="AF154" s="74" t="str">
        <f t="shared" si="68"/>
        <v>"C:\Program Files (x86)\AstroGrep\AstroGrep.exe" /e /r /s /spath="%USERPROFILE%\AppData\Local\Temp\OnboardLogs" /stypes="app*4018*20170923*" /stext=" 06:.+((SYSTEM_STATE.+slice.+state.+changed )|(ment ac)|(multiple cpu faults)|(system.+state.+changed )|(\[timeout)|(PRM\|1\|D)|(kpr)|(kdp)|(train st.+moving)|(\|lc)|(penalty))"</v>
      </c>
      <c r="AG154" s="182" t="str">
        <f t="shared" si="69"/>
        <v>EC</v>
      </c>
      <c r="AH154" s="78" t="str">
        <f t="shared" si="70"/>
        <v>"%USERPROFILE%\Documents\GitHub\eaglep3\Utilities\RefineRTDCRunTimes.py" --tripid 241-22 --locoid 4018 --swversion DE.1.0.9.0 --startMP 204:429 --initTime 2017-09-22T23:43:17 --startdatetime 2017-09-23T00:00:14 --delay 73 --endMP 204:233309 --enddatetime 2017-09-23T00:36:36 --enforcementcount 0 &gt;&gt;c:\users\stu\Documents\GitHub\eaglep3-reporting\EC\2017-09-22-refined-times.txt</v>
      </c>
      <c r="AI154" s="96" t="str">
        <f t="shared" si="71"/>
        <v>echo {"issue":{"subject":"","project_id":79,"tracker_id":40,"status_id":1,"priority_id":2,"assigned_to_id":338,"start_date":"2017-09-23","description":"","custom_fields":[{"id":1,"name":"Subdivision","value":"EC"},{"id":4,"name":"Milepost","value":"23.3309"},{"id":17,"name":"Train ID","value":"241-22"},{"id":16,"name":"Locomotive ID","value":"4018"},{"id":130,"name":"Impact","value":""},{"id":150,"name":"Time of Event (Mountain Time)","value":"00:36:36"},{"id":151,"name":"Denver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72"/>
        <v>start /low /b %USERPROFILE%\Documents\GitHub\eaglep3\Utilities\DownloadLogsFromS3.py --loco 4018 --day 2017-09-23</v>
      </c>
      <c r="AN154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06:36:36"},{"id":29,"name":"Sharepoint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74"/>
        <v>https://d0f6bd738d7f1b3e5a7ca70fe4ff75f0.us-east-1.aws.found.io/app/kibana#/discover/Steve-Slow-Train-Analysis-(2080s-and-2083s)?_g=(refreshInterval:(display:Off,pause:!f,section:0,value:0),time:(from:'2017-09-22T22:43:17-0600',mode:absolute,to:'2017-09-23T01:36:36-0600'))&amp;_a=(columns:!('Message%20ID',Summary),filters:!(),index:'emp_*',interval:auto,query:(query_string:(analyze_wildcard:!t,query:'Message%5C+ID:(*)+AND+%22rtdc.l.rtdc.4018%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820</v>
      </c>
      <c r="B155" s="7">
        <v>4017</v>
      </c>
      <c r="C155" s="21" t="s">
        <v>196</v>
      </c>
      <c r="D155" s="21" t="s">
        <v>445</v>
      </c>
      <c r="E155" s="13">
        <v>43001.02752314815</v>
      </c>
      <c r="F155" s="13">
        <v>43001.039780092593</v>
      </c>
      <c r="G155" s="7">
        <v>60</v>
      </c>
      <c r="H155" s="21" t="s">
        <v>388</v>
      </c>
      <c r="I155" s="13">
        <v>43001.067453703705</v>
      </c>
      <c r="J155" s="7">
        <v>0</v>
      </c>
      <c r="K155" s="89" t="str">
        <f t="shared" si="60"/>
        <v>4017/4018</v>
      </c>
      <c r="L155" s="185" t="str">
        <f>VLOOKUP(A155,'Trips&amp;Operators'!$C$1:$G$99911,5,FALSE)</f>
        <v>PERKINS DARREN</v>
      </c>
      <c r="M155" s="6">
        <f t="shared" si="61"/>
        <v>2.7673611111822538E-2</v>
      </c>
      <c r="N155" s="7">
        <f t="shared" si="77"/>
        <v>39.850000001024455</v>
      </c>
      <c r="O155" s="7"/>
      <c r="P155" s="7"/>
      <c r="Q155" s="22"/>
      <c r="R155" s="174"/>
      <c r="S155" s="221">
        <f t="shared" si="75"/>
        <v>1</v>
      </c>
      <c r="T155" s="174" t="str">
        <f t="shared" si="62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63"/>
        <v>https://d0f6bd738d7f1b3e5a7ca70fe4ff75f0.us-east-1.aws.found.io/app/kibana#/discover/Steve-Slow-Train-Analysis-(2080s-and-2083s)?_g=(refreshInterval:(display:Off,pause:!f,section:0,value:0),time:(from:'2017-09-22T23:39:38-0600',mode:absolute,to:'2017-09-23T02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5" s="204" t="str">
        <f>IF(AA155&lt;VLOOKUP(AG155,Variables!$AC$3:$AD$8,2,FALSE),"Y","N")</f>
        <v>N</v>
      </c>
      <c r="X155" s="204">
        <f t="shared" si="78"/>
        <v>1</v>
      </c>
      <c r="Y155" s="204">
        <f t="shared" si="58"/>
        <v>23.298400000000001</v>
      </c>
      <c r="Z155" s="204">
        <f t="shared" si="59"/>
        <v>1.3899999999999999E-2</v>
      </c>
      <c r="AA155" s="204">
        <f t="shared" si="65"/>
        <v>23.284500000000001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66"/>
        <v>242</v>
      </c>
      <c r="AE155" s="77" t="str">
        <f t="shared" si="67"/>
        <v>aws s3 cp s3://rtdc.mdm.uploadarchive.raw/RTDC4017/ "%USERPROFILE%\AppData\Local\Temp\OnboardLogs"\RTDC4017\2017-09-23 --exclude "*" --recursive --include "*20170923*" &amp; "%USERPROFILE%\Documents\GitHub\mrs-test-scripts\Headless Mode &amp; Sideloading\WalkAndUnGZ.bat" "%USERPROFILE%\AppData\Local\Temp\OnboardLogs"\RTDC4017\2017-09-23 &amp; aws s3 cp s3://rtdc.mdm.uploadarchive.raw/RTDC4017/ "%USERPROFILE%\AppData\Local\Temp\OnboardLogs"\RTDC4017\2017-09-24 --exclude "*" --recursive --include "*20170924*" &amp; "%USERPROFILE%\Documents\GitHub\mrs-test-scripts\Headless Mode &amp; Sideloading\WalkAndUnGZ.bat" "%USERPROFILE%\AppData\Local\Temp\OnboardLogs"\RTDC4017\2017-09-24</v>
      </c>
      <c r="AF155" s="74" t="str">
        <f t="shared" si="68"/>
        <v>"C:\Program Files (x86)\AstroGrep\AstroGrep.exe" /e /r /s /spath="%USERPROFILE%\AppData\Local\Temp\OnboardLogs" /stypes="app*4017*20170923*" /stext=" 07:.+((SYSTEM_STATE.+slice.+state.+changed )|(ment ac)|(multiple cpu faults)|(system.+state.+changed )|(\[timeout)|(PRM\|1\|D)|(kpr)|(kdp)|(train st.+moving)|(\|lc)|(penalty))"</v>
      </c>
      <c r="AG155" s="182" t="str">
        <f t="shared" si="69"/>
        <v>EC</v>
      </c>
      <c r="AH155" s="78" t="str">
        <f t="shared" si="70"/>
        <v>"%USERPROFILE%\Documents\GitHub\eaglep3\Utilities\RefineRTDCRunTimes.py" --tripid 242-22 --locoid 4017 --swversion DE.1.0.9.0 --startMP 204:232984 --initTime 2017-09-23T00:39:38 --startdatetime 2017-09-23T00:57:17 --delay 60 --endMP 204:139 --enddatetime 2017-09-23T01:37:08 --enforcementcount 0 &gt;&gt;c:\users\stu\Documents\GitHub\eaglep3-reporting\EC\2017-09-22-refined-times.txt</v>
      </c>
      <c r="AI155" s="96" t="str">
        <f t="shared" si="71"/>
        <v>echo {"issue":{"subject":"","project_id":79,"tracker_id":40,"status_id":1,"priority_id":2,"assigned_to_id":338,"start_date":"2017-09-23","description":"","custom_fields":[{"id":1,"name":"Subdivision","value":"EC"},{"id":4,"name":"Milepost","value":"0.0139"},{"id":17,"name":"Train ID","value":"242-22"},{"id":16,"name":"Locomotive ID","value":"4017"},{"id":130,"name":"Impact","value":""},{"id":150,"name":"Time of Event (Mountain Time)","value":"01:37:08"},{"id":151,"name":"Denver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72"/>
        <v>start /low /b %USERPROFILE%\Documents\GitHub\eaglep3\Utilities\DownloadLogsFromS3.py --loco 4017 --day 2017-09-23</v>
      </c>
      <c r="AN155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07:37:08"},{"id":29,"name":"Sharepoint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74"/>
        <v>https://d0f6bd738d7f1b3e5a7ca70fe4ff75f0.us-east-1.aws.found.io/app/kibana#/discover/Steve-Slow-Train-Analysis-(2080s-and-2083s)?_g=(refreshInterval:(display:Off,pause:!f,section:0,value:0),time:(from:'2017-09-22T23:39:38-0600',mode:absolute,to:'2017-09-23T02:37:08-0600'))&amp;_a=(columns:!('Message%20ID',Summary),filters:!(),index:'emp_*',interval:auto,query:(query_string:(analyze_wildcard:!t,query:'Message%5C+ID:(*)+AND+%22rtdc.l.rtdc.4017%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818</v>
      </c>
      <c r="B156" s="7">
        <v>4032</v>
      </c>
      <c r="C156" s="21" t="s">
        <v>196</v>
      </c>
      <c r="D156" s="21" t="s">
        <v>387</v>
      </c>
      <c r="E156" s="13">
        <v>43001.004363425927</v>
      </c>
      <c r="F156" s="13">
        <v>43001.021006944444</v>
      </c>
      <c r="G156" s="7">
        <v>67</v>
      </c>
      <c r="H156" s="21" t="s">
        <v>507</v>
      </c>
      <c r="I156" s="13">
        <v>43001.044803240744</v>
      </c>
      <c r="J156" s="7">
        <v>0</v>
      </c>
      <c r="K156" s="89" t="str">
        <f t="shared" si="60"/>
        <v>4031/4032</v>
      </c>
      <c r="L156" s="185" t="str">
        <f>VLOOKUP(A156,'Trips&amp;Operators'!$C$1:$G$99911,5,FALSE)</f>
        <v>ELBAUM MIKE</v>
      </c>
      <c r="M156" s="6">
        <f t="shared" si="61"/>
        <v>2.379629630013369E-2</v>
      </c>
      <c r="N156" s="7">
        <f t="shared" si="77"/>
        <v>34.266666672192514</v>
      </c>
      <c r="O156" s="7"/>
      <c r="P156" s="7"/>
      <c r="Q156" s="22"/>
      <c r="R156" s="174"/>
      <c r="S156" s="221">
        <f t="shared" si="75"/>
        <v>1</v>
      </c>
      <c r="T156" s="174" t="str">
        <f t="shared" si="62"/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63"/>
        <v>https://d0f6bd738d7f1b3e5a7ca70fe4ff75f0.us-east-1.aws.found.io/app/kibana#/discover/Steve-Slow-Train-Analysis-(2080s-and-2083s)?_g=(refreshInterval:(display:Off,pause:!f,section:0,value:0),time:(from:'2017-09-22T23:06:17-0600',mode:absolute,to:'2017-09-23T02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6" s="204" t="str">
        <f>IF(AA156&lt;VLOOKUP(AG156,Variables!$AC$3:$AD$8,2,FALSE),"Y","N")</f>
        <v>N</v>
      </c>
      <c r="X156" s="204">
        <f t="shared" si="78"/>
        <v>1</v>
      </c>
      <c r="Y156" s="204">
        <f t="shared" si="58"/>
        <v>4.3999999999999997E-2</v>
      </c>
      <c r="Z156" s="204">
        <f t="shared" si="59"/>
        <v>23.330100000000002</v>
      </c>
      <c r="AA156" s="204">
        <f t="shared" si="65"/>
        <v>23.286100000000001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66"/>
        <v>243</v>
      </c>
      <c r="AE156" s="77" t="str">
        <f t="shared" si="67"/>
        <v>aws s3 cp s3://rtdc.mdm.uploadarchive.raw/RTDC4032/ "%USERPROFILE%\AppData\Local\Temp\OnboardLogs"\RTDC4032\2017-09-23 --exclude "*" --recursive --include "*20170923*" &amp; "%USERPROFILE%\Documents\GitHub\mrs-test-scripts\Headless Mode &amp; Sideloading\WalkAndUnGZ.bat" "%USERPROFILE%\AppData\Local\Temp\OnboardLogs"\RTDC4032\2017-09-23 &amp; aws s3 cp s3://rtdc.mdm.uploadarchive.raw/RTDC4032/ "%USERPROFILE%\AppData\Local\Temp\OnboardLogs"\RTDC4032\2017-09-24 --exclude "*" --recursive --include "*20170924*" &amp; "%USERPROFILE%\Documents\GitHub\mrs-test-scripts\Headless Mode &amp; Sideloading\WalkAndUnGZ.bat" "%USERPROFILE%\AppData\Local\Temp\OnboardLogs"\RTDC4032\2017-09-24</v>
      </c>
      <c r="AF156" s="74" t="str">
        <f t="shared" si="68"/>
        <v>"C:\Program Files (x86)\AstroGrep\AstroGrep.exe" /e /r /s /spath="%USERPROFILE%\AppData\Local\Temp\OnboardLogs" /stypes="app*4032*20170923*" /stext=" 07:.+((SYSTEM_STATE.+slice.+state.+changed )|(ment ac)|(multiple cpu faults)|(system.+state.+changed )|(\[timeout)|(PRM\|1\|D)|(kpr)|(kdp)|(train st.+moving)|(\|lc)|(penalty))"</v>
      </c>
      <c r="AG156" s="182" t="str">
        <f t="shared" si="69"/>
        <v>EC</v>
      </c>
      <c r="AH156" s="78" t="str">
        <f t="shared" si="70"/>
        <v>"%USERPROFILE%\Documents\GitHub\eaglep3\Utilities\RefineRTDCRunTimes.py" --tripid 243-22 --locoid 4032 --swversion DE.1.0.9.0 --startMP 204:440 --initTime 2017-09-23T00:06:17 --startdatetime 2017-09-23T00:30:15 --delay 67 --endMP 204:233301 --enddatetime 2017-09-23T01:04:31 --enforcementcount 0 &gt;&gt;c:\users\stu\Documents\GitHub\eaglep3-reporting\EC\2017-09-22-refined-times.txt</v>
      </c>
      <c r="AI156" s="96" t="str">
        <f t="shared" si="71"/>
        <v>echo {"issue":{"subject":"","project_id":79,"tracker_id":40,"status_id":1,"priority_id":2,"assigned_to_id":338,"start_date":"2017-09-23","description":"","custom_fields":[{"id":1,"name":"Subdivision","value":"EC"},{"id":4,"name":"Milepost","value":"23.3301"},{"id":17,"name":"Train ID","value":"243-22"},{"id":16,"name":"Locomotive ID","value":"4032"},{"id":130,"name":"Impact","value":""},{"id":150,"name":"Time of Event (Mountain Time)","value":"01:04:31"},{"id":151,"name":"Denver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72"/>
        <v>start /low /b %USERPROFILE%\Documents\GitHub\eaglep3\Utilities\DownloadLogsFromS3.py --loco 4032 --day 2017-09-23</v>
      </c>
      <c r="AN156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07:04:31"},{"id":29,"name":"Sharepoint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74"/>
        <v>https://d0f6bd738d7f1b3e5a7ca70fe4ff75f0.us-east-1.aws.found.io/app/kibana#/discover/Steve-Slow-Train-Analysis-(2080s-and-2083s)?_g=(refreshInterval:(display:Off,pause:!f,section:0,value:0),time:(from:'2017-09-22T23:06:17-0600',mode:absolute,to:'2017-09-23T02:04:31-0600'))&amp;_a=(columns:!('Message%20ID',Summary),filters:!(),index:'emp_*',interval:auto,query:(query_string:(analyze_wildcard:!t,query:'Message%5C+ID:(*)+AND+%22rtdc.l.rtdc.4032%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608</v>
      </c>
      <c r="B157" s="7">
        <v>4031</v>
      </c>
      <c r="C157" s="21" t="s">
        <v>196</v>
      </c>
      <c r="D157" s="21" t="s">
        <v>551</v>
      </c>
      <c r="E157" s="13">
        <v>43001.045810185184</v>
      </c>
      <c r="F157" s="13">
        <v>43001.060555555552</v>
      </c>
      <c r="G157" s="7">
        <v>55</v>
      </c>
      <c r="H157" s="21" t="s">
        <v>341</v>
      </c>
      <c r="I157" s="13">
        <v>43001.086192129631</v>
      </c>
      <c r="J157" s="7">
        <v>0</v>
      </c>
      <c r="K157" s="89" t="str">
        <f t="shared" si="60"/>
        <v>4031/4032</v>
      </c>
      <c r="L157" s="185" t="str">
        <f>VLOOKUP(A157,'Trips&amp;Operators'!$C$1:$G$99911,5,FALSE)</f>
        <v>ELBAUM MIKE</v>
      </c>
      <c r="M157" s="6">
        <f t="shared" si="61"/>
        <v>2.5636574078816921E-2</v>
      </c>
      <c r="N157" s="7">
        <f t="shared" si="77"/>
        <v>36.916666673496366</v>
      </c>
      <c r="O157" s="7"/>
      <c r="P157" s="7"/>
      <c r="Q157" s="22"/>
      <c r="R157" s="174"/>
      <c r="S157" s="221">
        <f t="shared" si="75"/>
        <v>1</v>
      </c>
      <c r="T157" s="174" t="str">
        <f t="shared" si="62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63"/>
        <v>https://d0f6bd738d7f1b3e5a7ca70fe4ff75f0.us-east-1.aws.found.io/app/kibana#/discover/Steve-Slow-Train-Analysis-(2080s-and-2083s)?_g=(refreshInterval:(display:Off,pause:!f,section:0,value:0),time:(from:'2017-09-23T00:05:58-0600',mode:absolute,to:'2017-09-23T03:04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7" s="204" t="str">
        <f>IF(AA157&lt;VLOOKUP(AG157,Variables!$AC$3:$AD$8,2,FALSE),"Y","N")</f>
        <v>N</v>
      </c>
      <c r="X157" s="204">
        <f t="shared" si="78"/>
        <v>1</v>
      </c>
      <c r="Y157" s="204">
        <f t="shared" si="58"/>
        <v>23.297999999999998</v>
      </c>
      <c r="Z157" s="204">
        <f t="shared" si="59"/>
        <v>1.47E-2</v>
      </c>
      <c r="AA157" s="204">
        <f t="shared" si="65"/>
        <v>23.283299999999997</v>
      </c>
      <c r="AB157" s="54" t="str">
        <f>VLOOKUP(A157,Enforcements!$C$7:$K$11,8,0)</f>
        <v>Bulletin (2)</v>
      </c>
      <c r="AC157" s="51" t="str">
        <f>VLOOKUP(A157,Enforcements!$C$7:$E$11,3,0)</f>
        <v>GRADE CROSSING</v>
      </c>
      <c r="AD157" s="179">
        <f t="shared" si="66"/>
        <v>244</v>
      </c>
      <c r="AE157" s="77" t="str">
        <f t="shared" si="67"/>
        <v>aws s3 cp s3://rtdc.mdm.uploadarchive.raw/RTDC4031/ "%USERPROFILE%\AppData\Local\Temp\OnboardLogs"\RTDC4031\2017-09-23 --exclude "*" --recursive --include "*20170923*" &amp; "%USERPROFILE%\Documents\GitHub\mrs-test-scripts\Headless Mode &amp; Sideloading\WalkAndUnGZ.bat" "%USERPROFILE%\AppData\Local\Temp\OnboardLogs"\RTDC4031\2017-09-23 &amp; aws s3 cp s3://rtdc.mdm.uploadarchive.raw/RTDC4031/ "%USERPROFILE%\AppData\Local\Temp\OnboardLogs"\RTDC4031\2017-09-24 --exclude "*" --recursive --include "*20170924*" &amp; "%USERPROFILE%\Documents\GitHub\mrs-test-scripts\Headless Mode &amp; Sideloading\WalkAndUnGZ.bat" "%USERPROFILE%\AppData\Local\Temp\OnboardLogs"\RTDC4031\2017-09-24</v>
      </c>
      <c r="AF157" s="74" t="str">
        <f t="shared" si="68"/>
        <v>"C:\Program Files (x86)\AstroGrep\AstroGrep.exe" /e /r /s /spath="%USERPROFILE%\AppData\Local\Temp\OnboardLogs" /stypes="app*4031*20170923*" /stext=" 08:.+((SYSTEM_STATE.+slice.+state.+changed )|(ment ac)|(multiple cpu faults)|(system.+state.+changed )|(\[timeout)|(PRM\|1\|D)|(kpr)|(kdp)|(train st.+moving)|(\|lc)|(penalty))"</v>
      </c>
      <c r="AG157" s="182" t="str">
        <f t="shared" si="69"/>
        <v>EC</v>
      </c>
      <c r="AH157" s="78" t="str">
        <f t="shared" si="70"/>
        <v>"%USERPROFILE%\Documents\GitHub\eaglep3\Utilities\RefineRTDCRunTimes.py" --tripid 244-22 --locoid 4031 --swversion DE.1.0.9.0 --startMP 204:232980 --initTime 2017-09-23T01:05:58 --startdatetime 2017-09-23T01:27:12 --delay 55 --endMP 204:147 --enddatetime 2017-09-23T02:04:07 --enforcementcount 0 &gt;&gt;c:\users\stu\Documents\GitHub\eaglep3-reporting\EC\2017-09-22-refined-times.txt</v>
      </c>
      <c r="AI157" s="96" t="str">
        <f t="shared" si="71"/>
        <v>echo {"issue":{"subject":"","project_id":79,"tracker_id":40,"status_id":1,"priority_id":2,"assigned_to_id":338,"start_date":"2017-09-23","description":"","custom_fields":[{"id":1,"name":"Subdivision","value":"EC"},{"id":4,"name":"Milepost","value":"0.0147"},{"id":17,"name":"Train ID","value":"244-22"},{"id":16,"name":"Locomotive ID","value":"4031"},{"id":130,"name":"Impact","value":""},{"id":150,"name":"Time of Event (Mountain Time)","value":"02:04:07"},{"id":151,"name":"Denver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72"/>
        <v>start /low /b %USERPROFILE%\Documents\GitHub\eaglep3\Utilities\DownloadLogsFromS3.py --loco 4031 --day 2017-09-23</v>
      </c>
      <c r="AN157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08:04:07"},{"id":29,"name":"Sharepoint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74"/>
        <v>https://d0f6bd738d7f1b3e5a7ca70fe4ff75f0.us-east-1.aws.found.io/app/kibana#/discover/Steve-Slow-Train-Analysis-(2080s-and-2083s)?_g=(refreshInterval:(display:Off,pause:!f,section:0,value:0),time:(from:'2017-09-23T00:05:58-0600',mode:absolute,to:'2017-09-23T03:04:07-0600'))&amp;_a=(columns:!('Message%20ID',Summary),filters:!(),index:'emp_*',interval:auto,query:(query_string:(analyze_wildcard:!t,query:'Message%5C+ID:(*)+AND+%22rtdc.l.rtdc.4031%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821</v>
      </c>
      <c r="B158" s="7">
        <v>4064</v>
      </c>
      <c r="C158" s="21" t="s">
        <v>196</v>
      </c>
      <c r="D158" s="21" t="s">
        <v>404</v>
      </c>
      <c r="E158" s="13">
        <v>43001.03875</v>
      </c>
      <c r="F158" s="13">
        <v>43001.041875000003</v>
      </c>
      <c r="G158" s="7">
        <v>69</v>
      </c>
      <c r="H158" s="21" t="s">
        <v>509</v>
      </c>
      <c r="I158" s="13">
        <v>43001.065706018519</v>
      </c>
      <c r="J158" s="7">
        <v>0</v>
      </c>
      <c r="K158" s="89" t="str">
        <f t="shared" si="60"/>
        <v>4063/4064</v>
      </c>
      <c r="L158" s="185" t="str">
        <f>VLOOKUP(A158,'Trips&amp;Operators'!$C$1:$G$99911,5,FALSE)</f>
        <v>HART KEVIN</v>
      </c>
      <c r="M158" s="6">
        <f t="shared" si="61"/>
        <v>2.3831018515920732E-2</v>
      </c>
      <c r="N158" s="7">
        <f t="shared" si="77"/>
        <v>34.316666662925854</v>
      </c>
      <c r="O158" s="7"/>
      <c r="P158" s="7"/>
      <c r="Q158" s="22"/>
      <c r="R158" s="174"/>
      <c r="S158" s="221">
        <f t="shared" si="75"/>
        <v>1</v>
      </c>
      <c r="T158" s="174" t="str">
        <f t="shared" si="62"/>
        <v>NorthBound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 t="shared" si="63"/>
        <v>https://d0f6bd738d7f1b3e5a7ca70fe4ff75f0.us-east-1.aws.found.io/app/kibana#/discover/Steve-Slow-Train-Analysis-(2080s-and-2083s)?_g=(refreshInterval:(display:Off,pause:!f,section:0,value:0),time:(from:'2017-09-22T23:55:48-0600',mode:absolute,to:'2017-09-23T02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8" s="204" t="str">
        <f>IF(AA158&lt;VLOOKUP(AG158,Variables!$AC$3:$AD$8,2,FALSE),"Y","N")</f>
        <v>N</v>
      </c>
      <c r="X158" s="204">
        <f t="shared" si="78"/>
        <v>1</v>
      </c>
      <c r="Y158" s="204">
        <f t="shared" si="58"/>
        <v>4.3700000000000003E-2</v>
      </c>
      <c r="Z158" s="204">
        <f t="shared" si="59"/>
        <v>23.331600000000002</v>
      </c>
      <c r="AA158" s="204">
        <f t="shared" si="65"/>
        <v>23.2879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66"/>
        <v>245</v>
      </c>
      <c r="AE158" s="77" t="str">
        <f t="shared" si="67"/>
        <v>aws s3 cp s3://rtdc.mdm.uploadarchive.raw/RTDC4064/ "%USERPROFILE%\AppData\Local\Temp\OnboardLogs"\RTDC4064\2017-09-23 --exclude "*" --recursive --include "*20170923*" &amp; "%USERPROFILE%\Documents\GitHub\mrs-test-scripts\Headless Mode &amp; Sideloading\WalkAndUnGZ.bat" "%USERPROFILE%\AppData\Local\Temp\OnboardLogs"\RTDC4064\2017-09-23 &amp; aws s3 cp s3://rtdc.mdm.uploadarchive.raw/RTDC4064/ "%USERPROFILE%\AppData\Local\Temp\OnboardLogs"\RTDC4064\2017-09-24 --exclude "*" --recursive --include "*20170924*" &amp; "%USERPROFILE%\Documents\GitHub\mrs-test-scripts\Headless Mode &amp; Sideloading\WalkAndUnGZ.bat" "%USERPROFILE%\AppData\Local\Temp\OnboardLogs"\RTDC4064\2017-09-24</v>
      </c>
      <c r="AF158" s="74" t="str">
        <f t="shared" si="68"/>
        <v>"C:\Program Files (x86)\AstroGrep\AstroGrep.exe" /e /r /s /spath="%USERPROFILE%\AppData\Local\Temp\OnboardLogs" /stypes="app*4064*20170923*" /stext=" 07:.+((SYSTEM_STATE.+slice.+state.+changed )|(ment ac)|(multiple cpu faults)|(system.+state.+changed )|(\[timeout)|(PRM\|1\|D)|(kpr)|(kdp)|(train st.+moving)|(\|lc)|(penalty))"</v>
      </c>
      <c r="AG158" s="182" t="str">
        <f t="shared" si="69"/>
        <v>EC</v>
      </c>
      <c r="AH158" s="78" t="str">
        <f t="shared" si="70"/>
        <v>"%USERPROFILE%\Documents\GitHub\eaglep3\Utilities\RefineRTDCRunTimes.py" --tripid 245-22 --locoid 4064 --swversion DE.1.0.9.0 --startMP 204:437 --initTime 2017-09-23T00:55:48 --startdatetime 2017-09-23T01:00:18 --delay 69 --endMP 204:233316 --enddatetime 2017-09-23T01:34:37 --enforcementcount 0 &gt;&gt;c:\users\stu\Documents\GitHub\eaglep3-reporting\EC\2017-09-22-refined-times.txt</v>
      </c>
      <c r="AI158" s="96" t="str">
        <f t="shared" si="71"/>
        <v>echo {"issue":{"subject":"","project_id":79,"tracker_id":40,"status_id":1,"priority_id":2,"assigned_to_id":338,"start_date":"2017-09-23","description":"","custom_fields":[{"id":1,"name":"Subdivision","value":"EC"},{"id":4,"name":"Milepost","value":"23.3316"},{"id":17,"name":"Train ID","value":"245-22"},{"id":16,"name":"Locomotive ID","value":"4064"},{"id":130,"name":"Impact","value":""},{"id":150,"name":"Time of Event (Mountain Time)","value":"01:34:37"},{"id":151,"name":"Denver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72"/>
        <v>start /low /b %USERPROFILE%\Documents\GitHub\eaglep3\Utilities\DownloadLogsFromS3.py --loco 4064 --day 2017-09-23</v>
      </c>
      <c r="AN158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07:34:37"},{"id":29,"name":"Sharepoint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74"/>
        <v>https://d0f6bd738d7f1b3e5a7ca70fe4ff75f0.us-east-1.aws.found.io/app/kibana#/discover/Steve-Slow-Train-Analysis-(2080s-and-2083s)?_g=(refreshInterval:(display:Off,pause:!f,section:0,value:0),time:(from:'2017-09-22T23:55:48-0600',mode:absolute,to:'2017-09-23T02:34:37-0600'))&amp;_a=(columns:!('Message%20ID',Summary),filters:!(),index:'emp_*',interval:auto,query:(query_string:(analyze_wildcard:!t,query:'Message%5C+ID:(*)+AND+%22rtdc.l.rtdc.4064%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823</v>
      </c>
      <c r="B159" s="7">
        <v>4063</v>
      </c>
      <c r="C159" s="21" t="s">
        <v>196</v>
      </c>
      <c r="D159" s="21" t="s">
        <v>551</v>
      </c>
      <c r="E159" s="13">
        <v>43001.079594907409</v>
      </c>
      <c r="F159" s="13">
        <v>43001.080405092594</v>
      </c>
      <c r="G159" s="7">
        <v>57</v>
      </c>
      <c r="H159" s="21" t="s">
        <v>878</v>
      </c>
      <c r="I159" s="13">
        <v>43001.101018518515</v>
      </c>
      <c r="J159" s="7">
        <v>0</v>
      </c>
      <c r="K159" s="89" t="str">
        <f t="shared" si="60"/>
        <v>4063/4064</v>
      </c>
      <c r="L159" s="185" t="str">
        <f>VLOOKUP(A159,'Trips&amp;Operators'!$C$1:$G$99911,5,FALSE)</f>
        <v>HART KEVIN</v>
      </c>
      <c r="M159" s="6">
        <f t="shared" si="61"/>
        <v>2.0613425920601003E-2</v>
      </c>
      <c r="N159" s="7"/>
      <c r="O159" s="7"/>
      <c r="P159" s="7">
        <f>24*60*SUM($M159:$M159)</f>
        <v>29.683333325665444</v>
      </c>
      <c r="Q159" s="22"/>
      <c r="R159" s="174" t="s">
        <v>977</v>
      </c>
      <c r="S159" s="221">
        <f t="shared" si="75"/>
        <v>0.91666666666666663</v>
      </c>
      <c r="T159" s="174" t="str">
        <f t="shared" si="62"/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11</v>
      </c>
      <c r="V159" s="216" t="str">
        <f t="shared" si="63"/>
        <v>https://d0f6bd738d7f1b3e5a7ca70fe4ff75f0.us-east-1.aws.found.io/app/kibana#/discover/Steve-Slow-Train-Analysis-(2080s-and-2083s)?_g=(refreshInterval:(display:Off,pause:!f,section:0,value:0),time:(from:'2017-09-23T00:54:37-0600',mode:absolute,to:'2017-09-23T03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9" s="204" t="str">
        <f>IF(AA159&lt;VLOOKUP(AG159,Variables!$AC$3:$AD$8,2,FALSE),"Y","N")</f>
        <v>Y</v>
      </c>
      <c r="X159" s="204">
        <f t="shared" si="78"/>
        <v>1</v>
      </c>
      <c r="Y159" s="204">
        <f t="shared" si="58"/>
        <v>23.297999999999998</v>
      </c>
      <c r="Z159" s="204">
        <f t="shared" si="59"/>
        <v>2.9603999999999999</v>
      </c>
      <c r="AA159" s="204">
        <f t="shared" si="65"/>
        <v>20.337599999999998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66"/>
        <v>246</v>
      </c>
      <c r="AE159" s="77" t="str">
        <f t="shared" si="67"/>
        <v>aws s3 cp s3://rtdc.mdm.uploadarchive.raw/RTDC4063/ "%USERPROFILE%\AppData\Local\Temp\OnboardLogs"\RTDC4063\2017-09-23 --exclude "*" --recursive --include "*20170923*" &amp; "%USERPROFILE%\Documents\GitHub\mrs-test-scripts\Headless Mode &amp; Sideloading\WalkAndUnGZ.bat" "%USERPROFILE%\AppData\Local\Temp\OnboardLogs"\RTDC4063\2017-09-23 &amp; aws s3 cp s3://rtdc.mdm.uploadarchive.raw/RTDC4063/ "%USERPROFILE%\AppData\Local\Temp\OnboardLogs"\RTDC4063\2017-09-24 --exclude "*" --recursive --include "*20170924*" &amp; "%USERPROFILE%\Documents\GitHub\mrs-test-scripts\Headless Mode &amp; Sideloading\WalkAndUnGZ.bat" "%USERPROFILE%\AppData\Local\Temp\OnboardLogs"\RTDC4063\2017-09-24</v>
      </c>
      <c r="AF159" s="74" t="str">
        <f t="shared" si="68"/>
        <v>"C:\Program Files (x86)\AstroGrep\AstroGrep.exe" /e /r /s /spath="%USERPROFILE%\AppData\Local\Temp\OnboardLogs" /stypes="app*4063*20170923*" /stext=" 08:.+((SYSTEM_STATE.+slice.+state.+changed )|(ment ac)|(multiple cpu faults)|(system.+state.+changed )|(\[timeout)|(PRM\|1\|D)|(kpr)|(kdp)|(train st.+moving)|(\|lc)|(penalty))"</v>
      </c>
      <c r="AG159" s="182" t="str">
        <f t="shared" si="69"/>
        <v>EC</v>
      </c>
      <c r="AH159" s="78" t="str">
        <f t="shared" si="70"/>
        <v>"%USERPROFILE%\Documents\GitHub\eaglep3\Utilities\RefineRTDCRunTimes.py" --tripid 246-22 --locoid 4063 --swversion DE.1.0.9.0 --startMP 204:232980 --initTime 2017-09-23T01:54:37 --startdatetime 2017-09-23T01:55:47 --delay 57 --endMP 204:29604 --enddatetime 2017-09-23T02:25:28 --enforcementcount 0 &gt;&gt;c:\users\stu\Documents\GitHub\eaglep3-reporting\EC\2017-09-22-refined-times.txt</v>
      </c>
      <c r="AI159" s="96" t="str">
        <f t="shared" si="71"/>
        <v>echo {"issue":{"subject":"Onboard in-route failure","project_id":79,"tracker_id":40,"status_id":1,"priority_id":2,"assigned_to_id":338,"start_date":"2017-09-23","description":"","custom_fields":[{"id":1,"name":"Subdivision","value":"EC"},{"id":4,"name":"Milepost","value":"2.9604"},{"id":17,"name":"Train ID","value":"246-22"},{"id":16,"name":"Locomotive ID","value":"4063"},{"id":130,"name":"Impact","value":""},{"id":150,"name":"Time of Event (Mountain Time)","value":"02:25:28"},{"id":151,"name":"Denver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72"/>
        <v>start /low /b %USERPROFILE%\Documents\GitHub\eaglep3\Utilities\DownloadLogsFromS3.py --loco 4063 --day 2017-09-23</v>
      </c>
      <c r="AN159" s="151" t="str">
        <f t="shared" si="73"/>
        <v>echo {"issue":{"subject":"Onboard in-route failure","project_id":30,"tracker_id":4,"status_id":1,"priority_id":1,"assigned_to_id":10,"start_date":"2017-09-23","description":"","custom_fields":[{"id":30,"name":"Category","value":"Issue"},{"id":3,"name":"Functional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08:25:28"},{"id":29,"name":"Sharepoint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74"/>
        <v>https://d0f6bd738d7f1b3e5a7ca70fe4ff75f0.us-east-1.aws.found.io/app/kibana#/discover/Steve-Slow-Train-Analysis-(2080s-and-2083s)?_g=(refreshInterval:(display:Off,pause:!f,section:0,value:0),time:(from:'2017-09-23T00:54:37-0600',mode:absolute,to:'2017-09-23T03:25:28-0600'))&amp;_a=(columns:!('Message%20ID',Summary),filters:!(),index:'emp_*',interval:auto,query:(query_string:(analyze_wildcard:!t,query:'Message%5C+ID:(*)+AND+%22rtdc.l.rtdc.4063%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637</v>
      </c>
      <c r="B160" s="7">
        <v>4039</v>
      </c>
      <c r="C160" s="21" t="s">
        <v>196</v>
      </c>
      <c r="D160" s="21" t="s">
        <v>906</v>
      </c>
      <c r="E160" s="13">
        <v>43000.214733796296</v>
      </c>
      <c r="F160" s="13">
        <v>43000.21597222222</v>
      </c>
      <c r="G160" s="7">
        <v>77</v>
      </c>
      <c r="H160" s="21" t="s">
        <v>906</v>
      </c>
      <c r="I160" s="13">
        <v>43000.216666666667</v>
      </c>
      <c r="J160" s="7">
        <v>0</v>
      </c>
      <c r="K160" s="89" t="str">
        <f t="shared" si="60"/>
        <v>4039/4040</v>
      </c>
      <c r="L160" s="185" t="str">
        <f>VLOOKUP(A160,'Trips&amp;Operators'!$C$1:$G$99911,5,FALSE)</f>
        <v>ACKERMAN JARED</v>
      </c>
      <c r="M160" s="6">
        <f t="shared" si="61"/>
        <v>6.944444467080757E-4</v>
      </c>
      <c r="N160" s="7"/>
      <c r="O160" s="7"/>
      <c r="P160" s="7">
        <f>24*60*SUM($M160:$M160)</f>
        <v>1.000000003259629</v>
      </c>
      <c r="Q160" s="22"/>
      <c r="R160" s="174" t="s">
        <v>978</v>
      </c>
      <c r="S160" s="221">
        <f t="shared" si="75"/>
        <v>0</v>
      </c>
      <c r="T160" s="174" t="str">
        <f t="shared" si="62"/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216" t="str">
        <f t="shared" si="63"/>
        <v>https://d0f6bd738d7f1b3e5a7ca70fe4ff75f0.us-east-1.aws.found.io/app/kibana#/discover/Steve-Slow-Train-Analysis-(2080s-and-2083s)?_g=(refreshInterval:(display:Off,pause:!f,section:0,value:0),time:(from:'2017-09-22T04:09:13-0600',mode:absolute,to:'2017-09-22T06:12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0" s="204" t="str">
        <f>IF(AA160&lt;VLOOKUP(AG160,Variables!$AC$3:$AD$8,2,FALSE),"Y","N")</f>
        <v>Y</v>
      </c>
      <c r="X160" s="204">
        <f t="shared" si="78"/>
        <v>554</v>
      </c>
      <c r="Y160" s="204">
        <f t="shared" si="58"/>
        <v>5.8696000000000002</v>
      </c>
      <c r="Z160" s="204">
        <f t="shared" si="59"/>
        <v>5.8696000000000002</v>
      </c>
      <c r="AA160" s="204">
        <f t="shared" si="65"/>
        <v>0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66"/>
        <v>800</v>
      </c>
      <c r="AE160" s="77" t="str">
        <f t="shared" si="67"/>
        <v>aws s3 cp s3://rtdc.mdm.uploadarchive.raw/RTDC4039/ "%USERPROFILE%\AppData\Local\Temp\OnboardLogs"\RTDC4039\2017-09-22 --exclude "*" --recursive --include "*20170922*" &amp; "%USERPROFILE%\Documents\GitHub\mrs-test-scripts\Headless Mode &amp; Sideloading\WalkAndUnGZ.bat" "%USERPROFILE%\AppData\Local\Temp\OnboardLogs"\RTDC4039\2017-09-22 &amp; 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</v>
      </c>
      <c r="AF160" s="74" t="str">
        <f t="shared" si="68"/>
        <v>"C:\Program Files (x86)\AstroGrep\AstroGrep.exe" /e /r /s /spath="%USERPROFILE%\AppData\Local\Temp\OnboardLogs" /stypes="app*4039*20170922*" /stext=" 11:.+((SYSTEM_STATE.+slice.+state.+changed )|(ment ac)|(multiple cpu faults)|(system.+state.+changed )|(\[timeout)|(PRM\|1\|D)|(kpr)|(kdp)|(train st.+moving)|(\|lc)|(penalty))"</v>
      </c>
      <c r="AG160" s="182" t="str">
        <f t="shared" si="69"/>
        <v>NW</v>
      </c>
      <c r="AH160" s="78" t="str">
        <f t="shared" si="70"/>
        <v>"%USERPROFILE%\Documents\GitHub\eaglep3\Utilities\RefineRTDCRunTimes.py" --tripid 800-22 --locoid 4039 --swversion DE.1.0.9.0 --startMP 300:58696 --initTime 2017-09-22T05:09:13 --startdatetime 2017-09-22T05:11:00 --delay 77 --endMP 300:58696 --enddatetime 2017-09-22T05:12:00 --enforcementcount 0 &gt;&gt;c:\users\stu\Documents\GitHub\eaglep3-reporting\EC\2017-09-22-refined-times.txt</v>
      </c>
      <c r="AI160" s="96" t="str">
        <f t="shared" si="71"/>
        <v>echo {"issue":{"subject":"Reverser handle not in forward","project_id":79,"tracker_id":40,"status_id":1,"priority_id":2,"assigned_to_id":338,"start_date":"2017-09-22","description":"","custom_fields":[{"id":1,"name":"Subdivision","value":"NW"},{"id":4,"name":"Milepost","value":"5.8696"},{"id":17,"name":"Train ID","value":"800-22"},{"id":16,"name":"Locomotive ID","value":"4039"},{"id":130,"name":"Impact","value":""},{"id":150,"name":"Time of Event (Mountain Time)","value":"05:12:00"},{"id":151,"name":"Denver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72"/>
        <v>start /low /b %USERPROFILE%\Documents\GitHub\eaglep3\Utilities\DownloadLogsFromS3.py --loco 4039 --day 2017-09-22</v>
      </c>
      <c r="AN160" s="151" t="str">
        <f t="shared" si="73"/>
        <v>echo {"issue":{"subject":"Reverser handle not in forward","project_id":30,"tracker_id":4,"status_id":1,"priority_id":1,"assigned_to_id":10,"start_date":"2017-09-22","description":"","custom_fields":[{"id":30,"name":"Category","value":"Issue"},{"id":3,"name":"Functional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11:12:00"},{"id":29,"name":"Sharepoint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74"/>
        <v>https://d0f6bd738d7f1b3e5a7ca70fe4ff75f0.us-east-1.aws.found.io/app/kibana#/discover/Steve-Slow-Train-Analysis-(2080s-and-2083s)?_g=(refreshInterval:(display:Off,pause:!f,section:0,value:0),time:(from:'2017-09-22T04:09:13-0600',mode:absolute,to:'2017-09-22T06:12:00-0600'))&amp;_a=(columns:!('Message%20ID',Summary),filters:!(),index:'emp_*',interval:auto,query:(query_string:(analyze_wildcard:!t,query:'Message%5C+ID:(*)+AND+%22rtdc.l.rtdc.4039%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576</v>
      </c>
      <c r="B161" s="7">
        <v>4040</v>
      </c>
      <c r="C161" s="21" t="s">
        <v>196</v>
      </c>
      <c r="D161" s="21" t="s">
        <v>906</v>
      </c>
      <c r="E161" s="13">
        <v>43000.214733796296</v>
      </c>
      <c r="F161" s="13">
        <v>43000.235567129632</v>
      </c>
      <c r="G161" s="7">
        <v>77</v>
      </c>
      <c r="H161" s="21" t="s">
        <v>906</v>
      </c>
      <c r="I161" s="13">
        <v>43000.245925925927</v>
      </c>
      <c r="J161" s="7">
        <v>0</v>
      </c>
      <c r="K161" s="89" t="str">
        <f t="shared" si="60"/>
        <v>4039/4040</v>
      </c>
      <c r="L161" s="185" t="str">
        <f>VLOOKUP(A161,'Trips&amp;Operators'!$C$1:$G$99911,5,FALSE)</f>
        <v>ACKERMAN JARED</v>
      </c>
      <c r="M161" s="6">
        <f t="shared" si="61"/>
        <v>1.0358796294895001E-2</v>
      </c>
      <c r="N161" s="7">
        <f t="shared" ref="N161:N192" si="79">24*60*SUM($M161:$M161)</f>
        <v>14.916666664648801</v>
      </c>
      <c r="O161" s="7"/>
      <c r="P161" s="7"/>
      <c r="Q161" s="22"/>
      <c r="R161" s="174"/>
      <c r="S161" s="221">
        <f t="shared" si="75"/>
        <v>1</v>
      </c>
      <c r="T161" s="174" t="str">
        <f t="shared" si="62"/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63"/>
        <v>https://d0f6bd738d7f1b3e5a7ca70fe4ff75f0.us-east-1.aws.found.io/app/kibana#/discover/Steve-Slow-Train-Analysis-(2080s-and-2083s)?_g=(refreshInterval:(display:Off,pause:!f,section:0,value:0),time:(from:'2017-09-22T04:09:13-0600',mode:absolute,to:'2017-09-22T06:54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1" s="204" t="str">
        <f>IF(AA161&lt;VLOOKUP(AG161,Variables!$AC$3:$AD$8,2,FALSE),"Y","N")</f>
        <v>N</v>
      </c>
      <c r="X161" s="204">
        <f t="shared" si="78"/>
        <v>1</v>
      </c>
      <c r="Y161" s="204">
        <v>9.8500000000000004E-2</v>
      </c>
      <c r="Z161" s="204">
        <v>5.8971</v>
      </c>
      <c r="AA161" s="204">
        <f t="shared" si="65"/>
        <v>5.7986000000000004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66"/>
        <v>801</v>
      </c>
      <c r="AE161" s="77" t="str">
        <f t="shared" si="67"/>
        <v>aws s3 cp s3://rtdc.mdm.uploadarchive.raw/RTDC4040/ "%USERPROFILE%\AppData\Local\Temp\OnboardLogs"\RTDC4040\2017-09-22 --exclude "*" --recursive --include "*20170922*" &amp; "%USERPROFILE%\Documents\GitHub\mrs-test-scripts\Headless Mode &amp; Sideloading\WalkAndUnGZ.bat" "%USERPROFILE%\AppData\Local\Temp\OnboardLogs"\RTDC4040\2017-09-22 &amp; 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</v>
      </c>
      <c r="AF161" s="74" t="str">
        <f t="shared" si="68"/>
        <v>"C:\Program Files (x86)\AstroGrep\AstroGrep.exe" /e /r /s /spath="%USERPROFILE%\AppData\Local\Temp\OnboardLogs" /stypes="app*4040*20170922*" /stext=" 11:.+((SYSTEM_STATE.+slice.+state.+changed )|(ment ac)|(multiple cpu faults)|(system.+state.+changed )|(\[timeout)|(PRM\|1\|D)|(kpr)|(kdp)|(train st.+moving)|(\|lc)|(penalty))"</v>
      </c>
      <c r="AG161" s="182" t="str">
        <f t="shared" si="69"/>
        <v>NW</v>
      </c>
      <c r="AH161" s="78" t="str">
        <f t="shared" ref="AH161" si="80">refinertdcruntimes&amp;" --tripid "&amp;A161&amp;" --locoid "&amp;B161&amp;" --swversion "&amp;C161&amp;" --startMP "&amp;D161&amp;" --initTime "&amp;TEXT(E161,"yyyy-mm-ddTHH:MM:SS")&amp;" --startdatetime "&amp;TEXT(F161,"yyyy-mm-ddTHH:MM:SS")&amp;" --delay "&amp;G161&amp;" --endMP "&amp;H161&amp;" --enddatetime "&amp;TEXT(I161,"yyyy-mm-ddTHH:MM:SS")&amp;" --enforcementcount "&amp;J161&amp;IF(outputrefinedruntimes," &gt;&gt;"&amp;RefinedRTDCRunTimesOutputFile,"")</f>
        <v>"%USERPROFILE%\Documents\GitHub\eaglep3\Utilities\RefineRTDCRunTimes.py" --tripid 801-22 --locoid 4040 --swversion DE.1.0.9.0 --startMP 300:58696 --initTime 2017-09-22T05:09:13 --startdatetime 2017-09-22T05:39:13 --delay 77 --endMP 300:58696 --enddatetime 2017-09-22T05:54:08 --enforcementcount 0 &gt;&gt;c:\users\stu\Documents\GitHub\eaglep3-reporting\EC\2017-09-22-refined-times.txt</v>
      </c>
      <c r="AI161" s="96" t="str">
        <f t="shared" ref="AI161" si="81">"echo {""issue"":{""subject"":"""&amp;R161&amp;""",""project_id"":79,""tracker_id"":40,""status_id"":"&amp;redmine_status&amp;",""priority_id"":"&amp;redmine_priority&amp;",""assigned_to_id"":"&amp;redmine_assignee&amp;",""start_date"":"""&amp;TEXT(I161,"YYYY-mm-dd")&amp;""",""description"":"""&amp;AJ161&amp;""",""custom_fields"":[{""id"":1,""name"":""Subdivision"",""value"":"""&amp;AG161&amp;"""},{""id"":4,""name"":""Milepost"",""value"":"""&amp;Z161&amp;"""},{""id"":17,""name"":""Train ID"",""value"":"""&amp;A161&amp;"""},{""id"":16,""name"":""Locomotive ID"",""value"":"""&amp;B161&amp;"""},{""id"":130,""name"":""Impact"",""value"":"""&amp;AK161&amp;"""},{""id"":150,""name"":""Time of Event (Mountain Time)"",""value"":"""&amp;TEXT(I161,"hh:mm:ss")&amp;"""},{""id"":151,""name"":""Denver Issue ID"",""value"":"""&amp;"""},{""id"":178,""name"":""Operational Impact"",""value"":"""&amp;redmine_op_impact&amp;"""},{""id"":179,""name"":""Denver Segment Assigned"",""value"":"""&amp;AL161&amp;"""}]}}"&amp;"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{"issue":{"subject":"","project_id":79,"tracker_id":40,"status_id":1,"priority_id":2,"assigned_to_id":338,"start_date":"2017-09-22","description":"","custom_fields":[{"id":1,"name":"Subdivision","value":"NW"},{"id":4,"name":"Milepost","value":"5.8971"},{"id":17,"name":"Train ID","value":"801-22"},{"id":16,"name":"Locomotive ID","value":"4040"},{"id":130,"name":"Impact","value":""},{"id":150,"name":"Time of Event (Mountain Time)","value":"05:54:08"},{"id":151,"name":"Denver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ref="AM161" si="82">"start /low /b "&amp;dls3logs&amp;" --loco "&amp;B161&amp;" --day "&amp;TEXT(F161,"YYYY-MM-DD")</f>
        <v>start /low /b %USERPROFILE%\Documents\GitHub\eaglep3\Utilities\DownloadLogsFromS3.py --loco 4040 --day 2017-09-22</v>
      </c>
      <c r="AN161" s="151" t="str">
        <f t="shared" ref="AN161" si="83">"echo {""issue"":{""subject"":"""&amp;R161&amp;""",""project_id"":30,""tracker_id"":4,""status_id"":"&amp;redmine_status_wcr&amp;",""priority_id"":"&amp;redmine_priority_wcr&amp;",""assigned_to_id"":"&amp;redmine_assignee_wcr&amp;",""start_date"":"""&amp;TEXT(I161-utc_offset/24,"YYYY-mm-dd")&amp;""",""description"":"""&amp;AJ161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11:54:08"},{"id":29,"name":"Sharepoint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ref="AO161" si="84"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Message%20ID',Summary),filters:!(),index:'emp_*',interval:auto,query:"&amp;"(query_string:(analyze_wildcard:!t,query:'Message%5C+ID:(*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-09-22T04:09:13-0600',mode:absolute,to:'2017-09-22T06:54:08-0600'))&amp;_a=(columns:!('Message%20ID',Summary),filters:!(),index:'emp_*',interval:auto,query:(query_string:(analyze_wildcard:!t,query:'Message%5C+ID:(*)+AND+%22rtdc.l.rtdc.4040%22')),sort:!(Time.ISO8601,asc))</v>
      </c>
    </row>
    <row r="162" spans="1:91" s="20" customFormat="1" x14ac:dyDescent="0.25">
      <c r="A162" s="32" t="s">
        <v>649</v>
      </c>
      <c r="B162" s="7">
        <v>4039</v>
      </c>
      <c r="C162" s="21" t="s">
        <v>196</v>
      </c>
      <c r="D162" s="21" t="s">
        <v>560</v>
      </c>
      <c r="E162" s="13">
        <v>43000.247314814813</v>
      </c>
      <c r="F162" s="13">
        <v>43000.259097222224</v>
      </c>
      <c r="G162" s="7">
        <v>59</v>
      </c>
      <c r="H162" s="21" t="s">
        <v>907</v>
      </c>
      <c r="I162" s="13">
        <v>43000.267812500002</v>
      </c>
      <c r="J162" s="7">
        <v>0</v>
      </c>
      <c r="K162" s="89" t="str">
        <f t="shared" si="60"/>
        <v>4039/4040</v>
      </c>
      <c r="L162" s="185" t="str">
        <f>VLOOKUP(A162,'Trips&amp;Operators'!$C$1:$G$99911,5,FALSE)</f>
        <v>ACKERMAN JARED</v>
      </c>
      <c r="M162" s="6">
        <f t="shared" si="61"/>
        <v>8.7152777778101154E-3</v>
      </c>
      <c r="N162" s="7">
        <f t="shared" si="79"/>
        <v>12.550000000046566</v>
      </c>
      <c r="O162" s="7"/>
      <c r="P162" s="7"/>
      <c r="Q162" s="22"/>
      <c r="R162" s="174"/>
      <c r="S162" s="221">
        <f t="shared" si="75"/>
        <v>1</v>
      </c>
      <c r="T162" s="174" t="str">
        <f t="shared" si="62"/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63"/>
        <v>https://d0f6bd738d7f1b3e5a7ca70fe4ff75f0.us-east-1.aws.found.io/app/kibana#/discover/Steve-Slow-Train-Analysis-(2080s-and-2083s)?_g=(refreshInterval:(display:Off,pause:!f,section:0,value:0),time:(from:'2017-09-22T04:56:08-0600',mode:absolute,to:'2017-09-22T07:25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2" s="204" t="str">
        <f>IF(AA162&lt;VLOOKUP(AG162,Variables!$AC$3:$AD$8,2,FALSE),"Y","N")</f>
        <v>N</v>
      </c>
      <c r="X162" s="204">
        <f t="shared" si="78"/>
        <v>1</v>
      </c>
      <c r="Y162" s="204">
        <f>RIGHT(D162,LEN(D162)-4)/10000</f>
        <v>5.8704000000000001</v>
      </c>
      <c r="Z162" s="204">
        <f>RIGHT(H162,LEN(H162)-4)/10000</f>
        <v>6.6400000000000001E-2</v>
      </c>
      <c r="AA162" s="204">
        <f t="shared" si="65"/>
        <v>5.8040000000000003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66"/>
        <v>802</v>
      </c>
      <c r="AE162" s="77" t="str">
        <f t="shared" si="67"/>
        <v>aws s3 cp s3://rtdc.mdm.uploadarchive.raw/RTDC4039/ "%USERPROFILE%\AppData\Local\Temp\OnboardLogs"\RTDC4039\2017-09-22 --exclude "*" --recursive --include "*20170922*" &amp; "%USERPROFILE%\Documents\GitHub\mrs-test-scripts\Headless Mode &amp; Sideloading\WalkAndUnGZ.bat" "%USERPROFILE%\AppData\Local\Temp\OnboardLogs"\RTDC4039\2017-09-22 &amp; 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</v>
      </c>
      <c r="AF162" s="74" t="str">
        <f t="shared" si="68"/>
        <v>"C:\Program Files (x86)\AstroGrep\AstroGrep.exe" /e /r /s /spath="%USERPROFILE%\AppData\Local\Temp\OnboardLogs" /stypes="app*4039*20170922*" /stext=" 12:.+((SYSTEM_STATE.+slice.+state.+changed )|(ment ac)|(multiple cpu faults)|(system.+state.+changed )|(\[timeout)|(PRM\|1\|D)|(kpr)|(kdp)|(train st.+moving)|(\|lc)|(penalty))"</v>
      </c>
      <c r="AG162" s="182" t="str">
        <f t="shared" si="69"/>
        <v>NW</v>
      </c>
      <c r="AH162" s="78" t="str">
        <f t="shared" si="70"/>
        <v>"%USERPROFILE%\Documents\GitHub\eaglep3\Utilities\RefineRTDCRunTimes.py" --tripid 802-22 --locoid 4039 --swversion DE.1.0.9.0 --startMP 300:58704 --initTime 2017-09-22T05:56:08 --startdatetime 2017-09-22T06:13:06 --delay 59 --endMP 204:664 --enddatetime 2017-09-22T06:25:39 --enforcementcount 0 &gt;&gt;c:\users\stu\Documents\GitHub\eaglep3-reporting\EC\2017-09-22-refined-times.txt</v>
      </c>
      <c r="AI162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{"issue":{"subject":"","project_id":79,"tracker_id":40,"status_id":1,"priority_id":2,"assigned_to_id":338,"start_date":"2017-09-22","description":"","custom_fields":[{"id":1,"name":"Subdivision","value":"NW"},{"id":4,"name":"Milepost","value":"0.0664"},{"id":17,"name":"Train ID","value":"802-22"},{"id":16,"name":"Locomotive ID","value":"4039"},{"id":130,"name":"Impact","value":""},{"id":150,"name":"Time of Event (Mountain Time)","value":"06:25:39"},{"id":151,"name":"Denver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72"/>
        <v>start /low /b %USERPROFILE%\Documents\GitHub\eaglep3\Utilities\DownloadLogsFromS3.py --loco 4039 --day 2017-09-22</v>
      </c>
      <c r="AN162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12:25:39"},{"id":29,"name":"Sharepoint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74"/>
        <v>https://d0f6bd738d7f1b3e5a7ca70fe4ff75f0.us-east-1.aws.found.io/app/kibana#/discover/Steve-Slow-Train-Analysis-(2080s-and-2083s)?_g=(refreshInterval:(display:Off,pause:!f,section:0,value:0),time:(from:'2017-09-22T04:56:08-0600',mode:absolute,to:'2017-09-22T07:25:39-0600'))&amp;_a=(columns:!('Message%20ID',Summary),filters:!(),index:'emp_*',interval:auto,query:(query_string:(analyze_wildcard:!t,query:'Message%5C+ID:(*)+AND+%22rtdc.l.rtdc.4039%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651</v>
      </c>
      <c r="B163" s="7">
        <v>4042</v>
      </c>
      <c r="C163" s="21" t="s">
        <v>196</v>
      </c>
      <c r="D163" s="21" t="s">
        <v>572</v>
      </c>
      <c r="E163" s="13">
        <v>43000.25340277778</v>
      </c>
      <c r="F163" s="13">
        <v>43000.256412037037</v>
      </c>
      <c r="G163" s="7">
        <v>65</v>
      </c>
      <c r="H163" s="21" t="s">
        <v>908</v>
      </c>
      <c r="I163" s="13">
        <v>43000.266759259262</v>
      </c>
      <c r="J163" s="7">
        <v>0</v>
      </c>
      <c r="K163" s="89" t="str">
        <f t="shared" si="60"/>
        <v>4041/4042</v>
      </c>
      <c r="L163" s="185" t="str">
        <f>VLOOKUP(A163,'Trips&amp;Operators'!$C$1:$G$99911,5,FALSE)</f>
        <v>LALONDE GREGORY</v>
      </c>
      <c r="M163" s="6">
        <f t="shared" si="61"/>
        <v>1.0347222225391306E-2</v>
      </c>
      <c r="N163" s="7">
        <f t="shared" si="79"/>
        <v>14.900000004563481</v>
      </c>
      <c r="O163" s="7"/>
      <c r="P163" s="7"/>
      <c r="Q163" s="22"/>
      <c r="R163" s="174"/>
      <c r="S163" s="221">
        <f t="shared" si="75"/>
        <v>1</v>
      </c>
      <c r="T163" s="174" t="str">
        <f t="shared" si="62"/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63"/>
        <v>https://d0f6bd738d7f1b3e5a7ca70fe4ff75f0.us-east-1.aws.found.io/app/kibana#/discover/Steve-Slow-Train-Analysis-(2080s-and-2083s)?_g=(refreshInterval:(display:Off,pause:!f,section:0,value:0),time:(from:'2017-09-22T05:04:54-0600',mode:absolute,to:'2017-09-22T07:24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3" s="204" t="str">
        <f>IF(AA163&lt;VLOOKUP(AG163,Variables!$AC$3:$AD$8,2,FALSE),"Y","N")</f>
        <v>N</v>
      </c>
      <c r="X163" s="204">
        <f t="shared" si="78"/>
        <v>1</v>
      </c>
      <c r="Y163" s="204">
        <f>RIGHT(D163,LEN(D163)-4)/10000</f>
        <v>9.8500000000000004E-2</v>
      </c>
      <c r="Z163" s="204">
        <f>RIGHT(H163,LEN(H163)-4)/10000</f>
        <v>5.8971</v>
      </c>
      <c r="AA163" s="204">
        <f t="shared" si="65"/>
        <v>5.7986000000000004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66"/>
        <v>803</v>
      </c>
      <c r="AE163" s="77" t="str">
        <f t="shared" si="67"/>
        <v>aws s3 cp s3://rtdc.mdm.uploadarchive.raw/RTDC4042/ "%USERPROFILE%\AppData\Local\Temp\OnboardLogs"\RTDC4042\2017-09-22 --exclude "*" --recursive --include "*20170922*" &amp; "%USERPROFILE%\Documents\GitHub\mrs-test-scripts\Headless Mode &amp; Sideloading\WalkAndUnGZ.bat" "%USERPROFILE%\AppData\Local\Temp\OnboardLogs"\RTDC4042\2017-09-22 &amp; aws s3 cp s3://rtdc.mdm.uploadarchive.raw/RTDC4042/ "%USERPROFILE%\AppData\Local\Temp\OnboardLogs"\RTDC4042\2017-09-23 --exclude "*" --recursive --include "*20170923*" &amp; "%USERPROFILE%\Documents\GitHub\mrs-test-scripts\Headless Mode &amp; Sideloading\WalkAndUnGZ.bat" "%USERPROFILE%\AppData\Local\Temp\OnboardLogs"\RTDC4042\2017-09-23</v>
      </c>
      <c r="AF163" s="74" t="str">
        <f t="shared" si="68"/>
        <v>"C:\Program Files (x86)\AstroGrep\AstroGrep.exe" /e /r /s /spath="%USERPROFILE%\AppData\Local\Temp\OnboardLogs" /stypes="app*4042*20170922*" /stext=" 12:.+((SYSTEM_STATE.+slice.+state.+changed )|(ment ac)|(multiple cpu faults)|(system.+state.+changed )|(\[timeout)|(PRM\|1\|D)|(kpr)|(kdp)|(train st.+moving)|(\|lc)|(penalty))"</v>
      </c>
      <c r="AG163" s="182" t="str">
        <f t="shared" si="69"/>
        <v>NW</v>
      </c>
      <c r="AH163" s="78" t="str">
        <f t="shared" si="70"/>
        <v>"%USERPROFILE%\Documents\GitHub\eaglep3\Utilities\RefineRTDCRunTimes.py" --tripid 803-22 --locoid 4042 --swversion DE.1.0.9.0 --startMP 204:985 --initTime 2017-09-22T06:04:54 --startdatetime 2017-09-22T06:09:14 --delay 65 --endMP 300:58971 --enddatetime 2017-09-22T06:24:08 --enforcementcount 0 &gt;&gt;c:\users\stu\Documents\GitHub\eaglep3-reporting\EC\2017-09-22-refined-times.txt</v>
      </c>
      <c r="AI163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{"issue":{"subject":"","project_id":79,"tracker_id":40,"status_id":1,"priority_id":2,"assigned_to_id":338,"start_date":"2017-09-22","description":"","custom_fields":[{"id":1,"name":"Subdivision","value":"NW"},{"id":4,"name":"Milepost","value":"5.8971"},{"id":17,"name":"Train ID","value":"803-22"},{"id":16,"name":"Locomotive ID","value":"4042"},{"id":130,"name":"Impact","value":""},{"id":150,"name":"Time of Event (Mountain Time)","value":"06:24:08"},{"id":151,"name":"Denver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72"/>
        <v>start /low /b %USERPROFILE%\Documents\GitHub\eaglep3\Utilities\DownloadLogsFromS3.py --loco 4042 --day 2017-09-22</v>
      </c>
      <c r="AN163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12:24:08"},{"id":29,"name":"Sharepoint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74"/>
        <v>https://d0f6bd738d7f1b3e5a7ca70fe4ff75f0.us-east-1.aws.found.io/app/kibana#/discover/Steve-Slow-Train-Analysis-(2080s-and-2083s)?_g=(refreshInterval:(display:Off,pause:!f,section:0,value:0),time:(from:'2017-09-22T05:04:54-0600',mode:absolute,to:'2017-09-22T07:24:08-0600'))&amp;_a=(columns:!('Message%20ID',Summary),filters:!(),index:'emp_*',interval:auto,query:(query_string:(analyze_wildcard:!t,query:'Message%5C+ID:(*)+AND+%22rtdc.l.rtdc.4042%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658</v>
      </c>
      <c r="B164" s="7">
        <v>4041</v>
      </c>
      <c r="C164" s="21" t="s">
        <v>196</v>
      </c>
      <c r="D164" s="21" t="s">
        <v>909</v>
      </c>
      <c r="E164" s="13">
        <v>43000.267847222225</v>
      </c>
      <c r="F164" s="13">
        <v>43000.277604166666</v>
      </c>
      <c r="G164" s="7">
        <v>54</v>
      </c>
      <c r="H164" s="21" t="s">
        <v>910</v>
      </c>
      <c r="I164" s="13">
        <v>43000.287928240738</v>
      </c>
      <c r="J164" s="7">
        <v>0</v>
      </c>
      <c r="K164" s="89" t="str">
        <f t="shared" si="60"/>
        <v>4041/4042</v>
      </c>
      <c r="L164" s="185" t="str">
        <f>VLOOKUP(A164,'Trips&amp;Operators'!$C$1:$G$99911,5,FALSE)</f>
        <v>LALONDE GREGORY</v>
      </c>
      <c r="M164" s="6">
        <f t="shared" si="61"/>
        <v>1.0324074071832001E-2</v>
      </c>
      <c r="N164" s="7">
        <f t="shared" si="79"/>
        <v>14.866666663438082</v>
      </c>
      <c r="O164" s="7"/>
      <c r="P164" s="7"/>
      <c r="Q164" s="22"/>
      <c r="R164" s="174"/>
      <c r="S164" s="221">
        <f t="shared" si="75"/>
        <v>1</v>
      </c>
      <c r="T164" s="174" t="str">
        <f t="shared" si="62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63"/>
        <v>https://d0f6bd738d7f1b3e5a7ca70fe4ff75f0.us-east-1.aws.found.io/app/kibana#/discover/Steve-Slow-Train-Analysis-(2080s-and-2083s)?_g=(refreshInterval:(display:Off,pause:!f,section:0,value:0),time:(from:'2017-09-22T05:25:42-0600',mode:absolute,to:'2017-09-22T07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4" s="204" t="str">
        <f>IF(AA164&lt;VLOOKUP(AG164,Variables!$AC$3:$AD$8,2,FALSE),"Y","N")</f>
        <v>N</v>
      </c>
      <c r="X164" s="204">
        <f t="shared" si="78"/>
        <v>1</v>
      </c>
      <c r="Y164" s="204">
        <f>RIGHT(D164,LEN(D164)-4)/10000</f>
        <v>5.8658000000000001</v>
      </c>
      <c r="Z164" s="204">
        <f>RIGHT(H164,LEN(H164)-4)/10000</f>
        <v>6.9400000000000003E-2</v>
      </c>
      <c r="AA164" s="204">
        <f t="shared" si="65"/>
        <v>5.7964000000000002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66"/>
        <v>804</v>
      </c>
      <c r="AE164" s="77" t="str">
        <f t="shared" si="67"/>
        <v>aws s3 cp s3://rtdc.mdm.uploadarchive.raw/RTDC4041/ "%USERPROFILE%\AppData\Local\Temp\OnboardLogs"\RTDC4041\2017-09-22 --exclude "*" --recursive --include "*20170922*" &amp; "%USERPROFILE%\Documents\GitHub\mrs-test-scripts\Headless Mode &amp; Sideloading\WalkAndUnGZ.bat" "%USERPROFILE%\AppData\Local\Temp\OnboardLogs"\RTDC4041\2017-09-22 &amp; aws s3 cp s3://rtdc.mdm.uploadarchive.raw/RTDC4041/ "%USERPROFILE%\AppData\Local\Temp\OnboardLogs"\RTDC4041\2017-09-23 --exclude "*" --recursive --include "*20170923*" &amp; "%USERPROFILE%\Documents\GitHub\mrs-test-scripts\Headless Mode &amp; Sideloading\WalkAndUnGZ.bat" "%USERPROFILE%\AppData\Local\Temp\OnboardLogs"\RTDC4041\2017-09-23</v>
      </c>
      <c r="AF164" s="74" t="str">
        <f t="shared" si="68"/>
        <v>"C:\Program Files (x86)\AstroGrep\AstroGrep.exe" /e /r /s /spath="%USERPROFILE%\AppData\Local\Temp\OnboardLogs" /stypes="app*4041*20170922*" /stext=" 12:.+((SYSTEM_STATE.+slice.+state.+changed )|(ment ac)|(multiple cpu faults)|(system.+state.+changed )|(\[timeout)|(PRM\|1\|D)|(kpr)|(kdp)|(train st.+moving)|(\|lc)|(penalty))"</v>
      </c>
      <c r="AG164" s="182" t="str">
        <f t="shared" si="69"/>
        <v>NW</v>
      </c>
      <c r="AH164" s="78" t="str">
        <f t="shared" si="70"/>
        <v>"%USERPROFILE%\Documents\GitHub\eaglep3\Utilities\RefineRTDCRunTimes.py" --tripid 804-22 --locoid 4041 --swversion DE.1.0.9.0 --startMP 300:58658 --initTime 2017-09-22T06:25:42 --startdatetime 2017-09-22T06:39:45 --delay 54 --endMP 204:694 --enddatetime 2017-09-22T06:54:37 --enforcementcount 0 &gt;&gt;c:\users\stu\Documents\GitHub\eaglep3-reporting\EC\2017-09-22-refined-times.txt</v>
      </c>
      <c r="AI164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{"issue":{"subject":"","project_id":79,"tracker_id":40,"status_id":1,"priority_id":2,"assigned_to_id":338,"start_date":"2017-09-22","description":"","custom_fields":[{"id":1,"name":"Subdivision","value":"NW"},{"id":4,"name":"Milepost","value":"0.0694"},{"id":17,"name":"Train ID","value":"804-22"},{"id":16,"name":"Locomotive ID","value":"4041"},{"id":130,"name":"Impact","value":""},{"id":150,"name":"Time of Event (Mountain Time)","value":"06:54:37"},{"id":151,"name":"Denver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72"/>
        <v>start /low /b %USERPROFILE%\Documents\GitHub\eaglep3\Utilities\DownloadLogsFromS3.py --loco 4041 --day 2017-09-22</v>
      </c>
      <c r="AN164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12:54:37"},{"id":29,"name":"Sharepoint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74"/>
        <v>https://d0f6bd738d7f1b3e5a7ca70fe4ff75f0.us-east-1.aws.found.io/app/kibana#/discover/Steve-Slow-Train-Analysis-(2080s-and-2083s)?_g=(refreshInterval:(display:Off,pause:!f,section:0,value:0),time:(from:'2017-09-22T05:25:42-0600',mode:absolute,to:'2017-09-22T07:54:37-0600'))&amp;_a=(columns:!('Message%20ID',Summary),filters:!(),index:'emp_*',interval:auto,query:(query_string:(analyze_wildcard:!t,query:'Message%5C+ID:(*)+AND+%22rtdc.l.rtdc.4041%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659</v>
      </c>
      <c r="B165" s="7">
        <v>4040</v>
      </c>
      <c r="C165" s="21" t="s">
        <v>196</v>
      </c>
      <c r="D165" s="21" t="s">
        <v>909</v>
      </c>
      <c r="E165" s="13">
        <v>43000.267847222225</v>
      </c>
      <c r="F165" s="13">
        <v>43000.277233796296</v>
      </c>
      <c r="G165" s="7">
        <v>54</v>
      </c>
      <c r="H165" s="21" t="s">
        <v>910</v>
      </c>
      <c r="I165" s="13">
        <v>43000.287881944445</v>
      </c>
      <c r="J165" s="7">
        <v>0</v>
      </c>
      <c r="K165" s="89" t="str">
        <f t="shared" si="60"/>
        <v>4039/4040</v>
      </c>
      <c r="L165" s="185" t="str">
        <f>VLOOKUP(A165,'Trips&amp;Operators'!$C$1:$G$99911,5,FALSE)</f>
        <v>ACKERMAN JARED</v>
      </c>
      <c r="M165" s="6">
        <f t="shared" si="61"/>
        <v>1.0648148148902692E-2</v>
      </c>
      <c r="N165" s="7">
        <f t="shared" si="79"/>
        <v>15.333333334419876</v>
      </c>
      <c r="O165" s="7"/>
      <c r="P165" s="7"/>
      <c r="Q165" s="22"/>
      <c r="R165" s="174"/>
      <c r="S165" s="221">
        <f t="shared" si="75"/>
        <v>1</v>
      </c>
      <c r="T165" s="174" t="str">
        <f t="shared" si="62"/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63"/>
        <v>https://d0f6bd738d7f1b3e5a7ca70fe4ff75f0.us-east-1.aws.found.io/app/kibana#/discover/Steve-Slow-Train-Analysis-(2080s-and-2083s)?_g=(refreshInterval:(display:Off,pause:!f,section:0,value:0),time:(from:'2017-09-22T05:25:42-0600',mode:absolute,to:'2017-09-22T07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5" s="204" t="str">
        <f>IF(AA165&lt;VLOOKUP(AG165,Variables!$AC$3:$AD$8,2,FALSE),"Y","N")</f>
        <v>N</v>
      </c>
      <c r="X165" s="204">
        <f t="shared" si="78"/>
        <v>1</v>
      </c>
      <c r="Y165" s="204">
        <v>9.8500000000000004E-2</v>
      </c>
      <c r="Z165" s="204">
        <v>5.8971</v>
      </c>
      <c r="AA165" s="204">
        <f t="shared" si="65"/>
        <v>5.7986000000000004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66"/>
        <v>805</v>
      </c>
      <c r="AE165" s="77" t="str">
        <f t="shared" si="67"/>
        <v>aws s3 cp s3://rtdc.mdm.uploadarchive.raw/RTDC4040/ "%USERPROFILE%\AppData\Local\Temp\OnboardLogs"\RTDC4040\2017-09-22 --exclude "*" --recursive --include "*20170922*" &amp; "%USERPROFILE%\Documents\GitHub\mrs-test-scripts\Headless Mode &amp; Sideloading\WalkAndUnGZ.bat" "%USERPROFILE%\AppData\Local\Temp\OnboardLogs"\RTDC4040\2017-09-22 &amp; 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</v>
      </c>
      <c r="AF165" s="74" t="str">
        <f t="shared" si="68"/>
        <v>"C:\Program Files (x86)\AstroGrep\AstroGrep.exe" /e /r /s /spath="%USERPROFILE%\AppData\Local\Temp\OnboardLogs" /stypes="app*4040*20170922*" /stext=" 12:.+((SYSTEM_STATE.+slice.+state.+changed )|(ment ac)|(multiple cpu faults)|(system.+state.+changed )|(\[timeout)|(PRM\|1\|D)|(kpr)|(kdp)|(train st.+moving)|(\|lc)|(penalty))"</v>
      </c>
      <c r="AG165" s="182" t="str">
        <f t="shared" si="69"/>
        <v>NW</v>
      </c>
      <c r="AH165" s="78" t="str">
        <f t="shared" ref="AH165" si="85">refinertdcruntimes&amp;" --tripid "&amp;A165&amp;" --locoid "&amp;B165&amp;" --swversion "&amp;C165&amp;" --startMP "&amp;D165&amp;" --initTime "&amp;TEXT(E165,"yyyy-mm-ddTHH:MM:SS")&amp;" --startdatetime "&amp;TEXT(F165,"yyyy-mm-ddTHH:MM:SS")&amp;" --delay "&amp;G165&amp;" --endMP "&amp;H165&amp;" --enddatetime "&amp;TEXT(I165,"yyyy-mm-ddTHH:MM:SS")&amp;" --enforcementcount "&amp;J165&amp;IF(outputrefinedruntimes," &gt;&gt;"&amp;RefinedRTDCRunTimesOutputFile,"")</f>
        <v>"%USERPROFILE%\Documents\GitHub\eaglep3\Utilities\RefineRTDCRunTimes.py" --tripid 805-22 --locoid 4040 --swversion DE.1.0.9.0 --startMP 300:58658 --initTime 2017-09-22T06:25:42 --startdatetime 2017-09-22T06:39:13 --delay 54 --endMP 204:694 --enddatetime 2017-09-22T06:54:33 --enforcementcount 0 &gt;&gt;c:\users\stu\Documents\GitHub\eaglep3-reporting\EC\2017-09-22-refined-times.txt</v>
      </c>
      <c r="AI165" s="96" t="str">
        <f t="shared" ref="AI165" si="86">"echo {""issue"":{""subject"":"""&amp;R165&amp;""",""project_id"":79,""tracker_id"":40,""status_id"":"&amp;redmine_status&amp;",""priority_id"":"&amp;redmine_priority&amp;",""assigned_to_id"":"&amp;redmine_assignee&amp;",""start_date"":"""&amp;TEXT(I165,"YYYY-mm-dd")&amp;""",""description"":"""&amp;AJ165&amp;""",""custom_fields"":[{""id"":1,""name"":""Subdivision"",""value"":"""&amp;AG165&amp;"""},{""id"":4,""name"":""Milepost"",""value"":"""&amp;Z165&amp;"""},{""id"":17,""name"":""Train ID"",""value"":"""&amp;A165&amp;"""},{""id"":16,""name"":""Locomotive ID"",""value"":"""&amp;B165&amp;"""},{""id"":130,""name"":""Impact"",""value"":"""&amp;AK165&amp;"""},{""id"":150,""name"":""Time of Event (Mountain Time)"",""value"":"""&amp;TEXT(I165,"hh:mm:ss")&amp;"""},{""id"":151,""name"":""Denver Issue ID"",""value"":"""&amp;"""},{""id"":178,""name"":""Operational Impact"",""value"":"""&amp;redmine_op_impact&amp;"""},{""id"":179,""name"":""Denver Segment Assigned"",""value"":"""&amp;AL165&amp;"""}]}}"&amp;"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{"issue":{"subject":"","project_id":79,"tracker_id":40,"status_id":1,"priority_id":2,"assigned_to_id":338,"start_date":"2017-09-22","description":"","custom_fields":[{"id":1,"name":"Subdivision","value":"NW"},{"id":4,"name":"Milepost","value":"5.8971"},{"id":17,"name":"Train ID","value":"805-22"},{"id":16,"name":"Locomotive ID","value":"4040"},{"id":130,"name":"Impact","value":""},{"id":150,"name":"Time of Event (Mountain Time)","value":"06:54:33"},{"id":151,"name":"Denver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ref="AM165" si="87">"start /low /b "&amp;dls3logs&amp;" --loco "&amp;B165&amp;" --day "&amp;TEXT(F165,"YYYY-MM-DD")</f>
        <v>start /low /b %USERPROFILE%\Documents\GitHub\eaglep3\Utilities\DownloadLogsFromS3.py --loco 4040 --day 2017-09-22</v>
      </c>
      <c r="AN165" s="151" t="str">
        <f t="shared" ref="AN165" si="88">"echo {""issue"":{""subject"":"""&amp;R165&amp;""",""project_id"":30,""tracker_id"":4,""status_id"":"&amp;redmine_status_wcr&amp;",""priority_id"":"&amp;redmine_priority_wcr&amp;",""assigned_to_id"":"&amp;redmine_assignee_wcr&amp;",""start_date"":"""&amp;TEXT(I165-utc_offset/24,"YYYY-mm-dd")&amp;""",""description"":"""&amp;AJ165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12:54:33"},{"id":29,"name":"Sharepoint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ref="AO165" si="89"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Message%20ID',Summary),filters:!(),index:'emp_*',interval:auto,query:"&amp;"(query_string:(analyze_wildcard:!t,query:'Message%5C+ID:(*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-09-22T05:25:42-0600',mode:absolute,to:'2017-09-22T07:54:33-0600'))&amp;_a=(columns:!('Message%20ID',Summary),filters:!(),index:'emp_*',interval:auto,query:(query_string:(analyze_wildcard:!t,query:'Message%5C+ID:(*)+AND+%22rtdc.l.rtdc.4040%22')),sort:!(Time.ISO8601,asc))</v>
      </c>
    </row>
    <row r="166" spans="1:91" s="20" customFormat="1" x14ac:dyDescent="0.25">
      <c r="A166" s="32" t="s">
        <v>578</v>
      </c>
      <c r="B166" s="7">
        <v>4039</v>
      </c>
      <c r="C166" s="21" t="s">
        <v>196</v>
      </c>
      <c r="D166" s="21" t="s">
        <v>906</v>
      </c>
      <c r="E166" s="13">
        <v>43000.289560185185</v>
      </c>
      <c r="F166" s="13">
        <v>43000.300694444442</v>
      </c>
      <c r="G166" s="7">
        <v>84</v>
      </c>
      <c r="H166" s="21" t="s">
        <v>910</v>
      </c>
      <c r="I166" s="13">
        <v>43000.309374999997</v>
      </c>
      <c r="J166" s="7">
        <v>0</v>
      </c>
      <c r="K166" s="89" t="str">
        <f t="shared" si="60"/>
        <v>4039/4040</v>
      </c>
      <c r="L166" s="185" t="str">
        <f>VLOOKUP(A166,'Trips&amp;Operators'!$C$1:$G$99911,5,FALSE)</f>
        <v>ACKERMAN JARED</v>
      </c>
      <c r="M166" s="6">
        <f t="shared" si="61"/>
        <v>8.6805555547471158E-3</v>
      </c>
      <c r="N166" s="7">
        <f t="shared" si="79"/>
        <v>12.499999998835847</v>
      </c>
      <c r="O166" s="7"/>
      <c r="P166" s="7"/>
      <c r="Q166" s="22"/>
      <c r="R166" s="174"/>
      <c r="S166" s="221">
        <f t="shared" si="75"/>
        <v>1</v>
      </c>
      <c r="T166" s="174" t="str">
        <f t="shared" si="62"/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63"/>
        <v>https://d0f6bd738d7f1b3e5a7ca70fe4ff75f0.us-east-1.aws.found.io/app/kibana#/discover/Steve-Slow-Train-Analysis-(2080s-and-2083s)?_g=(refreshInterval:(display:Off,pause:!f,section:0,value:0),time:(from:'2017-09-22T05:56:58-0600',mode:absolute,to:'2017-09-22T08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6" s="204" t="str">
        <f>IF(AA166&lt;VLOOKUP(AG166,Variables!$AC$3:$AD$8,2,FALSE),"Y","N")</f>
        <v>N</v>
      </c>
      <c r="X166" s="204">
        <f t="shared" si="78"/>
        <v>1</v>
      </c>
      <c r="Y166" s="204">
        <f t="shared" ref="Y166:Y198" si="90">RIGHT(D166,LEN(D166)-4)/10000</f>
        <v>5.8696000000000002</v>
      </c>
      <c r="Z166" s="204">
        <f t="shared" ref="Z166:Z198" si="91">RIGHT(H166,LEN(H166)-4)/10000</f>
        <v>6.9400000000000003E-2</v>
      </c>
      <c r="AA166" s="204">
        <f t="shared" si="65"/>
        <v>5.8002000000000002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66"/>
        <v>806</v>
      </c>
      <c r="AE166" s="77" t="str">
        <f t="shared" si="67"/>
        <v>aws s3 cp s3://rtdc.mdm.uploadarchive.raw/RTDC4039/ "%USERPROFILE%\AppData\Local\Temp\OnboardLogs"\RTDC4039\2017-09-22 --exclude "*" --recursive --include "*20170922*" &amp; "%USERPROFILE%\Documents\GitHub\mrs-test-scripts\Headless Mode &amp; Sideloading\WalkAndUnGZ.bat" "%USERPROFILE%\AppData\Local\Temp\OnboardLogs"\RTDC4039\2017-09-22 &amp; 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</v>
      </c>
      <c r="AF166" s="74" t="str">
        <f t="shared" si="68"/>
        <v>"C:\Program Files (x86)\AstroGrep\AstroGrep.exe" /e /r /s /spath="%USERPROFILE%\AppData\Local\Temp\OnboardLogs" /stypes="app*4039*20170922*" /stext=" 13:.+((SYSTEM_STATE.+slice.+state.+changed )|(ment ac)|(multiple cpu faults)|(system.+state.+changed )|(\[timeout)|(PRM\|1\|D)|(kpr)|(kdp)|(train st.+moving)|(\|lc)|(penalty))"</v>
      </c>
      <c r="AG166" s="182" t="str">
        <f t="shared" si="69"/>
        <v>NW</v>
      </c>
      <c r="AH166" s="78" t="str">
        <f t="shared" si="70"/>
        <v>"%USERPROFILE%\Documents\GitHub\eaglep3\Utilities\RefineRTDCRunTimes.py" --tripid 806-22 --locoid 4039 --swversion DE.1.0.9.0 --startMP 300:58696 --initTime 2017-09-22T06:56:58 --startdatetime 2017-09-22T07:13:00 --delay 84 --endMP 204:694 --enddatetime 2017-09-22T07:25:30 --enforcementcount 0 &gt;&gt;c:\users\stu\Documents\GitHub\eaglep3-reporting\EC\2017-09-22-refined-times.txt</v>
      </c>
      <c r="AI166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{"issue":{"subject":"","project_id":79,"tracker_id":40,"status_id":1,"priority_id":2,"assigned_to_id":338,"start_date":"2017-09-22","description":"","custom_fields":[{"id":1,"name":"Subdivision","value":"NW"},{"id":4,"name":"Milepost","value":"0.0694"},{"id":17,"name":"Train ID","value":"806-22"},{"id":16,"name":"Locomotive ID","value":"4039"},{"id":130,"name":"Impact","value":""},{"id":150,"name":"Time of Event (Mountain Time)","value":"07:25:30"},{"id":151,"name":"Denver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72"/>
        <v>start /low /b %USERPROFILE%\Documents\GitHub\eaglep3\Utilities\DownloadLogsFromS3.py --loco 4039 --day 2017-09-22</v>
      </c>
      <c r="AN166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13:25:30"},{"id":29,"name":"Sharepoint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74"/>
        <v>https://d0f6bd738d7f1b3e5a7ca70fe4ff75f0.us-east-1.aws.found.io/app/kibana#/discover/Steve-Slow-Train-Analysis-(2080s-and-2083s)?_g=(refreshInterval:(display:Off,pause:!f,section:0,value:0),time:(from:'2017-09-22T05:56:58-0600',mode:absolute,to:'2017-09-22T08:25:30-0600'))&amp;_a=(columns:!('Message%20ID',Summary),filters:!(),index:'emp_*',interval:auto,query:(query_string:(analyze_wildcard:!t,query:'Message%5C+ID:(*)+AND+%22rtdc.l.rtdc.4039%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662</v>
      </c>
      <c r="B167" s="7">
        <v>4042</v>
      </c>
      <c r="C167" s="21" t="s">
        <v>196</v>
      </c>
      <c r="D167" s="21" t="s">
        <v>432</v>
      </c>
      <c r="E167" s="13">
        <v>43000.28943287037</v>
      </c>
      <c r="F167" s="13">
        <v>43000.298067129632</v>
      </c>
      <c r="G167" s="7">
        <v>51</v>
      </c>
      <c r="H167" s="21" t="s">
        <v>513</v>
      </c>
      <c r="I167" s="13">
        <v>43000.308113425926</v>
      </c>
      <c r="J167" s="7">
        <v>0</v>
      </c>
      <c r="K167" s="89" t="str">
        <f t="shared" si="60"/>
        <v>4041/4042</v>
      </c>
      <c r="L167" s="185" t="str">
        <f>VLOOKUP(A167,'Trips&amp;Operators'!$C$1:$G$99911,5,FALSE)</f>
        <v>LALONDE GREGORY</v>
      </c>
      <c r="M167" s="6">
        <f t="shared" si="61"/>
        <v>1.0046296294603962E-2</v>
      </c>
      <c r="N167" s="7">
        <f t="shared" si="79"/>
        <v>14.466666664229706</v>
      </c>
      <c r="O167" s="7"/>
      <c r="P167" s="7"/>
      <c r="Q167" s="22"/>
      <c r="R167" s="174"/>
      <c r="S167" s="221">
        <f t="shared" si="75"/>
        <v>1</v>
      </c>
      <c r="T167" s="174" t="str">
        <f t="shared" si="62"/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63"/>
        <v>https://d0f6bd738d7f1b3e5a7ca70fe4ff75f0.us-east-1.aws.found.io/app/kibana#/discover/Steve-Slow-Train-Analysis-(2080s-and-2083s)?_g=(refreshInterval:(display:Off,pause:!f,section:0,value:0),time:(from:'2017-09-22T05:56:47-0600',mode:absolute,to:'2017-09-22T08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7" s="204" t="str">
        <f>IF(AA167&lt;VLOOKUP(AG167,Variables!$AC$3:$AD$8,2,FALSE),"Y","N")</f>
        <v>N</v>
      </c>
      <c r="X167" s="204">
        <f t="shared" si="78"/>
        <v>1</v>
      </c>
      <c r="Y167" s="204">
        <f t="shared" si="90"/>
        <v>9.6699999999999994E-2</v>
      </c>
      <c r="Z167" s="204">
        <f t="shared" si="91"/>
        <v>5.8975</v>
      </c>
      <c r="AA167" s="204">
        <f t="shared" si="65"/>
        <v>5.8007999999999997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66"/>
        <v>807</v>
      </c>
      <c r="AE167" s="77" t="str">
        <f t="shared" si="67"/>
        <v>aws s3 cp s3://rtdc.mdm.uploadarchive.raw/RTDC4042/ "%USERPROFILE%\AppData\Local\Temp\OnboardLogs"\RTDC4042\2017-09-22 --exclude "*" --recursive --include "*20170922*" &amp; "%USERPROFILE%\Documents\GitHub\mrs-test-scripts\Headless Mode &amp; Sideloading\WalkAndUnGZ.bat" "%USERPROFILE%\AppData\Local\Temp\OnboardLogs"\RTDC4042\2017-09-22 &amp; aws s3 cp s3://rtdc.mdm.uploadarchive.raw/RTDC4042/ "%USERPROFILE%\AppData\Local\Temp\OnboardLogs"\RTDC4042\2017-09-23 --exclude "*" --recursive --include "*20170923*" &amp; "%USERPROFILE%\Documents\GitHub\mrs-test-scripts\Headless Mode &amp; Sideloading\WalkAndUnGZ.bat" "%USERPROFILE%\AppData\Local\Temp\OnboardLogs"\RTDC4042\2017-09-23</v>
      </c>
      <c r="AF167" s="74" t="str">
        <f t="shared" si="68"/>
        <v>"C:\Program Files (x86)\AstroGrep\AstroGrep.exe" /e /r /s /spath="%USERPROFILE%\AppData\Local\Temp\OnboardLogs" /stypes="app*4042*20170922*" /stext=" 13:.+((SYSTEM_STATE.+slice.+state.+changed )|(ment ac)|(multiple cpu faults)|(system.+state.+changed )|(\[timeout)|(PRM\|1\|D)|(kpr)|(kdp)|(train st.+moving)|(\|lc)|(penalty))"</v>
      </c>
      <c r="AG167" s="182" t="str">
        <f t="shared" si="69"/>
        <v>NW</v>
      </c>
      <c r="AH167" s="78" t="str">
        <f t="shared" si="70"/>
        <v>"%USERPROFILE%\Documents\GitHub\eaglep3\Utilities\RefineRTDCRunTimes.py" --tripid 807-22 --locoid 4042 --swversion DE.1.0.9.0 --startMP 204:967 --initTime 2017-09-22T06:56:47 --startdatetime 2017-09-22T07:09:13 --delay 51 --endMP 300:58975 --enddatetime 2017-09-22T07:23:41 --enforcementcount 0 &gt;&gt;c:\users\stu\Documents\GitHub\eaglep3-reporting\EC\2017-09-22-refined-times.txt</v>
      </c>
      <c r="AI167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{"issue":{"subject":"","project_id":79,"tracker_id":40,"status_id":1,"priority_id":2,"assigned_to_id":338,"start_date":"2017-09-22","description":"","custom_fields":[{"id":1,"name":"Subdivision","value":"NW"},{"id":4,"name":"Milepost","value":"5.8975"},{"id":17,"name":"Train ID","value":"807-22"},{"id":16,"name":"Locomotive ID","value":"4042"},{"id":130,"name":"Impact","value":""},{"id":150,"name":"Time of Event (Mountain Time)","value":"07:23:41"},{"id":151,"name":"Denver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72"/>
        <v>start /low /b %USERPROFILE%\Documents\GitHub\eaglep3\Utilities\DownloadLogsFromS3.py --loco 4042 --day 2017-09-22</v>
      </c>
      <c r="AN167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13:23:41"},{"id":29,"name":"Sharepoint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74"/>
        <v>https://d0f6bd738d7f1b3e5a7ca70fe4ff75f0.us-east-1.aws.found.io/app/kibana#/discover/Steve-Slow-Train-Analysis-(2080s-and-2083s)?_g=(refreshInterval:(display:Off,pause:!f,section:0,value:0),time:(from:'2017-09-22T05:56:47-0600',mode:absolute,to:'2017-09-22T08:23:41-0600'))&amp;_a=(columns:!('Message%20ID',Summary),filters:!(),index:'emp_*',interval:auto,query:(query_string:(analyze_wildcard:!t,query:'Message%5C+ID:(*)+AND+%22rtdc.l.rtdc.4042%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581</v>
      </c>
      <c r="B168" s="7">
        <v>4041</v>
      </c>
      <c r="C168" s="21" t="s">
        <v>196</v>
      </c>
      <c r="D168" s="21" t="s">
        <v>469</v>
      </c>
      <c r="E168" s="13">
        <v>43000.309583333335</v>
      </c>
      <c r="F168" s="13">
        <v>43000.319143518522</v>
      </c>
      <c r="G168" s="7">
        <v>68</v>
      </c>
      <c r="H168" s="21" t="s">
        <v>515</v>
      </c>
      <c r="I168" s="13">
        <v>43000.329212962963</v>
      </c>
      <c r="J168" s="7">
        <v>0</v>
      </c>
      <c r="K168" s="89" t="str">
        <f t="shared" si="60"/>
        <v>4041/4042</v>
      </c>
      <c r="L168" s="185" t="str">
        <f>VLOOKUP(A168,'Trips&amp;Operators'!$C$1:$G$99911,5,FALSE)</f>
        <v>LALONDE GREGORY</v>
      </c>
      <c r="M168" s="6">
        <f t="shared" si="61"/>
        <v>1.006944444088731E-2</v>
      </c>
      <c r="N168" s="7">
        <f t="shared" si="79"/>
        <v>14.499999994877726</v>
      </c>
      <c r="O168" s="7"/>
      <c r="P168" s="7"/>
      <c r="Q168" s="22"/>
      <c r="R168" s="174"/>
      <c r="S168" s="221">
        <f t="shared" si="75"/>
        <v>1</v>
      </c>
      <c r="T168" s="174" t="str">
        <f t="shared" si="62"/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63"/>
        <v>https://d0f6bd738d7f1b3e5a7ca70fe4ff75f0.us-east-1.aws.found.io/app/kibana#/discover/Steve-Slow-Train-Analysis-(2080s-and-2083s)?_g=(refreshInterval:(display:Off,pause:!f,section:0,value:0),time:(from:'2017-09-22T06:25:48-0600',mode:absolute,to:'2017-09-22T08:54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8" s="204" t="str">
        <f>IF(AA168&lt;VLOOKUP(AG168,Variables!$AC$3:$AD$8,2,FALSE),"Y","N")</f>
        <v>N</v>
      </c>
      <c r="X168" s="204">
        <f t="shared" si="78"/>
        <v>1</v>
      </c>
      <c r="Y168" s="204">
        <f t="shared" si="90"/>
        <v>5.8655999999999997</v>
      </c>
      <c r="Z168" s="204">
        <f t="shared" si="91"/>
        <v>6.9900000000000004E-2</v>
      </c>
      <c r="AA168" s="204">
        <f t="shared" si="65"/>
        <v>5.7957000000000001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66"/>
        <v>808</v>
      </c>
      <c r="AE168" s="77" t="str">
        <f t="shared" si="67"/>
        <v>aws s3 cp s3://rtdc.mdm.uploadarchive.raw/RTDC4041/ "%USERPROFILE%\AppData\Local\Temp\OnboardLogs"\RTDC4041\2017-09-22 --exclude "*" --recursive --include "*20170922*" &amp; "%USERPROFILE%\Documents\GitHub\mrs-test-scripts\Headless Mode &amp; Sideloading\WalkAndUnGZ.bat" "%USERPROFILE%\AppData\Local\Temp\OnboardLogs"\RTDC4041\2017-09-22 &amp; aws s3 cp s3://rtdc.mdm.uploadarchive.raw/RTDC4041/ "%USERPROFILE%\AppData\Local\Temp\OnboardLogs"\RTDC4041\2017-09-23 --exclude "*" --recursive --include "*20170923*" &amp; "%USERPROFILE%\Documents\GitHub\mrs-test-scripts\Headless Mode &amp; Sideloading\WalkAndUnGZ.bat" "%USERPROFILE%\AppData\Local\Temp\OnboardLogs"\RTDC4041\2017-09-23</v>
      </c>
      <c r="AF168" s="74" t="str">
        <f t="shared" si="68"/>
        <v>"C:\Program Files (x86)\AstroGrep\AstroGrep.exe" /e /r /s /spath="%USERPROFILE%\AppData\Local\Temp\OnboardLogs" /stypes="app*4041*20170922*" /stext=" 13:.+((SYSTEM_STATE.+slice.+state.+changed )|(ment ac)|(multiple cpu faults)|(system.+state.+changed )|(\[timeout)|(PRM\|1\|D)|(kpr)|(kdp)|(train st.+moving)|(\|lc)|(penalty))"</v>
      </c>
      <c r="AG168" s="182" t="str">
        <f t="shared" si="69"/>
        <v>NW</v>
      </c>
      <c r="AH168" s="78" t="str">
        <f t="shared" si="70"/>
        <v>"%USERPROFILE%\Documents\GitHub\eaglep3\Utilities\RefineRTDCRunTimes.py" --tripid 808-22 --locoid 4041 --swversion DE.1.0.9.0 --startMP 300:58656 --initTime 2017-09-22T07:25:48 --startdatetime 2017-09-22T07:39:34 --delay 68 --endMP 204:699 --enddatetime 2017-09-22T07:54:04 --enforcementcount 0 &gt;&gt;c:\users\stu\Documents\GitHub\eaglep3-reporting\EC\2017-09-22-refined-times.txt</v>
      </c>
      <c r="AI168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{"issue":{"subject":"","project_id":79,"tracker_id":40,"status_id":1,"priority_id":2,"assigned_to_id":338,"start_date":"2017-09-22","description":"","custom_fields":[{"id":1,"name":"Subdivision","value":"NW"},{"id":4,"name":"Milepost","value":"0.0699"},{"id":17,"name":"Train ID","value":"808-22"},{"id":16,"name":"Locomotive ID","value":"4041"},{"id":130,"name":"Impact","value":""},{"id":150,"name":"Time of Event (Mountain Time)","value":"07:54:04"},{"id":151,"name":"Denver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72"/>
        <v>start /low /b %USERPROFILE%\Documents\GitHub\eaglep3\Utilities\DownloadLogsFromS3.py --loco 4041 --day 2017-09-22</v>
      </c>
      <c r="AN168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13:54:04"},{"id":29,"name":"Sharepoint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74"/>
        <v>https://d0f6bd738d7f1b3e5a7ca70fe4ff75f0.us-east-1.aws.found.io/app/kibana#/discover/Steve-Slow-Train-Analysis-(2080s-and-2083s)?_g=(refreshInterval:(display:Off,pause:!f,section:0,value:0),time:(from:'2017-09-22T06:25:48-0600',mode:absolute,to:'2017-09-22T08:54:04-0600'))&amp;_a=(columns:!('Message%20ID',Summary),filters:!(),index:'emp_*',interval:auto,query:(query_string:(analyze_wildcard:!t,query:'Message%5C+ID:(*)+AND+%22rtdc.l.rtdc.4041%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667</v>
      </c>
      <c r="B169" s="7">
        <v>4040</v>
      </c>
      <c r="C169" s="21" t="s">
        <v>196</v>
      </c>
      <c r="D169" s="21" t="s">
        <v>562</v>
      </c>
      <c r="E169" s="13">
        <v>43000.311967592592</v>
      </c>
      <c r="F169" s="13">
        <v>43000.31890046296</v>
      </c>
      <c r="G169" s="7">
        <v>85</v>
      </c>
      <c r="H169" s="21" t="s">
        <v>911</v>
      </c>
      <c r="I169" s="13">
        <v>43000.329444444447</v>
      </c>
      <c r="J169" s="7">
        <v>0</v>
      </c>
      <c r="K169" s="89" t="str">
        <f t="shared" si="60"/>
        <v>4039/4040</v>
      </c>
      <c r="L169" s="185" t="str">
        <f>VLOOKUP(A169,'Trips&amp;Operators'!$C$1:$G$99911,5,FALSE)</f>
        <v>ACKERMAN JARED</v>
      </c>
      <c r="M169" s="6">
        <f t="shared" si="61"/>
        <v>1.0543981486989651E-2</v>
      </c>
      <c r="N169" s="7">
        <f t="shared" si="79"/>
        <v>15.183333341265097</v>
      </c>
      <c r="O169" s="7"/>
      <c r="P169" s="7"/>
      <c r="Q169" s="22"/>
      <c r="R169" s="174"/>
      <c r="S169" s="221">
        <f t="shared" si="75"/>
        <v>1</v>
      </c>
      <c r="T169" s="174" t="str">
        <f t="shared" si="62"/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63"/>
        <v>https://d0f6bd738d7f1b3e5a7ca70fe4ff75f0.us-east-1.aws.found.io/app/kibana#/discover/Steve-Slow-Train-Analysis-(2080s-and-2083s)?_g=(refreshInterval:(display:Off,pause:!f,section:0,value:0),time:(from:'2017-09-22T06:29:14-0600',mode:absolute,to:'2017-09-22T08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9" s="204" t="str">
        <f>IF(AA169&lt;VLOOKUP(AG169,Variables!$AC$3:$AD$8,2,FALSE),"Y","N")</f>
        <v>N</v>
      </c>
      <c r="X169" s="204">
        <f t="shared" si="78"/>
        <v>1</v>
      </c>
      <c r="Y169" s="204">
        <f t="shared" si="90"/>
        <v>9.8299999999999998E-2</v>
      </c>
      <c r="Z169" s="204">
        <f t="shared" si="91"/>
        <v>5.9009999999999998</v>
      </c>
      <c r="AA169" s="204">
        <f t="shared" si="65"/>
        <v>5.8026999999999997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66"/>
        <v>809</v>
      </c>
      <c r="AE169" s="77" t="str">
        <f t="shared" si="67"/>
        <v>aws s3 cp s3://rtdc.mdm.uploadarchive.raw/RTDC4040/ "%USERPROFILE%\AppData\Local\Temp\OnboardLogs"\RTDC4040\2017-09-22 --exclude "*" --recursive --include "*20170922*" &amp; "%USERPROFILE%\Documents\GitHub\mrs-test-scripts\Headless Mode &amp; Sideloading\WalkAndUnGZ.bat" "%USERPROFILE%\AppData\Local\Temp\OnboardLogs"\RTDC4040\2017-09-22 &amp; 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</v>
      </c>
      <c r="AF169" s="74" t="str">
        <f t="shared" si="68"/>
        <v>"C:\Program Files (x86)\AstroGrep\AstroGrep.exe" /e /r /s /spath="%USERPROFILE%\AppData\Local\Temp\OnboardLogs" /stypes="app*4040*20170922*" /stext=" 13:.+((SYSTEM_STATE.+slice.+state.+changed )|(ment ac)|(multiple cpu faults)|(system.+state.+changed )|(\[timeout)|(PRM\|1\|D)|(kpr)|(kdp)|(train st.+moving)|(\|lc)|(penalty))"</v>
      </c>
      <c r="AG169" s="182" t="str">
        <f t="shared" si="69"/>
        <v>NW</v>
      </c>
      <c r="AH169" s="78" t="str">
        <f t="shared" si="70"/>
        <v>"%USERPROFILE%\Documents\GitHub\eaglep3\Utilities\RefineRTDCRunTimes.py" --tripid 809-22 --locoid 4040 --swversion DE.1.0.9.0 --startMP 204:983 --initTime 2017-09-22T07:29:14 --startdatetime 2017-09-22T07:39:13 --delay 85 --endMP 300:59010 --enddatetime 2017-09-22T07:54:24 --enforcementcount 0 &gt;&gt;c:\users\stu\Documents\GitHub\eaglep3-reporting\EC\2017-09-22-refined-times.txt</v>
      </c>
      <c r="AI169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{"issue":{"subject":"","project_id":79,"tracker_id":40,"status_id":1,"priority_id":2,"assigned_to_id":338,"start_date":"2017-09-22","description":"","custom_fields":[{"id":1,"name":"Subdivision","value":"NW"},{"id":4,"name":"Milepost","value":"5.901"},{"id":17,"name":"Train ID","value":"809-22"},{"id":16,"name":"Locomotive ID","value":"4040"},{"id":130,"name":"Impact","value":""},{"id":150,"name":"Time of Event (Mountain Time)","value":"07:54:24"},{"id":151,"name":"Denver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72"/>
        <v>start /low /b %USERPROFILE%\Documents\GitHub\eaglep3\Utilities\DownloadLogsFromS3.py --loco 4040 --day 2017-09-22</v>
      </c>
      <c r="AN169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13:54:24"},{"id":29,"name":"Sharepoint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74"/>
        <v>https://d0f6bd738d7f1b3e5a7ca70fe4ff75f0.us-east-1.aws.found.io/app/kibana#/discover/Steve-Slow-Train-Analysis-(2080s-and-2083s)?_g=(refreshInterval:(display:Off,pause:!f,section:0,value:0),time:(from:'2017-09-22T06:29:14-0600',mode:absolute,to:'2017-09-22T08:54:24-0600'))&amp;_a=(columns:!('Message%20ID',Summary),filters:!(),index:'emp_*',interval:auto,query:(query_string:(analyze_wildcard:!t,query:'Message%5C+ID:(*)+AND+%22rtdc.l.rtdc.4040%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582</v>
      </c>
      <c r="B170" s="7">
        <v>4039</v>
      </c>
      <c r="C170" s="21" t="s">
        <v>196</v>
      </c>
      <c r="D170" s="21" t="s">
        <v>912</v>
      </c>
      <c r="E170" s="13">
        <v>43000.330821759257</v>
      </c>
      <c r="F170" s="13">
        <v>43000.342361111114</v>
      </c>
      <c r="G170" s="7">
        <v>70</v>
      </c>
      <c r="H170" s="21" t="s">
        <v>568</v>
      </c>
      <c r="I170" s="13">
        <v>43000.351087962961</v>
      </c>
      <c r="J170" s="7">
        <v>0</v>
      </c>
      <c r="K170" s="89" t="str">
        <f t="shared" si="60"/>
        <v>4039/4040</v>
      </c>
      <c r="L170" s="185" t="str">
        <f>VLOOKUP(A170,'Trips&amp;Operators'!$C$1:$G$99911,5,FALSE)</f>
        <v>ACKERMAN JARED</v>
      </c>
      <c r="M170" s="6">
        <f t="shared" si="61"/>
        <v>8.7268518473138101E-3</v>
      </c>
      <c r="N170" s="7">
        <f t="shared" si="79"/>
        <v>12.566666660131887</v>
      </c>
      <c r="O170" s="7"/>
      <c r="P170" s="7"/>
      <c r="Q170" s="22"/>
      <c r="R170" s="174"/>
      <c r="S170" s="221">
        <f t="shared" si="75"/>
        <v>1</v>
      </c>
      <c r="T170" s="174" t="str">
        <f t="shared" si="62"/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63"/>
        <v>https://d0f6bd738d7f1b3e5a7ca70fe4ff75f0.us-east-1.aws.found.io/app/kibana#/discover/Steve-Slow-Train-Analysis-(2080s-and-2083s)?_g=(refreshInterval:(display:Off,pause:!f,section:0,value:0),time:(from:'2017-09-22T06:56:23-0600',mode:absolute,to:'2017-09-22T09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0" s="204" t="str">
        <f>IF(AA170&lt;VLOOKUP(AG170,Variables!$AC$3:$AD$8,2,FALSE),"Y","N")</f>
        <v>N</v>
      </c>
      <c r="X170" s="204">
        <f t="shared" si="78"/>
        <v>1</v>
      </c>
      <c r="Y170" s="204">
        <f t="shared" si="90"/>
        <v>5.8697999999999997</v>
      </c>
      <c r="Z170" s="204">
        <f t="shared" si="91"/>
        <v>9.7000000000000003E-3</v>
      </c>
      <c r="AA170" s="204">
        <f t="shared" si="65"/>
        <v>5.8601000000000001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66"/>
        <v>810</v>
      </c>
      <c r="AE170" s="77" t="str">
        <f t="shared" si="67"/>
        <v>aws s3 cp s3://rtdc.mdm.uploadarchive.raw/RTDC4039/ "%USERPROFILE%\AppData\Local\Temp\OnboardLogs"\RTDC4039\2017-09-22 --exclude "*" --recursive --include "*20170922*" &amp; "%USERPROFILE%\Documents\GitHub\mrs-test-scripts\Headless Mode &amp; Sideloading\WalkAndUnGZ.bat" "%USERPROFILE%\AppData\Local\Temp\OnboardLogs"\RTDC4039\2017-09-22 &amp; 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</v>
      </c>
      <c r="AF170" s="74" t="str">
        <f t="shared" si="68"/>
        <v>"C:\Program Files (x86)\AstroGrep\AstroGrep.exe" /e /r /s /spath="%USERPROFILE%\AppData\Local\Temp\OnboardLogs" /stypes="app*4039*20170922*" /stext=" 14:.+((SYSTEM_STATE.+slice.+state.+changed )|(ment ac)|(multiple cpu faults)|(system.+state.+changed )|(\[timeout)|(PRM\|1\|D)|(kpr)|(kdp)|(train st.+moving)|(\|lc)|(penalty))"</v>
      </c>
      <c r="AG170" s="182" t="str">
        <f t="shared" si="69"/>
        <v>NW</v>
      </c>
      <c r="AH170" s="78" t="str">
        <f t="shared" si="70"/>
        <v>"%USERPROFILE%\Documents\GitHub\eaglep3\Utilities\RefineRTDCRunTimes.py" --tripid 810-22 --locoid 4039 --swversion DE.1.0.9.0 --startMP 300:58698 --initTime 2017-09-22T07:56:23 --startdatetime 2017-09-22T08:13:00 --delay 70 --endMP 204:97 --enddatetime 2017-09-22T08:25:34 --enforcementcount 0 &gt;&gt;c:\users\stu\Documents\GitHub\eaglep3-reporting\EC\2017-09-22-refined-times.txt</v>
      </c>
      <c r="AI170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{"issue":{"subject":"","project_id":79,"tracker_id":40,"status_id":1,"priority_id":2,"assigned_to_id":338,"start_date":"2017-09-22","description":"","custom_fields":[{"id":1,"name":"Subdivision","value":"NW"},{"id":4,"name":"Milepost","value":"0.0097"},{"id":17,"name":"Train ID","value":"810-22"},{"id":16,"name":"Locomotive ID","value":"4039"},{"id":130,"name":"Impact","value":""},{"id":150,"name":"Time of Event (Mountain Time)","value":"08:25:34"},{"id":151,"name":"Denver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72"/>
        <v>start /low /b %USERPROFILE%\Documents\GitHub\eaglep3\Utilities\DownloadLogsFromS3.py --loco 4039 --day 2017-09-22</v>
      </c>
      <c r="AN170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14:25:34"},{"id":29,"name":"Sharepoint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74"/>
        <v>https://d0f6bd738d7f1b3e5a7ca70fe4ff75f0.us-east-1.aws.found.io/app/kibana#/discover/Steve-Slow-Train-Analysis-(2080s-and-2083s)?_g=(refreshInterval:(display:Off,pause:!f,section:0,value:0),time:(from:'2017-09-22T06:56:23-0600',mode:absolute,to:'2017-09-22T09:25:34-0600'))&amp;_a=(columns:!('Message%20ID',Summary),filters:!(),index:'emp_*',interval:auto,query:(query_string:(analyze_wildcard:!t,query:'Message%5C+ID:(*)+AND+%22rtdc.l.rtdc.4039%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671</v>
      </c>
      <c r="B171" s="7">
        <v>4042</v>
      </c>
      <c r="C171" s="21" t="s">
        <v>196</v>
      </c>
      <c r="D171" s="21" t="s">
        <v>913</v>
      </c>
      <c r="E171" s="13">
        <v>43000.334583333337</v>
      </c>
      <c r="F171" s="13">
        <v>43000.339756944442</v>
      </c>
      <c r="G171" s="7">
        <v>76</v>
      </c>
      <c r="H171" s="21" t="s">
        <v>914</v>
      </c>
      <c r="I171" s="13">
        <v>43000.350208333337</v>
      </c>
      <c r="J171" s="7">
        <v>0</v>
      </c>
      <c r="K171" s="89" t="str">
        <f t="shared" si="60"/>
        <v>4041/4042</v>
      </c>
      <c r="L171" s="185" t="str">
        <f>VLOOKUP(A171,'Trips&amp;Operators'!$C$1:$G$99911,5,FALSE)</f>
        <v>HUFFSMITH MONTY</v>
      </c>
      <c r="M171" s="6">
        <f t="shared" si="61"/>
        <v>1.0451388894580305E-2</v>
      </c>
      <c r="N171" s="7">
        <f t="shared" si="79"/>
        <v>15.050000008195639</v>
      </c>
      <c r="O171" s="7"/>
      <c r="P171" s="7"/>
      <c r="Q171" s="22"/>
      <c r="R171" s="174"/>
      <c r="S171" s="221">
        <f t="shared" si="75"/>
        <v>1</v>
      </c>
      <c r="T171" s="174" t="str">
        <f t="shared" si="62"/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63"/>
        <v>https://d0f6bd738d7f1b3e5a7ca70fe4ff75f0.us-east-1.aws.found.io/app/kibana#/discover/Steve-Slow-Train-Analysis-(2080s-and-2083s)?_g=(refreshInterval:(display:Off,pause:!f,section:0,value:0),time:(from:'2017-09-22T07:01:48-0600',mode:absolute,to:'2017-09-22T09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1" s="204" t="str">
        <f>IF(AA171&lt;VLOOKUP(AG171,Variables!$AC$3:$AD$8,2,FALSE),"Y","N")</f>
        <v>N</v>
      </c>
      <c r="X171" s="204">
        <f t="shared" si="78"/>
        <v>1</v>
      </c>
      <c r="Y171" s="204">
        <f t="shared" si="90"/>
        <v>9.9000000000000005E-2</v>
      </c>
      <c r="Z171" s="204">
        <f t="shared" si="91"/>
        <v>5.8993000000000002</v>
      </c>
      <c r="AA171" s="204">
        <f t="shared" si="65"/>
        <v>5.8003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66"/>
        <v>811</v>
      </c>
      <c r="AE171" s="77" t="str">
        <f t="shared" si="67"/>
        <v>aws s3 cp s3://rtdc.mdm.uploadarchive.raw/RTDC4042/ "%USERPROFILE%\AppData\Local\Temp\OnboardLogs"\RTDC4042\2017-09-22 --exclude "*" --recursive --include "*20170922*" &amp; "%USERPROFILE%\Documents\GitHub\mrs-test-scripts\Headless Mode &amp; Sideloading\WalkAndUnGZ.bat" "%USERPROFILE%\AppData\Local\Temp\OnboardLogs"\RTDC4042\2017-09-22 &amp; aws s3 cp s3://rtdc.mdm.uploadarchive.raw/RTDC4042/ "%USERPROFILE%\AppData\Local\Temp\OnboardLogs"\RTDC4042\2017-09-23 --exclude "*" --recursive --include "*20170923*" &amp; "%USERPROFILE%\Documents\GitHub\mrs-test-scripts\Headless Mode &amp; Sideloading\WalkAndUnGZ.bat" "%USERPROFILE%\AppData\Local\Temp\OnboardLogs"\RTDC4042\2017-09-23</v>
      </c>
      <c r="AF171" s="74" t="str">
        <f t="shared" si="68"/>
        <v>"C:\Program Files (x86)\AstroGrep\AstroGrep.exe" /e /r /s /spath="%USERPROFILE%\AppData\Local\Temp\OnboardLogs" /stypes="app*4042*20170922*" /stext=" 14:.+((SYSTEM_STATE.+slice.+state.+changed )|(ment ac)|(multiple cpu faults)|(system.+state.+changed )|(\[timeout)|(PRM\|1\|D)|(kpr)|(kdp)|(train st.+moving)|(\|lc)|(penalty))"</v>
      </c>
      <c r="AG171" s="182" t="str">
        <f t="shared" si="69"/>
        <v>NW</v>
      </c>
      <c r="AH171" s="78" t="str">
        <f t="shared" si="70"/>
        <v>"%USERPROFILE%\Documents\GitHub\eaglep3\Utilities\RefineRTDCRunTimes.py" --tripid 811-22 --locoid 4042 --swversion DE.1.0.9.0 --startMP 204:990 --initTime 2017-09-22T08:01:48 --startdatetime 2017-09-22T08:09:15 --delay 76 --endMP 300:58993 --enddatetime 2017-09-22T08:24:18 --enforcementcount 0 &gt;&gt;c:\users\stu\Documents\GitHub\eaglep3-reporting\EC\2017-09-22-refined-times.txt</v>
      </c>
      <c r="AI171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{"issue":{"subject":"","project_id":79,"tracker_id":40,"status_id":1,"priority_id":2,"assigned_to_id":338,"start_date":"2017-09-22","description":"","custom_fields":[{"id":1,"name":"Subdivision","value":"NW"},{"id":4,"name":"Milepost","value":"5.8993"},{"id":17,"name":"Train ID","value":"811-22"},{"id":16,"name":"Locomotive ID","value":"4042"},{"id":130,"name":"Impact","value":""},{"id":150,"name":"Time of Event (Mountain Time)","value":"08:24:18"},{"id":151,"name":"Denver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72"/>
        <v>start /low /b %USERPROFILE%\Documents\GitHub\eaglep3\Utilities\DownloadLogsFromS3.py --loco 4042 --day 2017-09-22</v>
      </c>
      <c r="AN171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14:24:18"},{"id":29,"name":"Sharepoint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74"/>
        <v>https://d0f6bd738d7f1b3e5a7ca70fe4ff75f0.us-east-1.aws.found.io/app/kibana#/discover/Steve-Slow-Train-Analysis-(2080s-and-2083s)?_g=(refreshInterval:(display:Off,pause:!f,section:0,value:0),time:(from:'2017-09-22T07:01:48-0600',mode:absolute,to:'2017-09-22T09:24:18-0600'))&amp;_a=(columns:!('Message%20ID',Summary),filters:!(),index:'emp_*',interval:auto,query:(query_string:(analyze_wildcard:!t,query:'Message%5C+ID:(*)+AND+%22rtdc.l.rtdc.4042%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676</v>
      </c>
      <c r="B172" s="7">
        <v>4041</v>
      </c>
      <c r="C172" s="21" t="s">
        <v>196</v>
      </c>
      <c r="D172" s="21" t="s">
        <v>915</v>
      </c>
      <c r="E172" s="13">
        <v>43000.357881944445</v>
      </c>
      <c r="F172" s="13">
        <v>43000.359791666669</v>
      </c>
      <c r="G172" s="7">
        <v>81</v>
      </c>
      <c r="H172" s="21" t="s">
        <v>916</v>
      </c>
      <c r="I172" s="13">
        <v>43000.371863425928</v>
      </c>
      <c r="J172" s="7">
        <v>0</v>
      </c>
      <c r="K172" s="89" t="str">
        <f t="shared" si="60"/>
        <v>4041/4042</v>
      </c>
      <c r="L172" s="185" t="str">
        <f>VLOOKUP(A172,'Trips&amp;Operators'!$C$1:$G$99911,5,FALSE)</f>
        <v>HUFFSMITH MONTY</v>
      </c>
      <c r="M172" s="6">
        <f t="shared" si="61"/>
        <v>1.2071759258105885E-2</v>
      </c>
      <c r="N172" s="7">
        <f t="shared" si="79"/>
        <v>17.383333331672475</v>
      </c>
      <c r="O172" s="7"/>
      <c r="P172" s="7"/>
      <c r="Q172" s="22"/>
      <c r="R172" s="174"/>
      <c r="S172" s="221">
        <f t="shared" si="75"/>
        <v>1</v>
      </c>
      <c r="T172" s="174" t="str">
        <f t="shared" si="62"/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63"/>
        <v>https://d0f6bd738d7f1b3e5a7ca70fe4ff75f0.us-east-1.aws.found.io/app/kibana#/discover/Steve-Slow-Train-Analysis-(2080s-and-2083s)?_g=(refreshInterval:(display:Off,pause:!f,section:0,value:0),time:(from:'2017-09-22T07:35:21-0600',mode:absolute,to:'2017-09-22T09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2" s="204" t="str">
        <f>IF(AA172&lt;VLOOKUP(AG172,Variables!$AC$3:$AD$8,2,FALSE),"Y","N")</f>
        <v>N</v>
      </c>
      <c r="X172" s="204">
        <f t="shared" si="78"/>
        <v>1</v>
      </c>
      <c r="Y172" s="204">
        <f t="shared" si="90"/>
        <v>5.8682999999999996</v>
      </c>
      <c r="Z172" s="204">
        <f t="shared" si="91"/>
        <v>7.0599999999999996E-2</v>
      </c>
      <c r="AA172" s="204">
        <f t="shared" si="65"/>
        <v>5.7976999999999999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66"/>
        <v>812</v>
      </c>
      <c r="AE172" s="77" t="str">
        <f t="shared" si="67"/>
        <v>aws s3 cp s3://rtdc.mdm.uploadarchive.raw/RTDC4041/ "%USERPROFILE%\AppData\Local\Temp\OnboardLogs"\RTDC4041\2017-09-22 --exclude "*" --recursive --include "*20170922*" &amp; "%USERPROFILE%\Documents\GitHub\mrs-test-scripts\Headless Mode &amp; Sideloading\WalkAndUnGZ.bat" "%USERPROFILE%\AppData\Local\Temp\OnboardLogs"\RTDC4041\2017-09-22 &amp; aws s3 cp s3://rtdc.mdm.uploadarchive.raw/RTDC4041/ "%USERPROFILE%\AppData\Local\Temp\OnboardLogs"\RTDC4041\2017-09-23 --exclude "*" --recursive --include "*20170923*" &amp; "%USERPROFILE%\Documents\GitHub\mrs-test-scripts\Headless Mode &amp; Sideloading\WalkAndUnGZ.bat" "%USERPROFILE%\AppData\Local\Temp\OnboardLogs"\RTDC4041\2017-09-23</v>
      </c>
      <c r="AF172" s="74" t="str">
        <f t="shared" si="68"/>
        <v>"C:\Program Files (x86)\AstroGrep\AstroGrep.exe" /e /r /s /spath="%USERPROFILE%\AppData\Local\Temp\OnboardLogs" /stypes="app*4041*20170922*" /stext=" 14:.+((SYSTEM_STATE.+slice.+state.+changed )|(ment ac)|(multiple cpu faults)|(system.+state.+changed )|(\[timeout)|(PRM\|1\|D)|(kpr)|(kdp)|(train st.+moving)|(\|lc)|(penalty))"</v>
      </c>
      <c r="AG172" s="182" t="str">
        <f t="shared" si="69"/>
        <v>NW</v>
      </c>
      <c r="AH172" s="78" t="str">
        <f t="shared" si="70"/>
        <v>"%USERPROFILE%\Documents\GitHub\eaglep3\Utilities\RefineRTDCRunTimes.py" --tripid 812-22 --locoid 4041 --swversion DE.1.0.9.0 --startMP 300:58683 --initTime 2017-09-22T08:35:21 --startdatetime 2017-09-22T08:38:06 --delay 81 --endMP 204:706 --enddatetime 2017-09-22T08:55:29 --enforcementcount 0 &gt;&gt;c:\users\stu\Documents\GitHub\eaglep3-reporting\EC\2017-09-22-refined-times.txt</v>
      </c>
      <c r="AI172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{"issue":{"subject":"","project_id":79,"tracker_id":40,"status_id":1,"priority_id":2,"assigned_to_id":338,"start_date":"2017-09-22","description":"","custom_fields":[{"id":1,"name":"Subdivision","value":"NW"},{"id":4,"name":"Milepost","value":"0.0706"},{"id":17,"name":"Train ID","value":"812-22"},{"id":16,"name":"Locomotive ID","value":"4041"},{"id":130,"name":"Impact","value":""},{"id":150,"name":"Time of Event (Mountain Time)","value":"08:55:29"},{"id":151,"name":"Denver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72"/>
        <v>start /low /b %USERPROFILE%\Documents\GitHub\eaglep3\Utilities\DownloadLogsFromS3.py --loco 4041 --day 2017-09-22</v>
      </c>
      <c r="AN172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14:55:29"},{"id":29,"name":"Sharepoint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74"/>
        <v>https://d0f6bd738d7f1b3e5a7ca70fe4ff75f0.us-east-1.aws.found.io/app/kibana#/discover/Steve-Slow-Train-Analysis-(2080s-and-2083s)?_g=(refreshInterval:(display:Off,pause:!f,section:0,value:0),time:(from:'2017-09-22T07:35:21-0600',mode:absolute,to:'2017-09-22T09:55:29-0600'))&amp;_a=(columns:!('Message%20ID',Summary),filters:!(),index:'emp_*',interval:auto,query:(query_string:(analyze_wildcard:!t,query:'Message%5C+ID:(*)+AND+%22rtdc.l.rtdc.4041%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585</v>
      </c>
      <c r="B173" s="7">
        <v>4042</v>
      </c>
      <c r="C173" s="21" t="s">
        <v>196</v>
      </c>
      <c r="D173" s="21" t="s">
        <v>917</v>
      </c>
      <c r="E173" s="13">
        <v>43000.375590277778</v>
      </c>
      <c r="F173" s="13">
        <v>43000.381678240738</v>
      </c>
      <c r="G173" s="7">
        <v>77</v>
      </c>
      <c r="H173" s="21" t="s">
        <v>513</v>
      </c>
      <c r="I173" s="13">
        <v>43000.390659722223</v>
      </c>
      <c r="J173" s="7">
        <v>0</v>
      </c>
      <c r="K173" s="89" t="str">
        <f t="shared" si="60"/>
        <v>4041/4042</v>
      </c>
      <c r="L173" s="185" t="str">
        <f>VLOOKUP(A173,'Trips&amp;Operators'!$C$1:$G$99911,5,FALSE)</f>
        <v>LALONDE GREGORY</v>
      </c>
      <c r="M173" s="6">
        <f t="shared" si="61"/>
        <v>8.9814814855344594E-3</v>
      </c>
      <c r="N173" s="7">
        <f t="shared" si="79"/>
        <v>12.933333339169621</v>
      </c>
      <c r="O173" s="7"/>
      <c r="P173" s="7"/>
      <c r="Q173" s="22"/>
      <c r="R173" s="174"/>
      <c r="S173" s="221">
        <f t="shared" si="75"/>
        <v>1</v>
      </c>
      <c r="T173" s="174" t="str">
        <f t="shared" si="62"/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63"/>
        <v>https://d0f6bd738d7f1b3e5a7ca70fe4ff75f0.us-east-1.aws.found.io/app/kibana#/discover/Steve-Slow-Train-Analysis-(2080s-and-2083s)?_g=(refreshInterval:(display:Off,pause:!f,section:0,value:0),time:(from:'2017-09-22T08:00:51-0600',mode:absolute,to:'2017-09-22T10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3" s="204" t="str">
        <f>IF(AA173&lt;VLOOKUP(AG173,Variables!$AC$3:$AD$8,2,FALSE),"Y","N")</f>
        <v>N</v>
      </c>
      <c r="X173" s="204">
        <f t="shared" si="78"/>
        <v>1</v>
      </c>
      <c r="Y173" s="204">
        <f t="shared" si="90"/>
        <v>0.1004</v>
      </c>
      <c r="Z173" s="204">
        <f t="shared" si="91"/>
        <v>5.8975</v>
      </c>
      <c r="AA173" s="204">
        <f t="shared" si="65"/>
        <v>5.7971000000000004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66"/>
        <v>813</v>
      </c>
      <c r="AE173" s="77" t="str">
        <f t="shared" si="67"/>
        <v>aws s3 cp s3://rtdc.mdm.uploadarchive.raw/RTDC4042/ "%USERPROFILE%\AppData\Local\Temp\OnboardLogs"\RTDC4042\2017-09-22 --exclude "*" --recursive --include "*20170922*" &amp; "%USERPROFILE%\Documents\GitHub\mrs-test-scripts\Headless Mode &amp; Sideloading\WalkAndUnGZ.bat" "%USERPROFILE%\AppData\Local\Temp\OnboardLogs"\RTDC4042\2017-09-22 &amp; aws s3 cp s3://rtdc.mdm.uploadarchive.raw/RTDC4042/ "%USERPROFILE%\AppData\Local\Temp\OnboardLogs"\RTDC4042\2017-09-23 --exclude "*" --recursive --include "*20170923*" &amp; "%USERPROFILE%\Documents\GitHub\mrs-test-scripts\Headless Mode &amp; Sideloading\WalkAndUnGZ.bat" "%USERPROFILE%\AppData\Local\Temp\OnboardLogs"\RTDC4042\2017-09-23</v>
      </c>
      <c r="AF173" s="74" t="str">
        <f t="shared" si="68"/>
        <v>"C:\Program Files (x86)\AstroGrep\AstroGrep.exe" /e /r /s /spath="%USERPROFILE%\AppData\Local\Temp\OnboardLogs" /stypes="app*4042*20170922*" /stext=" 15:.+((SYSTEM_STATE.+slice.+state.+changed )|(ment ac)|(multiple cpu faults)|(system.+state.+changed )|(\[timeout)|(PRM\|1\|D)|(kpr)|(kdp)|(train st.+moving)|(\|lc)|(penalty))"</v>
      </c>
      <c r="AG173" s="182" t="str">
        <f t="shared" si="69"/>
        <v>NW</v>
      </c>
      <c r="AH173" s="78" t="str">
        <f t="shared" si="70"/>
        <v>"%USERPROFILE%\Documents\GitHub\eaglep3\Utilities\RefineRTDCRunTimes.py" --tripid 813-22 --locoid 4042 --swversion DE.1.0.9.0 --startMP 204:1004 --initTime 2017-09-22T09:00:51 --startdatetime 2017-09-22T09:09:37 --delay 77 --endMP 300:58975 --enddatetime 2017-09-22T09:22:33 --enforcementcount 0 &gt;&gt;c:\users\stu\Documents\GitHub\eaglep3-reporting\EC\2017-09-22-refined-times.txt</v>
      </c>
      <c r="AI173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{"issue":{"subject":"","project_id":79,"tracker_id":40,"status_id":1,"priority_id":2,"assigned_to_id":338,"start_date":"2017-09-22","description":"","custom_fields":[{"id":1,"name":"Subdivision","value":"NW"},{"id":4,"name":"Milepost","value":"5.8975"},{"id":17,"name":"Train ID","value":"813-22"},{"id":16,"name":"Locomotive ID","value":"4042"},{"id":130,"name":"Impact","value":""},{"id":150,"name":"Time of Event (Mountain Time)","value":"09:22:33"},{"id":151,"name":"Denver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72"/>
        <v>start /low /b %USERPROFILE%\Documents\GitHub\eaglep3\Utilities\DownloadLogsFromS3.py --loco 4042 --day 2017-09-22</v>
      </c>
      <c r="AN173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15:22:33"},{"id":29,"name":"Sharepoint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74"/>
        <v>https://d0f6bd738d7f1b3e5a7ca70fe4ff75f0.us-east-1.aws.found.io/app/kibana#/discover/Steve-Slow-Train-Analysis-(2080s-and-2083s)?_g=(refreshInterval:(display:Off,pause:!f,section:0,value:0),time:(from:'2017-09-22T08:00:51-0600',mode:absolute,to:'2017-09-22T10:22:33-0600'))&amp;_a=(columns:!('Message%20ID',Summary),filters:!(),index:'emp_*',interval:auto,query:(query_string:(analyze_wildcard:!t,query:'Message%5C+ID:(*)+AND+%22rtdc.l.rtdc.4042%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683</v>
      </c>
      <c r="B174" s="7">
        <v>4041</v>
      </c>
      <c r="C174" s="21" t="s">
        <v>196</v>
      </c>
      <c r="D174" s="21" t="s">
        <v>918</v>
      </c>
      <c r="E174" s="13">
        <v>43000.391527777778</v>
      </c>
      <c r="F174" s="13">
        <v>43000.402581018519</v>
      </c>
      <c r="G174" s="7">
        <v>73</v>
      </c>
      <c r="H174" s="21" t="s">
        <v>565</v>
      </c>
      <c r="I174" s="13">
        <v>43000.412592592591</v>
      </c>
      <c r="J174" s="7">
        <v>0</v>
      </c>
      <c r="K174" s="89" t="str">
        <f t="shared" si="60"/>
        <v>4041/4042</v>
      </c>
      <c r="L174" s="185" t="str">
        <f>VLOOKUP(A174,'Trips&amp;Operators'!$C$1:$G$99911,5,FALSE)</f>
        <v>LALONDE GREGORY</v>
      </c>
      <c r="M174" s="6">
        <f t="shared" si="61"/>
        <v>1.0011574071540963E-2</v>
      </c>
      <c r="N174" s="7">
        <f t="shared" si="79"/>
        <v>14.416666663018987</v>
      </c>
      <c r="O174" s="7"/>
      <c r="P174" s="7"/>
      <c r="Q174" s="22"/>
      <c r="R174" s="174"/>
      <c r="S174" s="221">
        <f t="shared" si="75"/>
        <v>1</v>
      </c>
      <c r="T174" s="174" t="str">
        <f t="shared" si="62"/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63"/>
        <v>https://d0f6bd738d7f1b3e5a7ca70fe4ff75f0.us-east-1.aws.found.io/app/kibana#/discover/Steve-Slow-Train-Analysis-(2080s-and-2083s)?_g=(refreshInterval:(display:Off,pause:!f,section:0,value:0),time:(from:'2017-09-22T08:23:48-0600',mode:absolute,to:'2017-09-22T10:54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4" s="204" t="str">
        <f>IF(AA174&lt;VLOOKUP(AG174,Variables!$AC$3:$AD$8,2,FALSE),"Y","N")</f>
        <v>N</v>
      </c>
      <c r="X174" s="204">
        <f t="shared" si="78"/>
        <v>1</v>
      </c>
      <c r="Y174" s="204">
        <f t="shared" si="90"/>
        <v>5.8666</v>
      </c>
      <c r="Z174" s="204">
        <f t="shared" si="91"/>
        <v>7.1999999999999995E-2</v>
      </c>
      <c r="AA174" s="204">
        <f t="shared" si="65"/>
        <v>5.7946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66"/>
        <v>814</v>
      </c>
      <c r="AE174" s="77" t="str">
        <f t="shared" si="67"/>
        <v>aws s3 cp s3://rtdc.mdm.uploadarchive.raw/RTDC4041/ "%USERPROFILE%\AppData\Local\Temp\OnboardLogs"\RTDC4041\2017-09-22 --exclude "*" --recursive --include "*20170922*" &amp; "%USERPROFILE%\Documents\GitHub\mrs-test-scripts\Headless Mode &amp; Sideloading\WalkAndUnGZ.bat" "%USERPROFILE%\AppData\Local\Temp\OnboardLogs"\RTDC4041\2017-09-22 &amp; aws s3 cp s3://rtdc.mdm.uploadarchive.raw/RTDC4041/ "%USERPROFILE%\AppData\Local\Temp\OnboardLogs"\RTDC4041\2017-09-23 --exclude "*" --recursive --include "*20170923*" &amp; "%USERPROFILE%\Documents\GitHub\mrs-test-scripts\Headless Mode &amp; Sideloading\WalkAndUnGZ.bat" "%USERPROFILE%\AppData\Local\Temp\OnboardLogs"\RTDC4041\2017-09-23</v>
      </c>
      <c r="AF174" s="74" t="str">
        <f t="shared" si="68"/>
        <v>"C:\Program Files (x86)\AstroGrep\AstroGrep.exe" /e /r /s /spath="%USERPROFILE%\AppData\Local\Temp\OnboardLogs" /stypes="app*4041*20170922*" /stext=" 15:.+((SYSTEM_STATE.+slice.+state.+changed )|(ment ac)|(multiple cpu faults)|(system.+state.+changed )|(\[timeout)|(PRM\|1\|D)|(kpr)|(kdp)|(train st.+moving)|(\|lc)|(penalty))"</v>
      </c>
      <c r="AG174" s="182" t="str">
        <f t="shared" si="69"/>
        <v>NW</v>
      </c>
      <c r="AH174" s="78" t="str">
        <f t="shared" si="70"/>
        <v>"%USERPROFILE%\Documents\GitHub\eaglep3\Utilities\RefineRTDCRunTimes.py" --tripid 814-22 --locoid 4041 --swversion DE.1.0.9.0 --startMP 300:58666 --initTime 2017-09-22T09:23:48 --startdatetime 2017-09-22T09:39:43 --delay 73 --endMP 204:720 --enddatetime 2017-09-22T09:54:08 --enforcementcount 0 &gt;&gt;c:\users\stu\Documents\GitHub\eaglep3-reporting\EC\2017-09-22-refined-times.txt</v>
      </c>
      <c r="AI174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{"issue":{"subject":"","project_id":79,"tracker_id":40,"status_id":1,"priority_id":2,"assigned_to_id":338,"start_date":"2017-09-22","description":"","custom_fields":[{"id":1,"name":"Subdivision","value":"NW"},{"id":4,"name":"Milepost","value":"0.072"},{"id":17,"name":"Train ID","value":"814-22"},{"id":16,"name":"Locomotive ID","value":"4041"},{"id":130,"name":"Impact","value":""},{"id":150,"name":"Time of Event (Mountain Time)","value":"09:54:08"},{"id":151,"name":"Denver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72"/>
        <v>start /low /b %USERPROFILE%\Documents\GitHub\eaglep3\Utilities\DownloadLogsFromS3.py --loco 4041 --day 2017-09-22</v>
      </c>
      <c r="AN174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15:54:08"},{"id":29,"name":"Sharepoint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74"/>
        <v>https://d0f6bd738d7f1b3e5a7ca70fe4ff75f0.us-east-1.aws.found.io/app/kibana#/discover/Steve-Slow-Train-Analysis-(2080s-and-2083s)?_g=(refreshInterval:(display:Off,pause:!f,section:0,value:0),time:(from:'2017-09-22T08:23:48-0600',mode:absolute,to:'2017-09-22T10:54:08-0600'))&amp;_a=(columns:!('Message%20ID',Summary),filters:!(),index:'emp_*',interval:auto,query:(query_string:(analyze_wildcard:!t,query:'Message%5C+ID:(*)+AND+%22rtdc.l.rtdc.4041%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688</v>
      </c>
      <c r="B175" s="7">
        <v>4042</v>
      </c>
      <c r="C175" s="21" t="s">
        <v>196</v>
      </c>
      <c r="D175" s="21" t="s">
        <v>919</v>
      </c>
      <c r="E175" s="13">
        <v>43000.414166666669</v>
      </c>
      <c r="F175" s="13">
        <v>43000.423391203702</v>
      </c>
      <c r="G175" s="7">
        <v>52</v>
      </c>
      <c r="H175" s="21" t="s">
        <v>920</v>
      </c>
      <c r="I175" s="13">
        <v>43000.432141203702</v>
      </c>
      <c r="J175" s="7">
        <v>0</v>
      </c>
      <c r="K175" s="89" t="str">
        <f t="shared" si="60"/>
        <v>4041/4042</v>
      </c>
      <c r="L175" s="185" t="str">
        <f>VLOOKUP(A175,'Trips&amp;Operators'!$C$1:$G$99911,5,FALSE)</f>
        <v>LALONDE GREGORY</v>
      </c>
      <c r="M175" s="6">
        <f t="shared" si="61"/>
        <v>8.7500000008731149E-3</v>
      </c>
      <c r="N175" s="7">
        <f t="shared" si="79"/>
        <v>12.600000001257285</v>
      </c>
      <c r="O175" s="7"/>
      <c r="P175" s="7"/>
      <c r="Q175" s="22"/>
      <c r="R175" s="174"/>
      <c r="S175" s="221">
        <f t="shared" si="75"/>
        <v>1</v>
      </c>
      <c r="T175" s="174" t="str">
        <f t="shared" si="62"/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63"/>
        <v>https://d0f6bd738d7f1b3e5a7ca70fe4ff75f0.us-east-1.aws.found.io/app/kibana#/discover/Steve-Slow-Train-Analysis-(2080s-and-2083s)?_g=(refreshInterval:(display:Off,pause:!f,section:0,value:0),time:(from:'2017-09-22T08:56:24-0600',mode:absolute,to:'2017-09-22T11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5" s="204" t="str">
        <f>IF(AA175&lt;VLOOKUP(AG175,Variables!$AC$3:$AD$8,2,FALSE),"Y","N")</f>
        <v>N</v>
      </c>
      <c r="X175" s="204">
        <f t="shared" si="78"/>
        <v>1</v>
      </c>
      <c r="Y175" s="204">
        <f t="shared" si="90"/>
        <v>0.1021</v>
      </c>
      <c r="Z175" s="204">
        <f t="shared" si="91"/>
        <v>5.8986000000000001</v>
      </c>
      <c r="AA175" s="204">
        <f t="shared" si="65"/>
        <v>5.7965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66"/>
        <v>815</v>
      </c>
      <c r="AE175" s="77" t="str">
        <f t="shared" si="67"/>
        <v>aws s3 cp s3://rtdc.mdm.uploadarchive.raw/RTDC4042/ "%USERPROFILE%\AppData\Local\Temp\OnboardLogs"\RTDC4042\2017-09-22 --exclude "*" --recursive --include "*20170922*" &amp; "%USERPROFILE%\Documents\GitHub\mrs-test-scripts\Headless Mode &amp; Sideloading\WalkAndUnGZ.bat" "%USERPROFILE%\AppData\Local\Temp\OnboardLogs"\RTDC4042\2017-09-22 &amp; aws s3 cp s3://rtdc.mdm.uploadarchive.raw/RTDC4042/ "%USERPROFILE%\AppData\Local\Temp\OnboardLogs"\RTDC4042\2017-09-23 --exclude "*" --recursive --include "*20170923*" &amp; "%USERPROFILE%\Documents\GitHub\mrs-test-scripts\Headless Mode &amp; Sideloading\WalkAndUnGZ.bat" "%USERPROFILE%\AppData\Local\Temp\OnboardLogs"\RTDC4042\2017-09-23</v>
      </c>
      <c r="AF175" s="74" t="str">
        <f t="shared" si="68"/>
        <v>"C:\Program Files (x86)\AstroGrep\AstroGrep.exe" /e /r /s /spath="%USERPROFILE%\AppData\Local\Temp\OnboardLogs" /stypes="app*4042*20170922*" /stext=" 16:.+((SYSTEM_STATE.+slice.+state.+changed )|(ment ac)|(multiple cpu faults)|(system.+state.+changed )|(\[timeout)|(PRM\|1\|D)|(kpr)|(kdp)|(train st.+moving)|(\|lc)|(penalty))"</v>
      </c>
      <c r="AG175" s="182" t="str">
        <f t="shared" si="69"/>
        <v>NW</v>
      </c>
      <c r="AH175" s="78" t="str">
        <f t="shared" si="70"/>
        <v>"%USERPROFILE%\Documents\GitHub\eaglep3\Utilities\RefineRTDCRunTimes.py" --tripid 815-22 --locoid 4042 --swversion DE.1.0.9.0 --startMP 204:1021 --initTime 2017-09-22T09:56:24 --startdatetime 2017-09-22T10:09:41 --delay 52 --endMP 300:58986 --enddatetime 2017-09-22T10:22:17 --enforcementcount 0 &gt;&gt;c:\users\stu\Documents\GitHub\eaglep3-reporting\EC\2017-09-22-refined-times.txt</v>
      </c>
      <c r="AI175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{"issue":{"subject":"","project_id":79,"tracker_id":40,"status_id":1,"priority_id":2,"assigned_to_id":338,"start_date":"2017-09-22","description":"","custom_fields":[{"id":1,"name":"Subdivision","value":"NW"},{"id":4,"name":"Milepost","value":"5.8986"},{"id":17,"name":"Train ID","value":"815-22"},{"id":16,"name":"Locomotive ID","value":"4042"},{"id":130,"name":"Impact","value":""},{"id":150,"name":"Time of Event (Mountain Time)","value":"10:22:17"},{"id":151,"name":"Denver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72"/>
        <v>start /low /b %USERPROFILE%\Documents\GitHub\eaglep3\Utilities\DownloadLogsFromS3.py --loco 4042 --day 2017-09-22</v>
      </c>
      <c r="AN175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16:22:17"},{"id":29,"name":"Sharepoint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74"/>
        <v>https://d0f6bd738d7f1b3e5a7ca70fe4ff75f0.us-east-1.aws.found.io/app/kibana#/discover/Steve-Slow-Train-Analysis-(2080s-and-2083s)?_g=(refreshInterval:(display:Off,pause:!f,section:0,value:0),time:(from:'2017-09-22T08:56:24-0600',mode:absolute,to:'2017-09-22T11:22:17-0600'))&amp;_a=(columns:!('Message%20ID',Summary),filters:!(),index:'emp_*',interval:auto,query:(query_string:(analyze_wildcard:!t,query:'Message%5C+ID:(*)+AND+%22rtdc.l.rtdc.4042%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693</v>
      </c>
      <c r="B176" s="7">
        <v>4041</v>
      </c>
      <c r="C176" s="21" t="s">
        <v>196</v>
      </c>
      <c r="D176" s="21" t="s">
        <v>921</v>
      </c>
      <c r="E176" s="13">
        <v>43000.432905092595</v>
      </c>
      <c r="F176" s="13">
        <v>43000.443622685183</v>
      </c>
      <c r="G176" s="7">
        <v>66</v>
      </c>
      <c r="H176" s="21" t="s">
        <v>922</v>
      </c>
      <c r="I176" s="13">
        <v>43000.454293981478</v>
      </c>
      <c r="J176" s="7">
        <v>0</v>
      </c>
      <c r="K176" s="89" t="str">
        <f t="shared" si="60"/>
        <v>4041/4042</v>
      </c>
      <c r="L176" s="185" t="str">
        <f>VLOOKUP(A176,'Trips&amp;Operators'!$C$1:$G$99911,5,FALSE)</f>
        <v>LALONDE GREGORY</v>
      </c>
      <c r="M176" s="6">
        <f t="shared" si="61"/>
        <v>1.0671296295186039E-2</v>
      </c>
      <c r="N176" s="7">
        <f t="shared" si="79"/>
        <v>15.366666665067896</v>
      </c>
      <c r="O176" s="7"/>
      <c r="P176" s="7"/>
      <c r="Q176" s="22"/>
      <c r="R176" s="174"/>
      <c r="S176" s="221">
        <f t="shared" si="75"/>
        <v>1</v>
      </c>
      <c r="T176" s="174" t="str">
        <f t="shared" si="62"/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63"/>
        <v>https://d0f6bd738d7f1b3e5a7ca70fe4ff75f0.us-east-1.aws.found.io/app/kibana#/discover/Steve-Slow-Train-Analysis-(2080s-and-2083s)?_g=(refreshInterval:(display:Off,pause:!f,section:0,value:0),time:(from:'2017-09-22T09:23:23-0600',mode:absolute,to:'2017-09-22T11:54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6" s="204" t="str">
        <f>IF(AA176&lt;VLOOKUP(AG176,Variables!$AC$3:$AD$8,2,FALSE),"Y","N")</f>
        <v>N</v>
      </c>
      <c r="X176" s="204">
        <f t="shared" si="78"/>
        <v>1</v>
      </c>
      <c r="Y176" s="204">
        <f t="shared" si="90"/>
        <v>5.8662000000000001</v>
      </c>
      <c r="Z176" s="204">
        <f t="shared" si="91"/>
        <v>7.2599999999999998E-2</v>
      </c>
      <c r="AA176" s="204">
        <f t="shared" si="65"/>
        <v>5.7935999999999996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66"/>
        <v>816</v>
      </c>
      <c r="AE176" s="77" t="str">
        <f t="shared" si="67"/>
        <v>aws s3 cp s3://rtdc.mdm.uploadarchive.raw/RTDC4041/ "%USERPROFILE%\AppData\Local\Temp\OnboardLogs"\RTDC4041\2017-09-22 --exclude "*" --recursive --include "*20170922*" &amp; "%USERPROFILE%\Documents\GitHub\mrs-test-scripts\Headless Mode &amp; Sideloading\WalkAndUnGZ.bat" "%USERPROFILE%\AppData\Local\Temp\OnboardLogs"\RTDC4041\2017-09-22 &amp; aws s3 cp s3://rtdc.mdm.uploadarchive.raw/RTDC4041/ "%USERPROFILE%\AppData\Local\Temp\OnboardLogs"\RTDC4041\2017-09-23 --exclude "*" --recursive --include "*20170923*" &amp; "%USERPROFILE%\Documents\GitHub\mrs-test-scripts\Headless Mode &amp; Sideloading\WalkAndUnGZ.bat" "%USERPROFILE%\AppData\Local\Temp\OnboardLogs"\RTDC4041\2017-09-23</v>
      </c>
      <c r="AF176" s="74" t="str">
        <f t="shared" si="68"/>
        <v>"C:\Program Files (x86)\AstroGrep\AstroGrep.exe" /e /r /s /spath="%USERPROFILE%\AppData\Local\Temp\OnboardLogs" /stypes="app*4041*20170922*" /stext=" 16:.+((SYSTEM_STATE.+slice.+state.+changed )|(ment ac)|(multiple cpu faults)|(system.+state.+changed )|(\[timeout)|(PRM\|1\|D)|(kpr)|(kdp)|(train st.+moving)|(\|lc)|(penalty))"</v>
      </c>
      <c r="AG176" s="182" t="str">
        <f t="shared" si="69"/>
        <v>NW</v>
      </c>
      <c r="AH176" s="78" t="str">
        <f t="shared" si="70"/>
        <v>"%USERPROFILE%\Documents\GitHub\eaglep3\Utilities\RefineRTDCRunTimes.py" --tripid 816-22 --locoid 4041 --swversion DE.1.0.9.0 --startMP 300:58662 --initTime 2017-09-22T10:23:23 --startdatetime 2017-09-22T10:38:49 --delay 66 --endMP 204:726 --enddatetime 2017-09-22T10:54:11 --enforcementcount 0 &gt;&gt;c:\users\stu\Documents\GitHub\eaglep3-reporting\EC\2017-09-22-refined-times.txt</v>
      </c>
      <c r="AI176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{"issue":{"subject":"","project_id":79,"tracker_id":40,"status_id":1,"priority_id":2,"assigned_to_id":338,"start_date":"2017-09-22","description":"","custom_fields":[{"id":1,"name":"Subdivision","value":"NW"},{"id":4,"name":"Milepost","value":"0.0726"},{"id":17,"name":"Train ID","value":"816-22"},{"id":16,"name":"Locomotive ID","value":"4041"},{"id":130,"name":"Impact","value":""},{"id":150,"name":"Time of Event (Mountain Time)","value":"10:54:11"},{"id":151,"name":"Denver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72"/>
        <v>start /low /b %USERPROFILE%\Documents\GitHub\eaglep3\Utilities\DownloadLogsFromS3.py --loco 4041 --day 2017-09-22</v>
      </c>
      <c r="AN176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16:54:11"},{"id":29,"name":"Sharepoint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74"/>
        <v>https://d0f6bd738d7f1b3e5a7ca70fe4ff75f0.us-east-1.aws.found.io/app/kibana#/discover/Steve-Slow-Train-Analysis-(2080s-and-2083s)?_g=(refreshInterval:(display:Off,pause:!f,section:0,value:0),time:(from:'2017-09-22T09:23:23-0600',mode:absolute,to:'2017-09-22T11:54:11-0600'))&amp;_a=(columns:!('Message%20ID',Summary),filters:!(),index:'emp_*',interval:auto,query:(query_string:(analyze_wildcard:!t,query:'Message%5C+ID:(*)+AND+%22rtdc.l.rtdc.4041%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698</v>
      </c>
      <c r="B177" s="7">
        <v>4042</v>
      </c>
      <c r="C177" s="21" t="s">
        <v>196</v>
      </c>
      <c r="D177" s="21" t="s">
        <v>923</v>
      </c>
      <c r="E177" s="13">
        <v>43000.456145833334</v>
      </c>
      <c r="F177" s="13">
        <v>43000.465057870373</v>
      </c>
      <c r="G177" s="7">
        <v>58</v>
      </c>
      <c r="H177" s="21" t="s">
        <v>924</v>
      </c>
      <c r="I177" s="13">
        <v>43000.474039351851</v>
      </c>
      <c r="J177" s="7">
        <v>0</v>
      </c>
      <c r="K177" s="89" t="str">
        <f t="shared" si="60"/>
        <v>4041/4042</v>
      </c>
      <c r="L177" s="185" t="str">
        <f>VLOOKUP(A177,'Trips&amp;Operators'!$C$1:$G$99911,5,FALSE)</f>
        <v>LALONDE GREGORY</v>
      </c>
      <c r="M177" s="6">
        <f t="shared" si="61"/>
        <v>8.9814814782585017E-3</v>
      </c>
      <c r="N177" s="7">
        <f t="shared" si="79"/>
        <v>12.933333328692243</v>
      </c>
      <c r="O177" s="7"/>
      <c r="P177" s="7"/>
      <c r="Q177" s="22"/>
      <c r="R177" s="174"/>
      <c r="S177" s="221">
        <f t="shared" si="75"/>
        <v>1</v>
      </c>
      <c r="T177" s="174" t="str">
        <f t="shared" si="62"/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63"/>
        <v>https://d0f6bd738d7f1b3e5a7ca70fe4ff75f0.us-east-1.aws.found.io/app/kibana#/discover/Steve-Slow-Train-Analysis-(2080s-and-2083s)?_g=(refreshInterval:(display:Off,pause:!f,section:0,value:0),time:(from:'2017-09-22T09:56:51-0600',mode:absolute,to:'2017-09-22T12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7" s="204" t="str">
        <f>IF(AA177&lt;VLOOKUP(AG177,Variables!$AC$3:$AD$8,2,FALSE),"Y","N")</f>
        <v>N</v>
      </c>
      <c r="X177" s="204">
        <f t="shared" si="78"/>
        <v>1</v>
      </c>
      <c r="Y177" s="204">
        <f t="shared" si="90"/>
        <v>0.10349999999999999</v>
      </c>
      <c r="Z177" s="204">
        <f t="shared" si="91"/>
        <v>5.899</v>
      </c>
      <c r="AA177" s="204">
        <f t="shared" si="65"/>
        <v>5.7954999999999997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66"/>
        <v>817</v>
      </c>
      <c r="AE177" s="77" t="str">
        <f t="shared" si="67"/>
        <v>aws s3 cp s3://rtdc.mdm.uploadarchive.raw/RTDC4042/ "%USERPROFILE%\AppData\Local\Temp\OnboardLogs"\RTDC4042\2017-09-22 --exclude "*" --recursive --include "*20170922*" &amp; "%USERPROFILE%\Documents\GitHub\mrs-test-scripts\Headless Mode &amp; Sideloading\WalkAndUnGZ.bat" "%USERPROFILE%\AppData\Local\Temp\OnboardLogs"\RTDC4042\2017-09-22 &amp; aws s3 cp s3://rtdc.mdm.uploadarchive.raw/RTDC4042/ "%USERPROFILE%\AppData\Local\Temp\OnboardLogs"\RTDC4042\2017-09-23 --exclude "*" --recursive --include "*20170923*" &amp; "%USERPROFILE%\Documents\GitHub\mrs-test-scripts\Headless Mode &amp; Sideloading\WalkAndUnGZ.bat" "%USERPROFILE%\AppData\Local\Temp\OnboardLogs"\RTDC4042\2017-09-23</v>
      </c>
      <c r="AF177" s="74" t="str">
        <f t="shared" si="68"/>
        <v>"C:\Program Files (x86)\AstroGrep\AstroGrep.exe" /e /r /s /spath="%USERPROFILE%\AppData\Local\Temp\OnboardLogs" /stypes="app*4042*20170922*" /stext=" 17:.+((SYSTEM_STATE.+slice.+state.+changed )|(ment ac)|(multiple cpu faults)|(system.+state.+changed )|(\[timeout)|(PRM\|1\|D)|(kpr)|(kdp)|(train st.+moving)|(\|lc)|(penalty))"</v>
      </c>
      <c r="AG177" s="182" t="str">
        <f t="shared" si="69"/>
        <v>NW</v>
      </c>
      <c r="AH177" s="78" t="str">
        <f t="shared" si="70"/>
        <v>"%USERPROFILE%\Documents\GitHub\eaglep3\Utilities\RefineRTDCRunTimes.py" --tripid 817-22 --locoid 4042 --swversion DE.1.0.9.0 --startMP 204:1035 --initTime 2017-09-22T10:56:51 --startdatetime 2017-09-22T11:09:41 --delay 58 --endMP 300:58990 --enddatetime 2017-09-22T11:22:37 --enforcementcount 0 &gt;&gt;c:\users\stu\Documents\GitHub\eaglep3-reporting\EC\2017-09-22-refined-times.txt</v>
      </c>
      <c r="AI177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{"issue":{"subject":"","project_id":79,"tracker_id":40,"status_id":1,"priority_id":2,"assigned_to_id":338,"start_date":"2017-09-22","description":"","custom_fields":[{"id":1,"name":"Subdivision","value":"NW"},{"id":4,"name":"Milepost","value":"5.899"},{"id":17,"name":"Train ID","value":"817-22"},{"id":16,"name":"Locomotive ID","value":"4042"},{"id":130,"name":"Impact","value":""},{"id":150,"name":"Time of Event (Mountain Time)","value":"11:22:37"},{"id":151,"name":"Denver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72"/>
        <v>start /low /b %USERPROFILE%\Documents\GitHub\eaglep3\Utilities\DownloadLogsFromS3.py --loco 4042 --day 2017-09-22</v>
      </c>
      <c r="AN177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17:22:37"},{"id":29,"name":"Sharepoint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74"/>
        <v>https://d0f6bd738d7f1b3e5a7ca70fe4ff75f0.us-east-1.aws.found.io/app/kibana#/discover/Steve-Slow-Train-Analysis-(2080s-and-2083s)?_g=(refreshInterval:(display:Off,pause:!f,section:0,value:0),time:(from:'2017-09-22T09:56:51-0600',mode:absolute,to:'2017-09-22T12:22:37-0600'))&amp;_a=(columns:!('Message%20ID',Summary),filters:!(),index:'emp_*',interval:auto,query:(query_string:(analyze_wildcard:!t,query:'Message%5C+ID:(*)+AND+%22rtdc.l.rtdc.4042%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704</v>
      </c>
      <c r="B178" s="7">
        <v>4041</v>
      </c>
      <c r="C178" s="21" t="s">
        <v>196</v>
      </c>
      <c r="D178" s="21" t="s">
        <v>925</v>
      </c>
      <c r="E178" s="13">
        <v>43000.474849537037</v>
      </c>
      <c r="F178" s="13">
        <v>43000.485208333332</v>
      </c>
      <c r="G178" s="7">
        <v>107</v>
      </c>
      <c r="H178" s="21" t="s">
        <v>926</v>
      </c>
      <c r="I178" s="13">
        <v>43000.496006944442</v>
      </c>
      <c r="J178" s="7">
        <v>0</v>
      </c>
      <c r="K178" s="89" t="str">
        <f t="shared" si="60"/>
        <v>4041/4042</v>
      </c>
      <c r="L178" s="185" t="str">
        <f>VLOOKUP(A178,'Trips&amp;Operators'!$C$1:$G$99911,5,FALSE)</f>
        <v>LALONDE GREGORY</v>
      </c>
      <c r="M178" s="6">
        <f t="shared" si="61"/>
        <v>1.0798611110658385E-2</v>
      </c>
      <c r="N178" s="7">
        <f t="shared" si="79"/>
        <v>15.549999999348074</v>
      </c>
      <c r="O178" s="7"/>
      <c r="P178" s="7"/>
      <c r="Q178" s="22"/>
      <c r="R178" s="174"/>
      <c r="S178" s="221">
        <f t="shared" si="75"/>
        <v>1</v>
      </c>
      <c r="T178" s="174" t="str">
        <f t="shared" si="62"/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63"/>
        <v>https://d0f6bd738d7f1b3e5a7ca70fe4ff75f0.us-east-1.aws.found.io/app/kibana#/discover/Steve-Slow-Train-Analysis-(2080s-and-2083s)?_g=(refreshInterval:(display:Off,pause:!f,section:0,value:0),time:(from:'2017-09-22T10:23:47-0600',mode:absolute,to:'2017-09-22T12:54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8" s="204" t="str">
        <f>IF(AA178&lt;VLOOKUP(AG178,Variables!$AC$3:$AD$8,2,FALSE),"Y","N")</f>
        <v>N</v>
      </c>
      <c r="X178" s="204">
        <f t="shared" si="78"/>
        <v>1</v>
      </c>
      <c r="Y178" s="204">
        <f t="shared" si="90"/>
        <v>5.8663999999999996</v>
      </c>
      <c r="Z178" s="204">
        <f t="shared" si="91"/>
        <v>6.7299999999999999E-2</v>
      </c>
      <c r="AA178" s="204">
        <f t="shared" si="65"/>
        <v>5.7990999999999993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66"/>
        <v>818</v>
      </c>
      <c r="AE178" s="77" t="str">
        <f t="shared" si="67"/>
        <v>aws s3 cp s3://rtdc.mdm.uploadarchive.raw/RTDC4041/ "%USERPROFILE%\AppData\Local\Temp\OnboardLogs"\RTDC4041\2017-09-22 --exclude "*" --recursive --include "*20170922*" &amp; "%USERPROFILE%\Documents\GitHub\mrs-test-scripts\Headless Mode &amp; Sideloading\WalkAndUnGZ.bat" "%USERPROFILE%\AppData\Local\Temp\OnboardLogs"\RTDC4041\2017-09-22 &amp; aws s3 cp s3://rtdc.mdm.uploadarchive.raw/RTDC4041/ "%USERPROFILE%\AppData\Local\Temp\OnboardLogs"\RTDC4041\2017-09-23 --exclude "*" --recursive --include "*20170923*" &amp; "%USERPROFILE%\Documents\GitHub\mrs-test-scripts\Headless Mode &amp; Sideloading\WalkAndUnGZ.bat" "%USERPROFILE%\AppData\Local\Temp\OnboardLogs"\RTDC4041\2017-09-23</v>
      </c>
      <c r="AF178" s="74" t="str">
        <f t="shared" si="68"/>
        <v>"C:\Program Files (x86)\AstroGrep\AstroGrep.exe" /e /r /s /spath="%USERPROFILE%\AppData\Local\Temp\OnboardLogs" /stypes="app*4041*20170922*" /stext=" 17:.+((SYSTEM_STATE.+slice.+state.+changed )|(ment ac)|(multiple cpu faults)|(system.+state.+changed )|(\[timeout)|(PRM\|1\|D)|(kpr)|(kdp)|(train st.+moving)|(\|lc)|(penalty))"</v>
      </c>
      <c r="AG178" s="182" t="str">
        <f t="shared" si="69"/>
        <v>NW</v>
      </c>
      <c r="AH178" s="78" t="str">
        <f t="shared" si="70"/>
        <v>"%USERPROFILE%\Documents\GitHub\eaglep3\Utilities\RefineRTDCRunTimes.py" --tripid 818-22 --locoid 4041 --swversion DE.1.0.9.0 --startMP 300:58664 --initTime 2017-09-22T11:23:47 --startdatetime 2017-09-22T11:38:42 --delay 107 --endMP 204:673 --enddatetime 2017-09-22T11:54:15 --enforcementcount 0 &gt;&gt;c:\users\stu\Documents\GitHub\eaglep3-reporting\EC\2017-09-22-refined-times.txt</v>
      </c>
      <c r="AI178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{"issue":{"subject":"","project_id":79,"tracker_id":40,"status_id":1,"priority_id":2,"assigned_to_id":338,"start_date":"2017-09-22","description":"","custom_fields":[{"id":1,"name":"Subdivision","value":"NW"},{"id":4,"name":"Milepost","value":"0.0673"},{"id":17,"name":"Train ID","value":"818-22"},{"id":16,"name":"Locomotive ID","value":"4041"},{"id":130,"name":"Impact","value":""},{"id":150,"name":"Time of Event (Mountain Time)","value":"11:54:15"},{"id":151,"name":"Denver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72"/>
        <v>start /low /b %USERPROFILE%\Documents\GitHub\eaglep3\Utilities\DownloadLogsFromS3.py --loco 4041 --day 2017-09-22</v>
      </c>
      <c r="AN178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17:54:15"},{"id":29,"name":"Sharepoint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74"/>
        <v>https://d0f6bd738d7f1b3e5a7ca70fe4ff75f0.us-east-1.aws.found.io/app/kibana#/discover/Steve-Slow-Train-Analysis-(2080s-and-2083s)?_g=(refreshInterval:(display:Off,pause:!f,section:0,value:0),time:(from:'2017-09-22T10:23:47-0600',mode:absolute,to:'2017-09-22T12:54:15-0600'))&amp;_a=(columns:!('Message%20ID',Summary),filters:!(),index:'emp_*',interval:auto,query:(query_string:(analyze_wildcard:!t,query:'Message%5C+ID:(*)+AND+%22rtdc.l.rtdc.4041%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711</v>
      </c>
      <c r="B179" s="7">
        <v>4042</v>
      </c>
      <c r="C179" s="21" t="s">
        <v>196</v>
      </c>
      <c r="D179" s="21" t="s">
        <v>927</v>
      </c>
      <c r="E179" s="13">
        <v>43000.497523148151</v>
      </c>
      <c r="F179" s="13">
        <v>43000.50640046296</v>
      </c>
      <c r="G179" s="7">
        <v>49</v>
      </c>
      <c r="H179" s="21" t="s">
        <v>513</v>
      </c>
      <c r="I179" s="13">
        <v>43000.515682870369</v>
      </c>
      <c r="J179" s="7">
        <v>0</v>
      </c>
      <c r="K179" s="89" t="str">
        <f t="shared" si="60"/>
        <v>4041/4042</v>
      </c>
      <c r="L179" s="185" t="str">
        <f>VLOOKUP(A179,'Trips&amp;Operators'!$C$1:$G$99911,5,FALSE)</f>
        <v>LALONDE GREGORY</v>
      </c>
      <c r="M179" s="6">
        <f t="shared" si="61"/>
        <v>9.2824074090458453E-3</v>
      </c>
      <c r="N179" s="7">
        <f t="shared" si="79"/>
        <v>13.366666669026017</v>
      </c>
      <c r="O179" s="7"/>
      <c r="P179" s="7"/>
      <c r="Q179" s="22"/>
      <c r="R179" s="174"/>
      <c r="S179" s="221">
        <f t="shared" si="75"/>
        <v>1</v>
      </c>
      <c r="T179" s="174" t="str">
        <f t="shared" si="62"/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63"/>
        <v>https://d0f6bd738d7f1b3e5a7ca70fe4ff75f0.us-east-1.aws.found.io/app/kibana#/discover/Steve-Slow-Train-Analysis-(2080s-and-2083s)?_g=(refreshInterval:(display:Off,pause:!f,section:0,value:0),time:(from:'2017-09-22T10:56:26-0600',mode:absolute,to:'2017-09-22T13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9" s="204" t="str">
        <f>IF(AA179&lt;VLOOKUP(AG179,Variables!$AC$3:$AD$8,2,FALSE),"Y","N")</f>
        <v>N</v>
      </c>
      <c r="X179" s="204">
        <f t="shared" si="78"/>
        <v>1</v>
      </c>
      <c r="Y179" s="204">
        <f t="shared" si="90"/>
        <v>9.6199999999999994E-2</v>
      </c>
      <c r="Z179" s="204">
        <f t="shared" si="91"/>
        <v>5.8975</v>
      </c>
      <c r="AA179" s="204">
        <f t="shared" si="65"/>
        <v>5.8013000000000003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66"/>
        <v>819</v>
      </c>
      <c r="AE179" s="77" t="str">
        <f t="shared" si="67"/>
        <v>aws s3 cp s3://rtdc.mdm.uploadarchive.raw/RTDC4042/ "%USERPROFILE%\AppData\Local\Temp\OnboardLogs"\RTDC4042\2017-09-22 --exclude "*" --recursive --include "*20170922*" &amp; "%USERPROFILE%\Documents\GitHub\mrs-test-scripts\Headless Mode &amp; Sideloading\WalkAndUnGZ.bat" "%USERPROFILE%\AppData\Local\Temp\OnboardLogs"\RTDC4042\2017-09-22 &amp; aws s3 cp s3://rtdc.mdm.uploadarchive.raw/RTDC4042/ "%USERPROFILE%\AppData\Local\Temp\OnboardLogs"\RTDC4042\2017-09-23 --exclude "*" --recursive --include "*20170923*" &amp; "%USERPROFILE%\Documents\GitHub\mrs-test-scripts\Headless Mode &amp; Sideloading\WalkAndUnGZ.bat" "%USERPROFILE%\AppData\Local\Temp\OnboardLogs"\RTDC4042\2017-09-23</v>
      </c>
      <c r="AF179" s="74" t="str">
        <f t="shared" si="68"/>
        <v>"C:\Program Files (x86)\AstroGrep\AstroGrep.exe" /e /r /s /spath="%USERPROFILE%\AppData\Local\Temp\OnboardLogs" /stypes="app*4042*20170922*" /stext=" 18:.+((SYSTEM_STATE.+slice.+state.+changed )|(ment ac)|(multiple cpu faults)|(system.+state.+changed )|(\[timeout)|(PRM\|1\|D)|(kpr)|(kdp)|(train st.+moving)|(\|lc)|(penalty))"</v>
      </c>
      <c r="AG179" s="182" t="str">
        <f t="shared" si="69"/>
        <v>NW</v>
      </c>
      <c r="AH179" s="78" t="str">
        <f t="shared" si="70"/>
        <v>"%USERPROFILE%\Documents\GitHub\eaglep3\Utilities\RefineRTDCRunTimes.py" --tripid 819-22 --locoid 4042 --swversion DE.1.0.9.0 --startMP 204:962 --initTime 2017-09-22T11:56:26 --startdatetime 2017-09-22T12:09:13 --delay 49 --endMP 300:58975 --enddatetime 2017-09-22T12:22:35 --enforcementcount 0 &gt;&gt;c:\users\stu\Documents\GitHub\eaglep3-reporting\EC\2017-09-22-refined-times.txt</v>
      </c>
      <c r="AI179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{"issue":{"subject":"","project_id":79,"tracker_id":40,"status_id":1,"priority_id":2,"assigned_to_id":338,"start_date":"2017-09-22","description":"","custom_fields":[{"id":1,"name":"Subdivision","value":"NW"},{"id":4,"name":"Milepost","value":"5.8975"},{"id":17,"name":"Train ID","value":"819-22"},{"id":16,"name":"Locomotive ID","value":"4042"},{"id":130,"name":"Impact","value":""},{"id":150,"name":"Time of Event (Mountain Time)","value":"12:22:35"},{"id":151,"name":"Denver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72"/>
        <v>start /low /b %USERPROFILE%\Documents\GitHub\eaglep3\Utilities\DownloadLogsFromS3.py --loco 4042 --day 2017-09-22</v>
      </c>
      <c r="AN179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18:22:35"},{"id":29,"name":"Sharepoint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74"/>
        <v>https://d0f6bd738d7f1b3e5a7ca70fe4ff75f0.us-east-1.aws.found.io/app/kibana#/discover/Steve-Slow-Train-Analysis-(2080s-and-2083s)?_g=(refreshInterval:(display:Off,pause:!f,section:0,value:0),time:(from:'2017-09-22T10:56:26-0600',mode:absolute,to:'2017-09-22T13:22:35-0600'))&amp;_a=(columns:!('Message%20ID',Summary),filters:!(),index:'emp_*',interval:auto,query:(query_string:(analyze_wildcard:!t,query:'Message%5C+ID:(*)+AND+%22rtdc.l.rtdc.4042%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715</v>
      </c>
      <c r="B180" s="7">
        <v>4041</v>
      </c>
      <c r="C180" s="21" t="s">
        <v>196</v>
      </c>
      <c r="D180" s="21" t="s">
        <v>909</v>
      </c>
      <c r="E180" s="13">
        <v>43000.516435185185</v>
      </c>
      <c r="F180" s="13">
        <v>43000.526585648149</v>
      </c>
      <c r="G180" s="7">
        <v>55</v>
      </c>
      <c r="H180" s="21" t="s">
        <v>928</v>
      </c>
      <c r="I180" s="13">
        <v>43000.537534722222</v>
      </c>
      <c r="J180" s="7">
        <v>0</v>
      </c>
      <c r="K180" s="89" t="str">
        <f t="shared" si="60"/>
        <v>4041/4042</v>
      </c>
      <c r="L180" s="185" t="str">
        <f>VLOOKUP(A180,'Trips&amp;Operators'!$C$1:$G$99911,5,FALSE)</f>
        <v>LALONDE GREGORY</v>
      </c>
      <c r="M180" s="6">
        <f t="shared" si="61"/>
        <v>1.0949074072414078E-2</v>
      </c>
      <c r="N180" s="7">
        <f t="shared" si="79"/>
        <v>15.766666664276272</v>
      </c>
      <c r="O180" s="7"/>
      <c r="P180" s="7"/>
      <c r="Q180" s="22"/>
      <c r="R180" s="174"/>
      <c r="S180" s="221">
        <f t="shared" si="75"/>
        <v>1</v>
      </c>
      <c r="T180" s="174" t="str">
        <f t="shared" si="62"/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63"/>
        <v>https://d0f6bd738d7f1b3e5a7ca70fe4ff75f0.us-east-1.aws.found.io/app/kibana#/discover/Steve-Slow-Train-Analysis-(2080s-and-2083s)?_g=(refreshInterval:(display:Off,pause:!f,section:0,value:0),time:(from:'2017-09-22T11:23:40-0600',mode:absolute,to:'2017-09-22T13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0" s="204" t="str">
        <f>IF(AA180&lt;VLOOKUP(AG180,Variables!$AC$3:$AD$8,2,FALSE),"Y","N")</f>
        <v>N</v>
      </c>
      <c r="X180" s="204">
        <f t="shared" si="78"/>
        <v>1</v>
      </c>
      <c r="Y180" s="204">
        <f t="shared" si="90"/>
        <v>5.8658000000000001</v>
      </c>
      <c r="Z180" s="204">
        <f t="shared" si="91"/>
        <v>6.8699999999999997E-2</v>
      </c>
      <c r="AA180" s="204">
        <f t="shared" si="65"/>
        <v>5.7971000000000004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66"/>
        <v>820</v>
      </c>
      <c r="AE180" s="77" t="str">
        <f t="shared" si="67"/>
        <v>aws s3 cp s3://rtdc.mdm.uploadarchive.raw/RTDC4041/ "%USERPROFILE%\AppData\Local\Temp\OnboardLogs"\RTDC4041\2017-09-22 --exclude "*" --recursive --include "*20170922*" &amp; "%USERPROFILE%\Documents\GitHub\mrs-test-scripts\Headless Mode &amp; Sideloading\WalkAndUnGZ.bat" "%USERPROFILE%\AppData\Local\Temp\OnboardLogs"\RTDC4041\2017-09-22 &amp; aws s3 cp s3://rtdc.mdm.uploadarchive.raw/RTDC4041/ "%USERPROFILE%\AppData\Local\Temp\OnboardLogs"\RTDC4041\2017-09-23 --exclude "*" --recursive --include "*20170923*" &amp; "%USERPROFILE%\Documents\GitHub\mrs-test-scripts\Headless Mode &amp; Sideloading\WalkAndUnGZ.bat" "%USERPROFILE%\AppData\Local\Temp\OnboardLogs"\RTDC4041\2017-09-23</v>
      </c>
      <c r="AF180" s="74" t="str">
        <f t="shared" si="68"/>
        <v>"C:\Program Files (x86)\AstroGrep\AstroGrep.exe" /e /r /s /spath="%USERPROFILE%\AppData\Local\Temp\OnboardLogs" /stypes="app*4041*20170922*" /stext=" 18:.+((SYSTEM_STATE.+slice.+state.+changed )|(ment ac)|(multiple cpu faults)|(system.+state.+changed )|(\[timeout)|(PRM\|1\|D)|(kpr)|(kdp)|(train st.+moving)|(\|lc)|(penalty))"</v>
      </c>
      <c r="AG180" s="182" t="str">
        <f t="shared" si="69"/>
        <v>NW</v>
      </c>
      <c r="AH180" s="78" t="str">
        <f t="shared" si="70"/>
        <v>"%USERPROFILE%\Documents\GitHub\eaglep3\Utilities\RefineRTDCRunTimes.py" --tripid 820-22 --locoid 4041 --swversion DE.1.0.9.0 --startMP 300:58658 --initTime 2017-09-22T12:23:40 --startdatetime 2017-09-22T12:38:17 --delay 55 --endMP 204:687 --enddatetime 2017-09-22T12:54:03 --enforcementcount 0 &gt;&gt;c:\users\stu\Documents\GitHub\eaglep3-reporting\EC\2017-09-22-refined-times.txt</v>
      </c>
      <c r="AI180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{"issue":{"subject":"","project_id":79,"tracker_id":40,"status_id":1,"priority_id":2,"assigned_to_id":338,"start_date":"2017-09-22","description":"","custom_fields":[{"id":1,"name":"Subdivision","value":"NW"},{"id":4,"name":"Milepost","value":"0.0687"},{"id":17,"name":"Train ID","value":"820-22"},{"id":16,"name":"Locomotive ID","value":"4041"},{"id":130,"name":"Impact","value":""},{"id":150,"name":"Time of Event (Mountain Time)","value":"12:54:03"},{"id":151,"name":"Denver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72"/>
        <v>start /low /b %USERPROFILE%\Documents\GitHub\eaglep3\Utilities\DownloadLogsFromS3.py --loco 4041 --day 2017-09-22</v>
      </c>
      <c r="AN180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18:54:03"},{"id":29,"name":"Sharepoint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74"/>
        <v>https://d0f6bd738d7f1b3e5a7ca70fe4ff75f0.us-east-1.aws.found.io/app/kibana#/discover/Steve-Slow-Train-Analysis-(2080s-and-2083s)?_g=(refreshInterval:(display:Off,pause:!f,section:0,value:0),time:(from:'2017-09-22T11:23:40-0600',mode:absolute,to:'2017-09-22T13:54:03-0600'))&amp;_a=(columns:!('Message%20ID',Summary),filters:!(),index:'emp_*',interval:auto,query:(query_string:(analyze_wildcard:!t,query:'Message%5C+ID:(*)+AND+%22rtdc.l.rtdc.4041%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720</v>
      </c>
      <c r="B181" s="7">
        <v>4042</v>
      </c>
      <c r="C181" s="21" t="s">
        <v>196</v>
      </c>
      <c r="D181" s="21" t="s">
        <v>929</v>
      </c>
      <c r="E181" s="13">
        <v>43000.539641203701</v>
      </c>
      <c r="F181" s="13">
        <v>43000.548113425924</v>
      </c>
      <c r="G181" s="7">
        <v>71</v>
      </c>
      <c r="H181" s="21" t="s">
        <v>569</v>
      </c>
      <c r="I181" s="13">
        <v>43000.557997685188</v>
      </c>
      <c r="J181" s="7">
        <v>0</v>
      </c>
      <c r="K181" s="89" t="str">
        <f t="shared" si="60"/>
        <v>4041/4042</v>
      </c>
      <c r="L181" s="185" t="str">
        <f>VLOOKUP(A181,'Trips&amp;Operators'!$C$1:$G$99911,5,FALSE)</f>
        <v>BERLING GARY</v>
      </c>
      <c r="M181" s="6">
        <f t="shared" si="61"/>
        <v>9.8842592633445747E-3</v>
      </c>
      <c r="N181" s="7">
        <f t="shared" si="79"/>
        <v>14.233333339216188</v>
      </c>
      <c r="O181" s="7"/>
      <c r="P181" s="7"/>
      <c r="Q181" s="22"/>
      <c r="R181" s="174"/>
      <c r="S181" s="221">
        <f t="shared" si="75"/>
        <v>1</v>
      </c>
      <c r="T181" s="174" t="str">
        <f t="shared" si="62"/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63"/>
        <v>https://d0f6bd738d7f1b3e5a7ca70fe4ff75f0.us-east-1.aws.found.io/app/kibana#/discover/Steve-Slow-Train-Analysis-(2080s-and-2083s)?_g=(refreshInterval:(display:Off,pause:!f,section:0,value:0),time:(from:'2017-09-22T11:57:05-0600',mode:absolute,to:'2017-09-22T14:23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1" s="204" t="str">
        <f>IF(AA181&lt;VLOOKUP(AG181,Variables!$AC$3:$AD$8,2,FALSE),"Y","N")</f>
        <v>N</v>
      </c>
      <c r="X181" s="204">
        <f t="shared" si="78"/>
        <v>1</v>
      </c>
      <c r="Y181" s="204">
        <f t="shared" si="90"/>
        <v>9.6000000000000002E-2</v>
      </c>
      <c r="Z181" s="204">
        <f t="shared" si="91"/>
        <v>5.8928000000000003</v>
      </c>
      <c r="AA181" s="204">
        <f t="shared" si="65"/>
        <v>5.7968000000000002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66"/>
        <v>821</v>
      </c>
      <c r="AE181" s="77" t="str">
        <f t="shared" si="67"/>
        <v>aws s3 cp s3://rtdc.mdm.uploadarchive.raw/RTDC4042/ "%USERPROFILE%\AppData\Local\Temp\OnboardLogs"\RTDC4042\2017-09-22 --exclude "*" --recursive --include "*20170922*" &amp; "%USERPROFILE%\Documents\GitHub\mrs-test-scripts\Headless Mode &amp; Sideloading\WalkAndUnGZ.bat" "%USERPROFILE%\AppData\Local\Temp\OnboardLogs"\RTDC4042\2017-09-22 &amp; aws s3 cp s3://rtdc.mdm.uploadarchive.raw/RTDC4042/ "%USERPROFILE%\AppData\Local\Temp\OnboardLogs"\RTDC4042\2017-09-23 --exclude "*" --recursive --include "*20170923*" &amp; "%USERPROFILE%\Documents\GitHub\mrs-test-scripts\Headless Mode &amp; Sideloading\WalkAndUnGZ.bat" "%USERPROFILE%\AppData\Local\Temp\OnboardLogs"\RTDC4042\2017-09-23</v>
      </c>
      <c r="AF181" s="74" t="str">
        <f t="shared" si="68"/>
        <v>"C:\Program Files (x86)\AstroGrep\AstroGrep.exe" /e /r /s /spath="%USERPROFILE%\AppData\Local\Temp\OnboardLogs" /stypes="app*4042*20170922*" /stext=" 19:.+((SYSTEM_STATE.+slice.+state.+changed )|(ment ac)|(multiple cpu faults)|(system.+state.+changed )|(\[timeout)|(PRM\|1\|D)|(kpr)|(kdp)|(train st.+moving)|(\|lc)|(penalty))"</v>
      </c>
      <c r="AG181" s="182" t="str">
        <f t="shared" si="69"/>
        <v>NW</v>
      </c>
      <c r="AH181" s="78" t="str">
        <f t="shared" si="70"/>
        <v>"%USERPROFILE%\Documents\GitHub\eaglep3\Utilities\RefineRTDCRunTimes.py" --tripid 821-22 --locoid 4042 --swversion DE.1.0.9.0 --startMP 204:960 --initTime 2017-09-22T12:57:05 --startdatetime 2017-09-22T13:09:17 --delay 71 --endMP 300:58928 --enddatetime 2017-09-22T13:23:31 --enforcementcount 0 &gt;&gt;c:\users\stu\Documents\GitHub\eaglep3-reporting\EC\2017-09-22-refined-times.txt</v>
      </c>
      <c r="AI181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{"issue":{"subject":"","project_id":79,"tracker_id":40,"status_id":1,"priority_id":2,"assigned_to_id":338,"start_date":"2017-09-22","description":"","custom_fields":[{"id":1,"name":"Subdivision","value":"NW"},{"id":4,"name":"Milepost","value":"5.8928"},{"id":17,"name":"Train ID","value":"821-22"},{"id":16,"name":"Locomotive ID","value":"4042"},{"id":130,"name":"Impact","value":""},{"id":150,"name":"Time of Event (Mountain Time)","value":"13:23:31"},{"id":151,"name":"Denver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72"/>
        <v>start /low /b %USERPROFILE%\Documents\GitHub\eaglep3\Utilities\DownloadLogsFromS3.py --loco 4042 --day 2017-09-22</v>
      </c>
      <c r="AN181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19:23:31"},{"id":29,"name":"Sharepoint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74"/>
        <v>https://d0f6bd738d7f1b3e5a7ca70fe4ff75f0.us-east-1.aws.found.io/app/kibana#/discover/Steve-Slow-Train-Analysis-(2080s-and-2083s)?_g=(refreshInterval:(display:Off,pause:!f,section:0,value:0),time:(from:'2017-09-22T11:57:05-0600',mode:absolute,to:'2017-09-22T14:23:31-0600'))&amp;_a=(columns:!('Message%20ID',Summary),filters:!(),index:'emp_*',interval:auto,query:(query_string:(analyze_wildcard:!t,query:'Message%5C+ID:(*)+AND+%22rtdc.l.rtdc.4042%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725</v>
      </c>
      <c r="B182" s="7">
        <v>4041</v>
      </c>
      <c r="C182" s="21" t="s">
        <v>196</v>
      </c>
      <c r="D182" s="21" t="s">
        <v>930</v>
      </c>
      <c r="E182" s="13">
        <v>43000.565104166664</v>
      </c>
      <c r="F182" s="13">
        <v>43000.568819444445</v>
      </c>
      <c r="G182" s="7">
        <v>73</v>
      </c>
      <c r="H182" s="21" t="s">
        <v>931</v>
      </c>
      <c r="I182" s="13">
        <v>43000.579814814817</v>
      </c>
      <c r="J182" s="7">
        <v>0</v>
      </c>
      <c r="K182" s="89" t="str">
        <f t="shared" si="60"/>
        <v>4041/4042</v>
      </c>
      <c r="L182" s="185" t="str">
        <f>VLOOKUP(A182,'Trips&amp;Operators'!$C$1:$G$99911,5,FALSE)</f>
        <v>BERLING GARY</v>
      </c>
      <c r="M182" s="6">
        <f t="shared" si="61"/>
        <v>1.099537037225673E-2</v>
      </c>
      <c r="N182" s="7">
        <f t="shared" si="79"/>
        <v>15.833333336049691</v>
      </c>
      <c r="O182" s="7"/>
      <c r="P182" s="7"/>
      <c r="Q182" s="22"/>
      <c r="R182" s="174"/>
      <c r="S182" s="221">
        <f t="shared" si="75"/>
        <v>1</v>
      </c>
      <c r="T182" s="174" t="str">
        <f t="shared" si="62"/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63"/>
        <v>https://d0f6bd738d7f1b3e5a7ca70fe4ff75f0.us-east-1.aws.found.io/app/kibana#/discover/Steve-Slow-Train-Analysis-(2080s-and-2083s)?_g=(refreshInterval:(display:Off,pause:!f,section:0,value:0),time:(from:'2017-09-22T12:33:45-0600',mode:absolute,to:'2017-09-22T14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2" s="204" t="str">
        <f>IF(AA182&lt;VLOOKUP(AG182,Variables!$AC$3:$AD$8,2,FALSE),"Y","N")</f>
        <v>N</v>
      </c>
      <c r="X182" s="204">
        <f t="shared" si="78"/>
        <v>1</v>
      </c>
      <c r="Y182" s="204">
        <f t="shared" si="90"/>
        <v>5.8604000000000003</v>
      </c>
      <c r="Z182" s="204">
        <f t="shared" si="91"/>
        <v>6.5699999999999995E-2</v>
      </c>
      <c r="AA182" s="204">
        <f t="shared" si="65"/>
        <v>5.7947000000000006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66"/>
        <v>822</v>
      </c>
      <c r="AE182" s="77" t="str">
        <f t="shared" si="67"/>
        <v>aws s3 cp s3://rtdc.mdm.uploadarchive.raw/RTDC4041/ "%USERPROFILE%\AppData\Local\Temp\OnboardLogs"\RTDC4041\2017-09-22 --exclude "*" --recursive --include "*20170922*" &amp; "%USERPROFILE%\Documents\GitHub\mrs-test-scripts\Headless Mode &amp; Sideloading\WalkAndUnGZ.bat" "%USERPROFILE%\AppData\Local\Temp\OnboardLogs"\RTDC4041\2017-09-22 &amp; aws s3 cp s3://rtdc.mdm.uploadarchive.raw/RTDC4041/ "%USERPROFILE%\AppData\Local\Temp\OnboardLogs"\RTDC4041\2017-09-23 --exclude "*" --recursive --include "*20170923*" &amp; "%USERPROFILE%\Documents\GitHub\mrs-test-scripts\Headless Mode &amp; Sideloading\WalkAndUnGZ.bat" "%USERPROFILE%\AppData\Local\Temp\OnboardLogs"\RTDC4041\2017-09-23</v>
      </c>
      <c r="AF182" s="74" t="str">
        <f t="shared" si="68"/>
        <v>"C:\Program Files (x86)\AstroGrep\AstroGrep.exe" /e /r /s /spath="%USERPROFILE%\AppData\Local\Temp\OnboardLogs" /stypes="app*4041*20170922*" /stext=" 19:.+((SYSTEM_STATE.+slice.+state.+changed )|(ment ac)|(multiple cpu faults)|(system.+state.+changed )|(\[timeout)|(PRM\|1\|D)|(kpr)|(kdp)|(train st.+moving)|(\|lc)|(penalty))"</v>
      </c>
      <c r="AG182" s="182" t="str">
        <f t="shared" si="69"/>
        <v>NW</v>
      </c>
      <c r="AH182" s="78" t="str">
        <f t="shared" si="70"/>
        <v>"%USERPROFILE%\Documents\GitHub\eaglep3\Utilities\RefineRTDCRunTimes.py" --tripid 822-22 --locoid 4041 --swversion DE.1.0.9.0 --startMP 300:58604 --initTime 2017-09-22T13:33:45 --startdatetime 2017-09-22T13:39:06 --delay 73 --endMP 204:657 --enddatetime 2017-09-22T13:54:56 --enforcementcount 0 &gt;&gt;c:\users\stu\Documents\GitHub\eaglep3-reporting\EC\2017-09-22-refined-times.txt</v>
      </c>
      <c r="AI182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{"issue":{"subject":"","project_id":79,"tracker_id":40,"status_id":1,"priority_id":2,"assigned_to_id":338,"start_date":"2017-09-22","description":"","custom_fields":[{"id":1,"name":"Subdivision","value":"NW"},{"id":4,"name":"Milepost","value":"0.0657"},{"id":17,"name":"Train ID","value":"822-22"},{"id":16,"name":"Locomotive ID","value":"4041"},{"id":130,"name":"Impact","value":""},{"id":150,"name":"Time of Event (Mountain Time)","value":"13:54:56"},{"id":151,"name":"Denver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72"/>
        <v>start /low /b %USERPROFILE%\Documents\GitHub\eaglep3\Utilities\DownloadLogsFromS3.py --loco 4041 --day 2017-09-22</v>
      </c>
      <c r="AN182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19:54:56"},{"id":29,"name":"Sharepoint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74"/>
        <v>https://d0f6bd738d7f1b3e5a7ca70fe4ff75f0.us-east-1.aws.found.io/app/kibana#/discover/Steve-Slow-Train-Analysis-(2080s-and-2083s)?_g=(refreshInterval:(display:Off,pause:!f,section:0,value:0),time:(from:'2017-09-22T12:33:45-0600',mode:absolute,to:'2017-09-22T14:54:56-0600'))&amp;_a=(columns:!('Message%20ID',Summary),filters:!(),index:'emp_*',interval:auto,query:(query_string:(analyze_wildcard:!t,query:'Message%5C+ID:(*)+AND+%22rtdc.l.rtdc.4041%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728</v>
      </c>
      <c r="B183" s="7">
        <v>4042</v>
      </c>
      <c r="C183" s="21" t="s">
        <v>196</v>
      </c>
      <c r="D183" s="21" t="s">
        <v>572</v>
      </c>
      <c r="E183" s="13">
        <v>43000.581979166665</v>
      </c>
      <c r="F183" s="13">
        <v>43000.589745370373</v>
      </c>
      <c r="G183" s="7">
        <v>75</v>
      </c>
      <c r="H183" s="21" t="s">
        <v>516</v>
      </c>
      <c r="I183" s="13">
        <v>43000.599594907406</v>
      </c>
      <c r="J183" s="7">
        <v>0</v>
      </c>
      <c r="K183" s="89" t="str">
        <f t="shared" si="60"/>
        <v>4041/4042</v>
      </c>
      <c r="L183" s="185" t="str">
        <f>VLOOKUP(A183,'Trips&amp;Operators'!$C$1:$G$99911,5,FALSE)</f>
        <v>BERLING GARY</v>
      </c>
      <c r="M183" s="6">
        <f t="shared" si="61"/>
        <v>9.8495370330056176E-3</v>
      </c>
      <c r="N183" s="7">
        <f t="shared" si="79"/>
        <v>14.183333327528089</v>
      </c>
      <c r="O183" s="7"/>
      <c r="P183" s="7"/>
      <c r="Q183" s="22"/>
      <c r="R183" s="174"/>
      <c r="S183" s="221">
        <f t="shared" si="75"/>
        <v>1</v>
      </c>
      <c r="T183" s="174" t="str">
        <f t="shared" si="62"/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63"/>
        <v>https://d0f6bd738d7f1b3e5a7ca70fe4ff75f0.us-east-1.aws.found.io/app/kibana#/discover/Steve-Slow-Train-Analysis-(2080s-and-2083s)?_g=(refreshInterval:(display:Off,pause:!f,section:0,value:0),time:(from:'2017-09-22T12:58:03-0600',mode:absolute,to:'2017-09-22T15:23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3" s="204" t="str">
        <f>IF(AA183&lt;VLOOKUP(AG183,Variables!$AC$3:$AD$8,2,FALSE),"Y","N")</f>
        <v>N</v>
      </c>
      <c r="X183" s="204">
        <f t="shared" si="78"/>
        <v>1</v>
      </c>
      <c r="Y183" s="204">
        <f t="shared" si="90"/>
        <v>9.8500000000000004E-2</v>
      </c>
      <c r="Z183" s="204">
        <f t="shared" si="91"/>
        <v>5.8935000000000004</v>
      </c>
      <c r="AA183" s="204">
        <f t="shared" si="65"/>
        <v>5.7950000000000008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66"/>
        <v>823</v>
      </c>
      <c r="AE183" s="77" t="str">
        <f t="shared" si="67"/>
        <v>aws s3 cp s3://rtdc.mdm.uploadarchive.raw/RTDC4042/ "%USERPROFILE%\AppData\Local\Temp\OnboardLogs"\RTDC4042\2017-09-22 --exclude "*" --recursive --include "*20170922*" &amp; "%USERPROFILE%\Documents\GitHub\mrs-test-scripts\Headless Mode &amp; Sideloading\WalkAndUnGZ.bat" "%USERPROFILE%\AppData\Local\Temp\OnboardLogs"\RTDC4042\2017-09-22 &amp; aws s3 cp s3://rtdc.mdm.uploadarchive.raw/RTDC4042/ "%USERPROFILE%\AppData\Local\Temp\OnboardLogs"\RTDC4042\2017-09-23 --exclude "*" --recursive --include "*20170923*" &amp; "%USERPROFILE%\Documents\GitHub\mrs-test-scripts\Headless Mode &amp; Sideloading\WalkAndUnGZ.bat" "%USERPROFILE%\AppData\Local\Temp\OnboardLogs"\RTDC4042\2017-09-23</v>
      </c>
      <c r="AF183" s="74" t="str">
        <f t="shared" si="68"/>
        <v>"C:\Program Files (x86)\AstroGrep\AstroGrep.exe" /e /r /s /spath="%USERPROFILE%\AppData\Local\Temp\OnboardLogs" /stypes="app*4042*20170922*" /stext=" 20:.+((SYSTEM_STATE.+slice.+state.+changed )|(ment ac)|(multiple cpu faults)|(system.+state.+changed )|(\[timeout)|(PRM\|1\|D)|(kpr)|(kdp)|(train st.+moving)|(\|lc)|(penalty))"</v>
      </c>
      <c r="AG183" s="182" t="str">
        <f t="shared" si="69"/>
        <v>NW</v>
      </c>
      <c r="AH183" s="78" t="str">
        <f t="shared" si="70"/>
        <v>"%USERPROFILE%\Documents\GitHub\eaglep3\Utilities\RefineRTDCRunTimes.py" --tripid 823-22 --locoid 4042 --swversion DE.1.0.9.0 --startMP 204:985 --initTime 2017-09-22T13:58:03 --startdatetime 2017-09-22T14:09:14 --delay 75 --endMP 300:58935 --enddatetime 2017-09-22T14:23:25 --enforcementcount 0 &gt;&gt;c:\users\stu\Documents\GitHub\eaglep3-reporting\EC\2017-09-22-refined-times.txt</v>
      </c>
      <c r="AI183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{"issue":{"subject":"","project_id":79,"tracker_id":40,"status_id":1,"priority_id":2,"assigned_to_id":338,"start_date":"2017-09-22","description":"","custom_fields":[{"id":1,"name":"Subdivision","value":"NW"},{"id":4,"name":"Milepost","value":"5.8935"},{"id":17,"name":"Train ID","value":"823-22"},{"id":16,"name":"Locomotive ID","value":"4042"},{"id":130,"name":"Impact","value":""},{"id":150,"name":"Time of Event (Mountain Time)","value":"14:23:25"},{"id":151,"name":"Denver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72"/>
        <v>start /low /b %USERPROFILE%\Documents\GitHub\eaglep3\Utilities\DownloadLogsFromS3.py --loco 4042 --day 2017-09-22</v>
      </c>
      <c r="AN183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20:23:25"},{"id":29,"name":"Sharepoint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74"/>
        <v>https://d0f6bd738d7f1b3e5a7ca70fe4ff75f0.us-east-1.aws.found.io/app/kibana#/discover/Steve-Slow-Train-Analysis-(2080s-and-2083s)?_g=(refreshInterval:(display:Off,pause:!f,section:0,value:0),time:(from:'2017-09-22T12:58:03-0600',mode:absolute,to:'2017-09-22T15:23:25-0600'))&amp;_a=(columns:!('Message%20ID',Summary),filters:!(),index:'emp_*',interval:auto,query:(query_string:(analyze_wildcard:!t,query:'Message%5C+ID:(*)+AND+%22rtdc.l.rtdc.4042%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597</v>
      </c>
      <c r="B184" s="7">
        <v>4041</v>
      </c>
      <c r="C184" s="21" t="s">
        <v>196</v>
      </c>
      <c r="D184" s="21" t="s">
        <v>930</v>
      </c>
      <c r="E184" s="13">
        <v>43000.601053240738</v>
      </c>
      <c r="F184" s="13">
        <v>43000.610277777778</v>
      </c>
      <c r="G184" s="7">
        <v>61</v>
      </c>
      <c r="H184" s="21" t="s">
        <v>573</v>
      </c>
      <c r="I184" s="13">
        <v>43000.621828703705</v>
      </c>
      <c r="J184" s="7">
        <v>0</v>
      </c>
      <c r="K184" s="89" t="str">
        <f t="shared" si="60"/>
        <v>4041/4042</v>
      </c>
      <c r="L184" s="185" t="str">
        <f>VLOOKUP(A184,'Trips&amp;Operators'!$C$1:$G$99911,5,FALSE)</f>
        <v>BERLING GARY</v>
      </c>
      <c r="M184" s="6">
        <f t="shared" si="61"/>
        <v>1.1550925926712807E-2</v>
      </c>
      <c r="N184" s="7">
        <f t="shared" si="79"/>
        <v>16.633333334466442</v>
      </c>
      <c r="O184" s="7"/>
      <c r="P184" s="7"/>
      <c r="Q184" s="22"/>
      <c r="R184" s="174"/>
      <c r="S184" s="221">
        <f t="shared" si="75"/>
        <v>1</v>
      </c>
      <c r="T184" s="174" t="str">
        <f t="shared" si="62"/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63"/>
        <v>https://d0f6bd738d7f1b3e5a7ca70fe4ff75f0.us-east-1.aws.found.io/app/kibana#/discover/Steve-Slow-Train-Analysis-(2080s-and-2083s)?_g=(refreshInterval:(display:Off,pause:!f,section:0,value:0),time:(from:'2017-09-22T13:25:31-0600',mode:absolute,to:'2017-09-22T15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4" s="204" t="str">
        <f>IF(AA184&lt;VLOOKUP(AG184,Variables!$AC$3:$AD$8,2,FALSE),"Y","N")</f>
        <v>N</v>
      </c>
      <c r="X184" s="204">
        <f t="shared" si="78"/>
        <v>1</v>
      </c>
      <c r="Y184" s="204">
        <f t="shared" si="90"/>
        <v>5.8604000000000003</v>
      </c>
      <c r="Z184" s="204">
        <f t="shared" si="91"/>
        <v>6.9599999999999995E-2</v>
      </c>
      <c r="AA184" s="204">
        <f t="shared" si="65"/>
        <v>5.7907999999999999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66"/>
        <v>824</v>
      </c>
      <c r="AE184" s="77" t="str">
        <f t="shared" si="67"/>
        <v>aws s3 cp s3://rtdc.mdm.uploadarchive.raw/RTDC4041/ "%USERPROFILE%\AppData\Local\Temp\OnboardLogs"\RTDC4041\2017-09-22 --exclude "*" --recursive --include "*20170922*" &amp; "%USERPROFILE%\Documents\GitHub\mrs-test-scripts\Headless Mode &amp; Sideloading\WalkAndUnGZ.bat" "%USERPROFILE%\AppData\Local\Temp\OnboardLogs"\RTDC4041\2017-09-22 &amp; aws s3 cp s3://rtdc.mdm.uploadarchive.raw/RTDC4041/ "%USERPROFILE%\AppData\Local\Temp\OnboardLogs"\RTDC4041\2017-09-23 --exclude "*" --recursive --include "*20170923*" &amp; "%USERPROFILE%\Documents\GitHub\mrs-test-scripts\Headless Mode &amp; Sideloading\WalkAndUnGZ.bat" "%USERPROFILE%\AppData\Local\Temp\OnboardLogs"\RTDC4041\2017-09-23</v>
      </c>
      <c r="AF184" s="74" t="str">
        <f t="shared" si="68"/>
        <v>"C:\Program Files (x86)\AstroGrep\AstroGrep.exe" /e /r /s /spath="%USERPROFILE%\AppData\Local\Temp\OnboardLogs" /stypes="app*4041*20170922*" /stext=" 20:.+((SYSTEM_STATE.+slice.+state.+changed )|(ment ac)|(multiple cpu faults)|(system.+state.+changed )|(\[timeout)|(PRM\|1\|D)|(kpr)|(kdp)|(train st.+moving)|(\|lc)|(penalty))"</v>
      </c>
      <c r="AG184" s="182" t="str">
        <f t="shared" si="69"/>
        <v>NW</v>
      </c>
      <c r="AH184" s="78" t="str">
        <f t="shared" si="70"/>
        <v>"%USERPROFILE%\Documents\GitHub\eaglep3\Utilities\RefineRTDCRunTimes.py" --tripid 824-22 --locoid 4041 --swversion DE.1.0.9.0 --startMP 300:58604 --initTime 2017-09-22T14:25:31 --startdatetime 2017-09-22T14:38:48 --delay 61 --endMP 204:696 --enddatetime 2017-09-22T14:55:26 --enforcementcount 0 &gt;&gt;c:\users\stu\Documents\GitHub\eaglep3-reporting\EC\2017-09-22-refined-times.txt</v>
      </c>
      <c r="AI184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{"issue":{"subject":"","project_id":79,"tracker_id":40,"status_id":1,"priority_id":2,"assigned_to_id":338,"start_date":"2017-09-22","description":"","custom_fields":[{"id":1,"name":"Subdivision","value":"NW"},{"id":4,"name":"Milepost","value":"0.0696"},{"id":17,"name":"Train ID","value":"824-22"},{"id":16,"name":"Locomotive ID","value":"4041"},{"id":130,"name":"Impact","value":""},{"id":150,"name":"Time of Event (Mountain Time)","value":"14:55:26"},{"id":151,"name":"Denver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72"/>
        <v>start /low /b %USERPROFILE%\Documents\GitHub\eaglep3\Utilities\DownloadLogsFromS3.py --loco 4041 --day 2017-09-22</v>
      </c>
      <c r="AN184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20:55:26"},{"id":29,"name":"Sharepoint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74"/>
        <v>https://d0f6bd738d7f1b3e5a7ca70fe4ff75f0.us-east-1.aws.found.io/app/kibana#/discover/Steve-Slow-Train-Analysis-(2080s-and-2083s)?_g=(refreshInterval:(display:Off,pause:!f,section:0,value:0),time:(from:'2017-09-22T13:25:31-0600',mode:absolute,to:'2017-09-22T15:55:26-0600'))&amp;_a=(columns:!('Message%20ID',Summary),filters:!(),index:'emp_*',interval:auto,query:(query_string:(analyze_wildcard:!t,query:'Message%5C+ID:(*)+AND+%22rtdc.l.rtdc.4041%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740</v>
      </c>
      <c r="B185" s="7">
        <v>4042</v>
      </c>
      <c r="C185" s="21" t="s">
        <v>196</v>
      </c>
      <c r="D185" s="21" t="s">
        <v>932</v>
      </c>
      <c r="E185" s="13">
        <v>43000.623240740744</v>
      </c>
      <c r="F185" s="13">
        <v>43000.631423611114</v>
      </c>
      <c r="G185" s="7">
        <v>67</v>
      </c>
      <c r="H185" s="21" t="s">
        <v>569</v>
      </c>
      <c r="I185" s="13">
        <v>43000.642812500002</v>
      </c>
      <c r="J185" s="7">
        <v>0</v>
      </c>
      <c r="K185" s="89" t="str">
        <f t="shared" si="60"/>
        <v>4041/4042</v>
      </c>
      <c r="L185" s="185" t="str">
        <f>VLOOKUP(A185,'Trips&amp;Operators'!$C$1:$G$99911,5,FALSE)</f>
        <v>BERLING GARY</v>
      </c>
      <c r="M185" s="6">
        <f t="shared" si="61"/>
        <v>1.1388888888177462E-2</v>
      </c>
      <c r="N185" s="7">
        <f t="shared" si="79"/>
        <v>16.399999998975545</v>
      </c>
      <c r="O185" s="7"/>
      <c r="P185" s="7"/>
      <c r="Q185" s="22"/>
      <c r="R185" s="174"/>
      <c r="S185" s="221">
        <f t="shared" si="75"/>
        <v>1</v>
      </c>
      <c r="T185" s="174" t="str">
        <f t="shared" si="62"/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63"/>
        <v>https://d0f6bd738d7f1b3e5a7ca70fe4ff75f0.us-east-1.aws.found.io/app/kibana#/discover/Steve-Slow-Train-Analysis-(2080s-and-2083s)?_g=(refreshInterval:(display:Off,pause:!f,section:0,value:0),time:(from:'2017-09-22T13:57:28-0600',mode:absolute,to:'2017-09-22T16:25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5" s="204" t="str">
        <f>IF(AA185&lt;VLOOKUP(AG185,Variables!$AC$3:$AD$8,2,FALSE),"Y","N")</f>
        <v>N</v>
      </c>
      <c r="X185" s="204">
        <f t="shared" si="78"/>
        <v>1</v>
      </c>
      <c r="Y185" s="204">
        <f t="shared" si="90"/>
        <v>0.1016</v>
      </c>
      <c r="Z185" s="204">
        <f t="shared" si="91"/>
        <v>5.8928000000000003</v>
      </c>
      <c r="AA185" s="204">
        <f t="shared" si="65"/>
        <v>5.7911999999999999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66"/>
        <v>825</v>
      </c>
      <c r="AE185" s="77" t="str">
        <f t="shared" si="67"/>
        <v>aws s3 cp s3://rtdc.mdm.uploadarchive.raw/RTDC4042/ "%USERPROFILE%\AppData\Local\Temp\OnboardLogs"\RTDC4042\2017-09-22 --exclude "*" --recursive --include "*20170922*" &amp; "%USERPROFILE%\Documents\GitHub\mrs-test-scripts\Headless Mode &amp; Sideloading\WalkAndUnGZ.bat" "%USERPROFILE%\AppData\Local\Temp\OnboardLogs"\RTDC4042\2017-09-22 &amp; aws s3 cp s3://rtdc.mdm.uploadarchive.raw/RTDC4042/ "%USERPROFILE%\AppData\Local\Temp\OnboardLogs"\RTDC4042\2017-09-23 --exclude "*" --recursive --include "*20170923*" &amp; "%USERPROFILE%\Documents\GitHub\mrs-test-scripts\Headless Mode &amp; Sideloading\WalkAndUnGZ.bat" "%USERPROFILE%\AppData\Local\Temp\OnboardLogs"\RTDC4042\2017-09-23</v>
      </c>
      <c r="AF185" s="74" t="str">
        <f t="shared" si="68"/>
        <v>"C:\Program Files (x86)\AstroGrep\AstroGrep.exe" /e /r /s /spath="%USERPROFILE%\AppData\Local\Temp\OnboardLogs" /stypes="app*4042*20170922*" /stext=" 21:.+((SYSTEM_STATE.+slice.+state.+changed )|(ment ac)|(multiple cpu faults)|(system.+state.+changed )|(\[timeout)|(PRM\|1\|D)|(kpr)|(kdp)|(train st.+moving)|(\|lc)|(penalty))"</v>
      </c>
      <c r="AG185" s="182" t="str">
        <f t="shared" si="69"/>
        <v>NW</v>
      </c>
      <c r="AH185" s="78" t="str">
        <f t="shared" si="70"/>
        <v>"%USERPROFILE%\Documents\GitHub\eaglep3\Utilities\RefineRTDCRunTimes.py" --tripid 825-22 --locoid 4042 --swversion DE.1.0.9.0 --startMP 204:1016 --initTime 2017-09-22T14:57:28 --startdatetime 2017-09-22T15:09:15 --delay 67 --endMP 300:58928 --enddatetime 2017-09-22T15:25:39 --enforcementcount 0 &gt;&gt;c:\users\stu\Documents\GitHub\eaglep3-reporting\EC\2017-09-22-refined-times.txt</v>
      </c>
      <c r="AI185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{"issue":{"subject":"","project_id":79,"tracker_id":40,"status_id":1,"priority_id":2,"assigned_to_id":338,"start_date":"2017-09-22","description":"","custom_fields":[{"id":1,"name":"Subdivision","value":"NW"},{"id":4,"name":"Milepost","value":"5.8928"},{"id":17,"name":"Train ID","value":"825-22"},{"id":16,"name":"Locomotive ID","value":"4042"},{"id":130,"name":"Impact","value":""},{"id":150,"name":"Time of Event (Mountain Time)","value":"15:25:39"},{"id":151,"name":"Denver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72"/>
        <v>start /low /b %USERPROFILE%\Documents\GitHub\eaglep3\Utilities\DownloadLogsFromS3.py --loco 4042 --day 2017-09-22</v>
      </c>
      <c r="AN185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21:25:39"},{"id":29,"name":"Sharepoint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74"/>
        <v>https://d0f6bd738d7f1b3e5a7ca70fe4ff75f0.us-east-1.aws.found.io/app/kibana#/discover/Steve-Slow-Train-Analysis-(2080s-and-2083s)?_g=(refreshInterval:(display:Off,pause:!f,section:0,value:0),time:(from:'2017-09-22T13:57:28-0600',mode:absolute,to:'2017-09-22T16:25:39-0600'))&amp;_a=(columns:!('Message%20ID',Summary),filters:!(),index:'emp_*',interval:auto,query:(query_string:(analyze_wildcard:!t,query:'Message%5C+ID:(*)+AND+%22rtdc.l.rtdc.4042%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599</v>
      </c>
      <c r="B186" s="7">
        <v>4041</v>
      </c>
      <c r="C186" s="21" t="s">
        <v>196</v>
      </c>
      <c r="D186" s="21" t="s">
        <v>566</v>
      </c>
      <c r="E186" s="13">
        <v>43000.649930555555</v>
      </c>
      <c r="F186" s="13">
        <v>43000.652187500003</v>
      </c>
      <c r="G186" s="7">
        <v>66</v>
      </c>
      <c r="H186" s="21" t="s">
        <v>564</v>
      </c>
      <c r="I186" s="13">
        <v>43000.663171296299</v>
      </c>
      <c r="J186" s="7">
        <v>0</v>
      </c>
      <c r="K186" s="89" t="str">
        <f t="shared" si="60"/>
        <v>4041/4042</v>
      </c>
      <c r="L186" s="185" t="str">
        <f>VLOOKUP(A186,'Trips&amp;Operators'!$C$1:$G$99911,5,FALSE)</f>
        <v>BERLING GARY</v>
      </c>
      <c r="M186" s="6">
        <f t="shared" si="61"/>
        <v>1.0983796295477077E-2</v>
      </c>
      <c r="N186" s="7">
        <f t="shared" si="79"/>
        <v>15.816666665486991</v>
      </c>
      <c r="O186" s="7"/>
      <c r="P186" s="7"/>
      <c r="Q186" s="22"/>
      <c r="R186" s="174"/>
      <c r="S186" s="221">
        <f t="shared" si="75"/>
        <v>1</v>
      </c>
      <c r="T186" s="174" t="str">
        <f t="shared" si="62"/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63"/>
        <v>https://d0f6bd738d7f1b3e5a7ca70fe4ff75f0.us-east-1.aws.found.io/app/kibana#/discover/Steve-Slow-Train-Analysis-(2080s-and-2083s)?_g=(refreshInterval:(display:Off,pause:!f,section:0,value:0),time:(from:'2017-09-22T14:35:54-0600',mode:absolute,to:'2017-09-22T16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6" s="204" t="str">
        <f>IF(AA186&lt;VLOOKUP(AG186,Variables!$AC$3:$AD$8,2,FALSE),"Y","N")</f>
        <v>N</v>
      </c>
      <c r="X186" s="204">
        <f t="shared" si="78"/>
        <v>1</v>
      </c>
      <c r="Y186" s="204">
        <f t="shared" si="90"/>
        <v>5.8609</v>
      </c>
      <c r="Z186" s="204">
        <f t="shared" si="91"/>
        <v>7.22E-2</v>
      </c>
      <c r="AA186" s="204">
        <f t="shared" si="65"/>
        <v>5.7887000000000004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66"/>
        <v>826</v>
      </c>
      <c r="AE186" s="77" t="str">
        <f t="shared" si="67"/>
        <v>aws s3 cp s3://rtdc.mdm.uploadarchive.raw/RTDC4041/ "%USERPROFILE%\AppData\Local\Temp\OnboardLogs"\RTDC4041\2017-09-22 --exclude "*" --recursive --include "*20170922*" &amp; "%USERPROFILE%\Documents\GitHub\mrs-test-scripts\Headless Mode &amp; Sideloading\WalkAndUnGZ.bat" "%USERPROFILE%\AppData\Local\Temp\OnboardLogs"\RTDC4041\2017-09-22 &amp; aws s3 cp s3://rtdc.mdm.uploadarchive.raw/RTDC4041/ "%USERPROFILE%\AppData\Local\Temp\OnboardLogs"\RTDC4041\2017-09-23 --exclude "*" --recursive --include "*20170923*" &amp; "%USERPROFILE%\Documents\GitHub\mrs-test-scripts\Headless Mode &amp; Sideloading\WalkAndUnGZ.bat" "%USERPROFILE%\AppData\Local\Temp\OnboardLogs"\RTDC4041\2017-09-23</v>
      </c>
      <c r="AF186" s="74" t="str">
        <f t="shared" si="68"/>
        <v>"C:\Program Files (x86)\AstroGrep\AstroGrep.exe" /e /r /s /spath="%USERPROFILE%\AppData\Local\Temp\OnboardLogs" /stypes="app*4041*20170922*" /stext=" 21:.+((SYSTEM_STATE.+slice.+state.+changed )|(ment ac)|(multiple cpu faults)|(system.+state.+changed )|(\[timeout)|(PRM\|1\|D)|(kpr)|(kdp)|(train st.+moving)|(\|lc)|(penalty))"</v>
      </c>
      <c r="AG186" s="182" t="str">
        <f t="shared" si="69"/>
        <v>NW</v>
      </c>
      <c r="AH186" s="78" t="str">
        <f t="shared" si="70"/>
        <v>"%USERPROFILE%\Documents\GitHub\eaglep3\Utilities\RefineRTDCRunTimes.py" --tripid 826-22 --locoid 4041 --swversion DE.1.0.9.0 --startMP 300:58609 --initTime 2017-09-22T15:35:54 --startdatetime 2017-09-22T15:39:09 --delay 66 --endMP 204:722 --enddatetime 2017-09-22T15:54:58 --enforcementcount 0 &gt;&gt;c:\users\stu\Documents\GitHub\eaglep3-reporting\EC\2017-09-22-refined-times.txt</v>
      </c>
      <c r="AI186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{"issue":{"subject":"","project_id":79,"tracker_id":40,"status_id":1,"priority_id":2,"assigned_to_id":338,"start_date":"2017-09-22","description":"","custom_fields":[{"id":1,"name":"Subdivision","value":"NW"},{"id":4,"name":"Milepost","value":"0.0722"},{"id":17,"name":"Train ID","value":"826-22"},{"id":16,"name":"Locomotive ID","value":"4041"},{"id":130,"name":"Impact","value":""},{"id":150,"name":"Time of Event (Mountain Time)","value":"15:54:58"},{"id":151,"name":"Denver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72"/>
        <v>start /low /b %USERPROFILE%\Documents\GitHub\eaglep3\Utilities\DownloadLogsFromS3.py --loco 4041 --day 2017-09-22</v>
      </c>
      <c r="AN186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21:54:58"},{"id":29,"name":"Sharepoint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74"/>
        <v>https://d0f6bd738d7f1b3e5a7ca70fe4ff75f0.us-east-1.aws.found.io/app/kibana#/discover/Steve-Slow-Train-Analysis-(2080s-and-2083s)?_g=(refreshInterval:(display:Off,pause:!f,section:0,value:0),time:(from:'2017-09-22T14:35:54-0600',mode:absolute,to:'2017-09-22T16:54:58-0600'))&amp;_a=(columns:!('Message%20ID',Summary),filters:!(),index:'emp_*',interval:auto,query:(query_string:(analyze_wildcard:!t,query:'Message%5C+ID:(*)+AND+%22rtdc.l.rtdc.4041%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748</v>
      </c>
      <c r="B187" s="7">
        <v>4040</v>
      </c>
      <c r="C187" s="21" t="s">
        <v>196</v>
      </c>
      <c r="D187" s="21" t="s">
        <v>432</v>
      </c>
      <c r="E187" s="13">
        <v>43000.64435185185</v>
      </c>
      <c r="F187" s="13">
        <v>43000.652326388888</v>
      </c>
      <c r="G187" s="7">
        <v>73</v>
      </c>
      <c r="H187" s="21" t="s">
        <v>933</v>
      </c>
      <c r="I187" s="13">
        <v>43000.662986111114</v>
      </c>
      <c r="J187" s="7">
        <v>0</v>
      </c>
      <c r="K187" s="89" t="str">
        <f t="shared" si="60"/>
        <v>4039/4040</v>
      </c>
      <c r="L187" s="185" t="str">
        <f>VLOOKUP(A187,'Trips&amp;Operators'!$C$1:$G$99911,5,FALSE)</f>
        <v>SMITH MICHAEL</v>
      </c>
      <c r="M187" s="6">
        <f t="shared" si="61"/>
        <v>1.0659722225682344E-2</v>
      </c>
      <c r="N187" s="7">
        <f t="shared" si="79"/>
        <v>15.350000004982576</v>
      </c>
      <c r="O187" s="7"/>
      <c r="P187" s="7"/>
      <c r="Q187" s="22"/>
      <c r="R187" s="174"/>
      <c r="S187" s="221">
        <f t="shared" si="75"/>
        <v>1</v>
      </c>
      <c r="T187" s="174" t="str">
        <f t="shared" si="62"/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63"/>
        <v>https://d0f6bd738d7f1b3e5a7ca70fe4ff75f0.us-east-1.aws.found.io/app/kibana#/discover/Steve-Slow-Train-Analysis-(2080s-and-2083s)?_g=(refreshInterval:(display:Off,pause:!f,section:0,value:0),time:(from:'2017-09-22T14:27:52-0600',mode:absolute,to:'2017-09-22T16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7" s="204" t="str">
        <f>IF(AA187&lt;VLOOKUP(AG187,Variables!$AC$3:$AD$8,2,FALSE),"Y","N")</f>
        <v>N</v>
      </c>
      <c r="X187" s="204">
        <f t="shared" si="78"/>
        <v>1</v>
      </c>
      <c r="Y187" s="204">
        <f t="shared" si="90"/>
        <v>9.6699999999999994E-2</v>
      </c>
      <c r="Z187" s="204">
        <f t="shared" si="91"/>
        <v>5.8982000000000001</v>
      </c>
      <c r="AA187" s="204">
        <f t="shared" si="65"/>
        <v>5.8014999999999999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66"/>
        <v>827</v>
      </c>
      <c r="AE187" s="77" t="str">
        <f t="shared" si="67"/>
        <v>aws s3 cp s3://rtdc.mdm.uploadarchive.raw/RTDC4040/ "%USERPROFILE%\AppData\Local\Temp\OnboardLogs"\RTDC4040\2017-09-22 --exclude "*" --recursive --include "*20170922*" &amp; "%USERPROFILE%\Documents\GitHub\mrs-test-scripts\Headless Mode &amp; Sideloading\WalkAndUnGZ.bat" "%USERPROFILE%\AppData\Local\Temp\OnboardLogs"\RTDC4040\2017-09-22 &amp; 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</v>
      </c>
      <c r="AF187" s="74" t="str">
        <f t="shared" si="68"/>
        <v>"C:\Program Files (x86)\AstroGrep\AstroGrep.exe" /e /r /s /spath="%USERPROFILE%\AppData\Local\Temp\OnboardLogs" /stypes="app*4040*20170922*" /stext=" 21:.+((SYSTEM_STATE.+slice.+state.+changed )|(ment ac)|(multiple cpu faults)|(system.+state.+changed )|(\[timeout)|(PRM\|1\|D)|(kpr)|(kdp)|(train st.+moving)|(\|lc)|(penalty))"</v>
      </c>
      <c r="AG187" s="182" t="str">
        <f t="shared" si="69"/>
        <v>NW</v>
      </c>
      <c r="AH187" s="78" t="str">
        <f t="shared" si="70"/>
        <v>"%USERPROFILE%\Documents\GitHub\eaglep3\Utilities\RefineRTDCRunTimes.py" --tripid 827-22 --locoid 4040 --swversion DE.1.0.9.0 --startMP 204:967 --initTime 2017-09-22T15:27:52 --startdatetime 2017-09-22T15:39:21 --delay 73 --endMP 300:58982 --enddatetime 2017-09-22T15:54:42 --enforcementcount 0 &gt;&gt;c:\users\stu\Documents\GitHub\eaglep3-reporting\EC\2017-09-22-refined-times.txt</v>
      </c>
      <c r="AI187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{"issue":{"subject":"","project_id":79,"tracker_id":40,"status_id":1,"priority_id":2,"assigned_to_id":338,"start_date":"2017-09-22","description":"","custom_fields":[{"id":1,"name":"Subdivision","value":"NW"},{"id":4,"name":"Milepost","value":"5.8982"},{"id":17,"name":"Train ID","value":"827-22"},{"id":16,"name":"Locomotive ID","value":"4040"},{"id":130,"name":"Impact","value":""},{"id":150,"name":"Time of Event (Mountain Time)","value":"15:54:42"},{"id":151,"name":"Denver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72"/>
        <v>start /low /b %USERPROFILE%\Documents\GitHub\eaglep3\Utilities\DownloadLogsFromS3.py --loco 4040 --day 2017-09-22</v>
      </c>
      <c r="AN187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21:54:42"},{"id":29,"name":"Sharepoint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74"/>
        <v>https://d0f6bd738d7f1b3e5a7ca70fe4ff75f0.us-east-1.aws.found.io/app/kibana#/discover/Steve-Slow-Train-Analysis-(2080s-and-2083s)?_g=(refreshInterval:(display:Off,pause:!f,section:0,value:0),time:(from:'2017-09-22T14:27:52-0600',mode:absolute,to:'2017-09-22T16:54:42-0600'))&amp;_a=(columns:!('Message%20ID',Summary),filters:!(),index:'emp_*',interval:auto,query:(query_string:(analyze_wildcard:!t,query:'Message%5C+ID:(*)+AND+%22rtdc.l.rtdc.4040%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752</v>
      </c>
      <c r="B188" s="7">
        <v>4039</v>
      </c>
      <c r="C188" s="21" t="s">
        <v>196</v>
      </c>
      <c r="D188" s="21" t="s">
        <v>934</v>
      </c>
      <c r="E188" s="13">
        <v>43000.666041666664</v>
      </c>
      <c r="F188" s="13">
        <v>43000.672233796293</v>
      </c>
      <c r="G188" s="7">
        <v>77</v>
      </c>
      <c r="H188" s="21" t="s">
        <v>935</v>
      </c>
      <c r="I188" s="13">
        <v>43000.683819444443</v>
      </c>
      <c r="J188" s="7">
        <v>0</v>
      </c>
      <c r="K188" s="89" t="str">
        <f t="shared" si="60"/>
        <v>4039/4040</v>
      </c>
      <c r="L188" s="185" t="str">
        <f>VLOOKUP(A188,'Trips&amp;Operators'!$C$1:$G$99911,5,FALSE)</f>
        <v>SMITH MICHAEL</v>
      </c>
      <c r="M188" s="6">
        <f t="shared" si="61"/>
        <v>1.1585648149775807E-2</v>
      </c>
      <c r="N188" s="7">
        <f t="shared" si="79"/>
        <v>16.683333335677162</v>
      </c>
      <c r="O188" s="7"/>
      <c r="P188" s="7"/>
      <c r="Q188" s="22"/>
      <c r="R188" s="174"/>
      <c r="S188" s="221">
        <f t="shared" si="75"/>
        <v>1</v>
      </c>
      <c r="T188" s="174" t="str">
        <f t="shared" si="62"/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63"/>
        <v>https://d0f6bd738d7f1b3e5a7ca70fe4ff75f0.us-east-1.aws.found.io/app/kibana#/discover/Steve-Slow-Train-Analysis-(2080s-and-2083s)?_g=(refreshInterval:(display:Off,pause:!f,section:0,value:0),time:(from:'2017-09-22T14:59:06-0600',mode:absolute,to:'2017-09-22T17:24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8" s="204" t="str">
        <f>IF(AA188&lt;VLOOKUP(AG188,Variables!$AC$3:$AD$8,2,FALSE),"Y","N")</f>
        <v>N</v>
      </c>
      <c r="X188" s="204">
        <f t="shared" si="78"/>
        <v>1</v>
      </c>
      <c r="Y188" s="204">
        <f t="shared" si="90"/>
        <v>5.8659999999999997</v>
      </c>
      <c r="Z188" s="204">
        <f t="shared" si="91"/>
        <v>6.9199999999999998E-2</v>
      </c>
      <c r="AA188" s="204">
        <f t="shared" si="65"/>
        <v>5.7967999999999993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66"/>
        <v>828</v>
      </c>
      <c r="AE188" s="77" t="str">
        <f t="shared" si="67"/>
        <v>aws s3 cp s3://rtdc.mdm.uploadarchive.raw/RTDC4039/ "%USERPROFILE%\AppData\Local\Temp\OnboardLogs"\RTDC4039\2017-09-22 --exclude "*" --recursive --include "*20170922*" &amp; "%USERPROFILE%\Documents\GitHub\mrs-test-scripts\Headless Mode &amp; Sideloading\WalkAndUnGZ.bat" "%USERPROFILE%\AppData\Local\Temp\OnboardLogs"\RTDC4039\2017-09-22 &amp; 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</v>
      </c>
      <c r="AF188" s="74" t="str">
        <f t="shared" si="68"/>
        <v>"C:\Program Files (x86)\AstroGrep\AstroGrep.exe" /e /r /s /spath="%USERPROFILE%\AppData\Local\Temp\OnboardLogs" /stypes="app*4039*20170922*" /stext=" 22:.+((SYSTEM_STATE.+slice.+state.+changed )|(ment ac)|(multiple cpu faults)|(system.+state.+changed )|(\[timeout)|(PRM\|1\|D)|(kpr)|(kdp)|(train st.+moving)|(\|lc)|(penalty))"</v>
      </c>
      <c r="AG188" s="182" t="str">
        <f t="shared" si="69"/>
        <v>NW</v>
      </c>
      <c r="AH188" s="78" t="str">
        <f t="shared" si="70"/>
        <v>"%USERPROFILE%\Documents\GitHub\eaglep3\Utilities\RefineRTDCRunTimes.py" --tripid 828-22 --locoid 4039 --swversion DE.1.0.9.0 --startMP 300:58660 --initTime 2017-09-22T15:59:06 --startdatetime 2017-09-22T16:08:01 --delay 77 --endMP 204:692 --enddatetime 2017-09-22T16:24:42 --enforcementcount 0 &gt;&gt;c:\users\stu\Documents\GitHub\eaglep3-reporting\EC\2017-09-22-refined-times.txt</v>
      </c>
      <c r="AI188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{"issue":{"subject":"","project_id":79,"tracker_id":40,"status_id":1,"priority_id":2,"assigned_to_id":338,"start_date":"2017-09-22","description":"","custom_fields":[{"id":1,"name":"Subdivision","value":"NW"},{"id":4,"name":"Milepost","value":"0.0692"},{"id":17,"name":"Train ID","value":"828-22"},{"id":16,"name":"Locomotive ID","value":"4039"},{"id":130,"name":"Impact","value":""},{"id":150,"name":"Time of Event (Mountain Time)","value":"16:24:42"},{"id":151,"name":"Denver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72"/>
        <v>start /low /b %USERPROFILE%\Documents\GitHub\eaglep3\Utilities\DownloadLogsFromS3.py --loco 4039 --day 2017-09-22</v>
      </c>
      <c r="AN188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22:24:42"},{"id":29,"name":"Sharepoint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74"/>
        <v>https://d0f6bd738d7f1b3e5a7ca70fe4ff75f0.us-east-1.aws.found.io/app/kibana#/discover/Steve-Slow-Train-Analysis-(2080s-and-2083s)?_g=(refreshInterval:(display:Off,pause:!f,section:0,value:0),time:(from:'2017-09-22T14:59:06-0600',mode:absolute,to:'2017-09-22T17:24:42-0600'))&amp;_a=(columns:!('Message%20ID',Summary),filters:!(),index:'emp_*',interval:auto,query:(query_string:(analyze_wildcard:!t,query:'Message%5C+ID:(*)+AND+%22rtdc.l.rtdc.4039%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600</v>
      </c>
      <c r="B189" s="7">
        <v>4042</v>
      </c>
      <c r="C189" s="21" t="s">
        <v>196</v>
      </c>
      <c r="D189" s="21" t="s">
        <v>936</v>
      </c>
      <c r="E189" s="13">
        <v>43000.664398148147</v>
      </c>
      <c r="F189" s="13">
        <v>43000.673113425924</v>
      </c>
      <c r="G189" s="7">
        <v>58</v>
      </c>
      <c r="H189" s="21" t="s">
        <v>937</v>
      </c>
      <c r="I189" s="13">
        <v>43000.683715277781</v>
      </c>
      <c r="J189" s="7">
        <v>0</v>
      </c>
      <c r="K189" s="89" t="str">
        <f t="shared" si="60"/>
        <v>4041/4042</v>
      </c>
      <c r="L189" s="185" t="str">
        <f>VLOOKUP(A189,'Trips&amp;Operators'!$C$1:$G$99911,5,FALSE)</f>
        <v>BERLING GARY</v>
      </c>
      <c r="M189" s="6">
        <f t="shared" si="61"/>
        <v>1.0601851856335998E-2</v>
      </c>
      <c r="N189" s="7">
        <f t="shared" si="79"/>
        <v>15.266666673123837</v>
      </c>
      <c r="O189" s="7"/>
      <c r="P189" s="7"/>
      <c r="Q189" s="22"/>
      <c r="R189" s="174"/>
      <c r="S189" s="221">
        <f t="shared" si="75"/>
        <v>1</v>
      </c>
      <c r="T189" s="174" t="str">
        <f t="shared" si="62"/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63"/>
        <v>https://d0f6bd738d7f1b3e5a7ca70fe4ff75f0.us-east-1.aws.found.io/app/kibana#/discover/Steve-Slow-Train-Analysis-(2080s-and-2083s)?_g=(refreshInterval:(display:Off,pause:!f,section:0,value:0),time:(from:'2017-09-22T14:56:44-0600',mode:absolute,to:'2017-09-22T17:24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9" s="204" t="str">
        <f>IF(AA189&lt;VLOOKUP(AG189,Variables!$AC$3:$AD$8,2,FALSE),"Y","N")</f>
        <v>N</v>
      </c>
      <c r="X189" s="204">
        <f t="shared" si="78"/>
        <v>1</v>
      </c>
      <c r="Y189" s="204">
        <f t="shared" si="90"/>
        <v>0.10059999999999999</v>
      </c>
      <c r="Z189" s="204">
        <f t="shared" si="91"/>
        <v>5.8939000000000004</v>
      </c>
      <c r="AA189" s="204">
        <f t="shared" si="65"/>
        <v>5.7933000000000003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66"/>
        <v>829</v>
      </c>
      <c r="AE189" s="77" t="str">
        <f t="shared" si="67"/>
        <v>aws s3 cp s3://rtdc.mdm.uploadarchive.raw/RTDC4042/ "%USERPROFILE%\AppData\Local\Temp\OnboardLogs"\RTDC4042\2017-09-22 --exclude "*" --recursive --include "*20170922*" &amp; "%USERPROFILE%\Documents\GitHub\mrs-test-scripts\Headless Mode &amp; Sideloading\WalkAndUnGZ.bat" "%USERPROFILE%\AppData\Local\Temp\OnboardLogs"\RTDC4042\2017-09-22 &amp; aws s3 cp s3://rtdc.mdm.uploadarchive.raw/RTDC4042/ "%USERPROFILE%\AppData\Local\Temp\OnboardLogs"\RTDC4042\2017-09-23 --exclude "*" --recursive --include "*20170923*" &amp; "%USERPROFILE%\Documents\GitHub\mrs-test-scripts\Headless Mode &amp; Sideloading\WalkAndUnGZ.bat" "%USERPROFILE%\AppData\Local\Temp\OnboardLogs"\RTDC4042\2017-09-23</v>
      </c>
      <c r="AF189" s="74" t="str">
        <f t="shared" si="68"/>
        <v>"C:\Program Files (x86)\AstroGrep\AstroGrep.exe" /e /r /s /spath="%USERPROFILE%\AppData\Local\Temp\OnboardLogs" /stypes="app*4042*20170922*" /stext=" 22:.+((SYSTEM_STATE.+slice.+state.+changed )|(ment ac)|(multiple cpu faults)|(system.+state.+changed )|(\[timeout)|(PRM\|1\|D)|(kpr)|(kdp)|(train st.+moving)|(\|lc)|(penalty))"</v>
      </c>
      <c r="AG189" s="182" t="str">
        <f t="shared" si="69"/>
        <v>NW</v>
      </c>
      <c r="AH189" s="78" t="str">
        <f t="shared" si="70"/>
        <v>"%USERPROFILE%\Documents\GitHub\eaglep3\Utilities\RefineRTDCRunTimes.py" --tripid 829-22 --locoid 4042 --swversion DE.1.0.9.0 --startMP 204:1006 --initTime 2017-09-22T15:56:44 --startdatetime 2017-09-22T16:09:17 --delay 58 --endMP 300:58939 --enddatetime 2017-09-22T16:24:33 --enforcementcount 0 &gt;&gt;c:\users\stu\Documents\GitHub\eaglep3-reporting\EC\2017-09-22-refined-times.txt</v>
      </c>
      <c r="AI189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{"issue":{"subject":"","project_id":79,"tracker_id":40,"status_id":1,"priority_id":2,"assigned_to_id":338,"start_date":"2017-09-22","description":"","custom_fields":[{"id":1,"name":"Subdivision","value":"NW"},{"id":4,"name":"Milepost","value":"5.8939"},{"id":17,"name":"Train ID","value":"829-22"},{"id":16,"name":"Locomotive ID","value":"4042"},{"id":130,"name":"Impact","value":""},{"id":150,"name":"Time of Event (Mountain Time)","value":"16:24:33"},{"id":151,"name":"Denver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72"/>
        <v>start /low /b %USERPROFILE%\Documents\GitHub\eaglep3\Utilities\DownloadLogsFromS3.py --loco 4042 --day 2017-09-22</v>
      </c>
      <c r="AN189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22:24:33"},{"id":29,"name":"Sharepoint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74"/>
        <v>https://d0f6bd738d7f1b3e5a7ca70fe4ff75f0.us-east-1.aws.found.io/app/kibana#/discover/Steve-Slow-Train-Analysis-(2080s-and-2083s)?_g=(refreshInterval:(display:Off,pause:!f,section:0,value:0),time:(from:'2017-09-22T14:56:44-0600',mode:absolute,to:'2017-09-22T17:24:33-0600'))&amp;_a=(columns:!('Message%20ID',Summary),filters:!(),index:'emp_*',interval:auto,query:(query_string:(analyze_wildcard:!t,query:'Message%5C+ID:(*)+AND+%22rtdc.l.rtdc.4042%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602</v>
      </c>
      <c r="B190" s="7">
        <v>4041</v>
      </c>
      <c r="C190" s="21" t="s">
        <v>196</v>
      </c>
      <c r="D190" s="21" t="s">
        <v>514</v>
      </c>
      <c r="E190" s="13">
        <v>43000.686296296299</v>
      </c>
      <c r="F190" s="13">
        <v>43000.694039351853</v>
      </c>
      <c r="G190" s="7">
        <v>58</v>
      </c>
      <c r="H190" s="21" t="s">
        <v>938</v>
      </c>
      <c r="I190" s="13">
        <v>43000.704837962963</v>
      </c>
      <c r="J190" s="7">
        <v>0</v>
      </c>
      <c r="K190" s="89" t="str">
        <f t="shared" si="60"/>
        <v>4041/4042</v>
      </c>
      <c r="L190" s="185" t="str">
        <f>VLOOKUP(A190,'Trips&amp;Operators'!$C$1:$G$99911,5,FALSE)</f>
        <v>BERLING GARY</v>
      </c>
      <c r="M190" s="6">
        <f t="shared" si="61"/>
        <v>1.0798611110658385E-2</v>
      </c>
      <c r="N190" s="7">
        <f t="shared" si="79"/>
        <v>15.549999999348074</v>
      </c>
      <c r="O190" s="7"/>
      <c r="P190" s="7"/>
      <c r="Q190" s="22"/>
      <c r="R190" s="174"/>
      <c r="S190" s="221">
        <f t="shared" si="75"/>
        <v>1</v>
      </c>
      <c r="T190" s="174" t="str">
        <f t="shared" si="62"/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63"/>
        <v>https://d0f6bd738d7f1b3e5a7ca70fe4ff75f0.us-east-1.aws.found.io/app/kibana#/discover/Steve-Slow-Train-Analysis-(2080s-and-2083s)?_g=(refreshInterval:(display:Off,pause:!f,section:0,value:0),time:(from:'2017-09-22T15:28:16-0600',mode:absolute,to:'2017-09-22T17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0" s="204" t="str">
        <f>IF(AA190&lt;VLOOKUP(AG190,Variables!$AC$3:$AD$8,2,FALSE),"Y","N")</f>
        <v>N</v>
      </c>
      <c r="X190" s="204">
        <f t="shared" si="78"/>
        <v>1</v>
      </c>
      <c r="Y190" s="204">
        <f t="shared" si="90"/>
        <v>5.8625999999999996</v>
      </c>
      <c r="Z190" s="204">
        <f t="shared" si="91"/>
        <v>7.3400000000000007E-2</v>
      </c>
      <c r="AA190" s="204">
        <f t="shared" si="65"/>
        <v>5.7891999999999992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66"/>
        <v>830</v>
      </c>
      <c r="AE190" s="77" t="str">
        <f t="shared" si="67"/>
        <v>aws s3 cp s3://rtdc.mdm.uploadarchive.raw/RTDC4041/ "%USERPROFILE%\AppData\Local\Temp\OnboardLogs"\RTDC4041\2017-09-22 --exclude "*" --recursive --include "*20170922*" &amp; "%USERPROFILE%\Documents\GitHub\mrs-test-scripts\Headless Mode &amp; Sideloading\WalkAndUnGZ.bat" "%USERPROFILE%\AppData\Local\Temp\OnboardLogs"\RTDC4041\2017-09-22 &amp; aws s3 cp s3://rtdc.mdm.uploadarchive.raw/RTDC4041/ "%USERPROFILE%\AppData\Local\Temp\OnboardLogs"\RTDC4041\2017-09-23 --exclude "*" --recursive --include "*20170923*" &amp; "%USERPROFILE%\Documents\GitHub\mrs-test-scripts\Headless Mode &amp; Sideloading\WalkAndUnGZ.bat" "%USERPROFILE%\AppData\Local\Temp\OnboardLogs"\RTDC4041\2017-09-23</v>
      </c>
      <c r="AF190" s="74" t="str">
        <f t="shared" si="68"/>
        <v>"C:\Program Files (x86)\AstroGrep\AstroGrep.exe" /e /r /s /spath="%USERPROFILE%\AppData\Local\Temp\OnboardLogs" /stypes="app*4041*20170922*" /stext=" 22:.+((SYSTEM_STATE.+slice.+state.+changed )|(ment ac)|(multiple cpu faults)|(system.+state.+changed )|(\[timeout)|(PRM\|1\|D)|(kpr)|(kdp)|(train st.+moving)|(\|lc)|(penalty))"</v>
      </c>
      <c r="AG190" s="182" t="str">
        <f t="shared" si="69"/>
        <v>NW</v>
      </c>
      <c r="AH190" s="78" t="str">
        <f t="shared" si="70"/>
        <v>"%USERPROFILE%\Documents\GitHub\eaglep3\Utilities\RefineRTDCRunTimes.py" --tripid 830-22 --locoid 4041 --swversion DE.1.0.9.0 --startMP 300:58626 --initTime 2017-09-22T16:28:16 --startdatetime 2017-09-22T16:39:25 --delay 58 --endMP 204:734 --enddatetime 2017-09-22T16:54:58 --enforcementcount 0 &gt;&gt;c:\users\stu\Documents\GitHub\eaglep3-reporting\EC\2017-09-22-refined-times.txt</v>
      </c>
      <c r="AI190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{"issue":{"subject":"","project_id":79,"tracker_id":40,"status_id":1,"priority_id":2,"assigned_to_id":338,"start_date":"2017-09-22","description":"","custom_fields":[{"id":1,"name":"Subdivision","value":"NW"},{"id":4,"name":"Milepost","value":"0.0734"},{"id":17,"name":"Train ID","value":"830-22"},{"id":16,"name":"Locomotive ID","value":"4041"},{"id":130,"name":"Impact","value":""},{"id":150,"name":"Time of Event (Mountain Time)","value":"16:54:58"},{"id":151,"name":"Denver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72"/>
        <v>start /low /b %USERPROFILE%\Documents\GitHub\eaglep3\Utilities\DownloadLogsFromS3.py --loco 4041 --day 2017-09-22</v>
      </c>
      <c r="AN190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22:54:58"},{"id":29,"name":"Sharepoint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74"/>
        <v>https://d0f6bd738d7f1b3e5a7ca70fe4ff75f0.us-east-1.aws.found.io/app/kibana#/discover/Steve-Slow-Train-Analysis-(2080s-and-2083s)?_g=(refreshInterval:(display:Off,pause:!f,section:0,value:0),time:(from:'2017-09-22T15:28:16-0600',mode:absolute,to:'2017-09-22T17:54:58-0600'))&amp;_a=(columns:!('Message%20ID',Summary),filters:!(),index:'emp_*',interval:auto,query:(query_string:(analyze_wildcard:!t,query:'Message%5C+ID:(*)+AND+%22rtdc.l.rtdc.4041%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758</v>
      </c>
      <c r="B191" s="7">
        <v>4040</v>
      </c>
      <c r="C191" s="21" t="s">
        <v>196</v>
      </c>
      <c r="D191" s="21" t="s">
        <v>468</v>
      </c>
      <c r="E191" s="13">
        <v>43000.688414351855</v>
      </c>
      <c r="F191" s="13">
        <v>43000.694155092591</v>
      </c>
      <c r="G191" s="7">
        <v>80</v>
      </c>
      <c r="H191" s="21" t="s">
        <v>939</v>
      </c>
      <c r="I191" s="13">
        <v>43000.70453703704</v>
      </c>
      <c r="J191" s="7">
        <v>0</v>
      </c>
      <c r="K191" s="89" t="str">
        <f t="shared" si="60"/>
        <v>4039/4040</v>
      </c>
      <c r="L191" s="185" t="str">
        <f>VLOOKUP(A191,'Trips&amp;Operators'!$C$1:$G$99911,5,FALSE)</f>
        <v>SMITH MICHAEL</v>
      </c>
      <c r="M191" s="6">
        <f t="shared" si="61"/>
        <v>1.0381944448454306E-2</v>
      </c>
      <c r="N191" s="7">
        <f t="shared" si="79"/>
        <v>14.9500000057742</v>
      </c>
      <c r="O191" s="7"/>
      <c r="P191" s="7"/>
      <c r="Q191" s="22"/>
      <c r="R191" s="174"/>
      <c r="S191" s="221">
        <f t="shared" si="75"/>
        <v>1</v>
      </c>
      <c r="T191" s="174" t="str">
        <f t="shared" si="62"/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63"/>
        <v>https://d0f6bd738d7f1b3e5a7ca70fe4ff75f0.us-east-1.aws.found.io/app/kibana#/discover/Steve-Slow-Train-Analysis-(2080s-and-2083s)?_g=(refreshInterval:(display:Off,pause:!f,section:0,value:0),time:(from:'2017-09-22T15:31:19-0600',mode:absolute,to:'2017-09-22T17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1" s="204" t="str">
        <f>IF(AA191&lt;VLOOKUP(AG191,Variables!$AC$3:$AD$8,2,FALSE),"Y","N")</f>
        <v>N</v>
      </c>
      <c r="X191" s="204">
        <f t="shared" si="78"/>
        <v>1</v>
      </c>
      <c r="Y191" s="204">
        <f t="shared" si="90"/>
        <v>9.6500000000000002E-2</v>
      </c>
      <c r="Z191" s="204">
        <f t="shared" si="91"/>
        <v>5.8968999999999996</v>
      </c>
      <c r="AA191" s="204">
        <f t="shared" si="65"/>
        <v>5.8003999999999998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66"/>
        <v>831</v>
      </c>
      <c r="AE191" s="77" t="str">
        <f t="shared" si="67"/>
        <v>aws s3 cp s3://rtdc.mdm.uploadarchive.raw/RTDC4040/ "%USERPROFILE%\AppData\Local\Temp\OnboardLogs"\RTDC4040\2017-09-22 --exclude "*" --recursive --include "*20170922*" &amp; "%USERPROFILE%\Documents\GitHub\mrs-test-scripts\Headless Mode &amp; Sideloading\WalkAndUnGZ.bat" "%USERPROFILE%\AppData\Local\Temp\OnboardLogs"\RTDC4040\2017-09-22 &amp; 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</v>
      </c>
      <c r="AF191" s="74" t="str">
        <f t="shared" si="68"/>
        <v>"C:\Program Files (x86)\AstroGrep\AstroGrep.exe" /e /r /s /spath="%USERPROFILE%\AppData\Local\Temp\OnboardLogs" /stypes="app*4040*20170922*" /stext=" 22:.+((SYSTEM_STATE.+slice.+state.+changed )|(ment ac)|(multiple cpu faults)|(system.+state.+changed )|(\[timeout)|(PRM\|1\|D)|(kpr)|(kdp)|(train st.+moving)|(\|lc)|(penalty))"</v>
      </c>
      <c r="AG191" s="182" t="str">
        <f t="shared" si="69"/>
        <v>NW</v>
      </c>
      <c r="AH191" s="78" t="str">
        <f t="shared" si="70"/>
        <v>"%USERPROFILE%\Documents\GitHub\eaglep3\Utilities\RefineRTDCRunTimes.py" --tripid 831-22 --locoid 4040 --swversion DE.1.0.9.0 --startMP 204:965 --initTime 2017-09-22T16:31:19 --startdatetime 2017-09-22T16:39:35 --delay 80 --endMP 300:58969 --enddatetime 2017-09-22T16:54:32 --enforcementcount 0 &gt;&gt;c:\users\stu\Documents\GitHub\eaglep3-reporting\EC\2017-09-22-refined-times.txt</v>
      </c>
      <c r="AI191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{"issue":{"subject":"","project_id":79,"tracker_id":40,"status_id":1,"priority_id":2,"assigned_to_id":338,"start_date":"2017-09-22","description":"","custom_fields":[{"id":1,"name":"Subdivision","value":"NW"},{"id":4,"name":"Milepost","value":"5.8969"},{"id":17,"name":"Train ID","value":"831-22"},{"id":16,"name":"Locomotive ID","value":"4040"},{"id":130,"name":"Impact","value":""},{"id":150,"name":"Time of Event (Mountain Time)","value":"16:54:32"},{"id":151,"name":"Denver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72"/>
        <v>start /low /b %USERPROFILE%\Documents\GitHub\eaglep3\Utilities\DownloadLogsFromS3.py --loco 4040 --day 2017-09-22</v>
      </c>
      <c r="AN191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22:54:32"},{"id":29,"name":"Sharepoint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74"/>
        <v>https://d0f6bd738d7f1b3e5a7ca70fe4ff75f0.us-east-1.aws.found.io/app/kibana#/discover/Steve-Slow-Train-Analysis-(2080s-and-2083s)?_g=(refreshInterval:(display:Off,pause:!f,section:0,value:0),time:(from:'2017-09-22T15:31:19-0600',mode:absolute,to:'2017-09-22T17:54:32-0600'))&amp;_a=(columns:!('Message%20ID',Summary),filters:!(),index:'emp_*',interval:auto,query:(query_string:(analyze_wildcard:!t,query:'Message%5C+ID:(*)+AND+%22rtdc.l.rtdc.4040%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763</v>
      </c>
      <c r="B192" s="7">
        <v>4039</v>
      </c>
      <c r="C192" s="21" t="s">
        <v>196</v>
      </c>
      <c r="D192" s="21" t="s">
        <v>940</v>
      </c>
      <c r="E192" s="13">
        <v>43000.705682870372</v>
      </c>
      <c r="F192" s="13">
        <v>43000.717488425929</v>
      </c>
      <c r="G192" s="7">
        <v>69</v>
      </c>
      <c r="H192" s="21" t="s">
        <v>571</v>
      </c>
      <c r="I192" s="13">
        <v>43000.743414351855</v>
      </c>
      <c r="J192" s="7">
        <v>0</v>
      </c>
      <c r="K192" s="89" t="str">
        <f t="shared" si="60"/>
        <v>4039/4040</v>
      </c>
      <c r="L192" s="185" t="str">
        <f>VLOOKUP(A192,'Trips&amp;Operators'!$C$1:$G$99911,5,FALSE)</f>
        <v>SMITH MICHAEL</v>
      </c>
      <c r="M192" s="6">
        <f t="shared" si="61"/>
        <v>2.5925925925548654E-2</v>
      </c>
      <c r="N192" s="7">
        <f t="shared" si="79"/>
        <v>37.333333332790062</v>
      </c>
      <c r="O192" s="7"/>
      <c r="P192" s="7"/>
      <c r="Q192" s="22"/>
      <c r="R192" s="174" t="s">
        <v>979</v>
      </c>
      <c r="S192" s="221">
        <f t="shared" si="75"/>
        <v>1</v>
      </c>
      <c r="T192" s="174" t="str">
        <f t="shared" si="62"/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63"/>
        <v>https://d0f6bd738d7f1b3e5a7ca70fe4ff75f0.us-east-1.aws.found.io/app/kibana#/discover/Steve-Slow-Train-Analysis-(2080s-and-2083s)?_g=(refreshInterval:(display:Off,pause:!f,section:0,value:0),time:(from:'2017-09-22T15:56:11-0600',mode:absolute,to:'2017-09-22T18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2" s="204" t="str">
        <f>IF(AA192&lt;VLOOKUP(AG192,Variables!$AC$3:$AD$8,2,FALSE),"Y","N")</f>
        <v>N</v>
      </c>
      <c r="X192" s="204">
        <f t="shared" ref="X192:X195" si="92">VALUE(LEFT(AD192,4))-VALUE(LEFT(AD191,4))</f>
        <v>1</v>
      </c>
      <c r="Y192" s="204">
        <f t="shared" si="90"/>
        <v>5.8648999999999996</v>
      </c>
      <c r="Z192" s="204">
        <f t="shared" si="91"/>
        <v>6.7699999999999996E-2</v>
      </c>
      <c r="AA192" s="204">
        <f t="shared" si="65"/>
        <v>5.7971999999999992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66"/>
        <v>832</v>
      </c>
      <c r="AE192" s="77" t="str">
        <f t="shared" si="67"/>
        <v>aws s3 cp s3://rtdc.mdm.uploadarchive.raw/RTDC4039/ "%USERPROFILE%\AppData\Local\Temp\OnboardLogs"\RTDC4039\2017-09-22 --exclude "*" --recursive --include "*20170922*" &amp; "%USERPROFILE%\Documents\GitHub\mrs-test-scripts\Headless Mode &amp; Sideloading\WalkAndUnGZ.bat" "%USERPROFILE%\AppData\Local\Temp\OnboardLogs"\RTDC4039\2017-09-22 &amp; 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</v>
      </c>
      <c r="AF192" s="74" t="str">
        <f t="shared" si="68"/>
        <v>"C:\Program Files (x86)\AstroGrep\AstroGrep.exe" /e /r /s /spath="%USERPROFILE%\AppData\Local\Temp\OnboardLogs" /stypes="app*4039*20170922*" /stext=" 23:.+((SYSTEM_STATE.+slice.+state.+changed )|(ment ac)|(multiple cpu faults)|(system.+state.+changed )|(\[timeout)|(PRM\|1\|D)|(kpr)|(kdp)|(train st.+moving)|(\|lc)|(penalty))"</v>
      </c>
      <c r="AG192" s="182" t="str">
        <f t="shared" si="69"/>
        <v>NW</v>
      </c>
      <c r="AH192" s="78" t="str">
        <f t="shared" si="70"/>
        <v>"%USERPROFILE%\Documents\GitHub\eaglep3\Utilities\RefineRTDCRunTimes.py" --tripid 832-22 --locoid 4039 --swversion DE.1.0.9.0 --startMP 300:58649 --initTime 2017-09-22T16:56:11 --startdatetime 2017-09-22T17:13:11 --delay 69 --endMP 204:677 --enddatetime 2017-09-22T17:50:31 --enforcementcount 0 &gt;&gt;c:\users\stu\Documents\GitHub\eaglep3-reporting\EC\2017-09-22-refined-times.txt</v>
      </c>
      <c r="AI192" s="96" t="str">
        <f t="shared" si="71"/>
        <v>echo {"issue":{"subject":"Delayed by DUS Switch failure","project_id":79,"tracker_id":40,"status_id":1,"priority_id":2,"assigned_to_id":338,"start_date":"2017-09-22","description":"","custom_fields":[{"id":1,"name":"Subdivision","value":"NW"},{"id":4,"name":"Milepost","value":"0.0677"},{"id":17,"name":"Train ID","value":"832-22"},{"id":16,"name":"Locomotive ID","value":"4039"},{"id":130,"name":"Impact","value":""},{"id":150,"name":"Time of Event (Mountain Time)","value":"17:50:31"},{"id":151,"name":"Denver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72"/>
        <v>start /low /b %USERPROFILE%\Documents\GitHub\eaglep3\Utilities\DownloadLogsFromS3.py --loco 4039 --day 2017-09-22</v>
      </c>
      <c r="AN192" s="151" t="str">
        <f t="shared" si="73"/>
        <v>echo {"issue":{"subject":"Delayed by DUS Switch failure","project_id":30,"tracker_id":4,"status_id":1,"priority_id":1,"assigned_to_id":10,"start_date":"2017-09-22","description":"","custom_fields":[{"id":30,"name":"Category","value":"Issue"},{"id":3,"name":"Functional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23:50:31"},{"id":29,"name":"Sharepoint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74"/>
        <v>https://d0f6bd738d7f1b3e5a7ca70fe4ff75f0.us-east-1.aws.found.io/app/kibana#/discover/Steve-Slow-Train-Analysis-(2080s-and-2083s)?_g=(refreshInterval:(display:Off,pause:!f,section:0,value:0),time:(from:'2017-09-22T15:56:11-0600',mode:absolute,to:'2017-09-22T18:50:31-0600'))&amp;_a=(columns:!('Message%20ID',Summary),filters:!(),index:'emp_*',interval:auto,query:(query_string:(analyze_wildcard:!t,query:'Message%5C+ID:(*)+AND+%22rtdc.l.rtdc.4039%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769</v>
      </c>
      <c r="B193" s="7">
        <v>4042</v>
      </c>
      <c r="C193" s="21" t="s">
        <v>196</v>
      </c>
      <c r="D193" s="21" t="s">
        <v>941</v>
      </c>
      <c r="E193" s="13">
        <v>43000.736226851855</v>
      </c>
      <c r="F193" s="13">
        <v>43000.740937499999</v>
      </c>
      <c r="G193" s="7">
        <v>53</v>
      </c>
      <c r="H193" s="21" t="s">
        <v>569</v>
      </c>
      <c r="I193" s="13">
        <v>43000.751111111109</v>
      </c>
      <c r="J193" s="7">
        <v>0</v>
      </c>
      <c r="K193" s="89" t="str">
        <f t="shared" si="60"/>
        <v>4041/4042</v>
      </c>
      <c r="L193" s="185" t="str">
        <f>VLOOKUP(A193,'Trips&amp;Operators'!$C$1:$G$99911,5,FALSE)</f>
        <v>BERLING GARY</v>
      </c>
      <c r="M193" s="6">
        <f t="shared" si="61"/>
        <v>1.0173611110076308E-2</v>
      </c>
      <c r="N193" s="7">
        <f t="shared" ref="N193:N224" si="93">24*60*SUM($M193:$M193)</f>
        <v>14.649999998509884</v>
      </c>
      <c r="O193" s="7"/>
      <c r="P193" s="7"/>
      <c r="Q193" s="22"/>
      <c r="R193" s="174"/>
      <c r="S193" s="221">
        <f t="shared" si="75"/>
        <v>1</v>
      </c>
      <c r="T193" s="174" t="str">
        <f t="shared" si="62"/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63"/>
        <v>https://d0f6bd738d7f1b3e5a7ca70fe4ff75f0.us-east-1.aws.found.io/app/kibana#/discover/Steve-Slow-Train-Analysis-(2080s-and-2083s)?_g=(refreshInterval:(display:Off,pause:!f,section:0,value:0),time:(from:'2017-09-22T16:40:10-0600',mode:absolute,to:'2017-09-22T19:01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3" s="204" t="str">
        <f>IF(AA193&lt;VLOOKUP(AG193,Variables!$AC$3:$AD$8,2,FALSE),"Y","N")</f>
        <v>N</v>
      </c>
      <c r="X193" s="204">
        <f t="shared" si="92"/>
        <v>3</v>
      </c>
      <c r="Y193" s="204">
        <f t="shared" si="90"/>
        <v>0.12</v>
      </c>
      <c r="Z193" s="204">
        <f t="shared" si="91"/>
        <v>5.8928000000000003</v>
      </c>
      <c r="AA193" s="204">
        <f t="shared" si="65"/>
        <v>5.7728000000000002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66"/>
        <v>835</v>
      </c>
      <c r="AE193" s="77" t="str">
        <f t="shared" si="67"/>
        <v>aws s3 cp s3://rtdc.mdm.uploadarchive.raw/RTDC4042/ "%USERPROFILE%\AppData\Local\Temp\OnboardLogs"\RTDC4042\2017-09-22 --exclude "*" --recursive --include "*20170922*" &amp; "%USERPROFILE%\Documents\GitHub\mrs-test-scripts\Headless Mode &amp; Sideloading\WalkAndUnGZ.bat" "%USERPROFILE%\AppData\Local\Temp\OnboardLogs"\RTDC4042\2017-09-22 &amp; aws s3 cp s3://rtdc.mdm.uploadarchive.raw/RTDC4042/ "%USERPROFILE%\AppData\Local\Temp\OnboardLogs"\RTDC4042\2017-09-23 --exclude "*" --recursive --include "*20170923*" &amp; "%USERPROFILE%\Documents\GitHub\mrs-test-scripts\Headless Mode &amp; Sideloading\WalkAndUnGZ.bat" "%USERPROFILE%\AppData\Local\Temp\OnboardLogs"\RTDC4042\2017-09-23</v>
      </c>
      <c r="AF193" s="74" t="str">
        <f t="shared" si="68"/>
        <v>"C:\Program Files (x86)\AstroGrep\AstroGrep.exe" /e /r /s /spath="%USERPROFILE%\AppData\Local\Temp\OnboardLogs" /stypes="app*4042*20170923*" /stext=" 00:.+((SYSTEM_STATE.+slice.+state.+changed )|(ment ac)|(multiple cpu faults)|(system.+state.+changed )|(\[timeout)|(PRM\|1\|D)|(kpr)|(kdp)|(train st.+moving)|(\|lc)|(penalty))"</v>
      </c>
      <c r="AG193" s="182" t="str">
        <f t="shared" si="69"/>
        <v>NW</v>
      </c>
      <c r="AH193" s="78" t="str">
        <f t="shared" si="70"/>
        <v>"%USERPROFILE%\Documents\GitHub\eaglep3\Utilities\RefineRTDCRunTimes.py" --tripid 835-22 --locoid 4042 --swversion DE.1.0.9.0 --startMP 204:1200 --initTime 2017-09-22T17:40:10 --startdatetime 2017-09-22T17:46:57 --delay 53 --endMP 300:58928 --enddatetime 2017-09-22T18:01:36 --enforcementcount 0 &gt;&gt;c:\users\stu\Documents\GitHub\eaglep3-reporting\EC\2017-09-22-refined-times.txt</v>
      </c>
      <c r="AI193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{"issue":{"subject":"","project_id":79,"tracker_id":40,"status_id":1,"priority_id":2,"assigned_to_id":338,"start_date":"2017-09-22","description":"","custom_fields":[{"id":1,"name":"Subdivision","value":"NW"},{"id":4,"name":"Milepost","value":"5.8928"},{"id":17,"name":"Train ID","value":"835-22"},{"id":16,"name":"Locomotive ID","value":"4042"},{"id":130,"name":"Impact","value":""},{"id":150,"name":"Time of Event (Mountain Time)","value":"18:01:36"},{"id":151,"name":"Denver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72"/>
        <v>start /low /b %USERPROFILE%\Documents\GitHub\eaglep3\Utilities\DownloadLogsFromS3.py --loco 4042 --day 2017-09-22</v>
      </c>
      <c r="AN193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00:01:36"},{"id":29,"name":"Sharepoint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74"/>
        <v>https://d0f6bd738d7f1b3e5a7ca70fe4ff75f0.us-east-1.aws.found.io/app/kibana#/discover/Steve-Slow-Train-Analysis-(2080s-and-2083s)?_g=(refreshInterval:(display:Off,pause:!f,section:0,value:0),time:(from:'2017-09-22T16:40:10-0600',mode:absolute,to:'2017-09-22T19:01:36-0600'))&amp;_a=(columns:!('Message%20ID',Summary),filters:!(),index:'emp_*',interval:auto,query:(query_string:(analyze_wildcard:!t,query:'Message%5C+ID:(*)+AND+%22rtdc.l.rtdc.4042%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604</v>
      </c>
      <c r="B194" s="7">
        <v>4041</v>
      </c>
      <c r="C194" s="21" t="s">
        <v>196</v>
      </c>
      <c r="D194" s="21" t="s">
        <v>942</v>
      </c>
      <c r="E194" s="13">
        <v>43000.753495370373</v>
      </c>
      <c r="F194" s="13">
        <v>43000.757233796299</v>
      </c>
      <c r="G194" s="7">
        <v>63</v>
      </c>
      <c r="H194" s="21" t="s">
        <v>943</v>
      </c>
      <c r="I194" s="13">
        <v>43000.768229166664</v>
      </c>
      <c r="J194" s="7">
        <v>0</v>
      </c>
      <c r="K194" s="89" t="str">
        <f t="shared" si="60"/>
        <v>4041/4042</v>
      </c>
      <c r="L194" s="185" t="str">
        <f>VLOOKUP(A194,'Trips&amp;Operators'!$C$1:$G$99911,5,FALSE)</f>
        <v>BERLING GARY</v>
      </c>
      <c r="M194" s="6">
        <f t="shared" si="61"/>
        <v>1.0995370364980772E-2</v>
      </c>
      <c r="N194" s="7">
        <f t="shared" si="93"/>
        <v>15.833333325572312</v>
      </c>
      <c r="O194" s="7"/>
      <c r="P194" s="7"/>
      <c r="Q194" s="22"/>
      <c r="R194" s="174"/>
      <c r="S194" s="221">
        <f t="shared" si="75"/>
        <v>1</v>
      </c>
      <c r="T194" s="174" t="str">
        <f t="shared" si="62"/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63"/>
        <v>https://d0f6bd738d7f1b3e5a7ca70fe4ff75f0.us-east-1.aws.found.io/app/kibana#/discover/Steve-Slow-Train-Analysis-(2080s-and-2083s)?_g=(refreshInterval:(display:Off,pause:!f,section:0,value:0),time:(from:'2017-09-22T17:05:02-0600',mode:absolute,to:'2017-09-22T19:26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4" s="204" t="str">
        <f>IF(AA194&lt;VLOOKUP(AG194,Variables!$AC$3:$AD$8,2,FALSE),"Y","N")</f>
        <v>N</v>
      </c>
      <c r="X194" s="204">
        <f t="shared" si="92"/>
        <v>1</v>
      </c>
      <c r="Y194" s="204">
        <f t="shared" si="90"/>
        <v>5.8615000000000004</v>
      </c>
      <c r="Z194" s="204">
        <f t="shared" si="91"/>
        <v>1.5699999999999999E-2</v>
      </c>
      <c r="AA194" s="204">
        <f t="shared" si="65"/>
        <v>5.8458000000000006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66"/>
        <v>836</v>
      </c>
      <c r="AE194" s="77" t="str">
        <f t="shared" si="67"/>
        <v>aws s3 cp s3://rtdc.mdm.uploadarchive.raw/RTDC4041/ "%USERPROFILE%\AppData\Local\Temp\OnboardLogs"\RTDC4041\2017-09-22 --exclude "*" --recursive --include "*20170922*" &amp; "%USERPROFILE%\Documents\GitHub\mrs-test-scripts\Headless Mode &amp; Sideloading\WalkAndUnGZ.bat" "%USERPROFILE%\AppData\Local\Temp\OnboardLogs"\RTDC4041\2017-09-22 &amp; aws s3 cp s3://rtdc.mdm.uploadarchive.raw/RTDC4041/ "%USERPROFILE%\AppData\Local\Temp\OnboardLogs"\RTDC4041\2017-09-23 --exclude "*" --recursive --include "*20170923*" &amp; "%USERPROFILE%\Documents\GitHub\mrs-test-scripts\Headless Mode &amp; Sideloading\WalkAndUnGZ.bat" "%USERPROFILE%\AppData\Local\Temp\OnboardLogs"\RTDC4041\2017-09-23</v>
      </c>
      <c r="AF194" s="74" t="str">
        <f t="shared" si="68"/>
        <v>"C:\Program Files (x86)\AstroGrep\AstroGrep.exe" /e /r /s /spath="%USERPROFILE%\AppData\Local\Temp\OnboardLogs" /stypes="app*4041*20170923*" /stext=" 00:.+((SYSTEM_STATE.+slice.+state.+changed )|(ment ac)|(multiple cpu faults)|(system.+state.+changed )|(\[timeout)|(PRM\|1\|D)|(kpr)|(kdp)|(train st.+moving)|(\|lc)|(penalty))"</v>
      </c>
      <c r="AG194" s="182" t="str">
        <f t="shared" si="69"/>
        <v>NW</v>
      </c>
      <c r="AH194" s="78" t="str">
        <f t="shared" si="70"/>
        <v>"%USERPROFILE%\Documents\GitHub\eaglep3\Utilities\RefineRTDCRunTimes.py" --tripid 836-22 --locoid 4041 --swversion DE.1.0.9.0 --startMP 300:58615 --initTime 2017-09-22T18:05:02 --startdatetime 2017-09-22T18:10:25 --delay 63 --endMP 204:157 --enddatetime 2017-09-22T18:26:15 --enforcementcount 0 &gt;&gt;c:\users\stu\Documents\GitHub\eaglep3-reporting\EC\2017-09-22-refined-times.txt</v>
      </c>
      <c r="AI194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{"issue":{"subject":"","project_id":79,"tracker_id":40,"status_id":1,"priority_id":2,"assigned_to_id":338,"start_date":"2017-09-22","description":"","custom_fields":[{"id":1,"name":"Subdivision","value":"NW"},{"id":4,"name":"Milepost","value":"0.0157"},{"id":17,"name":"Train ID","value":"836-22"},{"id":16,"name":"Locomotive ID","value":"4041"},{"id":130,"name":"Impact","value":""},{"id":150,"name":"Time of Event (Mountain Time)","value":"18:26:15"},{"id":151,"name":"Denver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72"/>
        <v>start /low /b %USERPROFILE%\Documents\GitHub\eaglep3\Utilities\DownloadLogsFromS3.py --loco 4041 --day 2017-09-22</v>
      </c>
      <c r="AN194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00:26:15"},{"id":29,"name":"Sharepoint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74"/>
        <v>https://d0f6bd738d7f1b3e5a7ca70fe4ff75f0.us-east-1.aws.found.io/app/kibana#/discover/Steve-Slow-Train-Analysis-(2080s-and-2083s)?_g=(refreshInterval:(display:Off,pause:!f,section:0,value:0),time:(from:'2017-09-22T17:05:02-0600',mode:absolute,to:'2017-09-22T19:26:15-0600'))&amp;_a=(columns:!('Message%20ID',Summary),filters:!(),index:'emp_*',interval:auto,query:(query_string:(analyze_wildcard:!t,query:'Message%5C+ID:(*)+AND+%22rtdc.l.rtdc.4041%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773</v>
      </c>
      <c r="B195" s="7">
        <v>4040</v>
      </c>
      <c r="C195" s="21" t="s">
        <v>196</v>
      </c>
      <c r="D195" s="21" t="s">
        <v>451</v>
      </c>
      <c r="E195" s="13">
        <v>43000.744942129626</v>
      </c>
      <c r="F195" s="13">
        <v>43000.756493055553</v>
      </c>
      <c r="G195" s="7">
        <v>55</v>
      </c>
      <c r="H195" s="21" t="s">
        <v>944</v>
      </c>
      <c r="I195" s="13">
        <v>43000.767199074071</v>
      </c>
      <c r="J195" s="7">
        <v>0</v>
      </c>
      <c r="K195" s="89" t="str">
        <f t="shared" si="60"/>
        <v>4039/4040</v>
      </c>
      <c r="L195" s="185" t="str">
        <f>VLOOKUP(A195,'Trips&amp;Operators'!$C$1:$G$99911,5,FALSE)</f>
        <v>SMITH MICHAEL</v>
      </c>
      <c r="M195" s="6">
        <f t="shared" si="61"/>
        <v>1.0706018518249039E-2</v>
      </c>
      <c r="N195" s="7">
        <f t="shared" si="93"/>
        <v>15.416666666278616</v>
      </c>
      <c r="O195" s="7"/>
      <c r="P195" s="7"/>
      <c r="Q195" s="22"/>
      <c r="R195" s="174"/>
      <c r="S195" s="221">
        <f t="shared" si="75"/>
        <v>1</v>
      </c>
      <c r="T195" s="174" t="str">
        <f t="shared" si="62"/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63"/>
        <v>https://d0f6bd738d7f1b3e5a7ca70fe4ff75f0.us-east-1.aws.found.io/app/kibana#/discover/Steve-Slow-Train-Analysis-(2080s-and-2083s)?_g=(refreshInterval:(display:Off,pause:!f,section:0,value:0),time:(from:'2017-09-22T16:52:43-0600',mode:absolute,to:'2017-09-22T19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5" s="204" t="str">
        <f>IF(AA195&lt;VLOOKUP(AG195,Variables!$AC$3:$AD$8,2,FALSE),"Y","N")</f>
        <v>N</v>
      </c>
      <c r="X195" s="204">
        <f t="shared" si="92"/>
        <v>1</v>
      </c>
      <c r="Y195" s="204">
        <f t="shared" si="90"/>
        <v>9.8100000000000007E-2</v>
      </c>
      <c r="Z195" s="204">
        <f t="shared" si="91"/>
        <v>5.8977000000000004</v>
      </c>
      <c r="AA195" s="204">
        <f t="shared" si="65"/>
        <v>5.7996000000000008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66"/>
        <v>837</v>
      </c>
      <c r="AE195" s="77" t="str">
        <f t="shared" si="67"/>
        <v>aws s3 cp s3://rtdc.mdm.uploadarchive.raw/RTDC4040/ "%USERPROFILE%\AppData\Local\Temp\OnboardLogs"\RTDC4040\2017-09-22 --exclude "*" --recursive --include "*20170922*" &amp; "%USERPROFILE%\Documents\GitHub\mrs-test-scripts\Headless Mode &amp; Sideloading\WalkAndUnGZ.bat" "%USERPROFILE%\AppData\Local\Temp\OnboardLogs"\RTDC4040\2017-09-22 &amp; 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</v>
      </c>
      <c r="AF195" s="74" t="str">
        <f t="shared" si="68"/>
        <v>"C:\Program Files (x86)\AstroGrep\AstroGrep.exe" /e /r /s /spath="%USERPROFILE%\AppData\Local\Temp\OnboardLogs" /stypes="app*4040*20170923*" /stext=" 00:.+((SYSTEM_STATE.+slice.+state.+changed )|(ment ac)|(multiple cpu faults)|(system.+state.+changed )|(\[timeout)|(PRM\|1\|D)|(kpr)|(kdp)|(train st.+moving)|(\|lc)|(penalty))"</v>
      </c>
      <c r="AG195" s="182" t="str">
        <f t="shared" si="69"/>
        <v>NW</v>
      </c>
      <c r="AH195" s="78" t="str">
        <f t="shared" si="70"/>
        <v>"%USERPROFILE%\Documents\GitHub\eaglep3\Utilities\RefineRTDCRunTimes.py" --tripid 837-22 --locoid 4040 --swversion DE.1.0.9.0 --startMP 204:981 --initTime 2017-09-22T17:52:43 --startdatetime 2017-09-22T18:09:21 --delay 55 --endMP 300:58977 --enddatetime 2017-09-22T18:24:46 --enforcementcount 0 &gt;&gt;c:\users\stu\Documents\GitHub\eaglep3-reporting\EC\2017-09-22-refined-times.txt</v>
      </c>
      <c r="AI195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{"issue":{"subject":"","project_id":79,"tracker_id":40,"status_id":1,"priority_id":2,"assigned_to_id":338,"start_date":"2017-09-22","description":"","custom_fields":[{"id":1,"name":"Subdivision","value":"NW"},{"id":4,"name":"Milepost","value":"5.8977"},{"id":17,"name":"Train ID","value":"837-22"},{"id":16,"name":"Locomotive ID","value":"4040"},{"id":130,"name":"Impact","value":""},{"id":150,"name":"Time of Event (Mountain Time)","value":"18:24:46"},{"id":151,"name":"Denver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72"/>
        <v>start /low /b %USERPROFILE%\Documents\GitHub\eaglep3\Utilities\DownloadLogsFromS3.py --loco 4040 --day 2017-09-22</v>
      </c>
      <c r="AN195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00:24:46"},{"id":29,"name":"Sharepoint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74"/>
        <v>https://d0f6bd738d7f1b3e5a7ca70fe4ff75f0.us-east-1.aws.found.io/app/kibana#/discover/Steve-Slow-Train-Analysis-(2080s-and-2083s)?_g=(refreshInterval:(display:Off,pause:!f,section:0,value:0),time:(from:'2017-09-22T16:52:43-0600',mode:absolute,to:'2017-09-22T19:24:46-0600'))&amp;_a=(columns:!('Message%20ID',Summary),filters:!(),index:'emp_*',interval:auto,query:(query_string:(analyze_wildcard:!t,query:'Message%5C+ID:(*)+AND+%22rtdc.l.rtdc.4040%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778</v>
      </c>
      <c r="B196" s="7">
        <v>4039</v>
      </c>
      <c r="C196" s="21" t="s">
        <v>196</v>
      </c>
      <c r="D196" s="21" t="s">
        <v>945</v>
      </c>
      <c r="E196" s="13">
        <v>43000.768310185187</v>
      </c>
      <c r="F196" s="13">
        <v>43000.773460648146</v>
      </c>
      <c r="G196" s="7">
        <v>71</v>
      </c>
      <c r="H196" s="21" t="s">
        <v>517</v>
      </c>
      <c r="I196" s="13">
        <v>43000.788356481484</v>
      </c>
      <c r="J196" s="7">
        <v>0</v>
      </c>
      <c r="K196" s="89" t="str">
        <f t="shared" si="60"/>
        <v>4039/4040</v>
      </c>
      <c r="L196" s="185" t="str">
        <f>VLOOKUP(A196,'Trips&amp;Operators'!$C$1:$G$99911,5,FALSE)</f>
        <v>SMITH MICHAEL</v>
      </c>
      <c r="M196" s="6">
        <f t="shared" si="61"/>
        <v>1.4895833337504882E-2</v>
      </c>
      <c r="N196" s="7">
        <f t="shared" si="93"/>
        <v>21.450000006007031</v>
      </c>
      <c r="O196" s="7"/>
      <c r="P196" s="7"/>
      <c r="Q196" s="22"/>
      <c r="R196" s="174"/>
      <c r="S196" s="221">
        <f t="shared" si="75"/>
        <v>1</v>
      </c>
      <c r="T196" s="174" t="str">
        <f t="shared" si="62"/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63"/>
        <v>https://d0f6bd738d7f1b3e5a7ca70fe4ff75f0.us-east-1.aws.found.io/app/kibana#/discover/Steve-Slow-Train-Analysis-(2080s-and-2083s)?_g=(refreshInterval:(display:Off,pause:!f,section:0,value:0),time:(from:'2017-09-22T17:26:22-0600',mode:absolute,to:'2017-09-22T19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6" s="204" t="str">
        <f>IF(AA196&lt;VLOOKUP(AG196,Variables!$AC$3:$AD$8,2,FALSE),"Y","N")</f>
        <v>N</v>
      </c>
      <c r="X196" s="204">
        <f t="shared" ref="X196:X204" si="94">VALUE(LEFT(AD196,4))-VALUE(LEFT(AD195,4))</f>
        <v>1</v>
      </c>
      <c r="Y196" s="204">
        <f t="shared" si="90"/>
        <v>5.8657000000000004</v>
      </c>
      <c r="Z196" s="204">
        <f t="shared" si="91"/>
        <v>6.9800000000000001E-2</v>
      </c>
      <c r="AA196" s="204">
        <f t="shared" si="65"/>
        <v>5.7959000000000005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66"/>
        <v>838</v>
      </c>
      <c r="AE196" s="77" t="str">
        <f t="shared" si="67"/>
        <v>aws s3 cp s3://rtdc.mdm.uploadarchive.raw/RTDC4039/ "%USERPROFILE%\AppData\Local\Temp\OnboardLogs"\RTDC4039\2017-09-22 --exclude "*" --recursive --include "*20170922*" &amp; "%USERPROFILE%\Documents\GitHub\mrs-test-scripts\Headless Mode &amp; Sideloading\WalkAndUnGZ.bat" "%USERPROFILE%\AppData\Local\Temp\OnboardLogs"\RTDC4039\2017-09-22 &amp; 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</v>
      </c>
      <c r="AF196" s="74" t="str">
        <f t="shared" si="68"/>
        <v>"C:\Program Files (x86)\AstroGrep\AstroGrep.exe" /e /r /s /spath="%USERPROFILE%\AppData\Local\Temp\OnboardLogs" /stypes="app*4039*20170923*" /stext=" 00:.+((SYSTEM_STATE.+slice.+state.+changed )|(ment ac)|(multiple cpu faults)|(system.+state.+changed )|(\[timeout)|(PRM\|1\|D)|(kpr)|(kdp)|(train st.+moving)|(\|lc)|(penalty))"</v>
      </c>
      <c r="AG196" s="182" t="str">
        <f t="shared" si="69"/>
        <v>NW</v>
      </c>
      <c r="AH196" s="78" t="str">
        <f t="shared" si="70"/>
        <v>"%USERPROFILE%\Documents\GitHub\eaglep3\Utilities\RefineRTDCRunTimes.py" --tripid 838-22 --locoid 4039 --swversion DE.1.0.9.0 --startMP 300:58657 --initTime 2017-09-22T18:26:22 --startdatetime 2017-09-22T18:33:47 --delay 71 --endMP 204:698 --enddatetime 2017-09-22T18:55:14 --enforcementcount 0 &gt;&gt;c:\users\stu\Documents\GitHub\eaglep3-reporting\EC\2017-09-22-refined-times.txt</v>
      </c>
      <c r="AI196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{"issue":{"subject":"","project_id":79,"tracker_id":40,"status_id":1,"priority_id":2,"assigned_to_id":338,"start_date":"2017-09-22","description":"","custom_fields":[{"id":1,"name":"Subdivision","value":"NW"},{"id":4,"name":"Milepost","value":"0.0698"},{"id":17,"name":"Train ID","value":"838-22"},{"id":16,"name":"Locomotive ID","value":"4039"},{"id":130,"name":"Impact","value":""},{"id":150,"name":"Time of Event (Mountain Time)","value":"18:55:14"},{"id":151,"name":"Denver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72"/>
        <v>start /low /b %USERPROFILE%\Documents\GitHub\eaglep3\Utilities\DownloadLogsFromS3.py --loco 4039 --day 2017-09-22</v>
      </c>
      <c r="AN196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00:55:14"},{"id":29,"name":"Sharepoint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74"/>
        <v>https://d0f6bd738d7f1b3e5a7ca70fe4ff75f0.us-east-1.aws.found.io/app/kibana#/discover/Steve-Slow-Train-Analysis-(2080s-and-2083s)?_g=(refreshInterval:(display:Off,pause:!f,section:0,value:0),time:(from:'2017-09-22T17:26:22-0600',mode:absolute,to:'2017-09-22T19:55:14-0600'))&amp;_a=(columns:!('Message%20ID',Summary),filters:!(),index:'emp_*',interval:auto,query:(query_string:(analyze_wildcard:!t,query:'Message%5C+ID:(*)+AND+%22rtdc.l.rtdc.4039%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779</v>
      </c>
      <c r="B197" s="7">
        <v>4028</v>
      </c>
      <c r="C197" s="21" t="s">
        <v>196</v>
      </c>
      <c r="D197" s="21" t="s">
        <v>467</v>
      </c>
      <c r="E197" s="13">
        <v>43000.774837962963</v>
      </c>
      <c r="F197" s="13">
        <v>43000.777499999997</v>
      </c>
      <c r="G197" s="7">
        <v>113</v>
      </c>
      <c r="H197" s="21" t="s">
        <v>946</v>
      </c>
      <c r="I197" s="13">
        <v>43000.790810185186</v>
      </c>
      <c r="J197" s="7">
        <v>0</v>
      </c>
      <c r="K197" s="89" t="str">
        <f t="shared" si="60"/>
        <v>4027/4028</v>
      </c>
      <c r="L197" s="185" t="str">
        <f>VLOOKUP(A197,'Trips&amp;Operators'!$C$1:$G$99911,5,FALSE)</f>
        <v>NICHOLSON WESLEY</v>
      </c>
      <c r="M197" s="6">
        <f t="shared" si="61"/>
        <v>1.3310185189766344E-2</v>
      </c>
      <c r="N197" s="7">
        <f t="shared" si="93"/>
        <v>19.166666673263535</v>
      </c>
      <c r="O197" s="7"/>
      <c r="P197" s="7"/>
      <c r="Q197" s="22"/>
      <c r="R197" s="174"/>
      <c r="S197" s="221">
        <f t="shared" si="75"/>
        <v>1</v>
      </c>
      <c r="T197" s="174" t="str">
        <f t="shared" si="62"/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63"/>
        <v>https://d0f6bd738d7f1b3e5a7ca70fe4ff75f0.us-east-1.aws.found.io/app/kibana#/discover/Steve-Slow-Train-Analysis-(2080s-and-2083s)?_g=(refreshInterval:(display:Off,pause:!f,section:0,value:0),time:(from:'2017-09-22T17:35:46-0600',mode:absolute,to:'2017-09-22T19:58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7" s="204" t="str">
        <f>IF(AA197&lt;VLOOKUP(AG197,Variables!$AC$3:$AD$8,2,FALSE),"Y","N")</f>
        <v>N</v>
      </c>
      <c r="X197" s="204">
        <f t="shared" si="94"/>
        <v>1</v>
      </c>
      <c r="Y197" s="204">
        <f t="shared" si="90"/>
        <v>9.7199999999999995E-2</v>
      </c>
      <c r="Z197" s="204">
        <f t="shared" si="91"/>
        <v>5.8921999999999999</v>
      </c>
      <c r="AA197" s="204">
        <f t="shared" si="65"/>
        <v>5.7949999999999999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66"/>
        <v>839</v>
      </c>
      <c r="AE197" s="77" t="str">
        <f t="shared" si="67"/>
        <v>aws s3 cp s3://rtdc.mdm.uploadarchive.raw/RTDC4028/ "%USERPROFILE%\AppData\Local\Temp\OnboardLogs"\RTDC4028\2017-09-22 --exclude "*" --recursive --include "*20170922*" &amp; "%USERPROFILE%\Documents\GitHub\mrs-test-scripts\Headless Mode &amp; Sideloading\WalkAndUnGZ.bat" "%USERPROFILE%\AppData\Local\Temp\OnboardLogs"\RTDC4028\2017-09-22 &amp; aws s3 cp s3://rtdc.mdm.uploadarchive.raw/RTDC4028/ "%USERPROFILE%\AppData\Local\Temp\OnboardLogs"\RTDC4028\2017-09-23 --exclude "*" --recursive --include "*20170923*" &amp; "%USERPROFILE%\Documents\GitHub\mrs-test-scripts\Headless Mode &amp; Sideloading\WalkAndUnGZ.bat" "%USERPROFILE%\AppData\Local\Temp\OnboardLogs"\RTDC4028\2017-09-23</v>
      </c>
      <c r="AF197" s="74" t="str">
        <f t="shared" si="68"/>
        <v>"C:\Program Files (x86)\AstroGrep\AstroGrep.exe" /e /r /s /spath="%USERPROFILE%\AppData\Local\Temp\OnboardLogs" /stypes="app*4028*20170923*" /stext=" 00:.+((SYSTEM_STATE.+slice.+state.+changed )|(ment ac)|(multiple cpu faults)|(system.+state.+changed )|(\[timeout)|(PRM\|1\|D)|(kpr)|(kdp)|(train st.+moving)|(\|lc)|(penalty))"</v>
      </c>
      <c r="AG197" s="182" t="str">
        <f t="shared" si="69"/>
        <v>NW</v>
      </c>
      <c r="AH197" s="78" t="str">
        <f t="shared" si="70"/>
        <v>"%USERPROFILE%\Documents\GitHub\eaglep3\Utilities\RefineRTDCRunTimes.py" --tripid 839-22 --locoid 4028 --swversion DE.1.0.9.0 --startMP 204:972 --initTime 2017-09-22T18:35:46 --startdatetime 2017-09-22T18:39:36 --delay 113 --endMP 300:58922 --enddatetime 2017-09-22T18:58:46 --enforcementcount 0 &gt;&gt;c:\users\stu\Documents\GitHub\eaglep3-reporting\EC\2017-09-22-refined-times.txt</v>
      </c>
      <c r="AI197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{"issue":{"subject":"","project_id":79,"tracker_id":40,"status_id":1,"priority_id":2,"assigned_to_id":338,"start_date":"2017-09-22","description":"","custom_fields":[{"id":1,"name":"Subdivision","value":"NW"},{"id":4,"name":"Milepost","value":"5.8922"},{"id":17,"name":"Train ID","value":"839-22"},{"id":16,"name":"Locomotive ID","value":"4028"},{"id":130,"name":"Impact","value":""},{"id":150,"name":"Time of Event (Mountain Time)","value":"18:58:46"},{"id":151,"name":"Denver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72"/>
        <v>start /low /b %USERPROFILE%\Documents\GitHub\eaglep3\Utilities\DownloadLogsFromS3.py --loco 4028 --day 2017-09-22</v>
      </c>
      <c r="AN197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00:58:46"},{"id":29,"name":"Sharepoint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74"/>
        <v>https://d0f6bd738d7f1b3e5a7ca70fe4ff75f0.us-east-1.aws.found.io/app/kibana#/discover/Steve-Slow-Train-Analysis-(2080s-and-2083s)?_g=(refreshInterval:(display:Off,pause:!f,section:0,value:0),time:(from:'2017-09-22T17:35:46-0600',mode:absolute,to:'2017-09-22T19:58:46-0600'))&amp;_a=(columns:!('Message%20ID',Summary),filters:!(),index:'emp_*',interval:auto,query:(query_string:(analyze_wildcard:!t,query:'Message%5C+ID:(*)+AND+%22rtdc.l.rtdc.4028%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2" t="s">
        <v>790</v>
      </c>
      <c r="B198" s="7">
        <v>4041</v>
      </c>
      <c r="C198" s="21" t="s">
        <v>196</v>
      </c>
      <c r="D198" s="21" t="s">
        <v>942</v>
      </c>
      <c r="E198" s="13">
        <v>43000.817349537036</v>
      </c>
      <c r="F198" s="13">
        <v>43000.818854166668</v>
      </c>
      <c r="G198" s="7">
        <v>58</v>
      </c>
      <c r="H198" s="21" t="s">
        <v>947</v>
      </c>
      <c r="I198" s="13">
        <v>43000.830046296294</v>
      </c>
      <c r="J198" s="7">
        <v>0</v>
      </c>
      <c r="K198" s="89" t="str">
        <f t="shared" si="60"/>
        <v>4041/4042</v>
      </c>
      <c r="L198" s="185" t="str">
        <f>VLOOKUP(A198,'Trips&amp;Operators'!$C$1:$G$99911,5,FALSE)</f>
        <v>BERLING GARY</v>
      </c>
      <c r="M198" s="6">
        <f t="shared" si="61"/>
        <v>1.1192129626579117E-2</v>
      </c>
      <c r="N198" s="7">
        <f t="shared" si="93"/>
        <v>16.116666662273929</v>
      </c>
      <c r="O198" s="7"/>
      <c r="P198" s="7"/>
      <c r="Q198" s="22"/>
      <c r="R198" s="174"/>
      <c r="S198" s="221">
        <f t="shared" si="75"/>
        <v>1</v>
      </c>
      <c r="T198" s="174" t="str">
        <f t="shared" si="62"/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63"/>
        <v>https://d0f6bd738d7f1b3e5a7ca70fe4ff75f0.us-east-1.aws.found.io/app/kibana#/discover/Steve-Slow-Train-Analysis-(2080s-and-2083s)?_g=(refreshInterval:(display:Off,pause:!f,section:0,value:0),time:(from:'2017-09-22T18:36:59-0600',mode:absolute,to:'2017-09-22T20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8" s="204" t="str">
        <f>IF(AA198&lt;VLOOKUP(AG198,Variables!$AC$3:$AD$8,2,FALSE),"Y","N")</f>
        <v>N</v>
      </c>
      <c r="X198" s="204">
        <f t="shared" si="94"/>
        <v>1</v>
      </c>
      <c r="Y198" s="204">
        <f t="shared" si="90"/>
        <v>5.8615000000000004</v>
      </c>
      <c r="Z198" s="204">
        <f t="shared" si="91"/>
        <v>7.1199999999999999E-2</v>
      </c>
      <c r="AA198" s="204">
        <f t="shared" si="65"/>
        <v>5.7903000000000002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66"/>
        <v>840</v>
      </c>
      <c r="AE198" s="77" t="str">
        <f t="shared" si="67"/>
        <v>aws s3 cp s3://rtdc.mdm.uploadarchive.raw/RTDC4041/ "%USERPROFILE%\AppData\Local\Temp\OnboardLogs"\RTDC4041\2017-09-22 --exclude "*" --recursive --include "*20170922*" &amp; "%USERPROFILE%\Documents\GitHub\mrs-test-scripts\Headless Mode &amp; Sideloading\WalkAndUnGZ.bat" "%USERPROFILE%\AppData\Local\Temp\OnboardLogs"\RTDC4041\2017-09-22 &amp; aws s3 cp s3://rtdc.mdm.uploadarchive.raw/RTDC4041/ "%USERPROFILE%\AppData\Local\Temp\OnboardLogs"\RTDC4041\2017-09-23 --exclude "*" --recursive --include "*20170923*" &amp; "%USERPROFILE%\Documents\GitHub\mrs-test-scripts\Headless Mode &amp; Sideloading\WalkAndUnGZ.bat" "%USERPROFILE%\AppData\Local\Temp\OnboardLogs"\RTDC4041\2017-09-23</v>
      </c>
      <c r="AF198" s="74" t="str">
        <f t="shared" si="68"/>
        <v>"C:\Program Files (x86)\AstroGrep\AstroGrep.exe" /e /r /s /spath="%USERPROFILE%\AppData\Local\Temp\OnboardLogs" /stypes="app*4041*20170923*" /stext=" 01:.+((SYSTEM_STATE.+slice.+state.+changed )|(ment ac)|(multiple cpu faults)|(system.+state.+changed )|(\[timeout)|(PRM\|1\|D)|(kpr)|(kdp)|(train st.+moving)|(\|lc)|(penalty))"</v>
      </c>
      <c r="AG198" s="182" t="str">
        <f t="shared" si="69"/>
        <v>NW</v>
      </c>
      <c r="AH198" s="78" t="str">
        <f t="shared" si="70"/>
        <v>"%USERPROFILE%\Documents\GitHub\eaglep3\Utilities\RefineRTDCRunTimes.py" --tripid 840-22 --locoid 4041 --swversion DE.1.0.9.0 --startMP 300:58615 --initTime 2017-09-22T19:36:59 --startdatetime 2017-09-22T19:39:09 --delay 58 --endMP 204:712 --enddatetime 2017-09-22T19:55:16 --enforcementcount 0 &gt;&gt;c:\users\stu\Documents\GitHub\eaglep3-reporting\EC\2017-09-22-refined-times.txt</v>
      </c>
      <c r="AI198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{"issue":{"subject":"","project_id":79,"tracker_id":40,"status_id":1,"priority_id":2,"assigned_to_id":338,"start_date":"2017-09-22","description":"","custom_fields":[{"id":1,"name":"Subdivision","value":"NW"},{"id":4,"name":"Milepost","value":"0.0712"},{"id":17,"name":"Train ID","value":"840-22"},{"id":16,"name":"Locomotive ID","value":"4041"},{"id":130,"name":"Impact","value":""},{"id":150,"name":"Time of Event (Mountain Time)","value":"19:55:16"},{"id":151,"name":"Denver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72"/>
        <v>start /low /b %USERPROFILE%\Documents\GitHub\eaglep3\Utilities\DownloadLogsFromS3.py --loco 4041 --day 2017-09-22</v>
      </c>
      <c r="AN198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01:55:16"},{"id":29,"name":"Sharepoint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74"/>
        <v>https://d0f6bd738d7f1b3e5a7ca70fe4ff75f0.us-east-1.aws.found.io/app/kibana#/discover/Steve-Slow-Train-Analysis-(2080s-and-2083s)?_g=(refreshInterval:(display:Off,pause:!f,section:0,value:0),time:(from:'2017-09-22T18:36:59-0600',mode:absolute,to:'2017-09-22T20:55:16-0600'))&amp;_a=(columns:!('Message%20ID',Summary),filters:!(),index:'emp_*',interval:auto,query:(query_string:(analyze_wildcard:!t,query:'Message%5C+ID:(*)+AND+%22rtdc.l.rtdc.4041%22')),sort:!(Time.ISO8601,asc))</v>
      </c>
    </row>
    <row r="199" spans="1:91" s="20" customFormat="1" x14ac:dyDescent="0.25">
      <c r="A199" s="32" t="s">
        <v>783</v>
      </c>
      <c r="B199" s="7">
        <v>4042</v>
      </c>
      <c r="C199" s="21" t="s">
        <v>196</v>
      </c>
      <c r="D199" s="21" t="s">
        <v>942</v>
      </c>
      <c r="E199" s="13">
        <v>43000.817349537036</v>
      </c>
      <c r="F199" s="13">
        <v>43000.798125000001</v>
      </c>
      <c r="G199" s="7">
        <v>58</v>
      </c>
      <c r="H199" s="21" t="s">
        <v>947</v>
      </c>
      <c r="I199" s="13">
        <v>43000.808506944442</v>
      </c>
      <c r="J199" s="7">
        <v>0</v>
      </c>
      <c r="K199" s="89" t="str">
        <f t="shared" si="60"/>
        <v>4041/4042</v>
      </c>
      <c r="L199" s="185" t="str">
        <f>VLOOKUP(A199,'Trips&amp;Operators'!$C$1:$G$99911,5,FALSE)</f>
        <v>BERLING GARY</v>
      </c>
      <c r="M199" s="6">
        <f t="shared" si="61"/>
        <v>1.0381944441178348E-2</v>
      </c>
      <c r="N199" s="7">
        <f t="shared" si="93"/>
        <v>14.949999995296821</v>
      </c>
      <c r="O199" s="7"/>
      <c r="P199" s="7"/>
      <c r="Q199" s="22"/>
      <c r="R199" s="174"/>
      <c r="S199" s="221">
        <f t="shared" si="75"/>
        <v>1</v>
      </c>
      <c r="T199" s="174" t="str">
        <f t="shared" si="62"/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63"/>
        <v>https://d0f6bd738d7f1b3e5a7ca70fe4ff75f0.us-east-1.aws.found.io/app/kibana#/discover/Steve-Slow-Train-Analysis-(2080s-and-2083s)?_g=(refreshInterval:(display:Off,pause:!f,section:0,value:0),time:(from:'2017-09-22T18:36:59-0600',mode:absolute,to:'2017-09-22T20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9" s="204" t="str">
        <f>IF(AA199&lt;VLOOKUP(AG199,Variables!$AC$3:$AD$8,2,FALSE),"Y","N")</f>
        <v>N</v>
      </c>
      <c r="X199" s="204">
        <f t="shared" si="94"/>
        <v>1</v>
      </c>
      <c r="Y199" s="204">
        <v>9.7199999999999995E-2</v>
      </c>
      <c r="Z199" s="204">
        <v>5.8921999999999999</v>
      </c>
      <c r="AA199" s="204">
        <f t="shared" si="65"/>
        <v>5.7949999999999999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66"/>
        <v>841</v>
      </c>
      <c r="AE199" s="77" t="str">
        <f t="shared" si="67"/>
        <v>aws s3 cp s3://rtdc.mdm.uploadarchive.raw/RTDC4042/ "%USERPROFILE%\AppData\Local\Temp\OnboardLogs"\RTDC4042\2017-09-22 --exclude "*" --recursive --include "*20170922*" &amp; "%USERPROFILE%\Documents\GitHub\mrs-test-scripts\Headless Mode &amp; Sideloading\WalkAndUnGZ.bat" "%USERPROFILE%\AppData\Local\Temp\OnboardLogs"\RTDC4042\2017-09-22 &amp; aws s3 cp s3://rtdc.mdm.uploadarchive.raw/RTDC4042/ "%USERPROFILE%\AppData\Local\Temp\OnboardLogs"\RTDC4042\2017-09-23 --exclude "*" --recursive --include "*20170923*" &amp; "%USERPROFILE%\Documents\GitHub\mrs-test-scripts\Headless Mode &amp; Sideloading\WalkAndUnGZ.bat" "%USERPROFILE%\AppData\Local\Temp\OnboardLogs"\RTDC4042\2017-09-23</v>
      </c>
      <c r="AF199" s="74" t="str">
        <f t="shared" si="68"/>
        <v>"C:\Program Files (x86)\AstroGrep\AstroGrep.exe" /e /r /s /spath="%USERPROFILE%\AppData\Local\Temp\OnboardLogs" /stypes="app*4042*20170923*" /stext=" 01:.+((SYSTEM_STATE.+slice.+state.+changed )|(ment ac)|(multiple cpu faults)|(system.+state.+changed )|(\[timeout)|(PRM\|1\|D)|(kpr)|(kdp)|(train st.+moving)|(\|lc)|(penalty))"</v>
      </c>
      <c r="AG199" s="182" t="str">
        <f t="shared" si="69"/>
        <v>NW</v>
      </c>
      <c r="AH199" s="78" t="str">
        <f t="shared" ref="AH199" si="95">refinertdcruntimes&amp;" --tripid "&amp;A199&amp;" --locoid "&amp;B199&amp;" --swversion "&amp;C199&amp;" --startMP "&amp;D199&amp;" --initTime "&amp;TEXT(E199,"yyyy-mm-ddTHH:MM:SS")&amp;" --startdatetime "&amp;TEXT(F199,"yyyy-mm-ddTHH:MM:SS")&amp;" --delay "&amp;G199&amp;" --endMP "&amp;H199&amp;" --enddatetime "&amp;TEXT(I199,"yyyy-mm-ddTHH:MM:SS")&amp;" --enforcementcount "&amp;J199&amp;IF(outputrefinedruntimes," &gt;&gt;"&amp;RefinedRTDCRunTimesOutputFile,"")</f>
        <v>"%USERPROFILE%\Documents\GitHub\eaglep3\Utilities\RefineRTDCRunTimes.py" --tripid 841-22 --locoid 4042 --swversion DE.1.0.9.0 --startMP 300:58615 --initTime 2017-09-22T19:36:59 --startdatetime 2017-09-22T19:09:18 --delay 58 --endMP 204:712 --enddatetime 2017-09-22T19:24:15 --enforcementcount 0 &gt;&gt;c:\users\stu\Documents\GitHub\eaglep3-reporting\EC\2017-09-22-refined-times.txt</v>
      </c>
      <c r="AI199" s="96" t="str">
        <f t="shared" ref="AI199" si="96">"echo {""issue"":{""subject"":"""&amp;R199&amp;""",""project_id"":79,""tracker_id"":40,""status_id"":"&amp;redmine_status&amp;",""priority_id"":"&amp;redmine_priority&amp;",""assigned_to_id"":"&amp;redmine_assignee&amp;",""start_date"":"""&amp;TEXT(I199,"YYYY-mm-dd")&amp;""",""description"":"""&amp;AJ199&amp;""",""custom_fields"":[{""id"":1,""name"":""Subdivision"",""value"":"""&amp;AG199&amp;"""},{""id"":4,""name"":""Milepost"",""value"":"""&amp;Z199&amp;"""},{""id"":17,""name"":""Train ID"",""value"":"""&amp;A199&amp;"""},{""id"":16,""name"":""Locomotive ID"",""value"":"""&amp;B199&amp;"""},{""id"":130,""name"":""Impact"",""value"":"""&amp;AK199&amp;"""},{""id"":150,""name"":""Time of Event (Mountain Time)"",""value"":"""&amp;TEXT(I199,"hh:mm:ss")&amp;"""},{""id"":151,""name"":""Denver Issue ID"",""value"":"""&amp;"""},{""id"":178,""name"":""Operational Impact"",""value"":"""&amp;redmine_op_impact&amp;"""},{""id"":179,""name"":""Denver Segment Assigned"",""value"":"""&amp;AL199&amp;"""}]}}"&amp;"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{"issue":{"subject":"","project_id":79,"tracker_id":40,"status_id":1,"priority_id":2,"assigned_to_id":338,"start_date":"2017-09-22","description":"","custom_fields":[{"id":1,"name":"Subdivision","value":"NW"},{"id":4,"name":"Milepost","value":"5.8922"},{"id":17,"name":"Train ID","value":"841-22"},{"id":16,"name":"Locomotive ID","value":"4042"},{"id":130,"name":"Impact","value":""},{"id":150,"name":"Time of Event (Mountain Time)","value":"19:24:15"},{"id":151,"name":"Denver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ref="AM199" si="97">"start /low /b "&amp;dls3logs&amp;" --loco "&amp;B199&amp;" --day "&amp;TEXT(F199,"YYYY-MM-DD")</f>
        <v>start /low /b %USERPROFILE%\Documents\GitHub\eaglep3\Utilities\DownloadLogsFromS3.py --loco 4042 --day 2017-09-22</v>
      </c>
      <c r="AN199" s="151" t="str">
        <f t="shared" ref="AN199" si="98">"echo {""issue"":{""subject"":"""&amp;R199&amp;""",""project_id"":30,""tracker_id"":4,""status_id"":"&amp;redmine_status_wcr&amp;",""priority_id"":"&amp;redmine_priority_wcr&amp;",""assigned_to_id"":"&amp;redmine_assignee_wcr&amp;",""start_date"":"""&amp;TEXT(I199-utc_offset/24,"YYYY-mm-dd")&amp;""",""description"":"""&amp;AJ199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01:24:15"},{"id":29,"name":"Sharepoint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ref="AO199" si="99"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Message%20ID',Summary),filters:!(),index:'emp_*',interval:auto,query:"&amp;"(query_string:(analyze_wildcard:!t,query:'Message%5C+ID:(*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-09-22T18:36:59-0600',mode:absolute,to:'2017-09-22T20:24:15-0600'))&amp;_a=(columns:!('Message%20ID',Summary),filters:!(),index:'emp_*',interval:auto,query:(query_string:(analyze_wildcard:!t,query:'Message%5C+ID:(*)+AND+%22rtdc.l.rtdc.4042%22')),sort:!(Time.ISO8601,asc))</v>
      </c>
    </row>
    <row r="200" spans="1:91" s="20" customFormat="1" x14ac:dyDescent="0.25">
      <c r="A200" s="32" t="s">
        <v>796</v>
      </c>
      <c r="B200" s="7">
        <v>4041</v>
      </c>
      <c r="C200" s="21" t="s">
        <v>196</v>
      </c>
      <c r="D200" s="21" t="s">
        <v>942</v>
      </c>
      <c r="E200" s="13">
        <v>43000.817349537036</v>
      </c>
      <c r="F200" s="13">
        <v>43000.863240740742</v>
      </c>
      <c r="G200" s="7">
        <v>58</v>
      </c>
      <c r="H200" s="21" t="s">
        <v>947</v>
      </c>
      <c r="I200" s="13">
        <v>43000.873310185183</v>
      </c>
      <c r="J200" s="7">
        <v>0</v>
      </c>
      <c r="K200" s="89" t="str">
        <f t="shared" si="60"/>
        <v>4041/4042</v>
      </c>
      <c r="L200" s="185" t="str">
        <f>VLOOKUP(A200,'Trips&amp;Operators'!$C$1:$G$99911,5,FALSE)</f>
        <v>BERLING GARY</v>
      </c>
      <c r="M200" s="6">
        <f t="shared" si="61"/>
        <v>1.006944444088731E-2</v>
      </c>
      <c r="N200" s="7">
        <f t="shared" si="93"/>
        <v>14.499999994877726</v>
      </c>
      <c r="O200" s="7"/>
      <c r="P200" s="7"/>
      <c r="Q200" s="22"/>
      <c r="R200" s="174"/>
      <c r="S200" s="221">
        <f t="shared" si="75"/>
        <v>1</v>
      </c>
      <c r="T200" s="174" t="str">
        <f t="shared" si="62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63"/>
        <v>https://d0f6bd738d7f1b3e5a7ca70fe4ff75f0.us-east-1.aws.found.io/app/kibana#/discover/Steve-Slow-Train-Analysis-(2080s-and-2083s)?_g=(refreshInterval:(display:Off,pause:!f,section:0,value:0),time:(from:'2017-09-22T18:36:59-0600',mode:absolute,to:'2017-09-22T21:57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0" s="204" t="str">
        <f>IF(AA200&lt;VLOOKUP(AG200,Variables!$AC$3:$AD$8,2,FALSE),"Y","N")</f>
        <v>N</v>
      </c>
      <c r="X200" s="204">
        <f t="shared" si="94"/>
        <v>1</v>
      </c>
      <c r="Y200" s="204">
        <f>RIGHT(D200,LEN(D200)-4)/10000</f>
        <v>5.8615000000000004</v>
      </c>
      <c r="Z200" s="204">
        <f>RIGHT(H200,LEN(H200)-4)/10000</f>
        <v>7.1199999999999999E-2</v>
      </c>
      <c r="AA200" s="204">
        <f t="shared" si="65"/>
        <v>5.7903000000000002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66"/>
        <v>842</v>
      </c>
      <c r="AE200" s="77" t="str">
        <f t="shared" si="67"/>
        <v>aws s3 cp s3://rtdc.mdm.uploadarchive.raw/RTDC4041/ "%USERPROFILE%\AppData\Local\Temp\OnboardLogs"\RTDC4041\2017-09-22 --exclude "*" --recursive --include "*20170922*" &amp; "%USERPROFILE%\Documents\GitHub\mrs-test-scripts\Headless Mode &amp; Sideloading\WalkAndUnGZ.bat" "%USERPROFILE%\AppData\Local\Temp\OnboardLogs"\RTDC4041\2017-09-22 &amp; aws s3 cp s3://rtdc.mdm.uploadarchive.raw/RTDC4041/ "%USERPROFILE%\AppData\Local\Temp\OnboardLogs"\RTDC4041\2017-09-23 --exclude "*" --recursive --include "*20170923*" &amp; "%USERPROFILE%\Documents\GitHub\mrs-test-scripts\Headless Mode &amp; Sideloading\WalkAndUnGZ.bat" "%USERPROFILE%\AppData\Local\Temp\OnboardLogs"\RTDC4041\2017-09-23</v>
      </c>
      <c r="AF200" s="74" t="str">
        <f t="shared" si="68"/>
        <v>"C:\Program Files (x86)\AstroGrep\AstroGrep.exe" /e /r /s /spath="%USERPROFILE%\AppData\Local\Temp\OnboardLogs" /stypes="app*4041*20170923*" /stext=" 02:.+((SYSTEM_STATE.+slice.+state.+changed )|(ment ac)|(multiple cpu faults)|(system.+state.+changed )|(\[timeout)|(PRM\|1\|D)|(kpr)|(kdp)|(train st.+moving)|(\|lc)|(penalty))"</v>
      </c>
      <c r="AG200" s="182" t="str">
        <f t="shared" si="69"/>
        <v>NW</v>
      </c>
      <c r="AH200" s="78" t="str">
        <f t="shared" ref="AH200" si="100">refinertdcruntimes&amp;" --tripid "&amp;A200&amp;" --locoid "&amp;B200&amp;" --swversion "&amp;C200&amp;" --startMP "&amp;D200&amp;" --initTime "&amp;TEXT(E200,"yyyy-mm-ddTHH:MM:SS")&amp;" --startdatetime "&amp;TEXT(F200,"yyyy-mm-ddTHH:MM:SS")&amp;" --delay "&amp;G200&amp;" --endMP "&amp;H200&amp;" --enddatetime "&amp;TEXT(I200,"yyyy-mm-ddTHH:MM:SS")&amp;" --enforcementcount "&amp;J200&amp;IF(outputrefinedruntimes," &gt;&gt;"&amp;RefinedRTDCRunTimesOutputFile,"")</f>
        <v>"%USERPROFILE%\Documents\GitHub\eaglep3\Utilities\RefineRTDCRunTimes.py" --tripid 842-22 --locoid 4041 --swversion DE.1.0.9.0 --startMP 300:58615 --initTime 2017-09-22T19:36:59 --startdatetime 2017-09-22T20:43:04 --delay 58 --endMP 204:712 --enddatetime 2017-09-22T20:57:34 --enforcementcount 0 &gt;&gt;c:\users\stu\Documents\GitHub\eaglep3-reporting\EC\2017-09-22-refined-times.txt</v>
      </c>
      <c r="AI200" s="96" t="str">
        <f t="shared" ref="AI200" si="101">"echo {""issue"":{""subject"":"""&amp;R200&amp;""",""project_id"":79,""tracker_id"":40,""status_id"":"&amp;redmine_status&amp;",""priority_id"":"&amp;redmine_priority&amp;",""assigned_to_id"":"&amp;redmine_assignee&amp;",""start_date"":"""&amp;TEXT(I200,"YYYY-mm-dd")&amp;""",""description"":"""&amp;AJ200&amp;""",""custom_fields"":[{""id"":1,""name"":""Subdivision"",""value"":"""&amp;AG200&amp;"""},{""id"":4,""name"":""Milepost"",""value"":"""&amp;Z200&amp;"""},{""id"":17,""name"":""Train ID"",""value"":"""&amp;A200&amp;"""},{""id"":16,""name"":""Locomotive ID"",""value"":"""&amp;B200&amp;"""},{""id"":130,""name"":""Impact"",""value"":"""&amp;AK200&amp;"""},{""id"":150,""name"":""Time of Event (Mountain Time)"",""value"":"""&amp;TEXT(I200,"hh:mm:ss")&amp;"""},{""id"":151,""name"":""Denver Issue ID"",""value"":"""&amp;"""},{""id"":178,""name"":""Operational Impact"",""value"":"""&amp;redmine_op_impact&amp;"""},{""id"":179,""name"":""Denver Segment Assigned"",""value"":"""&amp;AL200&amp;"""}]}}"&amp;"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{"issue":{"subject":"","project_id":79,"tracker_id":40,"status_id":1,"priority_id":2,"assigned_to_id":338,"start_date":"2017-09-22","description":"","custom_fields":[{"id":1,"name":"Subdivision","value":"NW"},{"id":4,"name":"Milepost","value":"0.0712"},{"id":17,"name":"Train ID","value":"842-22"},{"id":16,"name":"Locomotive ID","value":"4041"},{"id":130,"name":"Impact","value":""},{"id":150,"name":"Time of Event (Mountain Time)","value":"20:57:34"},{"id":151,"name":"Denver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ref="AM200" si="102">"start /low /b "&amp;dls3logs&amp;" --loco "&amp;B200&amp;" --day "&amp;TEXT(F200,"YYYY-MM-DD")</f>
        <v>start /low /b %USERPROFILE%\Documents\GitHub\eaglep3\Utilities\DownloadLogsFromS3.py --loco 4041 --day 2017-09-22</v>
      </c>
      <c r="AN200" s="151" t="str">
        <f t="shared" ref="AN200" si="103">"echo {""issue"":{""subject"":"""&amp;R200&amp;""",""project_id"":30,""tracker_id"":4,""status_id"":"&amp;redmine_status_wcr&amp;",""priority_id"":"&amp;redmine_priority_wcr&amp;",""assigned_to_id"":"&amp;redmine_assignee_wcr&amp;",""start_date"":"""&amp;TEXT(I200-utc_offset/24,"YYYY-mm-dd")&amp;""",""description"":"""&amp;AJ200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02:57:34"},{"id":29,"name":"Sharepoint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ref="AO200" si="104"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Message%20ID',Summary),filters:!(),index:'emp_*',interval:auto,query:"&amp;"(query_string:(analyze_wildcard:!t,query:'Message%5C+ID:(*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-09-22T18:36:59-0600',mode:absolute,to:'2017-09-22T21:57:34-0600'))&amp;_a=(columns:!('Message%20ID',Summary),filters:!(),index:'emp_*',interval:auto,query:(query_string:(analyze_wildcard:!t,query:'Message%5C+ID:(*)+AND+%22rtdc.l.rtdc.4041%22')),sort:!(Time.ISO8601,asc))</v>
      </c>
    </row>
    <row r="201" spans="1:91" s="20" customFormat="1" x14ac:dyDescent="0.25">
      <c r="A201" s="32" t="s">
        <v>605</v>
      </c>
      <c r="B201" s="7">
        <v>4042</v>
      </c>
      <c r="C201" s="21" t="s">
        <v>196</v>
      </c>
      <c r="D201" s="21" t="s">
        <v>559</v>
      </c>
      <c r="E201" s="13">
        <v>43000.831342592595</v>
      </c>
      <c r="F201" s="13">
        <v>43000.839745370373</v>
      </c>
      <c r="G201" s="7">
        <v>81</v>
      </c>
      <c r="H201" s="21" t="s">
        <v>567</v>
      </c>
      <c r="I201" s="13">
        <v>43000.849699074075</v>
      </c>
      <c r="J201" s="7">
        <v>0</v>
      </c>
      <c r="K201" s="89" t="str">
        <f t="shared" si="60"/>
        <v>4041/4042</v>
      </c>
      <c r="L201" s="185" t="str">
        <f>VLOOKUP(A201,'Trips&amp;Operators'!$C$1:$G$99911,5,FALSE)</f>
        <v>BERLING GARY</v>
      </c>
      <c r="M201" s="6">
        <f t="shared" si="61"/>
        <v>9.9537037021946162E-3</v>
      </c>
      <c r="N201" s="7">
        <f t="shared" si="93"/>
        <v>14.333333331160247</v>
      </c>
      <c r="O201" s="7"/>
      <c r="P201" s="7"/>
      <c r="Q201" s="22"/>
      <c r="R201" s="174"/>
      <c r="S201" s="221">
        <f t="shared" si="75"/>
        <v>1</v>
      </c>
      <c r="T201" s="174" t="str">
        <f t="shared" si="62"/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63"/>
        <v>https://d0f6bd738d7f1b3e5a7ca70fe4ff75f0.us-east-1.aws.found.io/app/kibana#/discover/Steve-Slow-Train-Analysis-(2080s-and-2083s)?_g=(refreshInterval:(display:Off,pause:!f,section:0,value:0),time:(from:'2017-09-22T18:57:08-0600',mode:absolute,to:'2017-09-22T21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1" s="204" t="str">
        <f>IF(AA201&lt;VLOOKUP(AG201,Variables!$AC$3:$AD$8,2,FALSE),"Y","N")</f>
        <v>N</v>
      </c>
      <c r="X201" s="204">
        <f t="shared" si="94"/>
        <v>1</v>
      </c>
      <c r="Y201" s="204">
        <f>RIGHT(D201,LEN(D201)-4)/10000</f>
        <v>9.9900000000000003E-2</v>
      </c>
      <c r="Z201" s="204">
        <f>RIGHT(H201,LEN(H201)-4)/10000</f>
        <v>5.8956</v>
      </c>
      <c r="AA201" s="204">
        <f t="shared" si="65"/>
        <v>5.7957000000000001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66"/>
        <v>843</v>
      </c>
      <c r="AE201" s="77" t="str">
        <f t="shared" si="67"/>
        <v>aws s3 cp s3://rtdc.mdm.uploadarchive.raw/RTDC4042/ "%USERPROFILE%\AppData\Local\Temp\OnboardLogs"\RTDC4042\2017-09-22 --exclude "*" --recursive --include "*20170922*" &amp; "%USERPROFILE%\Documents\GitHub\mrs-test-scripts\Headless Mode &amp; Sideloading\WalkAndUnGZ.bat" "%USERPROFILE%\AppData\Local\Temp\OnboardLogs"\RTDC4042\2017-09-22 &amp; aws s3 cp s3://rtdc.mdm.uploadarchive.raw/RTDC4042/ "%USERPROFILE%\AppData\Local\Temp\OnboardLogs"\RTDC4042\2017-09-23 --exclude "*" --recursive --include "*20170923*" &amp; "%USERPROFILE%\Documents\GitHub\mrs-test-scripts\Headless Mode &amp; Sideloading\WalkAndUnGZ.bat" "%USERPROFILE%\AppData\Local\Temp\OnboardLogs"\RTDC4042\2017-09-23</v>
      </c>
      <c r="AF201" s="74" t="str">
        <f t="shared" si="68"/>
        <v>"C:\Program Files (x86)\AstroGrep\AstroGrep.exe" /e /r /s /spath="%USERPROFILE%\AppData\Local\Temp\OnboardLogs" /stypes="app*4042*20170923*" /stext=" 02:.+((SYSTEM_STATE.+slice.+state.+changed )|(ment ac)|(multiple cpu faults)|(system.+state.+changed )|(\[timeout)|(PRM\|1\|D)|(kpr)|(kdp)|(train st.+moving)|(\|lc)|(penalty))"</v>
      </c>
      <c r="AG201" s="182" t="str">
        <f t="shared" si="69"/>
        <v>NW</v>
      </c>
      <c r="AH201" s="78" t="str">
        <f t="shared" si="70"/>
        <v>"%USERPROFILE%\Documents\GitHub\eaglep3\Utilities\RefineRTDCRunTimes.py" --tripid 843-22 --locoid 4042 --swversion DE.1.0.9.0 --startMP 204:999 --initTime 2017-09-22T19:57:08 --startdatetime 2017-09-22T20:09:14 --delay 81 --endMP 300:58956 --enddatetime 2017-09-22T20:23:34 --enforcementcount 0 &gt;&gt;c:\users\stu\Documents\GitHub\eaglep3-reporting\EC\2017-09-22-refined-times.txt</v>
      </c>
      <c r="AI201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{"issue":{"subject":"","project_id":79,"tracker_id":40,"status_id":1,"priority_id":2,"assigned_to_id":338,"start_date":"2017-09-22","description":"","custom_fields":[{"id":1,"name":"Subdivision","value":"NW"},{"id":4,"name":"Milepost","value":"5.8956"},{"id":17,"name":"Train ID","value":"843-22"},{"id":16,"name":"Locomotive ID","value":"4042"},{"id":130,"name":"Impact","value":""},{"id":150,"name":"Time of Event (Mountain Time)","value":"20:23:34"},{"id":151,"name":"Denver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72"/>
        <v>start /low /b %USERPROFILE%\Documents\GitHub\eaglep3\Utilities\DownloadLogsFromS3.py --loco 4042 --day 2017-09-22</v>
      </c>
      <c r="AN201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02:23:34"},{"id":29,"name":"Sharepoint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74"/>
        <v>https://d0f6bd738d7f1b3e5a7ca70fe4ff75f0.us-east-1.aws.found.io/app/kibana#/discover/Steve-Slow-Train-Analysis-(2080s-and-2083s)?_g=(refreshInterval:(display:Off,pause:!f,section:0,value:0),time:(from:'2017-09-22T18:57:08-0600',mode:absolute,to:'2017-09-22T21:23:34-0600'))&amp;_a=(columns:!('Message%20ID',Summary),filters:!(),index:'emp_*',interval:auto,query:(query_string:(analyze_wildcard:!t,query:'Message%5C+ID:(*)+AND+%22rtdc.l.rtdc.4042%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804</v>
      </c>
      <c r="B202" s="7">
        <v>4041</v>
      </c>
      <c r="C202" s="21" t="s">
        <v>196</v>
      </c>
      <c r="D202" s="21" t="s">
        <v>948</v>
      </c>
      <c r="E202" s="13">
        <v>43000.892777777779</v>
      </c>
      <c r="F202" s="13">
        <v>43000.901886574073</v>
      </c>
      <c r="G202" s="7">
        <v>77</v>
      </c>
      <c r="H202" s="21" t="s">
        <v>466</v>
      </c>
      <c r="I202" s="13">
        <v>43000.912928240738</v>
      </c>
      <c r="J202" s="7">
        <v>0</v>
      </c>
      <c r="K202" s="89" t="str">
        <f t="shared" si="60"/>
        <v>4041/4042</v>
      </c>
      <c r="L202" s="185" t="str">
        <f>VLOOKUP(A202,'Trips&amp;Operators'!$C$1:$G$99911,5,FALSE)</f>
        <v>SMITH MICHAEL</v>
      </c>
      <c r="M202" s="6">
        <f t="shared" si="61"/>
        <v>1.1041666664823424E-2</v>
      </c>
      <c r="N202" s="7">
        <f t="shared" si="93"/>
        <v>15.899999997345731</v>
      </c>
      <c r="O202" s="7"/>
      <c r="P202" s="7"/>
      <c r="Q202" s="22"/>
      <c r="R202" s="174"/>
      <c r="S202" s="221">
        <f t="shared" si="75"/>
        <v>1</v>
      </c>
      <c r="T202" s="174" t="str">
        <f t="shared" si="62"/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63"/>
        <v>https://d0f6bd738d7f1b3e5a7ca70fe4ff75f0.us-east-1.aws.found.io/app/kibana#/discover/Steve-Slow-Train-Analysis-(2080s-and-2083s)?_g=(refreshInterval:(display:Off,pause:!f,section:0,value:0),time:(from:'2017-09-22T20:25:36-0600',mode:absolute,to:'2017-09-22T22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2" s="204" t="str">
        <f>IF(AA202&lt;VLOOKUP(AG202,Variables!$AC$3:$AD$8,2,FALSE),"Y","N")</f>
        <v>N</v>
      </c>
      <c r="X202" s="204">
        <f t="shared" si="94"/>
        <v>1</v>
      </c>
      <c r="Y202" s="204">
        <f>RIGHT(D202,LEN(D202)-4)/10000</f>
        <v>5.8677000000000001</v>
      </c>
      <c r="Z202" s="204">
        <f>RIGHT(H202,LEN(H202)-4)/10000</f>
        <v>6.8900000000000003E-2</v>
      </c>
      <c r="AA202" s="204">
        <f t="shared" si="65"/>
        <v>5.7988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66"/>
        <v>844</v>
      </c>
      <c r="AE202" s="77" t="str">
        <f t="shared" si="67"/>
        <v>aws s3 cp s3://rtdc.mdm.uploadarchive.raw/RTDC4041/ "%USERPROFILE%\AppData\Local\Temp\OnboardLogs"\RTDC4041\2017-09-22 --exclude "*" --recursive --include "*20170922*" &amp; "%USERPROFILE%\Documents\GitHub\mrs-test-scripts\Headless Mode &amp; Sideloading\WalkAndUnGZ.bat" "%USERPROFILE%\AppData\Local\Temp\OnboardLogs"\RTDC4041\2017-09-22 &amp; aws s3 cp s3://rtdc.mdm.uploadarchive.raw/RTDC4041/ "%USERPROFILE%\AppData\Local\Temp\OnboardLogs"\RTDC4041\2017-09-23 --exclude "*" --recursive --include "*20170923*" &amp; "%USERPROFILE%\Documents\GitHub\mrs-test-scripts\Headless Mode &amp; Sideloading\WalkAndUnGZ.bat" "%USERPROFILE%\AppData\Local\Temp\OnboardLogs"\RTDC4041\2017-09-23</v>
      </c>
      <c r="AF202" s="74" t="str">
        <f t="shared" si="68"/>
        <v>"C:\Program Files (x86)\AstroGrep\AstroGrep.exe" /e /r /s /spath="%USERPROFILE%\AppData\Local\Temp\OnboardLogs" /stypes="app*4041*20170923*" /stext=" 03:.+((SYSTEM_STATE.+slice.+state.+changed )|(ment ac)|(multiple cpu faults)|(system.+state.+changed )|(\[timeout)|(PRM\|1\|D)|(kpr)|(kdp)|(train st.+moving)|(\|lc)|(penalty))"</v>
      </c>
      <c r="AG202" s="182" t="str">
        <f t="shared" si="69"/>
        <v>NW</v>
      </c>
      <c r="AH202" s="78" t="str">
        <f t="shared" si="70"/>
        <v>"%USERPROFILE%\Documents\GitHub\eaglep3\Utilities\RefineRTDCRunTimes.py" --tripid 844-22 --locoid 4041 --swversion DE.1.0.9.0 --startMP 300:58677 --initTime 2017-09-22T21:25:36 --startdatetime 2017-09-22T21:38:43 --delay 77 --endMP 204:689 --enddatetime 2017-09-22T21:54:37 --enforcementcount 0 &gt;&gt;c:\users\stu\Documents\GitHub\eaglep3-reporting\EC\2017-09-22-refined-times.txt</v>
      </c>
      <c r="AI202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{"issue":{"subject":"","project_id":79,"tracker_id":40,"status_id":1,"priority_id":2,"assigned_to_id":338,"start_date":"2017-09-22","description":"","custom_fields":[{"id":1,"name":"Subdivision","value":"NW"},{"id":4,"name":"Milepost","value":"0.0689"},{"id":17,"name":"Train ID","value":"844-22"},{"id":16,"name":"Locomotive ID","value":"4041"},{"id":130,"name":"Impact","value":""},{"id":150,"name":"Time of Event (Mountain Time)","value":"21:54:37"},{"id":151,"name":"Denver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72"/>
        <v>start /low /b %USERPROFILE%\Documents\GitHub\eaglep3\Utilities\DownloadLogsFromS3.py --loco 4041 --day 2017-09-22</v>
      </c>
      <c r="AN202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03:54:37"},{"id":29,"name":"Sharepoint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74"/>
        <v>https://d0f6bd738d7f1b3e5a7ca70fe4ff75f0.us-east-1.aws.found.io/app/kibana#/discover/Steve-Slow-Train-Analysis-(2080s-and-2083s)?_g=(refreshInterval:(display:Off,pause:!f,section:0,value:0),time:(from:'2017-09-22T20:25:36-0600',mode:absolute,to:'2017-09-22T22:54:37-0600'))&amp;_a=(columns:!('Message%20ID',Summary),filters:!(),index:'emp_*',interval:auto,query:(query_string:(analyze_wildcard:!t,query:'Message%5C+ID:(*)+AND+%22rtdc.l.rtdc.4041%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799</v>
      </c>
      <c r="B203" s="7">
        <v>4042</v>
      </c>
      <c r="C203" s="21" t="s">
        <v>196</v>
      </c>
      <c r="D203" s="21" t="s">
        <v>948</v>
      </c>
      <c r="E203" s="13">
        <v>43000.892777777779</v>
      </c>
      <c r="F203" s="13">
        <v>43000.881851851853</v>
      </c>
      <c r="G203" s="7">
        <v>77</v>
      </c>
      <c r="H203" s="21" t="s">
        <v>466</v>
      </c>
      <c r="I203" s="13">
        <v>43000.89166666667</v>
      </c>
      <c r="J203" s="7">
        <v>0</v>
      </c>
      <c r="K203" s="89" t="str">
        <f t="shared" si="60"/>
        <v>4041/4042</v>
      </c>
      <c r="L203" s="185" t="str">
        <f>VLOOKUP(A203,'Trips&amp;Operators'!$C$1:$G$99911,5,FALSE)</f>
        <v>SMITH MICHAEL</v>
      </c>
      <c r="M203" s="6">
        <f t="shared" si="61"/>
        <v>9.8148148172185756E-3</v>
      </c>
      <c r="N203" s="7">
        <f t="shared" si="93"/>
        <v>14.133333336794749</v>
      </c>
      <c r="O203" s="7"/>
      <c r="P203" s="7"/>
      <c r="Q203" s="22"/>
      <c r="R203" s="174"/>
      <c r="S203" s="221">
        <f t="shared" si="75"/>
        <v>1</v>
      </c>
      <c r="T203" s="174" t="str">
        <f t="shared" si="62"/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63"/>
        <v>https://d0f6bd738d7f1b3e5a7ca70fe4ff75f0.us-east-1.aws.found.io/app/kibana#/discover/Steve-Slow-Train-Analysis-(2080s-and-2083s)?_g=(refreshInterval:(display:Off,pause:!f,section:0,value:0),time:(from:'2017-09-22T20:25:36-0600',mode:absolute,to:'2017-09-22T22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3" s="204" t="str">
        <f>IF(AA203&lt;VLOOKUP(AG203,Variables!$AC$3:$AD$8,2,FALSE),"Y","N")</f>
        <v>N</v>
      </c>
      <c r="X203" s="204">
        <f t="shared" si="94"/>
        <v>1</v>
      </c>
      <c r="Y203" s="204">
        <v>9.9900000000000003E-2</v>
      </c>
      <c r="Z203" s="204">
        <v>5.8956</v>
      </c>
      <c r="AA203" s="204">
        <f t="shared" si="65"/>
        <v>5.7957000000000001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66"/>
        <v>845</v>
      </c>
      <c r="AE203" s="77" t="str">
        <f t="shared" si="67"/>
        <v>aws s3 cp s3://rtdc.mdm.uploadarchive.raw/RTDC4042/ "%USERPROFILE%\AppData\Local\Temp\OnboardLogs"\RTDC4042\2017-09-22 --exclude "*" --recursive --include "*20170922*" &amp; "%USERPROFILE%\Documents\GitHub\mrs-test-scripts\Headless Mode &amp; Sideloading\WalkAndUnGZ.bat" "%USERPROFILE%\AppData\Local\Temp\OnboardLogs"\RTDC4042\2017-09-22 &amp; aws s3 cp s3://rtdc.mdm.uploadarchive.raw/RTDC4042/ "%USERPROFILE%\AppData\Local\Temp\OnboardLogs"\RTDC4042\2017-09-23 --exclude "*" --recursive --include "*20170923*" &amp; "%USERPROFILE%\Documents\GitHub\mrs-test-scripts\Headless Mode &amp; Sideloading\WalkAndUnGZ.bat" "%USERPROFILE%\AppData\Local\Temp\OnboardLogs"\RTDC4042\2017-09-23</v>
      </c>
      <c r="AF203" s="74" t="str">
        <f t="shared" si="68"/>
        <v>"C:\Program Files (x86)\AstroGrep\AstroGrep.exe" /e /r /s /spath="%USERPROFILE%\AppData\Local\Temp\OnboardLogs" /stypes="app*4042*20170923*" /stext=" 03:.+((SYSTEM_STATE.+slice.+state.+changed )|(ment ac)|(multiple cpu faults)|(system.+state.+changed )|(\[timeout)|(PRM\|1\|D)|(kpr)|(kdp)|(train st.+moving)|(\|lc)|(penalty))"</v>
      </c>
      <c r="AG203" s="182" t="str">
        <f t="shared" si="69"/>
        <v>NW</v>
      </c>
      <c r="AH203" s="78" t="str">
        <f t="shared" ref="AH203" si="105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845-22 --locoid 4042 --swversion DE.1.0.9.0 --startMP 300:58677 --initTime 2017-09-22T21:25:36 --startdatetime 2017-09-22T21:09:52 --delay 77 --endMP 204:689 --enddatetime 2017-09-22T21:24:00 --enforcementcount 0 &gt;&gt;c:\users\stu\Documents\GitHub\eaglep3-reporting\EC\2017-09-22-refined-times.txt</v>
      </c>
      <c r="AI203" s="96" t="str">
        <f t="shared" ref="AI203" si="106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{"issue":{"subject":"","project_id":79,"tracker_id":40,"status_id":1,"priority_id":2,"assigned_to_id":338,"start_date":"2017-09-22","description":"","custom_fields":[{"id":1,"name":"Subdivision","value":"NW"},{"id":4,"name":"Milepost","value":"5.8956"},{"id":17,"name":"Train ID","value":"845-22"},{"id":16,"name":"Locomotive ID","value":"4042"},{"id":130,"name":"Impact","value":""},{"id":150,"name":"Time of Event (Mountain Time)","value":"21:24:00"},{"id":151,"name":"Denver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ref="AM203" si="107">"start /low /b "&amp;dls3logs&amp;" --loco "&amp;B203&amp;" --day "&amp;TEXT(F203,"YYYY-MM-DD")</f>
        <v>start /low /b %USERPROFILE%\Documents\GitHub\eaglep3\Utilities\DownloadLogsFromS3.py --loco 4042 --day 2017-09-22</v>
      </c>
      <c r="AN203" s="151" t="str">
        <f t="shared" ref="AN203" si="108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03:24:00"},{"id":29,"name":"Sharepoint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ref="AO203" si="109"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Message%20ID',Summary),filters:!(),index:'emp_*',interval:auto,query:"&amp;"(query_string:(analyze_wildcard:!t,query:'Message%5C+ID:(*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-09-22T20:25:36-0600',mode:absolute,to:'2017-09-22T22:24:00-0600'))&amp;_a=(columns:!('Message%20ID',Summary),filters:!(),index:'emp_*',interval:auto,query:(query_string:(analyze_wildcard:!t,query:'Message%5C+ID:(*)+AND+%22rtdc.l.rtdc.4042%22')),sort:!(Time.ISO8601,asc))</v>
      </c>
    </row>
    <row r="204" spans="1:91" s="20" customFormat="1" x14ac:dyDescent="0.25">
      <c r="A204" s="32" t="s">
        <v>810</v>
      </c>
      <c r="B204" s="7">
        <v>4041</v>
      </c>
      <c r="C204" s="21" t="s">
        <v>196</v>
      </c>
      <c r="D204" s="21" t="s">
        <v>948</v>
      </c>
      <c r="E204" s="13">
        <v>43000.892777777779</v>
      </c>
      <c r="F204" s="13">
        <v>43000.946944444448</v>
      </c>
      <c r="G204" s="7">
        <v>77</v>
      </c>
      <c r="H204" s="21" t="s">
        <v>466</v>
      </c>
      <c r="I204" s="13">
        <v>43000.955011574071</v>
      </c>
      <c r="J204" s="7">
        <v>0</v>
      </c>
      <c r="K204" s="89" t="str">
        <f t="shared" si="60"/>
        <v>4041/4042</v>
      </c>
      <c r="L204" s="185" t="str">
        <f>VLOOKUP(A204,'Trips&amp;Operators'!$C$1:$G$99911,5,FALSE)</f>
        <v>SMITH MICHAEL</v>
      </c>
      <c r="M204" s="6">
        <f t="shared" si="61"/>
        <v>8.067129623668734E-3</v>
      </c>
      <c r="N204" s="7">
        <f t="shared" si="93"/>
        <v>11.616666658082977</v>
      </c>
      <c r="O204" s="7"/>
      <c r="P204" s="7"/>
      <c r="Q204" s="22"/>
      <c r="R204" s="174"/>
      <c r="S204" s="221">
        <f t="shared" si="75"/>
        <v>1</v>
      </c>
      <c r="T204" s="174" t="str">
        <f t="shared" si="62"/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63"/>
        <v>https://d0f6bd738d7f1b3e5a7ca70fe4ff75f0.us-east-1.aws.found.io/app/kibana#/discover/Steve-Slow-Train-Analysis-(2080s-and-2083s)?_g=(refreshInterval:(display:Off,pause:!f,section:0,value:0),time:(from:'2017-09-22T20:25:36-0600',mode:absolute,to:'2017-09-22T23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4" s="204" t="str">
        <f>IF(AA204&lt;VLOOKUP(AG204,Variables!$AC$3:$AD$8,2,FALSE),"Y","N")</f>
        <v>N</v>
      </c>
      <c r="X204" s="204">
        <f t="shared" si="94"/>
        <v>1</v>
      </c>
      <c r="Y204" s="204">
        <v>5.8677000000000001</v>
      </c>
      <c r="Z204" s="204">
        <v>6.8900000000000003E-2</v>
      </c>
      <c r="AA204" s="204">
        <f t="shared" si="65"/>
        <v>5.7988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66"/>
        <v>846</v>
      </c>
      <c r="AE204" s="77" t="str">
        <f t="shared" si="67"/>
        <v>aws s3 cp s3://rtdc.mdm.uploadarchive.raw/RTDC4041/ "%USERPROFILE%\AppData\Local\Temp\OnboardLogs"\RTDC4041\2017-09-22 --exclude "*" --recursive --include "*20170922*" &amp; "%USERPROFILE%\Documents\GitHub\mrs-test-scripts\Headless Mode &amp; Sideloading\WalkAndUnGZ.bat" "%USERPROFILE%\AppData\Local\Temp\OnboardLogs"\RTDC4041\2017-09-22 &amp; aws s3 cp s3://rtdc.mdm.uploadarchive.raw/RTDC4041/ "%USERPROFILE%\AppData\Local\Temp\OnboardLogs"\RTDC4041\2017-09-23 --exclude "*" --recursive --include "*20170923*" &amp; "%USERPROFILE%\Documents\GitHub\mrs-test-scripts\Headless Mode &amp; Sideloading\WalkAndUnGZ.bat" "%USERPROFILE%\AppData\Local\Temp\OnboardLogs"\RTDC4041\2017-09-23</v>
      </c>
      <c r="AF204" s="74" t="str">
        <f t="shared" si="68"/>
        <v>"C:\Program Files (x86)\AstroGrep\AstroGrep.exe" /e /r /s /spath="%USERPROFILE%\AppData\Local\Temp\OnboardLogs" /stypes="app*4041*20170923*" /stext=" 04:.+((SYSTEM_STATE.+slice.+state.+changed )|(ment ac)|(multiple cpu faults)|(system.+state.+changed )|(\[timeout)|(PRM\|1\|D)|(kpr)|(kdp)|(train st.+moving)|(\|lc)|(penalty))"</v>
      </c>
      <c r="AG204" s="182" t="str">
        <f t="shared" si="69"/>
        <v>NW</v>
      </c>
      <c r="AH204" s="78" t="str">
        <f t="shared" ref="AH204" si="110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846-22 --locoid 4041 --swversion DE.1.0.9.0 --startMP 300:58677 --initTime 2017-09-22T21:25:36 --startdatetime 2017-09-22T22:43:36 --delay 77 --endMP 204:689 --enddatetime 2017-09-22T22:55:13 --enforcementcount 0 &gt;&gt;c:\users\stu\Documents\GitHub\eaglep3-reporting\EC\2017-09-22-refined-times.txt</v>
      </c>
      <c r="AI204" s="96" t="str">
        <f t="shared" ref="AI204" si="111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{"issue":{"subject":"","project_id":79,"tracker_id":40,"status_id":1,"priority_id":2,"assigned_to_id":338,"start_date":"2017-09-22","description":"","custom_fields":[{"id":1,"name":"Subdivision","value":"NW"},{"id":4,"name":"Milepost","value":"0.0689"},{"id":17,"name":"Train ID","value":"846-22"},{"id":16,"name":"Locomotive ID","value":"4041"},{"id":130,"name":"Impact","value":""},{"id":150,"name":"Time of Event (Mountain Time)","value":"22:55:13"},{"id":151,"name":"Denver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ref="AM204" si="112">"start /low /b "&amp;dls3logs&amp;" --loco "&amp;B204&amp;" --day "&amp;TEXT(F204,"YYYY-MM-DD")</f>
        <v>start /low /b %USERPROFILE%\Documents\GitHub\eaglep3\Utilities\DownloadLogsFromS3.py --loco 4041 --day 2017-09-22</v>
      </c>
      <c r="AN204" s="151" t="str">
        <f t="shared" ref="AN204" si="113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04:55:13"},{"id":29,"name":"Sharepoint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ref="AO204" si="114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Message%20ID',Summary),filters:!(),index:'emp_*',interval:auto,query:"&amp;"(query_string:(analyze_wildcard:!t,query:'Message%5C+ID:(*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-09-22T20:25:36-0600',mode:absolute,to:'2017-09-22T23:55:13-0600'))&amp;_a=(columns:!('Message%20ID',Summary),filters:!(),index:'emp_*',interval:auto,query:(query_string:(analyze_wildcard:!t,query:'Message%5C+ID:(*)+AND+%22rtdc.l.rtdc.4041%22')),sort:!(Time.ISO8601,asc))</v>
      </c>
    </row>
    <row r="205" spans="1:91" s="20" customFormat="1" x14ac:dyDescent="0.25">
      <c r="A205" s="32" t="s">
        <v>807</v>
      </c>
      <c r="B205" s="7">
        <v>4042</v>
      </c>
      <c r="C205" s="21" t="s">
        <v>196</v>
      </c>
      <c r="D205" s="21" t="s">
        <v>949</v>
      </c>
      <c r="E205" s="13">
        <v>43000.914282407408</v>
      </c>
      <c r="F205" s="13">
        <v>43000.923194444447</v>
      </c>
      <c r="G205" s="7">
        <v>72</v>
      </c>
      <c r="H205" s="21" t="s">
        <v>563</v>
      </c>
      <c r="I205" s="13">
        <v>43000.932708333334</v>
      </c>
      <c r="J205" s="7">
        <v>0</v>
      </c>
      <c r="K205" s="89" t="str">
        <f t="shared" ref="K205:K235" si="115">IF(ISEVEN(B205),(B205-1)&amp;"/"&amp;B205,B205&amp;"/"&amp;(B205+1))</f>
        <v>4041/4042</v>
      </c>
      <c r="L205" s="185" t="str">
        <f>VLOOKUP(A205,'Trips&amp;Operators'!$C$1:$G$99911,5,FALSE)</f>
        <v>SMITH MICHAEL</v>
      </c>
      <c r="M205" s="6">
        <f t="shared" ref="M205:M235" si="116">I205-F205</f>
        <v>9.5138888864312321E-3</v>
      </c>
      <c r="N205" s="7">
        <f t="shared" si="93"/>
        <v>13.699999996460974</v>
      </c>
      <c r="O205" s="7"/>
      <c r="P205" s="7"/>
      <c r="Q205" s="22"/>
      <c r="R205" s="174"/>
      <c r="S205" s="221">
        <f t="shared" si="75"/>
        <v>1</v>
      </c>
      <c r="T205" s="174" t="str">
        <f t="shared" ref="T205:T235" si="117">IF(ISEVEN(LEFT(AD205,4)),"Southbound","NorthBound")</f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35" si="11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-22T20:56:34-0600',mode:absolute,to:'2017-09-22T23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5" s="204" t="str">
        <f>IF(AA205&lt;VLOOKUP(AG205,Variables!$AC$3:$AD$8,2,FALSE),"Y","N")</f>
        <v>N</v>
      </c>
      <c r="X205" s="204">
        <f t="shared" ref="X205:X207" si="119">VALUE(LEFT(AD205,4))-VALUE(LEFT(AD204,4))</f>
        <v>1</v>
      </c>
      <c r="Y205" s="204">
        <f t="shared" ref="Y205:Y235" si="120">RIGHT(D205,LEN(D205)-4)/10000</f>
        <v>9.5699999999999993E-2</v>
      </c>
      <c r="Z205" s="204">
        <f t="shared" ref="Z205:Z235" si="121">RIGHT(H205,LEN(H205)-4)/10000</f>
        <v>5.8998999999999997</v>
      </c>
      <c r="AA205" s="204">
        <f t="shared" ref="AA205:AA268" si="122">ABS(Z205-Y205)</f>
        <v>5.8041999999999998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ref="AD205:AD235" si="123">VALUE(LEFT(A205,LEN(A205)-3))</f>
        <v>847</v>
      </c>
      <c r="AE205" s="77" t="str">
        <f t="shared" ref="AE205:AE235" si="12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s3://rtdc.mdm.uploadarchive.raw/RTDC4042/ "%USERPROFILE%\AppData\Local\Temp\OnboardLogs"\RTDC4042\2017-09-22 --exclude "*" --recursive --include "*20170922*" &amp; "%USERPROFILE%\Documents\GitHub\mrs-test-scripts\Headless Mode &amp; Sideloading\WalkAndUnGZ.bat" "%USERPROFILE%\AppData\Local\Temp\OnboardLogs"\RTDC4042\2017-09-22 &amp; aws s3 cp s3://rtdc.mdm.uploadarchive.raw/RTDC4042/ "%USERPROFILE%\AppData\Local\Temp\OnboardLogs"\RTDC4042\2017-09-23 --exclude "*" --recursive --include "*20170923*" &amp; "%USERPROFILE%\Documents\GitHub\mrs-test-scripts\Headless Mode &amp; Sideloading\WalkAndUnGZ.bat" "%USERPROFILE%\AppData\Local\Temp\OnboardLogs"\RTDC4042\2017-09-23</v>
      </c>
      <c r="AF205" s="74" t="str">
        <f t="shared" ref="AF205:AF235" si="125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/stypes="app*4042*20170923*" /stext=" 04:.+((SYSTEM_STATE.+slice.+state.+changed )|(ment ac)|(multiple cpu faults)|(system.+state.+changed )|(\[timeout)|(PRM\|1\|D)|(kpr)|(kdp)|(train st.+moving)|(\|lc)|(penalty))"</v>
      </c>
      <c r="AG205" s="182" t="str">
        <f t="shared" ref="AG205:AG235" si="126">DetSubdiv(A205)</f>
        <v>NW</v>
      </c>
      <c r="AH205" s="78" t="str">
        <f t="shared" si="70"/>
        <v>"%USERPROFILE%\Documents\GitHub\eaglep3\Utilities\RefineRTDCRunTimes.py" --tripid 847-22 --locoid 4042 --swversion DE.1.0.9.0 --startMP 204:957 --initTime 2017-09-22T21:56:34 --startdatetime 2017-09-22T22:09:24 --delay 72 --endMP 300:58999 --enddatetime 2017-09-22T22:23:06 --enforcementcount 0 &gt;&gt;c:\users\stu\Documents\GitHub\eaglep3-reporting\EC\2017-09-22-refined-times.txt</v>
      </c>
      <c r="AI205" s="96" t="str">
        <f t="shared" si="71"/>
        <v>echo {"issue":{"subject":"","project_id":79,"tracker_id":40,"status_id":1,"priority_id":2,"assigned_to_id":338,"start_date":"2017-09-22","description":"","custom_fields":[{"id":1,"name":"Subdivision","value":"NW"},{"id":4,"name":"Milepost","value":"5.8999"},{"id":17,"name":"Train ID","value":"847-22"},{"id":16,"name":"Locomotive ID","value":"4042"},{"id":130,"name":"Impact","value":""},{"id":150,"name":"Time of Event (Mountain Time)","value":"22:23:06"},{"id":151,"name":"Denver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72"/>
        <v>start /low /b %USERPROFILE%\Documents\GitHub\eaglep3\Utilities\DownloadLogsFromS3.py --loco 4042 --day 2017-09-22</v>
      </c>
      <c r="AN205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04:23:06"},{"id":29,"name":"Sharepoint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74"/>
        <v>https://d0f6bd738d7f1b3e5a7ca70fe4ff75f0.us-east-1.aws.found.io/app/kibana#/discover/Steve-Slow-Train-Analysis-(2080s-and-2083s)?_g=(refreshInterval:(display:Off,pause:!f,section:0,value:0),time:(from:'2017-09-22T20:56:34-0600',mode:absolute,to:'2017-09-22T23:23:06-0600'))&amp;_a=(columns:!('Message%20ID',Summary),filters:!(),index:'emp_*',interval:auto,query:(query_string:(analyze_wildcard:!t,query:'Message%5C+ID:(*)+AND+%22rtdc.l.rtdc.4042%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606</v>
      </c>
      <c r="B206" s="7">
        <v>4042</v>
      </c>
      <c r="C206" s="21" t="s">
        <v>196</v>
      </c>
      <c r="D206" s="21" t="s">
        <v>949</v>
      </c>
      <c r="E206" s="13">
        <v>43000.914282407408</v>
      </c>
      <c r="F206" s="13">
        <v>43000.964872685188</v>
      </c>
      <c r="G206" s="7">
        <v>72</v>
      </c>
      <c r="H206" s="21" t="s">
        <v>563</v>
      </c>
      <c r="I206" s="13">
        <v>43000.975324074076</v>
      </c>
      <c r="J206" s="7">
        <v>0</v>
      </c>
      <c r="K206" s="89" t="str">
        <f t="shared" si="115"/>
        <v>4041/4042</v>
      </c>
      <c r="L206" s="185" t="str">
        <f>VLOOKUP(A206,'Trips&amp;Operators'!$C$1:$G$99911,5,FALSE)</f>
        <v>SMITH MICHAEL</v>
      </c>
      <c r="M206" s="6">
        <f t="shared" si="116"/>
        <v>1.0451388887304347E-2</v>
      </c>
      <c r="N206" s="7">
        <f t="shared" si="93"/>
        <v>15.04999999771826</v>
      </c>
      <c r="O206" s="7"/>
      <c r="P206" s="7"/>
      <c r="Q206" s="22"/>
      <c r="R206" s="174"/>
      <c r="S206" s="221">
        <f t="shared" si="75"/>
        <v>1</v>
      </c>
      <c r="T206" s="174" t="str">
        <f t="shared" si="117"/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118"/>
        <v>https://d0f6bd738d7f1b3e5a7ca70fe4ff75f0.us-east-1.aws.found.io/app/kibana#/discover/Steve-Slow-Train-Analysis-(2080s-and-2083s)?_g=(refreshInterval:(display:Off,pause:!f,section:0,value:0),time:(from:'2017-09-22T20:56:34-0600',mode:absolute,to:'2017-09-23T00:24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6" s="204" t="str">
        <f>IF(AA206&lt;VLOOKUP(AG206,Variables!$AC$3:$AD$8,2,FALSE),"Y","N")</f>
        <v>N</v>
      </c>
      <c r="X206" s="204">
        <f t="shared" si="119"/>
        <v>2</v>
      </c>
      <c r="Y206" s="204">
        <f t="shared" si="120"/>
        <v>9.5699999999999993E-2</v>
      </c>
      <c r="Z206" s="204">
        <f t="shared" si="121"/>
        <v>5.8998999999999997</v>
      </c>
      <c r="AA206" s="204">
        <f t="shared" si="122"/>
        <v>5.8041999999999998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123"/>
        <v>849</v>
      </c>
      <c r="AE206" s="77" t="str">
        <f t="shared" si="124"/>
        <v>aws s3 cp s3://rtdc.mdm.uploadarchive.raw/RTDC4042/ "%USERPROFILE%\AppData\Local\Temp\OnboardLogs"\RTDC4042\2017-09-22 --exclude "*" --recursive --include "*20170922*" &amp; "%USERPROFILE%\Documents\GitHub\mrs-test-scripts\Headless Mode &amp; Sideloading\WalkAndUnGZ.bat" "%USERPROFILE%\AppData\Local\Temp\OnboardLogs"\RTDC4042\2017-09-22 &amp; aws s3 cp s3://rtdc.mdm.uploadarchive.raw/RTDC4042/ "%USERPROFILE%\AppData\Local\Temp\OnboardLogs"\RTDC4042\2017-09-23 --exclude "*" --recursive --include "*20170923*" &amp; "%USERPROFILE%\Documents\GitHub\mrs-test-scripts\Headless Mode &amp; Sideloading\WalkAndUnGZ.bat" "%USERPROFILE%\AppData\Local\Temp\OnboardLogs"\RTDC4042\2017-09-23</v>
      </c>
      <c r="AF206" s="74" t="str">
        <f t="shared" si="125"/>
        <v>"C:\Program Files (x86)\AstroGrep\AstroGrep.exe" /e /r /s /spath="%USERPROFILE%\AppData\Local\Temp\OnboardLogs" /stypes="app*4042*20170923*" /stext=" 05:.+((SYSTEM_STATE.+slice.+state.+changed )|(ment ac)|(multiple cpu faults)|(system.+state.+changed )|(\[timeout)|(PRM\|1\|D)|(kpr)|(kdp)|(train st.+moving)|(\|lc)|(penalty))"</v>
      </c>
      <c r="AG206" s="182" t="str">
        <f t="shared" si="126"/>
        <v>NW</v>
      </c>
      <c r="AH206" s="78" t="str">
        <f t="shared" ref="AH206" si="127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849-22 --locoid 4042 --swversion DE.1.0.9.0 --startMP 204:957 --initTime 2017-09-22T21:56:34 --startdatetime 2017-09-22T23:09:25 --delay 72 --endMP 300:58999 --enddatetime 2017-09-22T23:24:28 --enforcementcount 0 &gt;&gt;c:\users\stu\Documents\GitHub\eaglep3-reporting\EC\2017-09-22-refined-times.txt</v>
      </c>
      <c r="AI206" s="96" t="str">
        <f t="shared" ref="AI206" si="128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{"issue":{"subject":"","project_id":79,"tracker_id":40,"status_id":1,"priority_id":2,"assigned_to_id":338,"start_date":"2017-09-22","description":"","custom_fields":[{"id":1,"name":"Subdivision","value":"NW"},{"id":4,"name":"Milepost","value":"5.8999"},{"id":17,"name":"Train ID","value":"849-22"},{"id":16,"name":"Locomotive ID","value":"4042"},{"id":130,"name":"Impact","value":""},{"id":150,"name":"Time of Event (Mountain Time)","value":"23:24:28"},{"id":151,"name":"Denver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ref="AM206" si="129">"start /low /b "&amp;dls3logs&amp;" --loco "&amp;B206&amp;" --day "&amp;TEXT(F206,"YYYY-MM-DD")</f>
        <v>start /low /b %USERPROFILE%\Documents\GitHub\eaglep3\Utilities\DownloadLogsFromS3.py --loco 4042 --day 2017-09-22</v>
      </c>
      <c r="AN206" s="151" t="str">
        <f t="shared" ref="AN206" si="130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05:24:28"},{"id":29,"name":"Sharepoint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ref="AO206" si="131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Message%20ID',Summary),filters:!(),index:'emp_*',interval:auto,query:"&amp;"(query_string:(analyze_wildcard:!t,query:'Message%5C+ID:(*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-09-22T20:56:34-0600',mode:absolute,to:'2017-09-23T00:24:28-0600'))&amp;_a=(columns:!('Message%20ID',Summary),filters:!(),index:'emp_*',interval:auto,query:(query_string:(analyze_wildcard:!t,query:'Message%5C+ID:(*)+AND+%22rtdc.l.rtdc.4042%22')),sort:!(Time.ISO8601,asc))</v>
      </c>
    </row>
    <row r="207" spans="1:91" s="20" customFormat="1" x14ac:dyDescent="0.25">
      <c r="A207" s="32" t="s">
        <v>781</v>
      </c>
      <c r="B207" s="7">
        <v>4002</v>
      </c>
      <c r="C207" s="21" t="s">
        <v>196</v>
      </c>
      <c r="D207" s="21" t="s">
        <v>879</v>
      </c>
      <c r="E207" s="13">
        <v>43000.775231481479</v>
      </c>
      <c r="F207" s="13">
        <v>43000.777384259258</v>
      </c>
      <c r="G207" s="7">
        <v>80</v>
      </c>
      <c r="H207" s="21" t="s">
        <v>512</v>
      </c>
      <c r="I207" s="13">
        <v>43000.783495370371</v>
      </c>
      <c r="J207" s="7">
        <v>0</v>
      </c>
      <c r="K207" s="89" t="str">
        <f t="shared" si="115"/>
        <v>4001/4002</v>
      </c>
      <c r="L207" s="185" t="str">
        <f>VLOOKUP(A207,'Trips&amp;Operators'!$C$1:$G$99911,5,FALSE)</f>
        <v>DELGADO DIANAH</v>
      </c>
      <c r="M207" s="6">
        <f t="shared" si="116"/>
        <v>6.1111111135687679E-3</v>
      </c>
      <c r="N207" s="7">
        <f t="shared" si="93"/>
        <v>8.8000000035390258</v>
      </c>
      <c r="O207" s="7"/>
      <c r="P207" s="7"/>
      <c r="Q207" s="22"/>
      <c r="R207" s="174"/>
      <c r="S207" s="221">
        <f t="shared" si="75"/>
        <v>1</v>
      </c>
      <c r="T207" s="174" t="str">
        <f t="shared" si="117"/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118"/>
        <v>https://d0f6bd738d7f1b3e5a7ca70fe4ff75f0.us-east-1.aws.found.io/app/kibana#/discover/Steve-Slow-Train-Analysis-(2080s-and-2083s)?_g=(refreshInterval:(display:Off,pause:!f,section:0,value:0),time:(from:'2017-09-22T17:36:20-0600',mode:absolute,to:'2017-09-22T19:48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7" s="204" t="str">
        <f>IF(AA207&lt;VLOOKUP(AG207,Variables!$AC$3:$AD$8,2,FALSE),"Y","N")</f>
        <v>Y</v>
      </c>
      <c r="X207" s="204">
        <f t="shared" si="119"/>
        <v>-548</v>
      </c>
      <c r="Y207" s="204">
        <f t="shared" si="120"/>
        <v>0.12570000000000001</v>
      </c>
      <c r="Z207" s="204">
        <f t="shared" si="121"/>
        <v>2.331</v>
      </c>
      <c r="AA207" s="204">
        <f t="shared" si="122"/>
        <v>2.2052999999999998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123"/>
        <v>301</v>
      </c>
      <c r="AE207" s="77" t="str">
        <f t="shared" si="124"/>
        <v>aws s3 cp s3://rtdc.mdm.uploadarchive.raw/RTDC4002/ "%USERPROFILE%\AppData\Local\Temp\OnboardLogs"\RTDC4002\2017-09-22 --exclude "*" --recursive --include "*20170922*" &amp; "%USERPROFILE%\Documents\GitHub\mrs-test-scripts\Headless Mode &amp; Sideloading\WalkAndUnGZ.bat" "%USERPROFILE%\AppData\Local\Temp\OnboardLogs"\RTDC4002\2017-09-22 &amp; 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</v>
      </c>
      <c r="AF207" s="74" t="str">
        <f t="shared" si="125"/>
        <v>"C:\Program Files (x86)\AstroGrep\AstroGrep.exe" /e /r /s /spath="%USERPROFILE%\AppData\Local\Temp\OnboardLogs" /stypes="app*4002*20170923*" /stext=" 00:.+((SYSTEM_STATE.+slice.+state.+changed )|(ment ac)|(multiple cpu faults)|(system.+state.+changed )|(\[timeout)|(PRM\|1\|D)|(kpr)|(kdp)|(train st.+moving)|(\|lc)|(penalty))"</v>
      </c>
      <c r="AG207" s="182" t="str">
        <f t="shared" si="126"/>
        <v>Other</v>
      </c>
      <c r="AH207" s="78" t="str">
        <f t="shared" si="70"/>
        <v>"%USERPROFILE%\Documents\GitHub\eaglep3\Utilities\RefineRTDCRunTimes.py" --tripid 301-22 --locoid 4002 --swversion DE.1.0.9.0 --startMP 204:1257 --initTime 2017-09-22T18:36:20 --startdatetime 2017-09-22T18:39:26 --delay 80 --endMP 300:23310 --enddatetime 2017-09-22T18:48:14 --enforcementcount 0 &gt;&gt;c:\users\stu\Documents\GitHub\eaglep3-reporting\EC\2017-09-22-refined-times.txt</v>
      </c>
      <c r="AI207" s="96" t="str">
        <f t="shared" si="71"/>
        <v>echo {"issue":{"subject":"","project_id":79,"tracker_id":40,"status_id":1,"priority_id":2,"assigned_to_id":338,"start_date":"2017-09-22","description":"","custom_fields":[{"id":1,"name":"Subdivision","value":"Other"},{"id":4,"name":"Milepost","value":"2.331"},{"id":17,"name":"Train ID","value":"301-22"},{"id":16,"name":"Locomotive ID","value":"4002"},{"id":130,"name":"Impact","value":""},{"id":150,"name":"Time of Event (Mountain Time)","value":"18:48:14"},{"id":151,"name":"Denver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72"/>
        <v>start /low /b %USERPROFILE%\Documents\GitHub\eaglep3\Utilities\DownloadLogsFromS3.py --loco 4002 --day 2017-09-22</v>
      </c>
      <c r="AN207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00:48:14"},{"id":29,"name":"Sharepoint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74"/>
        <v>https://d0f6bd738d7f1b3e5a7ca70fe4ff75f0.us-east-1.aws.found.io/app/kibana#/discover/Steve-Slow-Train-Analysis-(2080s-and-2083s)?_g=(refreshInterval:(display:Off,pause:!f,section:0,value:0),time:(from:'2017-09-22T17:36:20-0600',mode:absolute,to:'2017-09-22T19:48:14-0600'))&amp;_a=(columns:!('Message%20ID',Summary),filters:!(),index:'emp_*',interval:auto,query:(query_string:(analyze_wildcard:!t,query:'Message%5C+ID:(*)+AND+%22rtdc.l.rtdc.4002%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2" t="s">
        <v>611</v>
      </c>
      <c r="B208" s="7">
        <v>4043</v>
      </c>
      <c r="C208" s="21" t="s">
        <v>196</v>
      </c>
      <c r="D208" s="21" t="s">
        <v>880</v>
      </c>
      <c r="E208" s="13">
        <v>43000.142222222225</v>
      </c>
      <c r="F208" s="13">
        <v>43000.145370370374</v>
      </c>
      <c r="G208" s="7">
        <v>54</v>
      </c>
      <c r="H208" s="21" t="s">
        <v>337</v>
      </c>
      <c r="I208" s="13">
        <v>43000.15111111111</v>
      </c>
      <c r="J208" s="7">
        <v>0</v>
      </c>
      <c r="K208" s="89" t="str">
        <f t="shared" si="115"/>
        <v>4043/4044</v>
      </c>
      <c r="L208" s="185" t="str">
        <f>VLOOKUP(A208,'Trips&amp;Operators'!$C$1:$G$99911,5,FALSE)</f>
        <v>LANGERAK WILLIAM</v>
      </c>
      <c r="M208" s="6">
        <f t="shared" si="116"/>
        <v>5.7407407366554253E-3</v>
      </c>
      <c r="N208" s="7">
        <f t="shared" si="93"/>
        <v>8.2666666607838124</v>
      </c>
      <c r="O208" s="7"/>
      <c r="P208" s="7"/>
      <c r="Q208" s="22"/>
      <c r="R208" s="174"/>
      <c r="S208" s="221">
        <f t="shared" si="75"/>
        <v>1</v>
      </c>
      <c r="T208" s="174" t="str">
        <f t="shared" si="117"/>
        <v>Southbound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118"/>
        <v>https://d0f6bd738d7f1b3e5a7ca70fe4ff75f0.us-east-1.aws.found.io/app/kibana#/discover/Steve-Slow-Train-Analysis-(2080s-and-2083s)?_g=(refreshInterval:(display:Off,pause:!f,section:0,value:0),time:(from:'2017-09-22T02:24:48-0600',mode:absolute,to:'2017-09-22T04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8" s="204" t="str">
        <f>IF(AA208&lt;VLOOKUP(AG208,Variables!$AC$3:$AD$8,2,FALSE),"Y","N")</f>
        <v>Y</v>
      </c>
      <c r="X208" s="204">
        <f t="shared" ref="X208:X235" si="132">VALUE(LEFT(AD208,4))-VALUE(LEFT(AD207,4))</f>
        <v>1</v>
      </c>
      <c r="Y208" s="204">
        <f t="shared" si="120"/>
        <v>2.2183000000000002</v>
      </c>
      <c r="Z208" s="204">
        <f t="shared" si="121"/>
        <v>1.49E-2</v>
      </c>
      <c r="AA208" s="204">
        <f t="shared" si="122"/>
        <v>2.2034000000000002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123"/>
        <v>302</v>
      </c>
      <c r="AE208" s="77" t="str">
        <f t="shared" si="124"/>
        <v>aws s3 cp s3://rtdc.mdm.uploadarchive.raw/RTDC4043/ "%USERPROFILE%\AppData\Local\Temp\OnboardLogs"\RTDC4043\2017-09-22 --exclude "*" --recursive --include "*20170922*" &amp; "%USERPROFILE%\Documents\GitHub\mrs-test-scripts\Headless Mode &amp; Sideloading\WalkAndUnGZ.bat" "%USERPROFILE%\AppData\Local\Temp\OnboardLogs"\RTDC4043\2017-09-22 &amp; aws s3 cp s3://rtdc.mdm.uploadarchive.raw/RTDC4043/ "%USERPROFILE%\AppData\Local\Temp\OnboardLogs"\RTDC4043\2017-09-23 --exclude "*" --recursive --include "*20170923*" &amp; "%USERPROFILE%\Documents\GitHub\mrs-test-scripts\Headless Mode &amp; Sideloading\WalkAndUnGZ.bat" "%USERPROFILE%\AppData\Local\Temp\OnboardLogs"\RTDC4043\2017-09-23</v>
      </c>
      <c r="AF208" s="74" t="str">
        <f t="shared" si="125"/>
        <v>"C:\Program Files (x86)\AstroGrep\AstroGrep.exe" /e /r /s /spath="%USERPROFILE%\AppData\Local\Temp\OnboardLogs" /stypes="app*4043*20170922*" /stext=" 09:.+((SYSTEM_STATE.+slice.+state.+changed )|(ment ac)|(multiple cpu faults)|(system.+state.+changed )|(\[timeout)|(PRM\|1\|D)|(kpr)|(kdp)|(train st.+moving)|(\|lc)|(penalty))"</v>
      </c>
      <c r="AG208" s="182" t="str">
        <f t="shared" si="126"/>
        <v>Other</v>
      </c>
      <c r="AH208" s="78" t="str">
        <f t="shared" si="70"/>
        <v>"%USERPROFILE%\Documents\GitHub\eaglep3\Utilities\RefineRTDCRunTimes.py" --tripid 302-22 --locoid 4043 --swversion DE.1.0.9.0 --startMP 300:22183 --initTime 2017-09-22T03:24:48 --startdatetime 2017-09-22T03:29:20 --delay 54 --endMP 204:149 --enddatetime 2017-09-22T03:37:36 --enforcementcount 0 &gt;&gt;c:\users\stu\Documents\GitHub\eaglep3-reporting\EC\2017-09-22-refined-times.txt</v>
      </c>
      <c r="AI208" s="96" t="str">
        <f t="shared" si="71"/>
        <v>echo {"issue":{"subject":"","project_id":79,"tracker_id":40,"status_id":1,"priority_id":2,"assigned_to_id":338,"start_date":"2017-09-22","description":"","custom_fields":[{"id":1,"name":"Subdivision","value":"Other"},{"id":4,"name":"Milepost","value":"0.0149"},{"id":17,"name":"Train ID","value":"302-22"},{"id":16,"name":"Locomotive ID","value":"4043"},{"id":130,"name":"Impact","value":""},{"id":150,"name":"Time of Event (Mountain Time)","value":"03:37:36"},{"id":151,"name":"Denver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72"/>
        <v>start /low /b %USERPROFILE%\Documents\GitHub\eaglep3\Utilities\DownloadLogsFromS3.py --loco 4043 --day 2017-09-22</v>
      </c>
      <c r="AN208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09:37:36"},{"id":29,"name":"Sharepoint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74"/>
        <v>https://d0f6bd738d7f1b3e5a7ca70fe4ff75f0.us-east-1.aws.found.io/app/kibana#/discover/Steve-Slow-Train-Analysis-(2080s-and-2083s)?_g=(refreshInterval:(display:Off,pause:!f,section:0,value:0),time:(from:'2017-09-22T02:24:48-0600',mode:absolute,to:'2017-09-22T04:37:36-0600'))&amp;_a=(columns:!('Message%20ID',Summary),filters:!(),index:'emp_*',interval:auto,query:(query_string:(analyze_wildcard:!t,query:'Message%5C+ID:(*)+AND+%22rtdc.l.rtdc.4043%22')),sort:!(Time.ISO8601,asc))</v>
      </c>
    </row>
    <row r="209" spans="1:91" x14ac:dyDescent="0.25">
      <c r="A209" s="32" t="s">
        <v>787</v>
      </c>
      <c r="B209" s="7">
        <v>4062</v>
      </c>
      <c r="C209" s="21" t="s">
        <v>196</v>
      </c>
      <c r="D209" s="21" t="s">
        <v>375</v>
      </c>
      <c r="E209" s="13">
        <v>43000.7966087963</v>
      </c>
      <c r="F209" s="13">
        <v>43000.801990740743</v>
      </c>
      <c r="G209" s="7">
        <v>83</v>
      </c>
      <c r="H209" s="21" t="s">
        <v>465</v>
      </c>
      <c r="I209" s="13">
        <v>43000.80810185185</v>
      </c>
      <c r="J209" s="7">
        <v>0</v>
      </c>
      <c r="K209" s="89" t="str">
        <f t="shared" si="115"/>
        <v>4061/4062</v>
      </c>
      <c r="L209" s="185" t="str">
        <f>VLOOKUP(A209,'Trips&amp;Operators'!$C$1:$G$99911,5,FALSE)</f>
        <v>LEVIN SCOTT</v>
      </c>
      <c r="M209" s="6">
        <f t="shared" si="116"/>
        <v>6.1111111062928103E-3</v>
      </c>
      <c r="N209" s="7">
        <f t="shared" si="93"/>
        <v>8.7999999930616468</v>
      </c>
      <c r="O209" s="7"/>
      <c r="P209" s="7"/>
      <c r="Q209" s="22"/>
      <c r="R209" s="174"/>
      <c r="S209" s="221">
        <f t="shared" si="75"/>
        <v>1</v>
      </c>
      <c r="T209" s="174" t="str">
        <f t="shared" si="117"/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118"/>
        <v>https://d0f6bd738d7f1b3e5a7ca70fe4ff75f0.us-east-1.aws.found.io/app/kibana#/discover/Steve-Slow-Train-Analysis-(2080s-and-2083s)?_g=(refreshInterval:(display:Off,pause:!f,section:0,value:0),time:(from:'2017-09-22T18:07:07-0600',mode:absolute,to:'2017-09-22T20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9" s="204" t="str">
        <f>IF(AA209&lt;VLOOKUP(AG209,Variables!$AC$3:$AD$8,2,FALSE),"Y","N")</f>
        <v>Y</v>
      </c>
      <c r="X209" s="204">
        <f t="shared" si="132"/>
        <v>1</v>
      </c>
      <c r="Y209" s="204">
        <f t="shared" si="120"/>
        <v>4.4200000000000003E-2</v>
      </c>
      <c r="Z209" s="204">
        <f t="shared" si="121"/>
        <v>2.3346</v>
      </c>
      <c r="AA209" s="204">
        <f t="shared" si="122"/>
        <v>2.2904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123"/>
        <v>303</v>
      </c>
      <c r="AE209" s="77" t="str">
        <f t="shared" si="124"/>
        <v>aws s3 cp s3://rtdc.mdm.uploadarchive.raw/RTDC4062/ "%USERPROFILE%\AppData\Local\Temp\OnboardLogs"\RTDC4062\2017-09-22 --exclude "*" --recursive --include "*20170922*" &amp; "%USERPROFILE%\Documents\GitHub\mrs-test-scripts\Headless Mode &amp; Sideloading\WalkAndUnGZ.bat" "%USERPROFILE%\AppData\Local\Temp\OnboardLogs"\RTDC4062\2017-09-22 &amp; aws s3 cp s3://rtdc.mdm.uploadarchive.raw/RTDC4062/ "%USERPROFILE%\AppData\Local\Temp\OnboardLogs"\RTDC4062\2017-09-23 --exclude "*" --recursive --include "*20170923*" &amp; "%USERPROFILE%\Documents\GitHub\mrs-test-scripts\Headless Mode &amp; Sideloading\WalkAndUnGZ.bat" "%USERPROFILE%\AppData\Local\Temp\OnboardLogs"\RTDC4062\2017-09-23</v>
      </c>
      <c r="AF209" s="74" t="str">
        <f t="shared" si="125"/>
        <v>"C:\Program Files (x86)\AstroGrep\AstroGrep.exe" /e /r /s /spath="%USERPROFILE%\AppData\Local\Temp\OnboardLogs" /stypes="app*4062*20170923*" /stext=" 01:.+((SYSTEM_STATE.+slice.+state.+changed )|(ment ac)|(multiple cpu faults)|(system.+state.+changed )|(\[timeout)|(PRM\|1\|D)|(kpr)|(kdp)|(train st.+moving)|(\|lc)|(penalty))"</v>
      </c>
      <c r="AG209" s="182" t="str">
        <f t="shared" si="126"/>
        <v>Other</v>
      </c>
      <c r="AH209" s="78" t="str">
        <f t="shared" si="70"/>
        <v>"%USERPROFILE%\Documents\GitHub\eaglep3\Utilities\RefineRTDCRunTimes.py" --tripid 303-22 --locoid 4062 --swversion DE.1.0.9.0 --startMP 204:442 --initTime 2017-09-22T19:07:07 --startdatetime 2017-09-22T19:14:52 --delay 83 --endMP 300:23346 --enddatetime 2017-09-22T19:23:40 --enforcementcount 0 &gt;&gt;c:\users\stu\Documents\GitHub\eaglep3-reporting\EC\2017-09-22-refined-times.txt</v>
      </c>
      <c r="AI209" s="96" t="str">
        <f t="shared" si="71"/>
        <v>echo {"issue":{"subject":"","project_id":79,"tracker_id":40,"status_id":1,"priority_id":2,"assigned_to_id":338,"start_date":"2017-09-22","description":"","custom_fields":[{"id":1,"name":"Subdivision","value":"Other"},{"id":4,"name":"Milepost","value":"2.3346"},{"id":17,"name":"Train ID","value":"303-22"},{"id":16,"name":"Locomotive ID","value":"4062"},{"id":130,"name":"Impact","value":""},{"id":150,"name":"Time of Event (Mountain Time)","value":"19:23:40"},{"id":151,"name":"Denver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2"/>
        <v>start /low /b %USERPROFILE%\Documents\GitHub\eaglep3\Utilities\DownloadLogsFromS3.py --loco 4062 --day 2017-09-22</v>
      </c>
      <c r="AN209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01:23:40"},{"id":29,"name":"Sharepoint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74"/>
        <v>https://d0f6bd738d7f1b3e5a7ca70fe4ff75f0.us-east-1.aws.found.io/app/kibana#/discover/Steve-Slow-Train-Analysis-(2080s-and-2083s)?_g=(refreshInterval:(display:Off,pause:!f,section:0,value:0),time:(from:'2017-09-22T18:07:07-0600',mode:absolute,to:'2017-09-22T20:23:40-0600'))&amp;_a=(columns:!('Message%20ID',Summary),filters:!(),index:'emp_*',interval:auto,query:(query_string:(analyze_wildcard:!t,query:'Message%5C+ID:(*)+AND+%22rtdc.l.rtdc.4062%22')),sort:!(Time.ISO8601,asc))</v>
      </c>
    </row>
    <row r="210" spans="1:91" s="20" customFormat="1" x14ac:dyDescent="0.25">
      <c r="A210" s="32" t="s">
        <v>616</v>
      </c>
      <c r="B210" s="7">
        <v>4017</v>
      </c>
      <c r="C210" s="21" t="s">
        <v>196</v>
      </c>
      <c r="D210" s="21" t="s">
        <v>881</v>
      </c>
      <c r="E210" s="13">
        <v>43000.157418981478</v>
      </c>
      <c r="F210" s="13">
        <v>43000.160810185182</v>
      </c>
      <c r="G210" s="7">
        <v>65</v>
      </c>
      <c r="H210" s="21" t="s">
        <v>882</v>
      </c>
      <c r="I210" s="13">
        <v>43000.166493055556</v>
      </c>
      <c r="J210" s="7">
        <v>0</v>
      </c>
      <c r="K210" s="89" t="str">
        <f t="shared" si="115"/>
        <v>4017/4018</v>
      </c>
      <c r="L210" s="185" t="str">
        <f>VLOOKUP(A210,'Trips&amp;Operators'!$C$1:$G$99911,5,FALSE)</f>
        <v>BONDS REYNALDO</v>
      </c>
      <c r="M210" s="6">
        <f t="shared" si="116"/>
        <v>5.6828703745850362E-3</v>
      </c>
      <c r="N210" s="7">
        <f t="shared" si="93"/>
        <v>8.1833333394024521</v>
      </c>
      <c r="O210" s="7"/>
      <c r="P210" s="7"/>
      <c r="Q210" s="22"/>
      <c r="R210" s="174"/>
      <c r="S210" s="221">
        <f t="shared" si="75"/>
        <v>1</v>
      </c>
      <c r="T210" s="174" t="str">
        <f t="shared" si="117"/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118"/>
        <v>https://d0f6bd738d7f1b3e5a7ca70fe4ff75f0.us-east-1.aws.found.io/app/kibana#/discover/Steve-Slow-Train-Analysis-(2080s-and-2083s)?_g=(refreshInterval:(display:Off,pause:!f,section:0,value:0),time:(from:'2017-09-22T02:46:41-0600',mode:absolute,to:'2017-09-22T04:59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0" s="204" t="str">
        <f>IF(AA210&lt;VLOOKUP(AG210,Variables!$AC$3:$AD$8,2,FALSE),"Y","N")</f>
        <v>Y</v>
      </c>
      <c r="X210" s="204">
        <f t="shared" si="132"/>
        <v>1</v>
      </c>
      <c r="Y210" s="204">
        <f t="shared" si="120"/>
        <v>2.3622000000000001</v>
      </c>
      <c r="Z210" s="204">
        <f t="shared" si="121"/>
        <v>1.6899999999999998E-2</v>
      </c>
      <c r="AA210" s="204">
        <f t="shared" si="122"/>
        <v>2.3452999999999999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123"/>
        <v>304</v>
      </c>
      <c r="AE210" s="77" t="str">
        <f t="shared" si="124"/>
        <v>aws s3 cp s3://rtdc.mdm.uploadarchive.raw/RTDC4017/ "%USERPROFILE%\AppData\Local\Temp\OnboardLogs"\RTDC4017\2017-09-22 --exclude "*" --recursive --include "*20170922*" &amp; "%USERPROFILE%\Documents\GitHub\mrs-test-scripts\Headless Mode &amp; Sideloading\WalkAndUnGZ.bat" "%USERPROFILE%\AppData\Local\Temp\OnboardLogs"\RTDC4017\2017-09-22 &amp; aws s3 cp s3://rtdc.mdm.uploadarchive.raw/RTDC4017/ "%USERPROFILE%\AppData\Local\Temp\OnboardLogs"\RTDC4017\2017-09-23 --exclude "*" --recursive --include "*20170923*" &amp; "%USERPROFILE%\Documents\GitHub\mrs-test-scripts\Headless Mode &amp; Sideloading\WalkAndUnGZ.bat" "%USERPROFILE%\AppData\Local\Temp\OnboardLogs"\RTDC4017\2017-09-23</v>
      </c>
      <c r="AF210" s="74" t="str">
        <f t="shared" si="125"/>
        <v>"C:\Program Files (x86)\AstroGrep\AstroGrep.exe" /e /r /s /spath="%USERPROFILE%\AppData\Local\Temp\OnboardLogs" /stypes="app*4017*20170922*" /stext=" 09:.+((SYSTEM_STATE.+slice.+state.+changed )|(ment ac)|(multiple cpu faults)|(system.+state.+changed )|(\[timeout)|(PRM\|1\|D)|(kpr)|(kdp)|(train st.+moving)|(\|lc)|(penalty))"</v>
      </c>
      <c r="AG210" s="182" t="str">
        <f t="shared" si="126"/>
        <v>Other</v>
      </c>
      <c r="AH210" s="78" t="str">
        <f t="shared" si="70"/>
        <v>"%USERPROFILE%\Documents\GitHub\eaglep3\Utilities\RefineRTDCRunTimes.py" --tripid 304-22 --locoid 4017 --swversion DE.1.0.9.0 --startMP 300:23622 --initTime 2017-09-22T03:46:41 --startdatetime 2017-09-22T03:51:34 --delay 65 --endMP 204:169 --enddatetime 2017-09-22T03:59:45 --enforcementcount 0 &gt;&gt;c:\users\stu\Documents\GitHub\eaglep3-reporting\EC\2017-09-22-refined-times.txt</v>
      </c>
      <c r="AI210" s="96" t="str">
        <f t="shared" si="71"/>
        <v>echo {"issue":{"subject":"","project_id":79,"tracker_id":40,"status_id":1,"priority_id":2,"assigned_to_id":338,"start_date":"2017-09-22","description":"","custom_fields":[{"id":1,"name":"Subdivision","value":"Other"},{"id":4,"name":"Milepost","value":"0.0169"},{"id":17,"name":"Train ID","value":"304-22"},{"id":16,"name":"Locomotive ID","value":"4017"},{"id":130,"name":"Impact","value":""},{"id":150,"name":"Time of Event (Mountain Time)","value":"03:59:45"},{"id":151,"name":"Denver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si="72"/>
        <v>start /low /b %USERPROFILE%\Documents\GitHub\eaglep3\Utilities\DownloadLogsFromS3.py --loco 4017 --day 2017-09-22</v>
      </c>
      <c r="AN210" s="151" t="str">
        <f t="shared" si="7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09:59:45"},{"id":29,"name":"Sharepoint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74"/>
        <v>https://d0f6bd738d7f1b3e5a7ca70fe4ff75f0.us-east-1.aws.found.io/app/kibana#/discover/Steve-Slow-Train-Analysis-(2080s-and-2083s)?_g=(refreshInterval:(display:Off,pause:!f,section:0,value:0),time:(from:'2017-09-22T02:46:41-0600',mode:absolute,to:'2017-09-22T04:59:45-0600'))&amp;_a=(columns:!('Message%20ID',Summary),filters:!(),index:'emp_*',interval:auto,query:(query_string:(analyze_wildcard:!t,query:'Message%5C+ID:(*)+AND+%22rtdc.l.rtdc.4017%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791</v>
      </c>
      <c r="B211" s="7">
        <v>4012</v>
      </c>
      <c r="C211" s="21" t="s">
        <v>196</v>
      </c>
      <c r="D211" s="21" t="s">
        <v>873</v>
      </c>
      <c r="E211" s="13">
        <v>43000.822268518517</v>
      </c>
      <c r="F211" s="13">
        <v>43000.827905092592</v>
      </c>
      <c r="G211" s="7">
        <v>57</v>
      </c>
      <c r="H211" s="21" t="s">
        <v>465</v>
      </c>
      <c r="I211" s="13">
        <v>43000.851064814815</v>
      </c>
      <c r="J211" s="7">
        <v>0</v>
      </c>
      <c r="K211" s="89" t="str">
        <f t="shared" si="115"/>
        <v>4011/4012</v>
      </c>
      <c r="L211" s="185" t="str">
        <f>VLOOKUP(A211,'Trips&amp;Operators'!$C$1:$G$99911,5,FALSE)</f>
        <v>SWANSON BRYCE</v>
      </c>
      <c r="M211" s="6">
        <f t="shared" si="116"/>
        <v>2.3159722222771961E-2</v>
      </c>
      <c r="N211" s="7">
        <f t="shared" si="93"/>
        <v>33.350000000791624</v>
      </c>
      <c r="O211" s="7"/>
      <c r="P211" s="7"/>
      <c r="Q211" s="22"/>
      <c r="R211" s="174"/>
      <c r="S211" s="221">
        <f t="shared" si="75"/>
        <v>1</v>
      </c>
      <c r="T211" s="174" t="str">
        <f t="shared" si="117"/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118"/>
        <v>https://d0f6bd738d7f1b3e5a7ca70fe4ff75f0.us-east-1.aws.found.io/app/kibana#/discover/Steve-Slow-Train-Analysis-(2080s-and-2083s)?_g=(refreshInterval:(display:Off,pause:!f,section:0,value:0),time:(from:'2017-09-22T18:44:04-0600',mode:absolute,to:'2017-09-22T21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1" s="204" t="str">
        <f>IF(AA211&lt;VLOOKUP(AG211,Variables!$AC$3:$AD$8,2,FALSE),"Y","N")</f>
        <v>Y</v>
      </c>
      <c r="X211" s="204">
        <f t="shared" si="132"/>
        <v>1</v>
      </c>
      <c r="Y211" s="204">
        <f t="shared" si="120"/>
        <v>4.2900000000000001E-2</v>
      </c>
      <c r="Z211" s="204">
        <f t="shared" si="121"/>
        <v>2.3346</v>
      </c>
      <c r="AA211" s="204">
        <f t="shared" si="122"/>
        <v>2.2917000000000001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123"/>
        <v>305</v>
      </c>
      <c r="AE211" s="77" t="str">
        <f t="shared" si="124"/>
        <v>aws s3 cp s3://rtdc.mdm.uploadarchive.raw/RTDC4012/ "%USERPROFILE%\AppData\Local\Temp\OnboardLogs"\RTDC4012\2017-09-22 --exclude "*" --recursive --include "*20170922*" &amp; "%USERPROFILE%\Documents\GitHub\mrs-test-scripts\Headless Mode &amp; Sideloading\WalkAndUnGZ.bat" "%USERPROFILE%\AppData\Local\Temp\OnboardLogs"\RTDC4012\2017-09-22 &amp; aws s3 cp s3://rtdc.mdm.uploadarchive.raw/RTDC4012/ "%USERPROFILE%\AppData\Local\Temp\OnboardLogs"\RTDC4012\2017-09-23 --exclude "*" --recursive --include "*20170923*" &amp; "%USERPROFILE%\Documents\GitHub\mrs-test-scripts\Headless Mode &amp; Sideloading\WalkAndUnGZ.bat" "%USERPROFILE%\AppData\Local\Temp\OnboardLogs"\RTDC4012\2017-09-23</v>
      </c>
      <c r="AF211" s="74" t="str">
        <f t="shared" si="125"/>
        <v>"C:\Program Files (x86)\AstroGrep\AstroGrep.exe" /e /r /s /spath="%USERPROFILE%\AppData\Local\Temp\OnboardLogs" /stypes="app*4012*20170923*" /stext=" 02:.+((SYSTEM_STATE.+slice.+state.+changed )|(ment ac)|(multiple cpu faults)|(system.+state.+changed )|(\[timeout)|(PRM\|1\|D)|(kpr)|(kdp)|(train st.+moving)|(\|lc)|(penalty))"</v>
      </c>
      <c r="AG211" s="182" t="str">
        <f t="shared" si="126"/>
        <v>Other</v>
      </c>
      <c r="AH211" s="78" t="str">
        <f t="shared" si="70"/>
        <v>"%USERPROFILE%\Documents\GitHub\eaglep3\Utilities\RefineRTDCRunTimes.py" --tripid 305-22 --locoid 4012 --swversion DE.1.0.9.0 --startMP 204:429 --initTime 2017-09-22T19:44:04 --startdatetime 2017-09-22T19:52:11 --delay 57 --endMP 300:23346 --enddatetime 2017-09-22T20:25:32 --enforcementcount 0 &gt;&gt;c:\users\stu\Documents\GitHub\eaglep3-reporting\EC\2017-09-22-refined-times.txt</v>
      </c>
      <c r="AI211" s="96" t="str">
        <f t="shared" si="71"/>
        <v>echo {"issue":{"subject":"","project_id":79,"tracker_id":40,"status_id":1,"priority_id":2,"assigned_to_id":338,"start_date":"2017-09-22","description":"","custom_fields":[{"id":1,"name":"Subdivision","value":"Other"},{"id":4,"name":"Milepost","value":"2.3346"},{"id":17,"name":"Train ID","value":"305-22"},{"id":16,"name":"Locomotive ID","value":"4012"},{"id":130,"name":"Impact","value":""},{"id":150,"name":"Time of Event (Mountain Time)","value":"20:25:32"},{"id":151,"name":"Denver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si="72"/>
        <v>start /low /b %USERPROFILE%\Documents\GitHub\eaglep3\Utilities\DownloadLogsFromS3.py --loco 4012 --day 2017-09-22</v>
      </c>
      <c r="AN211" s="151" t="str">
        <f t="shared" si="7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02:25:32"},{"id":29,"name":"Sharepoint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74"/>
        <v>https://d0f6bd738d7f1b3e5a7ca70fe4ff75f0.us-east-1.aws.found.io/app/kibana#/discover/Steve-Slow-Train-Analysis-(2080s-and-2083s)?_g=(refreshInterval:(display:Off,pause:!f,section:0,value:0),time:(from:'2017-09-22T18:44:04-0600',mode:absolute,to:'2017-09-22T21:25:32-0600'))&amp;_a=(columns:!('Message%20ID',Summary),filters:!(),index:'emp_*',interval:auto,query:(query_string:(analyze_wildcard:!t,query:'Message%5C+ID:(*)+AND+%22rtdc.l.rtdc.4012%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621</v>
      </c>
      <c r="B212" s="7">
        <v>4031</v>
      </c>
      <c r="C212" s="21" t="s">
        <v>196</v>
      </c>
      <c r="D212" s="21" t="s">
        <v>883</v>
      </c>
      <c r="E212" s="13">
        <v>43000.174062500002</v>
      </c>
      <c r="F212" s="13">
        <v>43000.17695601852</v>
      </c>
      <c r="G212" s="7">
        <v>48</v>
      </c>
      <c r="H212" s="21" t="s">
        <v>377</v>
      </c>
      <c r="I212" s="13">
        <v>43000.182083333333</v>
      </c>
      <c r="J212" s="7">
        <v>0</v>
      </c>
      <c r="K212" s="89" t="str">
        <f t="shared" si="115"/>
        <v>4031/4032</v>
      </c>
      <c r="L212" s="185" t="str">
        <f>VLOOKUP(A212,'Trips&amp;Operators'!$C$1:$G$99911,5,FALSE)</f>
        <v>GEBRETEKLE DAGNEW</v>
      </c>
      <c r="M212" s="6">
        <f t="shared" si="116"/>
        <v>5.1273148128530011E-3</v>
      </c>
      <c r="N212" s="7">
        <f t="shared" si="93"/>
        <v>7.3833333305083215</v>
      </c>
      <c r="O212" s="7"/>
      <c r="P212" s="7"/>
      <c r="Q212" s="22"/>
      <c r="R212" s="174"/>
      <c r="S212" s="221">
        <f t="shared" si="75"/>
        <v>1</v>
      </c>
      <c r="T212" s="174" t="str">
        <f t="shared" si="117"/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118"/>
        <v>https://d0f6bd738d7f1b3e5a7ca70fe4ff75f0.us-east-1.aws.found.io/app/kibana#/discover/Steve-Slow-Train-Analysis-(2080s-and-2083s)?_g=(refreshInterval:(display:Off,pause:!f,section:0,value:0),time:(from:'2017-09-22T03:10:39-0600',mode:absolute,to:'2017-09-22T05:22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2" s="204" t="str">
        <f>IF(AA212&lt;VLOOKUP(AG212,Variables!$AC$3:$AD$8,2,FALSE),"Y","N")</f>
        <v>Y</v>
      </c>
      <c r="X212" s="204">
        <f t="shared" si="132"/>
        <v>1</v>
      </c>
      <c r="Y212" s="204">
        <f t="shared" si="120"/>
        <v>2.3589000000000002</v>
      </c>
      <c r="Z212" s="204">
        <f t="shared" si="121"/>
        <v>1.6E-2</v>
      </c>
      <c r="AA212" s="204">
        <f t="shared" si="122"/>
        <v>2.3429000000000002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123"/>
        <v>306</v>
      </c>
      <c r="AE212" s="77" t="str">
        <f t="shared" si="124"/>
        <v>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 &amp; aws s3 cp s3://rtdc.mdm.uploadarchive.raw/RTDC4031/ "%USERPROFILE%\AppData\Local\Temp\OnboardLogs"\RTDC4031\2017-09-23 --exclude "*" --recursive --include "*20170923*" &amp; "%USERPROFILE%\Documents\GitHub\mrs-test-scripts\Headless Mode &amp; Sideloading\WalkAndUnGZ.bat" "%USERPROFILE%\AppData\Local\Temp\OnboardLogs"\RTDC4031\2017-09-23</v>
      </c>
      <c r="AF212" s="74" t="str">
        <f t="shared" si="125"/>
        <v>"C:\Program Files (x86)\AstroGrep\AstroGrep.exe" /e /r /s /spath="%USERPROFILE%\AppData\Local\Temp\OnboardLogs" /stypes="app*4031*20170922*" /stext=" 10:.+((SYSTEM_STATE.+slice.+state.+changed )|(ment ac)|(multiple cpu faults)|(system.+state.+changed )|(\[timeout)|(PRM\|1\|D)|(kpr)|(kdp)|(train st.+moving)|(\|lc)|(penalty))"</v>
      </c>
      <c r="AG212" s="182" t="str">
        <f t="shared" si="126"/>
        <v>Other</v>
      </c>
      <c r="AH212" s="78" t="str">
        <f t="shared" ref="AH212:AH235" si="133">refinertdcruntimes&amp;" --tripid "&amp;A212&amp;" --locoid "&amp;B212&amp;" --swversion "&amp;C212&amp;" --startMP "&amp;D212&amp;" --initTime "&amp;TEXT(E212,"yyyy-mm-ddTHH:MM:SS")&amp;" --startdatetime "&amp;TEXT(F212,"yyyy-mm-ddTHH:MM:SS")&amp;" --delay "&amp;G212&amp;" --endMP "&amp;H212&amp;" --enddatetime "&amp;TEXT(I212,"yyyy-mm-ddTHH:MM:SS")&amp;" --enforcementcount "&amp;J212&amp;IF(outputrefinedruntimes," &gt;&gt;"&amp;RefinedRTDCRunTimesOutputFile,"")</f>
        <v>"%USERPROFILE%\Documents\GitHub\eaglep3\Utilities\RefineRTDCRunTimes.py" --tripid 306-22 --locoid 4031 --swversion DE.1.0.9.0 --startMP 300:23589 --initTime 2017-09-22T04:10:39 --startdatetime 2017-09-22T04:14:49 --delay 48 --endMP 204:160 --enddatetime 2017-09-22T04:22:12 --enforcementcount 0 &gt;&gt;c:\users\stu\Documents\GitHub\eaglep3-reporting\EC\2017-09-22-refined-times.txt</v>
      </c>
      <c r="AI212" s="96" t="str">
        <f t="shared" ref="AI212:AI235" si="134">"echo {""issue"":{""subject"":"""&amp;R212&amp;""",""project_id"":79,""tracker_id"":40,""status_id"":"&amp;redmine_status&amp;",""priority_id"":"&amp;redmine_priority&amp;",""assigned_to_id"":"&amp;redmine_assignee&amp;",""start_date"":"""&amp;TEXT(I212,"YYYY-mm-dd")&amp;""",""description"":"""&amp;AJ212&amp;""",""custom_fields"":[{""id"":1,""name"":""Subdivision"",""value"":"""&amp;AG212&amp;"""},{""id"":4,""name"":""Milepost"",""value"":"""&amp;Z212&amp;"""},{""id"":17,""name"":""Train ID"",""value"":"""&amp;A212&amp;"""},{""id"":16,""name"":""Locomotive ID"",""value"":"""&amp;B212&amp;"""},{""id"":130,""name"":""Impact"",""value"":"""&amp;AK212&amp;"""},{""id"":150,""name"":""Time of Event (Mountain Time)"",""value"":"""&amp;TEXT(I212,"hh:mm:ss")&amp;"""},{""id"":151,""name"":""Denver Issue ID"",""value"":"""&amp;"""},{""id"":178,""name"":""Operational Impact"",""value"":"""&amp;redmine_op_impact&amp;"""},{""id"":179,""name"":""Denver Segment Assigned"",""value"":"""&amp;AL212&amp;"""}]}}"&amp;"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{"issue":{"subject":"","project_id":79,"tracker_id":40,"status_id":1,"priority_id":2,"assigned_to_id":338,"start_date":"2017-09-22","description":"","custom_fields":[{"id":1,"name":"Subdivision","value":"Other"},{"id":4,"name":"Milepost","value":"0.016"},{"id":17,"name":"Train ID","value":"306-22"},{"id":16,"name":"Locomotive ID","value":"4031"},{"id":130,"name":"Impact","value":""},{"id":150,"name":"Time of Event (Mountain Time)","value":"04:22:12"},{"id":151,"name":"Denver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ref="AM212:AM235" si="135">"start /low /b "&amp;dls3logs&amp;" --loco "&amp;B212&amp;" --day "&amp;TEXT(F212,"YYYY-MM-DD")</f>
        <v>start /low /b %USERPROFILE%\Documents\GitHub\eaglep3\Utilities\DownloadLogsFromS3.py --loco 4031 --day 2017-09-22</v>
      </c>
      <c r="AN212" s="151" t="str">
        <f t="shared" ref="AN212:AN235" si="136">"echo {""issue"":{""subject"":"""&amp;R212&amp;""",""project_id"":30,""tracker_id"":4,""status_id"":"&amp;redmine_status_wcr&amp;",""priority_id"":"&amp;redmine_priority_wcr&amp;",""assigned_to_id"":"&amp;redmine_assignee_wcr&amp;",""start_date"":"""&amp;TEXT(I212-utc_offset/24,"YYYY-mm-dd")&amp;""",""description"":"""&amp;AJ212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10:22:12"},{"id":29,"name":"Sharepoint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ref="AO212:AO235" si="137"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Message%20ID',Summary),filters:!(),index:'emp_*',interval:auto,query:"&amp;"(query_string:(analyze_wildcard:!t,query:'Message%5C+ID:(*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-09-22T03:10:39-0600',mode:absolute,to:'2017-09-22T05:22:12-0600'))&amp;_a=(columns:!('Message%20ID',Summary),filters:!(),index:'emp_*',interval:auto,query:(query_string:(analyze_wildcard:!t,query:'Message%5C+ID:(*)+AND+%22rtdc.l.rtdc.4031%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607</v>
      </c>
      <c r="B213" s="7">
        <v>4044</v>
      </c>
      <c r="C213" s="21" t="s">
        <v>196</v>
      </c>
      <c r="D213" s="21" t="s">
        <v>368</v>
      </c>
      <c r="E213" s="13">
        <v>43001.047696759262</v>
      </c>
      <c r="F213" s="13">
        <v>43001.049629629626</v>
      </c>
      <c r="G213" s="7">
        <v>54</v>
      </c>
      <c r="H213" s="21" t="s">
        <v>884</v>
      </c>
      <c r="I213" s="13">
        <v>43001.0547337963</v>
      </c>
      <c r="J213" s="7">
        <v>0</v>
      </c>
      <c r="K213" s="89" t="str">
        <f t="shared" si="115"/>
        <v>4043/4044</v>
      </c>
      <c r="L213" s="185" t="str">
        <f>VLOOKUP(A213,'Trips&amp;Operators'!$C$1:$G$99911,5,FALSE)</f>
        <v>YANG JAN</v>
      </c>
      <c r="M213" s="6">
        <f t="shared" si="116"/>
        <v>5.1041666738456115E-3</v>
      </c>
      <c r="N213" s="7">
        <f t="shared" si="93"/>
        <v>7.3500000103376806</v>
      </c>
      <c r="O213" s="7"/>
      <c r="P213" s="7"/>
      <c r="Q213" s="22"/>
      <c r="R213" s="174"/>
      <c r="S213" s="221">
        <f t="shared" ref="S213:S235" si="138">1/IF(AG213="EC",12,1)*SUM(U213:U213)</f>
        <v>1</v>
      </c>
      <c r="T213" s="174" t="str">
        <f t="shared" si="117"/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118"/>
        <v>https://d0f6bd738d7f1b3e5a7ca70fe4ff75f0.us-east-1.aws.found.io/app/kibana#/discover/Steve-Slow-Train-Analysis-(2080s-and-2083s)?_g=(refreshInterval:(display:Off,pause:!f,section:0,value:0),time:(from:'2017-09-23T00:08:41-0600',mode:absolute,to:'2017-09-23T02:18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3" s="204" t="str">
        <f>IF(AA213&lt;VLOOKUP(AG213,Variables!$AC$3:$AD$8,2,FALSE),"Y","N")</f>
        <v>Y</v>
      </c>
      <c r="X213" s="204">
        <f t="shared" si="132"/>
        <v>1</v>
      </c>
      <c r="Y213" s="204">
        <f t="shared" si="120"/>
        <v>4.6699999999999998E-2</v>
      </c>
      <c r="Z213" s="204">
        <f t="shared" si="121"/>
        <v>2.2757999999999998</v>
      </c>
      <c r="AA213" s="204">
        <f t="shared" si="122"/>
        <v>2.2290999999999999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123"/>
        <v>307</v>
      </c>
      <c r="AE213" s="77" t="str">
        <f t="shared" si="124"/>
        <v>aws s3 cp s3://rtdc.mdm.uploadarchive.raw/RTDC4044/ "%USERPROFILE%\AppData\Local\Temp\OnboardLogs"\RTDC4044\2017-09-23 --exclude "*" --recursive --include "*20170923*" &amp; "%USERPROFILE%\Documents\GitHub\mrs-test-scripts\Headless Mode &amp; Sideloading\WalkAndUnGZ.bat" "%USERPROFILE%\AppData\Local\Temp\OnboardLogs"\RTDC4044\2017-09-23 &amp; aws s3 cp s3://rtdc.mdm.uploadarchive.raw/RTDC4044/ "%USERPROFILE%\AppData\Local\Temp\OnboardLogs"\RTDC4044\2017-09-24 --exclude "*" --recursive --include "*20170924*" &amp; "%USERPROFILE%\Documents\GitHub\mrs-test-scripts\Headless Mode &amp; Sideloading\WalkAndUnGZ.bat" "%USERPROFILE%\AppData\Local\Temp\OnboardLogs"\RTDC4044\2017-09-24</v>
      </c>
      <c r="AF213" s="74" t="str">
        <f t="shared" si="125"/>
        <v>"C:\Program Files (x86)\AstroGrep\AstroGrep.exe" /e /r /s /spath="%USERPROFILE%\AppData\Local\Temp\OnboardLogs" /stypes="app*4044*20170923*" /stext=" 07:.+((SYSTEM_STATE.+slice.+state.+changed )|(ment ac)|(multiple cpu faults)|(system.+state.+changed )|(\[timeout)|(PRM\|1\|D)|(kpr)|(kdp)|(train st.+moving)|(\|lc)|(penalty))"</v>
      </c>
      <c r="AG213" s="182" t="str">
        <f t="shared" si="126"/>
        <v>Other</v>
      </c>
      <c r="AH213" s="78" t="str">
        <f t="shared" si="133"/>
        <v>"%USERPROFILE%\Documents\GitHub\eaglep3\Utilities\RefineRTDCRunTimes.py" --tripid 307-22 --locoid 4044 --swversion DE.1.0.9.0 --startMP 204:467 --initTime 2017-09-23T01:08:41 --startdatetime 2017-09-23T01:11:28 --delay 54 --endMP 300:22758 --enddatetime 2017-09-23T01:18:49 --enforcementcount 0 &gt;&gt;c:\users\stu\Documents\GitHub\eaglep3-reporting\EC\2017-09-22-refined-times.txt</v>
      </c>
      <c r="AI213" s="96" t="str">
        <f t="shared" si="134"/>
        <v>echo {"issue":{"subject":"","project_id":79,"tracker_id":40,"status_id":1,"priority_id":2,"assigned_to_id":338,"start_date":"2017-09-23","description":"","custom_fields":[{"id":1,"name":"Subdivision","value":"Other"},{"id":4,"name":"Milepost","value":"2.2758"},{"id":17,"name":"Train ID","value":"307-22"},{"id":16,"name":"Locomotive ID","value":"4044"},{"id":130,"name":"Impact","value":""},{"id":150,"name":"Time of Event (Mountain Time)","value":"01:18:49"},{"id":151,"name":"Denver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135"/>
        <v>start /low /b %USERPROFILE%\Documents\GitHub\eaglep3\Utilities\DownloadLogsFromS3.py --loco 4044 --day 2017-09-23</v>
      </c>
      <c r="AN213" s="151" t="str">
        <f t="shared" si="136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07:18:49"},{"id":29,"name":"Sharepoint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137"/>
        <v>https://d0f6bd738d7f1b3e5a7ca70fe4ff75f0.us-east-1.aws.found.io/app/kibana#/discover/Steve-Slow-Train-Analysis-(2080s-and-2083s)?_g=(refreshInterval:(display:Off,pause:!f,section:0,value:0),time:(from:'2017-09-23T00:08:41-0600',mode:absolute,to:'2017-09-23T02:18:49-0600'))&amp;_a=(columns:!('Message%20ID',Summary),filters:!(),index:'emp_*',interval:auto,query:(query_string:(analyze_wildcard:!t,query:'Message%5C+ID:(*)+AND+%22rtdc.l.rtdc.4044%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622</v>
      </c>
      <c r="B214" s="7">
        <v>4059</v>
      </c>
      <c r="C214" s="21" t="s">
        <v>196</v>
      </c>
      <c r="D214" s="21" t="s">
        <v>885</v>
      </c>
      <c r="E214" s="13">
        <v>43000.183657407404</v>
      </c>
      <c r="F214" s="13">
        <v>43000.187627314815</v>
      </c>
      <c r="G214" s="7">
        <v>54</v>
      </c>
      <c r="H214" s="21" t="s">
        <v>367</v>
      </c>
      <c r="I214" s="13">
        <v>43000.193622685183</v>
      </c>
      <c r="J214" s="7">
        <v>0</v>
      </c>
      <c r="K214" s="89" t="str">
        <f t="shared" si="115"/>
        <v>4059/4060</v>
      </c>
      <c r="L214" s="185" t="str">
        <f>VLOOKUP(A214,'Trips&amp;Operators'!$C$1:$G$99911,5,FALSE)</f>
        <v>DAVIS WENDY</v>
      </c>
      <c r="M214" s="6">
        <f t="shared" si="116"/>
        <v>5.9953703676001169E-3</v>
      </c>
      <c r="N214" s="7">
        <f t="shared" si="93"/>
        <v>8.6333333293441683</v>
      </c>
      <c r="O214" s="7"/>
      <c r="P214" s="7"/>
      <c r="Q214" s="22"/>
      <c r="R214" s="174"/>
      <c r="S214" s="221">
        <f t="shared" si="138"/>
        <v>1</v>
      </c>
      <c r="T214" s="174" t="str">
        <f t="shared" si="117"/>
        <v>Southbound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118"/>
        <v>https://d0f6bd738d7f1b3e5a7ca70fe4ff75f0.us-east-1.aws.found.io/app/kibana#/discover/Steve-Slow-Train-Analysis-(2080s-and-2083s)?_g=(refreshInterval:(display:Off,pause:!f,section:0,value:0),time:(from:'2017-09-22T03:24:28-0600',mode:absolute,to:'2017-09-22T05:38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4" s="204" t="str">
        <f>IF(AA214&lt;VLOOKUP(AG214,Variables!$AC$3:$AD$8,2,FALSE),"Y","N")</f>
        <v>Y</v>
      </c>
      <c r="X214" s="204">
        <f t="shared" si="132"/>
        <v>1</v>
      </c>
      <c r="Y214" s="204">
        <f t="shared" si="120"/>
        <v>2.2176</v>
      </c>
      <c r="Z214" s="204">
        <f t="shared" si="121"/>
        <v>1.5599999999999999E-2</v>
      </c>
      <c r="AA214" s="204">
        <f t="shared" si="122"/>
        <v>2.202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123"/>
        <v>308</v>
      </c>
      <c r="AE214" s="77" t="str">
        <f t="shared" si="124"/>
        <v>aws s3 cp s3://rtdc.mdm.uploadarchive.raw/RTDC4059/ "%USERPROFILE%\AppData\Local\Temp\OnboardLogs"\RTDC4059\2017-09-22 --exclude "*" --recursive --include "*20170922*" &amp; "%USERPROFILE%\Documents\GitHub\mrs-test-scripts\Headless Mode &amp; Sideloading\WalkAndUnGZ.bat" "%USERPROFILE%\AppData\Local\Temp\OnboardLogs"\RTDC4059\2017-09-22 &amp; aws s3 cp s3://rtdc.mdm.uploadarchive.raw/RTDC4059/ "%USERPROFILE%\AppData\Local\Temp\OnboardLogs"\RTDC4059\2017-09-23 --exclude "*" --recursive --include "*20170923*" &amp; "%USERPROFILE%\Documents\GitHub\mrs-test-scripts\Headless Mode &amp; Sideloading\WalkAndUnGZ.bat" "%USERPROFILE%\AppData\Local\Temp\OnboardLogs"\RTDC4059\2017-09-23</v>
      </c>
      <c r="AF214" s="74" t="str">
        <f t="shared" si="125"/>
        <v>"C:\Program Files (x86)\AstroGrep\AstroGrep.exe" /e /r /s /spath="%USERPROFILE%\AppData\Local\Temp\OnboardLogs" /stypes="app*4059*20170922*" /stext=" 10:.+((SYSTEM_STATE.+slice.+state.+changed )|(ment ac)|(multiple cpu faults)|(system.+state.+changed )|(\[timeout)|(PRM\|1\|D)|(kpr)|(kdp)|(train st.+moving)|(\|lc)|(penalty))"</v>
      </c>
      <c r="AG214" s="182" t="str">
        <f t="shared" si="126"/>
        <v>Other</v>
      </c>
      <c r="AH214" s="78" t="str">
        <f t="shared" si="133"/>
        <v>"%USERPROFILE%\Documents\GitHub\eaglep3\Utilities\RefineRTDCRunTimes.py" --tripid 308-22 --locoid 4059 --swversion DE.1.0.9.0 --startMP 300:22176 --initTime 2017-09-22T04:24:28 --startdatetime 2017-09-22T04:30:11 --delay 54 --endMP 204:156 --enddatetime 2017-09-22T04:38:49 --enforcementcount 0 &gt;&gt;c:\users\stu\Documents\GitHub\eaglep3-reporting\EC\2017-09-22-refined-times.txt</v>
      </c>
      <c r="AI214" s="96" t="str">
        <f t="shared" si="134"/>
        <v>echo {"issue":{"subject":"","project_id":79,"tracker_id":40,"status_id":1,"priority_id":2,"assigned_to_id":338,"start_date":"2017-09-22","description":"","custom_fields":[{"id":1,"name":"Subdivision","value":"Other"},{"id":4,"name":"Milepost","value":"0.0156"},{"id":17,"name":"Train ID","value":"308-22"},{"id":16,"name":"Locomotive ID","value":"4059"},{"id":130,"name":"Impact","value":""},{"id":150,"name":"Time of Event (Mountain Time)","value":"04:38:49"},{"id":151,"name":"Denver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135"/>
        <v>start /low /b %USERPROFILE%\Documents\GitHub\eaglep3\Utilities\DownloadLogsFromS3.py --loco 4059 --day 2017-09-22</v>
      </c>
      <c r="AN214" s="151" t="str">
        <f t="shared" si="136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10:38:49"},{"id":29,"name":"Sharepoint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37"/>
        <v>https://d0f6bd738d7f1b3e5a7ca70fe4ff75f0.us-east-1.aws.found.io/app/kibana#/discover/Steve-Slow-Train-Analysis-(2080s-and-2083s)?_g=(refreshInterval:(display:Off,pause:!f,section:0,value:0),time:(from:'2017-09-22T03:24:28-0600',mode:absolute,to:'2017-09-22T05:38:49-0600'))&amp;_a=(columns:!('Message%20ID',Summary),filters:!(),index:'emp_*',interval:auto,query:(query_string:(analyze_wildcard:!t,query:'Message%5C+ID:(*)+AND+%22rtdc.l.rtdc.4059%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822</v>
      </c>
      <c r="B215" s="7">
        <v>4018</v>
      </c>
      <c r="C215" s="21" t="s">
        <v>196</v>
      </c>
      <c r="D215" s="21" t="s">
        <v>557</v>
      </c>
      <c r="E215" s="13">
        <v>43001.069722222222</v>
      </c>
      <c r="F215" s="13">
        <v>43001.071076388886</v>
      </c>
      <c r="G215" s="7">
        <v>54</v>
      </c>
      <c r="H215" s="21" t="s">
        <v>511</v>
      </c>
      <c r="I215" s="13">
        <v>43001.080717592595</v>
      </c>
      <c r="J215" s="7">
        <v>0</v>
      </c>
      <c r="K215" s="89" t="str">
        <f t="shared" si="115"/>
        <v>4017/4018</v>
      </c>
      <c r="L215" s="185" t="str">
        <f>VLOOKUP(A215,'Trips&amp;Operators'!$C$1:$G$99911,5,FALSE)</f>
        <v>PERKINS DARREN</v>
      </c>
      <c r="M215" s="6">
        <f t="shared" si="116"/>
        <v>9.6412037091795355E-3</v>
      </c>
      <c r="N215" s="7">
        <f t="shared" si="93"/>
        <v>13.883333341218531</v>
      </c>
      <c r="O215" s="7"/>
      <c r="P215" s="7"/>
      <c r="Q215" s="22"/>
      <c r="R215" s="174"/>
      <c r="S215" s="221">
        <f t="shared" si="138"/>
        <v>1</v>
      </c>
      <c r="T215" s="174" t="str">
        <f t="shared" si="117"/>
        <v>NorthBound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118"/>
        <v>https://d0f6bd738d7f1b3e5a7ca70fe4ff75f0.us-east-1.aws.found.io/app/kibana#/discover/Steve-Slow-Train-Analysis-(2080s-and-2083s)?_g=(refreshInterval:(display:Off,pause:!f,section:0,value:0),time:(from:'2017-09-23T00:40:24-0600',mode:absolute,to:'2017-09-23T02:56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5" s="204" t="str">
        <f>IF(AA215&lt;VLOOKUP(AG215,Variables!$AC$3:$AD$8,2,FALSE),"Y","N")</f>
        <v>Y</v>
      </c>
      <c r="X215" s="204">
        <f t="shared" si="132"/>
        <v>1</v>
      </c>
      <c r="Y215" s="204">
        <f t="shared" si="120"/>
        <v>4.24E-2</v>
      </c>
      <c r="Z215" s="204">
        <f t="shared" si="121"/>
        <v>2.3300999999999998</v>
      </c>
      <c r="AA215" s="204">
        <f t="shared" si="122"/>
        <v>2.2876999999999996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123"/>
        <v>309</v>
      </c>
      <c r="AE215" s="77" t="str">
        <f t="shared" si="124"/>
        <v>aws s3 cp s3://rtdc.mdm.uploadarchive.raw/RTDC4018/ "%USERPROFILE%\AppData\Local\Temp\OnboardLogs"\RTDC4018\2017-09-23 --exclude "*" --recursive --include "*20170923*" &amp; "%USERPROFILE%\Documents\GitHub\mrs-test-scripts\Headless Mode &amp; Sideloading\WalkAndUnGZ.bat" "%USERPROFILE%\AppData\Local\Temp\OnboardLogs"\RTDC4018\2017-09-23 &amp; aws s3 cp s3://rtdc.mdm.uploadarchive.raw/RTDC4018/ "%USERPROFILE%\AppData\Local\Temp\OnboardLogs"\RTDC4018\2017-09-24 --exclude "*" --recursive --include "*20170924*" &amp; "%USERPROFILE%\Documents\GitHub\mrs-test-scripts\Headless Mode &amp; Sideloading\WalkAndUnGZ.bat" "%USERPROFILE%\AppData\Local\Temp\OnboardLogs"\RTDC4018\2017-09-24</v>
      </c>
      <c r="AF215" s="74" t="str">
        <f t="shared" si="125"/>
        <v>"C:\Program Files (x86)\AstroGrep\AstroGrep.exe" /e /r /s /spath="%USERPROFILE%\AppData\Local\Temp\OnboardLogs" /stypes="app*4018*20170923*" /stext=" 07:.+((SYSTEM_STATE.+slice.+state.+changed )|(ment ac)|(multiple cpu faults)|(system.+state.+changed )|(\[timeout)|(PRM\|1\|D)|(kpr)|(kdp)|(train st.+moving)|(\|lc)|(penalty))"</v>
      </c>
      <c r="AG215" s="182" t="str">
        <f t="shared" si="126"/>
        <v>Other</v>
      </c>
      <c r="AH215" s="78" t="str">
        <f t="shared" si="133"/>
        <v>"%USERPROFILE%\Documents\GitHub\eaglep3\Utilities\RefineRTDCRunTimes.py" --tripid 309-22 --locoid 4018 --swversion DE.1.0.9.0 --startMP 204:424 --initTime 2017-09-23T01:40:24 --startdatetime 2017-09-23T01:42:21 --delay 54 --endMP 300:23301 --enddatetime 2017-09-23T01:56:14 --enforcementcount 0 &gt;&gt;c:\users\stu\Documents\GitHub\eaglep3-reporting\EC\2017-09-22-refined-times.txt</v>
      </c>
      <c r="AI215" s="96" t="str">
        <f t="shared" si="134"/>
        <v>echo {"issue":{"subject":"","project_id":79,"tracker_id":40,"status_id":1,"priority_id":2,"assigned_to_id":338,"start_date":"2017-09-23","description":"","custom_fields":[{"id":1,"name":"Subdivision","value":"Other"},{"id":4,"name":"Milepost","value":"2.3301"},{"id":17,"name":"Train ID","value":"309-22"},{"id":16,"name":"Locomotive ID","value":"4018"},{"id":130,"name":"Impact","value":""},{"id":150,"name":"Time of Event (Mountain Time)","value":"01:56:14"},{"id":151,"name":"Denver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135"/>
        <v>start /low /b %USERPROFILE%\Documents\GitHub\eaglep3\Utilities\DownloadLogsFromS3.py --loco 4018 --day 2017-09-23</v>
      </c>
      <c r="AN215" s="151" t="str">
        <f t="shared" si="136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07:56:14"},{"id":29,"name":"Sharepoint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37"/>
        <v>https://d0f6bd738d7f1b3e5a7ca70fe4ff75f0.us-east-1.aws.found.io/app/kibana#/discover/Steve-Slow-Train-Analysis-(2080s-and-2083s)?_g=(refreshInterval:(display:Off,pause:!f,section:0,value:0),time:(from:'2017-09-23T00:40:24-0600',mode:absolute,to:'2017-09-23T02:56:14-0600'))&amp;_a=(columns:!('Message%20ID',Summary),filters:!(),index:'emp_*',interval:auto,query:(query_string:(analyze_wildcard:!t,query:'Message%5C+ID:(*)+AND+%22rtdc.l.rtdc.4018%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x14ac:dyDescent="0.25">
      <c r="A216" s="32" t="s">
        <v>627</v>
      </c>
      <c r="B216" s="7">
        <v>4061</v>
      </c>
      <c r="C216" s="21" t="s">
        <v>196</v>
      </c>
      <c r="D216" s="21" t="s">
        <v>886</v>
      </c>
      <c r="E216" s="13">
        <v>43000.19939814815</v>
      </c>
      <c r="F216" s="13">
        <v>43000.203252314815</v>
      </c>
      <c r="G216" s="7">
        <v>125</v>
      </c>
      <c r="H216" s="21" t="s">
        <v>336</v>
      </c>
      <c r="I216" s="13">
        <v>43000.207858796297</v>
      </c>
      <c r="J216" s="7">
        <v>0</v>
      </c>
      <c r="K216" s="89" t="str">
        <f t="shared" si="115"/>
        <v>4061/4062</v>
      </c>
      <c r="L216" s="185" t="str">
        <f>VLOOKUP(A216,'Trips&amp;Operators'!$C$1:$G$99911,5,FALSE)</f>
        <v>BEAM ROSS</v>
      </c>
      <c r="M216" s="6">
        <f t="shared" si="116"/>
        <v>4.6064814814599231E-3</v>
      </c>
      <c r="N216" s="7">
        <f t="shared" si="93"/>
        <v>6.6333333333022892</v>
      </c>
      <c r="O216" s="7"/>
      <c r="P216" s="7"/>
      <c r="Q216" s="22"/>
      <c r="R216" s="174"/>
      <c r="S216" s="221">
        <f t="shared" si="138"/>
        <v>1</v>
      </c>
      <c r="T216" s="174" t="str">
        <f t="shared" si="117"/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118"/>
        <v>https://d0f6bd738d7f1b3e5a7ca70fe4ff75f0.us-east-1.aws.found.io/app/kibana#/discover/Steve-Slow-Train-Analysis-(2080s-and-2083s)?_g=(refreshInterval:(display:Off,pause:!f,section:0,value:0),time:(from:'2017-09-22T03:47:08-0600',mode:absolute,to:'2017-09-22T05:59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6" s="204" t="str">
        <f>IF(AA216&lt;VLOOKUP(AG216,Variables!$AC$3:$AD$8,2,FALSE),"Y","N")</f>
        <v>Y</v>
      </c>
      <c r="X216" s="204">
        <f t="shared" si="132"/>
        <v>1</v>
      </c>
      <c r="Y216" s="204">
        <f t="shared" si="120"/>
        <v>2.0447000000000002</v>
      </c>
      <c r="Z216" s="204">
        <f t="shared" si="121"/>
        <v>1.4999999999999999E-2</v>
      </c>
      <c r="AA216" s="204">
        <f t="shared" si="122"/>
        <v>2.0297000000000001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123"/>
        <v>310</v>
      </c>
      <c r="AE216" s="77" t="str">
        <f t="shared" si="124"/>
        <v>aws s3 cp s3://rtdc.mdm.uploadarchive.raw/RTDC4061/ "%USERPROFILE%\AppData\Local\Temp\OnboardLogs"\RTDC4061\2017-09-22 --exclude "*" --recursive --include "*20170922*" &amp; "%USERPROFILE%\Documents\GitHub\mrs-test-scripts\Headless Mode &amp; Sideloading\WalkAndUnGZ.bat" "%USERPROFILE%\AppData\Local\Temp\OnboardLogs"\RTDC4061\2017-09-22 &amp; aws s3 cp s3://rtdc.mdm.uploadarchive.raw/RTDC4061/ "%USERPROFILE%\AppData\Local\Temp\OnboardLogs"\RTDC4061\2017-09-23 --exclude "*" --recursive --include "*20170923*" &amp; "%USERPROFILE%\Documents\GitHub\mrs-test-scripts\Headless Mode &amp; Sideloading\WalkAndUnGZ.bat" "%USERPROFILE%\AppData\Local\Temp\OnboardLogs"\RTDC4061\2017-09-23</v>
      </c>
      <c r="AF216" s="74" t="str">
        <f t="shared" si="125"/>
        <v>"C:\Program Files (x86)\AstroGrep\AstroGrep.exe" /e /r /s /spath="%USERPROFILE%\AppData\Local\Temp\OnboardLogs" /stypes="app*4061*20170922*" /stext=" 10:.+((SYSTEM_STATE.+slice.+state.+changed )|(ment ac)|(multiple cpu faults)|(system.+state.+changed )|(\[timeout)|(PRM\|1\|D)|(kpr)|(kdp)|(train st.+moving)|(\|lc)|(penalty))"</v>
      </c>
      <c r="AG216" s="182" t="str">
        <f t="shared" si="126"/>
        <v>Other</v>
      </c>
      <c r="AH216" s="78" t="str">
        <f t="shared" si="133"/>
        <v>"%USERPROFILE%\Documents\GitHub\eaglep3\Utilities\RefineRTDCRunTimes.py" --tripid 310-22 --locoid 4061 --swversion DE.1.0.9.0 --startMP 300:20447 --initTime 2017-09-22T04:47:08 --startdatetime 2017-09-22T04:52:41 --delay 125 --endMP 204:150 --enddatetime 2017-09-22T04:59:19 --enforcementcount 0 &gt;&gt;c:\users\stu\Documents\GitHub\eaglep3-reporting\EC\2017-09-22-refined-times.txt</v>
      </c>
      <c r="AI216" s="96" t="str">
        <f t="shared" si="134"/>
        <v>echo {"issue":{"subject":"","project_id":79,"tracker_id":40,"status_id":1,"priority_id":2,"assigned_to_id":338,"start_date":"2017-09-22","description":"","custom_fields":[{"id":1,"name":"Subdivision","value":"Other"},{"id":4,"name":"Milepost","value":"0.015"},{"id":17,"name":"Train ID","value":"310-22"},{"id":16,"name":"Locomotive ID","value":"4061"},{"id":130,"name":"Impact","value":""},{"id":150,"name":"Time of Event (Mountain Time)","value":"04:59:19"},{"id":151,"name":"Denver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35"/>
        <v>start /low /b %USERPROFILE%\Documents\GitHub\eaglep3\Utilities\DownloadLogsFromS3.py --loco 4061 --day 2017-09-22</v>
      </c>
      <c r="AN216" s="151" t="str">
        <f t="shared" si="136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10:59:19"},{"id":29,"name":"Sharepoint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37"/>
        <v>https://d0f6bd738d7f1b3e5a7ca70fe4ff75f0.us-east-1.aws.found.io/app/kibana#/discover/Steve-Slow-Train-Analysis-(2080s-and-2083s)?_g=(refreshInterval:(display:Off,pause:!f,section:0,value:0),time:(from:'2017-09-22T03:47:08-0600',mode:absolute,to:'2017-09-22T05:59:19-0600'))&amp;_a=(columns:!('Message%20ID',Summary),filters:!(),index:'emp_*',interval:auto,query:(query_string:(analyze_wildcard:!t,query:'Message%5C+ID:(*)+AND+%22rtdc.l.rtdc.4061%22')),sort:!(Time.ISO8601,asc))</v>
      </c>
    </row>
    <row r="217" spans="1:91" s="20" customFormat="1" x14ac:dyDescent="0.25">
      <c r="A217" s="32" t="s">
        <v>824</v>
      </c>
      <c r="B217" s="7">
        <v>4032</v>
      </c>
      <c r="C217" s="21" t="s">
        <v>196</v>
      </c>
      <c r="D217" s="21" t="s">
        <v>431</v>
      </c>
      <c r="E217" s="13">
        <v>43001.086898148147</v>
      </c>
      <c r="F217" s="13">
        <v>43001.088275462964</v>
      </c>
      <c r="G217" s="7">
        <v>59</v>
      </c>
      <c r="H217" s="21" t="s">
        <v>887</v>
      </c>
      <c r="I217" s="13">
        <v>43001.097905092596</v>
      </c>
      <c r="J217" s="7">
        <v>0</v>
      </c>
      <c r="K217" s="89" t="str">
        <f t="shared" si="115"/>
        <v>4031/4032</v>
      </c>
      <c r="L217" s="185" t="str">
        <f>VLOOKUP(A217,'Trips&amp;Operators'!$C$1:$G$99911,5,FALSE)</f>
        <v>ELBAUM MIKE</v>
      </c>
      <c r="M217" s="6">
        <f t="shared" si="116"/>
        <v>9.6296296323998831E-3</v>
      </c>
      <c r="N217" s="7">
        <f t="shared" si="93"/>
        <v>13.866666670655832</v>
      </c>
      <c r="O217" s="7"/>
      <c r="P217" s="7"/>
      <c r="Q217" s="22"/>
      <c r="R217" s="174"/>
      <c r="S217" s="221">
        <f t="shared" si="138"/>
        <v>1</v>
      </c>
      <c r="T217" s="174" t="str">
        <f t="shared" si="117"/>
        <v>NorthBound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118"/>
        <v>https://d0f6bd738d7f1b3e5a7ca70fe4ff75f0.us-east-1.aws.found.io/app/kibana#/discover/Steve-Slow-Train-Analysis-(2080s-and-2083s)?_g=(refreshInterval:(display:Off,pause:!f,section:0,value:0),time:(from:'2017-09-23T01:05:08-0600',mode:absolute,to:'2017-09-23T03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7" s="204" t="str">
        <f>IF(AA217&lt;VLOOKUP(AG217,Variables!$AC$3:$AD$8,2,FALSE),"Y","N")</f>
        <v>Y</v>
      </c>
      <c r="X217" s="204">
        <f t="shared" si="132"/>
        <v>1</v>
      </c>
      <c r="Y217" s="204">
        <f t="shared" si="120"/>
        <v>4.5699999999999998E-2</v>
      </c>
      <c r="Z217" s="204">
        <f t="shared" si="121"/>
        <v>2.3313999999999999</v>
      </c>
      <c r="AA217" s="204">
        <f t="shared" si="122"/>
        <v>2.2856999999999998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123"/>
        <v>311</v>
      </c>
      <c r="AE217" s="77" t="str">
        <f t="shared" si="124"/>
        <v>aws s3 cp s3://rtdc.mdm.uploadarchive.raw/RTDC4032/ "%USERPROFILE%\AppData\Local\Temp\OnboardLogs"\RTDC4032\2017-09-23 --exclude "*" --recursive --include "*20170923*" &amp; "%USERPROFILE%\Documents\GitHub\mrs-test-scripts\Headless Mode &amp; Sideloading\WalkAndUnGZ.bat" "%USERPROFILE%\AppData\Local\Temp\OnboardLogs"\RTDC4032\2017-09-23 &amp; aws s3 cp s3://rtdc.mdm.uploadarchive.raw/RTDC4032/ "%USERPROFILE%\AppData\Local\Temp\OnboardLogs"\RTDC4032\2017-09-24 --exclude "*" --recursive --include "*20170924*" &amp; "%USERPROFILE%\Documents\GitHub\mrs-test-scripts\Headless Mode &amp; Sideloading\WalkAndUnGZ.bat" "%USERPROFILE%\AppData\Local\Temp\OnboardLogs"\RTDC4032\2017-09-24</v>
      </c>
      <c r="AF217" s="74" t="str">
        <f t="shared" si="125"/>
        <v>"C:\Program Files (x86)\AstroGrep\AstroGrep.exe" /e /r /s /spath="%USERPROFILE%\AppData\Local\Temp\OnboardLogs" /stypes="app*4032*20170923*" /stext=" 08:.+((SYSTEM_STATE.+slice.+state.+changed )|(ment ac)|(multiple cpu faults)|(system.+state.+changed )|(\[timeout)|(PRM\|1\|D)|(kpr)|(kdp)|(train st.+moving)|(\|lc)|(penalty))"</v>
      </c>
      <c r="AG217" s="182" t="str">
        <f t="shared" si="126"/>
        <v>Other</v>
      </c>
      <c r="AH217" s="78" t="str">
        <f t="shared" si="133"/>
        <v>"%USERPROFILE%\Documents\GitHub\eaglep3\Utilities\RefineRTDCRunTimes.py" --tripid 311-22 --locoid 4032 --swversion DE.1.0.9.0 --startMP 204:457 --initTime 2017-09-23T02:05:08 --startdatetime 2017-09-23T02:07:07 --delay 59 --endMP 300:23314 --enddatetime 2017-09-23T02:20:59 --enforcementcount 0 &gt;&gt;c:\users\stu\Documents\GitHub\eaglep3-reporting\EC\2017-09-22-refined-times.txt</v>
      </c>
      <c r="AI217" s="96" t="str">
        <f t="shared" si="134"/>
        <v>echo {"issue":{"subject":"","project_id":79,"tracker_id":40,"status_id":1,"priority_id":2,"assigned_to_id":338,"start_date":"2017-09-23","description":"","custom_fields":[{"id":1,"name":"Subdivision","value":"Other"},{"id":4,"name":"Milepost","value":"2.3314"},{"id":17,"name":"Train ID","value":"311-22"},{"id":16,"name":"Locomotive ID","value":"4032"},{"id":130,"name":"Impact","value":""},{"id":150,"name":"Time of Event (Mountain Time)","value":"02:20:59"},{"id":151,"name":"Denver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135"/>
        <v>start /low /b %USERPROFILE%\Documents\GitHub\eaglep3\Utilities\DownloadLogsFromS3.py --loco 4032 --day 2017-09-23</v>
      </c>
      <c r="AN217" s="151" t="str">
        <f t="shared" si="136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08:20:59"},{"id":29,"name":"Sharepoint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37"/>
        <v>https://d0f6bd738d7f1b3e5a7ca70fe4ff75f0.us-east-1.aws.found.io/app/kibana#/discover/Steve-Slow-Train-Analysis-(2080s-and-2083s)?_g=(refreshInterval:(display:Off,pause:!f,section:0,value:0),time:(from:'2017-09-23T01:05:08-0600',mode:absolute,to:'2017-09-23T03:20:59-0600'))&amp;_a=(columns:!('Message%20ID',Summary),filters:!(),index:'emp_*',interval:auto,query:(query_string:(analyze_wildcard:!t,query:'Message%5C+ID:(*)+AND+%22rtdc.l.rtdc.4032%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2" t="s">
        <v>639</v>
      </c>
      <c r="B218" s="7">
        <v>4011</v>
      </c>
      <c r="C218" s="21" t="s">
        <v>196</v>
      </c>
      <c r="D218" s="21" t="s">
        <v>888</v>
      </c>
      <c r="E218" s="13">
        <v>43000.216898148145</v>
      </c>
      <c r="F218" s="13">
        <v>43000.22415509259</v>
      </c>
      <c r="G218" s="7">
        <v>90</v>
      </c>
      <c r="H218" s="21" t="s">
        <v>402</v>
      </c>
      <c r="I218" s="13">
        <v>43000.22996527778</v>
      </c>
      <c r="J218" s="7">
        <v>0</v>
      </c>
      <c r="K218" s="89" t="str">
        <f t="shared" si="115"/>
        <v>4011/4012</v>
      </c>
      <c r="L218" s="185" t="str">
        <f>VLOOKUP(A218,'Trips&amp;Operators'!$C$1:$G$99911,5,FALSE)</f>
        <v>YANAI IAN</v>
      </c>
      <c r="M218" s="6">
        <f t="shared" si="116"/>
        <v>5.810185190057382E-3</v>
      </c>
      <c r="N218" s="7">
        <f t="shared" si="93"/>
        <v>8.3666666736826301</v>
      </c>
      <c r="O218" s="7"/>
      <c r="P218" s="7"/>
      <c r="Q218" s="22"/>
      <c r="R218" s="174"/>
      <c r="S218" s="221">
        <f t="shared" si="138"/>
        <v>1</v>
      </c>
      <c r="T218" s="174" t="str">
        <f t="shared" si="117"/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118"/>
        <v>https://d0f6bd738d7f1b3e5a7ca70fe4ff75f0.us-east-1.aws.found.io/app/kibana#/discover/Steve-Slow-Train-Analysis-(2080s-and-2083s)?_g=(refreshInterval:(display:Off,pause:!f,section:0,value:0),time:(from:'2017-09-22T04:12:20-0600',mode:absolute,to:'2017-09-22T06:31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8" s="204" t="str">
        <f>IF(AA218&lt;VLOOKUP(AG218,Variables!$AC$3:$AD$8,2,FALSE),"Y","N")</f>
        <v>Y</v>
      </c>
      <c r="X218" s="204">
        <f t="shared" si="132"/>
        <v>1</v>
      </c>
      <c r="Y218" s="204">
        <f t="shared" si="120"/>
        <v>2.3714</v>
      </c>
      <c r="Z218" s="204">
        <f t="shared" si="121"/>
        <v>1.54E-2</v>
      </c>
      <c r="AA218" s="204">
        <f t="shared" si="122"/>
        <v>2.3559999999999999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123"/>
        <v>312</v>
      </c>
      <c r="AE218" s="77" t="str">
        <f t="shared" si="124"/>
        <v>aws s3 cp s3://rtdc.mdm.uploadarchive.raw/RTDC4011/ "%USERPROFILE%\AppData\Local\Temp\OnboardLogs"\RTDC4011\2017-09-22 --exclude "*" --recursive --include "*20170922*" &amp; "%USERPROFILE%\Documents\GitHub\mrs-test-scripts\Headless Mode &amp; Sideloading\WalkAndUnGZ.bat" "%USERPROFILE%\AppData\Local\Temp\OnboardLogs"\RTDC4011\2017-09-22 &amp; aws s3 cp s3://rtdc.mdm.uploadarchive.raw/RTDC4011/ "%USERPROFILE%\AppData\Local\Temp\OnboardLogs"\RTDC4011\2017-09-23 --exclude "*" --recursive --include "*20170923*" &amp; "%USERPROFILE%\Documents\GitHub\mrs-test-scripts\Headless Mode &amp; Sideloading\WalkAndUnGZ.bat" "%USERPROFILE%\AppData\Local\Temp\OnboardLogs"\RTDC4011\2017-09-23</v>
      </c>
      <c r="AF218" s="74" t="str">
        <f t="shared" si="125"/>
        <v>"C:\Program Files (x86)\AstroGrep\AstroGrep.exe" /e /r /s /spath="%USERPROFILE%\AppData\Local\Temp\OnboardLogs" /stypes="app*4011*20170922*" /stext=" 11:.+((SYSTEM_STATE.+slice.+state.+changed )|(ment ac)|(multiple cpu faults)|(system.+state.+changed )|(\[timeout)|(PRM\|1\|D)|(kpr)|(kdp)|(train st.+moving)|(\|lc)|(penalty))"</v>
      </c>
      <c r="AG218" s="182" t="str">
        <f t="shared" si="126"/>
        <v>Other</v>
      </c>
      <c r="AH218" s="78" t="str">
        <f t="shared" si="133"/>
        <v>"%USERPROFILE%\Documents\GitHub\eaglep3\Utilities\RefineRTDCRunTimes.py" --tripid 312-22 --locoid 4011 --swversion DE.1.0.9.0 --startMP 300:23714 --initTime 2017-09-22T05:12:20 --startdatetime 2017-09-22T05:22:47 --delay 90 --endMP 204:154 --enddatetime 2017-09-22T05:31:09 --enforcementcount 0 &gt;&gt;c:\users\stu\Documents\GitHub\eaglep3-reporting\EC\2017-09-22-refined-times.txt</v>
      </c>
      <c r="AI218" s="96" t="str">
        <f t="shared" si="134"/>
        <v>echo {"issue":{"subject":"","project_id":79,"tracker_id":40,"status_id":1,"priority_id":2,"assigned_to_id":338,"start_date":"2017-09-22","description":"","custom_fields":[{"id":1,"name":"Subdivision","value":"Other"},{"id":4,"name":"Milepost","value":"0.0154"},{"id":17,"name":"Train ID","value":"312-22"},{"id":16,"name":"Locomotive ID","value":"4011"},{"id":130,"name":"Impact","value":""},{"id":150,"name":"Time of Event (Mountain Time)","value":"05:31:09"},{"id":151,"name":"Denver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135"/>
        <v>start /low /b %USERPROFILE%\Documents\GitHub\eaglep3\Utilities\DownloadLogsFromS3.py --loco 4011 --day 2017-09-22</v>
      </c>
      <c r="AN218" s="151" t="str">
        <f t="shared" si="136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11:31:09"},{"id":29,"name":"Sharepoint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37"/>
        <v>https://d0f6bd738d7f1b3e5a7ca70fe4ff75f0.us-east-1.aws.found.io/app/kibana#/discover/Steve-Slow-Train-Analysis-(2080s-and-2083s)?_g=(refreshInterval:(display:Off,pause:!f,section:0,value:0),time:(from:'2017-09-22T04:12:20-0600',mode:absolute,to:'2017-09-22T06:31:09-0600'))&amp;_a=(columns:!('Message%20ID',Summary),filters:!(),index:'emp_*',interval:auto,query:(query_string:(analyze_wildcard:!t,query:'Message%5C+ID:(*)+AND+%22rtdc.l.rtdc.4011%22')),sort:!(Time.ISO8601,asc))</v>
      </c>
    </row>
    <row r="219" spans="1:91" s="20" customFormat="1" x14ac:dyDescent="0.25">
      <c r="A219" s="32" t="s">
        <v>630</v>
      </c>
      <c r="B219" s="7">
        <v>4040</v>
      </c>
      <c r="C219" s="21" t="s">
        <v>196</v>
      </c>
      <c r="D219" s="21" t="s">
        <v>950</v>
      </c>
      <c r="E219" s="13">
        <v>43000.2030787037</v>
      </c>
      <c r="F219" s="13">
        <v>43000.206712962965</v>
      </c>
      <c r="G219" s="7">
        <v>89</v>
      </c>
      <c r="H219" s="21" t="s">
        <v>561</v>
      </c>
      <c r="I219" s="13">
        <v>43000.212893518517</v>
      </c>
      <c r="J219" s="7">
        <v>0</v>
      </c>
      <c r="K219" s="89" t="str">
        <f t="shared" si="115"/>
        <v>4039/4040</v>
      </c>
      <c r="L219" s="185" t="str">
        <f>VLOOKUP(A219,'Trips&amp;Operators'!$C$1:$G$99911,5,FALSE)</f>
        <v>ACKERMAN JARED</v>
      </c>
      <c r="M219" s="6">
        <f t="shared" si="116"/>
        <v>6.1805555524188094E-3</v>
      </c>
      <c r="N219" s="7">
        <f t="shared" si="93"/>
        <v>8.8999999954830855</v>
      </c>
      <c r="O219" s="7"/>
      <c r="P219" s="7"/>
      <c r="Q219" s="22"/>
      <c r="R219" s="174"/>
      <c r="S219" s="221">
        <f t="shared" si="138"/>
        <v>0</v>
      </c>
      <c r="T219" s="174" t="str">
        <f t="shared" si="117"/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16" t="str">
        <f t="shared" si="118"/>
        <v>https://d0f6bd738d7f1b3e5a7ca70fe4ff75f0.us-east-1.aws.found.io/app/kibana#/discover/Steve-Slow-Train-Analysis-(2080s-and-2083s)?_g=(refreshInterval:(display:Off,pause:!f,section:0,value:0),time:(from:'2017-09-22T03:52:26-0600',mode:absolute,to:'2017-09-22T06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9" s="204" t="str">
        <f>IF(AA219&lt;VLOOKUP(AG219,Variables!$AC$3:$AD$8,2,FALSE),"Y","N")</f>
        <v>Y</v>
      </c>
      <c r="X219" s="204">
        <f t="shared" si="132"/>
        <v>589</v>
      </c>
      <c r="Y219" s="204">
        <f t="shared" si="120"/>
        <v>3.012</v>
      </c>
      <c r="Z219" s="204">
        <f t="shared" si="121"/>
        <v>5.9008000000000003</v>
      </c>
      <c r="AA219" s="204">
        <f t="shared" si="122"/>
        <v>2.8888000000000003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123"/>
        <v>901</v>
      </c>
      <c r="AE219" s="77" t="str">
        <f t="shared" si="124"/>
        <v>aws s3 cp s3://rtdc.mdm.uploadarchive.raw/RTDC4040/ "%USERPROFILE%\AppData\Local\Temp\OnboardLogs"\RTDC4040\2017-09-22 --exclude "*" --recursive --include "*20170922*" &amp; "%USERPROFILE%\Documents\GitHub\mrs-test-scripts\Headless Mode &amp; Sideloading\WalkAndUnGZ.bat" "%USERPROFILE%\AppData\Local\Temp\OnboardLogs"\RTDC4040\2017-09-22 &amp; 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</v>
      </c>
      <c r="AF219" s="74" t="str">
        <f t="shared" si="125"/>
        <v>"C:\Program Files (x86)\AstroGrep\AstroGrep.exe" /e /r /s /spath="%USERPROFILE%\AppData\Local\Temp\OnboardLogs" /stypes="app*4040*20170922*" /stext=" 11:.+((SYSTEM_STATE.+slice.+state.+changed )|(ment ac)|(multiple cpu faults)|(system.+state.+changed )|(\[timeout)|(PRM\|1\|D)|(kpr)|(kdp)|(train st.+moving)|(\|lc)|(penalty))"</v>
      </c>
      <c r="AG219" s="182" t="str">
        <f t="shared" si="126"/>
        <v>Other</v>
      </c>
      <c r="AH219" s="78" t="str">
        <f t="shared" si="133"/>
        <v>"%USERPROFILE%\Documents\GitHub\eaglep3\Utilities\RefineRTDCRunTimes.py" --tripid 901-22 --locoid 4040 --swversion DE.1.0.9.0 --startMP 300:30120 --initTime 2017-09-22T04:52:26 --startdatetime 2017-09-22T04:57:40 --delay 89 --endMP 300:59008 --enddatetime 2017-09-22T05:06:34 --enforcementcount 0 &gt;&gt;c:\users\stu\Documents\GitHub\eaglep3-reporting\EC\2017-09-22-refined-times.txt</v>
      </c>
      <c r="AI219" s="96" t="str">
        <f t="shared" si="134"/>
        <v>echo {"issue":{"subject":"","project_id":79,"tracker_id":40,"status_id":1,"priority_id":2,"assigned_to_id":338,"start_date":"2017-09-22","description":"","custom_fields":[{"id":1,"name":"Subdivision","value":"Other"},{"id":4,"name":"Milepost","value":"5.9008"},{"id":17,"name":"Train ID","value":"901-22"},{"id":16,"name":"Locomotive ID","value":"4040"},{"id":130,"name":"Impact","value":""},{"id":150,"name":"Time of Event (Mountain Time)","value":"05:06:34"},{"id":151,"name":"Denver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135"/>
        <v>start /low /b %USERPROFILE%\Documents\GitHub\eaglep3\Utilities\DownloadLogsFromS3.py --loco 4040 --day 2017-09-22</v>
      </c>
      <c r="AN219" s="151" t="str">
        <f t="shared" si="136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11:06:34"},{"id":29,"name":"Sharepoint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37"/>
        <v>https://d0f6bd738d7f1b3e5a7ca70fe4ff75f0.us-east-1.aws.found.io/app/kibana#/discover/Steve-Slow-Train-Analysis-(2080s-and-2083s)?_g=(refreshInterval:(display:Off,pause:!f,section:0,value:0),time:(from:'2017-09-22T03:52:26-0600',mode:absolute,to:'2017-09-22T06:06:34-0600'))&amp;_a=(columns:!('Message%20ID',Summary),filters:!(),index:'emp_*',interval:auto,query:(query_string:(analyze_wildcard:!t,query:'Message%5C+ID:(*)+AND+%22rtdc.l.rtdc.4040%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2" t="s">
        <v>645</v>
      </c>
      <c r="B220" s="7">
        <v>4041</v>
      </c>
      <c r="C220" s="21" t="s">
        <v>196</v>
      </c>
      <c r="D220" s="21" t="s">
        <v>951</v>
      </c>
      <c r="E220" s="13">
        <v>43000.24082175926</v>
      </c>
      <c r="F220" s="13">
        <v>43000.243773148148</v>
      </c>
      <c r="G220" s="7">
        <v>67</v>
      </c>
      <c r="H220" s="21" t="s">
        <v>574</v>
      </c>
      <c r="I220" s="13">
        <v>43000.248657407406</v>
      </c>
      <c r="J220" s="7">
        <v>0</v>
      </c>
      <c r="K220" s="89" t="str">
        <f t="shared" si="115"/>
        <v>4041/4042</v>
      </c>
      <c r="L220" s="185" t="str">
        <f>VLOOKUP(A220,'Trips&amp;Operators'!$C$1:$G$99911,5,FALSE)</f>
        <v>LALONDE GREGORY</v>
      </c>
      <c r="M220" s="6">
        <f t="shared" si="116"/>
        <v>4.8842592586879618E-3</v>
      </c>
      <c r="N220" s="7">
        <f t="shared" si="93"/>
        <v>7.0333333325106651</v>
      </c>
      <c r="O220" s="7"/>
      <c r="P220" s="7"/>
      <c r="Q220" s="22"/>
      <c r="R220" s="174"/>
      <c r="S220" s="221">
        <f t="shared" si="138"/>
        <v>1</v>
      </c>
      <c r="T220" s="174" t="str">
        <f t="shared" si="117"/>
        <v>Southbound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118"/>
        <v>https://d0f6bd738d7f1b3e5a7ca70fe4ff75f0.us-east-1.aws.found.io/app/kibana#/discover/Steve-Slow-Train-Analysis-(2080s-and-2083s)?_g=(refreshInterval:(display:Off,pause:!f,section:0,value:0),time:(from:'2017-09-22T04:46:47-0600',mode:absolute,to:'2017-09-22T06:58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0" s="204" t="str">
        <f>IF(AA220&lt;VLOOKUP(AG220,Variables!$AC$3:$AD$8,2,FALSE),"Y","N")</f>
        <v>Y</v>
      </c>
      <c r="X220" s="204">
        <f t="shared" si="132"/>
        <v>1</v>
      </c>
      <c r="Y220" s="204">
        <f t="shared" si="120"/>
        <v>2.3405999999999998</v>
      </c>
      <c r="Z220" s="204">
        <f t="shared" si="121"/>
        <v>6.8400000000000002E-2</v>
      </c>
      <c r="AA220" s="204">
        <f t="shared" si="122"/>
        <v>2.2721999999999998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123"/>
        <v>902</v>
      </c>
      <c r="AE220" s="77" t="str">
        <f t="shared" si="124"/>
        <v>aws s3 cp s3://rtdc.mdm.uploadarchive.raw/RTDC4041/ "%USERPROFILE%\AppData\Local\Temp\OnboardLogs"\RTDC4041\2017-09-22 --exclude "*" --recursive --include "*20170922*" &amp; "%USERPROFILE%\Documents\GitHub\mrs-test-scripts\Headless Mode &amp; Sideloading\WalkAndUnGZ.bat" "%USERPROFILE%\AppData\Local\Temp\OnboardLogs"\RTDC4041\2017-09-22 &amp; aws s3 cp s3://rtdc.mdm.uploadarchive.raw/RTDC4041/ "%USERPROFILE%\AppData\Local\Temp\OnboardLogs"\RTDC4041\2017-09-23 --exclude "*" --recursive --include "*20170923*" &amp; "%USERPROFILE%\Documents\GitHub\mrs-test-scripts\Headless Mode &amp; Sideloading\WalkAndUnGZ.bat" "%USERPROFILE%\AppData\Local\Temp\OnboardLogs"\RTDC4041\2017-09-23</v>
      </c>
      <c r="AF220" s="74" t="str">
        <f t="shared" si="125"/>
        <v>"C:\Program Files (x86)\AstroGrep\AstroGrep.exe" /e /r /s /spath="%USERPROFILE%\AppData\Local\Temp\OnboardLogs" /stypes="app*4041*20170922*" /stext=" 11:.+((SYSTEM_STATE.+slice.+state.+changed )|(ment ac)|(multiple cpu faults)|(system.+state.+changed )|(\[timeout)|(PRM\|1\|D)|(kpr)|(kdp)|(train st.+moving)|(\|lc)|(penalty))"</v>
      </c>
      <c r="AG220" s="182" t="str">
        <f t="shared" si="126"/>
        <v>Other</v>
      </c>
      <c r="AH220" s="78" t="str">
        <f t="shared" si="133"/>
        <v>"%USERPROFILE%\Documents\GitHub\eaglep3\Utilities\RefineRTDCRunTimes.py" --tripid 902-22 --locoid 4041 --swversion DE.1.0.9.0 --startMP 300:23406 --initTime 2017-09-22T05:46:47 --startdatetime 2017-09-22T05:51:02 --delay 67 --endMP 204:684 --enddatetime 2017-09-22T05:58:04 --enforcementcount 0 &gt;&gt;c:\users\stu\Documents\GitHub\eaglep3-reporting\EC\2017-09-22-refined-times.txt</v>
      </c>
      <c r="AI220" s="96" t="str">
        <f t="shared" si="134"/>
        <v>echo {"issue":{"subject":"","project_id":79,"tracker_id":40,"status_id":1,"priority_id":2,"assigned_to_id":338,"start_date":"2017-09-22","description":"","custom_fields":[{"id":1,"name":"Subdivision","value":"Other"},{"id":4,"name":"Milepost","value":"0.0684"},{"id":17,"name":"Train ID","value":"902-22"},{"id":16,"name":"Locomotive ID","value":"4041"},{"id":130,"name":"Impact","value":""},{"id":150,"name":"Time of Event (Mountain Time)","value":"05:58:04"},{"id":151,"name":"Denver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135"/>
        <v>start /low /b %USERPROFILE%\Documents\GitHub\eaglep3\Utilities\DownloadLogsFromS3.py --loco 4041 --day 2017-09-22</v>
      </c>
      <c r="AN220" s="151" t="str">
        <f t="shared" si="136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11:58:04"},{"id":29,"name":"Sharepoint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37"/>
        <v>https://d0f6bd738d7f1b3e5a7ca70fe4ff75f0.us-east-1.aws.found.io/app/kibana#/discover/Steve-Slow-Train-Analysis-(2080s-and-2083s)?_g=(refreshInterval:(display:Off,pause:!f,section:0,value:0),time:(from:'2017-09-22T04:46:47-0600',mode:absolute,to:'2017-09-22T06:58:04-0600'))&amp;_a=(columns:!('Message%20ID',Summary),filters:!(),index:'emp_*',interval:auto,query:(query_string:(analyze_wildcard:!t,query:'Message%5C+ID:(*)+AND+%22rtdc.l.rtdc.4041%22')),sort:!(Time.ISO8601,asc))</v>
      </c>
    </row>
    <row r="221" spans="1:91" s="20" customFormat="1" x14ac:dyDescent="0.25">
      <c r="A221" s="32" t="s">
        <v>675</v>
      </c>
      <c r="B221" s="7">
        <v>4040</v>
      </c>
      <c r="C221" s="21" t="s">
        <v>196</v>
      </c>
      <c r="D221" s="21" t="s">
        <v>952</v>
      </c>
      <c r="E221" s="13">
        <v>43000.35355324074</v>
      </c>
      <c r="F221" s="13">
        <v>43000.356423611112</v>
      </c>
      <c r="G221" s="7">
        <v>82</v>
      </c>
      <c r="H221" s="21" t="s">
        <v>953</v>
      </c>
      <c r="I221" s="13">
        <v>43000.363981481481</v>
      </c>
      <c r="J221" s="7">
        <v>0</v>
      </c>
      <c r="K221" s="89" t="str">
        <f t="shared" si="115"/>
        <v>4039/4040</v>
      </c>
      <c r="L221" s="185" t="str">
        <f>VLOOKUP(A221,'Trips&amp;Operators'!$C$1:$G$99911,5,FALSE)</f>
        <v>ACKERMAN JARED</v>
      </c>
      <c r="M221" s="6">
        <f t="shared" si="116"/>
        <v>7.5578703690553084E-3</v>
      </c>
      <c r="N221" s="7">
        <f t="shared" si="93"/>
        <v>10.883333331439644</v>
      </c>
      <c r="O221" s="7"/>
      <c r="P221" s="7"/>
      <c r="Q221" s="22"/>
      <c r="R221" s="174"/>
      <c r="S221" s="221">
        <f t="shared" si="138"/>
        <v>1</v>
      </c>
      <c r="T221" s="174" t="str">
        <f t="shared" si="117"/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 t="shared" si="118"/>
        <v>https://d0f6bd738d7f1b3e5a7ca70fe4ff75f0.us-east-1.aws.found.io/app/kibana#/discover/Steve-Slow-Train-Analysis-(2080s-and-2083s)?_g=(refreshInterval:(display:Off,pause:!f,section:0,value:0),time:(from:'2017-09-22T07:29:07-0600',mode:absolute,to:'2017-09-22T09:44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1" s="204" t="str">
        <f>IF(AA221&lt;VLOOKUP(AG221,Variables!$AC$3:$AD$8,2,FALSE),"Y","N")</f>
        <v>Y</v>
      </c>
      <c r="X221" s="204">
        <f t="shared" si="132"/>
        <v>1</v>
      </c>
      <c r="Y221" s="204">
        <f t="shared" si="120"/>
        <v>3.9699999999999999E-2</v>
      </c>
      <c r="Z221" s="204">
        <f t="shared" si="121"/>
        <v>2.4283999999999999</v>
      </c>
      <c r="AA221" s="204">
        <f t="shared" si="122"/>
        <v>2.3887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123"/>
        <v>903</v>
      </c>
      <c r="AE221" s="77" t="str">
        <f t="shared" si="124"/>
        <v>aws s3 cp s3://rtdc.mdm.uploadarchive.raw/RTDC4040/ "%USERPROFILE%\AppData\Local\Temp\OnboardLogs"\RTDC4040\2017-09-22 --exclude "*" --recursive --include "*20170922*" &amp; "%USERPROFILE%\Documents\GitHub\mrs-test-scripts\Headless Mode &amp; Sideloading\WalkAndUnGZ.bat" "%USERPROFILE%\AppData\Local\Temp\OnboardLogs"\RTDC4040\2017-09-22 &amp; 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</v>
      </c>
      <c r="AF221" s="74" t="str">
        <f t="shared" si="125"/>
        <v>"C:\Program Files (x86)\AstroGrep\AstroGrep.exe" /e /r /s /spath="%USERPROFILE%\AppData\Local\Temp\OnboardLogs" /stypes="app*4040*20170922*" /stext=" 14:.+((SYSTEM_STATE.+slice.+state.+changed )|(ment ac)|(multiple cpu faults)|(system.+state.+changed )|(\[timeout)|(PRM\|1\|D)|(kpr)|(kdp)|(train st.+moving)|(\|lc)|(penalty))"</v>
      </c>
      <c r="AG221" s="182" t="str">
        <f t="shared" si="126"/>
        <v>Other</v>
      </c>
      <c r="AH221" s="78" t="str">
        <f t="shared" si="133"/>
        <v>"%USERPROFILE%\Documents\GitHub\eaglep3\Utilities\RefineRTDCRunTimes.py" --tripid 903-22 --locoid 4040 --swversion DE.1.0.9.0 --startMP 204:397 --initTime 2017-09-22T08:29:07 --startdatetime 2017-09-22T08:33:15 --delay 82 --endMP 300:24284 --enddatetime 2017-09-22T08:44:08 --enforcementcount 0 &gt;&gt;c:\users\stu\Documents\GitHub\eaglep3-reporting\EC\2017-09-22-refined-times.txt</v>
      </c>
      <c r="AI221" s="96" t="str">
        <f t="shared" si="134"/>
        <v>echo {"issue":{"subject":"","project_id":79,"tracker_id":40,"status_id":1,"priority_id":2,"assigned_to_id":338,"start_date":"2017-09-22","description":"","custom_fields":[{"id":1,"name":"Subdivision","value":"Other"},{"id":4,"name":"Milepost","value":"2.4284"},{"id":17,"name":"Train ID","value":"903-22"},{"id":16,"name":"Locomotive ID","value":"4040"},{"id":130,"name":"Impact","value":""},{"id":150,"name":"Time of Event (Mountain Time)","value":"08:44:08"},{"id":151,"name":"Denver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135"/>
        <v>start /low /b %USERPROFILE%\Documents\GitHub\eaglep3\Utilities\DownloadLogsFromS3.py --loco 4040 --day 2017-09-22</v>
      </c>
      <c r="AN221" s="151" t="str">
        <f t="shared" si="136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14:44:08"},{"id":29,"name":"Sharepoint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37"/>
        <v>https://d0f6bd738d7f1b3e5a7ca70fe4ff75f0.us-east-1.aws.found.io/app/kibana#/discover/Steve-Slow-Train-Analysis-(2080s-and-2083s)?_g=(refreshInterval:(display:Off,pause:!f,section:0,value:0),time:(from:'2017-09-22T07:29:07-0600',mode:absolute,to:'2017-09-22T09:44:08-0600'))&amp;_a=(columns:!('Message%20ID',Summary),filters:!(),index:'emp_*',interval:auto,query:(query_string:(analyze_wildcard:!t,query:'Message%5C+ID:(*)+AND+%22rtdc.l.rtdc.4040%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 s="32" t="s">
        <v>744</v>
      </c>
      <c r="B222" s="7">
        <v>4039</v>
      </c>
      <c r="C222" s="21" t="s">
        <v>196</v>
      </c>
      <c r="D222" s="21" t="s">
        <v>954</v>
      </c>
      <c r="E222" s="13">
        <v>43000.631874999999</v>
      </c>
      <c r="F222" s="13">
        <v>43000.637013888889</v>
      </c>
      <c r="G222" s="7">
        <v>68</v>
      </c>
      <c r="H222" s="21" t="s">
        <v>935</v>
      </c>
      <c r="I222" s="13">
        <v>43000.642650462964</v>
      </c>
      <c r="J222" s="7">
        <v>0</v>
      </c>
      <c r="K222" s="89" t="str">
        <f t="shared" si="115"/>
        <v>4039/4040</v>
      </c>
      <c r="L222" s="185" t="str">
        <f>VLOOKUP(A222,'Trips&amp;Operators'!$C$1:$G$99911,5,FALSE)</f>
        <v>SMITH MICHAEL</v>
      </c>
      <c r="M222" s="6">
        <f t="shared" si="116"/>
        <v>5.6365740747423843E-3</v>
      </c>
      <c r="N222" s="7">
        <f t="shared" si="93"/>
        <v>8.1166666676290333</v>
      </c>
      <c r="O222" s="7"/>
      <c r="P222" s="7"/>
      <c r="Q222" s="22"/>
      <c r="R222" s="174"/>
      <c r="S222" s="221">
        <f t="shared" si="138"/>
        <v>1</v>
      </c>
      <c r="T222" s="174" t="str">
        <f t="shared" si="117"/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 t="shared" si="118"/>
        <v>https://d0f6bd738d7f1b3e5a7ca70fe4ff75f0.us-east-1.aws.found.io/app/kibana#/discover/Steve-Slow-Train-Analysis-(2080s-and-2083s)?_g=(refreshInterval:(display:Off,pause:!f,section:0,value:0),time:(from:'2017-09-22T14:09:54-0600',mode:absolute,to:'2017-09-22T16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2" s="204" t="str">
        <f>IF(AA222&lt;VLOOKUP(AG222,Variables!$AC$3:$AD$8,2,FALSE),"Y","N")</f>
        <v>Y</v>
      </c>
      <c r="X222" s="204">
        <f t="shared" si="132"/>
        <v>1</v>
      </c>
      <c r="Y222" s="204">
        <f t="shared" si="120"/>
        <v>2.3397999999999999</v>
      </c>
      <c r="Z222" s="204">
        <f t="shared" si="121"/>
        <v>6.9199999999999998E-2</v>
      </c>
      <c r="AA222" s="204">
        <f t="shared" si="122"/>
        <v>2.2706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123"/>
        <v>904</v>
      </c>
      <c r="AE222" s="77" t="str">
        <f t="shared" si="124"/>
        <v>aws s3 cp s3://rtdc.mdm.uploadarchive.raw/RTDC4039/ "%USERPROFILE%\AppData\Local\Temp\OnboardLogs"\RTDC4039\2017-09-22 --exclude "*" --recursive --include "*20170922*" &amp; "%USERPROFILE%\Documents\GitHub\mrs-test-scripts\Headless Mode &amp; Sideloading\WalkAndUnGZ.bat" "%USERPROFILE%\AppData\Local\Temp\OnboardLogs"\RTDC4039\2017-09-22 &amp; 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</v>
      </c>
      <c r="AF222" s="74" t="str">
        <f t="shared" si="125"/>
        <v>"C:\Program Files (x86)\AstroGrep\AstroGrep.exe" /e /r /s /spath="%USERPROFILE%\AppData\Local\Temp\OnboardLogs" /stypes="app*4039*20170922*" /stext=" 21:.+((SYSTEM_STATE.+slice.+state.+changed )|(ment ac)|(multiple cpu faults)|(system.+state.+changed )|(\[timeout)|(PRM\|1\|D)|(kpr)|(kdp)|(train st.+moving)|(\|lc)|(penalty))"</v>
      </c>
      <c r="AG222" s="182" t="str">
        <f t="shared" si="126"/>
        <v>Other</v>
      </c>
      <c r="AH222" s="78" t="str">
        <f t="shared" si="133"/>
        <v>"%USERPROFILE%\Documents\GitHub\eaglep3\Utilities\RefineRTDCRunTimes.py" --tripid 904-22 --locoid 4039 --swversion DE.1.0.9.0 --startMP 300:23398 --initTime 2017-09-22T15:09:54 --startdatetime 2017-09-22T15:17:18 --delay 68 --endMP 204:692 --enddatetime 2017-09-22T15:25:25 --enforcementcount 0 &gt;&gt;c:\users\stu\Documents\GitHub\eaglep3-reporting\EC\2017-09-22-refined-times.txt</v>
      </c>
      <c r="AI222" s="96" t="str">
        <f t="shared" si="134"/>
        <v>echo {"issue":{"subject":"","project_id":79,"tracker_id":40,"status_id":1,"priority_id":2,"assigned_to_id":338,"start_date":"2017-09-22","description":"","custom_fields":[{"id":1,"name":"Subdivision","value":"Other"},{"id":4,"name":"Milepost","value":"0.0692"},{"id":17,"name":"Train ID","value":"904-22"},{"id":16,"name":"Locomotive ID","value":"4039"},{"id":130,"name":"Impact","value":""},{"id":150,"name":"Time of Event (Mountain Time)","value":"15:25:25"},{"id":151,"name":"Denver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135"/>
        <v>start /low /b %USERPROFILE%\Documents\GitHub\eaglep3\Utilities\DownloadLogsFromS3.py --loco 4039 --day 2017-09-22</v>
      </c>
      <c r="AN222" s="151" t="str">
        <f t="shared" si="136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21:25:25"},{"id":29,"name":"Sharepoint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37"/>
        <v>https://d0f6bd738d7f1b3e5a7ca70fe4ff75f0.us-east-1.aws.found.io/app/kibana#/discover/Steve-Slow-Train-Analysis-(2080s-and-2083s)?_g=(refreshInterval:(display:Off,pause:!f,section:0,value:0),time:(from:'2017-09-22T14:09:54-0600',mode:absolute,to:'2017-09-22T16:25:25-0600'))&amp;_a=(columns:!('Message%20ID',Summary),filters:!(),index:'emp_*',interval:auto,query:(query_string:(analyze_wildcard:!t,query:'Message%5C+ID:(*)+AND+%22rtdc.l.rtdc.4039%22')),sort:!(Time.ISO8601,asc))</v>
      </c>
    </row>
    <row r="223" spans="1:91" s="20" customFormat="1" x14ac:dyDescent="0.25">
      <c r="A223" s="32" t="s">
        <v>785</v>
      </c>
      <c r="B223" s="7">
        <v>4040</v>
      </c>
      <c r="C223" s="21" t="s">
        <v>196</v>
      </c>
      <c r="D223" s="21" t="s">
        <v>955</v>
      </c>
      <c r="E223" s="13">
        <v>43000.791620370372</v>
      </c>
      <c r="F223" s="13">
        <v>43000.792974537035</v>
      </c>
      <c r="G223" s="7">
        <v>58</v>
      </c>
      <c r="H223" s="21" t="s">
        <v>956</v>
      </c>
      <c r="I223" s="13">
        <v>43000.797974537039</v>
      </c>
      <c r="J223" s="7">
        <v>0</v>
      </c>
      <c r="K223" s="89" t="str">
        <f t="shared" si="115"/>
        <v>4039/4040</v>
      </c>
      <c r="L223" s="185" t="str">
        <f>VLOOKUP(A223,'Trips&amp;Operators'!$C$1:$G$99911,5,FALSE)</f>
        <v>SMITH MICHAEL</v>
      </c>
      <c r="M223" s="6">
        <f t="shared" si="116"/>
        <v>5.0000000046566129E-3</v>
      </c>
      <c r="N223" s="7">
        <f t="shared" si="93"/>
        <v>7.2000000067055225</v>
      </c>
      <c r="O223" s="7"/>
      <c r="P223" s="7"/>
      <c r="Q223" s="22"/>
      <c r="R223" s="174"/>
      <c r="S223" s="221">
        <f t="shared" si="138"/>
        <v>0</v>
      </c>
      <c r="T223" s="174" t="str">
        <f t="shared" si="117"/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16" t="str">
        <f t="shared" si="118"/>
        <v>https://d0f6bd738d7f1b3e5a7ca70fe4ff75f0.us-east-1.aws.found.io/app/kibana#/discover/Steve-Slow-Train-Analysis-(2080s-and-2083s)?_g=(refreshInterval:(display:Off,pause:!f,section:0,value:0),time:(from:'2017-09-22T17:59:56-0600',mode:absolute,to:'2017-09-22T20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3" s="204" t="str">
        <f>IF(AA223&lt;VLOOKUP(AG223,Variables!$AC$3:$AD$8,2,FALSE),"Y","N")</f>
        <v>Y</v>
      </c>
      <c r="X223" s="204">
        <f t="shared" si="132"/>
        <v>2</v>
      </c>
      <c r="Y223" s="204">
        <f t="shared" si="120"/>
        <v>9.8599999999999993E-2</v>
      </c>
      <c r="Z223" s="204">
        <f t="shared" si="121"/>
        <v>3.1678000000000002</v>
      </c>
      <c r="AA223" s="204">
        <f t="shared" si="122"/>
        <v>3.0692000000000004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123"/>
        <v>906</v>
      </c>
      <c r="AE223" s="77" t="str">
        <f t="shared" si="124"/>
        <v>aws s3 cp s3://rtdc.mdm.uploadarchive.raw/RTDC4040/ "%USERPROFILE%\AppData\Local\Temp\OnboardLogs"\RTDC4040\2017-09-22 --exclude "*" --recursive --include "*20170922*" &amp; "%USERPROFILE%\Documents\GitHub\mrs-test-scripts\Headless Mode &amp; Sideloading\WalkAndUnGZ.bat" "%USERPROFILE%\AppData\Local\Temp\OnboardLogs"\RTDC4040\2017-09-22 &amp; 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</v>
      </c>
      <c r="AF223" s="74" t="str">
        <f t="shared" si="125"/>
        <v>"C:\Program Files (x86)\AstroGrep\AstroGrep.exe" /e /r /s /spath="%USERPROFILE%\AppData\Local\Temp\OnboardLogs" /stypes="app*4040*20170923*" /stext=" 01:.+((SYSTEM_STATE.+slice.+state.+changed )|(ment ac)|(multiple cpu faults)|(system.+state.+changed )|(\[timeout)|(PRM\|1\|D)|(kpr)|(kdp)|(train st.+moving)|(\|lc)|(penalty))"</v>
      </c>
      <c r="AG223" s="182" t="str">
        <f t="shared" si="126"/>
        <v>Other</v>
      </c>
      <c r="AH223" s="78" t="str">
        <f t="shared" si="133"/>
        <v>"%USERPROFILE%\Documents\GitHub\eaglep3\Utilities\RefineRTDCRunTimes.py" --tripid 906-22 --locoid 4040 --swversion DE.1.0.9.0 --startMP 204:986 --initTime 2017-09-22T18:59:56 --startdatetime 2017-09-22T19:01:53 --delay 58 --endMP 300:31678 --enddatetime 2017-09-22T19:09:05 --enforcementcount 0 &gt;&gt;c:\users\stu\Documents\GitHub\eaglep3-reporting\EC\2017-09-22-refined-times.txt</v>
      </c>
      <c r="AI223" s="96" t="str">
        <f t="shared" si="134"/>
        <v>echo {"issue":{"subject":"","project_id":79,"tracker_id":40,"status_id":1,"priority_id":2,"assigned_to_id":338,"start_date":"2017-09-22","description":"","custom_fields":[{"id":1,"name":"Subdivision","value":"Other"},{"id":4,"name":"Milepost","value":"3.1678"},{"id":17,"name":"Train ID","value":"906-22"},{"id":16,"name":"Locomotive ID","value":"4040"},{"id":130,"name":"Impact","value":""},{"id":150,"name":"Time of Event (Mountain Time)","value":"19:09:05"},{"id":151,"name":"Denver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3" s="47"/>
      <c r="AL223" s="47"/>
      <c r="AM223" s="142" t="str">
        <f t="shared" si="135"/>
        <v>start /low /b %USERPROFILE%\Documents\GitHub\eaglep3\Utilities\DownloadLogsFromS3.py --loco 4040 --day 2017-09-22</v>
      </c>
      <c r="AN223" s="151" t="str">
        <f t="shared" si="136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01:09:05"},{"id":29,"name":"Sharepoint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37"/>
        <v>https://d0f6bd738d7f1b3e5a7ca70fe4ff75f0.us-east-1.aws.found.io/app/kibana#/discover/Steve-Slow-Train-Analysis-(2080s-and-2083s)?_g=(refreshInterval:(display:Off,pause:!f,section:0,value:0),time:(from:'2017-09-22T17:59:56-0600',mode:absolute,to:'2017-09-22T20:09:05-0600'))&amp;_a=(columns:!('Message%20ID',Summary),filters:!(),index:'emp_*',interval:auto,query:(query_string:(analyze_wildcard:!t,query:'Message%5C+ID:(*)+AND+%22rtdc.l.rtdc.4040%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815</v>
      </c>
      <c r="B224" s="7">
        <v>4041</v>
      </c>
      <c r="C224" s="21" t="s">
        <v>196</v>
      </c>
      <c r="D224" s="21" t="s">
        <v>957</v>
      </c>
      <c r="E224" s="13">
        <v>43000.976284722223</v>
      </c>
      <c r="F224" s="13">
        <v>43000.977777777778</v>
      </c>
      <c r="G224" s="7">
        <v>61</v>
      </c>
      <c r="H224" s="21" t="s">
        <v>958</v>
      </c>
      <c r="I224" s="13">
        <v>43000.988900462966</v>
      </c>
      <c r="J224" s="7">
        <v>0</v>
      </c>
      <c r="K224" s="89" t="str">
        <f t="shared" si="115"/>
        <v>4041/4042</v>
      </c>
      <c r="L224" s="185" t="str">
        <f>VLOOKUP(A224,'Trips&amp;Operators'!$C$1:$G$99911,5,FALSE)</f>
        <v>SMITH MICHAEL</v>
      </c>
      <c r="M224" s="6">
        <f t="shared" si="116"/>
        <v>1.1122685187729076E-2</v>
      </c>
      <c r="N224" s="7">
        <f t="shared" si="93"/>
        <v>16.016666670329869</v>
      </c>
      <c r="O224" s="7"/>
      <c r="P224" s="7"/>
      <c r="Q224" s="22"/>
      <c r="R224" s="174"/>
      <c r="S224" s="221">
        <f t="shared" si="138"/>
        <v>0</v>
      </c>
      <c r="T224" s="174" t="str">
        <f t="shared" si="117"/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6" t="str">
        <f t="shared" si="118"/>
        <v>https://d0f6bd738d7f1b3e5a7ca70fe4ff75f0.us-east-1.aws.found.io/app/kibana#/discover/Steve-Slow-Train-Analysis-(2080s-and-2083s)?_g=(refreshInterval:(display:Off,pause:!f,section:0,value:0),time:(from:'2017-09-22T22:25:51-0600',mode:absolute,to:'2017-09-23T00:44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4" s="204" t="str">
        <f>IF(AA224&lt;VLOOKUP(AG224,Variables!$AC$3:$AD$8,2,FALSE),"Y","N")</f>
        <v>Y</v>
      </c>
      <c r="X224" s="204">
        <f t="shared" si="132"/>
        <v>2</v>
      </c>
      <c r="Y224" s="204">
        <f t="shared" si="120"/>
        <v>5.8673999999999999</v>
      </c>
      <c r="Z224" s="204">
        <f t="shared" si="121"/>
        <v>2.8776000000000002</v>
      </c>
      <c r="AA224" s="204">
        <f t="shared" si="122"/>
        <v>2.9897999999999998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 t="shared" si="123"/>
        <v>908</v>
      </c>
      <c r="AE224" s="77" t="str">
        <f t="shared" si="124"/>
        <v>aws s3 cp s3://rtdc.mdm.uploadarchive.raw/RTDC4041/ "%USERPROFILE%\AppData\Local\Temp\OnboardLogs"\RTDC4041\2017-09-22 --exclude "*" --recursive --include "*20170922*" &amp; "%USERPROFILE%\Documents\GitHub\mrs-test-scripts\Headless Mode &amp; Sideloading\WalkAndUnGZ.bat" "%USERPROFILE%\AppData\Local\Temp\OnboardLogs"\RTDC4041\2017-09-22 &amp; aws s3 cp s3://rtdc.mdm.uploadarchive.raw/RTDC4041/ "%USERPROFILE%\AppData\Local\Temp\OnboardLogs"\RTDC4041\2017-09-23 --exclude "*" --recursive --include "*20170923*" &amp; "%USERPROFILE%\Documents\GitHub\mrs-test-scripts\Headless Mode &amp; Sideloading\WalkAndUnGZ.bat" "%USERPROFILE%\AppData\Local\Temp\OnboardLogs"\RTDC4041\2017-09-23</v>
      </c>
      <c r="AF224" s="74" t="str">
        <f t="shared" si="125"/>
        <v>"C:\Program Files (x86)\AstroGrep\AstroGrep.exe" /e /r /s /spath="%USERPROFILE%\AppData\Local\Temp\OnboardLogs" /stypes="app*4041*20170923*" /stext=" 05:.+((SYSTEM_STATE.+slice.+state.+changed )|(ment ac)|(multiple cpu faults)|(system.+state.+changed )|(\[timeout)|(PRM\|1\|D)|(kpr)|(kdp)|(train st.+moving)|(\|lc)|(penalty))"</v>
      </c>
      <c r="AG224" s="182" t="str">
        <f t="shared" si="126"/>
        <v>Other</v>
      </c>
      <c r="AH224" s="78" t="str">
        <f t="shared" si="133"/>
        <v>"%USERPROFILE%\Documents\GitHub\eaglep3\Utilities\RefineRTDCRunTimes.py" --tripid 908-22 --locoid 4041 --swversion DE.1.0.9.0 --startMP 300:58674 --initTime 2017-09-22T23:25:51 --startdatetime 2017-09-22T23:28:00 --delay 61 --endMP 300:28776 --enddatetime 2017-09-22T23:44:01 --enforcementcount 0 &gt;&gt;c:\users\stu\Documents\GitHub\eaglep3-reporting\EC\2017-09-22-refined-times.txt</v>
      </c>
      <c r="AI224" s="96" t="str">
        <f t="shared" si="134"/>
        <v>echo {"issue":{"subject":"","project_id":79,"tracker_id":40,"status_id":1,"priority_id":2,"assigned_to_id":338,"start_date":"2017-09-22","description":"","custom_fields":[{"id":1,"name":"Subdivision","value":"Other"},{"id":4,"name":"Milepost","value":"2.8776"},{"id":17,"name":"Train ID","value":"908-22"},{"id":16,"name":"Locomotive ID","value":"4041"},{"id":130,"name":"Impact","value":""},{"id":150,"name":"Time of Event (Mountain Time)","value":"23:44:01"},{"id":151,"name":"Denver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4" s="47"/>
      <c r="AL224" s="47"/>
      <c r="AM224" s="142" t="str">
        <f t="shared" si="135"/>
        <v>start /low /b %USERPROFILE%\Documents\GitHub\eaglep3\Utilities\DownloadLogsFromS3.py --loco 4041 --day 2017-09-22</v>
      </c>
      <c r="AN224" s="151" t="str">
        <f t="shared" si="136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05:44:01"},{"id":29,"name":"Sharepoint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137"/>
        <v>https://d0f6bd738d7f1b3e5a7ca70fe4ff75f0.us-east-1.aws.found.io/app/kibana#/discover/Steve-Slow-Train-Analysis-(2080s-and-2083s)?_g=(refreshInterval:(display:Off,pause:!f,section:0,value:0),time:(from:'2017-09-22T22:25:51-0600',mode:absolute,to:'2017-09-23T00:44:01-0600'))&amp;_a=(columns:!('Message%20ID',Summary),filters:!(),index:'emp_*',interval:auto,query:(query_string:(analyze_wildcard:!t,query:'Message%5C+ID:(*)+AND+%22rtdc.l.rtdc.4041%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x14ac:dyDescent="0.25">
      <c r="A225" s="32" t="s">
        <v>609</v>
      </c>
      <c r="B225" s="7">
        <v>4002</v>
      </c>
      <c r="C225" s="21" t="s">
        <v>196</v>
      </c>
      <c r="D225" s="21" t="s">
        <v>558</v>
      </c>
      <c r="E225" s="13">
        <v>43000.128229166665</v>
      </c>
      <c r="F225" s="13">
        <v>43000.136979166666</v>
      </c>
      <c r="G225" s="7">
        <v>80</v>
      </c>
      <c r="H225" s="21" t="s">
        <v>889</v>
      </c>
      <c r="I225" s="13">
        <v>43000.13857638889</v>
      </c>
      <c r="J225" s="7">
        <v>0</v>
      </c>
      <c r="K225" s="89" t="str">
        <f t="shared" si="115"/>
        <v>4001/4002</v>
      </c>
      <c r="L225" s="185" t="str">
        <f>VLOOKUP(A225,'Trips&amp;Operators'!$C$1:$G$99911,5,FALSE)</f>
        <v>SPECTOR MICHAEL</v>
      </c>
      <c r="M225" s="6">
        <f t="shared" si="116"/>
        <v>1.5972222245181911E-3</v>
      </c>
      <c r="N225" s="7">
        <f t="shared" ref="N225:N235" si="139">24*60*SUM($M225:$M225)</f>
        <v>2.3000000033061951</v>
      </c>
      <c r="O225" s="7"/>
      <c r="P225" s="7"/>
      <c r="Q225" s="22"/>
      <c r="R225" s="174"/>
      <c r="S225" s="221">
        <f t="shared" si="138"/>
        <v>0</v>
      </c>
      <c r="T225" s="174" t="str">
        <f t="shared" si="117"/>
        <v>NorthBound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6" t="str">
        <f t="shared" si="118"/>
        <v>https://d0f6bd738d7f1b3e5a7ca70fe4ff75f0.us-east-1.aws.found.io/app/kibana#/discover/Steve-Slow-Train-Analysis-(2080s-and-2083s)?_g=(refreshInterval:(display:Off,pause:!f,section:0,value:0),time:(from:'2017-09-22T02:04:39-0600',mode:absolute,to:'2017-09-22T04:19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5" s="204" t="str">
        <f>IF(AA225&lt;VLOOKUP(AG225,Variables!$AC$3:$AD$8,2,FALSE),"Y","N")</f>
        <v>Y</v>
      </c>
      <c r="X225" s="204">
        <f t="shared" si="132"/>
        <v>-857</v>
      </c>
      <c r="Y225" s="204">
        <f t="shared" si="120"/>
        <v>4.1799999999999997E-2</v>
      </c>
      <c r="Z225" s="204">
        <f t="shared" si="121"/>
        <v>0.35799999999999998</v>
      </c>
      <c r="AA225" s="204">
        <f t="shared" si="122"/>
        <v>0.31619999999999998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 t="shared" si="123"/>
        <v>51</v>
      </c>
      <c r="AE225" s="77" t="str">
        <f t="shared" si="124"/>
        <v>aws s3 cp s3://rtdc.mdm.uploadarchive.raw/RTDC4002/ "%USERPROFILE%\AppData\Local\Temp\OnboardLogs"\RTDC4002\2017-09-22 --exclude "*" --recursive --include "*20170922*" &amp; "%USERPROFILE%\Documents\GitHub\mrs-test-scripts\Headless Mode &amp; Sideloading\WalkAndUnGZ.bat" "%USERPROFILE%\AppData\Local\Temp\OnboardLogs"\RTDC4002\2017-09-22 &amp; 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</v>
      </c>
      <c r="AF225" s="74" t="str">
        <f t="shared" si="125"/>
        <v>"C:\Program Files (x86)\AstroGrep\AstroGrep.exe" /e /r /s /spath="%USERPROFILE%\AppData\Local\Temp\OnboardLogs" /stypes="app*4002*20170922*" /stext=" 09:.+((SYSTEM_STATE.+slice.+state.+changed )|(ment ac)|(multiple cpu faults)|(system.+state.+changed )|(\[timeout)|(PRM\|1\|D)|(kpr)|(kdp)|(train st.+moving)|(\|lc)|(penalty))"</v>
      </c>
      <c r="AG225" s="182" t="str">
        <f t="shared" si="126"/>
        <v>Shuttle/Test</v>
      </c>
      <c r="AH225" s="78" t="str">
        <f t="shared" si="133"/>
        <v>"%USERPROFILE%\Documents\GitHub\eaglep3\Utilities\RefineRTDCRunTimes.py" --tripid 51-22 --locoid 4002 --swversion DE.1.0.9.0 --startMP 204:418 --initTime 2017-09-22T03:04:39 --startdatetime 2017-09-22T03:17:15 --delay 80 --endMP 204:3580 --enddatetime 2017-09-22T03:19:33 --enforcementcount 0 &gt;&gt;c:\users\stu\Documents\GitHub\eaglep3-reporting\EC\2017-09-22-refined-times.txt</v>
      </c>
      <c r="AI225" s="96" t="str">
        <f t="shared" si="134"/>
        <v>echo {"issue":{"subject":"","project_id":79,"tracker_id":40,"status_id":1,"priority_id":2,"assigned_to_id":338,"start_date":"2017-09-22","description":"","custom_fields":[{"id":1,"name":"Subdivision","value":"Shuttle/Test"},{"id":4,"name":"Milepost","value":"0.358"},{"id":17,"name":"Train ID","value":"51-22"},{"id":16,"name":"Locomotive ID","value":"4002"},{"id":130,"name":"Impact","value":""},{"id":150,"name":"Time of Event (Mountain Time)","value":"03:19:33"},{"id":151,"name":"Denver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135"/>
        <v>start /low /b %USERPROFILE%\Documents\GitHub\eaglep3\Utilities\DownloadLogsFromS3.py --loco 4002 --day 2017-09-22</v>
      </c>
      <c r="AN225" s="151" t="str">
        <f t="shared" si="136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09:19:33"},{"id":29,"name":"Sharepoint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137"/>
        <v>https://d0f6bd738d7f1b3e5a7ca70fe4ff75f0.us-east-1.aws.found.io/app/kibana#/discover/Steve-Slow-Train-Analysis-(2080s-and-2083s)?_g=(refreshInterval:(display:Off,pause:!f,section:0,value:0),time:(from:'2017-09-22T02:04:39-0600',mode:absolute,to:'2017-09-22T04:19:33-0600'))&amp;_a=(columns:!('Message%20ID',Summary),filters:!(),index:'emp_*',interval:auto,query:(query_string:(analyze_wildcard:!t,query:'Message%5C+ID:(*)+AND+%22rtdc.l.rtdc.4002%22')),sort:!(Time.ISO8601,asc))</v>
      </c>
    </row>
    <row r="226" spans="1:91" s="20" customFormat="1" x14ac:dyDescent="0.25">
      <c r="A226" s="32" t="s">
        <v>609</v>
      </c>
      <c r="B226" s="7">
        <v>4015</v>
      </c>
      <c r="C226" s="21" t="s">
        <v>196</v>
      </c>
      <c r="D226" s="21" t="s">
        <v>890</v>
      </c>
      <c r="E226" s="13">
        <v>43000.472349537034</v>
      </c>
      <c r="F226" s="13">
        <v>43000.476747685185</v>
      </c>
      <c r="G226" s="7">
        <v>169</v>
      </c>
      <c r="H226" s="21" t="s">
        <v>891</v>
      </c>
      <c r="I226" s="13">
        <v>43000.482881944445</v>
      </c>
      <c r="J226" s="7">
        <v>0</v>
      </c>
      <c r="K226" s="89" t="str">
        <f t="shared" si="115"/>
        <v>4015/4016</v>
      </c>
      <c r="L226" s="185" t="str">
        <f>VLOOKUP(A226,'Trips&amp;Operators'!$C$1:$G$99911,5,FALSE)</f>
        <v>SPECTOR MICHAEL</v>
      </c>
      <c r="M226" s="6">
        <f t="shared" si="116"/>
        <v>6.1342592598521151E-3</v>
      </c>
      <c r="N226" s="7">
        <f t="shared" si="139"/>
        <v>8.8333333341870457</v>
      </c>
      <c r="O226" s="7"/>
      <c r="P226" s="7"/>
      <c r="Q226" s="22"/>
      <c r="R226" s="174"/>
      <c r="S226" s="221">
        <f t="shared" si="138"/>
        <v>0</v>
      </c>
      <c r="T226" s="174" t="str">
        <f t="shared" si="117"/>
        <v>NorthBound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 t="shared" si="118"/>
        <v>https://d0f6bd738d7f1b3e5a7ca70fe4ff75f0.us-east-1.aws.found.io/app/kibana#/discover/Steve-Slow-Train-Analysis-(2080s-and-2083s)?_g=(refreshInterval:(display:Off,pause:!f,section:0,value:0),time:(from:'2017-09-22T10:20:11-0600',mode:absolute,to:'2017-09-22T12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6" s="204" t="str">
        <f>IF(AA226&lt;VLOOKUP(AG226,Variables!$AC$3:$AD$8,2,FALSE),"Y","N")</f>
        <v>Y</v>
      </c>
      <c r="X226" s="204">
        <f t="shared" si="132"/>
        <v>0</v>
      </c>
      <c r="Y226" s="204">
        <f t="shared" si="120"/>
        <v>2.3479999999999999</v>
      </c>
      <c r="Z226" s="204">
        <f t="shared" si="121"/>
        <v>8.8200000000000001E-2</v>
      </c>
      <c r="AA226" s="204">
        <f t="shared" si="122"/>
        <v>2.2597999999999998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 t="shared" si="123"/>
        <v>51</v>
      </c>
      <c r="AE226" s="77" t="str">
        <f t="shared" si="124"/>
        <v>aws s3 cp s3://rtdc.mdm.uploadarchive.raw/RTDC4015/ "%USERPROFILE%\AppData\Local\Temp\OnboardLogs"\RTDC4015\2017-09-22 --exclude "*" --recursive --include "*20170922*" &amp; "%USERPROFILE%\Documents\GitHub\mrs-test-scripts\Headless Mode &amp; Sideloading\WalkAndUnGZ.bat" "%USERPROFILE%\AppData\Local\Temp\OnboardLogs"\RTDC4015\2017-09-22 &amp; aws s3 cp s3://rtdc.mdm.uploadarchive.raw/RTDC4015/ "%USERPROFILE%\AppData\Local\Temp\OnboardLogs"\RTDC4015\2017-09-23 --exclude "*" --recursive --include "*20170923*" &amp; "%USERPROFILE%\Documents\GitHub\mrs-test-scripts\Headless Mode &amp; Sideloading\WalkAndUnGZ.bat" "%USERPROFILE%\AppData\Local\Temp\OnboardLogs"\RTDC4015\2017-09-23</v>
      </c>
      <c r="AF226" s="74" t="str">
        <f t="shared" si="125"/>
        <v>"C:\Program Files (x86)\AstroGrep\AstroGrep.exe" /e /r /s /spath="%USERPROFILE%\AppData\Local\Temp\OnboardLogs" /stypes="app*4015*20170922*" /stext=" 17:.+((SYSTEM_STATE.+slice.+state.+changed )|(ment ac)|(multiple cpu faults)|(system.+state.+changed )|(\[timeout)|(PRM\|1\|D)|(kpr)|(kdp)|(train st.+moving)|(\|lc)|(penalty))"</v>
      </c>
      <c r="AG226" s="182" t="str">
        <f t="shared" si="126"/>
        <v>Shuttle/Test</v>
      </c>
      <c r="AH226" s="78" t="str">
        <f t="shared" si="133"/>
        <v>"%USERPROFILE%\Documents\GitHub\eaglep3\Utilities\RefineRTDCRunTimes.py" --tripid 51-22 --locoid 4015 --swversion DE.1.0.9.0 --startMP 300:23480 --initTime 2017-09-22T11:20:11 --startdatetime 2017-09-22T11:26:31 --delay 169 --endMP 204:882 --enddatetime 2017-09-22T11:35:21 --enforcementcount 0 &gt;&gt;c:\users\stu\Documents\GitHub\eaglep3-reporting\EC\2017-09-22-refined-times.txt</v>
      </c>
      <c r="AI226" s="96" t="str">
        <f t="shared" si="134"/>
        <v>echo {"issue":{"subject":"","project_id":79,"tracker_id":40,"status_id":1,"priority_id":2,"assigned_to_id":338,"start_date":"2017-09-22","description":"","custom_fields":[{"id":1,"name":"Subdivision","value":"Shuttle/Test"},{"id":4,"name":"Milepost","value":"0.0882"},{"id":17,"name":"Train ID","value":"51-22"},{"id":16,"name":"Locomotive ID","value":"4015"},{"id":130,"name":"Impact","value":""},{"id":150,"name":"Time of Event (Mountain Time)","value":"11:35:21"},{"id":151,"name":"Denver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6" s="47"/>
      <c r="AL226" s="47"/>
      <c r="AM226" s="142" t="str">
        <f t="shared" si="135"/>
        <v>start /low /b %USERPROFILE%\Documents\GitHub\eaglep3\Utilities\DownloadLogsFromS3.py --loco 4015 --day 2017-09-22</v>
      </c>
      <c r="AN226" s="151" t="str">
        <f t="shared" si="136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17:35:21"},{"id":29,"name":"Sharepoint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137"/>
        <v>https://d0f6bd738d7f1b3e5a7ca70fe4ff75f0.us-east-1.aws.found.io/app/kibana#/discover/Steve-Slow-Train-Analysis-(2080s-and-2083s)?_g=(refreshInterval:(display:Off,pause:!f,section:0,value:0),time:(from:'2017-09-22T10:20:11-0600',mode:absolute,to:'2017-09-22T12:35:21-0600'))&amp;_a=(columns:!('Message%20ID',Summary),filters:!(),index:'emp_*',interval:auto,query:(query_string:(analyze_wildcard:!t,query:'Message%5C+ID:(*)+AND+%22rtdc.l.rtdc.4015%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x14ac:dyDescent="0.25">
      <c r="A227" s="32" t="s">
        <v>614</v>
      </c>
      <c r="B227" s="7">
        <v>4001</v>
      </c>
      <c r="C227" s="21" t="s">
        <v>196</v>
      </c>
      <c r="D227" s="21" t="s">
        <v>892</v>
      </c>
      <c r="E227" s="13">
        <v>43000.139490740738</v>
      </c>
      <c r="F227" s="13">
        <v>43000.140879629631</v>
      </c>
      <c r="G227" s="7">
        <v>72</v>
      </c>
      <c r="H227" s="21" t="s">
        <v>893</v>
      </c>
      <c r="I227" s="13">
        <v>43000.141932870371</v>
      </c>
      <c r="J227" s="7">
        <v>0</v>
      </c>
      <c r="K227" s="89" t="str">
        <f t="shared" si="115"/>
        <v>4001/4002</v>
      </c>
      <c r="L227" s="185" t="str">
        <f>VLOOKUP(A227,'Trips&amp;Operators'!$C$1:$G$99911,5,FALSE)</f>
        <v>SPECTOR MICHAEL</v>
      </c>
      <c r="M227" s="6">
        <f t="shared" si="116"/>
        <v>1.0532407395658083E-3</v>
      </c>
      <c r="N227" s="7">
        <f t="shared" si="139"/>
        <v>1.516666664974764</v>
      </c>
      <c r="O227" s="7"/>
      <c r="P227" s="7"/>
      <c r="Q227" s="22"/>
      <c r="R227" s="174"/>
      <c r="S227" s="221">
        <f t="shared" si="138"/>
        <v>0</v>
      </c>
      <c r="T227" s="174" t="str">
        <f t="shared" si="117"/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 t="shared" si="118"/>
        <v>https://d0f6bd738d7f1b3e5a7ca70fe4ff75f0.us-east-1.aws.found.io/app/kibana#/discover/Steve-Slow-Train-Analysis-(2080s-and-2083s)?_g=(refreshInterval:(display:Off,pause:!f,section:0,value:0),time:(from:'2017-09-22T02:20:52-0600',mode:absolute,to:'2017-09-22T04:24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7" s="204" t="str">
        <f>IF(AA227&lt;VLOOKUP(AG227,Variables!$AC$3:$AD$8,2,FALSE),"Y","N")</f>
        <v>Y</v>
      </c>
      <c r="X227" s="204">
        <f t="shared" si="132"/>
        <v>1</v>
      </c>
      <c r="Y227" s="204">
        <f t="shared" si="120"/>
        <v>0.32529999999999998</v>
      </c>
      <c r="Z227" s="204">
        <f t="shared" si="121"/>
        <v>0.11749999999999999</v>
      </c>
      <c r="AA227" s="204">
        <f t="shared" si="122"/>
        <v>0.20779999999999998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 t="shared" si="123"/>
        <v>52</v>
      </c>
      <c r="AE227" s="77" t="str">
        <f t="shared" si="124"/>
        <v>aws s3 cp s3://rtdc.mdm.uploadarchive.raw/RTDC4001/ "%USERPROFILE%\AppData\Local\Temp\OnboardLogs"\RTDC4001\2017-09-22 --exclude "*" --recursive --include "*20170922*" &amp; "%USERPROFILE%\Documents\GitHub\mrs-test-scripts\Headless Mode &amp; Sideloading\WalkAndUnGZ.bat" "%USERPROFILE%\AppData\Local\Temp\OnboardLogs"\RTDC4001\2017-09-22 &amp; 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</v>
      </c>
      <c r="AF227" s="74" t="str">
        <f t="shared" si="125"/>
        <v>"C:\Program Files (x86)\AstroGrep\AstroGrep.exe" /e /r /s /spath="%USERPROFILE%\AppData\Local\Temp\OnboardLogs" /stypes="app*4001*20170922*" /stext=" 09:.+((SYSTEM_STATE.+slice.+state.+changed )|(ment ac)|(multiple cpu faults)|(system.+state.+changed )|(\[timeout)|(PRM\|1\|D)|(kpr)|(kdp)|(train st.+moving)|(\|lc)|(penalty))"</v>
      </c>
      <c r="AG227" s="182" t="str">
        <f t="shared" si="126"/>
        <v>Shuttle/Test</v>
      </c>
      <c r="AH227" s="78" t="str">
        <f t="shared" si="133"/>
        <v>"%USERPROFILE%\Documents\GitHub\eaglep3\Utilities\RefineRTDCRunTimes.py" --tripid 52-22 --locoid 4001 --swversion DE.1.0.9.0 --startMP 204:3253 --initTime 2017-09-22T03:20:52 --startdatetime 2017-09-22T03:22:52 --delay 72 --endMP 204:1175 --enddatetime 2017-09-22T03:24:23 --enforcementcount 0 &gt;&gt;c:\users\stu\Documents\GitHub\eaglep3-reporting\EC\2017-09-22-refined-times.txt</v>
      </c>
      <c r="AI227" s="96" t="str">
        <f t="shared" si="134"/>
        <v>echo {"issue":{"subject":"","project_id":79,"tracker_id":40,"status_id":1,"priority_id":2,"assigned_to_id":338,"start_date":"2017-09-22","description":"","custom_fields":[{"id":1,"name":"Subdivision","value":"Shuttle/Test"},{"id":4,"name":"Milepost","value":"0.1175"},{"id":17,"name":"Train ID","value":"52-22"},{"id":16,"name":"Locomotive ID","value":"4001"},{"id":130,"name":"Impact","value":""},{"id":150,"name":"Time of Event (Mountain Time)","value":"03:24:23"},{"id":151,"name":"Denver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135"/>
        <v>start /low /b %USERPROFILE%\Documents\GitHub\eaglep3\Utilities\DownloadLogsFromS3.py --loco 4001 --day 2017-09-22</v>
      </c>
      <c r="AN227" s="151" t="str">
        <f t="shared" si="136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09:24:23"},{"id":29,"name":"Sharepoint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137"/>
        <v>https://d0f6bd738d7f1b3e5a7ca70fe4ff75f0.us-east-1.aws.found.io/app/kibana#/discover/Steve-Slow-Train-Analysis-(2080s-and-2083s)?_g=(refreshInterval:(display:Off,pause:!f,section:0,value:0),time:(from:'2017-09-22T02:20:52-0600',mode:absolute,to:'2017-09-22T04:24:23-0600'))&amp;_a=(columns:!('Message%20ID',Summary),filters:!(),index:'emp_*',interval:auto,query:(query_string:(analyze_wildcard:!t,query:'Message%5C+ID:(*)+AND+%22rtdc.l.rtdc.4001%22')),sort:!(Time.ISO8601,asc))</v>
      </c>
    </row>
    <row r="228" spans="1:91" s="20" customFormat="1" x14ac:dyDescent="0.25">
      <c r="A228" s="32" t="s">
        <v>712</v>
      </c>
      <c r="B228" s="7">
        <v>4016</v>
      </c>
      <c r="C228" s="21" t="s">
        <v>196</v>
      </c>
      <c r="D228" s="21" t="s">
        <v>894</v>
      </c>
      <c r="E228" s="13">
        <v>43000.497534722221</v>
      </c>
      <c r="F228" s="13">
        <v>43000.500428240739</v>
      </c>
      <c r="G228" s="7">
        <v>68</v>
      </c>
      <c r="H228" s="21" t="s">
        <v>895</v>
      </c>
      <c r="I228" s="13">
        <v>43000.506481481483</v>
      </c>
      <c r="J228" s="7">
        <v>0</v>
      </c>
      <c r="K228" s="89" t="str">
        <f t="shared" si="115"/>
        <v>4015/4016</v>
      </c>
      <c r="L228" s="185" t="str">
        <f>VLOOKUP(A228,'Trips&amp;Operators'!$C$1:$G$99911,5,FALSE)</f>
        <v>BIRENBAUM THOMAS</v>
      </c>
      <c r="M228" s="6">
        <f t="shared" si="116"/>
        <v>6.0532407442224212E-3</v>
      </c>
      <c r="N228" s="7">
        <f t="shared" si="139"/>
        <v>8.7166666716802865</v>
      </c>
      <c r="O228" s="7"/>
      <c r="P228" s="7"/>
      <c r="Q228" s="22"/>
      <c r="R228" s="174"/>
      <c r="S228" s="221">
        <f t="shared" si="138"/>
        <v>1</v>
      </c>
      <c r="T228" s="174" t="str">
        <f t="shared" si="117"/>
        <v>NorthBound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16" t="str">
        <f t="shared" si="118"/>
        <v>https://d0f6bd738d7f1b3e5a7ca70fe4ff75f0.us-east-1.aws.found.io/app/kibana#/discover/Steve-Slow-Train-Analysis-(2080s-and-2083s)?_g=(refreshInterval:(display:Off,pause:!f,section:0,value:0),time:(from:'2017-09-22T10:56:27-0600',mode:absolute,to:'2017-09-22T13:09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8" s="204" t="str">
        <f>IF(AA228&lt;VLOOKUP(AG228,Variables!$AC$3:$AD$8,2,FALSE),"Y","N")</f>
        <v>Y</v>
      </c>
      <c r="X228" s="204">
        <f t="shared" si="132"/>
        <v>1</v>
      </c>
      <c r="Y228" s="204">
        <f t="shared" si="120"/>
        <v>0.11940000000000001</v>
      </c>
      <c r="Z228" s="204">
        <f t="shared" si="121"/>
        <v>2.4228999999999998</v>
      </c>
      <c r="AA228" s="204">
        <f t="shared" si="122"/>
        <v>2.3034999999999997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 t="shared" si="123"/>
        <v>53</v>
      </c>
      <c r="AE228" s="77" t="str">
        <f t="shared" si="124"/>
        <v>aws s3 cp s3://rtdc.mdm.uploadarchive.raw/RTDC4016/ "%USERPROFILE%\AppData\Local\Temp\OnboardLogs"\RTDC4016\2017-09-22 --exclude "*" --recursive --include "*20170922*" &amp; "%USERPROFILE%\Documents\GitHub\mrs-test-scripts\Headless Mode &amp; Sideloading\WalkAndUnGZ.bat" "%USERPROFILE%\AppData\Local\Temp\OnboardLogs"\RTDC4016\2017-09-22 &amp; aws s3 cp s3://rtdc.mdm.uploadarchive.raw/RTDC4016/ "%USERPROFILE%\AppData\Local\Temp\OnboardLogs"\RTDC4016\2017-09-23 --exclude "*" --recursive --include "*20170923*" &amp; "%USERPROFILE%\Documents\GitHub\mrs-test-scripts\Headless Mode &amp; Sideloading\WalkAndUnGZ.bat" "%USERPROFILE%\AppData\Local\Temp\OnboardLogs"\RTDC4016\2017-09-23</v>
      </c>
      <c r="AF228" s="74" t="str">
        <f t="shared" si="125"/>
        <v>"C:\Program Files (x86)\AstroGrep\AstroGrep.exe" /e /r /s /spath="%USERPROFILE%\AppData\Local\Temp\OnboardLogs" /stypes="app*4016*20170922*" /stext=" 18:.+((SYSTEM_STATE.+slice.+state.+changed )|(ment ac)|(multiple cpu faults)|(system.+state.+changed )|(\[timeout)|(PRM\|1\|D)|(kpr)|(kdp)|(train st.+moving)|(\|lc)|(penalty))"</v>
      </c>
      <c r="AG228" s="182" t="str">
        <f t="shared" si="126"/>
        <v>Shuttle/Test</v>
      </c>
      <c r="AH228" s="78" t="str">
        <f t="shared" si="133"/>
        <v>"%USERPROFILE%\Documents\GitHub\eaglep3\Utilities\RefineRTDCRunTimes.py" --tripid 53-22 --locoid 4016 --swversion DE.1.0.9.0 --startMP 204:1194 --initTime 2017-09-22T11:56:27 --startdatetime 2017-09-22T12:00:37 --delay 68 --endMP 300:24229 --enddatetime 2017-09-22T12:09:20 --enforcementcount 0 &gt;&gt;c:\users\stu\Documents\GitHub\eaglep3-reporting\EC\2017-09-22-refined-times.txt</v>
      </c>
      <c r="AI228" s="96" t="str">
        <f t="shared" si="134"/>
        <v>echo {"issue":{"subject":"","project_id":79,"tracker_id":40,"status_id":1,"priority_id":2,"assigned_to_id":338,"start_date":"2017-09-22","description":"","custom_fields":[{"id":1,"name":"Subdivision","value":"Shuttle/Test"},{"id":4,"name":"Milepost","value":"2.4229"},{"id":17,"name":"Train ID","value":"53-22"},{"id":16,"name":"Locomotive ID","value":"4016"},{"id":130,"name":"Impact","value":""},{"id":150,"name":"Time of Event (Mountain Time)","value":"12:09:20"},{"id":151,"name":"Denver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8" s="47"/>
      <c r="AL228" s="47"/>
      <c r="AM228" s="142" t="str">
        <f t="shared" si="135"/>
        <v>start /low /b %USERPROFILE%\Documents\GitHub\eaglep3\Utilities\DownloadLogsFromS3.py --loco 4016 --day 2017-09-22</v>
      </c>
      <c r="AN228" s="151" t="str">
        <f t="shared" si="136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18:09:20"},{"id":29,"name":"Sharepoint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137"/>
        <v>https://d0f6bd738d7f1b3e5a7ca70fe4ff75f0.us-east-1.aws.found.io/app/kibana#/discover/Steve-Slow-Train-Analysis-(2080s-and-2083s)?_g=(refreshInterval:(display:Off,pause:!f,section:0,value:0),time:(from:'2017-09-22T10:56:27-0600',mode:absolute,to:'2017-09-22T13:09:20-0600'))&amp;_a=(columns:!('Message%20ID',Summary),filters:!(),index:'emp_*',interval:auto,query:(query_string:(analyze_wildcard:!t,query:'Message%5C+ID:(*)+AND+%22rtdc.l.rtdc.4016%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32" t="s">
        <v>746</v>
      </c>
      <c r="B229" s="7">
        <v>4060</v>
      </c>
      <c r="C229" s="21" t="s">
        <v>196</v>
      </c>
      <c r="D229" s="21" t="s">
        <v>896</v>
      </c>
      <c r="E229" s="13">
        <v>43000.634652777779</v>
      </c>
      <c r="F229" s="13">
        <v>43000.636331018519</v>
      </c>
      <c r="G229" s="7">
        <v>54</v>
      </c>
      <c r="H229" s="21" t="s">
        <v>465</v>
      </c>
      <c r="I229" s="13">
        <v>43000.646168981482</v>
      </c>
      <c r="J229" s="7">
        <v>0</v>
      </c>
      <c r="K229" s="89" t="str">
        <f t="shared" si="115"/>
        <v>4059/4060</v>
      </c>
      <c r="L229" s="185" t="str">
        <f>VLOOKUP(A229,'Trips&amp;Operators'!$C$1:$G$99911,5,FALSE)</f>
        <v>LOPES KIMBERLY</v>
      </c>
      <c r="M229" s="6">
        <f t="shared" si="116"/>
        <v>9.8379629635019228E-3</v>
      </c>
      <c r="N229" s="7">
        <f t="shared" si="139"/>
        <v>14.166666667442769</v>
      </c>
      <c r="O229" s="7"/>
      <c r="P229" s="7"/>
      <c r="Q229" s="22"/>
      <c r="R229" s="174"/>
      <c r="S229" s="221">
        <f t="shared" si="138"/>
        <v>1</v>
      </c>
      <c r="T229" s="174" t="str">
        <f t="shared" si="117"/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16" t="str">
        <f t="shared" si="118"/>
        <v>https://d0f6bd738d7f1b3e5a7ca70fe4ff75f0.us-east-1.aws.found.io/app/kibana#/discover/Steve-Slow-Train-Analysis-(2080s-and-2083s)?_g=(refreshInterval:(display:Off,pause:!f,section:0,value:0),time:(from:'2017-09-22T14:13:54-0600',mode:absolute,to:'2017-09-22T16:30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9" s="204" t="str">
        <f>IF(AA229&lt;VLOOKUP(AG229,Variables!$AC$3:$AD$8,2,FALSE),"Y","N")</f>
        <v>Y</v>
      </c>
      <c r="X229" s="204">
        <f t="shared" si="132"/>
        <v>8</v>
      </c>
      <c r="Y229" s="204">
        <f t="shared" si="120"/>
        <v>0.1142</v>
      </c>
      <c r="Z229" s="204">
        <f t="shared" si="121"/>
        <v>2.3346</v>
      </c>
      <c r="AA229" s="204">
        <f t="shared" si="122"/>
        <v>2.2204000000000002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 t="shared" si="123"/>
        <v>61</v>
      </c>
      <c r="AE229" s="77" t="str">
        <f t="shared" si="124"/>
        <v>aws s3 cp s3://rtdc.mdm.uploadarchive.raw/RTDC4060/ "%USERPROFILE%\AppData\Local\Temp\OnboardLogs"\RTDC4060\2017-09-22 --exclude "*" --recursive --include "*20170922*" &amp; "%USERPROFILE%\Documents\GitHub\mrs-test-scripts\Headless Mode &amp; Sideloading\WalkAndUnGZ.bat" "%USERPROFILE%\AppData\Local\Temp\OnboardLogs"\RTDC4060\2017-09-22 &amp; aws s3 cp s3://rtdc.mdm.uploadarchive.raw/RTDC4060/ "%USERPROFILE%\AppData\Local\Temp\OnboardLogs"\RTDC4060\2017-09-23 --exclude "*" --recursive --include "*20170923*" &amp; "%USERPROFILE%\Documents\GitHub\mrs-test-scripts\Headless Mode &amp; Sideloading\WalkAndUnGZ.bat" "%USERPROFILE%\AppData\Local\Temp\OnboardLogs"\RTDC4060\2017-09-23</v>
      </c>
      <c r="AF229" s="74" t="str">
        <f t="shared" si="125"/>
        <v>"C:\Program Files (x86)\AstroGrep\AstroGrep.exe" /e /r /s /spath="%USERPROFILE%\AppData\Local\Temp\OnboardLogs" /stypes="app*4060*20170922*" /stext=" 21:.+((SYSTEM_STATE.+slice.+state.+changed )|(ment ac)|(multiple cpu faults)|(system.+state.+changed )|(\[timeout)|(PRM\|1\|D)|(kpr)|(kdp)|(train st.+moving)|(\|lc)|(penalty))"</v>
      </c>
      <c r="AG229" s="182" t="str">
        <f t="shared" si="126"/>
        <v>Shuttle/Test</v>
      </c>
      <c r="AH229" s="78" t="str">
        <f t="shared" si="133"/>
        <v>"%USERPROFILE%\Documents\GitHub\eaglep3\Utilities\RefineRTDCRunTimes.py" --tripid 61-22 --locoid 4060 --swversion DE.1.0.9.0 --startMP 204:1142 --initTime 2017-09-22T15:13:54 --startdatetime 2017-09-22T15:16:19 --delay 54 --endMP 300:23346 --enddatetime 2017-09-22T15:30:29 --enforcementcount 0 &gt;&gt;c:\users\stu\Documents\GitHub\eaglep3-reporting\EC\2017-09-22-refined-times.txt</v>
      </c>
      <c r="AI229" s="96" t="str">
        <f t="shared" si="134"/>
        <v>echo {"issue":{"subject":"","project_id":79,"tracker_id":40,"status_id":1,"priority_id":2,"assigned_to_id":338,"start_date":"2017-09-22","description":"","custom_fields":[{"id":1,"name":"Subdivision","value":"Shuttle/Test"},{"id":4,"name":"Milepost","value":"2.3346"},{"id":17,"name":"Train ID","value":"61-22"},{"id":16,"name":"Locomotive ID","value":"4060"},{"id":130,"name":"Impact","value":""},{"id":150,"name":"Time of Event (Mountain Time)","value":"15:30:29"},{"id":151,"name":"Denver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9" s="47"/>
      <c r="AL229" s="47"/>
      <c r="AM229" s="142" t="str">
        <f t="shared" si="135"/>
        <v>start /low /b %USERPROFILE%\Documents\GitHub\eaglep3\Utilities\DownloadLogsFromS3.py --loco 4060 --day 2017-09-22</v>
      </c>
      <c r="AN229" s="151" t="str">
        <f t="shared" si="136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21:30:29"},{"id":29,"name":"Sharepoint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137"/>
        <v>https://d0f6bd738d7f1b3e5a7ca70fe4ff75f0.us-east-1.aws.found.io/app/kibana#/discover/Steve-Slow-Train-Analysis-(2080s-and-2083s)?_g=(refreshInterval:(display:Off,pause:!f,section:0,value:0),time:(from:'2017-09-22T14:13:54-0600',mode:absolute,to:'2017-09-22T16:30:29-0600'))&amp;_a=(columns:!('Message%20ID',Summary),filters:!(),index:'emp_*',interval:auto,query:(query_string:(analyze_wildcard:!t,query:'Message%5C+ID:(*)+AND+%22rtdc.l.rtdc.4060%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32" t="s">
        <v>732</v>
      </c>
      <c r="B230" s="7">
        <v>4027</v>
      </c>
      <c r="C230" s="21" t="s">
        <v>196</v>
      </c>
      <c r="D230" s="21" t="s">
        <v>897</v>
      </c>
      <c r="E230" s="13">
        <v>43000.620868055557</v>
      </c>
      <c r="F230" s="13">
        <v>43000.626099537039</v>
      </c>
      <c r="G230" s="7">
        <v>61</v>
      </c>
      <c r="H230" s="21" t="s">
        <v>898</v>
      </c>
      <c r="I230" s="13">
        <v>43000.631145833337</v>
      </c>
      <c r="J230" s="7">
        <v>0</v>
      </c>
      <c r="K230" s="89" t="str">
        <f t="shared" si="115"/>
        <v>4027/4028</v>
      </c>
      <c r="L230" s="185" t="str">
        <f>VLOOKUP(A230,'Trips&amp;Operators'!$C$1:$G$99911,5,FALSE)</f>
        <v>LOPES KIMBERLY</v>
      </c>
      <c r="M230" s="6">
        <f t="shared" si="116"/>
        <v>5.0462962972233072E-3</v>
      </c>
      <c r="N230" s="7">
        <f t="shared" si="139"/>
        <v>7.2666666680015624</v>
      </c>
      <c r="O230" s="7"/>
      <c r="P230" s="7"/>
      <c r="Q230" s="22"/>
      <c r="R230" s="174"/>
      <c r="S230" s="221">
        <f t="shared" si="138"/>
        <v>1</v>
      </c>
      <c r="T230" s="174" t="str">
        <f t="shared" si="117"/>
        <v>Southbound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16" t="str">
        <f t="shared" si="118"/>
        <v>https://d0f6bd738d7f1b3e5a7ca70fe4ff75f0.us-east-1.aws.found.io/app/kibana#/discover/Steve-Slow-Train-Analysis-(2080s-and-2083s)?_g=(refreshInterval:(display:Off,pause:!f,section:0,value:0),time:(from:'2017-09-22T13:54:03-0600',mode:absolute,to:'2017-09-22T16:08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0" s="204" t="str">
        <f>IF(AA230&lt;VLOOKUP(AG230,Variables!$AC$3:$AD$8,2,FALSE),"Y","N")</f>
        <v>Y</v>
      </c>
      <c r="X230" s="204">
        <f t="shared" si="132"/>
        <v>1</v>
      </c>
      <c r="Y230" s="204">
        <f t="shared" si="120"/>
        <v>2.2035999999999998</v>
      </c>
      <c r="Z230" s="204">
        <f t="shared" si="121"/>
        <v>1.3299999999999999E-2</v>
      </c>
      <c r="AA230" s="204">
        <f t="shared" si="122"/>
        <v>2.1902999999999997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 t="shared" si="123"/>
        <v>62</v>
      </c>
      <c r="AE230" s="77" t="str">
        <f t="shared" si="124"/>
        <v>aws s3 cp s3://rtdc.mdm.uploadarchive.raw/RTDC4027/ "%USERPROFILE%\AppData\Local\Temp\OnboardLogs"\RTDC4027\2017-09-22 --exclude "*" --recursive --include "*20170922*" &amp; "%USERPROFILE%\Documents\GitHub\mrs-test-scripts\Headless Mode &amp; Sideloading\WalkAndUnGZ.bat" "%USERPROFILE%\AppData\Local\Temp\OnboardLogs"\RTDC4027\2017-09-22 &amp; 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</v>
      </c>
      <c r="AF230" s="74" t="str">
        <f t="shared" si="125"/>
        <v>"C:\Program Files (x86)\AstroGrep\AstroGrep.exe" /e /r /s /spath="%USERPROFILE%\AppData\Local\Temp\OnboardLogs" /stypes="app*4027*20170922*" /stext=" 21:.+((SYSTEM_STATE.+slice.+state.+changed )|(ment ac)|(multiple cpu faults)|(system.+state.+changed )|(\[timeout)|(PRM\|1\|D)|(kpr)|(kdp)|(train st.+moving)|(\|lc)|(penalty))"</v>
      </c>
      <c r="AG230" s="182" t="str">
        <f t="shared" si="126"/>
        <v>Shuttle/Test</v>
      </c>
      <c r="AH230" s="78" t="str">
        <f t="shared" si="133"/>
        <v>"%USERPROFILE%\Documents\GitHub\eaglep3\Utilities\RefineRTDCRunTimes.py" --tripid 62-22 --locoid 4027 --swversion DE.1.0.9.0 --startMP 300:22036 --initTime 2017-09-22T14:54:03 --startdatetime 2017-09-22T15:01:35 --delay 61 --endMP 204:133 --enddatetime 2017-09-22T15:08:51 --enforcementcount 0 &gt;&gt;c:\users\stu\Documents\GitHub\eaglep3-reporting\EC\2017-09-22-refined-times.txt</v>
      </c>
      <c r="AI230" s="96" t="str">
        <f t="shared" si="134"/>
        <v>echo {"issue":{"subject":"","project_id":79,"tracker_id":40,"status_id":1,"priority_id":2,"assigned_to_id":338,"start_date":"2017-09-22","description":"","custom_fields":[{"id":1,"name":"Subdivision","value":"Shuttle/Test"},{"id":4,"name":"Milepost","value":"0.0133"},{"id":17,"name":"Train ID","value":"62-22"},{"id":16,"name":"Locomotive ID","value":"4027"},{"id":130,"name":"Impact","value":""},{"id":150,"name":"Time of Event (Mountain Time)","value":"15:08:51"},{"id":151,"name":"Denver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0" s="47"/>
      <c r="AL230" s="47"/>
      <c r="AM230" s="142" t="str">
        <f t="shared" si="135"/>
        <v>start /low /b %USERPROFILE%\Documents\GitHub\eaglep3\Utilities\DownloadLogsFromS3.py --loco 4027 --day 2017-09-22</v>
      </c>
      <c r="AN230" s="151" t="str">
        <f t="shared" si="136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21:08:51"},{"id":29,"name":"Sharepoint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137"/>
        <v>https://d0f6bd738d7f1b3e5a7ca70fe4ff75f0.us-east-1.aws.found.io/app/kibana#/discover/Steve-Slow-Train-Analysis-(2080s-and-2083s)?_g=(refreshInterval:(display:Off,pause:!f,section:0,value:0),time:(from:'2017-09-22T13:54:03-0600',mode:absolute,to:'2017-09-22T16:08:51-0600'))&amp;_a=(columns:!('Message%20ID',Summary),filters:!(),index:'emp_*',interval:auto,query:(query_string:(analyze_wildcard:!t,query:'Message%5C+ID:(*)+AND+%22rtdc.l.rtdc.4027%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x14ac:dyDescent="0.25">
      <c r="A231" s="32" t="s">
        <v>718</v>
      </c>
      <c r="B231" s="7">
        <v>4002</v>
      </c>
      <c r="C231" s="21" t="s">
        <v>196</v>
      </c>
      <c r="D231" s="21" t="s">
        <v>899</v>
      </c>
      <c r="E231" s="13">
        <v>43000.533310185187</v>
      </c>
      <c r="F231" s="13">
        <v>43000.535127314812</v>
      </c>
      <c r="G231" s="7">
        <v>73</v>
      </c>
      <c r="H231" s="21" t="s">
        <v>900</v>
      </c>
      <c r="I231" s="13">
        <v>43000.544756944444</v>
      </c>
      <c r="J231" s="7">
        <v>0</v>
      </c>
      <c r="K231" s="89" t="str">
        <f t="shared" si="115"/>
        <v>4001/4002</v>
      </c>
      <c r="L231" s="185" t="str">
        <f>VLOOKUP(A231,'Trips&amp;Operators'!$C$1:$G$99911,5,FALSE)</f>
        <v>NEWELL JAMES</v>
      </c>
      <c r="M231" s="6">
        <f t="shared" si="116"/>
        <v>9.6296296323998831E-3</v>
      </c>
      <c r="N231" s="7">
        <f t="shared" si="139"/>
        <v>13.866666670655832</v>
      </c>
      <c r="O231" s="7"/>
      <c r="P231" s="7"/>
      <c r="Q231" s="22"/>
      <c r="R231" s="174"/>
      <c r="S231" s="221">
        <f t="shared" si="138"/>
        <v>0</v>
      </c>
      <c r="T231" s="174" t="str">
        <f t="shared" si="117"/>
        <v>NorthBound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 t="shared" si="118"/>
        <v>https://d0f6bd738d7f1b3e5a7ca70fe4ff75f0.us-east-1.aws.found.io/app/kibana#/discover/Steve-Slow-Train-Analysis-(2080s-and-2083s)?_g=(refreshInterval:(display:Off,pause:!f,section:0,value:0),time:(from:'2017-09-22T11:47:58-0600',mode:absolute,to:'2017-09-22T14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1" s="204" t="str">
        <f>IF(AA231&lt;VLOOKUP(AG231,Variables!$AC$3:$AD$8,2,FALSE),"Y","N")</f>
        <v>Y</v>
      </c>
      <c r="X231" s="204">
        <f t="shared" si="132"/>
        <v>9</v>
      </c>
      <c r="Y231" s="204">
        <f t="shared" si="120"/>
        <v>0.15010000000000001</v>
      </c>
      <c r="Z231" s="204">
        <f t="shared" si="121"/>
        <v>0.34599999999999997</v>
      </c>
      <c r="AA231" s="204">
        <f t="shared" si="122"/>
        <v>0.19589999999999996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 t="shared" si="123"/>
        <v>71</v>
      </c>
      <c r="AE231" s="77" t="str">
        <f t="shared" si="124"/>
        <v>aws s3 cp s3://rtdc.mdm.uploadarchive.raw/RTDC4002/ "%USERPROFILE%\AppData\Local\Temp\OnboardLogs"\RTDC4002\2017-09-22 --exclude "*" --recursive --include "*20170922*" &amp; "%USERPROFILE%\Documents\GitHub\mrs-test-scripts\Headless Mode &amp; Sideloading\WalkAndUnGZ.bat" "%USERPROFILE%\AppData\Local\Temp\OnboardLogs"\RTDC4002\2017-09-22 &amp; 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</v>
      </c>
      <c r="AF231" s="74" t="str">
        <f t="shared" si="125"/>
        <v>"C:\Program Files (x86)\AstroGrep\AstroGrep.exe" /e /r /s /spath="%USERPROFILE%\AppData\Local\Temp\OnboardLogs" /stypes="app*4002*20170922*" /stext=" 19:.+((SYSTEM_STATE.+slice.+state.+changed )|(ment ac)|(multiple cpu faults)|(system.+state.+changed )|(\[timeout)|(PRM\|1\|D)|(kpr)|(kdp)|(train st.+moving)|(\|lc)|(penalty))"</v>
      </c>
      <c r="AG231" s="182" t="str">
        <f t="shared" si="126"/>
        <v>Shuttle/Test</v>
      </c>
      <c r="AH231" s="78" t="str">
        <f t="shared" si="133"/>
        <v>"%USERPROFILE%\Documents\GitHub\eaglep3\Utilities\RefineRTDCRunTimes.py" --tripid 71-22 --locoid 4002 --swversion DE.1.0.9.0 --startMP 204:1501 --initTime 2017-09-22T12:47:58 --startdatetime 2017-09-22T12:50:35 --delay 73 --endMP 204:3460 --enddatetime 2017-09-22T13:04:27 --enforcementcount 0 &gt;&gt;c:\users\stu\Documents\GitHub\eaglep3-reporting\EC\2017-09-22-refined-times.txt</v>
      </c>
      <c r="AI231" s="96" t="str">
        <f t="shared" si="134"/>
        <v>echo {"issue":{"subject":"","project_id":79,"tracker_id":40,"status_id":1,"priority_id":2,"assigned_to_id":338,"start_date":"2017-09-22","description":"","custom_fields":[{"id":1,"name":"Subdivision","value":"Shuttle/Test"},{"id":4,"name":"Milepost","value":"0.346"},{"id":17,"name":"Train ID","value":"71-22"},{"id":16,"name":"Locomotive ID","value":"4002"},{"id":130,"name":"Impact","value":""},{"id":150,"name":"Time of Event (Mountain Time)","value":"13:04:27"},{"id":151,"name":"Denver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135"/>
        <v>start /low /b %USERPROFILE%\Documents\GitHub\eaglep3\Utilities\DownloadLogsFromS3.py --loco 4002 --day 2017-09-22</v>
      </c>
      <c r="AN231" s="151" t="str">
        <f t="shared" si="136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19:04:27"},{"id":29,"name":"Sharepoint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137"/>
        <v>https://d0f6bd738d7f1b3e5a7ca70fe4ff75f0.us-east-1.aws.found.io/app/kibana#/discover/Steve-Slow-Train-Analysis-(2080s-and-2083s)?_g=(refreshInterval:(display:Off,pause:!f,section:0,value:0),time:(from:'2017-09-22T11:47:58-0600',mode:absolute,to:'2017-09-22T14:04:27-0600'))&amp;_a=(columns:!('Message%20ID',Summary),filters:!(),index:'emp_*',interval:auto,query:(query_string:(analyze_wildcard:!t,query:'Message%5C+ID:(*)+AND+%22rtdc.l.rtdc.4002%22')),sort:!(Time.ISO8601,asc))</v>
      </c>
    </row>
    <row r="232" spans="1:91" s="20" customFormat="1" x14ac:dyDescent="0.25">
      <c r="A232" s="32" t="s">
        <v>718</v>
      </c>
      <c r="B232" s="7">
        <v>4058</v>
      </c>
      <c r="C232" s="21" t="s">
        <v>196</v>
      </c>
      <c r="D232" s="21" t="s">
        <v>901</v>
      </c>
      <c r="E232" s="13">
        <v>43000.687835648147</v>
      </c>
      <c r="F232" s="13">
        <v>43000.696273148147</v>
      </c>
      <c r="G232" s="7">
        <v>72</v>
      </c>
      <c r="H232" s="21" t="s">
        <v>512</v>
      </c>
      <c r="I232" s="13">
        <v>43000.702766203707</v>
      </c>
      <c r="J232" s="7">
        <v>0</v>
      </c>
      <c r="K232" s="89" t="str">
        <f t="shared" si="115"/>
        <v>4057/4058</v>
      </c>
      <c r="L232" s="185" t="str">
        <f>VLOOKUP(A232,'Trips&amp;Operators'!$C$1:$G$99911,5,FALSE)</f>
        <v>NEWELL JAMES</v>
      </c>
      <c r="M232" s="6">
        <f t="shared" si="116"/>
        <v>6.4930555599858053E-3</v>
      </c>
      <c r="N232" s="7">
        <f t="shared" si="139"/>
        <v>9.3500000063795596</v>
      </c>
      <c r="O232" s="7"/>
      <c r="P232" s="7"/>
      <c r="Q232" s="22"/>
      <c r="R232" s="174"/>
      <c r="S232" s="221">
        <f t="shared" si="138"/>
        <v>1</v>
      </c>
      <c r="T232" s="174" t="str">
        <f t="shared" si="117"/>
        <v>NorthBound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16" t="str">
        <f t="shared" si="118"/>
        <v>https://d0f6bd738d7f1b3e5a7ca70fe4ff75f0.us-east-1.aws.found.io/app/kibana#/discover/Steve-Slow-Train-Analysis-(2080s-and-2083s)?_g=(refreshInterval:(display:Off,pause:!f,section:0,value:0),time:(from:'2017-09-22T15:30:29-0600',mode:absolute,to:'2017-09-22T17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2" s="204" t="str">
        <f>IF(AA232&lt;VLOOKUP(AG232,Variables!$AC$3:$AD$8,2,FALSE),"Y","N")</f>
        <v>Y</v>
      </c>
      <c r="X232" s="204">
        <f t="shared" si="132"/>
        <v>0</v>
      </c>
      <c r="Y232" s="204">
        <f t="shared" si="120"/>
        <v>0.1143</v>
      </c>
      <c r="Z232" s="204">
        <f t="shared" si="121"/>
        <v>2.331</v>
      </c>
      <c r="AA232" s="204">
        <f t="shared" si="122"/>
        <v>2.2166999999999999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 t="shared" si="123"/>
        <v>71</v>
      </c>
      <c r="AE232" s="77" t="str">
        <f t="shared" si="124"/>
        <v>aws s3 cp s3://rtdc.mdm.uploadarchive.raw/RTDC4058/ "%USERPROFILE%\AppData\Local\Temp\OnboardLogs"\RTDC4058\2017-09-22 --exclude "*" --recursive --include "*20170922*" &amp; "%USERPROFILE%\Documents\GitHub\mrs-test-scripts\Headless Mode &amp; Sideloading\WalkAndUnGZ.bat" "%USERPROFILE%\AppData\Local\Temp\OnboardLogs"\RTDC4058\2017-09-22 &amp; aws s3 cp s3://rtdc.mdm.uploadarchive.raw/RTDC4058/ "%USERPROFILE%\AppData\Local\Temp\OnboardLogs"\RTDC4058\2017-09-23 --exclude "*" --recursive --include "*20170923*" &amp; "%USERPROFILE%\Documents\GitHub\mrs-test-scripts\Headless Mode &amp; Sideloading\WalkAndUnGZ.bat" "%USERPROFILE%\AppData\Local\Temp\OnboardLogs"\RTDC4058\2017-09-23</v>
      </c>
      <c r="AF232" s="74" t="str">
        <f t="shared" si="125"/>
        <v>"C:\Program Files (x86)\AstroGrep\AstroGrep.exe" /e /r /s /spath="%USERPROFILE%\AppData\Local\Temp\OnboardLogs" /stypes="app*4058*20170922*" /stext=" 22:.+((SYSTEM_STATE.+slice.+state.+changed )|(ment ac)|(multiple cpu faults)|(system.+state.+changed )|(\[timeout)|(PRM\|1\|D)|(kpr)|(kdp)|(train st.+moving)|(\|lc)|(penalty))"</v>
      </c>
      <c r="AG232" s="182" t="str">
        <f t="shared" si="126"/>
        <v>Shuttle/Test</v>
      </c>
      <c r="AH232" s="78" t="str">
        <f t="shared" si="133"/>
        <v>"%USERPROFILE%\Documents\GitHub\eaglep3\Utilities\RefineRTDCRunTimes.py" --tripid 71-22 --locoid 4058 --swversion DE.1.0.9.0 --startMP 204:1143 --initTime 2017-09-22T16:30:29 --startdatetime 2017-09-22T16:42:38 --delay 72 --endMP 300:23310 --enddatetime 2017-09-22T16:51:59 --enforcementcount 0 &gt;&gt;c:\users\stu\Documents\GitHub\eaglep3-reporting\EC\2017-09-22-refined-times.txt</v>
      </c>
      <c r="AI232" s="96" t="str">
        <f t="shared" si="134"/>
        <v>echo {"issue":{"subject":"","project_id":79,"tracker_id":40,"status_id":1,"priority_id":2,"assigned_to_id":338,"start_date":"2017-09-22","description":"","custom_fields":[{"id":1,"name":"Subdivision","value":"Shuttle/Test"},{"id":4,"name":"Milepost","value":"2.331"},{"id":17,"name":"Train ID","value":"71-22"},{"id":16,"name":"Locomotive ID","value":"4058"},{"id":130,"name":"Impact","value":""},{"id":150,"name":"Time of Event (Mountain Time)","value":"16:51:59"},{"id":151,"name":"Denver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2" s="47"/>
      <c r="AL232" s="47"/>
      <c r="AM232" s="142" t="str">
        <f t="shared" si="135"/>
        <v>start /low /b %USERPROFILE%\Documents\GitHub\eaglep3\Utilities\DownloadLogsFromS3.py --loco 4058 --day 2017-09-22</v>
      </c>
      <c r="AN232" s="151" t="str">
        <f t="shared" si="136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22:51:59"},{"id":29,"name":"Sharepoint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137"/>
        <v>https://d0f6bd738d7f1b3e5a7ca70fe4ff75f0.us-east-1.aws.found.io/app/kibana#/discover/Steve-Slow-Train-Analysis-(2080s-and-2083s)?_g=(refreshInterval:(display:Off,pause:!f,section:0,value:0),time:(from:'2017-09-22T15:30:29-0600',mode:absolute,to:'2017-09-22T17:51:59-0600'))&amp;_a=(columns:!('Message%20ID',Summary),filters:!(),index:'emp_*',interval:auto,query:(query_string:(analyze_wildcard:!t,query:'Message%5C+ID:(*)+AND+%22rtdc.l.rtdc.4058%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32" t="s">
        <v>592</v>
      </c>
      <c r="B233" s="7">
        <v>4001</v>
      </c>
      <c r="C233" s="21" t="s">
        <v>196</v>
      </c>
      <c r="D233" s="21" t="s">
        <v>902</v>
      </c>
      <c r="E233" s="13">
        <v>43000.545370370368</v>
      </c>
      <c r="F233" s="13">
        <v>43000.546585648146</v>
      </c>
      <c r="G233" s="7">
        <v>58</v>
      </c>
      <c r="H233" s="21" t="s">
        <v>903</v>
      </c>
      <c r="I233" s="13">
        <v>43000.546724537038</v>
      </c>
      <c r="J233" s="7">
        <v>0</v>
      </c>
      <c r="K233" s="89" t="str">
        <f t="shared" si="115"/>
        <v>4001/4002</v>
      </c>
      <c r="L233" s="185" t="str">
        <f>VLOOKUP(A233,'Trips&amp;Operators'!$C$1:$G$99911,5,FALSE)</f>
        <v>NEWELL JAMES</v>
      </c>
      <c r="M233" s="6">
        <f t="shared" si="116"/>
        <v>1.3888889225199819E-4</v>
      </c>
      <c r="N233" s="7">
        <f t="shared" si="139"/>
        <v>0.20000000484287739</v>
      </c>
      <c r="O233" s="7"/>
      <c r="P233" s="7"/>
      <c r="Q233" s="22"/>
      <c r="R233" s="174"/>
      <c r="S233" s="221">
        <f t="shared" si="138"/>
        <v>0</v>
      </c>
      <c r="T233" s="174" t="str">
        <f t="shared" si="117"/>
        <v>Southbound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6" t="str">
        <f t="shared" si="118"/>
        <v>https://d0f6bd738d7f1b3e5a7ca70fe4ff75f0.us-east-1.aws.found.io/app/kibana#/discover/Steve-Slow-Train-Analysis-(2080s-and-2083s)?_g=(refreshInterval:(display:Off,pause:!f,section:0,value:0),time:(from:'2017-09-22T12:05:20-0600',mode:absolute,to:'2017-09-22T14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3" s="204" t="str">
        <f>IF(AA233&lt;VLOOKUP(AG233,Variables!$AC$3:$AD$8,2,FALSE),"Y","N")</f>
        <v>Y</v>
      </c>
      <c r="X233" s="204">
        <f t="shared" si="132"/>
        <v>1</v>
      </c>
      <c r="Y233" s="204">
        <f t="shared" si="120"/>
        <v>0.31469999999999998</v>
      </c>
      <c r="Z233" s="204">
        <f t="shared" si="121"/>
        <v>0.26719999999999999</v>
      </c>
      <c r="AA233" s="204">
        <f t="shared" si="122"/>
        <v>4.7499999999999987E-2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 t="shared" si="123"/>
        <v>72</v>
      </c>
      <c r="AE233" s="77" t="str">
        <f t="shared" si="124"/>
        <v>aws s3 cp s3://rtdc.mdm.uploadarchive.raw/RTDC4001/ "%USERPROFILE%\AppData\Local\Temp\OnboardLogs"\RTDC4001\2017-09-22 --exclude "*" --recursive --include "*20170922*" &amp; "%USERPROFILE%\Documents\GitHub\mrs-test-scripts\Headless Mode &amp; Sideloading\WalkAndUnGZ.bat" "%USERPROFILE%\AppData\Local\Temp\OnboardLogs"\RTDC4001\2017-09-22 &amp; 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</v>
      </c>
      <c r="AF233" s="74" t="str">
        <f t="shared" si="125"/>
        <v>"C:\Program Files (x86)\AstroGrep\AstroGrep.exe" /e /r /s /spath="%USERPROFILE%\AppData\Local\Temp\OnboardLogs" /stypes="app*4001*20170922*" /stext=" 19:.+((SYSTEM_STATE.+slice.+state.+changed )|(ment ac)|(multiple cpu faults)|(system.+state.+changed )|(\[timeout)|(PRM\|1\|D)|(kpr)|(kdp)|(train st.+moving)|(\|lc)|(penalty))"</v>
      </c>
      <c r="AG233" s="182" t="str">
        <f t="shared" si="126"/>
        <v>Shuttle/Test</v>
      </c>
      <c r="AH233" s="78" t="str">
        <f t="shared" si="133"/>
        <v>"%USERPROFILE%\Documents\GitHub\eaglep3\Utilities\RefineRTDCRunTimes.py" --tripid 72-22 --locoid 4001 --swversion DE.1.0.9.0 --startMP 204:3147 --initTime 2017-09-22T13:05:20 --startdatetime 2017-09-22T13:07:05 --delay 58 --endMP 204:2672 --enddatetime 2017-09-22T13:07:17 --enforcementcount 0 &gt;&gt;c:\users\stu\Documents\GitHub\eaglep3-reporting\EC\2017-09-22-refined-times.txt</v>
      </c>
      <c r="AI233" s="96" t="str">
        <f t="shared" si="134"/>
        <v>echo {"issue":{"subject":"","project_id":79,"tracker_id":40,"status_id":1,"priority_id":2,"assigned_to_id":338,"start_date":"2017-09-22","description":"","custom_fields":[{"id":1,"name":"Subdivision","value":"Shuttle/Test"},{"id":4,"name":"Milepost","value":"0.2672"},{"id":17,"name":"Train ID","value":"72-22"},{"id":16,"name":"Locomotive ID","value":"4001"},{"id":130,"name":"Impact","value":""},{"id":150,"name":"Time of Event (Mountain Time)","value":"13:07:17"},{"id":151,"name":"Denver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3" s="47"/>
      <c r="AL233" s="47"/>
      <c r="AM233" s="142" t="str">
        <f t="shared" si="135"/>
        <v>start /low /b %USERPROFILE%\Documents\GitHub\eaglep3\Utilities\DownloadLogsFromS3.py --loco 4001 --day 2017-09-22</v>
      </c>
      <c r="AN233" s="151" t="str">
        <f t="shared" si="136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19:07:17"},{"id":29,"name":"Sharepoint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137"/>
        <v>https://d0f6bd738d7f1b3e5a7ca70fe4ff75f0.us-east-1.aws.found.io/app/kibana#/discover/Steve-Slow-Train-Analysis-(2080s-and-2083s)?_g=(refreshInterval:(display:Off,pause:!f,section:0,value:0),time:(from:'2017-09-22T12:05:20-0600',mode:absolute,to:'2017-09-22T14:07:17-0600'))&amp;_a=(columns:!('Message%20ID',Summary),filters:!(),index:'emp_*',interval:auto,query:(query_string:(analyze_wildcard:!t,query:'Message%5C+ID:(*)+AND+%22rtdc.l.rtdc.4001%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32" t="s">
        <v>592</v>
      </c>
      <c r="B234" s="7">
        <v>4028</v>
      </c>
      <c r="C234" s="21" t="s">
        <v>196</v>
      </c>
      <c r="D234" s="21" t="s">
        <v>570</v>
      </c>
      <c r="E234" s="13">
        <v>43000.7034375</v>
      </c>
      <c r="F234" s="13">
        <v>43000.795023148145</v>
      </c>
      <c r="G234" s="7">
        <v>78</v>
      </c>
      <c r="H234" s="21" t="s">
        <v>853</v>
      </c>
      <c r="I234" s="13">
        <v>43000.809224537035</v>
      </c>
      <c r="J234" s="7">
        <v>0</v>
      </c>
      <c r="K234" s="89" t="str">
        <f t="shared" si="115"/>
        <v>4027/4028</v>
      </c>
      <c r="L234" s="185" t="str">
        <f>VLOOKUP(A234,'Trips&amp;Operators'!$C$1:$G$99911,5,FALSE)</f>
        <v>NEWELL JAMES</v>
      </c>
      <c r="M234" s="6">
        <f t="shared" si="116"/>
        <v>1.4201388890796807E-2</v>
      </c>
      <c r="N234" s="7">
        <f t="shared" si="139"/>
        <v>20.450000002747402</v>
      </c>
      <c r="O234" s="7"/>
      <c r="P234" s="7"/>
      <c r="Q234" s="22"/>
      <c r="R234" s="174"/>
      <c r="S234" s="221">
        <f t="shared" si="138"/>
        <v>0</v>
      </c>
      <c r="T234" s="174" t="str">
        <f t="shared" si="117"/>
        <v>Southbound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16" t="str">
        <f t="shared" si="118"/>
        <v>https://d0f6bd738d7f1b3e5a7ca70fe4ff75f0.us-east-1.aws.found.io/app/kibana#/discover/Steve-Slow-Train-Analysis-(2080s-and-2083s)?_g=(refreshInterval:(display:Off,pause:!f,section:0,value:0),time:(from:'2017-09-22T15:52:57-0600',mode:absolute,to:'2017-09-22T20:25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4" s="204" t="str">
        <f>IF(AA234&lt;VLOOKUP(AG234,Variables!$AC$3:$AD$8,2,FALSE),"Y","N")</f>
        <v>Y</v>
      </c>
      <c r="X234" s="204">
        <f t="shared" si="132"/>
        <v>0</v>
      </c>
      <c r="Y234" s="204">
        <f t="shared" si="120"/>
        <v>4.3900000000000002E-2</v>
      </c>
      <c r="Z234" s="204">
        <f t="shared" si="121"/>
        <v>4.4400000000000002E-2</v>
      </c>
      <c r="AA234" s="204">
        <f t="shared" si="122"/>
        <v>5.0000000000000044E-4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 t="shared" si="123"/>
        <v>72</v>
      </c>
      <c r="AE234" s="77" t="str">
        <f t="shared" si="124"/>
        <v>aws s3 cp s3://rtdc.mdm.uploadarchive.raw/RTDC4028/ "%USERPROFILE%\AppData\Local\Temp\OnboardLogs"\RTDC4028\2017-09-22 --exclude "*" --recursive --include "*20170922*" &amp; "%USERPROFILE%\Documents\GitHub\mrs-test-scripts\Headless Mode &amp; Sideloading\WalkAndUnGZ.bat" "%USERPROFILE%\AppData\Local\Temp\OnboardLogs"\RTDC4028\2017-09-22 &amp; aws s3 cp s3://rtdc.mdm.uploadarchive.raw/RTDC4028/ "%USERPROFILE%\AppData\Local\Temp\OnboardLogs"\RTDC4028\2017-09-23 --exclude "*" --recursive --include "*20170923*" &amp; "%USERPROFILE%\Documents\GitHub\mrs-test-scripts\Headless Mode &amp; Sideloading\WalkAndUnGZ.bat" "%USERPROFILE%\AppData\Local\Temp\OnboardLogs"\RTDC4028\2017-09-23</v>
      </c>
      <c r="AF234" s="74" t="str">
        <f t="shared" si="125"/>
        <v>"C:\Program Files (x86)\AstroGrep\AstroGrep.exe" /e /r /s /spath="%USERPROFILE%\AppData\Local\Temp\OnboardLogs" /stypes="app*4028*20170923*" /stext=" 01:.+((SYSTEM_STATE.+slice.+state.+changed )|(ment ac)|(multiple cpu faults)|(system.+state.+changed )|(\[timeout)|(PRM\|1\|D)|(kpr)|(kdp)|(train st.+moving)|(\|lc)|(penalty))"</v>
      </c>
      <c r="AG234" s="182" t="str">
        <f t="shared" si="126"/>
        <v>Shuttle/Test</v>
      </c>
      <c r="AH234" s="78" t="str">
        <f t="shared" si="133"/>
        <v>"%USERPROFILE%\Documents\GitHub\eaglep3\Utilities\RefineRTDCRunTimes.py" --tripid 72-22 --locoid 4028 --swversion DE.1.0.9.0 --startMP 204:439 --initTime 2017-09-22T16:52:57 --startdatetime 2017-09-22T19:04:50 --delay 78 --endMP 204:444 --enddatetime 2017-09-22T19:25:17 --enforcementcount 0 &gt;&gt;c:\users\stu\Documents\GitHub\eaglep3-reporting\EC\2017-09-22-refined-times.txt</v>
      </c>
      <c r="AI234" s="96" t="str">
        <f t="shared" si="134"/>
        <v>echo {"issue":{"subject":"","project_id":79,"tracker_id":40,"status_id":1,"priority_id":2,"assigned_to_id":338,"start_date":"2017-09-22","description":"","custom_fields":[{"id":1,"name":"Subdivision","value":"Shuttle/Test"},{"id":4,"name":"Milepost","value":"0.0444"},{"id":17,"name":"Train ID","value":"72-22"},{"id":16,"name":"Locomotive ID","value":"4028"},{"id":130,"name":"Impact","value":""},{"id":150,"name":"Time of Event (Mountain Time)","value":"19:25:17"},{"id":151,"name":"Denver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4" s="47"/>
      <c r="AL234" s="47"/>
      <c r="AM234" s="142" t="str">
        <f t="shared" si="135"/>
        <v>start /low /b %USERPROFILE%\Documents\GitHub\eaglep3\Utilities\DownloadLogsFromS3.py --loco 4028 --day 2017-09-22</v>
      </c>
      <c r="AN234" s="151" t="str">
        <f t="shared" si="136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01:25:17"},{"id":29,"name":"Sharepoint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137"/>
        <v>https://d0f6bd738d7f1b3e5a7ca70fe4ff75f0.us-east-1.aws.found.io/app/kibana#/discover/Steve-Slow-Train-Analysis-(2080s-and-2083s)?_g=(refreshInterval:(display:Off,pause:!f,section:0,value:0),time:(from:'2017-09-22T15:52:57-0600',mode:absolute,to:'2017-09-22T20:25:17-0600'))&amp;_a=(columns:!('Message%20ID',Summary),filters:!(),index:'emp_*',interval:auto,query:(query_string:(analyze_wildcard:!t,query:'Message%5C+ID:(*)+AND+%22rtdc.l.rtdc.4028%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x14ac:dyDescent="0.25">
      <c r="A235" s="32" t="s">
        <v>592</v>
      </c>
      <c r="B235" s="7">
        <v>4027</v>
      </c>
      <c r="C235" s="21" t="s">
        <v>196</v>
      </c>
      <c r="D235" s="21" t="s">
        <v>904</v>
      </c>
      <c r="E235" s="13">
        <v>43000.792488425926</v>
      </c>
      <c r="F235" s="13">
        <v>43000.795023148145</v>
      </c>
      <c r="G235" s="7">
        <v>117</v>
      </c>
      <c r="H235" s="21" t="s">
        <v>905</v>
      </c>
      <c r="I235" s="13">
        <v>43000.809224537035</v>
      </c>
      <c r="J235" s="7">
        <v>0</v>
      </c>
      <c r="K235" s="89" t="str">
        <f t="shared" si="115"/>
        <v>4027/4028</v>
      </c>
      <c r="L235" s="185" t="str">
        <f>VLOOKUP(A235,'Trips&amp;Operators'!$C$1:$G$99911,5,FALSE)</f>
        <v>NEWELL JAMES</v>
      </c>
      <c r="M235" s="6">
        <f t="shared" si="116"/>
        <v>1.4201388890796807E-2</v>
      </c>
      <c r="N235" s="7">
        <f t="shared" si="139"/>
        <v>20.450000002747402</v>
      </c>
      <c r="O235" s="7"/>
      <c r="P235" s="7"/>
      <c r="Q235" s="22"/>
      <c r="R235" s="174"/>
      <c r="S235" s="221">
        <f t="shared" si="138"/>
        <v>1</v>
      </c>
      <c r="T235" s="174" t="str">
        <f t="shared" si="117"/>
        <v>Southbound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 t="shared" si="118"/>
        <v>https://d0f6bd738d7f1b3e5a7ca70fe4ff75f0.us-east-1.aws.found.io/app/kibana#/discover/Steve-Slow-Train-Analysis-(2080s-and-2083s)?_g=(refreshInterval:(display:Off,pause:!f,section:0,value:0),time:(from:'2017-09-22T18:01:11-0600',mode:absolute,to:'2017-09-22T20:25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5" s="204" t="str">
        <f>IF(AA235&lt;VLOOKUP(AG235,Variables!$AC$3:$AD$8,2,FALSE),"Y","N")</f>
        <v>Y</v>
      </c>
      <c r="X235" s="204">
        <f t="shared" si="132"/>
        <v>0</v>
      </c>
      <c r="Y235" s="204">
        <f t="shared" si="120"/>
        <v>5.8611000000000004</v>
      </c>
      <c r="Z235" s="204">
        <f t="shared" si="121"/>
        <v>0.1913</v>
      </c>
      <c r="AA235" s="204">
        <f t="shared" si="122"/>
        <v>5.6698000000000004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 t="shared" si="123"/>
        <v>72</v>
      </c>
      <c r="AE235" s="77" t="str">
        <f t="shared" si="124"/>
        <v>aws s3 cp s3://rtdc.mdm.uploadarchive.raw/RTDC4027/ "%USERPROFILE%\AppData\Local\Temp\OnboardLogs"\RTDC4027\2017-09-22 --exclude "*" --recursive --include "*20170922*" &amp; "%USERPROFILE%\Documents\GitHub\mrs-test-scripts\Headless Mode &amp; Sideloading\WalkAndUnGZ.bat" "%USERPROFILE%\AppData\Local\Temp\OnboardLogs"\RTDC4027\2017-09-22 &amp; 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</v>
      </c>
      <c r="AF235" s="74" t="str">
        <f t="shared" si="125"/>
        <v>"C:\Program Files (x86)\AstroGrep\AstroGrep.exe" /e /r /s /spath="%USERPROFILE%\AppData\Local\Temp\OnboardLogs" /stypes="app*4027*20170923*" /stext=" 01:.+((SYSTEM_STATE.+slice.+state.+changed )|(ment ac)|(multiple cpu faults)|(system.+state.+changed )|(\[timeout)|(PRM\|1\|D)|(kpr)|(kdp)|(train st.+moving)|(\|lc)|(penalty))"</v>
      </c>
      <c r="AG235" s="182" t="str">
        <f t="shared" si="126"/>
        <v>Shuttle/Test</v>
      </c>
      <c r="AH235" s="78" t="str">
        <f t="shared" si="133"/>
        <v>"%USERPROFILE%\Documents\GitHub\eaglep3\Utilities\RefineRTDCRunTimes.py" --tripid 72-22 --locoid 4027 --swversion DE.1.0.9.0 --startMP 300:58611 --initTime 2017-09-22T19:01:11 --startdatetime 2017-09-22T19:04:50 --delay 117 --endMP 204:1913 --enddatetime 2017-09-22T19:25:17 --enforcementcount 0 &gt;&gt;c:\users\stu\Documents\GitHub\eaglep3-reporting\EC\2017-09-22-refined-times.txt</v>
      </c>
      <c r="AI235" s="96" t="str">
        <f t="shared" si="134"/>
        <v>echo {"issue":{"subject":"","project_id":79,"tracker_id":40,"status_id":1,"priority_id":2,"assigned_to_id":338,"start_date":"2017-09-22","description":"","custom_fields":[{"id":1,"name":"Subdivision","value":"Shuttle/Test"},{"id":4,"name":"Milepost","value":"0.1913"},{"id":17,"name":"Train ID","value":"72-22"},{"id":16,"name":"Locomotive ID","value":"4027"},{"id":130,"name":"Impact","value":""},{"id":150,"name":"Time of Event (Mountain Time)","value":"19:25:17"},{"id":151,"name":"Denver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135"/>
        <v>start /low /b %USERPROFILE%\Documents\GitHub\eaglep3\Utilities\DownloadLogsFromS3.py --loco 4027 --day 2017-09-22</v>
      </c>
      <c r="AN235" s="151" t="str">
        <f t="shared" si="136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01:25:17"},{"id":29,"name":"Sharepoint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137"/>
        <v>https://d0f6bd738d7f1b3e5a7ca70fe4ff75f0.us-east-1.aws.found.io/app/kibana#/discover/Steve-Slow-Train-Analysis-(2080s-and-2083s)?_g=(refreshInterval:(display:Off,pause:!f,section:0,value:0),time:(from:'2017-09-22T18:01:11-0600',mode:absolute,to:'2017-09-22T20:25:17-0600'))&amp;_a=(columns:!('Message%20ID',Summary),filters:!(),index:'emp_*',interval:auto,query:(query_string:(analyze_wildcard:!t,query:'Message%5C+ID:(*)+AND+%22rtdc.l.rtdc.4027%22')),sort:!(Time.ISO8601,asc))</v>
      </c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9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9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9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9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9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9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9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9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9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9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9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9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  <row r="283" spans="1:9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  <c r="AO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9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  <c r="AO289"/>
    </row>
    <row r="290" spans="1:9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9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9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9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9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9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9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9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9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9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4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4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4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4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4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4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4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4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4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4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4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4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M316"/>
      <c r="AO316"/>
    </row>
    <row r="317" spans="1:4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4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4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</sheetData>
  <autoFilter ref="A12:AG314">
    <sortState ref="A13:AG314">
      <sortCondition ref="AG13:AG235"/>
      <sortCondition ref="AD13:AD235"/>
    </sortState>
  </autoFilter>
  <sortState ref="A13:AN263">
    <sortCondition ref="AG13:AG263"/>
    <sortCondition ref="AD13:AD263"/>
  </sortState>
  <mergeCells count="1">
    <mergeCell ref="A11:P11"/>
  </mergeCells>
  <conditionalFormatting sqref="W11:W12 W320:X1048576 W13:X235">
    <cfRule type="cellIs" dxfId="10" priority="422" operator="equal">
      <formula>"Y"</formula>
    </cfRule>
  </conditionalFormatting>
  <conditionalFormatting sqref="X320:X1048576 X13:X235">
    <cfRule type="cellIs" dxfId="9" priority="405" operator="greaterThan">
      <formula>1</formula>
    </cfRule>
  </conditionalFormatting>
  <conditionalFormatting sqref="X320:X1048576 X12:X235">
    <cfRule type="cellIs" dxfId="8" priority="402" operator="equal">
      <formula>0</formula>
    </cfRule>
  </conditionalFormatting>
  <conditionalFormatting sqref="A13:S235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AK13:AK235</xm:sqref>
        </x14:dataValidation>
        <x14:dataValidation type="list" allowBlank="1" showInputMessage="1" showErrorMessage="1">
          <x14:formula1>
            <xm:f>'Redmine List Values'!$C$2:$C$15</xm:f>
          </x14:formula1>
          <xm:sqref>AL13:AL235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4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COUNTIF($O$7:$O$247,"=Y")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COUNTA($O$7:$O$247)-O2</f>
        <v>28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5" t="str">
        <f>"Eagle P3 Braking Events - "&amp;TEXT(Variables!$A$2,"YYYY-mm-dd")</f>
        <v>Eagle P3 Braking Events - 2017-09-22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148</v>
      </c>
      <c r="J6" s="114" t="s">
        <v>30</v>
      </c>
      <c r="K6" s="114" t="s">
        <v>29</v>
      </c>
      <c r="L6" s="114" t="s">
        <v>28</v>
      </c>
      <c r="M6" s="99" t="s">
        <v>149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355</v>
      </c>
      <c r="X6" s="181" t="s">
        <v>348</v>
      </c>
      <c r="Y6" s="105" t="s">
        <v>142</v>
      </c>
      <c r="Z6" s="158" t="s">
        <v>143</v>
      </c>
      <c r="AA6" s="106" t="s">
        <v>116</v>
      </c>
      <c r="AB6" s="106" t="s">
        <v>144</v>
      </c>
      <c r="AC6" s="118" t="s">
        <v>168</v>
      </c>
      <c r="AD6" s="107" t="s">
        <v>185</v>
      </c>
      <c r="AE6" s="143" t="s">
        <v>191</v>
      </c>
    </row>
    <row r="7" spans="1:32" s="1" customFormat="1" x14ac:dyDescent="0.25">
      <c r="A7" s="31">
        <v>43000.693090277775</v>
      </c>
      <c r="B7" s="30" t="s">
        <v>437</v>
      </c>
      <c r="C7" s="30" t="s">
        <v>601</v>
      </c>
      <c r="D7" s="30" t="s">
        <v>49</v>
      </c>
      <c r="E7" s="30" t="s">
        <v>186</v>
      </c>
      <c r="F7" s="42">
        <v>0</v>
      </c>
      <c r="G7" s="42">
        <v>182</v>
      </c>
      <c r="H7" s="42">
        <v>30796</v>
      </c>
      <c r="I7" s="42">
        <v>30964</v>
      </c>
      <c r="J7" s="30" t="s">
        <v>187</v>
      </c>
      <c r="K7" s="42">
        <v>30830</v>
      </c>
      <c r="L7" s="131" t="s">
        <v>50</v>
      </c>
      <c r="M7" s="132">
        <f t="shared" ref="M7:M38" si="0">CONVERT((I7-K7)/10000,"mi","ft")*IF(L7="Increasing Mileposts (1)",-1,1)</f>
        <v>-70.751999999999995</v>
      </c>
      <c r="N7" s="133" t="str">
        <f>VLOOKUP(C7,'Trips&amp;Operators'!$C$1:$G$99911,5,FALSE)</f>
        <v>ZEWDU DEREJE</v>
      </c>
      <c r="O7" s="176" t="s">
        <v>179</v>
      </c>
      <c r="P7" s="134" t="s">
        <v>366</v>
      </c>
      <c r="Q7" s="30"/>
      <c r="R7" s="81" t="str">
        <f>VLOOKUP(C7,'Train Runs'!$A$13:$AE$9973,31,0)</f>
        <v>aws s3 cp s3://rtdc.mdm.uploadarchive.raw/RTDC4018/ "%USERPROFILE%\AppData\Local\Temp\OnboardLogs"\RTDC4018\2017-09-22 --exclude "*" --recursive --include "*20170922*" &amp; "%USERPROFILE%\Documents\GitHub\mrs-test-scripts\Headless Mode &amp; Sideloading\WalkAndUnGZ.bat" "%USERPROFILE%\AppData\Local\Temp\OnboardLogs"\RTDC4018\2017-09-22 &amp; aws s3 cp s3://rtdc.mdm.uploadarchive.raw/RTDC4018/ "%USERPROFILE%\AppData\Local\Temp\OnboardLogs"\RTDC4018\2017-09-23 --exclude "*" --recursive --include "*20170923*" &amp; "%USERPROFILE%\Documents\GitHub\mrs-test-scripts\Headless Mode &amp; Sideloading\WalkAndUnGZ.bat" "%USERPROFILE%\AppData\Local\Temp\OnboardLogs"\RTDC4018\2017-09-23</v>
      </c>
      <c r="S7" s="84" t="str">
        <f>VLOOKUP(C7,'Train Runs'!$A$13:$AE$9973,22,0)</f>
        <v>https://d0f6bd738d7f1b3e5a7ca70fe4ff75f0.us-east-1.aws.found.io/app/kibana#/discover/Steve-Slow-Train-Analysis-(2080s-and-2083s)?_g=(refreshInterval:(display:Off,pause:!f,section:0,value:0),time:(from:'2017-09-22T15:24:27-0600',mode:absolute,to:'2017-09-22T18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/stypes="*4018*201709222*" /stext=" 22:.+((SYSTEM_STATE.+slice.+state.+changed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4018</v>
      </c>
      <c r="V7" s="31">
        <f t="shared" ref="V7:V38" si="3">A7-utc_offset/24</f>
        <v>43000.943090277775</v>
      </c>
      <c r="W7" s="45" t="str">
        <f t="shared" ref="W7:W38" si="4">DetSubdiv(C7)</f>
        <v>EC</v>
      </c>
      <c r="X7" s="22">
        <f t="shared" ref="X7:X38" si="5">VALUE(LEFT(C7,LEN(C7)-3))</f>
        <v>203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Arrival","project_id":79,"tracker_id":40,"status_id":1,"priority_id":2,"assigned_to_id":338,"start_date":"2017-09-22","description":"","custom_fields":[{"id":1,"name":"Subdivision","value":"EC"},{"id":4,"name":"Milepost","value":"3.083"},{"id":17,"name":"Train ID","value":"203-22"},{"id":16,"name":"Locomotive ID","value":"4018"},{"id":130,"name":"Impact","value":""},{"id":150,"name":"Time of Event (Mountain Time)","value":"16:38:03"},{"id":151,"name":"Denver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/c/Users/stu/AppData/Local/Temp/OnboardLogs/RTDC4018 --include="*4018*201709222*"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"%USERPROFILE%\AppData\Local\Temp\OnboardLogs"\RTDC4018\*4018*201709222* &gt;&gt; 2017-09-22-SliceDisagreementCheck.txt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4018 --day 2017-09-22</v>
      </c>
    </row>
    <row r="8" spans="1:32" s="1" customFormat="1" x14ac:dyDescent="0.25">
      <c r="A8" s="31">
        <v>43000.71402777778</v>
      </c>
      <c r="B8" s="30" t="s">
        <v>479</v>
      </c>
      <c r="C8" s="30" t="s">
        <v>603</v>
      </c>
      <c r="D8" s="30" t="s">
        <v>49</v>
      </c>
      <c r="E8" s="30" t="s">
        <v>186</v>
      </c>
      <c r="F8" s="42">
        <v>390</v>
      </c>
      <c r="G8" s="42">
        <v>440</v>
      </c>
      <c r="H8" s="42">
        <v>32911</v>
      </c>
      <c r="I8" s="42">
        <v>33879</v>
      </c>
      <c r="J8" s="30" t="s">
        <v>187</v>
      </c>
      <c r="K8" s="42">
        <v>33137</v>
      </c>
      <c r="L8" s="131" t="s">
        <v>50</v>
      </c>
      <c r="M8" s="132">
        <f t="shared" si="0"/>
        <v>-391.77600000000001</v>
      </c>
      <c r="N8" s="133" t="str">
        <f>VLOOKUP(C8,'Trips&amp;Operators'!$C$1:$G$99911,5,FALSE)</f>
        <v>DELGADO DIANAH</v>
      </c>
      <c r="O8" s="176" t="s">
        <v>179</v>
      </c>
      <c r="P8" s="134" t="s">
        <v>366</v>
      </c>
      <c r="Q8" s="30"/>
      <c r="R8" s="81" t="str">
        <f>VLOOKUP(C8,'Train Runs'!$A$13:$AE$9973,31,0)</f>
        <v>aws s3 cp s3://rtdc.mdm.uploadarchive.raw/RTDC4002/ "%USERPROFILE%\AppData\Local\Temp\OnboardLogs"\RTDC4002\2017-09-22 --exclude "*" --recursive --include "*20170922*" &amp; "%USERPROFILE%\Documents\GitHub\mrs-test-scripts\Headless Mode &amp; Sideloading\WalkAndUnGZ.bat" "%USERPROFILE%\AppData\Local\Temp\OnboardLogs"\RTDC4002\2017-09-22 &amp; 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</v>
      </c>
      <c r="S8" s="84" t="str">
        <f>VLOOKUP(C8,'Train Runs'!$A$13:$AE$9973,22,0)</f>
        <v>https://d0f6bd738d7f1b3e5a7ca70fe4ff75f0.us-east-1.aws.found.io/app/kibana#/discover/Steve-Slow-Train-Analysis-(2080s-and-2083s)?_g=(refreshInterval:(display:Off,pause:!f,section:0,value:0),time:(from:'2017-09-22T15:51:29-0600',mode:absolute,to:'2017-09-22T18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8" s="86" t="str">
        <f t="shared" si="1"/>
        <v>"C:\Program Files (x86)\AstroGrep\AstroGrep.exe" /e /r /s /spath="%USERPROFILE%\AppData\Local\Temp\OnboardLogs" /stypes="*4002*201709222*" /stext=" 23:.+((SYSTEM_STATE.+slice.+state.+changed )|(ment ac)|(multiple cpu faults)|(system.+state.+changed )|(\[timeout)|(PRM\|1\|D)|(kpr)|(kdp)|(train st.+moving)|(\|lc)|(penalty))"</v>
      </c>
      <c r="U8" s="9" t="str">
        <f t="shared" si="2"/>
        <v>4002</v>
      </c>
      <c r="V8" s="31">
        <f t="shared" si="3"/>
        <v>43000.96402777778</v>
      </c>
      <c r="W8" s="45" t="str">
        <f t="shared" si="4"/>
        <v>EC</v>
      </c>
      <c r="X8" s="22">
        <f t="shared" si="5"/>
        <v>207</v>
      </c>
      <c r="Y8" s="96" t="str">
        <f t="shared" si="6"/>
        <v>echo {"issue":{"subject":"Early Arrival","project_id":79,"tracker_id":40,"status_id":1,"priority_id":2,"assigned_to_id":338,"start_date":"2017-09-22","description":"","custom_fields":[{"id":1,"name":"Subdivision","value":"EC"},{"id":4,"name":"Milepost","value":"3.3137"},{"id":17,"name":"Train ID","value":"207-22"},{"id":16,"name":"Locomotive ID","value":"4002"},{"id":130,"name":"Impact","value":""},{"id":150,"name":"Time of Event (Mountain Time)","value":"17:08:12"},{"id":151,"name":"Denver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/c/Users/stu/AppData/Local/Temp/OnboardLogs/RTDC4002 --include="*4002*201709222*"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"%USERPROFILE%\AppData\Local\Temp\OnboardLogs"\RTDC4002\*4002*201709222* &gt;&gt; 2017-09-22-SliceDisagreementCheck.txt</v>
      </c>
      <c r="AE8" s="145" t="str">
        <f t="shared" ref="AE8:AE38" si="9">"start /low /b "&amp;dls3logs&amp;" --loco "&amp;U8&amp;" --day "&amp;TEXT(V8,"YYYY-MM-DD")</f>
        <v>start /low /b %USERPROFILE%\Documents\GitHub\eaglep3\Utilities\DownloadLogsFromS3.py --loco 4002 --day 2017-09-22</v>
      </c>
    </row>
    <row r="9" spans="1:32" s="1" customFormat="1" x14ac:dyDescent="0.25">
      <c r="A9" s="31">
        <v>43000.415254629632</v>
      </c>
      <c r="B9" s="30" t="s">
        <v>470</v>
      </c>
      <c r="C9" s="30" t="s">
        <v>590</v>
      </c>
      <c r="D9" s="30" t="s">
        <v>49</v>
      </c>
      <c r="E9" s="30" t="s">
        <v>186</v>
      </c>
      <c r="F9" s="42">
        <v>270</v>
      </c>
      <c r="G9" s="42">
        <v>341</v>
      </c>
      <c r="H9" s="42">
        <v>35933</v>
      </c>
      <c r="I9" s="42">
        <v>34979</v>
      </c>
      <c r="J9" s="30" t="s">
        <v>187</v>
      </c>
      <c r="K9" s="42">
        <v>33257</v>
      </c>
      <c r="L9" s="131" t="s">
        <v>51</v>
      </c>
      <c r="M9" s="132">
        <f t="shared" si="0"/>
        <v>909.21600000000001</v>
      </c>
      <c r="N9" s="133" t="str">
        <f>VLOOKUP(C9,'Trips&amp;Operators'!$C$1:$G$99911,5,FALSE)</f>
        <v>YORK EDGAR</v>
      </c>
      <c r="O9" s="176" t="s">
        <v>179</v>
      </c>
      <c r="P9" s="134" t="s">
        <v>366</v>
      </c>
      <c r="Q9" s="30"/>
      <c r="R9" s="81" t="str">
        <f>VLOOKUP(C9,'Train Runs'!$A$13:$AE$9973,31,0)</f>
        <v>aws s3 cp s3://rtdc.mdm.uploadarchive.raw/RTDC4063/ "%USERPROFILE%\AppData\Local\Temp\OnboardLogs"\RTDC4063\2017-09-22 --exclude "*" --recursive --include "*20170922*" &amp; "%USERPROFILE%\Documents\GitHub\mrs-test-scripts\Headless Mode &amp; Sideloading\WalkAndUnGZ.bat" "%USERPROFILE%\AppData\Local\Temp\OnboardLogs"\RTDC4063\2017-09-22 &amp; aws s3 cp s3://rtdc.mdm.uploadarchive.raw/RTDC4063/ "%USERPROFILE%\AppData\Local\Temp\OnboardLogs"\RTDC4063\2017-09-23 --exclude "*" --recursive --include "*20170923*" &amp; "%USERPROFILE%\Documents\GitHub\mrs-test-scripts\Headless Mode &amp; Sideloading\WalkAndUnGZ.bat" "%USERPROFILE%\AppData\Local\Temp\OnboardLogs"\RTDC4063\2017-09-23</v>
      </c>
      <c r="S9" s="84" t="str">
        <f>VLOOKUP(C9,'Train Runs'!$A$13:$AE$9973,22,0)</f>
        <v>https://d0f6bd738d7f1b3e5a7ca70fe4ff75f0.us-east-1.aws.found.io/app/kibana#/discover/Steve-Slow-Train-Analysis-(2080s-and-2083s)?_g=(refreshInterval:(display:Off,pause:!f,section:0,value:0),time:(from:'2017-09-22T08:25:32-0600',mode:absolute,to:'2017-09-22T11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9" s="86" t="str">
        <f t="shared" si="1"/>
        <v>"C:\Program Files (x86)\AstroGrep\AstroGrep.exe" /e /r /s /spath="%USERPROFILE%\AppData\Local\Temp\OnboardLogs" /stypes="*4063*201709221*" /stext=" 15:.+((SYSTEM_STATE.+slice.+state.+changed )|(ment ac)|(multiple cpu faults)|(system.+state.+changed )|(\[timeout)|(PRM\|1\|D)|(kpr)|(kdp)|(train st.+moving)|(\|lc)|(penalty))"</v>
      </c>
      <c r="U9" s="9" t="str">
        <f t="shared" si="2"/>
        <v>4063</v>
      </c>
      <c r="V9" s="31">
        <f t="shared" si="3"/>
        <v>43000.665254629632</v>
      </c>
      <c r="W9" s="45" t="str">
        <f t="shared" si="4"/>
        <v>EC</v>
      </c>
      <c r="X9" s="22">
        <f t="shared" si="5"/>
        <v>140</v>
      </c>
      <c r="Y9" s="96" t="str">
        <f t="shared" si="6"/>
        <v>echo {"issue":{"subject":"Early Arrival","project_id":79,"tracker_id":40,"status_id":1,"priority_id":2,"assigned_to_id":338,"start_date":"2017-09-22","description":"","custom_fields":[{"id":1,"name":"Subdivision","value":"EC"},{"id":4,"name":"Milepost","value":"3.3257"},{"id":17,"name":"Train ID","value":"140-22"},{"id":16,"name":"Locomotive ID","value":"4063"},{"id":130,"name":"Impact","value":""},{"id":150,"name":"Time of Event (Mountain Time)","value":"09:57:58"},{"id":151,"name":"Denver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/c/Users/stu/AppData/Local/Temp/OnboardLogs/RTDC4063 --include="*4063*201709221*"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"%USERPROFILE%\AppData\Local\Temp\OnboardLogs"\RTDC4063\*4063*201709221* &gt;&gt; 2017-09-22-SliceDisagreementCheck.txt</v>
      </c>
      <c r="AE9" s="145" t="str">
        <f t="shared" si="9"/>
        <v>start /low /b %USERPROFILE%\Documents\GitHub\eaglep3\Utilities\DownloadLogsFromS3.py --loco 4063 --day 2017-09-22</v>
      </c>
    </row>
    <row r="10" spans="1:32" s="1" customFormat="1" x14ac:dyDescent="0.25">
      <c r="A10" s="31">
        <v>43000.531111111108</v>
      </c>
      <c r="B10" s="30" t="s">
        <v>454</v>
      </c>
      <c r="C10" s="30" t="s">
        <v>591</v>
      </c>
      <c r="D10" s="30" t="s">
        <v>49</v>
      </c>
      <c r="E10" s="30" t="s">
        <v>186</v>
      </c>
      <c r="F10" s="42">
        <v>420</v>
      </c>
      <c r="G10" s="42">
        <v>518</v>
      </c>
      <c r="H10" s="42">
        <v>62267</v>
      </c>
      <c r="I10" s="42">
        <v>63604</v>
      </c>
      <c r="J10" s="30" t="s">
        <v>187</v>
      </c>
      <c r="K10" s="42">
        <v>63069</v>
      </c>
      <c r="L10" s="131" t="s">
        <v>50</v>
      </c>
      <c r="M10" s="132">
        <f t="shared" si="0"/>
        <v>-282.48</v>
      </c>
      <c r="N10" s="133" t="str">
        <f>VLOOKUP(C10,'Trips&amp;Operators'!$C$1:$G$99911,5,FALSE)</f>
        <v>BADERTSCHER DIANE</v>
      </c>
      <c r="O10" s="176" t="s">
        <v>179</v>
      </c>
      <c r="P10" s="134" t="s">
        <v>366</v>
      </c>
      <c r="Q10" s="30"/>
      <c r="R10" s="81" t="str">
        <f>VLOOKUP(C10,'Train Runs'!$A$13:$AE$9973,31,0)</f>
        <v>aws s3 cp s3://rtdc.mdm.uploadarchive.raw/RTDC4044/ "%USERPROFILE%\AppData\Local\Temp\OnboardLogs"\RTDC4044\2017-09-22 --exclude "*" --recursive --include "*20170922*" &amp; "%USERPROFILE%\Documents\GitHub\mrs-test-scripts\Headless Mode &amp; Sideloading\WalkAndUnGZ.bat" "%USERPROFILE%\AppData\Local\Temp\OnboardLogs"\RTDC4044\2017-09-22 &amp; aws s3 cp s3://rtdc.mdm.uploadarchive.raw/RTDC4044/ "%USERPROFILE%\AppData\Local\Temp\OnboardLogs"\RTDC4044\2017-09-23 --exclude "*" --recursive --include "*20170923*" &amp; "%USERPROFILE%\Documents\GitHub\mrs-test-scripts\Headless Mode &amp; Sideloading\WalkAndUnGZ.bat" "%USERPROFILE%\AppData\Local\Temp\OnboardLogs"\RTDC4044\2017-09-23</v>
      </c>
      <c r="S10" s="84" t="str">
        <f>VLOOKUP(C10,'Train Runs'!$A$13:$AE$9973,22,0)</f>
        <v>https://d0f6bd738d7f1b3e5a7ca70fe4ff75f0.us-east-1.aws.found.io/app/kibana#/discover/Steve-Slow-Train-Analysis-(2080s-and-2083s)?_g=(refreshInterval:(display:Off,pause:!f,section:0,value:0),time:(from:'2017-09-22T11:24:42-0600',mode:absolute,to:'2017-09-22T14:10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0" s="86" t="str">
        <f t="shared" si="1"/>
        <v>"C:\Program Files (x86)\AstroGrep\AstroGrep.exe" /e /r /s /spath="%USERPROFILE%\AppData\Local\Temp\OnboardLogs" /stypes="*4044*201709221*" /stext=" 18:.+((SYSTEM_STATE.+slice.+state.+changed )|(ment ac)|(multiple cpu faults)|(system.+state.+changed )|(\[timeout)|(PRM\|1\|D)|(kpr)|(kdp)|(train st.+moving)|(\|lc)|(penalty))"</v>
      </c>
      <c r="U10" s="9" t="str">
        <f t="shared" si="2"/>
        <v>4044</v>
      </c>
      <c r="V10" s="31">
        <f t="shared" si="3"/>
        <v>43000.781111111108</v>
      </c>
      <c r="W10" s="45" t="str">
        <f t="shared" si="4"/>
        <v>EC</v>
      </c>
      <c r="X10" s="22">
        <f t="shared" si="5"/>
        <v>171</v>
      </c>
      <c r="Y10" s="96" t="str">
        <f t="shared" si="6"/>
        <v>echo {"issue":{"subject":"Early Arrival","project_id":79,"tracker_id":40,"status_id":1,"priority_id":2,"assigned_to_id":338,"start_date":"2017-09-22","description":"","custom_fields":[{"id":1,"name":"Subdivision","value":"EC"},{"id":4,"name":"Milepost","value":"6.3069"},{"id":17,"name":"Train ID","value":"171-22"},{"id":16,"name":"Locomotive ID","value":"4044"},{"id":130,"name":"Impact","value":""},{"id":150,"name":"Time of Event (Mountain Time)","value":"12:44:48"},{"id":151,"name":"Denver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/c/Users/stu/AppData/Local/Temp/OnboardLogs/RTDC4044 --include="*4044*201709221*"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"%USERPROFILE%\AppData\Local\Temp\OnboardLogs"\RTDC4044\*4044*201709221* &gt;&gt; 2017-09-22-SliceDisagreementCheck.txt</v>
      </c>
      <c r="AE10" s="145" t="str">
        <f t="shared" si="9"/>
        <v>start /low /b %USERPROFILE%\Documents\GitHub\eaglep3\Utilities\DownloadLogsFromS3.py --loco 4044 --day 2017-09-22</v>
      </c>
    </row>
    <row r="11" spans="1:32" s="1" customFormat="1" x14ac:dyDescent="0.25">
      <c r="A11" s="31">
        <v>43001.076388888891</v>
      </c>
      <c r="B11" s="30" t="s">
        <v>519</v>
      </c>
      <c r="C11" s="30" t="s">
        <v>608</v>
      </c>
      <c r="D11" s="30" t="s">
        <v>49</v>
      </c>
      <c r="E11" s="30" t="s">
        <v>186</v>
      </c>
      <c r="F11" s="42">
        <v>80</v>
      </c>
      <c r="G11" s="42">
        <v>130</v>
      </c>
      <c r="H11" s="42">
        <v>63913</v>
      </c>
      <c r="I11" s="42">
        <v>63731</v>
      </c>
      <c r="J11" s="30" t="s">
        <v>187</v>
      </c>
      <c r="K11" s="42">
        <v>63309</v>
      </c>
      <c r="L11" s="131" t="s">
        <v>51</v>
      </c>
      <c r="M11" s="132">
        <f t="shared" si="0"/>
        <v>222.816</v>
      </c>
      <c r="N11" s="133" t="str">
        <f>VLOOKUP(C11,'Trips&amp;Operators'!$C$1:$G$99911,5,FALSE)</f>
        <v>ELBAUM MIKE</v>
      </c>
      <c r="O11" s="176" t="s">
        <v>179</v>
      </c>
      <c r="P11" s="134" t="s">
        <v>366</v>
      </c>
      <c r="Q11" s="30"/>
      <c r="R11" s="81" t="str">
        <f>VLOOKUP(C11,'Train Runs'!$A$13:$AE$9973,31,0)</f>
        <v>aws s3 cp s3://rtdc.mdm.uploadarchive.raw/RTDC4031/ "%USERPROFILE%\AppData\Local\Temp\OnboardLogs"\RTDC4031\2017-09-23 --exclude "*" --recursive --include "*20170923*" &amp; "%USERPROFILE%\Documents\GitHub\mrs-test-scripts\Headless Mode &amp; Sideloading\WalkAndUnGZ.bat" "%USERPROFILE%\AppData\Local\Temp\OnboardLogs"\RTDC4031\2017-09-23 &amp; aws s3 cp s3://rtdc.mdm.uploadarchive.raw/RTDC4031/ "%USERPROFILE%\AppData\Local\Temp\OnboardLogs"\RTDC4031\2017-09-24 --exclude "*" --recursive --include "*20170924*" &amp; "%USERPROFILE%\Documents\GitHub\mrs-test-scripts\Headless Mode &amp; Sideloading\WalkAndUnGZ.bat" "%USERPROFILE%\AppData\Local\Temp\OnboardLogs"\RTDC4031\2017-09-24</v>
      </c>
      <c r="S11" s="84" t="str">
        <f>VLOOKUP(C11,'Train Runs'!$A$13:$AE$9973,22,0)</f>
        <v>https://d0f6bd738d7f1b3e5a7ca70fe4ff75f0.us-east-1.aws.found.io/app/kibana#/discover/Steve-Slow-Train-Analysis-(2080s-and-2083s)?_g=(refreshInterval:(display:Off,pause:!f,section:0,value:0),time:(from:'2017-09-23T00:05:58-0600',mode:absolute,to:'2017-09-23T03:04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1" s="86" t="str">
        <f t="shared" si="1"/>
        <v>"C:\Program Files (x86)\AstroGrep\AstroGrep.exe" /e /r /s /spath="%USERPROFILE%\AppData\Local\Temp\OnboardLogs" /stypes="*4031*201709230*" /stext=" 07:.+((SYSTEM_STATE.+slice.+state.+changed )|(ment ac)|(multiple cpu faults)|(system.+state.+changed )|(\[timeout)|(PRM\|1\|D)|(kpr)|(kdp)|(train st.+moving)|(\|lc)|(penalty))"</v>
      </c>
      <c r="U11" s="9" t="str">
        <f t="shared" si="2"/>
        <v>4031</v>
      </c>
      <c r="V11" s="31">
        <f t="shared" si="3"/>
        <v>43001.326388888891</v>
      </c>
      <c r="W11" s="45" t="str">
        <f t="shared" si="4"/>
        <v>EC</v>
      </c>
      <c r="X11" s="22">
        <f t="shared" si="5"/>
        <v>244</v>
      </c>
      <c r="Y11" s="96" t="str">
        <f t="shared" si="6"/>
        <v>echo {"issue":{"subject":"Early Arrival","project_id":79,"tracker_id":40,"status_id":1,"priority_id":2,"assigned_to_id":338,"start_date":"2017-09-23","description":"","custom_fields":[{"id":1,"name":"Subdivision","value":"EC"},{"id":4,"name":"Milepost","value":"6.3309"},{"id":17,"name":"Train ID","value":"244-22"},{"id":16,"name":"Locomotive ID","value":"4031"},{"id":130,"name":"Impact","value":""},{"id":150,"name":"Time of Event (Mountain Time)","value":"01:50:00"},{"id":151,"name":"Denver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/c/Users/stu/AppData/Local/Temp/OnboardLogs/RTDC4031 --include="*4031*201709230*"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"%USERPROFILE%\AppData\Local\Temp\OnboardLogs"\RTDC4031\*4031*201709230* &gt;&gt; 2017-09-22-SliceDisagreementCheck.txt</v>
      </c>
      <c r="AE11" s="145" t="str">
        <f t="shared" si="9"/>
        <v>start /low /b %USERPROFILE%\Documents\GitHub\eaglep3\Utilities\DownloadLogsFromS3.py --loco 4031 --day 2017-09-23</v>
      </c>
    </row>
    <row r="12" spans="1:32" x14ac:dyDescent="0.25">
      <c r="A12" s="31">
        <v>43000.596759259257</v>
      </c>
      <c r="B12" s="30" t="s">
        <v>439</v>
      </c>
      <c r="C12" s="30" t="s">
        <v>594</v>
      </c>
      <c r="D12" s="30" t="s">
        <v>49</v>
      </c>
      <c r="E12" s="30" t="s">
        <v>186</v>
      </c>
      <c r="F12" s="42">
        <v>120</v>
      </c>
      <c r="G12" s="42">
        <v>401</v>
      </c>
      <c r="H12" s="42">
        <v>65467</v>
      </c>
      <c r="I12" s="42">
        <v>64537</v>
      </c>
      <c r="J12" s="30" t="s">
        <v>187</v>
      </c>
      <c r="K12" s="42">
        <v>63309</v>
      </c>
      <c r="L12" s="131" t="s">
        <v>51</v>
      </c>
      <c r="M12" s="132">
        <f t="shared" si="0"/>
        <v>648.38400000000001</v>
      </c>
      <c r="N12" s="133" t="str">
        <f>VLOOKUP(C12,'Trips&amp;Operators'!$C$1:$G$99911,5,FALSE)</f>
        <v>SAFIEF AEIMEN</v>
      </c>
      <c r="O12" s="176" t="s">
        <v>179</v>
      </c>
      <c r="P12" s="134" t="s">
        <v>366</v>
      </c>
      <c r="Q12" s="30"/>
      <c r="R12" s="81" t="str">
        <f>VLOOKUP(C12,'Train Runs'!$A$13:$AE$9973,31,0)</f>
        <v>aws s3 cp s3://rtdc.mdm.uploadarchive.raw/RTDC4017/ "%USERPROFILE%\AppData\Local\Temp\OnboardLogs"\RTDC4017\2017-09-22 --exclude "*" --recursive --include "*20170922*" &amp; "%USERPROFILE%\Documents\GitHub\mrs-test-scripts\Headless Mode &amp; Sideloading\WalkAndUnGZ.bat" "%USERPROFILE%\AppData\Local\Temp\OnboardLogs"\RTDC4017\2017-09-22 &amp; aws s3 cp s3://rtdc.mdm.uploadarchive.raw/RTDC4017/ "%USERPROFILE%\AppData\Local\Temp\OnboardLogs"\RTDC4017\2017-09-23 --exclude "*" --recursive --include "*20170923*" &amp; "%USERPROFILE%\Documents\GitHub\mrs-test-scripts\Headless Mode &amp; Sideloading\WalkAndUnGZ.bat" "%USERPROFILE%\AppData\Local\Temp\OnboardLogs"\RTDC4017\2017-09-23</v>
      </c>
      <c r="S12" s="84" t="str">
        <f>VLOOKUP(C12,'Train Runs'!$A$13:$AE$9973,22,0)</f>
        <v>https://d0f6bd738d7f1b3e5a7ca70fe4ff75f0.us-east-1.aws.found.io/app/kibana#/discover/Steve-Slow-Train-Analysis-(2080s-and-2083s)?_g=(refreshInterval:(display:Off,pause:!f,section:0,value:0),time:(from:'2017-09-22T12:41:11-0600',mode:absolute,to:'2017-09-22T15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2" s="86" t="str">
        <f t="shared" si="1"/>
        <v>"C:\Program Files (x86)\AstroGrep\AstroGrep.exe" /e /r /s /spath="%USERPROFILE%\AppData\Local\Temp\OnboardLogs" /stypes="*4017*201709222*" /stext=" 20:.+((SYSTEM_STATE.+slice.+state.+changed )|(ment ac)|(multiple cpu faults)|(system.+state.+changed )|(\[timeout)|(PRM\|1\|D)|(kpr)|(kdp)|(train st.+moving)|(\|lc)|(penalty))"</v>
      </c>
      <c r="U12" s="9" t="str">
        <f t="shared" si="2"/>
        <v>4017</v>
      </c>
      <c r="V12" s="31">
        <f t="shared" si="3"/>
        <v>43000.846759259257</v>
      </c>
      <c r="W12" s="45" t="str">
        <f t="shared" si="4"/>
        <v>EC</v>
      </c>
      <c r="X12" s="22">
        <f t="shared" si="5"/>
        <v>176</v>
      </c>
      <c r="Y12" s="96" t="str">
        <f t="shared" si="6"/>
        <v>echo {"issue":{"subject":"Early Arrival","project_id":79,"tracker_id":40,"status_id":1,"priority_id":2,"assigned_to_id":338,"start_date":"2017-09-22","description":"","custom_fields":[{"id":1,"name":"Subdivision","value":"EC"},{"id":4,"name":"Milepost","value":"6.3309"},{"id":17,"name":"Train ID","value":"176-22"},{"id":16,"name":"Locomotive ID","value":"4017"},{"id":130,"name":"Impact","value":""},{"id":150,"name":"Time of Event (Mountain Time)","value":"14:19:20"},{"id":151,"name":"Denver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/c/Users/stu/AppData/Local/Temp/OnboardLogs/RTDC4017 --include="*4017*201709222*"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"%USERPROFILE%\AppData\Local\Temp\OnboardLogs"\RTDC4017\*4017*201709222* &gt;&gt; 2017-09-22-SliceDisagreementCheck.txt</v>
      </c>
      <c r="AE12" s="145" t="str">
        <f t="shared" si="9"/>
        <v>start /low /b %USERPROFILE%\Documents\GitHub\eaglep3\Utilities\DownloadLogsFromS3.py --loco 4017 --day 2017-09-22</v>
      </c>
      <c r="AF12" s="1"/>
    </row>
    <row r="13" spans="1:32" x14ac:dyDescent="0.25">
      <c r="A13" s="31">
        <v>43000.295324074075</v>
      </c>
      <c r="B13" s="30" t="s">
        <v>473</v>
      </c>
      <c r="C13" s="30" t="s">
        <v>577</v>
      </c>
      <c r="D13" s="30" t="s">
        <v>49</v>
      </c>
      <c r="E13" s="30" t="s">
        <v>194</v>
      </c>
      <c r="F13" s="42">
        <v>400</v>
      </c>
      <c r="G13" s="42">
        <v>635</v>
      </c>
      <c r="H13" s="42">
        <v>114978</v>
      </c>
      <c r="I13" s="42">
        <v>116891</v>
      </c>
      <c r="J13" s="30" t="s">
        <v>195</v>
      </c>
      <c r="K13" s="42">
        <v>116838</v>
      </c>
      <c r="L13" s="131" t="s">
        <v>50</v>
      </c>
      <c r="M13" s="132">
        <f t="shared" si="0"/>
        <v>-27.984000000000002</v>
      </c>
      <c r="N13" s="133" t="str">
        <f>VLOOKUP(C13,'Trips&amp;Operators'!$C$1:$G$99911,5,FALSE)</f>
        <v>YORK EDGAR</v>
      </c>
      <c r="O13" s="176" t="s">
        <v>179</v>
      </c>
      <c r="P13" s="134"/>
      <c r="Q13" s="30"/>
      <c r="R13" s="81" t="str">
        <f>VLOOKUP(C13,'Train Runs'!$A$13:$AE$9973,31,0)</f>
        <v>aws s3 cp s3://rtdc.mdm.uploadarchive.raw/RTDC4064/ "%USERPROFILE%\AppData\Local\Temp\OnboardLogs"\RTDC4064\2017-09-22 --exclude "*" --recursive --include "*20170922*" &amp; "%USERPROFILE%\Documents\GitHub\mrs-test-scripts\Headless Mode &amp; Sideloading\WalkAndUnGZ.bat" "%USERPROFILE%\AppData\Local\Temp\OnboardLogs"\RTDC4064\2017-09-22 &amp; aws s3 cp s3://rtdc.mdm.uploadarchive.raw/RTDC4064/ "%USERPROFILE%\AppData\Local\Temp\OnboardLogs"\RTDC4064\2017-09-23 --exclude "*" --recursive --include "*20170923*" &amp; "%USERPROFILE%\Documents\GitHub\mrs-test-scripts\Headless Mode &amp; Sideloading\WalkAndUnGZ.bat" "%USERPROFILE%\AppData\Local\Temp\OnboardLogs"\RTDC4064\2017-09-23</v>
      </c>
      <c r="S13" s="84" t="str">
        <f>VLOOKUP(C13,'Train Runs'!$A$13:$AE$9973,22,0)</f>
        <v>https://d0f6bd738d7f1b3e5a7ca70fe4ff75f0.us-east-1.aws.found.io/app/kibana#/discover/Steve-Slow-Train-Analysis-(2080s-and-2083s)?_g=(refreshInterval:(display:Off,pause:!f,section:0,value:0),time:(from:'2017-09-22T05:38:38-0600',mode:absolute,to:'2017-09-22T08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3" s="86" t="str">
        <f t="shared" si="1"/>
        <v>"C:\Program Files (x86)\AstroGrep\AstroGrep.exe" /e /r /s /spath="%USERPROFILE%\AppData\Local\Temp\OnboardLogs" /stypes="*4064*201709221*" /stext=" 13:.+((SYSTEM_STATE.+slice.+state.+changed )|(ment ac)|(multiple cpu faults)|(system.+state.+changed )|(\[timeout)|(PRM\|1\|D)|(kpr)|(kdp)|(train st.+moving)|(\|lc)|(penalty))"</v>
      </c>
      <c r="U13" s="9" t="str">
        <f t="shared" si="2"/>
        <v>4064</v>
      </c>
      <c r="V13" s="31">
        <f t="shared" si="3"/>
        <v>43000.545324074075</v>
      </c>
      <c r="W13" s="45" t="str">
        <f t="shared" si="4"/>
        <v>EC</v>
      </c>
      <c r="X13" s="22">
        <f t="shared" si="5"/>
        <v>125</v>
      </c>
      <c r="Y13" s="96" t="str">
        <f t="shared" si="6"/>
        <v>echo {"issue":{"subject":"","project_id":79,"tracker_id":40,"status_id":1,"priority_id":2,"assigned_to_id":338,"start_date":"2017-09-22","description":"","custom_fields":[{"id":1,"name":"Subdivision","value":"EC"},{"id":4,"name":"Milepost","value":"11.6838"},{"id":17,"name":"Train ID","value":"125-22"},{"id":16,"name":"Locomotive ID","value":"4064"},{"id":130,"name":"Impact","value":""},{"id":150,"name":"Time of Event (Mountain Time)","value":"07:05:16"},{"id":151,"name":"Denver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/c/Users/stu/AppData/Local/Temp/OnboardLogs/RTDC4064 --include="*4064*201709221*"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"%USERPROFILE%\AppData\Local\Temp\OnboardLogs"\RTDC4064\*4064*201709221* &gt;&gt; 2017-09-22-SliceDisagreementCheck.txt</v>
      </c>
      <c r="AE13" s="145" t="str">
        <f t="shared" si="9"/>
        <v>start /low /b %USERPROFILE%\Documents\GitHub\eaglep3\Utilities\DownloadLogsFromS3.py --loco 4064 --day 2017-09-22</v>
      </c>
      <c r="AF13" s="1"/>
    </row>
    <row r="14" spans="1:32" x14ac:dyDescent="0.25">
      <c r="A14" s="31">
        <v>43000.660115740742</v>
      </c>
      <c r="B14" s="30" t="s">
        <v>473</v>
      </c>
      <c r="C14" s="30" t="s">
        <v>598</v>
      </c>
      <c r="D14" s="30" t="s">
        <v>49</v>
      </c>
      <c r="E14" s="30" t="s">
        <v>194</v>
      </c>
      <c r="F14" s="42">
        <v>400</v>
      </c>
      <c r="G14" s="42">
        <v>498</v>
      </c>
      <c r="H14" s="42">
        <v>115929</v>
      </c>
      <c r="I14" s="42">
        <v>117259</v>
      </c>
      <c r="J14" s="30" t="s">
        <v>195</v>
      </c>
      <c r="K14" s="42">
        <v>116838</v>
      </c>
      <c r="L14" s="131" t="s">
        <v>50</v>
      </c>
      <c r="M14" s="132">
        <f t="shared" si="0"/>
        <v>-222.28800000000001</v>
      </c>
      <c r="N14" s="133" t="str">
        <f>VLOOKUP(C14,'Trips&amp;Operators'!$C$1:$G$99911,5,FALSE)</f>
        <v>FORTUNATO FRANK</v>
      </c>
      <c r="O14" s="176" t="s">
        <v>179</v>
      </c>
      <c r="P14" s="134"/>
      <c r="Q14" s="30"/>
      <c r="R14" s="81" t="str">
        <f>VLOOKUP(C14,'Train Runs'!$A$13:$AE$9973,31,0)</f>
        <v>aws s3 cp s3://rtdc.mdm.uploadarchive.raw/RTDC4064/ "%USERPROFILE%\AppData\Local\Temp\OnboardLogs"\RTDC4064\2017-09-22 --exclude "*" --recursive --include "*20170922*" &amp; "%USERPROFILE%\Documents\GitHub\mrs-test-scripts\Headless Mode &amp; Sideloading\WalkAndUnGZ.bat" "%USERPROFILE%\AppData\Local\Temp\OnboardLogs"\RTDC4064\2017-09-22 &amp; aws s3 cp s3://rtdc.mdm.uploadarchive.raw/RTDC4064/ "%USERPROFILE%\AppData\Local\Temp\OnboardLogs"\RTDC4064\2017-09-23 --exclude "*" --recursive --include "*20170923*" &amp; "%USERPROFILE%\Documents\GitHub\mrs-test-scripts\Headless Mode &amp; Sideloading\WalkAndUnGZ.bat" "%USERPROFILE%\AppData\Local\Temp\OnboardLogs"\RTDC4064\2017-09-23</v>
      </c>
      <c r="S14" s="84" t="str">
        <f>VLOOKUP(C14,'Train Runs'!$A$13:$AE$9973,22,0)</f>
        <v>https://d0f6bd738d7f1b3e5a7ca70fe4ff75f0.us-east-1.aws.found.io/app/kibana#/discover/Steve-Slow-Train-Analysis-(2080s-and-2083s)?_g=(refreshInterval:(display:Off,pause:!f,section:0,value:0),time:(from:'2017-09-22T14:21:28-0600',mode:absolute,to:'2017-09-22T17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4" s="86" t="str">
        <f t="shared" si="1"/>
        <v>"C:\Program Files (x86)\AstroGrep\AstroGrep.exe" /e /r /s /spath="%USERPROFILE%\AppData\Local\Temp\OnboardLogs" /stypes="*4064*201709222*" /stext=" 21:.+((SYSTEM_STATE.+slice.+state.+changed )|(ment ac)|(multiple cpu faults)|(system.+state.+changed )|(\[timeout)|(PRM\|1\|D)|(kpr)|(kdp)|(train st.+moving)|(\|lc)|(penalty))"</v>
      </c>
      <c r="U14" s="9" t="str">
        <f t="shared" si="2"/>
        <v>4064</v>
      </c>
      <c r="V14" s="31">
        <f t="shared" si="3"/>
        <v>43000.910115740742</v>
      </c>
      <c r="W14" s="45" t="str">
        <f t="shared" si="4"/>
        <v>EC</v>
      </c>
      <c r="X14" s="22">
        <f t="shared" si="5"/>
        <v>195</v>
      </c>
      <c r="Y14" s="96" t="str">
        <f t="shared" si="6"/>
        <v>echo {"issue":{"subject":"","project_id":79,"tracker_id":40,"status_id":1,"priority_id":2,"assigned_to_id":338,"start_date":"2017-09-22","description":"","custom_fields":[{"id":1,"name":"Subdivision","value":"EC"},{"id":4,"name":"Milepost","value":"11.6838"},{"id":17,"name":"Train ID","value":"195-22"},{"id":16,"name":"Locomotive ID","value":"4064"},{"id":130,"name":"Impact","value":""},{"id":150,"name":"Time of Event (Mountain Time)","value":"15:50:34"},{"id":151,"name":"Denver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/c/Users/stu/AppData/Local/Temp/OnboardLogs/RTDC4064 --include="*4064*201709222*"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"%USERPROFILE%\AppData\Local\Temp\OnboardLogs"\RTDC4064\*4064*201709222* &gt;&gt; 2017-09-22-SliceDisagreementCheck.txt</v>
      </c>
      <c r="AE14" s="145" t="str">
        <f t="shared" si="9"/>
        <v>start /low /b %USERPROFILE%\Documents\GitHub\eaglep3\Utilities\DownloadLogsFromS3.py --loco 4064 --day 2017-09-22</v>
      </c>
      <c r="AF14" s="1"/>
    </row>
    <row r="15" spans="1:32" x14ac:dyDescent="0.25">
      <c r="A15" s="31">
        <v>43000.397372685184</v>
      </c>
      <c r="B15" s="30" t="s">
        <v>586</v>
      </c>
      <c r="C15" s="30" t="s">
        <v>587</v>
      </c>
      <c r="D15" s="30" t="s">
        <v>95</v>
      </c>
      <c r="E15" s="30" t="s">
        <v>588</v>
      </c>
      <c r="F15" s="42">
        <v>0</v>
      </c>
      <c r="G15" s="42">
        <v>203</v>
      </c>
      <c r="H15" s="42">
        <v>103812</v>
      </c>
      <c r="I15" s="42">
        <v>103443</v>
      </c>
      <c r="J15" s="30" t="s">
        <v>589</v>
      </c>
      <c r="K15" s="42">
        <v>104776</v>
      </c>
      <c r="L15" s="131" t="s">
        <v>51</v>
      </c>
      <c r="M15" s="132">
        <f t="shared" si="0"/>
        <v>-703.82399999999996</v>
      </c>
      <c r="N15" s="133" t="str">
        <f>VLOOKUP(C15,'Trips&amp;Operators'!$C$1:$G$99911,5,FALSE)</f>
        <v>DAVIS WENDY</v>
      </c>
      <c r="O15" s="176" t="s">
        <v>417</v>
      </c>
      <c r="P15" s="134" t="s">
        <v>982</v>
      </c>
      <c r="Q15" s="30"/>
      <c r="R15" s="81" t="str">
        <f>VLOOKUP(C15,'Train Runs'!$A$13:$AE$9973,31,0)</f>
        <v>aws s3 cp s3://rtdc.mdm.uploadarchive.raw/RTDC4059/ "%USERPROFILE%\AppData\Local\Temp\OnboardLogs"\RTDC4059\2017-09-22 --exclude "*" --recursive --include "*20170922*" &amp; "%USERPROFILE%\Documents\GitHub\mrs-test-scripts\Headless Mode &amp; Sideloading\WalkAndUnGZ.bat" "%USERPROFILE%\AppData\Local\Temp\OnboardLogs"\RTDC4059\2017-09-22 &amp; aws s3 cp s3://rtdc.mdm.uploadarchive.raw/RTDC4059/ "%USERPROFILE%\AppData\Local\Temp\OnboardLogs"\RTDC4059\2017-09-23 --exclude "*" --recursive --include "*20170923*" &amp; "%USERPROFILE%\Documents\GitHub\mrs-test-scripts\Headless Mode &amp; Sideloading\WalkAndUnGZ.bat" "%USERPROFILE%\AppData\Local\Temp\OnboardLogs"\RTDC4059\2017-09-23</v>
      </c>
      <c r="S15" s="84" t="str">
        <f>VLOOKUP(C15,'Train Runs'!$A$13:$AE$9973,22,0)</f>
        <v>https://d0f6bd738d7f1b3e5a7ca70fe4ff75f0.us-east-1.aws.found.io/app/kibana#/discover/Steve-Slow-Train-Analysis-(2080s-and-2083s)?_g=(refreshInterval:(display:Off,pause:!f,section:0,value:0),time:(from:'2017-09-22T07:57:08-0600',mode:absolute,to:'2017-09-22T10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5" s="86" t="str">
        <f t="shared" si="1"/>
        <v>"C:\Program Files (x86)\AstroGrep\AstroGrep.exe" /e /r /s /spath="%USERPROFILE%\AppData\Local\Temp\OnboardLogs" /stypes="*4059*201709221*" /stext=" 15:.+((SYSTEM_STATE.+slice.+state.+changed )|(ment ac)|(multiple cpu faults)|(system.+state.+changed )|(\[timeout)|(PRM\|1\|D)|(kpr)|(kdp)|(train st.+moving)|(\|lc)|(penalty))"</v>
      </c>
      <c r="U15" s="9" t="str">
        <f t="shared" si="2"/>
        <v>4059</v>
      </c>
      <c r="V15" s="31">
        <f t="shared" si="3"/>
        <v>43000.647372685184</v>
      </c>
      <c r="W15" s="45" t="str">
        <f t="shared" si="4"/>
        <v>EC</v>
      </c>
      <c r="X15" s="22">
        <f t="shared" si="5"/>
        <v>138</v>
      </c>
      <c r="Y15" s="96" t="str">
        <f t="shared" si="6"/>
        <v>echo {"issue":{"subject":"Wi-MAX data drop, most likely reason for delay on this trip","project_id":79,"tracker_id":40,"status_id":1,"priority_id":2,"assigned_to_id":338,"start_date":"2017-09-22","description":"","custom_fields":[{"id":1,"name":"Subdivision","value":"EC"},{"id":4,"name":"Milepost","value":"10.4776"},{"id":17,"name":"Train ID","value":"138-22"},{"id":16,"name":"Locomotive ID","value":"4059"},{"id":130,"name":"Impact","value":""},{"id":150,"name":"Time of Event (Mountain Time)","value":"09:32:13"},{"id":151,"name":"Denver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/c/Users/stu/AppData/Local/Temp/OnboardLogs/RTDC4059 --include="*4059*201709221*"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"%USERPROFILE%\AppData\Local\Temp\OnboardLogs"\RTDC4059\*4059*201709221* &gt;&gt; 2017-09-22-SliceDisagreementCheck.txt</v>
      </c>
      <c r="AE15" s="145" t="str">
        <f t="shared" si="9"/>
        <v>start /low /b %USERPROFILE%\Documents\GitHub\eaglep3\Utilities\DownloadLogsFromS3.py --loco 4059 --day 2017-09-22</v>
      </c>
      <c r="AF15" s="1"/>
    </row>
    <row r="16" spans="1:32" x14ac:dyDescent="0.25">
      <c r="A16" s="31">
        <v>43000.396284722221</v>
      </c>
      <c r="B16" s="30" t="s">
        <v>586</v>
      </c>
      <c r="C16" s="30" t="s">
        <v>587</v>
      </c>
      <c r="D16" s="30" t="s">
        <v>49</v>
      </c>
      <c r="E16" s="30" t="s">
        <v>588</v>
      </c>
      <c r="F16" s="42">
        <v>0</v>
      </c>
      <c r="G16" s="42">
        <v>380</v>
      </c>
      <c r="H16" s="42">
        <v>111964</v>
      </c>
      <c r="I16" s="42">
        <v>111964</v>
      </c>
      <c r="J16" s="30" t="s">
        <v>589</v>
      </c>
      <c r="K16" s="42">
        <v>110617</v>
      </c>
      <c r="L16" s="131" t="s">
        <v>51</v>
      </c>
      <c r="M16" s="132">
        <f t="shared" si="0"/>
        <v>711.21599999999989</v>
      </c>
      <c r="N16" s="133" t="str">
        <f>VLOOKUP(C16,'Trips&amp;Operators'!$C$1:$G$99911,5,FALSE)</f>
        <v>DAVIS WENDY</v>
      </c>
      <c r="O16" s="176" t="s">
        <v>417</v>
      </c>
      <c r="P16" s="134" t="s">
        <v>982</v>
      </c>
      <c r="Q16" s="30"/>
      <c r="R16" s="81" t="str">
        <f>VLOOKUP(C16,'Train Runs'!$A$13:$AE$9973,31,0)</f>
        <v>aws s3 cp s3://rtdc.mdm.uploadarchive.raw/RTDC4059/ "%USERPROFILE%\AppData\Local\Temp\OnboardLogs"\RTDC4059\2017-09-22 --exclude "*" --recursive --include "*20170922*" &amp; "%USERPROFILE%\Documents\GitHub\mrs-test-scripts\Headless Mode &amp; Sideloading\WalkAndUnGZ.bat" "%USERPROFILE%\AppData\Local\Temp\OnboardLogs"\RTDC4059\2017-09-22 &amp; aws s3 cp s3://rtdc.mdm.uploadarchive.raw/RTDC4059/ "%USERPROFILE%\AppData\Local\Temp\OnboardLogs"\RTDC4059\2017-09-23 --exclude "*" --recursive --include "*20170923*" &amp; "%USERPROFILE%\Documents\GitHub\mrs-test-scripts\Headless Mode &amp; Sideloading\WalkAndUnGZ.bat" "%USERPROFILE%\AppData\Local\Temp\OnboardLogs"\RTDC4059\2017-09-23</v>
      </c>
      <c r="S16" s="84" t="str">
        <f>VLOOKUP(C16,'Train Runs'!$A$13:$AE$9973,22,0)</f>
        <v>https://d0f6bd738d7f1b3e5a7ca70fe4ff75f0.us-east-1.aws.found.io/app/kibana#/discover/Steve-Slow-Train-Analysis-(2080s-and-2083s)?_g=(refreshInterval:(display:Off,pause:!f,section:0,value:0),time:(from:'2017-09-22T07:57:08-0600',mode:absolute,to:'2017-09-22T10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6" s="86" t="str">
        <f t="shared" si="1"/>
        <v>"C:\Program Files (x86)\AstroGrep\AstroGrep.exe" /e /r /s /spath="%USERPROFILE%\AppData\Local\Temp\OnboardLogs" /stypes="*4059*201709221*" /stext=" 15:.+((SYSTEM_STATE.+slice.+state.+changed )|(ment ac)|(multiple cpu faults)|(system.+state.+changed )|(\[timeout)|(PRM\|1\|D)|(kpr)|(kdp)|(train st.+moving)|(\|lc)|(penalty))"</v>
      </c>
      <c r="U16" s="9" t="str">
        <f t="shared" si="2"/>
        <v>4059</v>
      </c>
      <c r="V16" s="31">
        <f t="shared" si="3"/>
        <v>43000.646284722221</v>
      </c>
      <c r="W16" s="45" t="str">
        <f t="shared" si="4"/>
        <v>EC</v>
      </c>
      <c r="X16" s="22">
        <f t="shared" si="5"/>
        <v>138</v>
      </c>
      <c r="Y16" s="96" t="str">
        <f t="shared" si="6"/>
        <v>echo {"issue":{"subject":"Wi-MAX data drop, most likely reason for delay on this trip","project_id":79,"tracker_id":40,"status_id":1,"priority_id":2,"assigned_to_id":338,"start_date":"2017-09-22","description":"","custom_fields":[{"id":1,"name":"Subdivision","value":"EC"},{"id":4,"name":"Milepost","value":"11.0617"},{"id":17,"name":"Train ID","value":"138-22"},{"id":16,"name":"Locomotive ID","value":"4059"},{"id":130,"name":"Impact","value":""},{"id":150,"name":"Time of Event (Mountain Time)","value":"09:30:39"},{"id":151,"name":"Denver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/c/Users/stu/AppData/Local/Temp/OnboardLogs/RTDC4059 --include="*4059*201709221*"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"%USERPROFILE%\AppData\Local\Temp\OnboardLogs"\RTDC4059\*4059*201709221* &gt;&gt; 2017-09-22-SliceDisagreementCheck.txt</v>
      </c>
      <c r="AE16" s="145" t="str">
        <f t="shared" si="9"/>
        <v>start /low /b %USERPROFILE%\Documents\GitHub\eaglep3\Utilities\DownloadLogsFromS3.py --loco 4059 --day 2017-09-22</v>
      </c>
      <c r="AF16" s="1"/>
    </row>
    <row r="17" spans="1:32" x14ac:dyDescent="0.25">
      <c r="A17" s="31">
        <v>43000.598310185182</v>
      </c>
      <c r="B17" s="30" t="s">
        <v>595</v>
      </c>
      <c r="C17" s="30" t="s">
        <v>596</v>
      </c>
      <c r="D17" s="30" t="s">
        <v>49</v>
      </c>
      <c r="E17" s="30" t="s">
        <v>588</v>
      </c>
      <c r="F17" s="42">
        <v>0</v>
      </c>
      <c r="G17" s="42">
        <v>497</v>
      </c>
      <c r="H17" s="42">
        <v>126559</v>
      </c>
      <c r="I17" s="42">
        <v>127879</v>
      </c>
      <c r="J17" s="30" t="s">
        <v>589</v>
      </c>
      <c r="K17" s="42">
        <v>126678</v>
      </c>
      <c r="L17" s="131" t="s">
        <v>50</v>
      </c>
      <c r="M17" s="132">
        <f t="shared" si="0"/>
        <v>-634.12800000000004</v>
      </c>
      <c r="N17" s="133" t="str">
        <f>VLOOKUP(C17,'Trips&amp;Operators'!$C$1:$G$99911,5,FALSE)</f>
        <v>LEVIN SCOTT</v>
      </c>
      <c r="O17" s="176" t="s">
        <v>417</v>
      </c>
      <c r="P17" s="134" t="s">
        <v>981</v>
      </c>
      <c r="Q17" s="30"/>
      <c r="R17" s="81" t="str">
        <f>VLOOKUP(C17,'Train Runs'!$A$13:$AE$9973,31,0)</f>
        <v>aws s3 cp s3://rtdc.mdm.uploadarchive.raw/RTDC4062/ "%USERPROFILE%\AppData\Local\Temp\OnboardLogs"\RTDC4062\2017-09-22 --exclude "*" --recursive --include "*20170922*" &amp; "%USERPROFILE%\Documents\GitHub\mrs-test-scripts\Headless Mode &amp; Sideloading\WalkAndUnGZ.bat" "%USERPROFILE%\AppData\Local\Temp\OnboardLogs"\RTDC4062\2017-09-22 &amp; aws s3 cp s3://rtdc.mdm.uploadarchive.raw/RTDC4062/ "%USERPROFILE%\AppData\Local\Temp\OnboardLogs"\RTDC4062\2017-09-23 --exclude "*" --recursive --include "*20170923*" &amp; "%USERPROFILE%\Documents\GitHub\mrs-test-scripts\Headless Mode &amp; Sideloading\WalkAndUnGZ.bat" "%USERPROFILE%\AppData\Local\Temp\OnboardLogs"\RTDC4062\2017-09-23</v>
      </c>
      <c r="S17" s="84" t="str">
        <f>VLOOKUP(C17,'Train Runs'!$A$13:$AE$9973,22,0)</f>
        <v>https://d0f6bd738d7f1b3e5a7ca70fe4ff75f0.us-east-1.aws.found.io/app/kibana#/discover/Steve-Slow-Train-Analysis-(2080s-and-2083s)?_g=(refreshInterval:(display:Off,pause:!f,section:0,value:0),time:(from:'2017-09-22T12:50:54-0600',mode:absolute,to:'2017-09-22T15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7" s="86" t="str">
        <f t="shared" si="1"/>
        <v>"C:\Program Files (x86)\AstroGrep\AstroGrep.exe" /e /r /s /spath="%USERPROFILE%\AppData\Local\Temp\OnboardLogs" /stypes="*4062*201709222*" /stext=" 20:.+((SYSTEM_STATE.+slice.+state.+changed )|(ment ac)|(multiple cpu faults)|(system.+state.+changed )|(\[timeout)|(PRM\|1\|D)|(kpr)|(kdp)|(train st.+moving)|(\|lc)|(penalty))"</v>
      </c>
      <c r="U17" s="9" t="str">
        <f t="shared" si="2"/>
        <v>4062</v>
      </c>
      <c r="V17" s="31">
        <f t="shared" si="3"/>
        <v>43000.848310185182</v>
      </c>
      <c r="W17" s="45" t="str">
        <f t="shared" si="4"/>
        <v>EC</v>
      </c>
      <c r="X17" s="22">
        <f t="shared" si="5"/>
        <v>183</v>
      </c>
      <c r="Y17" s="96" t="str">
        <f t="shared" si="6"/>
        <v>echo {"issue":{"subject":"Wi-MAX data drop","project_id":79,"tracker_id":40,"status_id":1,"priority_id":2,"assigned_to_id":338,"start_date":"2017-09-22","description":"","custom_fields":[{"id":1,"name":"Subdivision","value":"EC"},{"id":4,"name":"Milepost","value":"12.6678"},{"id":17,"name":"Train ID","value":"183-22"},{"id":16,"name":"Locomotive ID","value":"4062"},{"id":130,"name":"Impact","value":""},{"id":150,"name":"Time of Event (Mountain Time)","value":"14:21:34"},{"id":151,"name":"Denver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/c/Users/stu/AppData/Local/Temp/OnboardLogs/RTDC4062 --include="*4062*201709222*"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"%USERPROFILE%\AppData\Local\Temp\OnboardLogs"\RTDC4062\*4062*201709222* &gt;&gt; 2017-09-22-SliceDisagreementCheck.txt</v>
      </c>
      <c r="AE17" s="145" t="str">
        <f t="shared" si="9"/>
        <v>start /low /b %USERPROFILE%\Documents\GitHub\eaglep3\Utilities\DownloadLogsFromS3.py --loco 4062 --day 2017-09-22</v>
      </c>
      <c r="AF17" s="1"/>
    </row>
    <row r="18" spans="1:32" x14ac:dyDescent="0.25">
      <c r="A18" s="31">
        <v>43000.316250000003</v>
      </c>
      <c r="B18" s="30" t="s">
        <v>439</v>
      </c>
      <c r="C18" s="30" t="s">
        <v>579</v>
      </c>
      <c r="D18" s="30" t="s">
        <v>49</v>
      </c>
      <c r="E18" s="30" t="s">
        <v>180</v>
      </c>
      <c r="F18" s="42">
        <v>0</v>
      </c>
      <c r="G18" s="42">
        <v>72</v>
      </c>
      <c r="H18" s="42">
        <v>260</v>
      </c>
      <c r="I18" s="42">
        <v>187</v>
      </c>
      <c r="J18" s="30" t="s">
        <v>181</v>
      </c>
      <c r="K18" s="42">
        <v>1</v>
      </c>
      <c r="L18" s="131" t="s">
        <v>51</v>
      </c>
      <c r="M18" s="132">
        <f t="shared" si="0"/>
        <v>98.207999999999998</v>
      </c>
      <c r="N18" s="133" t="str">
        <f>VLOOKUP(C18,'Trips&amp;Operators'!$C$1:$G$99911,5,FALSE)</f>
        <v>BONDS REYNALDO</v>
      </c>
      <c r="O18" s="176" t="s">
        <v>179</v>
      </c>
      <c r="P18" s="134"/>
      <c r="Q18" s="30"/>
      <c r="R18" s="81" t="str">
        <f>VLOOKUP(C18,'Train Runs'!$A$13:$AE$9973,31,0)</f>
        <v>aws s3 cp s3://rtdc.mdm.uploadarchive.raw/RTDC4017/ "%USERPROFILE%\AppData\Local\Temp\OnboardLogs"\RTDC4017\2017-09-22 --exclude "*" --recursive --include "*20170922*" &amp; "%USERPROFILE%\Documents\GitHub\mrs-test-scripts\Headless Mode &amp; Sideloading\WalkAndUnGZ.bat" "%USERPROFILE%\AppData\Local\Temp\OnboardLogs"\RTDC4017\2017-09-22 &amp; aws s3 cp s3://rtdc.mdm.uploadarchive.raw/RTDC4017/ "%USERPROFILE%\AppData\Local\Temp\OnboardLogs"\RTDC4017\2017-09-23 --exclude "*" --recursive --include "*20170923*" &amp; "%USERPROFILE%\Documents\GitHub\mrs-test-scripts\Headless Mode &amp; Sideloading\WalkAndUnGZ.bat" "%USERPROFILE%\AppData\Local\Temp\OnboardLogs"\RTDC4017\2017-09-23</v>
      </c>
      <c r="S18" s="84" t="str">
        <f>VLOOKUP(C18,'Train Runs'!$A$13:$AE$9973,22,0)</f>
        <v>https://d0f6bd738d7f1b3e5a7ca70fe4ff75f0.us-east-1.aws.found.io/app/kibana#/discover/Steve-Slow-Train-Analysis-(2080s-and-2083s)?_g=(refreshInterval:(display:Off,pause:!f,section:0,value:0),time:(from:'2017-09-22T05:51:34-0600',mode:absolute,to:'2017-09-22T08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8" s="86" t="str">
        <f t="shared" si="1"/>
        <v>"C:\Program Files (x86)\AstroGrep\AstroGrep.exe" /e /r /s /spath="%USERPROFILE%\AppData\Local\Temp\OnboardLogs" /stypes="*4017*201709221*" /stext=" 13:.+((SYSTEM_STATE.+slice.+state.+changed )|(ment ac)|(multiple cpu faults)|(system.+state.+changed )|(\[timeout)|(PRM\|1\|D)|(kpr)|(kdp)|(train st.+moving)|(\|lc)|(penalty))"</v>
      </c>
      <c r="U18" s="9" t="str">
        <f t="shared" si="2"/>
        <v>4017</v>
      </c>
      <c r="V18" s="31">
        <f t="shared" si="3"/>
        <v>43000.566250000003</v>
      </c>
      <c r="W18" s="45" t="str">
        <f t="shared" si="4"/>
        <v>EC</v>
      </c>
      <c r="X18" s="22">
        <f t="shared" si="5"/>
        <v>120</v>
      </c>
      <c r="Y18" s="96" t="str">
        <f t="shared" si="6"/>
        <v>echo {"issue":{"subject":"","project_id":79,"tracker_id":40,"status_id":1,"priority_id":2,"assigned_to_id":338,"start_date":"2017-09-22","description":"","custom_fields":[{"id":1,"name":"Subdivision","value":"EC"},{"id":4,"name":"Milepost","value":"0.0001"},{"id":17,"name":"Train ID","value":"120-22"},{"id":16,"name":"Locomotive ID","value":"4017"},{"id":130,"name":"Impact","value":""},{"id":150,"name":"Time of Event (Mountain Time)","value":"07:35:24"},{"id":151,"name":"Denver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/c/Users/stu/AppData/Local/Temp/OnboardLogs/RTDC4017 --include="*4017*201709221*"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"%USERPROFILE%\AppData\Local\Temp\OnboardLogs"\RTDC4017\*4017*201709221* &gt;&gt; 2017-09-22-SliceDisagreementCheck.txt</v>
      </c>
      <c r="AE18" s="145" t="str">
        <f t="shared" si="9"/>
        <v>start /low /b %USERPROFILE%\Documents\GitHub\eaglep3\Utilities\DownloadLogsFromS3.py --loco 4017 --day 2017-09-22</v>
      </c>
      <c r="AF18" s="1"/>
    </row>
    <row r="19" spans="1:32" x14ac:dyDescent="0.25">
      <c r="A19" s="31">
        <v>43000.316620370373</v>
      </c>
      <c r="B19" s="30" t="s">
        <v>439</v>
      </c>
      <c r="C19" s="30" t="s">
        <v>579</v>
      </c>
      <c r="D19" s="30" t="s">
        <v>49</v>
      </c>
      <c r="E19" s="30" t="s">
        <v>180</v>
      </c>
      <c r="F19" s="42">
        <v>0</v>
      </c>
      <c r="G19" s="42">
        <v>33</v>
      </c>
      <c r="H19" s="42">
        <v>130</v>
      </c>
      <c r="I19" s="42">
        <v>119</v>
      </c>
      <c r="J19" s="30" t="s">
        <v>181</v>
      </c>
      <c r="K19" s="42">
        <v>1</v>
      </c>
      <c r="L19" s="131" t="s">
        <v>51</v>
      </c>
      <c r="M19" s="132">
        <f t="shared" si="0"/>
        <v>62.304000000000002</v>
      </c>
      <c r="N19" s="133" t="str">
        <f>VLOOKUP(C19,'Trips&amp;Operators'!$C$1:$G$99911,5,FALSE)</f>
        <v>BONDS REYNALDO</v>
      </c>
      <c r="O19" s="176" t="s">
        <v>179</v>
      </c>
      <c r="P19" s="134"/>
      <c r="Q19" s="30"/>
      <c r="R19" s="81" t="str">
        <f>VLOOKUP(C19,'Train Runs'!$A$13:$AE$9973,31,0)</f>
        <v>aws s3 cp s3://rtdc.mdm.uploadarchive.raw/RTDC4017/ "%USERPROFILE%\AppData\Local\Temp\OnboardLogs"\RTDC4017\2017-09-22 --exclude "*" --recursive --include "*20170922*" &amp; "%USERPROFILE%\Documents\GitHub\mrs-test-scripts\Headless Mode &amp; Sideloading\WalkAndUnGZ.bat" "%USERPROFILE%\AppData\Local\Temp\OnboardLogs"\RTDC4017\2017-09-22 &amp; aws s3 cp s3://rtdc.mdm.uploadarchive.raw/RTDC4017/ "%USERPROFILE%\AppData\Local\Temp\OnboardLogs"\RTDC4017\2017-09-23 --exclude "*" --recursive --include "*20170923*" &amp; "%USERPROFILE%\Documents\GitHub\mrs-test-scripts\Headless Mode &amp; Sideloading\WalkAndUnGZ.bat" "%USERPROFILE%\AppData\Local\Temp\OnboardLogs"\RTDC4017\2017-09-23</v>
      </c>
      <c r="S19" s="84" t="str">
        <f>VLOOKUP(C19,'Train Runs'!$A$13:$AE$9973,22,0)</f>
        <v>https://d0f6bd738d7f1b3e5a7ca70fe4ff75f0.us-east-1.aws.found.io/app/kibana#/discover/Steve-Slow-Train-Analysis-(2080s-and-2083s)?_g=(refreshInterval:(display:Off,pause:!f,section:0,value:0),time:(from:'2017-09-22T05:51:34-0600',mode:absolute,to:'2017-09-22T08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9" s="86" t="str">
        <f t="shared" si="1"/>
        <v>"C:\Program Files (x86)\AstroGrep\AstroGrep.exe" /e /r /s /spath="%USERPROFILE%\AppData\Local\Temp\OnboardLogs" /stypes="*4017*201709221*" /stext=" 13:.+((SYSTEM_STATE.+slice.+state.+changed )|(ment ac)|(multiple cpu faults)|(system.+state.+changed )|(\[timeout)|(PRM\|1\|D)|(kpr)|(kdp)|(train st.+moving)|(\|lc)|(penalty))"</v>
      </c>
      <c r="U19" s="9" t="str">
        <f t="shared" si="2"/>
        <v>4017</v>
      </c>
      <c r="V19" s="31">
        <f t="shared" si="3"/>
        <v>43000.566620370373</v>
      </c>
      <c r="W19" s="45" t="str">
        <f t="shared" si="4"/>
        <v>EC</v>
      </c>
      <c r="X19" s="22">
        <f t="shared" si="5"/>
        <v>120</v>
      </c>
      <c r="Y19" s="96" t="str">
        <f t="shared" si="6"/>
        <v>echo {"issue":{"subject":"","project_id":79,"tracker_id":40,"status_id":1,"priority_id":2,"assigned_to_id":338,"start_date":"2017-09-22","description":"","custom_fields":[{"id":1,"name":"Subdivision","value":"EC"},{"id":4,"name":"Milepost","value":"0.0001"},{"id":17,"name":"Train ID","value":"120-22"},{"id":16,"name":"Locomotive ID","value":"4017"},{"id":130,"name":"Impact","value":""},{"id":150,"name":"Time of Event (Mountain Time)","value":"07:35:56"},{"id":151,"name":"Denver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/c/Users/stu/AppData/Local/Temp/OnboardLogs/RTDC4017 --include="*4017*201709221*"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"%USERPROFILE%\AppData\Local\Temp\OnboardLogs"\RTDC4017\*4017*201709221* &gt;&gt; 2017-09-22-SliceDisagreementCheck.txt</v>
      </c>
      <c r="AE19" s="145" t="str">
        <f t="shared" si="9"/>
        <v>start /low /b %USERPROFILE%\Documents\GitHub\eaglep3\Utilities\DownloadLogsFromS3.py --loco 4017 --day 2017-09-22</v>
      </c>
      <c r="AF19" s="1"/>
    </row>
    <row r="20" spans="1:32" x14ac:dyDescent="0.25">
      <c r="A20" s="31">
        <v>43000.359386574077</v>
      </c>
      <c r="B20" s="30" t="s">
        <v>583</v>
      </c>
      <c r="C20" s="30" t="s">
        <v>584</v>
      </c>
      <c r="D20" s="30" t="s">
        <v>49</v>
      </c>
      <c r="E20" s="30" t="s">
        <v>180</v>
      </c>
      <c r="F20" s="42">
        <v>0</v>
      </c>
      <c r="G20" s="42">
        <v>63</v>
      </c>
      <c r="H20" s="42">
        <v>205</v>
      </c>
      <c r="I20" s="42">
        <v>145</v>
      </c>
      <c r="J20" s="30" t="s">
        <v>181</v>
      </c>
      <c r="K20" s="42">
        <v>1</v>
      </c>
      <c r="L20" s="131" t="s">
        <v>51</v>
      </c>
      <c r="M20" s="132">
        <f t="shared" si="0"/>
        <v>76.031999999999996</v>
      </c>
      <c r="N20" s="133" t="str">
        <f>VLOOKUP(C20,'Trips&amp;Operators'!$C$1:$G$99911,5,FALSE)</f>
        <v>BEAM ROSS</v>
      </c>
      <c r="O20" s="176" t="s">
        <v>179</v>
      </c>
      <c r="P20" s="134"/>
      <c r="Q20" s="30"/>
      <c r="R20" s="81" t="str">
        <f>VLOOKUP(C20,'Train Runs'!$A$13:$AE$9973,31,0)</f>
        <v>aws s3 cp s3://rtdc.mdm.uploadarchive.raw/RTDC4061/ "%USERPROFILE%\AppData\Local\Temp\OnboardLogs"\RTDC4061\2017-09-22 --exclude "*" --recursive --include "*20170922*" &amp; "%USERPROFILE%\Documents\GitHub\mrs-test-scripts\Headless Mode &amp; Sideloading\WalkAndUnGZ.bat" "%USERPROFILE%\AppData\Local\Temp\OnboardLogs"\RTDC4061\2017-09-22 &amp; aws s3 cp s3://rtdc.mdm.uploadarchive.raw/RTDC4061/ "%USERPROFILE%\AppData\Local\Temp\OnboardLogs"\RTDC4061\2017-09-23 --exclude "*" --recursive --include "*20170923*" &amp; "%USERPROFILE%\Documents\GitHub\mrs-test-scripts\Headless Mode &amp; Sideloading\WalkAndUnGZ.bat" "%USERPROFILE%\AppData\Local\Temp\OnboardLogs"\RTDC4061\2017-09-23</v>
      </c>
      <c r="S20" s="84" t="str">
        <f>VLOOKUP(C20,'Train Runs'!$A$13:$AE$9973,22,0)</f>
        <v>https://d0f6bd738d7f1b3e5a7ca70fe4ff75f0.us-east-1.aws.found.io/app/kibana#/discover/Steve-Slow-Train-Analysis-(2080s-and-2083s)?_g=(refreshInterval:(display:Off,pause:!f,section:0,value:0),time:(from:'2017-09-22T06:42:05-0600',mode:absolute,to:'2017-09-22T09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0" s="86" t="str">
        <f t="shared" si="1"/>
        <v>"C:\Program Files (x86)\AstroGrep\AstroGrep.exe" /e /r /s /spath="%USERPROFILE%\AppData\Local\Temp\OnboardLogs" /stypes="*4061*201709221*" /stext=" 14:.+((SYSTEM_STATE.+slice.+state.+changed )|(ment ac)|(multiple cpu faults)|(system.+state.+changed )|(\[timeout)|(PRM\|1\|D)|(kpr)|(kdp)|(train st.+moving)|(\|lc)|(penalty))"</v>
      </c>
      <c r="U20" s="9" t="str">
        <f t="shared" si="2"/>
        <v>4061</v>
      </c>
      <c r="V20" s="31">
        <f t="shared" si="3"/>
        <v>43000.609386574077</v>
      </c>
      <c r="W20" s="45" t="str">
        <f t="shared" si="4"/>
        <v>EC</v>
      </c>
      <c r="X20" s="22">
        <f t="shared" si="5"/>
        <v>128</v>
      </c>
      <c r="Y20" s="96" t="str">
        <f t="shared" si="6"/>
        <v>echo {"issue":{"subject":"","project_id":79,"tracker_id":40,"status_id":1,"priority_id":2,"assigned_to_id":338,"start_date":"2017-09-22","description":"","custom_fields":[{"id":1,"name":"Subdivision","value":"EC"},{"id":4,"name":"Milepost","value":"0.0001"},{"id":17,"name":"Train ID","value":"128-22"},{"id":16,"name":"Locomotive ID","value":"4061"},{"id":130,"name":"Impact","value":""},{"id":150,"name":"Time of Event (Mountain Time)","value":"08:37:31"},{"id":151,"name":"Denver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/c/Users/stu/AppData/Local/Temp/OnboardLogs/RTDC4061 --include="*4061*201709221*"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"%USERPROFILE%\AppData\Local\Temp\OnboardLogs"\RTDC4061\*4061*201709221* &gt;&gt; 2017-09-22-SliceDisagreementCheck.txt</v>
      </c>
      <c r="AE20" s="145" t="str">
        <f t="shared" si="9"/>
        <v>start /low /b %USERPROFILE%\Documents\GitHub\eaglep3\Utilities\DownloadLogsFromS3.py --loco 4061 --day 2017-09-22</v>
      </c>
      <c r="AF20" s="1"/>
    </row>
    <row r="21" spans="1:32" x14ac:dyDescent="0.25">
      <c r="A21" s="31">
        <v>43000.555451388886</v>
      </c>
      <c r="B21" s="30" t="s">
        <v>586</v>
      </c>
      <c r="C21" s="30" t="s">
        <v>593</v>
      </c>
      <c r="D21" s="30" t="s">
        <v>49</v>
      </c>
      <c r="E21" s="30" t="s">
        <v>180</v>
      </c>
      <c r="F21" s="42">
        <v>0</v>
      </c>
      <c r="G21" s="42">
        <v>106</v>
      </c>
      <c r="H21" s="42">
        <v>1276</v>
      </c>
      <c r="I21" s="42">
        <v>1188</v>
      </c>
      <c r="J21" s="30" t="s">
        <v>181</v>
      </c>
      <c r="K21" s="42">
        <v>826</v>
      </c>
      <c r="L21" s="131" t="s">
        <v>51</v>
      </c>
      <c r="M21" s="132">
        <f t="shared" si="0"/>
        <v>191.136</v>
      </c>
      <c r="N21" s="133" t="str">
        <f>VLOOKUP(C21,'Trips&amp;Operators'!$C$1:$G$99911,5,FALSE)</f>
        <v>DELGADO DIANAH</v>
      </c>
      <c r="O21" s="176" t="s">
        <v>179</v>
      </c>
      <c r="P21" s="134"/>
      <c r="Q21" s="30"/>
      <c r="R21" s="81" t="str">
        <f>VLOOKUP(C21,'Train Runs'!$A$13:$AE$9973,31,0)</f>
        <v>aws s3 cp s3://rtdc.mdm.uploadarchive.raw/RTDC4059/ "%USERPROFILE%\AppData\Local\Temp\OnboardLogs"\RTDC4059\2017-09-22 --exclude "*" --recursive --include "*20170922*" &amp; "%USERPROFILE%\Documents\GitHub\mrs-test-scripts\Headless Mode &amp; Sideloading\WalkAndUnGZ.bat" "%USERPROFILE%\AppData\Local\Temp\OnboardLogs"\RTDC4059\2017-09-22 &amp; aws s3 cp s3://rtdc.mdm.uploadarchive.raw/RTDC4059/ "%USERPROFILE%\AppData\Local\Temp\OnboardLogs"\RTDC4059\2017-09-23 --exclude "*" --recursive --include "*20170923*" &amp; "%USERPROFILE%\Documents\GitHub\mrs-test-scripts\Headless Mode &amp; Sideloading\WalkAndUnGZ.bat" "%USERPROFILE%\AppData\Local\Temp\OnboardLogs"\RTDC4059\2017-09-23</v>
      </c>
      <c r="S21" s="84" t="str">
        <f>VLOOKUP(C21,'Train Runs'!$A$13:$AE$9973,22,0)</f>
        <v>https://d0f6bd738d7f1b3e5a7ca70fe4ff75f0.us-east-1.aws.found.io/app/kibana#/discover/Steve-Slow-Train-Analysis-(2080s-and-2083s)?_g=(refreshInterval:(display:Off,pause:!f,section:0,value:0),time:(from:'2017-09-22T11:33:33-0600',mode:absolute,to:'2017-09-22T14:19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1" s="86" t="str">
        <f t="shared" si="1"/>
        <v>"C:\Program Files (x86)\AstroGrep\AstroGrep.exe" /e /r /s /spath="%USERPROFILE%\AppData\Local\Temp\OnboardLogs" /stypes="*4059*201709221*" /stext=" 19:.+((SYSTEM_STATE.+slice.+state.+changed )|(ment ac)|(multiple cpu faults)|(system.+state.+changed )|(\[timeout)|(PRM\|1\|D)|(kpr)|(kdp)|(train st.+moving)|(\|lc)|(penalty))"</v>
      </c>
      <c r="U21" s="9" t="str">
        <f t="shared" si="2"/>
        <v>4059</v>
      </c>
      <c r="V21" s="31">
        <f t="shared" si="3"/>
        <v>43000.805451388886</v>
      </c>
      <c r="W21" s="45" t="str">
        <f t="shared" si="4"/>
        <v>EC</v>
      </c>
      <c r="X21" s="22">
        <f t="shared" si="5"/>
        <v>166</v>
      </c>
      <c r="Y21" s="96" t="str">
        <f t="shared" si="6"/>
        <v>echo {"issue":{"subject":"","project_id":79,"tracker_id":40,"status_id":1,"priority_id":2,"assigned_to_id":338,"start_date":"2017-09-22","description":"","custom_fields":[{"id":1,"name":"Subdivision","value":"EC"},{"id":4,"name":"Milepost","value":"0.0826"},{"id":17,"name":"Train ID","value":"166-22"},{"id":16,"name":"Locomotive ID","value":"4059"},{"id":130,"name":"Impact","value":""},{"id":150,"name":"Time of Event (Mountain Time)","value":"13:19:51"},{"id":151,"name":"Denver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/c/Users/stu/AppData/Local/Temp/OnboardLogs/RTDC4059 --include="*4059*201709221*"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"%USERPROFILE%\AppData\Local\Temp\OnboardLogs"\RTDC4059\*4059*201709221* &gt;&gt; 2017-09-22-SliceDisagreementCheck.txt</v>
      </c>
      <c r="AE21" s="145" t="str">
        <f t="shared" si="9"/>
        <v>start /low /b %USERPROFILE%\Documents\GitHub\eaglep3\Utilities\DownloadLogsFromS3.py --loco 4059 --day 2017-09-22</v>
      </c>
      <c r="AF21" s="1"/>
    </row>
    <row r="22" spans="1:32" x14ac:dyDescent="0.25">
      <c r="A22" s="31">
        <v>43000.618495370371</v>
      </c>
      <c r="B22" s="30" t="s">
        <v>580</v>
      </c>
      <c r="C22" s="30" t="s">
        <v>597</v>
      </c>
      <c r="D22" s="30" t="s">
        <v>49</v>
      </c>
      <c r="E22" s="30" t="s">
        <v>186</v>
      </c>
      <c r="F22" s="42">
        <v>0</v>
      </c>
      <c r="G22" s="42">
        <v>259</v>
      </c>
      <c r="H22" s="42">
        <v>11127</v>
      </c>
      <c r="I22" s="42">
        <v>10604</v>
      </c>
      <c r="J22" s="30" t="s">
        <v>187</v>
      </c>
      <c r="K22" s="42">
        <v>10988</v>
      </c>
      <c r="L22" s="131" t="s">
        <v>51</v>
      </c>
      <c r="M22" s="132">
        <f t="shared" si="0"/>
        <v>-202.75200000000001</v>
      </c>
      <c r="N22" s="133" t="str">
        <f>VLOOKUP(C22,'Trips&amp;Operators'!$C$1:$G$99911,5,FALSE)</f>
        <v>BERLING GARY</v>
      </c>
      <c r="O22" s="176" t="s">
        <v>179</v>
      </c>
      <c r="P22" s="134" t="s">
        <v>366</v>
      </c>
      <c r="Q22" s="30"/>
      <c r="R22" s="81" t="str">
        <f>VLOOKUP(C22,'Train Runs'!$A$13:$AE$9973,31,0)</f>
        <v>aws s3 cp s3://rtdc.mdm.uploadarchive.raw/RTDC4041/ "%USERPROFILE%\AppData\Local\Temp\OnboardLogs"\RTDC4041\2017-09-22 --exclude "*" --recursive --include "*20170922*" &amp; "%USERPROFILE%\Documents\GitHub\mrs-test-scripts\Headless Mode &amp; Sideloading\WalkAndUnGZ.bat" "%USERPROFILE%\AppData\Local\Temp\OnboardLogs"\RTDC4041\2017-09-22 &amp; aws s3 cp s3://rtdc.mdm.uploadarchive.raw/RTDC4041/ "%USERPROFILE%\AppData\Local\Temp\OnboardLogs"\RTDC4041\2017-09-23 --exclude "*" --recursive --include "*20170923*" &amp; "%USERPROFILE%\Documents\GitHub\mrs-test-scripts\Headless Mode &amp; Sideloading\WalkAndUnGZ.bat" "%USERPROFILE%\AppData\Local\Temp\OnboardLogs"\RTDC4041\2017-09-23</v>
      </c>
      <c r="S22" s="84" t="str">
        <f>VLOOKUP(C22,'Train Runs'!$A$13:$AE$9973,22,0)</f>
        <v>https://d0f6bd738d7f1b3e5a7ca70fe4ff75f0.us-east-1.aws.found.io/app/kibana#/discover/Steve-Slow-Train-Analysis-(2080s-and-2083s)?_g=(refreshInterval:(display:Off,pause:!f,section:0,value:0),time:(from:'2017-09-22T13:25:31-0600',mode:absolute,to:'2017-09-22T15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2" s="86" t="str">
        <f t="shared" si="1"/>
        <v>"C:\Program Files (x86)\AstroGrep\AstroGrep.exe" /e /r /s /spath="%USERPROFILE%\AppData\Local\Temp\OnboardLogs" /stypes="*4041*201709222*" /stext=" 20:.+((SYSTEM_STATE.+slice.+state.+changed )|(ment ac)|(multiple cpu faults)|(system.+state.+changed )|(\[timeout)|(PRM\|1\|D)|(kpr)|(kdp)|(train st.+moving)|(\|lc)|(penalty))"</v>
      </c>
      <c r="U22" s="9" t="str">
        <f t="shared" si="2"/>
        <v>4041</v>
      </c>
      <c r="V22" s="31">
        <f t="shared" si="3"/>
        <v>43000.868495370371</v>
      </c>
      <c r="W22" s="45" t="str">
        <f t="shared" si="4"/>
        <v>NW</v>
      </c>
      <c r="X22" s="22">
        <f t="shared" si="5"/>
        <v>824</v>
      </c>
      <c r="Y22" s="96" t="str">
        <f t="shared" si="6"/>
        <v>echo {"issue":{"subject":"Early Arrival","project_id":79,"tracker_id":40,"status_id":1,"priority_id":2,"assigned_to_id":338,"start_date":"2017-09-22","description":"","custom_fields":[{"id":1,"name":"Subdivision","value":"NW"},{"id":4,"name":"Milepost","value":"1.0988"},{"id":17,"name":"Train ID","value":"824-22"},{"id":16,"name":"Locomotive ID","value":"4041"},{"id":130,"name":"Impact","value":""},{"id":150,"name":"Time of Event (Mountain Time)","value":"14:50:38"},{"id":151,"name":"Denver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/c/Users/stu/AppData/Local/Temp/OnboardLogs/RTDC4041 --include="*4041*201709222*"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"%USERPROFILE%\AppData\Local\Temp\OnboardLogs"\RTDC4041\*4041*201709222* &gt;&gt; 2017-09-22-SliceDisagreementCheck.txt</v>
      </c>
      <c r="AE22" s="145" t="str">
        <f t="shared" si="9"/>
        <v>start /low /b %USERPROFILE%\Documents\GitHub\eaglep3\Utilities\DownloadLogsFromS3.py --loco 4041 --day 2017-09-22</v>
      </c>
      <c r="AF22" s="1"/>
    </row>
    <row r="23" spans="1:32" x14ac:dyDescent="0.25">
      <c r="A23" s="31">
        <v>43000.676064814812</v>
      </c>
      <c r="B23" s="30" t="s">
        <v>471</v>
      </c>
      <c r="C23" s="30" t="s">
        <v>600</v>
      </c>
      <c r="D23" s="30" t="s">
        <v>95</v>
      </c>
      <c r="E23" s="30" t="s">
        <v>194</v>
      </c>
      <c r="F23" s="42">
        <v>450</v>
      </c>
      <c r="G23" s="42">
        <v>503</v>
      </c>
      <c r="H23" s="42">
        <v>14367</v>
      </c>
      <c r="I23" s="42">
        <v>16131</v>
      </c>
      <c r="J23" s="30" t="s">
        <v>195</v>
      </c>
      <c r="K23" s="42">
        <v>13572</v>
      </c>
      <c r="L23" s="131" t="s">
        <v>50</v>
      </c>
      <c r="M23" s="132">
        <f t="shared" si="0"/>
        <v>-1351.1520000000003</v>
      </c>
      <c r="N23" s="133" t="str">
        <f>VLOOKUP(C23,'Trips&amp;Operators'!$C$1:$G$99911,5,FALSE)</f>
        <v>BERLING GARY</v>
      </c>
      <c r="O23" s="176" t="s">
        <v>179</v>
      </c>
      <c r="P23" s="134"/>
      <c r="Q23" s="30"/>
      <c r="R23" s="81" t="str">
        <f>VLOOKUP(C23,'Train Runs'!$A$13:$AE$9973,31,0)</f>
        <v>aws s3 cp s3://rtdc.mdm.uploadarchive.raw/RTDC4042/ "%USERPROFILE%\AppData\Local\Temp\OnboardLogs"\RTDC4042\2017-09-22 --exclude "*" --recursive --include "*20170922*" &amp; "%USERPROFILE%\Documents\GitHub\mrs-test-scripts\Headless Mode &amp; Sideloading\WalkAndUnGZ.bat" "%USERPROFILE%\AppData\Local\Temp\OnboardLogs"\RTDC4042\2017-09-22 &amp; aws s3 cp s3://rtdc.mdm.uploadarchive.raw/RTDC4042/ "%USERPROFILE%\AppData\Local\Temp\OnboardLogs"\RTDC4042\2017-09-23 --exclude "*" --recursive --include "*20170923*" &amp; "%USERPROFILE%\Documents\GitHub\mrs-test-scripts\Headless Mode &amp; Sideloading\WalkAndUnGZ.bat" "%USERPROFILE%\AppData\Local\Temp\OnboardLogs"\RTDC4042\2017-09-23</v>
      </c>
      <c r="S23" s="84" t="str">
        <f>VLOOKUP(C23,'Train Runs'!$A$13:$AE$9973,22,0)</f>
        <v>https://d0f6bd738d7f1b3e5a7ca70fe4ff75f0.us-east-1.aws.found.io/app/kibana#/discover/Steve-Slow-Train-Analysis-(2080s-and-2083s)?_g=(refreshInterval:(display:Off,pause:!f,section:0,value:0),time:(from:'2017-09-22T14:56:44-0600',mode:absolute,to:'2017-09-22T17:24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3" s="86" t="str">
        <f t="shared" si="1"/>
        <v>"C:\Program Files (x86)\AstroGrep\AstroGrep.exe" /e /r /s /spath="%USERPROFILE%\AppData\Local\Temp\OnboardLogs" /stypes="*4042*201709222*" /stext=" 22:.+((SYSTEM_STATE.+slice.+state.+changed )|(ment ac)|(multiple cpu faults)|(system.+state.+changed )|(\[timeout)|(PRM\|1\|D)|(kpr)|(kdp)|(train st.+moving)|(\|lc)|(penalty))"</v>
      </c>
      <c r="U23" s="9" t="str">
        <f t="shared" si="2"/>
        <v>4042</v>
      </c>
      <c r="V23" s="31">
        <f t="shared" si="3"/>
        <v>43000.926064814812</v>
      </c>
      <c r="W23" s="45" t="str">
        <f t="shared" si="4"/>
        <v>NW</v>
      </c>
      <c r="X23" s="22">
        <f t="shared" si="5"/>
        <v>829</v>
      </c>
      <c r="Y23" s="96" t="str">
        <f t="shared" si="6"/>
        <v>echo {"issue":{"subject":"","project_id":79,"tracker_id":40,"status_id":1,"priority_id":2,"assigned_to_id":338,"start_date":"2017-09-22","description":"","custom_fields":[{"id":1,"name":"Subdivision","value":"NW"},{"id":4,"name":"Milepost","value":"1.3572"},{"id":17,"name":"Train ID","value":"829-22"},{"id":16,"name":"Locomotive ID","value":"4042"},{"id":130,"name":"Impact","value":""},{"id":150,"name":"Time of Event (Mountain Time)","value":"16:13:32"},{"id":151,"name":"Denver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/c/Users/stu/AppData/Local/Temp/OnboardLogs/RTDC4042 --include="*4042*201709222*"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"%USERPROFILE%\AppData\Local\Temp\OnboardLogs"\RTDC4042\*4042*201709222* &gt;&gt; 2017-09-22-SliceDisagreementCheck.txt</v>
      </c>
      <c r="AE23" s="145" t="str">
        <f t="shared" si="9"/>
        <v>start /low /b %USERPROFILE%\Documents\GitHub\eaglep3\Utilities\DownloadLogsFromS3.py --loco 4042 --day 2017-09-22</v>
      </c>
      <c r="AF23" s="1"/>
    </row>
    <row r="24" spans="1:32" x14ac:dyDescent="0.25">
      <c r="A24" s="31">
        <v>43000.84306712963</v>
      </c>
      <c r="B24" s="30" t="s">
        <v>471</v>
      </c>
      <c r="C24" s="30" t="s">
        <v>605</v>
      </c>
      <c r="D24" s="30" t="s">
        <v>49</v>
      </c>
      <c r="E24" s="30" t="s">
        <v>194</v>
      </c>
      <c r="F24" s="42">
        <v>300</v>
      </c>
      <c r="G24" s="42">
        <v>352</v>
      </c>
      <c r="H24" s="42">
        <v>20579</v>
      </c>
      <c r="I24" s="42">
        <v>21522</v>
      </c>
      <c r="J24" s="30" t="s">
        <v>195</v>
      </c>
      <c r="K24" s="42">
        <v>21312</v>
      </c>
      <c r="L24" s="131" t="s">
        <v>50</v>
      </c>
      <c r="M24" s="132">
        <f t="shared" si="0"/>
        <v>-110.88</v>
      </c>
      <c r="N24" s="133" t="str">
        <f>VLOOKUP(C24,'Trips&amp;Operators'!$C$1:$G$99911,5,FALSE)</f>
        <v>BERLING GARY</v>
      </c>
      <c r="O24" s="176" t="s">
        <v>179</v>
      </c>
      <c r="P24" s="134"/>
      <c r="Q24" s="30"/>
      <c r="R24" s="81" t="str">
        <f>VLOOKUP(C24,'Train Runs'!$A$13:$AE$9973,31,0)</f>
        <v>aws s3 cp s3://rtdc.mdm.uploadarchive.raw/RTDC4042/ "%USERPROFILE%\AppData\Local\Temp\OnboardLogs"\RTDC4042\2017-09-22 --exclude "*" --recursive --include "*20170922*" &amp; "%USERPROFILE%\Documents\GitHub\mrs-test-scripts\Headless Mode &amp; Sideloading\WalkAndUnGZ.bat" "%USERPROFILE%\AppData\Local\Temp\OnboardLogs"\RTDC4042\2017-09-22 &amp; aws s3 cp s3://rtdc.mdm.uploadarchive.raw/RTDC4042/ "%USERPROFILE%\AppData\Local\Temp\OnboardLogs"\RTDC4042\2017-09-23 --exclude "*" --recursive --include "*20170923*" &amp; "%USERPROFILE%\Documents\GitHub\mrs-test-scripts\Headless Mode &amp; Sideloading\WalkAndUnGZ.bat" "%USERPROFILE%\AppData\Local\Temp\OnboardLogs"\RTDC4042\2017-09-23</v>
      </c>
      <c r="S24" s="84" t="str">
        <f>VLOOKUP(C24,'Train Runs'!$A$13:$AE$9973,22,0)</f>
        <v>https://d0f6bd738d7f1b3e5a7ca70fe4ff75f0.us-east-1.aws.found.io/app/kibana#/discover/Steve-Slow-Train-Analysis-(2080s-and-2083s)?_g=(refreshInterval:(display:Off,pause:!f,section:0,value:0),time:(from:'2017-09-22T18:57:08-0600',mode:absolute,to:'2017-09-22T21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4" s="86" t="str">
        <f t="shared" si="1"/>
        <v>"C:\Program Files (x86)\AstroGrep\AstroGrep.exe" /e /r /s /spath="%USERPROFILE%\AppData\Local\Temp\OnboardLogs" /stypes="*4042*201709230*" /stext=" 02:.+((SYSTEM_STATE.+slice.+state.+changed )|(ment ac)|(multiple cpu faults)|(system.+state.+changed )|(\[timeout)|(PRM\|1\|D)|(kpr)|(kdp)|(train st.+moving)|(\|lc)|(penalty))"</v>
      </c>
      <c r="U24" s="9" t="str">
        <f t="shared" si="2"/>
        <v>4042</v>
      </c>
      <c r="V24" s="31">
        <f t="shared" si="3"/>
        <v>43001.09306712963</v>
      </c>
      <c r="W24" s="45" t="str">
        <f t="shared" si="4"/>
        <v>NW</v>
      </c>
      <c r="X24" s="22">
        <f t="shared" si="5"/>
        <v>843</v>
      </c>
      <c r="Y24" s="96" t="str">
        <f t="shared" si="6"/>
        <v>echo {"issue":{"subject":"","project_id":79,"tracker_id":40,"status_id":1,"priority_id":2,"assigned_to_id":338,"start_date":"2017-09-22","description":"","custom_fields":[{"id":1,"name":"Subdivision","value":"NW"},{"id":4,"name":"Milepost","value":"2.1312"},{"id":17,"name":"Train ID","value":"843-22"},{"id":16,"name":"Locomotive ID","value":"4042"},{"id":130,"name":"Impact","value":""},{"id":150,"name":"Time of Event (Mountain Time)","value":"20:14:01"},{"id":151,"name":"Denver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/c/Users/stu/AppData/Local/Temp/OnboardLogs/RTDC4042 --include="*4042*201709230*"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"%USERPROFILE%\AppData\Local\Temp\OnboardLogs"\RTDC4042\*4042*201709230* &gt;&gt; 2017-09-22-SliceDisagreementCheck.txt</v>
      </c>
      <c r="AE24" s="145" t="str">
        <f t="shared" si="9"/>
        <v>start /low /b %USERPROFILE%\Documents\GitHub\eaglep3\Utilities\DownloadLogsFromS3.py --loco 4042 --day 2017-09-23</v>
      </c>
      <c r="AF24" s="1"/>
    </row>
    <row r="25" spans="1:32" x14ac:dyDescent="0.25">
      <c r="A25" s="31">
        <v>43000.388773148145</v>
      </c>
      <c r="B25" s="30" t="s">
        <v>471</v>
      </c>
      <c r="C25" s="30" t="s">
        <v>585</v>
      </c>
      <c r="D25" s="30" t="s">
        <v>49</v>
      </c>
      <c r="E25" s="30" t="s">
        <v>194</v>
      </c>
      <c r="F25" s="42">
        <v>150</v>
      </c>
      <c r="G25" s="42">
        <v>302</v>
      </c>
      <c r="H25" s="42">
        <v>55877</v>
      </c>
      <c r="I25" s="42">
        <v>56386</v>
      </c>
      <c r="J25" s="30" t="s">
        <v>195</v>
      </c>
      <c r="K25" s="42">
        <v>57008</v>
      </c>
      <c r="L25" s="131" t="s">
        <v>50</v>
      </c>
      <c r="M25" s="132">
        <f t="shared" si="0"/>
        <v>328.416</v>
      </c>
      <c r="N25" s="133" t="str">
        <f>VLOOKUP(C25,'Trips&amp;Operators'!$C$1:$G$99911,5,FALSE)</f>
        <v>LALONDE GREGORY</v>
      </c>
      <c r="O25" s="176" t="s">
        <v>179</v>
      </c>
      <c r="P25" s="134"/>
      <c r="Q25" s="30"/>
      <c r="R25" s="81" t="str">
        <f>VLOOKUP(C25,'Train Runs'!$A$13:$AE$9973,31,0)</f>
        <v>aws s3 cp s3://rtdc.mdm.uploadarchive.raw/RTDC4042/ "%USERPROFILE%\AppData\Local\Temp\OnboardLogs"\RTDC4042\2017-09-22 --exclude "*" --recursive --include "*20170922*" &amp; "%USERPROFILE%\Documents\GitHub\mrs-test-scripts\Headless Mode &amp; Sideloading\WalkAndUnGZ.bat" "%USERPROFILE%\AppData\Local\Temp\OnboardLogs"\RTDC4042\2017-09-22 &amp; aws s3 cp s3://rtdc.mdm.uploadarchive.raw/RTDC4042/ "%USERPROFILE%\AppData\Local\Temp\OnboardLogs"\RTDC4042\2017-09-23 --exclude "*" --recursive --include "*20170923*" &amp; "%USERPROFILE%\Documents\GitHub\mrs-test-scripts\Headless Mode &amp; Sideloading\WalkAndUnGZ.bat" "%USERPROFILE%\AppData\Local\Temp\OnboardLogs"\RTDC4042\2017-09-23</v>
      </c>
      <c r="S25" s="84" t="str">
        <f>VLOOKUP(C25,'Train Runs'!$A$13:$AE$9973,22,0)</f>
        <v>https://d0f6bd738d7f1b3e5a7ca70fe4ff75f0.us-east-1.aws.found.io/app/kibana#/discover/Steve-Slow-Train-Analysis-(2080s-and-2083s)?_g=(refreshInterval:(display:Off,pause:!f,section:0,value:0),time:(from:'2017-09-22T08:00:51-0600',mode:absolute,to:'2017-09-22T10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5" s="86" t="str">
        <f t="shared" si="1"/>
        <v>"C:\Program Files (x86)\AstroGrep\AstroGrep.exe" /e /r /s /spath="%USERPROFILE%\AppData\Local\Temp\OnboardLogs" /stypes="*4042*201709221*" /stext=" 15:.+((SYSTEM_STATE.+slice.+state.+changed )|(ment ac)|(multiple cpu faults)|(system.+state.+changed )|(\[timeout)|(PRM\|1\|D)|(kpr)|(kdp)|(train st.+moving)|(\|lc)|(penalty))"</v>
      </c>
      <c r="U25" s="9" t="str">
        <f t="shared" si="2"/>
        <v>4042</v>
      </c>
      <c r="V25" s="31">
        <f t="shared" si="3"/>
        <v>43000.638773148145</v>
      </c>
      <c r="W25" s="45" t="str">
        <f t="shared" si="4"/>
        <v>NW</v>
      </c>
      <c r="X25" s="22">
        <f t="shared" si="5"/>
        <v>813</v>
      </c>
      <c r="Y25" s="96" t="str">
        <f t="shared" si="6"/>
        <v>echo {"issue":{"subject":"","project_id":79,"tracker_id":40,"status_id":1,"priority_id":2,"assigned_to_id":338,"start_date":"2017-09-22","description":"","custom_fields":[{"id":1,"name":"Subdivision","value":"NW"},{"id":4,"name":"Milepost","value":"5.7008"},{"id":17,"name":"Train ID","value":"813-22"},{"id":16,"name":"Locomotive ID","value":"4042"},{"id":130,"name":"Impact","value":""},{"id":150,"name":"Time of Event (Mountain Time)","value":"09:19:50"},{"id":151,"name":"Denver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/c/Users/stu/AppData/Local/Temp/OnboardLogs/RTDC4042 --include="*4042*201709221*"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"%USERPROFILE%\AppData\Local\Temp\OnboardLogs"\RTDC4042\*4042*201709221* &gt;&gt; 2017-09-22-SliceDisagreementCheck.txt</v>
      </c>
      <c r="AE25" s="145" t="str">
        <f t="shared" si="9"/>
        <v>start /low /b %USERPROFILE%\Documents\GitHub\eaglep3\Utilities\DownloadLogsFromS3.py --loco 4042 --day 2017-09-22</v>
      </c>
      <c r="AF25" s="1"/>
    </row>
    <row r="26" spans="1:32" x14ac:dyDescent="0.25">
      <c r="A26" s="31">
        <v>43000.759340277778</v>
      </c>
      <c r="B26" s="30" t="s">
        <v>580</v>
      </c>
      <c r="C26" s="30" t="s">
        <v>604</v>
      </c>
      <c r="D26" s="30" t="s">
        <v>95</v>
      </c>
      <c r="E26" s="30" t="s">
        <v>194</v>
      </c>
      <c r="F26" s="42">
        <v>150</v>
      </c>
      <c r="G26" s="42">
        <v>205</v>
      </c>
      <c r="H26" s="42">
        <v>56879</v>
      </c>
      <c r="I26" s="42">
        <v>56519</v>
      </c>
      <c r="J26" s="30" t="s">
        <v>195</v>
      </c>
      <c r="K26" s="42">
        <v>59050</v>
      </c>
      <c r="L26" s="131" t="s">
        <v>51</v>
      </c>
      <c r="M26" s="132">
        <f t="shared" si="0"/>
        <v>-1336.3679999999999</v>
      </c>
      <c r="N26" s="133" t="str">
        <f>VLOOKUP(C26,'Trips&amp;Operators'!$C$1:$G$99911,5,FALSE)</f>
        <v>BERLING GARY</v>
      </c>
      <c r="O26" s="176" t="s">
        <v>179</v>
      </c>
      <c r="P26" s="134"/>
      <c r="Q26" s="30"/>
      <c r="R26" s="81" t="str">
        <f>VLOOKUP(C26,'Train Runs'!$A$13:$AE$9973,31,0)</f>
        <v>aws s3 cp s3://rtdc.mdm.uploadarchive.raw/RTDC4041/ "%USERPROFILE%\AppData\Local\Temp\OnboardLogs"\RTDC4041\2017-09-22 --exclude "*" --recursive --include "*20170922*" &amp; "%USERPROFILE%\Documents\GitHub\mrs-test-scripts\Headless Mode &amp; Sideloading\WalkAndUnGZ.bat" "%USERPROFILE%\AppData\Local\Temp\OnboardLogs"\RTDC4041\2017-09-22 &amp; aws s3 cp s3://rtdc.mdm.uploadarchive.raw/RTDC4041/ "%USERPROFILE%\AppData\Local\Temp\OnboardLogs"\RTDC4041\2017-09-23 --exclude "*" --recursive --include "*20170923*" &amp; "%USERPROFILE%\Documents\GitHub\mrs-test-scripts\Headless Mode &amp; Sideloading\WalkAndUnGZ.bat" "%USERPROFILE%\AppData\Local\Temp\OnboardLogs"\RTDC4041\2017-09-23</v>
      </c>
      <c r="S26" s="84" t="str">
        <f>VLOOKUP(C26,'Train Runs'!$A$13:$AE$9973,22,0)</f>
        <v>https://d0f6bd738d7f1b3e5a7ca70fe4ff75f0.us-east-1.aws.found.io/app/kibana#/discover/Steve-Slow-Train-Analysis-(2080s-and-2083s)?_g=(refreshInterval:(display:Off,pause:!f,section:0,value:0),time:(from:'2017-09-22T17:05:02-0600',mode:absolute,to:'2017-09-22T19:26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6" s="86" t="str">
        <f t="shared" si="1"/>
        <v>"C:\Program Files (x86)\AstroGrep\AstroGrep.exe" /e /r /s /spath="%USERPROFILE%\AppData\Local\Temp\OnboardLogs" /stypes="*4041*201709230*" /stext=" 00:.+((SYSTEM_STATE.+slice.+state.+changed )|(ment ac)|(multiple cpu faults)|(system.+state.+changed )|(\[timeout)|(PRM\|1\|D)|(kpr)|(kdp)|(train st.+moving)|(\|lc)|(penalty))"</v>
      </c>
      <c r="U26" s="9" t="str">
        <f t="shared" si="2"/>
        <v>4041</v>
      </c>
      <c r="V26" s="31">
        <f t="shared" si="3"/>
        <v>43001.009340277778</v>
      </c>
      <c r="W26" s="45" t="str">
        <f t="shared" si="4"/>
        <v>NW</v>
      </c>
      <c r="X26" s="22">
        <f t="shared" si="5"/>
        <v>836</v>
      </c>
      <c r="Y26" s="96" t="str">
        <f t="shared" si="6"/>
        <v>echo {"issue":{"subject":"","project_id":79,"tracker_id":40,"status_id":1,"priority_id":2,"assigned_to_id":338,"start_date":"2017-09-22","description":"","custom_fields":[{"id":1,"name":"Subdivision","value":"NW"},{"id":4,"name":"Milepost","value":"5.905"},{"id":17,"name":"Train ID","value":"836-22"},{"id":16,"name":"Locomotive ID","value":"4041"},{"id":130,"name":"Impact","value":""},{"id":150,"name":"Time of Event (Mountain Time)","value":"18:13:27"},{"id":151,"name":"Denver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/c/Users/stu/AppData/Local/Temp/OnboardLogs/RTDC4041 --include="*4041*201709230*"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"%USERPROFILE%\AppData\Local\Temp\OnboardLogs"\RTDC4041\*4041*201709230* &gt;&gt; 2017-09-22-SliceDisagreementCheck.txt</v>
      </c>
      <c r="AE26" s="145" t="str">
        <f t="shared" si="9"/>
        <v>start /low /b %USERPROFILE%\Documents\GitHub\eaglep3\Utilities\DownloadLogsFromS3.py --loco 4041 --day 2017-09-23</v>
      </c>
      <c r="AF26" s="1"/>
    </row>
    <row r="27" spans="1:32" x14ac:dyDescent="0.25">
      <c r="A27" s="31">
        <v>43000.970231481479</v>
      </c>
      <c r="B27" s="30" t="s">
        <v>471</v>
      </c>
      <c r="C27" s="30" t="s">
        <v>606</v>
      </c>
      <c r="D27" s="30" t="s">
        <v>49</v>
      </c>
      <c r="E27" s="30" t="s">
        <v>359</v>
      </c>
      <c r="F27" s="42">
        <v>0</v>
      </c>
      <c r="G27" s="42">
        <v>325</v>
      </c>
      <c r="H27" s="42">
        <v>36087</v>
      </c>
      <c r="I27" s="42">
        <v>36914</v>
      </c>
      <c r="J27" s="30" t="s">
        <v>360</v>
      </c>
      <c r="K27" s="42">
        <v>37575</v>
      </c>
      <c r="L27" s="131" t="s">
        <v>50</v>
      </c>
      <c r="M27" s="132">
        <f t="shared" si="0"/>
        <v>349.00800000000004</v>
      </c>
      <c r="N27" s="133" t="str">
        <f>VLOOKUP(C27,'Trips&amp;Operators'!$C$1:$G$99911,5,FALSE)</f>
        <v>SMITH MICHAEL</v>
      </c>
      <c r="O27" s="176" t="s">
        <v>417</v>
      </c>
      <c r="P27" s="134" t="s">
        <v>981</v>
      </c>
      <c r="Q27" s="30"/>
      <c r="R27" s="81" t="str">
        <f>VLOOKUP(C27,'Train Runs'!$A$13:$AE$9973,31,0)</f>
        <v>aws s3 cp s3://rtdc.mdm.uploadarchive.raw/RTDC4042/ "%USERPROFILE%\AppData\Local\Temp\OnboardLogs"\RTDC4042\2017-09-22 --exclude "*" --recursive --include "*20170922*" &amp; "%USERPROFILE%\Documents\GitHub\mrs-test-scripts\Headless Mode &amp; Sideloading\WalkAndUnGZ.bat" "%USERPROFILE%\AppData\Local\Temp\OnboardLogs"\RTDC4042\2017-09-22 &amp; aws s3 cp s3://rtdc.mdm.uploadarchive.raw/RTDC4042/ "%USERPROFILE%\AppData\Local\Temp\OnboardLogs"\RTDC4042\2017-09-23 --exclude "*" --recursive --include "*20170923*" &amp; "%USERPROFILE%\Documents\GitHub\mrs-test-scripts\Headless Mode &amp; Sideloading\WalkAndUnGZ.bat" "%USERPROFILE%\AppData\Local\Temp\OnboardLogs"\RTDC4042\2017-09-23</v>
      </c>
      <c r="S27" s="84" t="str">
        <f>VLOOKUP(C27,'Train Runs'!$A$13:$AE$9973,22,0)</f>
        <v>https://d0f6bd738d7f1b3e5a7ca70fe4ff75f0.us-east-1.aws.found.io/app/kibana#/discover/Steve-Slow-Train-Analysis-(2080s-and-2083s)?_g=(refreshInterval:(display:Off,pause:!f,section:0,value:0),time:(from:'2017-09-22T20:56:34-0600',mode:absolute,to:'2017-09-23T00:24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7" s="86" t="str">
        <f t="shared" si="1"/>
        <v>"C:\Program Files (x86)\AstroGrep\AstroGrep.exe" /e /r /s /spath="%USERPROFILE%\AppData\Local\Temp\OnboardLogs" /stypes="*4042*201709230*" /stext=" 05:.+((SYSTEM_STATE.+slice.+state.+changed )|(ment ac)|(multiple cpu faults)|(system.+state.+changed )|(\[timeout)|(PRM\|1\|D)|(kpr)|(kdp)|(train st.+moving)|(\|lc)|(penalty))"</v>
      </c>
      <c r="U27" s="9" t="str">
        <f t="shared" si="2"/>
        <v>4042</v>
      </c>
      <c r="V27" s="31">
        <f t="shared" si="3"/>
        <v>43001.220231481479</v>
      </c>
      <c r="W27" s="45" t="str">
        <f t="shared" si="4"/>
        <v>NW</v>
      </c>
      <c r="X27" s="22">
        <f t="shared" si="5"/>
        <v>849</v>
      </c>
      <c r="Y27" s="96" t="str">
        <f t="shared" si="6"/>
        <v>echo {"issue":{"subject":"Wi-MAX data drop","project_id":79,"tracker_id":40,"status_id":1,"priority_id":2,"assigned_to_id":338,"start_date":"2017-09-22","description":"","custom_fields":[{"id":1,"name":"Subdivision","value":"NW"},{"id":4,"name":"Milepost","value":"3.7575"},{"id":17,"name":"Train ID","value":"849-22"},{"id":16,"name":"Locomotive ID","value":"4042"},{"id":130,"name":"Impact","value":""},{"id":150,"name":"Time of Event (Mountain Time)","value":"23:17:08"},{"id":151,"name":"Denver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/c/Users/stu/AppData/Local/Temp/OnboardLogs/RTDC4042 --include="*4042*201709230*"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"%USERPROFILE%\AppData\Local\Temp\OnboardLogs"\RTDC4042\*4042*201709230* &gt;&gt; 2017-09-22-SliceDisagreementCheck.txt</v>
      </c>
      <c r="AE27" s="145" t="str">
        <f t="shared" si="9"/>
        <v>start /low /b %USERPROFILE%\Documents\GitHub\eaglep3\Utilities\DownloadLogsFromS3.py --loco 4042 --day 2017-09-23</v>
      </c>
      <c r="AF27" s="1"/>
    </row>
    <row r="28" spans="1:32" x14ac:dyDescent="0.25">
      <c r="A28" s="31">
        <v>43000.351087962961</v>
      </c>
      <c r="B28" s="30" t="s">
        <v>436</v>
      </c>
      <c r="C28" s="30" t="s">
        <v>582</v>
      </c>
      <c r="D28" s="30" t="s">
        <v>49</v>
      </c>
      <c r="E28" s="30" t="s">
        <v>180</v>
      </c>
      <c r="F28" s="42">
        <v>0</v>
      </c>
      <c r="G28" s="42">
        <v>33</v>
      </c>
      <c r="H28" s="42">
        <v>77</v>
      </c>
      <c r="I28" s="42">
        <v>66</v>
      </c>
      <c r="J28" s="30" t="s">
        <v>181</v>
      </c>
      <c r="K28" s="42">
        <v>1</v>
      </c>
      <c r="L28" s="131" t="s">
        <v>51</v>
      </c>
      <c r="M28" s="132">
        <f t="shared" si="0"/>
        <v>34.32</v>
      </c>
      <c r="N28" s="133" t="str">
        <f>VLOOKUP(C28,'Trips&amp;Operators'!$C$1:$G$99911,5,FALSE)</f>
        <v>ACKERMAN JARED</v>
      </c>
      <c r="O28" s="176" t="s">
        <v>179</v>
      </c>
      <c r="P28" s="134"/>
      <c r="Q28" s="30"/>
      <c r="R28" s="81" t="str">
        <f>VLOOKUP(C28,'Train Runs'!$A$13:$AE$9973,31,0)</f>
        <v>aws s3 cp s3://rtdc.mdm.uploadarchive.raw/RTDC4039/ "%USERPROFILE%\AppData\Local\Temp\OnboardLogs"\RTDC4039\2017-09-22 --exclude "*" --recursive --include "*20170922*" &amp; "%USERPROFILE%\Documents\GitHub\mrs-test-scripts\Headless Mode &amp; Sideloading\WalkAndUnGZ.bat" "%USERPROFILE%\AppData\Local\Temp\OnboardLogs"\RTDC4039\2017-09-22 &amp; 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</v>
      </c>
      <c r="S28" s="84" t="str">
        <f>VLOOKUP(C28,'Train Runs'!$A$13:$AE$9973,22,0)</f>
        <v>https://d0f6bd738d7f1b3e5a7ca70fe4ff75f0.us-east-1.aws.found.io/app/kibana#/discover/Steve-Slow-Train-Analysis-(2080s-and-2083s)?_g=(refreshInterval:(display:Off,pause:!f,section:0,value:0),time:(from:'2017-09-22T06:56:23-0600',mode:absolute,to:'2017-09-22T09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8" s="86" t="str">
        <f t="shared" si="1"/>
        <v>"C:\Program Files (x86)\AstroGrep\AstroGrep.exe" /e /r /s /spath="%USERPROFILE%\AppData\Local\Temp\OnboardLogs" /stypes="*4039*201709221*" /stext=" 14:.+((SYSTEM_STATE.+slice.+state.+changed )|(ment ac)|(multiple cpu faults)|(system.+state.+changed )|(\[timeout)|(PRM\|1\|D)|(kpr)|(kdp)|(train st.+moving)|(\|lc)|(penalty))"</v>
      </c>
      <c r="U28" s="9" t="str">
        <f t="shared" si="2"/>
        <v>4039</v>
      </c>
      <c r="V28" s="31">
        <f t="shared" si="3"/>
        <v>43000.601087962961</v>
      </c>
      <c r="W28" s="45" t="str">
        <f t="shared" si="4"/>
        <v>NW</v>
      </c>
      <c r="X28" s="22">
        <f t="shared" si="5"/>
        <v>810</v>
      </c>
      <c r="Y28" s="96" t="str">
        <f t="shared" si="6"/>
        <v>echo {"issue":{"subject":"","project_id":79,"tracker_id":40,"status_id":1,"priority_id":2,"assigned_to_id":338,"start_date":"2017-09-22","description":"","custom_fields":[{"id":1,"name":"Subdivision","value":"NW"},{"id":4,"name":"Milepost","value":"0.0001"},{"id":17,"name":"Train ID","value":"810-22"},{"id":16,"name":"Locomotive ID","value":"4039"},{"id":130,"name":"Impact","value":""},{"id":150,"name":"Time of Event (Mountain Time)","value":"08:25:34"},{"id":151,"name":"Denver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/c/Users/stu/AppData/Local/Temp/OnboardLogs/RTDC4039 --include="*4039*201709221*"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"%USERPROFILE%\AppData\Local\Temp\OnboardLogs"\RTDC4039\*4039*201709221* &gt;&gt; 2017-09-22-SliceDisagreementCheck.txt</v>
      </c>
      <c r="AE28" s="145" t="str">
        <f t="shared" si="9"/>
        <v>start /low /b %USERPROFILE%\Documents\GitHub\eaglep3\Utilities\DownloadLogsFromS3.py --loco 4039 --day 2017-09-22</v>
      </c>
      <c r="AF28" s="1"/>
    </row>
    <row r="29" spans="1:32" x14ac:dyDescent="0.25">
      <c r="A29" s="31">
        <v>43000.309374999997</v>
      </c>
      <c r="B29" s="30" t="s">
        <v>436</v>
      </c>
      <c r="C29" s="30" t="s">
        <v>578</v>
      </c>
      <c r="D29" s="30" t="s">
        <v>49</v>
      </c>
      <c r="E29" s="30" t="s">
        <v>180</v>
      </c>
      <c r="F29" s="42">
        <v>0</v>
      </c>
      <c r="G29" s="42">
        <v>39</v>
      </c>
      <c r="H29" s="42">
        <v>699</v>
      </c>
      <c r="I29" s="42">
        <v>670</v>
      </c>
      <c r="J29" s="30" t="s">
        <v>181</v>
      </c>
      <c r="K29" s="42">
        <v>575</v>
      </c>
      <c r="L29" s="131" t="s">
        <v>51</v>
      </c>
      <c r="M29" s="132">
        <f t="shared" si="0"/>
        <v>50.16</v>
      </c>
      <c r="N29" s="133" t="str">
        <f>VLOOKUP(C29,'Trips&amp;Operators'!$C$1:$G$99911,5,FALSE)</f>
        <v>ACKERMAN JARED</v>
      </c>
      <c r="O29" s="176" t="s">
        <v>179</v>
      </c>
      <c r="P29" s="134"/>
      <c r="Q29" s="30"/>
      <c r="R29" s="81" t="str">
        <f>VLOOKUP(C29,'Train Runs'!$A$13:$AE$9973,31,0)</f>
        <v>aws s3 cp s3://rtdc.mdm.uploadarchive.raw/RTDC4039/ "%USERPROFILE%\AppData\Local\Temp\OnboardLogs"\RTDC4039\2017-09-22 --exclude "*" --recursive --include "*20170922*" &amp; "%USERPROFILE%\Documents\GitHub\mrs-test-scripts\Headless Mode &amp; Sideloading\WalkAndUnGZ.bat" "%USERPROFILE%\AppData\Local\Temp\OnboardLogs"\RTDC4039\2017-09-22 &amp; 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</v>
      </c>
      <c r="S29" s="84" t="str">
        <f>VLOOKUP(C29,'Train Runs'!$A$13:$AE$9973,22,0)</f>
        <v>https://d0f6bd738d7f1b3e5a7ca70fe4ff75f0.us-east-1.aws.found.io/app/kibana#/discover/Steve-Slow-Train-Analysis-(2080s-and-2083s)?_g=(refreshInterval:(display:Off,pause:!f,section:0,value:0),time:(from:'2017-09-22T05:56:58-0600',mode:absolute,to:'2017-09-22T08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9" s="86" t="str">
        <f t="shared" si="1"/>
        <v>"C:\Program Files (x86)\AstroGrep\AstroGrep.exe" /e /r /s /spath="%USERPROFILE%\AppData\Local\Temp\OnboardLogs" /stypes="*4039*201709221*" /stext=" 13:.+((SYSTEM_STATE.+slice.+state.+changed )|(ment ac)|(multiple cpu faults)|(system.+state.+changed )|(\[timeout)|(PRM\|1\|D)|(kpr)|(kdp)|(train st.+moving)|(\|lc)|(penalty))"</v>
      </c>
      <c r="U29" s="9" t="str">
        <f t="shared" si="2"/>
        <v>4039</v>
      </c>
      <c r="V29" s="31">
        <f t="shared" si="3"/>
        <v>43000.559374999997</v>
      </c>
      <c r="W29" s="45" t="str">
        <f t="shared" si="4"/>
        <v>NW</v>
      </c>
      <c r="X29" s="22">
        <f t="shared" si="5"/>
        <v>806</v>
      </c>
      <c r="Y29" s="96" t="str">
        <f t="shared" si="6"/>
        <v>echo {"issue":{"subject":"","project_id":79,"tracker_id":40,"status_id":1,"priority_id":2,"assigned_to_id":338,"start_date":"2017-09-22","description":"","custom_fields":[{"id":1,"name":"Subdivision","value":"NW"},{"id":4,"name":"Milepost","value":"0.0575"},{"id":17,"name":"Train ID","value":"806-22"},{"id":16,"name":"Locomotive ID","value":"4039"},{"id":130,"name":"Impact","value":""},{"id":150,"name":"Time of Event (Mountain Time)","value":"07:25:30"},{"id":151,"name":"Denver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/c/Users/stu/AppData/Local/Temp/OnboardLogs/RTDC4039 --include="*4039*201709221*"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"%USERPROFILE%\AppData\Local\Temp\OnboardLogs"\RTDC4039\*4039*201709221* &gt;&gt; 2017-09-22-SliceDisagreementCheck.txt</v>
      </c>
      <c r="AE29" s="145" t="str">
        <f t="shared" si="9"/>
        <v>start /low /b %USERPROFILE%\Documents\GitHub\eaglep3\Utilities\DownloadLogsFromS3.py --loco 4039 --day 2017-09-22</v>
      </c>
      <c r="AF29" s="1"/>
    </row>
    <row r="30" spans="1:32" x14ac:dyDescent="0.25">
      <c r="A30" s="31">
        <v>43000.329212962963</v>
      </c>
      <c r="B30" s="30" t="s">
        <v>580</v>
      </c>
      <c r="C30" s="30" t="s">
        <v>581</v>
      </c>
      <c r="D30" s="30" t="s">
        <v>49</v>
      </c>
      <c r="E30" s="30" t="s">
        <v>180</v>
      </c>
      <c r="F30" s="42">
        <v>0</v>
      </c>
      <c r="G30" s="42">
        <v>38</v>
      </c>
      <c r="H30" s="42">
        <v>696</v>
      </c>
      <c r="I30" s="42">
        <v>670</v>
      </c>
      <c r="J30" s="30" t="s">
        <v>181</v>
      </c>
      <c r="K30" s="42">
        <v>575</v>
      </c>
      <c r="L30" s="131" t="s">
        <v>51</v>
      </c>
      <c r="M30" s="132">
        <f t="shared" si="0"/>
        <v>50.16</v>
      </c>
      <c r="N30" s="133" t="str">
        <f>VLOOKUP(C30,'Trips&amp;Operators'!$C$1:$G$99911,5,FALSE)</f>
        <v>LALONDE GREGORY</v>
      </c>
      <c r="O30" s="176" t="s">
        <v>179</v>
      </c>
      <c r="P30" s="134"/>
      <c r="Q30" s="30"/>
      <c r="R30" s="81" t="str">
        <f>VLOOKUP(C30,'Train Runs'!$A$13:$AE$9973,31,0)</f>
        <v>aws s3 cp s3://rtdc.mdm.uploadarchive.raw/RTDC4041/ "%USERPROFILE%\AppData\Local\Temp\OnboardLogs"\RTDC4041\2017-09-22 --exclude "*" --recursive --include "*20170922*" &amp; "%USERPROFILE%\Documents\GitHub\mrs-test-scripts\Headless Mode &amp; Sideloading\WalkAndUnGZ.bat" "%USERPROFILE%\AppData\Local\Temp\OnboardLogs"\RTDC4041\2017-09-22 &amp; aws s3 cp s3://rtdc.mdm.uploadarchive.raw/RTDC4041/ "%USERPROFILE%\AppData\Local\Temp\OnboardLogs"\RTDC4041\2017-09-23 --exclude "*" --recursive --include "*20170923*" &amp; "%USERPROFILE%\Documents\GitHub\mrs-test-scripts\Headless Mode &amp; Sideloading\WalkAndUnGZ.bat" "%USERPROFILE%\AppData\Local\Temp\OnboardLogs"\RTDC4041\2017-09-23</v>
      </c>
      <c r="S30" s="84" t="str">
        <f>VLOOKUP(C30,'Train Runs'!$A$13:$AE$9973,22,0)</f>
        <v>https://d0f6bd738d7f1b3e5a7ca70fe4ff75f0.us-east-1.aws.found.io/app/kibana#/discover/Steve-Slow-Train-Analysis-(2080s-and-2083s)?_g=(refreshInterval:(display:Off,pause:!f,section:0,value:0),time:(from:'2017-09-22T06:25:48-0600',mode:absolute,to:'2017-09-22T08:54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0" s="86" t="str">
        <f t="shared" si="1"/>
        <v>"C:\Program Files (x86)\AstroGrep\AstroGrep.exe" /e /r /s /spath="%USERPROFILE%\AppData\Local\Temp\OnboardLogs" /stypes="*4041*201709221*" /stext=" 13:.+((SYSTEM_STATE.+slice.+state.+changed )|(ment ac)|(multiple cpu faults)|(system.+state.+changed )|(\[timeout)|(PRM\|1\|D)|(kpr)|(kdp)|(train st.+moving)|(\|lc)|(penalty))"</v>
      </c>
      <c r="U30" s="9" t="str">
        <f t="shared" si="2"/>
        <v>4041</v>
      </c>
      <c r="V30" s="31">
        <f t="shared" si="3"/>
        <v>43000.579212962963</v>
      </c>
      <c r="W30" s="45" t="str">
        <f t="shared" si="4"/>
        <v>NW</v>
      </c>
      <c r="X30" s="22">
        <f t="shared" si="5"/>
        <v>808</v>
      </c>
      <c r="Y30" s="96" t="str">
        <f t="shared" si="6"/>
        <v>echo {"issue":{"subject":"","project_id":79,"tracker_id":40,"status_id":1,"priority_id":2,"assigned_to_id":338,"start_date":"2017-09-22","description":"","custom_fields":[{"id":1,"name":"Subdivision","value":"NW"},{"id":4,"name":"Milepost","value":"0.0575"},{"id":17,"name":"Train ID","value":"808-22"},{"id":16,"name":"Locomotive ID","value":"4041"},{"id":130,"name":"Impact","value":""},{"id":150,"name":"Time of Event (Mountain Time)","value":"07:54:04"},{"id":151,"name":"Denver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/c/Users/stu/AppData/Local/Temp/OnboardLogs/RTDC4041 --include="*4041*201709221*"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"%USERPROFILE%\AppData\Local\Temp\OnboardLogs"\RTDC4041\*4041*201709221* &gt;&gt; 2017-09-22-SliceDisagreementCheck.txt</v>
      </c>
      <c r="AE30" s="145" t="str">
        <f t="shared" si="9"/>
        <v>start /low /b %USERPROFILE%\Documents\GitHub\eaglep3\Utilities\DownloadLogsFromS3.py --loco 4041 --day 2017-09-22</v>
      </c>
      <c r="AF30" s="1"/>
    </row>
    <row r="31" spans="1:32" x14ac:dyDescent="0.25">
      <c r="A31" s="31">
        <v>43000.663171296299</v>
      </c>
      <c r="B31" s="30" t="s">
        <v>580</v>
      </c>
      <c r="C31" s="30" t="s">
        <v>599</v>
      </c>
      <c r="D31" s="30" t="s">
        <v>49</v>
      </c>
      <c r="E31" s="30" t="s">
        <v>180</v>
      </c>
      <c r="F31" s="42">
        <v>0</v>
      </c>
      <c r="G31" s="42">
        <v>44</v>
      </c>
      <c r="H31" s="42">
        <v>705</v>
      </c>
      <c r="I31" s="42">
        <v>668</v>
      </c>
      <c r="J31" s="30" t="s">
        <v>181</v>
      </c>
      <c r="K31" s="42">
        <v>575</v>
      </c>
      <c r="L31" s="131" t="s">
        <v>51</v>
      </c>
      <c r="M31" s="132">
        <f t="shared" si="0"/>
        <v>49.103999999999999</v>
      </c>
      <c r="N31" s="133" t="str">
        <f>VLOOKUP(C31,'Trips&amp;Operators'!$C$1:$G$99911,5,FALSE)</f>
        <v>BERLING GARY</v>
      </c>
      <c r="O31" s="176" t="s">
        <v>179</v>
      </c>
      <c r="P31" s="134"/>
      <c r="Q31" s="30"/>
      <c r="R31" s="81" t="str">
        <f>VLOOKUP(C31,'Train Runs'!$A$13:$AE$9973,31,0)</f>
        <v>aws s3 cp s3://rtdc.mdm.uploadarchive.raw/RTDC4041/ "%USERPROFILE%\AppData\Local\Temp\OnboardLogs"\RTDC4041\2017-09-22 --exclude "*" --recursive --include "*20170922*" &amp; "%USERPROFILE%\Documents\GitHub\mrs-test-scripts\Headless Mode &amp; Sideloading\WalkAndUnGZ.bat" "%USERPROFILE%\AppData\Local\Temp\OnboardLogs"\RTDC4041\2017-09-22 &amp; aws s3 cp s3://rtdc.mdm.uploadarchive.raw/RTDC4041/ "%USERPROFILE%\AppData\Local\Temp\OnboardLogs"\RTDC4041\2017-09-23 --exclude "*" --recursive --include "*20170923*" &amp; "%USERPROFILE%\Documents\GitHub\mrs-test-scripts\Headless Mode &amp; Sideloading\WalkAndUnGZ.bat" "%USERPROFILE%\AppData\Local\Temp\OnboardLogs"\RTDC4041\2017-09-23</v>
      </c>
      <c r="S31" s="84" t="str">
        <f>VLOOKUP(C31,'Train Runs'!$A$13:$AE$9973,22,0)</f>
        <v>https://d0f6bd738d7f1b3e5a7ca70fe4ff75f0.us-east-1.aws.found.io/app/kibana#/discover/Steve-Slow-Train-Analysis-(2080s-and-2083s)?_g=(refreshInterval:(display:Off,pause:!f,section:0,value:0),time:(from:'2017-09-22T14:35:54-0600',mode:absolute,to:'2017-09-22T16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1" s="86" t="str">
        <f t="shared" si="1"/>
        <v>"C:\Program Files (x86)\AstroGrep\AstroGrep.exe" /e /r /s /spath="%USERPROFILE%\AppData\Local\Temp\OnboardLogs" /stypes="*4041*201709222*" /stext=" 21:.+((SYSTEM_STATE.+slice.+state.+changed )|(ment ac)|(multiple cpu faults)|(system.+state.+changed )|(\[timeout)|(PRM\|1\|D)|(kpr)|(kdp)|(train st.+moving)|(\|lc)|(penalty))"</v>
      </c>
      <c r="U31" s="9" t="str">
        <f t="shared" si="2"/>
        <v>4041</v>
      </c>
      <c r="V31" s="31">
        <f t="shared" si="3"/>
        <v>43000.913171296299</v>
      </c>
      <c r="W31" s="45" t="str">
        <f t="shared" si="4"/>
        <v>NW</v>
      </c>
      <c r="X31" s="22">
        <f t="shared" si="5"/>
        <v>826</v>
      </c>
      <c r="Y31" s="96" t="str">
        <f t="shared" si="6"/>
        <v>echo {"issue":{"subject":"","project_id":79,"tracker_id":40,"status_id":1,"priority_id":2,"assigned_to_id":338,"start_date":"2017-09-22","description":"","custom_fields":[{"id":1,"name":"Subdivision","value":"NW"},{"id":4,"name":"Milepost","value":"0.0575"},{"id":17,"name":"Train ID","value":"826-22"},{"id":16,"name":"Locomotive ID","value":"4041"},{"id":130,"name":"Impact","value":""},{"id":150,"name":"Time of Event (Mountain Time)","value":"15:54:58"},{"id":151,"name":"Denver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/c/Users/stu/AppData/Local/Temp/OnboardLogs/RTDC4041 --include="*4041*201709222*"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"%USERPROFILE%\AppData\Local\Temp\OnboardLogs"\RTDC4041\*4041*201709222* &gt;&gt; 2017-09-22-SliceDisagreementCheck.txt</v>
      </c>
      <c r="AE31" s="145" t="str">
        <f t="shared" si="9"/>
        <v>start /low /b %USERPROFILE%\Documents\GitHub\eaglep3\Utilities\DownloadLogsFromS3.py --loco 4041 --day 2017-09-22</v>
      </c>
      <c r="AF31" s="1"/>
    </row>
    <row r="32" spans="1:32" x14ac:dyDescent="0.25">
      <c r="A32" s="31">
        <v>43000.704837962963</v>
      </c>
      <c r="B32" s="30" t="s">
        <v>580</v>
      </c>
      <c r="C32" s="30" t="s">
        <v>602</v>
      </c>
      <c r="D32" s="30" t="s">
        <v>49</v>
      </c>
      <c r="E32" s="30" t="s">
        <v>180</v>
      </c>
      <c r="F32" s="42">
        <v>0</v>
      </c>
      <c r="G32" s="42">
        <v>45</v>
      </c>
      <c r="H32" s="42">
        <v>734</v>
      </c>
      <c r="I32" s="42">
        <v>703</v>
      </c>
      <c r="J32" s="30" t="s">
        <v>181</v>
      </c>
      <c r="K32" s="42">
        <v>575</v>
      </c>
      <c r="L32" s="131" t="s">
        <v>51</v>
      </c>
      <c r="M32" s="132">
        <f t="shared" si="0"/>
        <v>67.584000000000003</v>
      </c>
      <c r="N32" s="133" t="str">
        <f>VLOOKUP(C32,'Trips&amp;Operators'!$C$1:$G$99911,5,FALSE)</f>
        <v>BERLING GARY</v>
      </c>
      <c r="O32" s="176" t="s">
        <v>179</v>
      </c>
      <c r="P32" s="134"/>
      <c r="Q32" s="30"/>
      <c r="R32" s="81" t="str">
        <f>VLOOKUP(C32,'Train Runs'!$A$13:$AE$9973,31,0)</f>
        <v>aws s3 cp s3://rtdc.mdm.uploadarchive.raw/RTDC4041/ "%USERPROFILE%\AppData\Local\Temp\OnboardLogs"\RTDC4041\2017-09-22 --exclude "*" --recursive --include "*20170922*" &amp; "%USERPROFILE%\Documents\GitHub\mrs-test-scripts\Headless Mode &amp; Sideloading\WalkAndUnGZ.bat" "%USERPROFILE%\AppData\Local\Temp\OnboardLogs"\RTDC4041\2017-09-22 &amp; aws s3 cp s3://rtdc.mdm.uploadarchive.raw/RTDC4041/ "%USERPROFILE%\AppData\Local\Temp\OnboardLogs"\RTDC4041\2017-09-23 --exclude "*" --recursive --include "*20170923*" &amp; "%USERPROFILE%\Documents\GitHub\mrs-test-scripts\Headless Mode &amp; Sideloading\WalkAndUnGZ.bat" "%USERPROFILE%\AppData\Local\Temp\OnboardLogs"\RTDC4041\2017-09-23</v>
      </c>
      <c r="S32" s="84" t="str">
        <f>VLOOKUP(C32,'Train Runs'!$A$13:$AE$9973,22,0)</f>
        <v>https://d0f6bd738d7f1b3e5a7ca70fe4ff75f0.us-east-1.aws.found.io/app/kibana#/discover/Steve-Slow-Train-Analysis-(2080s-and-2083s)?_g=(refreshInterval:(display:Off,pause:!f,section:0,value:0),time:(from:'2017-09-22T15:28:16-0600',mode:absolute,to:'2017-09-22T17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2" s="86" t="str">
        <f t="shared" si="1"/>
        <v>"C:\Program Files (x86)\AstroGrep\AstroGrep.exe" /e /r /s /spath="%USERPROFILE%\AppData\Local\Temp\OnboardLogs" /stypes="*4041*201709222*" /stext=" 22:.+((SYSTEM_STATE.+slice.+state.+changed )|(ment ac)|(multiple cpu faults)|(system.+state.+changed )|(\[timeout)|(PRM\|1\|D)|(kpr)|(kdp)|(train st.+moving)|(\|lc)|(penalty))"</v>
      </c>
      <c r="U32" s="9" t="str">
        <f t="shared" si="2"/>
        <v>4041</v>
      </c>
      <c r="V32" s="31">
        <f t="shared" si="3"/>
        <v>43000.954837962963</v>
      </c>
      <c r="W32" s="45" t="str">
        <f t="shared" si="4"/>
        <v>NW</v>
      </c>
      <c r="X32" s="22">
        <f t="shared" si="5"/>
        <v>830</v>
      </c>
      <c r="Y32" s="96" t="str">
        <f t="shared" si="6"/>
        <v>echo {"issue":{"subject":"","project_id":79,"tracker_id":40,"status_id":1,"priority_id":2,"assigned_to_id":338,"start_date":"2017-09-22","description":"","custom_fields":[{"id":1,"name":"Subdivision","value":"NW"},{"id":4,"name":"Milepost","value":"0.0575"},{"id":17,"name":"Train ID","value":"830-22"},{"id":16,"name":"Locomotive ID","value":"4041"},{"id":130,"name":"Impact","value":""},{"id":150,"name":"Time of Event (Mountain Time)","value":"16:54:58"},{"id":151,"name":"Denver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/c/Users/stu/AppData/Local/Temp/OnboardLogs/RTDC4041 --include="*4041*201709222*"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"%USERPROFILE%\AppData\Local\Temp\OnboardLogs"\RTDC4041\*4041*201709222* &gt;&gt; 2017-09-22-SliceDisagreementCheck.txt</v>
      </c>
      <c r="AE32" s="145" t="str">
        <f t="shared" si="9"/>
        <v>start /low /b %USERPROFILE%\Documents\GitHub\eaglep3\Utilities\DownloadLogsFromS3.py --loco 4041 --day 2017-09-22</v>
      </c>
      <c r="AF32" s="1"/>
    </row>
    <row r="33" spans="1:32" x14ac:dyDescent="0.25">
      <c r="A33" s="31">
        <v>43000.245300925926</v>
      </c>
      <c r="B33" s="30" t="s">
        <v>440</v>
      </c>
      <c r="C33" s="30" t="s">
        <v>576</v>
      </c>
      <c r="D33" s="30" t="s">
        <v>49</v>
      </c>
      <c r="E33" s="30" t="s">
        <v>180</v>
      </c>
      <c r="F33" s="42">
        <v>0</v>
      </c>
      <c r="G33" s="42">
        <v>29</v>
      </c>
      <c r="H33" s="42">
        <v>58982</v>
      </c>
      <c r="I33" s="42">
        <v>58996</v>
      </c>
      <c r="J33" s="30" t="s">
        <v>181</v>
      </c>
      <c r="K33" s="42">
        <v>59058</v>
      </c>
      <c r="L33" s="131" t="s">
        <v>50</v>
      </c>
      <c r="M33" s="132">
        <f t="shared" si="0"/>
        <v>32.735999999999997</v>
      </c>
      <c r="N33" s="133" t="str">
        <f>VLOOKUP(C33,'Trips&amp;Operators'!$C$1:$G$99911,5,FALSE)</f>
        <v>ACKERMAN JARED</v>
      </c>
      <c r="O33" s="176" t="s">
        <v>179</v>
      </c>
      <c r="P33" s="134"/>
      <c r="Q33" s="30"/>
      <c r="R33" s="81" t="str">
        <f>VLOOKUP(C33,'Train Runs'!$A$13:$AE$9973,31,0)</f>
        <v>aws s3 cp s3://rtdc.mdm.uploadarchive.raw/RTDC4040/ "%USERPROFILE%\AppData\Local\Temp\OnboardLogs"\RTDC4040\2017-09-22 --exclude "*" --recursive --include "*20170922*" &amp; "%USERPROFILE%\Documents\GitHub\mrs-test-scripts\Headless Mode &amp; Sideloading\WalkAndUnGZ.bat" "%USERPROFILE%\AppData\Local\Temp\OnboardLogs"\RTDC4040\2017-09-22 &amp; 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</v>
      </c>
      <c r="S33" s="84" t="str">
        <f>VLOOKUP(C33,'Train Runs'!$A$13:$AE$9973,22,0)</f>
        <v>https://d0f6bd738d7f1b3e5a7ca70fe4ff75f0.us-east-1.aws.found.io/app/kibana#/discover/Steve-Slow-Train-Analysis-(2080s-and-2083s)?_g=(refreshInterval:(display:Off,pause:!f,section:0,value:0),time:(from:'2017-09-22T04:09:13-0600',mode:absolute,to:'2017-09-22T06:54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3" s="86" t="str">
        <f t="shared" si="1"/>
        <v>"C:\Program Files (x86)\AstroGrep\AstroGrep.exe" /e /r /s /spath="%USERPROFILE%\AppData\Local\Temp\OnboardLogs" /stypes="*4040*201709221*" /stext=" 11:.+((SYSTEM_STATE.+slice.+state.+changed )|(ment ac)|(multiple cpu faults)|(system.+state.+changed )|(\[timeout)|(PRM\|1\|D)|(kpr)|(kdp)|(train st.+moving)|(\|lc)|(penalty))"</v>
      </c>
      <c r="U33" s="9" t="str">
        <f t="shared" si="2"/>
        <v>4040</v>
      </c>
      <c r="V33" s="31">
        <f t="shared" si="3"/>
        <v>43000.495300925926</v>
      </c>
      <c r="W33" s="45" t="str">
        <f t="shared" si="4"/>
        <v>NW</v>
      </c>
      <c r="X33" s="22">
        <f t="shared" si="5"/>
        <v>801</v>
      </c>
      <c r="Y33" s="96" t="str">
        <f t="shared" si="6"/>
        <v>echo {"issue":{"subject":"","project_id":79,"tracker_id":40,"status_id":1,"priority_id":2,"assigned_to_id":338,"start_date":"2017-09-22","description":"","custom_fields":[{"id":1,"name":"Subdivision","value":"NW"},{"id":4,"name":"Milepost","value":"5.9058"},{"id":17,"name":"Train ID","value":"801-22"},{"id":16,"name":"Locomotive ID","value":"4040"},{"id":130,"name":"Impact","value":""},{"id":150,"name":"Time of Event (Mountain Time)","value":"05:53:14"},{"id":151,"name":"Denver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/c/Users/stu/AppData/Local/Temp/OnboardLogs/RTDC4040 --include="*4040*201709221*"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"%USERPROFILE%\AppData\Local\Temp\OnboardLogs"\RTDC4040\*4040*201709221* &gt;&gt; 2017-09-22-SliceDisagreementCheck.txt</v>
      </c>
      <c r="AE33" s="145" t="str">
        <f t="shared" si="9"/>
        <v>start /low /b %USERPROFILE%\Documents\GitHub\eaglep3\Utilities\DownloadLogsFromS3.py --loco 4040 --day 2017-09-22</v>
      </c>
      <c r="AF33" s="1"/>
    </row>
    <row r="34" spans="1:32" x14ac:dyDescent="0.25">
      <c r="A34" s="31">
        <v>43000.245925925927</v>
      </c>
      <c r="B34" s="30" t="s">
        <v>440</v>
      </c>
      <c r="C34" s="30" t="s">
        <v>576</v>
      </c>
      <c r="D34" s="30" t="s">
        <v>95</v>
      </c>
      <c r="E34" s="30" t="s">
        <v>180</v>
      </c>
      <c r="F34" s="42">
        <v>0</v>
      </c>
      <c r="G34" s="42">
        <v>13</v>
      </c>
      <c r="H34" s="42">
        <v>59058</v>
      </c>
      <c r="I34" s="42">
        <v>0</v>
      </c>
      <c r="J34" s="30" t="s">
        <v>181</v>
      </c>
      <c r="K34" s="42">
        <v>59058</v>
      </c>
      <c r="L34" s="131" t="s">
        <v>50</v>
      </c>
      <c r="M34" s="132">
        <f t="shared" si="0"/>
        <v>31182.624</v>
      </c>
      <c r="N34" s="133" t="str">
        <f>VLOOKUP(C34,'Trips&amp;Operators'!$C$1:$G$99911,5,FALSE)</f>
        <v>ACKERMAN JARED</v>
      </c>
      <c r="O34" s="176" t="s">
        <v>179</v>
      </c>
      <c r="P34" s="134"/>
      <c r="Q34" s="30"/>
      <c r="R34" s="81" t="str">
        <f>VLOOKUP(C34,'Train Runs'!$A$13:$AE$9973,31,0)</f>
        <v>aws s3 cp s3://rtdc.mdm.uploadarchive.raw/RTDC4040/ "%USERPROFILE%\AppData\Local\Temp\OnboardLogs"\RTDC4040\2017-09-22 --exclude "*" --recursive --include "*20170922*" &amp; "%USERPROFILE%\Documents\GitHub\mrs-test-scripts\Headless Mode &amp; Sideloading\WalkAndUnGZ.bat" "%USERPROFILE%\AppData\Local\Temp\OnboardLogs"\RTDC4040\2017-09-22 &amp; 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</v>
      </c>
      <c r="S34" s="84" t="str">
        <f>VLOOKUP(C34,'Train Runs'!$A$13:$AE$9973,22,0)</f>
        <v>https://d0f6bd738d7f1b3e5a7ca70fe4ff75f0.us-east-1.aws.found.io/app/kibana#/discover/Steve-Slow-Train-Analysis-(2080s-and-2083s)?_g=(refreshInterval:(display:Off,pause:!f,section:0,value:0),time:(from:'2017-09-22T04:09:13-0600',mode:absolute,to:'2017-09-22T06:54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4" s="86" t="str">
        <f t="shared" si="1"/>
        <v>"C:\Program Files (x86)\AstroGrep\AstroGrep.exe" /e /r /s /spath="%USERPROFILE%\AppData\Local\Temp\OnboardLogs" /stypes="*4040*201709221*" /stext=" 11:.+((SYSTEM_STATE.+slice.+state.+changed )|(ment ac)|(multiple cpu faults)|(system.+state.+changed )|(\[timeout)|(PRM\|1\|D)|(kpr)|(kdp)|(train st.+moving)|(\|lc)|(penalty))"</v>
      </c>
      <c r="U34" s="9" t="str">
        <f t="shared" si="2"/>
        <v>4040</v>
      </c>
      <c r="V34" s="31">
        <f t="shared" si="3"/>
        <v>43000.495925925927</v>
      </c>
      <c r="W34" s="45" t="str">
        <f t="shared" si="4"/>
        <v>NW</v>
      </c>
      <c r="X34" s="22">
        <f t="shared" si="5"/>
        <v>801</v>
      </c>
      <c r="Y34" s="96" t="str">
        <f t="shared" si="6"/>
        <v>echo {"issue":{"subject":"","project_id":79,"tracker_id":40,"status_id":1,"priority_id":2,"assigned_to_id":338,"start_date":"2017-09-22","description":"","custom_fields":[{"id":1,"name":"Subdivision","value":"NW"},{"id":4,"name":"Milepost","value":"5.9058"},{"id":17,"name":"Train ID","value":"801-22"},{"id":16,"name":"Locomotive ID","value":"4040"},{"id":130,"name":"Impact","value":""},{"id":150,"name":"Time of Event (Mountain Time)","value":"05:54:08"},{"id":151,"name":"Denver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/c/Users/stu/AppData/Local/Temp/OnboardLogs/RTDC4040 --include="*4040*201709221*"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"%USERPROFILE%\AppData\Local\Temp\OnboardLogs"\RTDC4040\*4040*201709221* &gt;&gt; 2017-09-22-SliceDisagreementCheck.txt</v>
      </c>
      <c r="AE34" s="145" t="str">
        <f t="shared" si="9"/>
        <v>start /low /b %USERPROFILE%\Documents\GitHub\eaglep3\Utilities\DownloadLogsFromS3.py --loco 4040 --day 2017-09-22</v>
      </c>
      <c r="AF34" s="1"/>
    </row>
    <row r="35" spans="1:32" x14ac:dyDescent="0.25">
      <c r="A35" s="31">
        <v>43001.0547337963</v>
      </c>
      <c r="B35" s="30" t="s">
        <v>454</v>
      </c>
      <c r="C35" s="30" t="s">
        <v>607</v>
      </c>
      <c r="D35" s="30" t="s">
        <v>49</v>
      </c>
      <c r="E35" s="30" t="s">
        <v>359</v>
      </c>
      <c r="F35" s="42">
        <v>0</v>
      </c>
      <c r="G35" s="42">
        <v>144</v>
      </c>
      <c r="H35" s="42">
        <v>22312</v>
      </c>
      <c r="I35" s="42">
        <v>22712</v>
      </c>
      <c r="J35" s="30" t="s">
        <v>360</v>
      </c>
      <c r="K35" s="42">
        <v>22314</v>
      </c>
      <c r="L35" s="131" t="s">
        <v>50</v>
      </c>
      <c r="M35" s="132">
        <f t="shared" si="0"/>
        <v>-210.14400000000001</v>
      </c>
      <c r="N35" s="133" t="str">
        <f>VLOOKUP(C35,'Trips&amp;Operators'!$C$1:$G$99911,5,FALSE)</f>
        <v>YANG JAN</v>
      </c>
      <c r="O35" s="176" t="s">
        <v>179</v>
      </c>
      <c r="P35" s="134"/>
      <c r="Q35" s="30"/>
      <c r="R35" s="81" t="str">
        <f>VLOOKUP(C35,'Train Runs'!$A$13:$AE$9973,31,0)</f>
        <v>aws s3 cp s3://rtdc.mdm.uploadarchive.raw/RTDC4044/ "%USERPROFILE%\AppData\Local\Temp\OnboardLogs"\RTDC4044\2017-09-23 --exclude "*" --recursive --include "*20170923*" &amp; "%USERPROFILE%\Documents\GitHub\mrs-test-scripts\Headless Mode &amp; Sideloading\WalkAndUnGZ.bat" "%USERPROFILE%\AppData\Local\Temp\OnboardLogs"\RTDC4044\2017-09-23 &amp; aws s3 cp s3://rtdc.mdm.uploadarchive.raw/RTDC4044/ "%USERPROFILE%\AppData\Local\Temp\OnboardLogs"\RTDC4044\2017-09-24 --exclude "*" --recursive --include "*20170924*" &amp; "%USERPROFILE%\Documents\GitHub\mrs-test-scripts\Headless Mode &amp; Sideloading\WalkAndUnGZ.bat" "%USERPROFILE%\AppData\Local\Temp\OnboardLogs"\RTDC4044\2017-09-24</v>
      </c>
      <c r="S35" s="84" t="str">
        <f>VLOOKUP(C35,'Train Runs'!$A$13:$AE$9973,22,0)</f>
        <v>https://d0f6bd738d7f1b3e5a7ca70fe4ff75f0.us-east-1.aws.found.io/app/kibana#/discover/Steve-Slow-Train-Analysis-(2080s-and-2083s)?_g=(refreshInterval:(display:Off,pause:!f,section:0,value:0),time:(from:'2017-09-23T00:08:41-0600',mode:absolute,to:'2017-09-23T02:18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5" s="86" t="str">
        <f t="shared" si="1"/>
        <v>"C:\Program Files (x86)\AstroGrep\AstroGrep.exe" /e /r /s /spath="%USERPROFILE%\AppData\Local\Temp\OnboardLogs" /stypes="*4044*201709230*" /stext=" 07:.+((SYSTEM_STATE.+slice.+state.+changed )|(ment ac)|(multiple cpu faults)|(system.+state.+changed )|(\[timeout)|(PRM\|1\|D)|(kpr)|(kdp)|(train st.+moving)|(\|lc)|(penalty))"</v>
      </c>
      <c r="U35" s="9" t="str">
        <f t="shared" si="2"/>
        <v>4044</v>
      </c>
      <c r="V35" s="31">
        <f t="shared" si="3"/>
        <v>43001.3047337963</v>
      </c>
      <c r="W35" s="45" t="str">
        <f t="shared" si="4"/>
        <v>Other</v>
      </c>
      <c r="X35" s="22">
        <f t="shared" si="5"/>
        <v>307</v>
      </c>
      <c r="Y35" s="96" t="str">
        <f t="shared" si="6"/>
        <v>echo {"issue":{"subject":"","project_id":79,"tracker_id":40,"status_id":1,"priority_id":2,"assigned_to_id":338,"start_date":"2017-09-23","description":"","custom_fields":[{"id":1,"name":"Subdivision","value":"Other"},{"id":4,"name":"Milepost","value":"2.2314"},{"id":17,"name":"Train ID","value":"307-22"},{"id":16,"name":"Locomotive ID","value":"4044"},{"id":130,"name":"Impact","value":""},{"id":150,"name":"Time of Event (Mountain Time)","value":"01:18:49"},{"id":151,"name":"Denver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/c/Users/stu/AppData/Local/Temp/OnboardLogs/RTDC4044 --include="*4044*201709230*"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"%USERPROFILE%\AppData\Local\Temp\OnboardLogs"\RTDC4044\*4044*201709230* &gt;&gt; 2017-09-22-SliceDisagreementCheck.txt</v>
      </c>
      <c r="AE35" s="145" t="str">
        <f t="shared" si="9"/>
        <v>start /low /b %USERPROFILE%\Documents\GitHub\eaglep3\Utilities\DownloadLogsFromS3.py --loco 4044 --day 2017-09-23</v>
      </c>
      <c r="AF35" s="1"/>
    </row>
    <row r="36" spans="1:32" x14ac:dyDescent="0.25">
      <c r="A36" s="31">
        <v>43001.055150462962</v>
      </c>
      <c r="B36" s="30" t="s">
        <v>454</v>
      </c>
      <c r="C36" s="30" t="s">
        <v>607</v>
      </c>
      <c r="D36" s="30" t="s">
        <v>95</v>
      </c>
      <c r="E36" s="30" t="s">
        <v>359</v>
      </c>
      <c r="F36" s="42">
        <v>0</v>
      </c>
      <c r="G36" s="42">
        <v>6</v>
      </c>
      <c r="H36" s="42">
        <v>22705</v>
      </c>
      <c r="I36" s="42">
        <v>22780</v>
      </c>
      <c r="J36" s="30" t="s">
        <v>360</v>
      </c>
      <c r="K36" s="42">
        <v>22314</v>
      </c>
      <c r="L36" s="131" t="s">
        <v>50</v>
      </c>
      <c r="M36" s="132">
        <f t="shared" si="0"/>
        <v>-246.048</v>
      </c>
      <c r="N36" s="133" t="str">
        <f>VLOOKUP(C36,'Trips&amp;Operators'!$C$1:$G$99911,5,FALSE)</f>
        <v>YANG JAN</v>
      </c>
      <c r="O36" s="176" t="s">
        <v>179</v>
      </c>
      <c r="P36" s="134"/>
      <c r="Q36" s="30"/>
      <c r="R36" s="81" t="str">
        <f>VLOOKUP(C36,'Train Runs'!$A$13:$AE$9973,31,0)</f>
        <v>aws s3 cp s3://rtdc.mdm.uploadarchive.raw/RTDC4044/ "%USERPROFILE%\AppData\Local\Temp\OnboardLogs"\RTDC4044\2017-09-23 --exclude "*" --recursive --include "*20170923*" &amp; "%USERPROFILE%\Documents\GitHub\mrs-test-scripts\Headless Mode &amp; Sideloading\WalkAndUnGZ.bat" "%USERPROFILE%\AppData\Local\Temp\OnboardLogs"\RTDC4044\2017-09-23 &amp; aws s3 cp s3://rtdc.mdm.uploadarchive.raw/RTDC4044/ "%USERPROFILE%\AppData\Local\Temp\OnboardLogs"\RTDC4044\2017-09-24 --exclude "*" --recursive --include "*20170924*" &amp; "%USERPROFILE%\Documents\GitHub\mrs-test-scripts\Headless Mode &amp; Sideloading\WalkAndUnGZ.bat" "%USERPROFILE%\AppData\Local\Temp\OnboardLogs"\RTDC4044\2017-09-24</v>
      </c>
      <c r="S36" s="84" t="str">
        <f>VLOOKUP(C36,'Train Runs'!$A$13:$AE$9973,22,0)</f>
        <v>https://d0f6bd738d7f1b3e5a7ca70fe4ff75f0.us-east-1.aws.found.io/app/kibana#/discover/Steve-Slow-Train-Analysis-(2080s-and-2083s)?_g=(refreshInterval:(display:Off,pause:!f,section:0,value:0),time:(from:'2017-09-23T00:08:41-0600',mode:absolute,to:'2017-09-23T02:18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6" s="86" t="str">
        <f t="shared" si="1"/>
        <v>"C:\Program Files (x86)\AstroGrep\AstroGrep.exe" /e /r /s /spath="%USERPROFILE%\AppData\Local\Temp\OnboardLogs" /stypes="*4044*201709230*" /stext=" 07:.+((SYSTEM_STATE.+slice.+state.+changed )|(ment ac)|(multiple cpu faults)|(system.+state.+changed )|(\[timeout)|(PRM\|1\|D)|(kpr)|(kdp)|(train st.+moving)|(\|lc)|(penalty))"</v>
      </c>
      <c r="U36" s="9" t="str">
        <f t="shared" si="2"/>
        <v>4044</v>
      </c>
      <c r="V36" s="31">
        <f t="shared" si="3"/>
        <v>43001.305150462962</v>
      </c>
      <c r="W36" s="45" t="str">
        <f t="shared" si="4"/>
        <v>Other</v>
      </c>
      <c r="X36" s="22">
        <f t="shared" si="5"/>
        <v>307</v>
      </c>
      <c r="Y36" s="96" t="str">
        <f t="shared" si="6"/>
        <v>echo {"issue":{"subject":"","project_id":79,"tracker_id":40,"status_id":1,"priority_id":2,"assigned_to_id":338,"start_date":"2017-09-23","description":"","custom_fields":[{"id":1,"name":"Subdivision","value":"Other"},{"id":4,"name":"Milepost","value":"2.2314"},{"id":17,"name":"Train ID","value":"307-22"},{"id":16,"name":"Locomotive ID","value":"4044"},{"id":130,"name":"Impact","value":""},{"id":150,"name":"Time of Event (Mountain Time)","value":"01:19:25"},{"id":151,"name":"Denver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/c/Users/stu/AppData/Local/Temp/OnboardLogs/RTDC4044 --include="*4044*201709230*"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"%USERPROFILE%\AppData\Local\Temp\OnboardLogs"\RTDC4044\*4044*201709230* &gt;&gt; 2017-09-22-SliceDisagreementCheck.txt</v>
      </c>
      <c r="AE36" s="145" t="str">
        <f t="shared" si="9"/>
        <v>start /low /b %USERPROFILE%\Documents\GitHub\eaglep3\Utilities\DownloadLogsFromS3.py --loco 4044 --day 2017-09-23</v>
      </c>
      <c r="AF36" s="1"/>
    </row>
    <row r="37" spans="1:32" x14ac:dyDescent="0.25">
      <c r="A37" s="31">
        <v>43000.546724537038</v>
      </c>
      <c r="B37" s="30" t="s">
        <v>472</v>
      </c>
      <c r="C37" s="30" t="s">
        <v>592</v>
      </c>
      <c r="D37" s="30" t="s">
        <v>95</v>
      </c>
      <c r="E37" s="30" t="s">
        <v>359</v>
      </c>
      <c r="F37" s="42">
        <v>0</v>
      </c>
      <c r="G37" s="42">
        <v>85</v>
      </c>
      <c r="H37" s="42">
        <v>2728</v>
      </c>
      <c r="I37" s="42">
        <v>2647</v>
      </c>
      <c r="J37" s="30" t="s">
        <v>360</v>
      </c>
      <c r="K37" s="42">
        <v>2822</v>
      </c>
      <c r="L37" s="131" t="s">
        <v>51</v>
      </c>
      <c r="M37" s="132">
        <f t="shared" si="0"/>
        <v>-92.4</v>
      </c>
      <c r="N37" s="133" t="str">
        <f>VLOOKUP(C37,'Trips&amp;Operators'!$C$1:$G$99911,5,FALSE)</f>
        <v>NEWELL JAMES</v>
      </c>
      <c r="O37" s="176" t="s">
        <v>179</v>
      </c>
      <c r="P37" s="134"/>
      <c r="Q37" s="30"/>
      <c r="R37" s="81" t="str">
        <f>VLOOKUP(C37,'Train Runs'!$A$13:$AE$9973,31,0)</f>
        <v>aws s3 cp s3://rtdc.mdm.uploadarchive.raw/RTDC4001/ "%USERPROFILE%\AppData\Local\Temp\OnboardLogs"\RTDC4001\2017-09-22 --exclude "*" --recursive --include "*20170922*" &amp; "%USERPROFILE%\Documents\GitHub\mrs-test-scripts\Headless Mode &amp; Sideloading\WalkAndUnGZ.bat" "%USERPROFILE%\AppData\Local\Temp\OnboardLogs"\RTDC4001\2017-09-22 &amp; 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</v>
      </c>
      <c r="S37" s="84" t="str">
        <f>VLOOKUP(C37,'Train Runs'!$A$13:$AE$9973,22,0)</f>
        <v>https://d0f6bd738d7f1b3e5a7ca70fe4ff75f0.us-east-1.aws.found.io/app/kibana#/discover/Steve-Slow-Train-Analysis-(2080s-and-2083s)?_g=(refreshInterval:(display:Off,pause:!f,section:0,value:0),time:(from:'2017-09-22T12:05:20-0600',mode:absolute,to:'2017-09-22T14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7" s="86" t="str">
        <f t="shared" si="1"/>
        <v>"C:\Program Files (x86)\AstroGrep\AstroGrep.exe" /e /r /s /spath="%USERPROFILE%\AppData\Local\Temp\OnboardLogs" /stypes="*4001*201709221*" /stext=" 19:.+((SYSTEM_STATE.+slice.+state.+changed )|(ment ac)|(multiple cpu faults)|(system.+state.+changed )|(\[timeout)|(PRM\|1\|D)|(kpr)|(kdp)|(train st.+moving)|(\|lc)|(penalty))"</v>
      </c>
      <c r="U37" s="9" t="str">
        <f t="shared" si="2"/>
        <v>4001</v>
      </c>
      <c r="V37" s="31">
        <f t="shared" si="3"/>
        <v>43000.796724537038</v>
      </c>
      <c r="W37" s="45" t="str">
        <f t="shared" si="4"/>
        <v>Shuttle/Test</v>
      </c>
      <c r="X37" s="22">
        <f t="shared" si="5"/>
        <v>72</v>
      </c>
      <c r="Y37" s="96" t="str">
        <f t="shared" si="6"/>
        <v>echo {"issue":{"subject":"","project_id":79,"tracker_id":40,"status_id":1,"priority_id":2,"assigned_to_id":338,"start_date":"2017-09-22","description":"","custom_fields":[{"id":1,"name":"Subdivision","value":"Shuttle/Test"},{"id":4,"name":"Milepost","value":"0.2822"},{"id":17,"name":"Train ID","value":"72-22"},{"id":16,"name":"Locomotive ID","value":"4001"},{"id":130,"name":"Impact","value":""},{"id":150,"name":"Time of Event (Mountain Time)","value":"13:07:17"},{"id":151,"name":"Denver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/c/Users/stu/AppData/Local/Temp/OnboardLogs/RTDC4001 --include="*4001*201709221*"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"%USERPROFILE%\AppData\Local\Temp\OnboardLogs"\RTDC4001\*4001*201709221* &gt;&gt; 2017-09-22-SliceDisagreementCheck.txt</v>
      </c>
      <c r="AE37" s="145" t="str">
        <f t="shared" si="9"/>
        <v>start /low /b %USERPROFILE%\Documents\GitHub\eaglep3\Utilities\DownloadLogsFromS3.py --loco 4001 --day 2017-09-22</v>
      </c>
      <c r="AF37" s="1"/>
    </row>
    <row r="38" spans="1:32" x14ac:dyDescent="0.25">
      <c r="A38" s="31">
        <v>43000.129305555558</v>
      </c>
      <c r="B38" s="30" t="s">
        <v>416</v>
      </c>
      <c r="C38" s="30" t="s">
        <v>544</v>
      </c>
      <c r="D38" s="30" t="s">
        <v>95</v>
      </c>
      <c r="E38" s="30" t="s">
        <v>180</v>
      </c>
      <c r="F38" s="42">
        <v>0</v>
      </c>
      <c r="G38" s="42">
        <v>9</v>
      </c>
      <c r="H38" s="42">
        <v>838</v>
      </c>
      <c r="I38" s="42">
        <v>0</v>
      </c>
      <c r="J38" s="30" t="s">
        <v>181</v>
      </c>
      <c r="K38" s="42">
        <v>839</v>
      </c>
      <c r="L38" s="131" t="s">
        <v>51</v>
      </c>
      <c r="M38" s="132">
        <f t="shared" si="0"/>
        <v>-442.99200000000002</v>
      </c>
      <c r="N38" s="133" t="str">
        <f>VLOOKUP(C38,'Trips&amp;Operators'!$C$1:$G$99911,5,FALSE)</f>
        <v>ROCHA YAOTL</v>
      </c>
      <c r="O38" s="176" t="s">
        <v>179</v>
      </c>
      <c r="P38" s="134"/>
      <c r="Q38" s="30"/>
      <c r="R38" s="81" t="e">
        <f>VLOOKUP(C38,'Train Runs'!$A$13:$AE$9973,31,0)</f>
        <v>#N/A</v>
      </c>
      <c r="S38" s="84" t="e">
        <f>VLOOKUP(C38,'Train Runs'!$A$13:$AE$9973,22,0)</f>
        <v>#N/A</v>
      </c>
      <c r="T38" s="86" t="str">
        <f t="shared" si="1"/>
        <v>"C:\Program Files (x86)\AstroGrep\AstroGrep.exe" /e /r /s /spath="%USERPROFILE%\AppData\Local\Temp\OnboardLogs" /stypes="*4057*201709220*" /stext=" 09:.+((SYSTEM_STATE.+slice.+state.+changed )|(ment ac)|(multiple cpu faults)|(system.+state.+changed )|(\[timeout)|(PRM\|1\|D)|(kpr)|(kdp)|(train st.+moving)|(\|lc)|(penalty))"</v>
      </c>
      <c r="U38" s="9" t="str">
        <f t="shared" si="2"/>
        <v>4057</v>
      </c>
      <c r="V38" s="31">
        <f t="shared" si="3"/>
        <v>43000.379305555558</v>
      </c>
      <c r="W38" s="45" t="str">
        <f t="shared" si="4"/>
        <v>Shuttle/Test</v>
      </c>
      <c r="X38" s="22">
        <f t="shared" si="5"/>
        <v>50</v>
      </c>
      <c r="Y38" s="96" t="str">
        <f t="shared" si="6"/>
        <v>echo {"issue":{"subject":"","project_id":79,"tracker_id":40,"status_id":1,"priority_id":2,"assigned_to_id":338,"start_date":"2017-09-22","description":"","custom_fields":[{"id":1,"name":"Subdivision","value":"Shuttle/Test"},{"id":4,"name":"Milepost","value":"0.0839"},{"id":17,"name":"Train ID","value":"50-22"},{"id":16,"name":"Locomotive ID","value":"4057"},{"id":130,"name":"Impact","value":""},{"id":150,"name":"Time of Event (Mountain Time)","value":"03:06:12"},{"id":151,"name":"Denver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/c/Users/stu/AppData/Local/Temp/OnboardLogs/RTDC4057 --include="*4057*201709220*"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"%USERPROFILE%\AppData\Local\Temp\OnboardLogs"\RTDC4057\*4057*201709220* &gt;&gt; 2017-09-22-SliceDisagreementCheck.txt</v>
      </c>
      <c r="AE38" s="145" t="str">
        <f t="shared" si="9"/>
        <v>start /low /b %USERPROFILE%\Documents\GitHub\eaglep3\Utilities\DownloadLogsFromS3.py --loco 4057 --day 2017-09-22</v>
      </c>
      <c r="AF38" s="1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</sheetData>
  <autoFilter ref="A6:AC45">
    <sortState ref="A7:AC45">
      <sortCondition ref="W7:W38"/>
      <sortCondition ref="E7:E38"/>
      <sortCondition ref="K7:K38"/>
      <sortCondition ref="F7:F38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5:O1048576 O7:O3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8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AA7:AA38</xm:sqref>
        </x14:dataValidation>
        <x14:dataValidation type="list" allowBlank="1" showInputMessage="1" showErrorMessage="1">
          <x14:formula1>
            <xm:f>'Redmine List Values'!$C$2:$C$15</xm:f>
          </x14:formula1>
          <xm:sqref>AB7:AB38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5" sqref="A5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6" t="str">
        <f>"Trips that did not appear in PTC Data "&amp;TEXT(Variables!$A$2,"YYYY-mm-dd")</f>
        <v>Trips that did not appear in PTC Data 2017-09-22</v>
      </c>
      <c r="C1" s="226"/>
      <c r="D1" s="226"/>
      <c r="E1" s="226"/>
      <c r="F1" s="226"/>
      <c r="I1" s="189"/>
    </row>
    <row r="2" spans="1:10" s="23" customFormat="1" ht="45" x14ac:dyDescent="0.25">
      <c r="A2" s="224" t="s">
        <v>147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>
        <v>833</v>
      </c>
      <c r="B3" s="42" t="str">
        <f>A3&amp;"-"&amp;IF(DAY(Variables!$A$2)&lt;10,0,"")&amp;DAY(Variables!$A$2)</f>
        <v>833-22</v>
      </c>
      <c r="C3" s="135"/>
      <c r="D3" s="153" t="str">
        <f>VLOOKUP(B3,'Trips&amp;Operators'!$C$1:$H$1072,6,FALSE)</f>
        <v>4042</v>
      </c>
      <c r="E3" s="30" t="s">
        <v>980</v>
      </c>
      <c r="F3" s="21" t="str">
        <f>VLOOKUP(B3,'Trips&amp;Operators'!$C$2:$E$9912,3,FALSE)</f>
        <v>BERLING</v>
      </c>
      <c r="G3" s="21" t="str">
        <f>VLOOKUP(B3,'Trips&amp;Operators'!$C$1:$F$9912,4,FALSE)</f>
        <v>GARY</v>
      </c>
      <c r="H3" s="29" t="str">
        <f>VLOOKUP(B3,'Trips&amp;Operators'!$C$1:$H$9912,5,FALSE)</f>
        <v>BERLING GARY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22833-22%22)),sort:!(Time.ISO8601,asc))</v>
      </c>
      <c r="J3" s="30" t="e">
        <f>VLOOKUP(B3,'Train Runs'!$A$13:$A$99970,1,FALSE)</f>
        <v>#N/A</v>
      </c>
    </row>
    <row r="4" spans="1:10" x14ac:dyDescent="0.25">
      <c r="A4" s="198">
        <v>834</v>
      </c>
      <c r="B4" s="42" t="str">
        <f>A4&amp;"-"&amp;IF(DAY(Variables!$A$2)&lt;10,0,"")&amp;DAY(Variables!$A$2)</f>
        <v>834-22</v>
      </c>
      <c r="C4" s="135"/>
      <c r="D4" s="153" t="e">
        <f>VLOOKUP(B4,'Trips&amp;Operators'!$C$1:$H$1072,6,FALSE)</f>
        <v>#N/A</v>
      </c>
      <c r="E4" s="30" t="s">
        <v>980</v>
      </c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22834-22%22)),sort:!(Time.ISO8601,asc))</v>
      </c>
      <c r="J4" s="30" t="e">
        <f>VLOOKUP(B4,'Train Runs'!$A$13:$A$99970,1,FALSE)</f>
        <v>#N/A</v>
      </c>
    </row>
    <row r="5" spans="1:10" x14ac:dyDescent="0.25">
      <c r="A5" s="198"/>
      <c r="B5" s="42" t="str">
        <f>A5&amp;"-"&amp;IF(DAY(Variables!$A$2)&lt;10,0,"")&amp;DAY(Variables!$A$2)</f>
        <v>-22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" s="30" t="e">
        <f>VLOOKUP(B5,'Train Runs'!$A$13:$A$99970,1,FALSE)</f>
        <v>#N/A</v>
      </c>
    </row>
    <row r="6" spans="1:10" x14ac:dyDescent="0.25">
      <c r="A6" s="198"/>
      <c r="B6" s="42" t="str">
        <f>A6&amp;"-"&amp;IF(DAY(Variables!$A$2)&lt;10,0,"")&amp;DAY(Variables!$A$2)</f>
        <v>-22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" s="30" t="e">
        <f>VLOOKUP(B6,'Train Runs'!$A$13:$A$99970,1,FALSE)</f>
        <v>#N/A</v>
      </c>
    </row>
    <row r="7" spans="1:10" x14ac:dyDescent="0.25">
      <c r="A7" s="198"/>
      <c r="B7" s="42" t="str">
        <f>A7&amp;"-"&amp;IF(DAY(Variables!$A$2)&lt;10,0,"")&amp;DAY(Variables!$A$2)</f>
        <v>-22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" s="30" t="e">
        <f>VLOOKUP(B7,'Train Runs'!$A$13:$A$99970,1,FALSE)</f>
        <v>#N/A</v>
      </c>
    </row>
    <row r="8" spans="1:10" x14ac:dyDescent="0.25">
      <c r="A8" s="198"/>
      <c r="B8" s="42" t="str">
        <f>A8&amp;"-"&amp;IF(DAY(Variables!$A$2)&lt;10,0,"")&amp;DAY(Variables!$A$2)</f>
        <v>-22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" s="30" t="e">
        <f>VLOOKUP(B8,'Train Runs'!$A$13:$A$99970,1,FALSE)</f>
        <v>#N/A</v>
      </c>
    </row>
    <row r="9" spans="1:10" x14ac:dyDescent="0.25">
      <c r="A9" s="198"/>
      <c r="B9" s="42" t="str">
        <f>A9&amp;"-"&amp;IF(DAY(Variables!$A$2)&lt;10,0,"")&amp;DAY(Variables!$A$2)</f>
        <v>-22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" s="30" t="e">
        <f>VLOOKUP(B9,'Train Runs'!$A$13:$A$99970,1,FALSE)</f>
        <v>#N/A</v>
      </c>
    </row>
    <row r="10" spans="1:10" x14ac:dyDescent="0.25">
      <c r="A10" s="198"/>
      <c r="B10" s="42" t="str">
        <f>A10&amp;"-"&amp;IF(DAY(Variables!$A$2)&lt;10,0,"")&amp;DAY(Variables!$A$2)</f>
        <v>-22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" s="30" t="e">
        <f>VLOOKUP(B10,'Train Runs'!$A$13:$A$99970,1,FALSE)</f>
        <v>#N/A</v>
      </c>
    </row>
    <row r="11" spans="1:10" x14ac:dyDescent="0.25">
      <c r="A11" s="198"/>
      <c r="B11" s="42" t="str">
        <f>A11&amp;"-"&amp;IF(DAY(Variables!$A$2)&lt;10,0,"")&amp;DAY(Variables!$A$2)</f>
        <v>-22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" s="30" t="e">
        <f>VLOOKUP(B11,'Train Runs'!$A$13:$A$99970,1,FALSE)</f>
        <v>#N/A</v>
      </c>
    </row>
    <row r="12" spans="1:10" x14ac:dyDescent="0.25">
      <c r="A12" s="198"/>
      <c r="B12" s="42" t="str">
        <f>A12&amp;"-"&amp;IF(DAY(Variables!$A$2)&lt;10,0,"")&amp;DAY(Variables!$A$2)</f>
        <v>-22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" s="30" t="e">
        <f>VLOOKUP(B12,'Train Runs'!$A$13:$A$99970,1,FALSE)</f>
        <v>#N/A</v>
      </c>
    </row>
    <row r="13" spans="1:10" x14ac:dyDescent="0.25">
      <c r="A13" s="198"/>
      <c r="B13" s="42" t="str">
        <f>A13&amp;"-"&amp;IF(DAY(Variables!$A$2)&lt;10,0,"")&amp;DAY(Variables!$A$2)</f>
        <v>-22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3" s="30" t="e">
        <f>VLOOKUP(B13,'Train Runs'!$A$13:$A$99970,1,FALSE)</f>
        <v>#N/A</v>
      </c>
    </row>
    <row r="14" spans="1:10" x14ac:dyDescent="0.25">
      <c r="A14" s="198"/>
      <c r="B14" s="42" t="str">
        <f>A14&amp;"-"&amp;IF(DAY(Variables!$A$2)&lt;10,0,"")&amp;DAY(Variables!$A$2)</f>
        <v>-22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4" s="30" t="e">
        <f>VLOOKUP(B14,'Train Runs'!$A$13:$A$99970,1,FALSE)</f>
        <v>#N/A</v>
      </c>
    </row>
    <row r="15" spans="1:10" x14ac:dyDescent="0.25">
      <c r="A15" s="198"/>
      <c r="B15" s="42" t="str">
        <f>A15&amp;"-"&amp;IF(DAY(Variables!$A$2)&lt;10,0,"")&amp;DAY(Variables!$A$2)</f>
        <v>-22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5" s="30" t="e">
        <f>VLOOKUP(B15,'Train Runs'!$A$13:$A$99970,1,FALSE)</f>
        <v>#N/A</v>
      </c>
    </row>
    <row r="16" spans="1:10" x14ac:dyDescent="0.25">
      <c r="A16" s="198"/>
      <c r="B16" s="42" t="str">
        <f>A16&amp;"-"&amp;IF(DAY(Variables!$A$2)&lt;10,0,"")&amp;DAY(Variables!$A$2)</f>
        <v>-22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6" s="30" t="e">
        <f>VLOOKUP(B16,'Train Runs'!$A$13:$A$99970,1,FALSE)</f>
        <v>#N/A</v>
      </c>
    </row>
    <row r="17" spans="1:10" x14ac:dyDescent="0.25">
      <c r="A17" s="198"/>
      <c r="B17" s="42" t="str">
        <f>A17&amp;"-"&amp;IF(DAY(Variables!$A$2)&lt;10,0,"")&amp;DAY(Variables!$A$2)</f>
        <v>-22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7" s="30" t="e">
        <f>VLOOKUP(B17,'Train Runs'!$A$13:$A$99970,1,FALSE)</f>
        <v>#N/A</v>
      </c>
    </row>
    <row r="18" spans="1:10" x14ac:dyDescent="0.25">
      <c r="A18" s="198"/>
      <c r="B18" s="42" t="str">
        <f>A18&amp;"-"&amp;IF(DAY(Variables!$A$2)&lt;10,0,"")&amp;DAY(Variables!$A$2)</f>
        <v>-22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8" s="30" t="e">
        <f>VLOOKUP(B18,'Train Runs'!$A$13:$A$99970,1,FALSE)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topLeftCell="A1035" workbookViewId="0">
      <selection sqref="A1:F25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169</v>
      </c>
      <c r="B1" s="20" t="s">
        <v>170</v>
      </c>
      <c r="C1" s="20" t="s">
        <v>0</v>
      </c>
      <c r="D1" s="138" t="s">
        <v>171</v>
      </c>
      <c r="E1" s="20" t="s">
        <v>172</v>
      </c>
      <c r="F1" s="20" t="s">
        <v>189</v>
      </c>
      <c r="G1" s="8" t="s">
        <v>188</v>
      </c>
      <c r="H1" s="20" t="s">
        <v>60</v>
      </c>
    </row>
    <row r="2" spans="1:8" x14ac:dyDescent="0.25">
      <c r="A2" s="8">
        <v>43000.032280092593</v>
      </c>
      <c r="B2" s="20" t="s">
        <v>523</v>
      </c>
      <c r="C2" s="20" t="s">
        <v>538</v>
      </c>
      <c r="D2" s="138">
        <v>3190000</v>
      </c>
      <c r="E2" s="20" t="s">
        <v>385</v>
      </c>
      <c r="F2" s="20" t="s">
        <v>386</v>
      </c>
      <c r="G2" s="8" t="str">
        <f>E2&amp;" "&amp;F2</f>
        <v>HART KEVIN</v>
      </c>
      <c r="H2" t="str">
        <f>MID(B2,13,4)</f>
        <v>4006</v>
      </c>
    </row>
    <row r="3" spans="1:8" x14ac:dyDescent="0.25">
      <c r="A3" s="8">
        <v>43000.034861111111</v>
      </c>
      <c r="B3" s="20" t="s">
        <v>423</v>
      </c>
      <c r="C3" s="20" t="s">
        <v>537</v>
      </c>
      <c r="D3" s="138">
        <v>2440000</v>
      </c>
      <c r="E3" s="20" t="s">
        <v>535</v>
      </c>
      <c r="F3" s="20" t="s">
        <v>536</v>
      </c>
      <c r="G3" s="8" t="str">
        <f t="shared" ref="G3:G66" si="0">E3&amp;" "&amp;F3</f>
        <v>LOPES KIMBERLY</v>
      </c>
      <c r="H3" s="20" t="str">
        <f t="shared" ref="H3:H66" si="1">MID(B3,13,4)</f>
        <v>4024</v>
      </c>
    </row>
    <row r="4" spans="1:8" x14ac:dyDescent="0.25">
      <c r="A4" s="8">
        <v>43000.047627314816</v>
      </c>
      <c r="B4" s="20" t="s">
        <v>372</v>
      </c>
      <c r="C4" s="20" t="s">
        <v>539</v>
      </c>
      <c r="D4" s="138">
        <v>890000</v>
      </c>
      <c r="E4" s="20" t="s">
        <v>369</v>
      </c>
      <c r="F4" s="20" t="s">
        <v>370</v>
      </c>
      <c r="G4" s="8" t="str">
        <f t="shared" si="0"/>
        <v>LOZA FIDEL</v>
      </c>
      <c r="H4" s="20" t="str">
        <f t="shared" si="1"/>
        <v>4030</v>
      </c>
    </row>
    <row r="5" spans="1:8" x14ac:dyDescent="0.25">
      <c r="A5" s="8">
        <v>43000.055752314816</v>
      </c>
      <c r="B5" s="20" t="s">
        <v>520</v>
      </c>
      <c r="C5" s="20" t="s">
        <v>522</v>
      </c>
      <c r="D5" s="138">
        <v>2620000</v>
      </c>
      <c r="E5" s="20" t="s">
        <v>383</v>
      </c>
      <c r="F5" s="20" t="s">
        <v>384</v>
      </c>
      <c r="G5" s="8" t="str">
        <f t="shared" si="0"/>
        <v>PERKINS DARREN</v>
      </c>
      <c r="H5" s="20" t="str">
        <f t="shared" si="1"/>
        <v>4009</v>
      </c>
    </row>
    <row r="6" spans="1:8" x14ac:dyDescent="0.25">
      <c r="A6" s="8">
        <v>43000.067048611112</v>
      </c>
      <c r="B6" s="20" t="s">
        <v>525</v>
      </c>
      <c r="C6" s="20" t="s">
        <v>540</v>
      </c>
      <c r="D6" s="138">
        <v>3340000</v>
      </c>
      <c r="E6" s="20" t="s">
        <v>533</v>
      </c>
      <c r="F6" s="20" t="s">
        <v>534</v>
      </c>
      <c r="G6" s="8" t="str">
        <f t="shared" si="0"/>
        <v>ELBAUM MIKE</v>
      </c>
      <c r="H6" s="20" t="str">
        <f t="shared" si="1"/>
        <v>4014</v>
      </c>
    </row>
    <row r="7" spans="1:8" x14ac:dyDescent="0.25">
      <c r="A7" s="8">
        <v>43000.073518518519</v>
      </c>
      <c r="B7" s="20" t="s">
        <v>401</v>
      </c>
      <c r="C7" s="20" t="s">
        <v>541</v>
      </c>
      <c r="D7" s="138">
        <v>3320000</v>
      </c>
      <c r="E7" s="20" t="s">
        <v>391</v>
      </c>
      <c r="F7" s="20" t="s">
        <v>392</v>
      </c>
      <c r="G7" s="8" t="str">
        <f t="shared" si="0"/>
        <v>NICHOLSON WESLEY</v>
      </c>
      <c r="H7" s="20" t="str">
        <f t="shared" si="1"/>
        <v>4058</v>
      </c>
    </row>
    <row r="8" spans="1:8" x14ac:dyDescent="0.25">
      <c r="A8" s="8">
        <v>43000.089803240742</v>
      </c>
      <c r="B8" s="20" t="s">
        <v>438</v>
      </c>
      <c r="C8" s="20" t="s">
        <v>542</v>
      </c>
      <c r="D8" s="138">
        <v>2620000</v>
      </c>
      <c r="E8" s="20" t="s">
        <v>383</v>
      </c>
      <c r="F8" s="20" t="s">
        <v>384</v>
      </c>
      <c r="G8" s="8" t="str">
        <f t="shared" si="0"/>
        <v>PERKINS DARREN</v>
      </c>
      <c r="H8" s="20" t="str">
        <f t="shared" si="1"/>
        <v>4010</v>
      </c>
    </row>
    <row r="9" spans="1:8" ht="15.75" thickBot="1" x14ac:dyDescent="0.3">
      <c r="A9" s="24">
        <v>43000.111990740741</v>
      </c>
      <c r="B9" s="20" t="s">
        <v>472</v>
      </c>
      <c r="C9" s="20" t="s">
        <v>543</v>
      </c>
      <c r="D9" s="138">
        <v>1830000</v>
      </c>
      <c r="E9" s="20" t="s">
        <v>413</v>
      </c>
      <c r="F9" s="20" t="s">
        <v>414</v>
      </c>
      <c r="G9" s="8" t="str">
        <f t="shared" si="0"/>
        <v>YORK EDGAR</v>
      </c>
      <c r="H9" s="20" t="str">
        <f t="shared" si="1"/>
        <v>4001</v>
      </c>
    </row>
    <row r="10" spans="1:8" x14ac:dyDescent="0.25">
      <c r="A10" s="8">
        <v>43000.112986111111</v>
      </c>
      <c r="B10" s="20" t="s">
        <v>416</v>
      </c>
      <c r="C10" s="20" t="s">
        <v>544</v>
      </c>
      <c r="D10" s="138">
        <v>900000</v>
      </c>
      <c r="E10" s="20" t="s">
        <v>476</v>
      </c>
      <c r="F10" s="20" t="s">
        <v>477</v>
      </c>
      <c r="G10" s="8" t="str">
        <f t="shared" si="0"/>
        <v>ROCHA YAOTL</v>
      </c>
      <c r="H10" s="20" t="str">
        <f t="shared" si="1"/>
        <v>4057</v>
      </c>
    </row>
    <row r="11" spans="1:8" x14ac:dyDescent="0.25">
      <c r="A11" s="8">
        <v>43000.128819444442</v>
      </c>
      <c r="B11" s="20" t="s">
        <v>479</v>
      </c>
      <c r="C11" s="20" t="s">
        <v>609</v>
      </c>
      <c r="D11" s="138">
        <v>1090000</v>
      </c>
      <c r="E11" s="20" t="s">
        <v>524</v>
      </c>
      <c r="F11" s="20" t="s">
        <v>190</v>
      </c>
      <c r="G11" s="8" t="str">
        <f t="shared" si="0"/>
        <v>SPECTOR MICHAEL</v>
      </c>
      <c r="H11" s="20" t="str">
        <f t="shared" si="1"/>
        <v>4002</v>
      </c>
    </row>
    <row r="12" spans="1:8" x14ac:dyDescent="0.25">
      <c r="A12" s="8">
        <v>43000.130231481482</v>
      </c>
      <c r="B12" s="20" t="s">
        <v>473</v>
      </c>
      <c r="C12" s="20" t="s">
        <v>610</v>
      </c>
      <c r="D12" s="138">
        <v>1830000</v>
      </c>
      <c r="E12" s="20" t="s">
        <v>413</v>
      </c>
      <c r="F12" s="20" t="s">
        <v>414</v>
      </c>
      <c r="G12" s="8" t="str">
        <f t="shared" si="0"/>
        <v>YORK EDGAR</v>
      </c>
      <c r="H12" s="20" t="str">
        <f t="shared" si="1"/>
        <v>4064</v>
      </c>
    </row>
    <row r="13" spans="1:8" x14ac:dyDescent="0.25">
      <c r="A13" s="8">
        <v>43000.139189814814</v>
      </c>
      <c r="B13" s="20" t="s">
        <v>412</v>
      </c>
      <c r="C13" s="20" t="s">
        <v>611</v>
      </c>
      <c r="D13" s="138">
        <v>3300000</v>
      </c>
      <c r="E13" s="20" t="s">
        <v>612</v>
      </c>
      <c r="F13" s="20" t="s">
        <v>613</v>
      </c>
      <c r="G13" s="8" t="str">
        <f t="shared" si="0"/>
        <v>LANGERAK WILLIAM</v>
      </c>
      <c r="H13" s="20" t="str">
        <f t="shared" si="1"/>
        <v>4043</v>
      </c>
    </row>
    <row r="14" spans="1:8" x14ac:dyDescent="0.25">
      <c r="A14" s="8">
        <v>43000.140011574076</v>
      </c>
      <c r="B14" s="20" t="s">
        <v>472</v>
      </c>
      <c r="C14" s="20" t="s">
        <v>614</v>
      </c>
      <c r="D14" s="138">
        <v>1090000</v>
      </c>
      <c r="E14" s="20" t="s">
        <v>524</v>
      </c>
      <c r="F14" s="20" t="s">
        <v>190</v>
      </c>
      <c r="G14" s="8" t="str">
        <f t="shared" si="0"/>
        <v>SPECTOR MICHAEL</v>
      </c>
      <c r="H14" s="20" t="str">
        <f t="shared" si="1"/>
        <v>4001</v>
      </c>
    </row>
    <row r="15" spans="1:8" x14ac:dyDescent="0.25">
      <c r="A15" s="8">
        <v>43000.14261574074</v>
      </c>
      <c r="B15" s="20" t="s">
        <v>412</v>
      </c>
      <c r="C15" s="20" t="s">
        <v>611</v>
      </c>
      <c r="D15" s="138">
        <v>3300000</v>
      </c>
      <c r="E15" s="20" t="s">
        <v>612</v>
      </c>
      <c r="F15" s="20" t="s">
        <v>613</v>
      </c>
      <c r="G15" s="8" t="str">
        <f t="shared" si="0"/>
        <v>LANGERAK WILLIAM</v>
      </c>
      <c r="H15" s="20" t="str">
        <f t="shared" si="1"/>
        <v>4043</v>
      </c>
    </row>
    <row r="16" spans="1:8" x14ac:dyDescent="0.25">
      <c r="A16" s="8">
        <v>43000.15357638889</v>
      </c>
      <c r="B16" s="20" t="s">
        <v>454</v>
      </c>
      <c r="C16" s="20" t="s">
        <v>615</v>
      </c>
      <c r="D16" s="138">
        <v>3300000</v>
      </c>
      <c r="E16" s="20" t="s">
        <v>612</v>
      </c>
      <c r="F16" s="20" t="s">
        <v>613</v>
      </c>
      <c r="G16" s="8" t="str">
        <f t="shared" si="0"/>
        <v>LANGERAK WILLIAM</v>
      </c>
      <c r="H16" s="20" t="str">
        <f t="shared" si="1"/>
        <v>4044</v>
      </c>
    </row>
    <row r="17" spans="1:8" x14ac:dyDescent="0.25">
      <c r="A17" s="8">
        <v>43000.157939814817</v>
      </c>
      <c r="B17" s="20" t="s">
        <v>439</v>
      </c>
      <c r="C17" s="20" t="s">
        <v>616</v>
      </c>
      <c r="D17" s="138">
        <v>940000</v>
      </c>
      <c r="E17" s="20" t="s">
        <v>617</v>
      </c>
      <c r="F17" s="20" t="s">
        <v>618</v>
      </c>
      <c r="G17" s="8" t="str">
        <f t="shared" si="0"/>
        <v>BONDS REYNALDO</v>
      </c>
      <c r="H17" s="20" t="str">
        <f t="shared" si="1"/>
        <v>4017</v>
      </c>
    </row>
    <row r="18" spans="1:8" x14ac:dyDescent="0.25">
      <c r="A18" s="8">
        <v>43000.160868055558</v>
      </c>
      <c r="B18" s="20" t="s">
        <v>470</v>
      </c>
      <c r="C18" s="20" t="s">
        <v>619</v>
      </c>
      <c r="D18" s="138">
        <v>1830000</v>
      </c>
      <c r="E18" s="20" t="s">
        <v>413</v>
      </c>
      <c r="F18" s="20" t="s">
        <v>414</v>
      </c>
      <c r="G18" s="8" t="str">
        <f t="shared" si="0"/>
        <v>YORK EDGAR</v>
      </c>
      <c r="H18" s="20" t="str">
        <f t="shared" si="1"/>
        <v>4063</v>
      </c>
    </row>
    <row r="19" spans="1:8" x14ac:dyDescent="0.25">
      <c r="A19" s="8">
        <v>43000.168541666666</v>
      </c>
      <c r="B19" s="20" t="s">
        <v>437</v>
      </c>
      <c r="C19" s="20" t="s">
        <v>620</v>
      </c>
      <c r="D19" s="138">
        <v>940000</v>
      </c>
      <c r="E19" s="20" t="s">
        <v>617</v>
      </c>
      <c r="F19" s="20" t="s">
        <v>618</v>
      </c>
      <c r="G19" s="8" t="str">
        <f t="shared" si="0"/>
        <v>BONDS REYNALDO</v>
      </c>
      <c r="H19" s="20" t="str">
        <f t="shared" si="1"/>
        <v>4018</v>
      </c>
    </row>
    <row r="20" spans="1:8" x14ac:dyDescent="0.25">
      <c r="A20" s="8">
        <v>43000.172743055555</v>
      </c>
      <c r="B20" s="20" t="s">
        <v>519</v>
      </c>
      <c r="C20" s="20" t="s">
        <v>621</v>
      </c>
      <c r="D20" s="138">
        <v>1100000</v>
      </c>
      <c r="E20" s="20" t="s">
        <v>480</v>
      </c>
      <c r="F20" s="20" t="s">
        <v>481</v>
      </c>
      <c r="G20" s="8" t="str">
        <f t="shared" si="0"/>
        <v>GEBRETEKLE DAGNEW</v>
      </c>
      <c r="H20" s="20" t="str">
        <f t="shared" si="1"/>
        <v>4031</v>
      </c>
    </row>
    <row r="21" spans="1:8" x14ac:dyDescent="0.25">
      <c r="A21" s="8">
        <v>43000.174398148149</v>
      </c>
      <c r="B21" s="20" t="s">
        <v>519</v>
      </c>
      <c r="C21" s="20" t="s">
        <v>621</v>
      </c>
      <c r="D21" s="138">
        <v>1100000</v>
      </c>
      <c r="E21" s="20" t="s">
        <v>480</v>
      </c>
      <c r="F21" s="20" t="s">
        <v>481</v>
      </c>
      <c r="G21" s="8" t="str">
        <f t="shared" si="0"/>
        <v>GEBRETEKLE DAGNEW</v>
      </c>
      <c r="H21" s="20" t="str">
        <f t="shared" si="1"/>
        <v>4031</v>
      </c>
    </row>
    <row r="22" spans="1:8" x14ac:dyDescent="0.25">
      <c r="A22" s="26">
        <v>43000.182349537034</v>
      </c>
      <c r="B22" s="20" t="s">
        <v>586</v>
      </c>
      <c r="C22" s="20" t="s">
        <v>622</v>
      </c>
      <c r="D22" s="138">
        <v>1990000</v>
      </c>
      <c r="E22" s="20" t="s">
        <v>343</v>
      </c>
      <c r="F22" s="20" t="s">
        <v>478</v>
      </c>
      <c r="G22" s="8" t="str">
        <f t="shared" si="0"/>
        <v>DAVIS WENDY</v>
      </c>
      <c r="H22" s="20" t="str">
        <f t="shared" si="1"/>
        <v>4059</v>
      </c>
    </row>
    <row r="23" spans="1:8" x14ac:dyDescent="0.25">
      <c r="A23" s="8">
        <v>43000.184074074074</v>
      </c>
      <c r="B23" s="20" t="s">
        <v>586</v>
      </c>
      <c r="C23" s="20" t="s">
        <v>622</v>
      </c>
      <c r="D23" s="138">
        <v>1990000</v>
      </c>
      <c r="E23" s="20" t="s">
        <v>343</v>
      </c>
      <c r="F23" s="20" t="s">
        <v>478</v>
      </c>
      <c r="G23" s="8" t="str">
        <f t="shared" si="0"/>
        <v>DAVIS WENDY</v>
      </c>
      <c r="H23" s="20" t="str">
        <f t="shared" si="1"/>
        <v>4059</v>
      </c>
    </row>
    <row r="24" spans="1:8" x14ac:dyDescent="0.25">
      <c r="A24" s="8">
        <v>43000.18476851852</v>
      </c>
      <c r="B24" s="20" t="s">
        <v>412</v>
      </c>
      <c r="C24" s="20" t="s">
        <v>623</v>
      </c>
      <c r="D24" s="138">
        <v>3300000</v>
      </c>
      <c r="E24" s="20" t="s">
        <v>612</v>
      </c>
      <c r="F24" s="20" t="s">
        <v>613</v>
      </c>
      <c r="G24" s="8" t="str">
        <f t="shared" si="0"/>
        <v>LANGERAK WILLIAM</v>
      </c>
      <c r="H24" s="20" t="str">
        <f t="shared" si="1"/>
        <v>4043</v>
      </c>
    </row>
    <row r="25" spans="1:8" x14ac:dyDescent="0.25">
      <c r="A25" s="8">
        <v>43000.185358796298</v>
      </c>
      <c r="B25" s="20" t="s">
        <v>521</v>
      </c>
      <c r="C25" s="20" t="s">
        <v>624</v>
      </c>
      <c r="D25" s="138">
        <v>1100000</v>
      </c>
      <c r="E25" s="20" t="s">
        <v>480</v>
      </c>
      <c r="F25" s="20" t="s">
        <v>481</v>
      </c>
      <c r="G25" s="8" t="str">
        <f t="shared" si="0"/>
        <v>GEBRETEKLE DAGNEW</v>
      </c>
      <c r="H25" s="20" t="str">
        <f t="shared" si="1"/>
        <v>4032</v>
      </c>
    </row>
    <row r="26" spans="1:8" x14ac:dyDescent="0.25">
      <c r="A26" s="8">
        <v>43000.196689814817</v>
      </c>
      <c r="B26" s="20" t="s">
        <v>625</v>
      </c>
      <c r="C26" s="20" t="s">
        <v>626</v>
      </c>
      <c r="D26" s="138">
        <v>1990000</v>
      </c>
      <c r="E26" s="20" t="s">
        <v>343</v>
      </c>
      <c r="F26" s="20" t="s">
        <v>478</v>
      </c>
      <c r="G26" s="8" t="str">
        <f t="shared" si="0"/>
        <v>DAVIS WENDY</v>
      </c>
      <c r="H26" s="20" t="str">
        <f t="shared" si="1"/>
        <v>4060</v>
      </c>
    </row>
    <row r="27" spans="1:8" x14ac:dyDescent="0.25">
      <c r="A27" s="8">
        <v>43000.200624999998</v>
      </c>
      <c r="B27" s="20" t="s">
        <v>583</v>
      </c>
      <c r="C27" s="20" t="s">
        <v>627</v>
      </c>
      <c r="D27" s="138">
        <v>1340000</v>
      </c>
      <c r="E27" s="20" t="s">
        <v>628</v>
      </c>
      <c r="F27" s="20" t="s">
        <v>629</v>
      </c>
      <c r="G27" s="8" t="str">
        <f t="shared" si="0"/>
        <v>BEAM ROSS</v>
      </c>
      <c r="H27" s="20" t="str">
        <f t="shared" si="1"/>
        <v>4061</v>
      </c>
    </row>
    <row r="28" spans="1:8" x14ac:dyDescent="0.25">
      <c r="A28" s="8">
        <v>43000.203865740739</v>
      </c>
      <c r="B28" s="20" t="s">
        <v>440</v>
      </c>
      <c r="C28" s="20" t="s">
        <v>630</v>
      </c>
      <c r="D28" s="138">
        <v>1260000</v>
      </c>
      <c r="E28" s="20" t="s">
        <v>631</v>
      </c>
      <c r="F28" s="20" t="s">
        <v>632</v>
      </c>
      <c r="G28" s="8" t="str">
        <f t="shared" si="0"/>
        <v>ACKERMAN JARED</v>
      </c>
      <c r="H28" s="20" t="str">
        <f t="shared" si="1"/>
        <v>4040</v>
      </c>
    </row>
    <row r="29" spans="1:8" x14ac:dyDescent="0.25">
      <c r="A29" s="8">
        <v>43000.204560185186</v>
      </c>
      <c r="B29" s="20" t="s">
        <v>473</v>
      </c>
      <c r="C29" s="20" t="s">
        <v>633</v>
      </c>
      <c r="D29" s="138">
        <v>1830000</v>
      </c>
      <c r="E29" s="20" t="s">
        <v>413</v>
      </c>
      <c r="F29" s="20" t="s">
        <v>414</v>
      </c>
      <c r="G29" s="8" t="str">
        <f t="shared" si="0"/>
        <v>YORK EDGAR</v>
      </c>
      <c r="H29" s="20" t="str">
        <f t="shared" si="1"/>
        <v>4064</v>
      </c>
    </row>
    <row r="30" spans="1:8" x14ac:dyDescent="0.25">
      <c r="A30" s="8">
        <v>43000.209988425922</v>
      </c>
      <c r="B30" s="20" t="s">
        <v>595</v>
      </c>
      <c r="C30" s="20" t="s">
        <v>634</v>
      </c>
      <c r="D30" s="138">
        <v>1340000</v>
      </c>
      <c r="E30" s="20" t="s">
        <v>628</v>
      </c>
      <c r="F30" s="20" t="s">
        <v>629</v>
      </c>
      <c r="G30" s="8" t="str">
        <f t="shared" si="0"/>
        <v>BEAM ROSS</v>
      </c>
      <c r="H30" s="20" t="str">
        <f t="shared" si="1"/>
        <v>4062</v>
      </c>
    </row>
    <row r="31" spans="1:8" x14ac:dyDescent="0.25">
      <c r="A31" s="8">
        <v>43000.213321759256</v>
      </c>
      <c r="B31" s="20" t="s">
        <v>439</v>
      </c>
      <c r="C31" s="20" t="s">
        <v>635</v>
      </c>
      <c r="D31" s="138">
        <v>940000</v>
      </c>
      <c r="E31" s="20" t="s">
        <v>617</v>
      </c>
      <c r="F31" s="20" t="s">
        <v>618</v>
      </c>
      <c r="G31" s="8" t="str">
        <f t="shared" si="0"/>
        <v>BONDS REYNALDO</v>
      </c>
      <c r="H31" s="20" t="str">
        <f t="shared" si="1"/>
        <v>4017</v>
      </c>
    </row>
    <row r="32" spans="1:8" x14ac:dyDescent="0.25">
      <c r="A32" s="8">
        <v>43000.213333333333</v>
      </c>
      <c r="B32" s="20" t="s">
        <v>519</v>
      </c>
      <c r="C32" s="20" t="s">
        <v>636</v>
      </c>
      <c r="D32" s="138">
        <v>1100000</v>
      </c>
      <c r="E32" s="20" t="s">
        <v>480</v>
      </c>
      <c r="F32" s="20" t="s">
        <v>481</v>
      </c>
      <c r="G32" s="8" t="str">
        <f t="shared" si="0"/>
        <v>GEBRETEKLE DAGNEW</v>
      </c>
      <c r="H32" s="20" t="str">
        <f t="shared" si="1"/>
        <v>4031</v>
      </c>
    </row>
    <row r="33" spans="1:8" x14ac:dyDescent="0.25">
      <c r="A33" s="8">
        <v>43000.21539351852</v>
      </c>
      <c r="B33" s="20" t="s">
        <v>436</v>
      </c>
      <c r="C33" s="20" t="s">
        <v>637</v>
      </c>
      <c r="D33" s="138">
        <v>1260000</v>
      </c>
      <c r="E33" s="20" t="s">
        <v>631</v>
      </c>
      <c r="F33" s="20" t="s">
        <v>632</v>
      </c>
      <c r="G33" s="8" t="str">
        <f t="shared" si="0"/>
        <v>ACKERMAN JARED</v>
      </c>
      <c r="H33" s="20" t="str">
        <f t="shared" si="1"/>
        <v>4039</v>
      </c>
    </row>
    <row r="34" spans="1:8" x14ac:dyDescent="0.25">
      <c r="A34" s="8">
        <v>43000.217719907407</v>
      </c>
      <c r="B34" s="20" t="s">
        <v>638</v>
      </c>
      <c r="C34" s="20" t="s">
        <v>639</v>
      </c>
      <c r="D34" s="138">
        <v>1230000</v>
      </c>
      <c r="E34" s="20" t="s">
        <v>482</v>
      </c>
      <c r="F34" s="20" t="s">
        <v>483</v>
      </c>
      <c r="G34" s="8" t="str">
        <f t="shared" si="0"/>
        <v>YANAI IAN</v>
      </c>
      <c r="H34" s="20" t="str">
        <f t="shared" si="1"/>
        <v>4011</v>
      </c>
    </row>
    <row r="35" spans="1:8" x14ac:dyDescent="0.25">
      <c r="A35" s="8">
        <v>43000.225173611114</v>
      </c>
      <c r="B35" s="20" t="s">
        <v>454</v>
      </c>
      <c r="C35" s="20" t="s">
        <v>640</v>
      </c>
      <c r="D35" s="138">
        <v>3300000</v>
      </c>
      <c r="E35" s="20" t="s">
        <v>612</v>
      </c>
      <c r="F35" s="20" t="s">
        <v>613</v>
      </c>
      <c r="G35" s="8" t="str">
        <f t="shared" si="0"/>
        <v>LANGERAK WILLIAM</v>
      </c>
      <c r="H35" s="20" t="str">
        <f t="shared" si="1"/>
        <v>4044</v>
      </c>
    </row>
    <row r="36" spans="1:8" x14ac:dyDescent="0.25">
      <c r="A36" s="8">
        <v>43000.226504629631</v>
      </c>
      <c r="B36" s="20" t="s">
        <v>586</v>
      </c>
      <c r="C36" s="20" t="s">
        <v>641</v>
      </c>
      <c r="D36" s="138">
        <v>1990000</v>
      </c>
      <c r="E36" s="20" t="s">
        <v>343</v>
      </c>
      <c r="F36" s="20" t="s">
        <v>478</v>
      </c>
      <c r="G36" s="8" t="str">
        <f t="shared" si="0"/>
        <v>DAVIS WENDY</v>
      </c>
      <c r="H36" s="20" t="str">
        <f t="shared" si="1"/>
        <v>4059</v>
      </c>
    </row>
    <row r="37" spans="1:8" x14ac:dyDescent="0.25">
      <c r="A37" s="8">
        <v>43000.229629629626</v>
      </c>
      <c r="B37" s="20" t="s">
        <v>440</v>
      </c>
      <c r="C37" s="20" t="s">
        <v>576</v>
      </c>
      <c r="D37" s="138">
        <v>1260000</v>
      </c>
      <c r="E37" s="20" t="s">
        <v>631</v>
      </c>
      <c r="F37" s="20" t="s">
        <v>632</v>
      </c>
      <c r="G37" s="8" t="str">
        <f t="shared" si="0"/>
        <v>ACKERMAN JARED</v>
      </c>
      <c r="H37" s="20" t="str">
        <f t="shared" si="1"/>
        <v>4040</v>
      </c>
    </row>
    <row r="38" spans="1:8" x14ac:dyDescent="0.25">
      <c r="A38" s="8">
        <v>43000.233553240738</v>
      </c>
      <c r="B38" s="20" t="s">
        <v>642</v>
      </c>
      <c r="C38" s="20" t="s">
        <v>643</v>
      </c>
      <c r="D38" s="138">
        <v>1230000</v>
      </c>
      <c r="E38" s="20" t="s">
        <v>482</v>
      </c>
      <c r="F38" s="20" t="s">
        <v>483</v>
      </c>
      <c r="G38" s="8" t="str">
        <f t="shared" si="0"/>
        <v>YANAI IAN</v>
      </c>
      <c r="H38" s="20" t="str">
        <f t="shared" si="1"/>
        <v>4012</v>
      </c>
    </row>
    <row r="39" spans="1:8" x14ac:dyDescent="0.25">
      <c r="A39" s="8">
        <v>43000.23741898148</v>
      </c>
      <c r="B39" s="20" t="s">
        <v>519</v>
      </c>
      <c r="C39" s="20" t="s">
        <v>636</v>
      </c>
      <c r="D39" s="138">
        <v>1100000</v>
      </c>
      <c r="E39" s="20" t="s">
        <v>480</v>
      </c>
      <c r="F39" s="20" t="s">
        <v>481</v>
      </c>
      <c r="G39" s="8" t="str">
        <f t="shared" si="0"/>
        <v>GEBRETEKLE DAGNEW</v>
      </c>
      <c r="H39" s="20" t="str">
        <f t="shared" si="1"/>
        <v>4031</v>
      </c>
    </row>
    <row r="40" spans="1:8" x14ac:dyDescent="0.25">
      <c r="A40" s="8">
        <v>43000.241122685184</v>
      </c>
      <c r="B40" s="25" t="s">
        <v>470</v>
      </c>
      <c r="C40" s="20" t="s">
        <v>644</v>
      </c>
      <c r="D40" s="138">
        <v>1830000</v>
      </c>
      <c r="E40" s="20" t="s">
        <v>413</v>
      </c>
      <c r="F40" s="20" t="s">
        <v>414</v>
      </c>
      <c r="G40" s="8" t="str">
        <f t="shared" si="0"/>
        <v>YORK EDGAR</v>
      </c>
      <c r="H40" s="20" t="str">
        <f t="shared" si="1"/>
        <v>4063</v>
      </c>
    </row>
    <row r="41" spans="1:8" x14ac:dyDescent="0.25">
      <c r="A41" s="8">
        <v>43000.241331018522</v>
      </c>
      <c r="B41" s="20" t="s">
        <v>580</v>
      </c>
      <c r="C41" s="20" t="s">
        <v>645</v>
      </c>
      <c r="D41" s="138">
        <v>2530000</v>
      </c>
      <c r="E41" s="20" t="s">
        <v>646</v>
      </c>
      <c r="F41" s="20" t="s">
        <v>647</v>
      </c>
      <c r="G41" s="8" t="str">
        <f t="shared" si="0"/>
        <v>LALONDE GREGORY</v>
      </c>
      <c r="H41" s="20" t="str">
        <f t="shared" si="1"/>
        <v>4041</v>
      </c>
    </row>
    <row r="42" spans="1:8" x14ac:dyDescent="0.25">
      <c r="A42" s="8">
        <v>43000.245069444441</v>
      </c>
      <c r="B42" s="20" t="s">
        <v>583</v>
      </c>
      <c r="C42" s="20" t="s">
        <v>648</v>
      </c>
      <c r="D42" s="138">
        <v>1340000</v>
      </c>
      <c r="E42" s="20" t="s">
        <v>628</v>
      </c>
      <c r="F42" s="20" t="s">
        <v>629</v>
      </c>
      <c r="G42" s="8" t="str">
        <f t="shared" si="0"/>
        <v>BEAM ROSS</v>
      </c>
      <c r="H42" s="20" t="str">
        <f t="shared" si="1"/>
        <v>4061</v>
      </c>
    </row>
    <row r="43" spans="1:8" x14ac:dyDescent="0.25">
      <c r="A43" s="8">
        <v>43000.247766203705</v>
      </c>
      <c r="B43" s="20" t="s">
        <v>436</v>
      </c>
      <c r="C43" s="20" t="s">
        <v>649</v>
      </c>
      <c r="D43" s="138">
        <v>1260000</v>
      </c>
      <c r="E43" s="20" t="s">
        <v>631</v>
      </c>
      <c r="F43" s="20" t="s">
        <v>632</v>
      </c>
      <c r="G43" s="8" t="str">
        <f t="shared" si="0"/>
        <v>ACKERMAN JARED</v>
      </c>
      <c r="H43" s="20" t="str">
        <f t="shared" si="1"/>
        <v>4039</v>
      </c>
    </row>
    <row r="44" spans="1:8" x14ac:dyDescent="0.25">
      <c r="A44" s="8">
        <v>43000.248217592591</v>
      </c>
      <c r="B44" s="20" t="s">
        <v>437</v>
      </c>
      <c r="C44" s="20" t="s">
        <v>650</v>
      </c>
      <c r="D44" s="138">
        <v>940000</v>
      </c>
      <c r="E44" s="20" t="s">
        <v>617</v>
      </c>
      <c r="F44" s="20" t="s">
        <v>618</v>
      </c>
      <c r="G44" s="8" t="str">
        <f t="shared" si="0"/>
        <v>BONDS REYNALDO</v>
      </c>
      <c r="H44" s="20" t="str">
        <f t="shared" si="1"/>
        <v>4018</v>
      </c>
    </row>
    <row r="45" spans="1:8" x14ac:dyDescent="0.25">
      <c r="A45" s="8">
        <v>43000.253946759258</v>
      </c>
      <c r="B45" s="20" t="s">
        <v>471</v>
      </c>
      <c r="C45" s="20" t="s">
        <v>651</v>
      </c>
      <c r="D45" s="138">
        <v>2530000</v>
      </c>
      <c r="E45" s="20" t="s">
        <v>646</v>
      </c>
      <c r="F45" s="20" t="s">
        <v>647</v>
      </c>
      <c r="G45" s="8" t="str">
        <f t="shared" si="0"/>
        <v>LALONDE GREGORY</v>
      </c>
      <c r="H45" s="20" t="str">
        <f t="shared" si="1"/>
        <v>4042</v>
      </c>
    </row>
    <row r="46" spans="1:8" x14ac:dyDescent="0.25">
      <c r="A46" s="8">
        <v>43000.257534722223</v>
      </c>
      <c r="B46" s="20" t="s">
        <v>521</v>
      </c>
      <c r="C46" s="20" t="s">
        <v>652</v>
      </c>
      <c r="D46" s="138">
        <v>1100000</v>
      </c>
      <c r="E46" s="20" t="s">
        <v>480</v>
      </c>
      <c r="F46" s="20" t="s">
        <v>481</v>
      </c>
      <c r="G46" s="8" t="str">
        <f t="shared" si="0"/>
        <v>GEBRETEKLE DAGNEW</v>
      </c>
      <c r="H46" s="20" t="str">
        <f t="shared" si="1"/>
        <v>4032</v>
      </c>
    </row>
    <row r="47" spans="1:8" x14ac:dyDescent="0.25">
      <c r="A47" s="8">
        <v>43000.258125</v>
      </c>
      <c r="B47" s="20" t="s">
        <v>412</v>
      </c>
      <c r="C47" s="20" t="s">
        <v>653</v>
      </c>
      <c r="D47" s="138">
        <v>3300000</v>
      </c>
      <c r="E47" s="20" t="s">
        <v>612</v>
      </c>
      <c r="F47" s="20" t="s">
        <v>613</v>
      </c>
      <c r="G47" s="8" t="str">
        <f t="shared" si="0"/>
        <v>LANGERAK WILLIAM</v>
      </c>
      <c r="H47" s="20" t="str">
        <f t="shared" si="1"/>
        <v>4043</v>
      </c>
    </row>
    <row r="48" spans="1:8" x14ac:dyDescent="0.25">
      <c r="A48" s="8">
        <v>43000.265138888892</v>
      </c>
      <c r="B48" s="20" t="s">
        <v>638</v>
      </c>
      <c r="C48" s="20" t="s">
        <v>654</v>
      </c>
      <c r="D48" s="138">
        <v>1230000</v>
      </c>
      <c r="E48" s="20" t="s">
        <v>482</v>
      </c>
      <c r="F48" s="20" t="s">
        <v>483</v>
      </c>
      <c r="G48" s="8" t="str">
        <f t="shared" si="0"/>
        <v>YANAI IAN</v>
      </c>
      <c r="H48" s="20" t="str">
        <f t="shared" si="1"/>
        <v>4011</v>
      </c>
    </row>
    <row r="49" spans="1:8" x14ac:dyDescent="0.25">
      <c r="A49" s="8">
        <v>43000.267696759256</v>
      </c>
      <c r="B49" s="20" t="s">
        <v>625</v>
      </c>
      <c r="C49" s="20" t="s">
        <v>655</v>
      </c>
      <c r="D49" s="138">
        <v>3030000</v>
      </c>
      <c r="E49" s="20" t="s">
        <v>656</v>
      </c>
      <c r="F49" s="20" t="s">
        <v>657</v>
      </c>
      <c r="G49" s="8" t="str">
        <f t="shared" si="0"/>
        <v>BIRENBAUM THOMAS</v>
      </c>
      <c r="H49" s="20" t="str">
        <f t="shared" si="1"/>
        <v>4060</v>
      </c>
    </row>
    <row r="50" spans="1:8" x14ac:dyDescent="0.25">
      <c r="A50" s="8">
        <v>43000.268171296295</v>
      </c>
      <c r="B50" s="20" t="s">
        <v>580</v>
      </c>
      <c r="C50" s="20" t="s">
        <v>658</v>
      </c>
      <c r="D50" s="138">
        <v>2530000</v>
      </c>
      <c r="E50" s="20" t="s">
        <v>646</v>
      </c>
      <c r="F50" s="20" t="s">
        <v>647</v>
      </c>
      <c r="G50" s="8" t="str">
        <f t="shared" si="0"/>
        <v>LALONDE GREGORY</v>
      </c>
      <c r="H50" s="20" t="str">
        <f t="shared" si="1"/>
        <v>4041</v>
      </c>
    </row>
    <row r="51" spans="1:8" x14ac:dyDescent="0.25">
      <c r="A51" s="8">
        <v>43000.272013888891</v>
      </c>
      <c r="B51" s="20" t="s">
        <v>440</v>
      </c>
      <c r="C51" s="20" t="s">
        <v>659</v>
      </c>
      <c r="D51" s="138">
        <v>1260000</v>
      </c>
      <c r="E51" s="20" t="s">
        <v>631</v>
      </c>
      <c r="F51" s="20" t="s">
        <v>632</v>
      </c>
      <c r="G51" s="8" t="str">
        <f t="shared" si="0"/>
        <v>ACKERMAN JARED</v>
      </c>
      <c r="H51" s="20" t="str">
        <f t="shared" si="1"/>
        <v>4040</v>
      </c>
    </row>
    <row r="52" spans="1:8" x14ac:dyDescent="0.25">
      <c r="A52" s="8">
        <v>43000.27721064815</v>
      </c>
      <c r="B52" s="20" t="s">
        <v>473</v>
      </c>
      <c r="C52" s="20" t="s">
        <v>577</v>
      </c>
      <c r="D52" s="138">
        <v>1830000</v>
      </c>
      <c r="E52" s="20" t="s">
        <v>413</v>
      </c>
      <c r="F52" s="20" t="s">
        <v>414</v>
      </c>
      <c r="G52" s="8" t="str">
        <f t="shared" si="0"/>
        <v>YORK EDGAR</v>
      </c>
      <c r="H52" s="20" t="str">
        <f t="shared" si="1"/>
        <v>4064</v>
      </c>
    </row>
    <row r="53" spans="1:8" x14ac:dyDescent="0.25">
      <c r="A53" s="8">
        <v>43000.286030092589</v>
      </c>
      <c r="B53" s="20" t="s">
        <v>519</v>
      </c>
      <c r="C53" s="20" t="s">
        <v>652</v>
      </c>
      <c r="D53" s="138">
        <v>1100000</v>
      </c>
      <c r="E53" s="20" t="s">
        <v>480</v>
      </c>
      <c r="F53" s="20" t="s">
        <v>481</v>
      </c>
      <c r="G53" s="8" t="str">
        <f t="shared" si="0"/>
        <v>GEBRETEKLE DAGNEW</v>
      </c>
      <c r="H53" s="20" t="str">
        <f t="shared" si="1"/>
        <v>4031</v>
      </c>
    </row>
    <row r="54" spans="1:8" x14ac:dyDescent="0.25">
      <c r="A54" s="8">
        <v>43000.286134259259</v>
      </c>
      <c r="B54" s="20" t="s">
        <v>439</v>
      </c>
      <c r="C54" s="20" t="s">
        <v>579</v>
      </c>
      <c r="D54" s="138">
        <v>940000</v>
      </c>
      <c r="E54" s="20" t="s">
        <v>617</v>
      </c>
      <c r="F54" s="20" t="s">
        <v>618</v>
      </c>
      <c r="G54" s="8" t="str">
        <f t="shared" si="0"/>
        <v>BONDS REYNALDO</v>
      </c>
      <c r="H54" s="20" t="str">
        <f t="shared" si="1"/>
        <v>4017</v>
      </c>
    </row>
    <row r="55" spans="1:8" x14ac:dyDescent="0.25">
      <c r="A55" s="8">
        <v>43000.286736111113</v>
      </c>
      <c r="B55" s="20" t="s">
        <v>595</v>
      </c>
      <c r="C55" s="20" t="s">
        <v>660</v>
      </c>
      <c r="D55" s="138">
        <v>1340000</v>
      </c>
      <c r="E55" s="20" t="s">
        <v>628</v>
      </c>
      <c r="F55" s="20" t="s">
        <v>629</v>
      </c>
      <c r="G55" s="8" t="str">
        <f t="shared" si="0"/>
        <v>BEAM ROSS</v>
      </c>
      <c r="H55" s="20" t="str">
        <f t="shared" si="1"/>
        <v>4062</v>
      </c>
    </row>
    <row r="56" spans="1:8" x14ac:dyDescent="0.25">
      <c r="A56" s="8">
        <v>43000.286874999998</v>
      </c>
      <c r="B56" s="20" t="s">
        <v>519</v>
      </c>
      <c r="C56" s="20" t="s">
        <v>661</v>
      </c>
      <c r="D56" s="138">
        <v>1100000</v>
      </c>
      <c r="E56" s="20" t="s">
        <v>480</v>
      </c>
      <c r="F56" s="20" t="s">
        <v>481</v>
      </c>
      <c r="G56" s="8" t="str">
        <f t="shared" si="0"/>
        <v>GEBRETEKLE DAGNEW</v>
      </c>
      <c r="H56" s="20" t="str">
        <f t="shared" si="1"/>
        <v>4031</v>
      </c>
    </row>
    <row r="57" spans="1:8" x14ac:dyDescent="0.25">
      <c r="A57" s="8">
        <v>43000.289780092593</v>
      </c>
      <c r="B57" s="20" t="s">
        <v>471</v>
      </c>
      <c r="C57" s="20" t="s">
        <v>662</v>
      </c>
      <c r="D57" s="138">
        <v>2530000</v>
      </c>
      <c r="E57" s="20" t="s">
        <v>646</v>
      </c>
      <c r="F57" s="20" t="s">
        <v>647</v>
      </c>
      <c r="G57" s="8" t="str">
        <f t="shared" si="0"/>
        <v>LALONDE GREGORY</v>
      </c>
      <c r="H57" s="20" t="str">
        <f t="shared" si="1"/>
        <v>4042</v>
      </c>
    </row>
    <row r="58" spans="1:8" x14ac:dyDescent="0.25">
      <c r="A58" s="8">
        <v>43000.290266203701</v>
      </c>
      <c r="B58" s="20" t="s">
        <v>436</v>
      </c>
      <c r="C58" s="20" t="s">
        <v>578</v>
      </c>
      <c r="D58" s="138">
        <v>1260000</v>
      </c>
      <c r="E58" s="20" t="s">
        <v>631</v>
      </c>
      <c r="F58" s="20" t="s">
        <v>632</v>
      </c>
      <c r="G58" s="8" t="str">
        <f t="shared" si="0"/>
        <v>ACKERMAN JARED</v>
      </c>
      <c r="H58" s="20" t="str">
        <f t="shared" si="1"/>
        <v>4039</v>
      </c>
    </row>
    <row r="59" spans="1:8" x14ac:dyDescent="0.25">
      <c r="A59" s="8">
        <v>43000.297430555554</v>
      </c>
      <c r="B59" s="20" t="s">
        <v>454</v>
      </c>
      <c r="C59" s="20" t="s">
        <v>663</v>
      </c>
      <c r="D59" s="138">
        <v>3300000</v>
      </c>
      <c r="E59" s="20" t="s">
        <v>612</v>
      </c>
      <c r="F59" s="20" t="s">
        <v>613</v>
      </c>
      <c r="G59" s="8" t="str">
        <f t="shared" si="0"/>
        <v>LANGERAK WILLIAM</v>
      </c>
      <c r="H59" s="20" t="str">
        <f t="shared" si="1"/>
        <v>4044</v>
      </c>
    </row>
    <row r="60" spans="1:8" x14ac:dyDescent="0.25">
      <c r="A60" s="8">
        <v>43000.298495370371</v>
      </c>
      <c r="B60" s="20" t="s">
        <v>586</v>
      </c>
      <c r="C60" s="20" t="s">
        <v>664</v>
      </c>
      <c r="D60" s="138">
        <v>3030000</v>
      </c>
      <c r="E60" s="20" t="s">
        <v>656</v>
      </c>
      <c r="F60" s="20" t="s">
        <v>657</v>
      </c>
      <c r="G60" s="8" t="str">
        <f t="shared" si="0"/>
        <v>BIRENBAUM THOMAS</v>
      </c>
      <c r="H60" s="20" t="str">
        <f t="shared" si="1"/>
        <v>4059</v>
      </c>
    </row>
    <row r="61" spans="1:8" x14ac:dyDescent="0.25">
      <c r="A61" s="8">
        <v>43000.307638888888</v>
      </c>
      <c r="B61" s="20" t="s">
        <v>642</v>
      </c>
      <c r="C61" s="20" t="s">
        <v>665</v>
      </c>
      <c r="D61" s="138">
        <v>1230000</v>
      </c>
      <c r="E61" s="20" t="s">
        <v>482</v>
      </c>
      <c r="F61" s="20" t="s">
        <v>483</v>
      </c>
      <c r="G61" s="8" t="str">
        <f t="shared" si="0"/>
        <v>YANAI IAN</v>
      </c>
      <c r="H61" s="20" t="str">
        <f t="shared" si="1"/>
        <v>4012</v>
      </c>
    </row>
    <row r="62" spans="1:8" x14ac:dyDescent="0.25">
      <c r="A62" s="8">
        <v>43000.307893518519</v>
      </c>
      <c r="B62" s="20" t="s">
        <v>470</v>
      </c>
      <c r="C62" s="20" t="s">
        <v>666</v>
      </c>
      <c r="D62" s="138">
        <v>1830000</v>
      </c>
      <c r="E62" s="20" t="s">
        <v>413</v>
      </c>
      <c r="F62" s="20" t="s">
        <v>414</v>
      </c>
      <c r="G62" s="8" t="str">
        <f t="shared" si="0"/>
        <v>YORK EDGAR</v>
      </c>
      <c r="H62" s="20" t="str">
        <f t="shared" si="1"/>
        <v>4063</v>
      </c>
    </row>
    <row r="63" spans="1:8" x14ac:dyDescent="0.25">
      <c r="A63" s="8">
        <v>43000.310069444444</v>
      </c>
      <c r="B63" s="20" t="s">
        <v>580</v>
      </c>
      <c r="C63" s="20" t="s">
        <v>581</v>
      </c>
      <c r="D63" s="138">
        <v>2530000</v>
      </c>
      <c r="E63" s="20" t="s">
        <v>646</v>
      </c>
      <c r="F63" s="20" t="s">
        <v>647</v>
      </c>
      <c r="G63" s="8" t="str">
        <f t="shared" si="0"/>
        <v>LALONDE GREGORY</v>
      </c>
      <c r="H63" s="20" t="str">
        <f t="shared" si="1"/>
        <v>4041</v>
      </c>
    </row>
    <row r="64" spans="1:8" x14ac:dyDescent="0.25">
      <c r="A64" s="26">
        <v>43000.312708333331</v>
      </c>
      <c r="B64" s="20" t="s">
        <v>440</v>
      </c>
      <c r="C64" s="20" t="s">
        <v>667</v>
      </c>
      <c r="D64" s="138">
        <v>1260000</v>
      </c>
      <c r="E64" s="20" t="s">
        <v>631</v>
      </c>
      <c r="F64" s="20" t="s">
        <v>632</v>
      </c>
      <c r="G64" s="8" t="str">
        <f t="shared" si="0"/>
        <v>ACKERMAN JARED</v>
      </c>
      <c r="H64" s="20" t="str">
        <f t="shared" si="1"/>
        <v>4040</v>
      </c>
    </row>
    <row r="65" spans="1:8" x14ac:dyDescent="0.25">
      <c r="A65" s="8">
        <v>43000.320497685185</v>
      </c>
      <c r="B65" s="20" t="s">
        <v>437</v>
      </c>
      <c r="C65" s="20" t="s">
        <v>668</v>
      </c>
      <c r="D65" s="138">
        <v>3260000</v>
      </c>
      <c r="E65" s="20" t="s">
        <v>484</v>
      </c>
      <c r="F65" s="20" t="s">
        <v>485</v>
      </c>
      <c r="G65" s="8" t="str">
        <f t="shared" si="0"/>
        <v>PAGE MARCUS</v>
      </c>
      <c r="H65" s="20" t="str">
        <f t="shared" si="1"/>
        <v>4018</v>
      </c>
    </row>
    <row r="66" spans="1:8" x14ac:dyDescent="0.25">
      <c r="A66" s="8">
        <v>43000.321319444447</v>
      </c>
      <c r="B66" s="20" t="s">
        <v>583</v>
      </c>
      <c r="C66" s="20" t="s">
        <v>584</v>
      </c>
      <c r="D66" s="138">
        <v>1340000</v>
      </c>
      <c r="E66" s="20" t="s">
        <v>628</v>
      </c>
      <c r="F66" s="20" t="s">
        <v>629</v>
      </c>
      <c r="G66" s="8" t="str">
        <f t="shared" si="0"/>
        <v>BEAM ROSS</v>
      </c>
      <c r="H66" s="20" t="str">
        <f t="shared" si="1"/>
        <v>4061</v>
      </c>
    </row>
    <row r="67" spans="1:8" x14ac:dyDescent="0.25">
      <c r="A67" s="8">
        <v>43000.329340277778</v>
      </c>
      <c r="B67" s="20" t="s">
        <v>412</v>
      </c>
      <c r="C67" s="20" t="s">
        <v>669</v>
      </c>
      <c r="D67" s="138">
        <v>3300000</v>
      </c>
      <c r="E67" s="20" t="s">
        <v>612</v>
      </c>
      <c r="F67" s="20" t="s">
        <v>613</v>
      </c>
      <c r="G67" s="8" t="str">
        <f t="shared" ref="G67:G130" si="2">E67&amp;" "&amp;F67</f>
        <v>LANGERAK WILLIAM</v>
      </c>
      <c r="H67" s="20" t="str">
        <f t="shared" ref="H67:H130" si="3">MID(B67,13,4)</f>
        <v>4043</v>
      </c>
    </row>
    <row r="68" spans="1:8" x14ac:dyDescent="0.25">
      <c r="A68" s="8">
        <v>43000.329606481479</v>
      </c>
      <c r="B68" s="20" t="s">
        <v>521</v>
      </c>
      <c r="C68" s="20" t="s">
        <v>670</v>
      </c>
      <c r="D68" s="138">
        <v>1100000</v>
      </c>
      <c r="E68" s="20" t="s">
        <v>480</v>
      </c>
      <c r="F68" s="20" t="s">
        <v>481</v>
      </c>
      <c r="G68" s="8" t="str">
        <f t="shared" si="2"/>
        <v>GEBRETEKLE DAGNEW</v>
      </c>
      <c r="H68" s="20" t="str">
        <f t="shared" si="3"/>
        <v>4032</v>
      </c>
    </row>
    <row r="69" spans="1:8" x14ac:dyDescent="0.25">
      <c r="A69" s="8">
        <v>43000.331412037034</v>
      </c>
      <c r="B69" s="20" t="s">
        <v>436</v>
      </c>
      <c r="C69" s="20" t="s">
        <v>582</v>
      </c>
      <c r="D69" s="138">
        <v>1260000</v>
      </c>
      <c r="E69" s="20" t="s">
        <v>631</v>
      </c>
      <c r="F69" s="20" t="s">
        <v>632</v>
      </c>
      <c r="G69" s="8" t="str">
        <f t="shared" si="2"/>
        <v>ACKERMAN JARED</v>
      </c>
      <c r="H69" s="20" t="str">
        <f t="shared" si="3"/>
        <v>4039</v>
      </c>
    </row>
    <row r="70" spans="1:8" x14ac:dyDescent="0.25">
      <c r="A70" s="8">
        <v>43000.335219907407</v>
      </c>
      <c r="B70" s="20" t="s">
        <v>471</v>
      </c>
      <c r="C70" s="20" t="s">
        <v>671</v>
      </c>
      <c r="D70" s="138">
        <v>3180000</v>
      </c>
      <c r="E70" s="20" t="s">
        <v>486</v>
      </c>
      <c r="F70" s="20" t="s">
        <v>487</v>
      </c>
      <c r="G70" s="8" t="str">
        <f t="shared" si="2"/>
        <v>HUFFSMITH MONTY</v>
      </c>
      <c r="H70" s="20" t="str">
        <f t="shared" si="3"/>
        <v>4042</v>
      </c>
    </row>
    <row r="71" spans="1:8" x14ac:dyDescent="0.25">
      <c r="A71" s="8">
        <v>43000.33871527778</v>
      </c>
      <c r="B71" s="20" t="s">
        <v>625</v>
      </c>
      <c r="C71" s="20" t="s">
        <v>672</v>
      </c>
      <c r="D71" s="138">
        <v>1990000</v>
      </c>
      <c r="E71" s="20" t="s">
        <v>343</v>
      </c>
      <c r="F71" s="20" t="s">
        <v>478</v>
      </c>
      <c r="G71" s="8" t="str">
        <f t="shared" si="2"/>
        <v>DAVIS WENDY</v>
      </c>
      <c r="H71" s="20" t="str">
        <f t="shared" si="3"/>
        <v>4060</v>
      </c>
    </row>
    <row r="72" spans="1:8" x14ac:dyDescent="0.25">
      <c r="A72" s="8">
        <v>43000.340138888889</v>
      </c>
      <c r="B72" s="20" t="s">
        <v>638</v>
      </c>
      <c r="C72" s="20" t="s">
        <v>673</v>
      </c>
      <c r="D72" s="138">
        <v>1230000</v>
      </c>
      <c r="E72" s="20" t="s">
        <v>482</v>
      </c>
      <c r="F72" s="20" t="s">
        <v>483</v>
      </c>
      <c r="G72" s="8" t="str">
        <f t="shared" si="2"/>
        <v>YANAI IAN</v>
      </c>
      <c r="H72" s="20" t="str">
        <f t="shared" si="3"/>
        <v>4011</v>
      </c>
    </row>
    <row r="73" spans="1:8" x14ac:dyDescent="0.25">
      <c r="A73" s="8">
        <v>43000.352870370371</v>
      </c>
      <c r="B73" s="20" t="s">
        <v>473</v>
      </c>
      <c r="C73" s="20" t="s">
        <v>674</v>
      </c>
      <c r="D73" s="138">
        <v>1830000</v>
      </c>
      <c r="E73" s="20" t="s">
        <v>413</v>
      </c>
      <c r="F73" s="20" t="s">
        <v>414</v>
      </c>
      <c r="G73" s="8" t="str">
        <f t="shared" si="2"/>
        <v>YORK EDGAR</v>
      </c>
      <c r="H73" s="20" t="str">
        <f t="shared" si="3"/>
        <v>4064</v>
      </c>
    </row>
    <row r="74" spans="1:8" x14ac:dyDescent="0.25">
      <c r="A74" s="8">
        <v>43000.354097222225</v>
      </c>
      <c r="B74" s="20" t="s">
        <v>440</v>
      </c>
      <c r="C74" s="20" t="s">
        <v>675</v>
      </c>
      <c r="D74" s="138">
        <v>1260000</v>
      </c>
      <c r="E74" s="20" t="s">
        <v>631</v>
      </c>
      <c r="F74" s="20" t="s">
        <v>632</v>
      </c>
      <c r="G74" s="8" t="str">
        <f t="shared" si="2"/>
        <v>ACKERMAN JARED</v>
      </c>
      <c r="H74" s="20" t="str">
        <f t="shared" si="3"/>
        <v>4040</v>
      </c>
    </row>
    <row r="75" spans="1:8" x14ac:dyDescent="0.25">
      <c r="A75" s="8">
        <v>43000.358611111114</v>
      </c>
      <c r="B75" s="20" t="s">
        <v>580</v>
      </c>
      <c r="C75" s="20" t="s">
        <v>676</v>
      </c>
      <c r="D75" s="138">
        <v>3180000</v>
      </c>
      <c r="E75" s="20" t="s">
        <v>486</v>
      </c>
      <c r="F75" s="20" t="s">
        <v>487</v>
      </c>
      <c r="G75" s="8" t="str">
        <f t="shared" si="2"/>
        <v>HUFFSMITH MONTY</v>
      </c>
      <c r="H75" s="20" t="str">
        <f t="shared" si="3"/>
        <v>4041</v>
      </c>
    </row>
    <row r="76" spans="1:8" x14ac:dyDescent="0.25">
      <c r="A76" s="8">
        <v>43000.360300925924</v>
      </c>
      <c r="B76" s="20" t="s">
        <v>439</v>
      </c>
      <c r="C76" s="20" t="s">
        <v>677</v>
      </c>
      <c r="D76" s="138">
        <v>3260000</v>
      </c>
      <c r="E76" s="20" t="s">
        <v>484</v>
      </c>
      <c r="F76" s="20" t="s">
        <v>485</v>
      </c>
      <c r="G76" s="8" t="str">
        <f t="shared" si="2"/>
        <v>PAGE MARCUS</v>
      </c>
      <c r="H76" s="20" t="str">
        <f t="shared" si="3"/>
        <v>4017</v>
      </c>
    </row>
    <row r="77" spans="1:8" x14ac:dyDescent="0.25">
      <c r="A77" s="8">
        <v>43000.361030092594</v>
      </c>
      <c r="B77" s="20" t="s">
        <v>519</v>
      </c>
      <c r="C77" s="20" t="s">
        <v>678</v>
      </c>
      <c r="D77" s="138">
        <v>1100000</v>
      </c>
      <c r="E77" s="20" t="s">
        <v>480</v>
      </c>
      <c r="F77" s="20" t="s">
        <v>481</v>
      </c>
      <c r="G77" s="8" t="str">
        <f t="shared" si="2"/>
        <v>GEBRETEKLE DAGNEW</v>
      </c>
      <c r="H77" s="20" t="str">
        <f t="shared" si="3"/>
        <v>4031</v>
      </c>
    </row>
    <row r="78" spans="1:8" x14ac:dyDescent="0.25">
      <c r="A78" s="8">
        <v>43000.362824074073</v>
      </c>
      <c r="B78" s="20" t="s">
        <v>595</v>
      </c>
      <c r="C78" s="20" t="s">
        <v>679</v>
      </c>
      <c r="D78" s="138">
        <v>1340000</v>
      </c>
      <c r="E78" s="20" t="s">
        <v>628</v>
      </c>
      <c r="F78" s="20" t="s">
        <v>629</v>
      </c>
      <c r="G78" s="8" t="str">
        <f t="shared" si="2"/>
        <v>BEAM ROSS</v>
      </c>
      <c r="H78" s="20" t="str">
        <f t="shared" si="3"/>
        <v>4062</v>
      </c>
    </row>
    <row r="79" spans="1:8" x14ac:dyDescent="0.25">
      <c r="A79" s="8">
        <v>43000.373796296299</v>
      </c>
      <c r="B79" s="20" t="s">
        <v>586</v>
      </c>
      <c r="C79" s="20" t="s">
        <v>587</v>
      </c>
      <c r="D79" s="138">
        <v>1990000</v>
      </c>
      <c r="E79" s="20" t="s">
        <v>343</v>
      </c>
      <c r="F79" s="20" t="s">
        <v>478</v>
      </c>
      <c r="G79" s="8" t="str">
        <f t="shared" si="2"/>
        <v>DAVIS WENDY</v>
      </c>
      <c r="H79" s="20" t="str">
        <f t="shared" si="3"/>
        <v>4059</v>
      </c>
    </row>
    <row r="80" spans="1:8" x14ac:dyDescent="0.25">
      <c r="A80" s="8">
        <v>43000.374814814815</v>
      </c>
      <c r="B80" s="20" t="s">
        <v>454</v>
      </c>
      <c r="C80" s="20" t="s">
        <v>680</v>
      </c>
      <c r="D80" s="138">
        <v>3300000</v>
      </c>
      <c r="E80" s="20" t="s">
        <v>612</v>
      </c>
      <c r="F80" s="20" t="s">
        <v>613</v>
      </c>
      <c r="G80" s="8" t="str">
        <f t="shared" si="2"/>
        <v>LANGERAK WILLIAM</v>
      </c>
      <c r="H80" s="20" t="str">
        <f t="shared" si="3"/>
        <v>4044</v>
      </c>
    </row>
    <row r="81" spans="1:8" x14ac:dyDescent="0.25">
      <c r="A81" s="8">
        <v>43000.376250000001</v>
      </c>
      <c r="B81" s="20" t="s">
        <v>471</v>
      </c>
      <c r="C81" s="20" t="s">
        <v>585</v>
      </c>
      <c r="D81" s="138">
        <v>2530000</v>
      </c>
      <c r="E81" s="20" t="s">
        <v>646</v>
      </c>
      <c r="F81" s="20" t="s">
        <v>647</v>
      </c>
      <c r="G81" s="8" t="str">
        <f t="shared" si="2"/>
        <v>LALONDE GREGORY</v>
      </c>
      <c r="H81" s="20" t="str">
        <f t="shared" si="3"/>
        <v>4042</v>
      </c>
    </row>
    <row r="82" spans="1:8" x14ac:dyDescent="0.25">
      <c r="A82" s="8">
        <v>43000.380509259259</v>
      </c>
      <c r="B82" s="20" t="s">
        <v>642</v>
      </c>
      <c r="C82" s="20" t="s">
        <v>681</v>
      </c>
      <c r="D82" s="138">
        <v>1230000</v>
      </c>
      <c r="E82" s="20" t="s">
        <v>482</v>
      </c>
      <c r="F82" s="20" t="s">
        <v>483</v>
      </c>
      <c r="G82" s="8" t="str">
        <f t="shared" si="2"/>
        <v>YANAI IAN</v>
      </c>
      <c r="H82" s="20" t="str">
        <f t="shared" si="3"/>
        <v>4012</v>
      </c>
    </row>
    <row r="83" spans="1:8" x14ac:dyDescent="0.25">
      <c r="A83" s="8">
        <v>43000.391006944446</v>
      </c>
      <c r="B83" s="20" t="s">
        <v>583</v>
      </c>
      <c r="C83" s="20" t="s">
        <v>682</v>
      </c>
      <c r="D83" s="138">
        <v>1340000</v>
      </c>
      <c r="E83" s="20" t="s">
        <v>628</v>
      </c>
      <c r="F83" s="20" t="s">
        <v>629</v>
      </c>
      <c r="G83" s="8" t="str">
        <f t="shared" si="2"/>
        <v>BEAM ROSS</v>
      </c>
      <c r="H83" s="20" t="str">
        <f t="shared" si="3"/>
        <v>4061</v>
      </c>
    </row>
    <row r="84" spans="1:8" x14ac:dyDescent="0.25">
      <c r="A84" s="8">
        <v>43000.392152777778</v>
      </c>
      <c r="B84" s="20" t="s">
        <v>580</v>
      </c>
      <c r="C84" s="20" t="s">
        <v>683</v>
      </c>
      <c r="D84" s="138">
        <v>2530000</v>
      </c>
      <c r="E84" s="20" t="s">
        <v>646</v>
      </c>
      <c r="F84" s="20" t="s">
        <v>647</v>
      </c>
      <c r="G84" s="8" t="str">
        <f t="shared" si="2"/>
        <v>LALONDE GREGORY</v>
      </c>
      <c r="H84" s="20" t="str">
        <f t="shared" si="3"/>
        <v>4041</v>
      </c>
    </row>
    <row r="85" spans="1:8" x14ac:dyDescent="0.25">
      <c r="A85" s="8">
        <v>43000.392800925925</v>
      </c>
      <c r="B85" s="20" t="s">
        <v>437</v>
      </c>
      <c r="C85" s="20" t="s">
        <v>684</v>
      </c>
      <c r="D85" s="138">
        <v>940000</v>
      </c>
      <c r="E85" s="20" t="s">
        <v>617</v>
      </c>
      <c r="F85" s="20" t="s">
        <v>618</v>
      </c>
      <c r="G85" s="8" t="str">
        <f t="shared" si="2"/>
        <v>BONDS REYNALDO</v>
      </c>
      <c r="H85" s="20" t="str">
        <f t="shared" si="3"/>
        <v>4018</v>
      </c>
    </row>
    <row r="86" spans="1:8" x14ac:dyDescent="0.25">
      <c r="A86" s="8">
        <v>43000.39303240741</v>
      </c>
      <c r="B86" s="20" t="s">
        <v>470</v>
      </c>
      <c r="C86" s="20" t="s">
        <v>590</v>
      </c>
      <c r="D86" s="138">
        <v>1830000</v>
      </c>
      <c r="E86" s="20" t="s">
        <v>413</v>
      </c>
      <c r="F86" s="20" t="s">
        <v>414</v>
      </c>
      <c r="G86" s="8" t="str">
        <f t="shared" si="2"/>
        <v>YORK EDGAR</v>
      </c>
      <c r="H86" s="20" t="str">
        <f t="shared" si="3"/>
        <v>4063</v>
      </c>
    </row>
    <row r="87" spans="1:8" x14ac:dyDescent="0.25">
      <c r="A87" s="8">
        <v>43000.401122685187</v>
      </c>
      <c r="B87" s="20" t="s">
        <v>521</v>
      </c>
      <c r="C87" s="20" t="s">
        <v>685</v>
      </c>
      <c r="D87" s="138">
        <v>1100000</v>
      </c>
      <c r="E87" s="20" t="s">
        <v>480</v>
      </c>
      <c r="F87" s="20" t="s">
        <v>481</v>
      </c>
      <c r="G87" s="8" t="str">
        <f t="shared" si="2"/>
        <v>GEBRETEKLE DAGNEW</v>
      </c>
      <c r="H87" s="20" t="str">
        <f t="shared" si="3"/>
        <v>4032</v>
      </c>
    </row>
    <row r="88" spans="1:8" x14ac:dyDescent="0.25">
      <c r="A88" s="8">
        <v>43000.40525462963</v>
      </c>
      <c r="B88" s="20" t="s">
        <v>412</v>
      </c>
      <c r="C88" s="20" t="s">
        <v>686</v>
      </c>
      <c r="D88" s="138">
        <v>3300000</v>
      </c>
      <c r="E88" s="20" t="s">
        <v>612</v>
      </c>
      <c r="F88" s="20" t="s">
        <v>613</v>
      </c>
      <c r="G88" s="8" t="str">
        <f t="shared" si="2"/>
        <v>LANGERAK WILLIAM</v>
      </c>
      <c r="H88" s="20" t="str">
        <f t="shared" si="3"/>
        <v>4043</v>
      </c>
    </row>
    <row r="89" spans="1:8" x14ac:dyDescent="0.25">
      <c r="A89" s="8">
        <v>43000.413622685184</v>
      </c>
      <c r="B89" s="20" t="s">
        <v>638</v>
      </c>
      <c r="C89" s="20" t="s">
        <v>687</v>
      </c>
      <c r="D89" s="138">
        <v>1230000</v>
      </c>
      <c r="E89" s="20" t="s">
        <v>482</v>
      </c>
      <c r="F89" s="20" t="s">
        <v>483</v>
      </c>
      <c r="G89" s="8" t="str">
        <f t="shared" si="2"/>
        <v>YANAI IAN</v>
      </c>
      <c r="H89" s="20" t="str">
        <f t="shared" si="3"/>
        <v>4011</v>
      </c>
    </row>
    <row r="90" spans="1:8" x14ac:dyDescent="0.25">
      <c r="A90" s="8">
        <v>43000.414548611108</v>
      </c>
      <c r="B90" s="20" t="s">
        <v>471</v>
      </c>
      <c r="C90" s="20" t="s">
        <v>688</v>
      </c>
      <c r="D90" s="138">
        <v>2530000</v>
      </c>
      <c r="E90" s="20" t="s">
        <v>646</v>
      </c>
      <c r="F90" s="20" t="s">
        <v>647</v>
      </c>
      <c r="G90" s="8" t="str">
        <f t="shared" si="2"/>
        <v>LALONDE GREGORY</v>
      </c>
      <c r="H90" s="20" t="str">
        <f t="shared" si="3"/>
        <v>4042</v>
      </c>
    </row>
    <row r="91" spans="1:8" x14ac:dyDescent="0.25">
      <c r="A91" s="8">
        <v>43000.414803240739</v>
      </c>
      <c r="B91" s="20" t="s">
        <v>625</v>
      </c>
      <c r="C91" s="20" t="s">
        <v>689</v>
      </c>
      <c r="D91" s="138">
        <v>1990000</v>
      </c>
      <c r="E91" s="20" t="s">
        <v>343</v>
      </c>
      <c r="F91" s="20" t="s">
        <v>478</v>
      </c>
      <c r="G91" s="8" t="str">
        <f t="shared" si="2"/>
        <v>DAVIS WENDY</v>
      </c>
      <c r="H91" s="20" t="str">
        <f t="shared" si="3"/>
        <v>4060</v>
      </c>
    </row>
    <row r="92" spans="1:8" x14ac:dyDescent="0.25">
      <c r="A92" s="8">
        <v>43000.426099537035</v>
      </c>
      <c r="B92" s="20" t="s">
        <v>473</v>
      </c>
      <c r="C92" s="20" t="s">
        <v>690</v>
      </c>
      <c r="D92" s="138">
        <v>1780000</v>
      </c>
      <c r="E92" s="20" t="s">
        <v>492</v>
      </c>
      <c r="F92" s="20" t="s">
        <v>493</v>
      </c>
      <c r="G92" s="8" t="str">
        <f t="shared" si="2"/>
        <v>DE LA ROSA ALEX</v>
      </c>
      <c r="H92" s="20" t="str">
        <f t="shared" si="3"/>
        <v>4064</v>
      </c>
    </row>
    <row r="93" spans="1:8" x14ac:dyDescent="0.25">
      <c r="A93" s="8">
        <v>43000.432349537034</v>
      </c>
      <c r="B93" s="20" t="s">
        <v>439</v>
      </c>
      <c r="C93" s="20" t="s">
        <v>691</v>
      </c>
      <c r="D93" s="138">
        <v>940000</v>
      </c>
      <c r="E93" s="20" t="s">
        <v>617</v>
      </c>
      <c r="F93" s="20" t="s">
        <v>618</v>
      </c>
      <c r="G93" s="8" t="str">
        <f t="shared" si="2"/>
        <v>BONDS REYNALDO</v>
      </c>
      <c r="H93" s="20" t="str">
        <f t="shared" si="3"/>
        <v>4017</v>
      </c>
    </row>
    <row r="94" spans="1:8" x14ac:dyDescent="0.25">
      <c r="A94" s="8">
        <v>43000.432766203703</v>
      </c>
      <c r="B94" s="20" t="s">
        <v>519</v>
      </c>
      <c r="C94" s="20" t="s">
        <v>692</v>
      </c>
      <c r="D94" s="138">
        <v>1100000</v>
      </c>
      <c r="E94" s="20" t="s">
        <v>480</v>
      </c>
      <c r="F94" s="20" t="s">
        <v>481</v>
      </c>
      <c r="G94" s="8" t="str">
        <f t="shared" si="2"/>
        <v>GEBRETEKLE DAGNEW</v>
      </c>
      <c r="H94" s="20" t="str">
        <f t="shared" si="3"/>
        <v>4031</v>
      </c>
    </row>
    <row r="95" spans="1:8" x14ac:dyDescent="0.25">
      <c r="A95" s="8">
        <v>43000.43346064815</v>
      </c>
      <c r="B95" s="20" t="s">
        <v>580</v>
      </c>
      <c r="C95" s="20" t="s">
        <v>693</v>
      </c>
      <c r="D95" s="138">
        <v>2530000</v>
      </c>
      <c r="E95" s="20" t="s">
        <v>646</v>
      </c>
      <c r="F95" s="20" t="s">
        <v>647</v>
      </c>
      <c r="G95" s="8" t="str">
        <f t="shared" si="2"/>
        <v>LALONDE GREGORY</v>
      </c>
      <c r="H95" s="20" t="str">
        <f t="shared" si="3"/>
        <v>4041</v>
      </c>
    </row>
    <row r="96" spans="1:8" x14ac:dyDescent="0.25">
      <c r="A96" s="8">
        <v>43000.435763888891</v>
      </c>
      <c r="B96" s="20" t="s">
        <v>595</v>
      </c>
      <c r="C96" s="20" t="s">
        <v>694</v>
      </c>
      <c r="D96" s="138">
        <v>1340000</v>
      </c>
      <c r="E96" s="20" t="s">
        <v>628</v>
      </c>
      <c r="F96" s="20" t="s">
        <v>629</v>
      </c>
      <c r="G96" s="8" t="str">
        <f t="shared" si="2"/>
        <v>BEAM ROSS</v>
      </c>
      <c r="H96" s="20" t="str">
        <f t="shared" si="3"/>
        <v>4062</v>
      </c>
    </row>
    <row r="97" spans="1:8" x14ac:dyDescent="0.25">
      <c r="A97" s="8">
        <v>43000.444004629629</v>
      </c>
      <c r="B97" s="20" t="s">
        <v>454</v>
      </c>
      <c r="C97" s="20" t="s">
        <v>695</v>
      </c>
      <c r="D97" s="138">
        <v>2550000</v>
      </c>
      <c r="E97" s="20" t="s">
        <v>528</v>
      </c>
      <c r="F97" s="20" t="s">
        <v>529</v>
      </c>
      <c r="G97" s="8" t="str">
        <f t="shared" si="2"/>
        <v>BADERTSCHER DIANE</v>
      </c>
      <c r="H97" s="20" t="str">
        <f t="shared" si="3"/>
        <v>4044</v>
      </c>
    </row>
    <row r="98" spans="1:8" x14ac:dyDescent="0.25">
      <c r="A98" s="8">
        <v>43000.444282407407</v>
      </c>
      <c r="B98" s="20" t="s">
        <v>586</v>
      </c>
      <c r="C98" s="20" t="s">
        <v>696</v>
      </c>
      <c r="D98" s="138">
        <v>1990000</v>
      </c>
      <c r="E98" s="20" t="s">
        <v>343</v>
      </c>
      <c r="F98" s="20" t="s">
        <v>478</v>
      </c>
      <c r="G98" s="8" t="str">
        <f t="shared" si="2"/>
        <v>DAVIS WENDY</v>
      </c>
      <c r="H98" s="20" t="str">
        <f t="shared" si="3"/>
        <v>4059</v>
      </c>
    </row>
    <row r="99" spans="1:8" x14ac:dyDescent="0.25">
      <c r="A99" s="8">
        <v>43000.455405092594</v>
      </c>
      <c r="B99" s="20" t="s">
        <v>642</v>
      </c>
      <c r="C99" s="20" t="s">
        <v>697</v>
      </c>
      <c r="D99" s="138">
        <v>1230000</v>
      </c>
      <c r="E99" s="20" t="s">
        <v>482</v>
      </c>
      <c r="F99" s="20" t="s">
        <v>483</v>
      </c>
      <c r="G99" s="8" t="str">
        <f t="shared" si="2"/>
        <v>YANAI IAN</v>
      </c>
      <c r="H99" s="20" t="str">
        <f t="shared" si="3"/>
        <v>4012</v>
      </c>
    </row>
    <row r="100" spans="1:8" x14ac:dyDescent="0.25">
      <c r="A100" s="8">
        <v>43000.456585648149</v>
      </c>
      <c r="B100" s="20" t="s">
        <v>471</v>
      </c>
      <c r="C100" s="20" t="s">
        <v>698</v>
      </c>
      <c r="D100" s="138">
        <v>2530000</v>
      </c>
      <c r="E100" s="20" t="s">
        <v>646</v>
      </c>
      <c r="F100" s="20" t="s">
        <v>647</v>
      </c>
      <c r="G100" s="8" t="str">
        <f t="shared" si="2"/>
        <v>LALONDE GREGORY</v>
      </c>
      <c r="H100" s="20" t="str">
        <f t="shared" si="3"/>
        <v>4042</v>
      </c>
    </row>
    <row r="101" spans="1:8" x14ac:dyDescent="0.25">
      <c r="A101" s="8">
        <v>43000.460613425923</v>
      </c>
      <c r="B101" s="20" t="s">
        <v>470</v>
      </c>
      <c r="C101" s="20" t="s">
        <v>699</v>
      </c>
      <c r="D101" s="138">
        <v>1780000</v>
      </c>
      <c r="E101" s="20" t="s">
        <v>492</v>
      </c>
      <c r="F101" s="20" t="s">
        <v>493</v>
      </c>
      <c r="G101" s="8" t="str">
        <f t="shared" si="2"/>
        <v>DE LA ROSA ALEX</v>
      </c>
      <c r="H101" s="20" t="str">
        <f t="shared" si="3"/>
        <v>4063</v>
      </c>
    </row>
    <row r="102" spans="1:8" x14ac:dyDescent="0.25">
      <c r="A102" s="8">
        <v>43000.464756944442</v>
      </c>
      <c r="B102" s="20" t="s">
        <v>583</v>
      </c>
      <c r="C102" s="20" t="s">
        <v>700</v>
      </c>
      <c r="D102" s="138">
        <v>1340000</v>
      </c>
      <c r="E102" s="20" t="s">
        <v>628</v>
      </c>
      <c r="F102" s="20" t="s">
        <v>629</v>
      </c>
      <c r="G102" s="8" t="str">
        <f t="shared" si="2"/>
        <v>BEAM ROSS</v>
      </c>
      <c r="H102" s="20" t="str">
        <f t="shared" si="3"/>
        <v>4061</v>
      </c>
    </row>
    <row r="103" spans="1:8" x14ac:dyDescent="0.25">
      <c r="A103" s="8">
        <v>43000.46597222222</v>
      </c>
      <c r="B103" s="20" t="s">
        <v>437</v>
      </c>
      <c r="C103" s="20" t="s">
        <v>701</v>
      </c>
      <c r="D103" s="138">
        <v>2630000</v>
      </c>
      <c r="E103" s="20" t="s">
        <v>702</v>
      </c>
      <c r="F103" s="20" t="s">
        <v>703</v>
      </c>
      <c r="G103" s="8" t="str">
        <f t="shared" si="2"/>
        <v>SAFIEF AEIMEN</v>
      </c>
      <c r="H103" s="20" t="str">
        <f t="shared" si="3"/>
        <v>4018</v>
      </c>
    </row>
    <row r="104" spans="1:8" x14ac:dyDescent="0.25">
      <c r="A104" s="8">
        <v>43000.474062499998</v>
      </c>
      <c r="B104" s="20" t="s">
        <v>389</v>
      </c>
      <c r="C104" s="20" t="s">
        <v>609</v>
      </c>
      <c r="D104" s="138">
        <v>3000000</v>
      </c>
      <c r="E104" s="20" t="s">
        <v>457</v>
      </c>
      <c r="F104" s="20" t="s">
        <v>458</v>
      </c>
      <c r="G104" s="8" t="str">
        <f t="shared" si="2"/>
        <v>FORTUNATO FRANK</v>
      </c>
      <c r="H104" s="20" t="str">
        <f t="shared" si="3"/>
        <v>4015</v>
      </c>
    </row>
    <row r="105" spans="1:8" x14ac:dyDescent="0.25">
      <c r="A105" s="8">
        <v>43000.475868055553</v>
      </c>
      <c r="B105" s="20" t="s">
        <v>580</v>
      </c>
      <c r="C105" s="20" t="s">
        <v>704</v>
      </c>
      <c r="D105" s="138">
        <v>2530000</v>
      </c>
      <c r="E105" s="20" t="s">
        <v>646</v>
      </c>
      <c r="F105" s="20" t="s">
        <v>647</v>
      </c>
      <c r="G105" s="8" t="str">
        <f t="shared" si="2"/>
        <v>LALONDE GREGORY</v>
      </c>
      <c r="H105" s="20" t="str">
        <f t="shared" si="3"/>
        <v>4041</v>
      </c>
    </row>
    <row r="106" spans="1:8" x14ac:dyDescent="0.25">
      <c r="A106" s="8">
        <v>43000.477592592593</v>
      </c>
      <c r="B106" s="20" t="s">
        <v>521</v>
      </c>
      <c r="C106" s="20" t="s">
        <v>705</v>
      </c>
      <c r="D106" s="138">
        <v>1770000</v>
      </c>
      <c r="E106" s="20" t="s">
        <v>459</v>
      </c>
      <c r="F106" s="20" t="s">
        <v>460</v>
      </c>
      <c r="G106" s="8" t="str">
        <f t="shared" si="2"/>
        <v>BRUDER RICHARD</v>
      </c>
      <c r="H106" s="20" t="str">
        <f t="shared" si="3"/>
        <v>4032</v>
      </c>
    </row>
    <row r="107" spans="1:8" x14ac:dyDescent="0.25">
      <c r="A107" s="8">
        <v>43000.48164351852</v>
      </c>
      <c r="B107" s="20" t="s">
        <v>412</v>
      </c>
      <c r="C107" s="20" t="s">
        <v>706</v>
      </c>
      <c r="D107" s="138">
        <v>2550000</v>
      </c>
      <c r="E107" s="20" t="s">
        <v>528</v>
      </c>
      <c r="F107" s="20" t="s">
        <v>529</v>
      </c>
      <c r="G107" s="8" t="str">
        <f t="shared" si="2"/>
        <v>BADERTSCHER DIANE</v>
      </c>
      <c r="H107" s="20" t="str">
        <f t="shared" si="3"/>
        <v>4043</v>
      </c>
    </row>
    <row r="108" spans="1:8" x14ac:dyDescent="0.25">
      <c r="A108" s="8">
        <v>43000.487175925926</v>
      </c>
      <c r="B108" s="20" t="s">
        <v>638</v>
      </c>
      <c r="C108" s="20" t="s">
        <v>707</v>
      </c>
      <c r="D108" s="138">
        <v>1230000</v>
      </c>
      <c r="E108" s="20" t="s">
        <v>482</v>
      </c>
      <c r="F108" s="20" t="s">
        <v>483</v>
      </c>
      <c r="G108" s="8" t="str">
        <f t="shared" si="2"/>
        <v>YANAI IAN</v>
      </c>
      <c r="H108" s="20" t="str">
        <f t="shared" si="3"/>
        <v>4011</v>
      </c>
    </row>
    <row r="109" spans="1:8" x14ac:dyDescent="0.25">
      <c r="A109" s="8">
        <v>43000.487349537034</v>
      </c>
      <c r="B109" s="20" t="s">
        <v>625</v>
      </c>
      <c r="C109" s="20" t="s">
        <v>708</v>
      </c>
      <c r="D109" s="138">
        <v>2370000</v>
      </c>
      <c r="E109" s="20" t="s">
        <v>488</v>
      </c>
      <c r="F109" s="20" t="s">
        <v>489</v>
      </c>
      <c r="G109" s="8" t="str">
        <f t="shared" si="2"/>
        <v>DELGADO DIANAH</v>
      </c>
      <c r="H109" s="20" t="str">
        <f t="shared" si="3"/>
        <v>4060</v>
      </c>
    </row>
    <row r="110" spans="1:8" x14ac:dyDescent="0.25">
      <c r="A110" s="8">
        <v>43000.496249999997</v>
      </c>
      <c r="B110" s="20" t="s">
        <v>473</v>
      </c>
      <c r="C110" s="20" t="s">
        <v>709</v>
      </c>
      <c r="D110" s="138">
        <v>3000000</v>
      </c>
      <c r="E110" s="20" t="s">
        <v>457</v>
      </c>
      <c r="F110" s="20" t="s">
        <v>458</v>
      </c>
      <c r="G110" s="8" t="str">
        <f t="shared" si="2"/>
        <v>FORTUNATO FRANK</v>
      </c>
      <c r="H110" s="20" t="str">
        <f t="shared" si="3"/>
        <v>4064</v>
      </c>
    </row>
    <row r="111" spans="1:8" x14ac:dyDescent="0.25">
      <c r="A111" s="8">
        <v>43000.49732638889</v>
      </c>
      <c r="B111" s="20" t="s">
        <v>439</v>
      </c>
      <c r="C111" s="20" t="s">
        <v>710</v>
      </c>
      <c r="D111" s="138">
        <v>2630000</v>
      </c>
      <c r="E111" s="20" t="s">
        <v>702</v>
      </c>
      <c r="F111" s="20" t="s">
        <v>703</v>
      </c>
      <c r="G111" s="8" t="str">
        <f t="shared" si="2"/>
        <v>SAFIEF AEIMEN</v>
      </c>
      <c r="H111" s="20" t="str">
        <f t="shared" si="3"/>
        <v>4017</v>
      </c>
    </row>
    <row r="112" spans="1:8" x14ac:dyDescent="0.25">
      <c r="A112" s="8">
        <v>43000.497858796298</v>
      </c>
      <c r="B112" s="20" t="s">
        <v>471</v>
      </c>
      <c r="C112" s="20" t="s">
        <v>711</v>
      </c>
      <c r="D112" s="138">
        <v>2530000</v>
      </c>
      <c r="E112" s="20" t="s">
        <v>646</v>
      </c>
      <c r="F112" s="20" t="s">
        <v>647</v>
      </c>
      <c r="G112" s="8" t="str">
        <f t="shared" si="2"/>
        <v>LALONDE GREGORY</v>
      </c>
      <c r="H112" s="20" t="str">
        <f t="shared" si="3"/>
        <v>4042</v>
      </c>
    </row>
    <row r="113" spans="1:8" x14ac:dyDescent="0.25">
      <c r="A113" s="8">
        <v>43000.498043981483</v>
      </c>
      <c r="B113" s="20" t="s">
        <v>390</v>
      </c>
      <c r="C113" s="20" t="s">
        <v>712</v>
      </c>
      <c r="D113" s="138">
        <v>3030000</v>
      </c>
      <c r="E113" s="20" t="s">
        <v>656</v>
      </c>
      <c r="F113" s="20" t="s">
        <v>657</v>
      </c>
      <c r="G113" s="8" t="str">
        <f t="shared" si="2"/>
        <v>BIRENBAUM THOMAS</v>
      </c>
      <c r="H113" s="20" t="str">
        <f t="shared" si="3"/>
        <v>4016</v>
      </c>
    </row>
    <row r="114" spans="1:8" x14ac:dyDescent="0.25">
      <c r="A114" s="8">
        <v>43000.505497685182</v>
      </c>
      <c r="B114" s="20" t="s">
        <v>595</v>
      </c>
      <c r="C114" s="20" t="s">
        <v>713</v>
      </c>
      <c r="D114" s="138">
        <v>1300000</v>
      </c>
      <c r="E114" s="20" t="s">
        <v>441</v>
      </c>
      <c r="F114" s="20" t="s">
        <v>442</v>
      </c>
      <c r="G114" s="8" t="str">
        <f t="shared" si="2"/>
        <v>LEVIN SCOTT</v>
      </c>
      <c r="H114" s="20" t="str">
        <f t="shared" si="3"/>
        <v>4062</v>
      </c>
    </row>
    <row r="115" spans="1:8" x14ac:dyDescent="0.25">
      <c r="A115" s="8">
        <v>43000.516377314816</v>
      </c>
      <c r="B115" s="20" t="s">
        <v>519</v>
      </c>
      <c r="C115" s="20" t="s">
        <v>714</v>
      </c>
      <c r="D115" s="138">
        <v>1770000</v>
      </c>
      <c r="E115" s="20" t="s">
        <v>459</v>
      </c>
      <c r="F115" s="20" t="s">
        <v>460</v>
      </c>
      <c r="G115" s="8" t="str">
        <f t="shared" si="2"/>
        <v>BRUDER RICHARD</v>
      </c>
      <c r="H115" s="20" t="str">
        <f t="shared" si="3"/>
        <v>4031</v>
      </c>
    </row>
    <row r="116" spans="1:8" x14ac:dyDescent="0.25">
      <c r="A116" s="8">
        <v>43000.516828703701</v>
      </c>
      <c r="B116" s="20" t="s">
        <v>580</v>
      </c>
      <c r="C116" s="20" t="s">
        <v>715</v>
      </c>
      <c r="D116" s="138">
        <v>2530000</v>
      </c>
      <c r="E116" s="20" t="s">
        <v>646</v>
      </c>
      <c r="F116" s="20" t="s">
        <v>647</v>
      </c>
      <c r="G116" s="8" t="str">
        <f t="shared" si="2"/>
        <v>LALONDE GREGORY</v>
      </c>
      <c r="H116" s="20" t="str">
        <f t="shared" si="3"/>
        <v>4041</v>
      </c>
    </row>
    <row r="117" spans="1:8" x14ac:dyDescent="0.25">
      <c r="A117" s="8">
        <v>43000.517557870371</v>
      </c>
      <c r="B117" s="20" t="s">
        <v>454</v>
      </c>
      <c r="C117" s="20" t="s">
        <v>591</v>
      </c>
      <c r="D117" s="138">
        <v>2550000</v>
      </c>
      <c r="E117" s="20" t="s">
        <v>528</v>
      </c>
      <c r="F117" s="20" t="s">
        <v>529</v>
      </c>
      <c r="G117" s="8" t="str">
        <f t="shared" si="2"/>
        <v>BADERTSCHER DIANE</v>
      </c>
      <c r="H117" s="20" t="str">
        <f t="shared" si="3"/>
        <v>4044</v>
      </c>
    </row>
    <row r="118" spans="1:8" x14ac:dyDescent="0.25">
      <c r="A118" s="8">
        <v>43000.52449074074</v>
      </c>
      <c r="B118" s="20" t="s">
        <v>586</v>
      </c>
      <c r="C118" s="20" t="s">
        <v>593</v>
      </c>
      <c r="D118" s="138">
        <v>2370000</v>
      </c>
      <c r="E118" s="20" t="s">
        <v>488</v>
      </c>
      <c r="F118" s="20" t="s">
        <v>489</v>
      </c>
      <c r="G118" s="8" t="str">
        <f t="shared" si="2"/>
        <v>DELGADO DIANAH</v>
      </c>
      <c r="H118" s="20" t="str">
        <f t="shared" si="3"/>
        <v>4059</v>
      </c>
    </row>
    <row r="119" spans="1:8" x14ac:dyDescent="0.25">
      <c r="A119" s="8">
        <v>43000.527395833335</v>
      </c>
      <c r="B119" s="20" t="s">
        <v>470</v>
      </c>
      <c r="C119" s="20" t="s">
        <v>716</v>
      </c>
      <c r="D119" s="138">
        <v>3000000</v>
      </c>
      <c r="E119" s="20" t="s">
        <v>457</v>
      </c>
      <c r="F119" s="20" t="s">
        <v>458</v>
      </c>
      <c r="G119" s="8" t="str">
        <f t="shared" si="2"/>
        <v>FORTUNATO FRANK</v>
      </c>
      <c r="H119" s="20" t="str">
        <f t="shared" si="3"/>
        <v>4063</v>
      </c>
    </row>
    <row r="120" spans="1:8" x14ac:dyDescent="0.25">
      <c r="A120" s="8">
        <v>43000.527800925927</v>
      </c>
      <c r="B120" s="20" t="s">
        <v>642</v>
      </c>
      <c r="C120" s="20" t="s">
        <v>717</v>
      </c>
      <c r="D120" s="138">
        <v>3330000</v>
      </c>
      <c r="E120" s="20" t="s">
        <v>526</v>
      </c>
      <c r="F120" s="20" t="s">
        <v>527</v>
      </c>
      <c r="G120" s="8" t="str">
        <f t="shared" si="2"/>
        <v>GONZALEZ ARMANDO</v>
      </c>
      <c r="H120" s="20" t="str">
        <f t="shared" si="3"/>
        <v>4012</v>
      </c>
    </row>
    <row r="121" spans="1:8" x14ac:dyDescent="0.25">
      <c r="A121" s="8">
        <v>43000.533831018518</v>
      </c>
      <c r="B121" s="20" t="s">
        <v>479</v>
      </c>
      <c r="C121" s="20" t="s">
        <v>718</v>
      </c>
      <c r="D121" s="138">
        <v>1810000</v>
      </c>
      <c r="E121" s="20" t="s">
        <v>530</v>
      </c>
      <c r="F121" s="20" t="s">
        <v>376</v>
      </c>
      <c r="G121" s="8" t="str">
        <f t="shared" si="2"/>
        <v>NEWELL JAMES</v>
      </c>
      <c r="H121" s="20" t="str">
        <f t="shared" si="3"/>
        <v>4002</v>
      </c>
    </row>
    <row r="122" spans="1:8" x14ac:dyDescent="0.25">
      <c r="A122" s="8">
        <v>43000.53837962963</v>
      </c>
      <c r="B122" s="25" t="s">
        <v>437</v>
      </c>
      <c r="C122" s="20" t="s">
        <v>719</v>
      </c>
      <c r="D122" s="138">
        <v>2630000</v>
      </c>
      <c r="E122" s="20" t="s">
        <v>702</v>
      </c>
      <c r="F122" s="20" t="s">
        <v>703</v>
      </c>
      <c r="G122" s="8" t="str">
        <f t="shared" si="2"/>
        <v>SAFIEF AEIMEN</v>
      </c>
      <c r="H122" s="20" t="str">
        <f t="shared" si="3"/>
        <v>4018</v>
      </c>
    </row>
    <row r="123" spans="1:8" x14ac:dyDescent="0.25">
      <c r="A123" s="8">
        <v>43000.540185185186</v>
      </c>
      <c r="B123" s="20" t="s">
        <v>471</v>
      </c>
      <c r="C123" s="20" t="s">
        <v>720</v>
      </c>
      <c r="D123" s="138">
        <v>2350000</v>
      </c>
      <c r="E123" s="20" t="s">
        <v>490</v>
      </c>
      <c r="F123" s="20" t="s">
        <v>491</v>
      </c>
      <c r="G123" s="8" t="str">
        <f t="shared" si="2"/>
        <v>BERLING GARY</v>
      </c>
      <c r="H123" s="20" t="str">
        <f t="shared" si="3"/>
        <v>4042</v>
      </c>
    </row>
    <row r="124" spans="1:8" x14ac:dyDescent="0.25">
      <c r="A124" s="8">
        <v>43000.543715277781</v>
      </c>
      <c r="B124" s="20" t="s">
        <v>583</v>
      </c>
      <c r="C124" s="20" t="s">
        <v>721</v>
      </c>
      <c r="D124" s="138">
        <v>1300000</v>
      </c>
      <c r="E124" s="20" t="s">
        <v>441</v>
      </c>
      <c r="F124" s="20" t="s">
        <v>442</v>
      </c>
      <c r="G124" s="8" t="str">
        <f t="shared" si="2"/>
        <v>LEVIN SCOTT</v>
      </c>
      <c r="H124" s="20" t="str">
        <f t="shared" si="3"/>
        <v>4061</v>
      </c>
    </row>
    <row r="125" spans="1:8" x14ac:dyDescent="0.25">
      <c r="A125" s="8">
        <v>43000.545763888891</v>
      </c>
      <c r="B125" s="20" t="s">
        <v>472</v>
      </c>
      <c r="C125" s="20" t="s">
        <v>592</v>
      </c>
      <c r="D125" s="138">
        <v>1810000</v>
      </c>
      <c r="E125" s="20" t="s">
        <v>530</v>
      </c>
      <c r="F125" s="20" t="s">
        <v>376</v>
      </c>
      <c r="G125" s="8" t="str">
        <f t="shared" si="2"/>
        <v>NEWELL JAMES</v>
      </c>
      <c r="H125" s="20" t="str">
        <f t="shared" si="3"/>
        <v>4001</v>
      </c>
    </row>
    <row r="126" spans="1:8" x14ac:dyDescent="0.25">
      <c r="A126" s="8">
        <v>43000.548703703702</v>
      </c>
      <c r="B126" s="20" t="s">
        <v>521</v>
      </c>
      <c r="C126" s="20" t="s">
        <v>722</v>
      </c>
      <c r="D126" s="138">
        <v>1770000</v>
      </c>
      <c r="E126" s="20" t="s">
        <v>459</v>
      </c>
      <c r="F126" s="20" t="s">
        <v>460</v>
      </c>
      <c r="G126" s="8" t="str">
        <f t="shared" si="2"/>
        <v>BRUDER RICHARD</v>
      </c>
      <c r="H126" s="20" t="str">
        <f t="shared" si="3"/>
        <v>4032</v>
      </c>
    </row>
    <row r="127" spans="1:8" x14ac:dyDescent="0.25">
      <c r="A127" s="8">
        <v>43000.553657407407</v>
      </c>
      <c r="B127" s="20" t="s">
        <v>412</v>
      </c>
      <c r="C127" s="20" t="s">
        <v>723</v>
      </c>
      <c r="D127" s="138">
        <v>2550000</v>
      </c>
      <c r="E127" s="20" t="s">
        <v>528</v>
      </c>
      <c r="F127" s="20" t="s">
        <v>529</v>
      </c>
      <c r="G127" s="8" t="str">
        <f t="shared" si="2"/>
        <v>BADERTSCHER DIANE</v>
      </c>
      <c r="H127" s="20" t="str">
        <f t="shared" si="3"/>
        <v>4043</v>
      </c>
    </row>
    <row r="128" spans="1:8" x14ac:dyDescent="0.25">
      <c r="A128" s="8">
        <v>43000.558668981481</v>
      </c>
      <c r="B128" s="20" t="s">
        <v>479</v>
      </c>
      <c r="C128" s="20" t="s">
        <v>724</v>
      </c>
      <c r="D128" s="138">
        <v>1810000</v>
      </c>
      <c r="E128" s="20" t="s">
        <v>530</v>
      </c>
      <c r="F128" s="20" t="s">
        <v>376</v>
      </c>
      <c r="G128" s="8" t="str">
        <f t="shared" si="2"/>
        <v>NEWELL JAMES</v>
      </c>
      <c r="H128" s="20" t="str">
        <f t="shared" si="3"/>
        <v>4002</v>
      </c>
    </row>
    <row r="129" spans="1:8" x14ac:dyDescent="0.25">
      <c r="A129" s="8">
        <v>43000.565729166665</v>
      </c>
      <c r="B129" s="20" t="s">
        <v>580</v>
      </c>
      <c r="C129" s="20" t="s">
        <v>725</v>
      </c>
      <c r="D129" s="138">
        <v>2350000</v>
      </c>
      <c r="E129" s="20" t="s">
        <v>490</v>
      </c>
      <c r="F129" s="20" t="s">
        <v>491</v>
      </c>
      <c r="G129" s="8" t="str">
        <f t="shared" si="2"/>
        <v>BERLING GARY</v>
      </c>
      <c r="H129" s="20" t="str">
        <f t="shared" si="3"/>
        <v>4041</v>
      </c>
    </row>
    <row r="130" spans="1:8" x14ac:dyDescent="0.25">
      <c r="A130" s="8">
        <v>43000.567465277774</v>
      </c>
      <c r="B130" s="20" t="s">
        <v>638</v>
      </c>
      <c r="C130" s="20" t="s">
        <v>726</v>
      </c>
      <c r="D130" s="138">
        <v>3330000</v>
      </c>
      <c r="E130" s="20" t="s">
        <v>526</v>
      </c>
      <c r="F130" s="20" t="s">
        <v>527</v>
      </c>
      <c r="G130" s="8" t="str">
        <f t="shared" si="2"/>
        <v>GONZALEZ ARMANDO</v>
      </c>
      <c r="H130" s="20" t="str">
        <f t="shared" si="3"/>
        <v>4011</v>
      </c>
    </row>
    <row r="131" spans="1:8" x14ac:dyDescent="0.25">
      <c r="A131" s="8">
        <v>43000.569756944446</v>
      </c>
      <c r="B131" s="20" t="s">
        <v>473</v>
      </c>
      <c r="C131" s="20" t="s">
        <v>727</v>
      </c>
      <c r="D131" s="138">
        <v>3000000</v>
      </c>
      <c r="E131" s="20" t="s">
        <v>457</v>
      </c>
      <c r="F131" s="20" t="s">
        <v>458</v>
      </c>
      <c r="G131" s="8" t="str">
        <f t="shared" ref="G131:G194" si="4">E131&amp;" "&amp;F131</f>
        <v>FORTUNATO FRANK</v>
      </c>
      <c r="H131" s="20" t="str">
        <f t="shared" ref="H131:H194" si="5">MID(B131,13,4)</f>
        <v>4064</v>
      </c>
    </row>
    <row r="132" spans="1:8" x14ac:dyDescent="0.25">
      <c r="A132" s="8">
        <v>43000.570960648147</v>
      </c>
      <c r="B132" s="20" t="s">
        <v>439</v>
      </c>
      <c r="C132" s="20" t="s">
        <v>594</v>
      </c>
      <c r="D132" s="138">
        <v>2630000</v>
      </c>
      <c r="E132" s="20" t="s">
        <v>702</v>
      </c>
      <c r="F132" s="20" t="s">
        <v>703</v>
      </c>
      <c r="G132" s="8" t="str">
        <f t="shared" si="4"/>
        <v>SAFIEF AEIMEN</v>
      </c>
      <c r="H132" s="20" t="str">
        <f t="shared" si="5"/>
        <v>4017</v>
      </c>
    </row>
    <row r="133" spans="1:8" x14ac:dyDescent="0.25">
      <c r="A133" s="8">
        <v>43000.57744212963</v>
      </c>
      <c r="B133" s="20" t="s">
        <v>595</v>
      </c>
      <c r="C133" s="20" t="s">
        <v>596</v>
      </c>
      <c r="D133" s="138">
        <v>1300000</v>
      </c>
      <c r="E133" s="20" t="s">
        <v>441</v>
      </c>
      <c r="F133" s="20" t="s">
        <v>442</v>
      </c>
      <c r="G133" s="8" t="str">
        <f t="shared" si="4"/>
        <v>LEVIN SCOTT</v>
      </c>
      <c r="H133" s="20" t="str">
        <f t="shared" si="5"/>
        <v>4062</v>
      </c>
    </row>
    <row r="134" spans="1:8" x14ac:dyDescent="0.25">
      <c r="A134" s="8">
        <v>43000.582604166666</v>
      </c>
      <c r="B134" s="20" t="s">
        <v>471</v>
      </c>
      <c r="C134" s="20" t="s">
        <v>728</v>
      </c>
      <c r="D134" s="138">
        <v>2350000</v>
      </c>
      <c r="E134" s="20" t="s">
        <v>490</v>
      </c>
      <c r="F134" s="20" t="s">
        <v>491</v>
      </c>
      <c r="G134" s="8" t="str">
        <f t="shared" si="4"/>
        <v>BERLING GARY</v>
      </c>
      <c r="H134" s="20" t="str">
        <f t="shared" si="5"/>
        <v>4042</v>
      </c>
    </row>
    <row r="135" spans="1:8" x14ac:dyDescent="0.25">
      <c r="A135" s="8">
        <v>43000.589988425927</v>
      </c>
      <c r="B135" s="20" t="s">
        <v>519</v>
      </c>
      <c r="C135" s="20" t="s">
        <v>729</v>
      </c>
      <c r="D135" s="138">
        <v>1770000</v>
      </c>
      <c r="E135" s="20" t="s">
        <v>459</v>
      </c>
      <c r="F135" s="20" t="s">
        <v>460</v>
      </c>
      <c r="G135" s="8" t="str">
        <f t="shared" si="4"/>
        <v>BRUDER RICHARD</v>
      </c>
      <c r="H135" s="20" t="str">
        <f t="shared" si="5"/>
        <v>4031</v>
      </c>
    </row>
    <row r="136" spans="1:8" x14ac:dyDescent="0.25">
      <c r="A136" s="8">
        <v>43000.590370370373</v>
      </c>
      <c r="B136" s="20" t="s">
        <v>454</v>
      </c>
      <c r="C136" s="20" t="s">
        <v>730</v>
      </c>
      <c r="D136" s="138">
        <v>2550000</v>
      </c>
      <c r="E136" s="20" t="s">
        <v>528</v>
      </c>
      <c r="F136" s="20" t="s">
        <v>529</v>
      </c>
      <c r="G136" s="8" t="str">
        <f t="shared" si="4"/>
        <v>BADERTSCHER DIANE</v>
      </c>
      <c r="H136" s="20" t="str">
        <f t="shared" si="5"/>
        <v>4044</v>
      </c>
    </row>
    <row r="137" spans="1:8" x14ac:dyDescent="0.25">
      <c r="A137" s="8">
        <v>43000.59275462963</v>
      </c>
      <c r="B137" s="20" t="s">
        <v>472</v>
      </c>
      <c r="C137" s="20" t="s">
        <v>731</v>
      </c>
      <c r="D137" s="138">
        <v>1810000</v>
      </c>
      <c r="E137" s="20" t="s">
        <v>530</v>
      </c>
      <c r="F137" s="20" t="s">
        <v>376</v>
      </c>
      <c r="G137" s="8" t="str">
        <f t="shared" si="4"/>
        <v>NEWELL JAMES</v>
      </c>
      <c r="H137" s="20" t="str">
        <f t="shared" si="5"/>
        <v>4001</v>
      </c>
    </row>
    <row r="138" spans="1:8" x14ac:dyDescent="0.25">
      <c r="A138" s="8">
        <v>43000.593402777777</v>
      </c>
      <c r="B138" s="20" t="s">
        <v>472</v>
      </c>
      <c r="C138" s="20" t="s">
        <v>731</v>
      </c>
      <c r="D138" s="138">
        <v>1810000</v>
      </c>
      <c r="E138" s="20" t="s">
        <v>530</v>
      </c>
      <c r="F138" s="20" t="s">
        <v>376</v>
      </c>
      <c r="G138" s="8" t="str">
        <f t="shared" si="4"/>
        <v>NEWELL JAMES</v>
      </c>
      <c r="H138" s="20" t="str">
        <f t="shared" si="5"/>
        <v>4001</v>
      </c>
    </row>
    <row r="139" spans="1:8" x14ac:dyDescent="0.25">
      <c r="A139" s="8">
        <v>43000.593969907408</v>
      </c>
      <c r="B139" s="20" t="s">
        <v>472</v>
      </c>
      <c r="C139" s="20" t="s">
        <v>731</v>
      </c>
      <c r="D139" s="138">
        <v>1810000</v>
      </c>
      <c r="E139" s="20" t="s">
        <v>530</v>
      </c>
      <c r="F139" s="20" t="s">
        <v>376</v>
      </c>
      <c r="G139" s="8" t="str">
        <f t="shared" si="4"/>
        <v>NEWELL JAMES</v>
      </c>
      <c r="H139" s="20" t="str">
        <f t="shared" si="5"/>
        <v>4001</v>
      </c>
    </row>
    <row r="140" spans="1:8" x14ac:dyDescent="0.25">
      <c r="A140" s="8">
        <v>43000.594872685186</v>
      </c>
      <c r="B140" s="20" t="s">
        <v>389</v>
      </c>
      <c r="C140" s="20" t="s">
        <v>732</v>
      </c>
      <c r="D140" s="138">
        <v>2440000</v>
      </c>
      <c r="E140" s="20" t="s">
        <v>535</v>
      </c>
      <c r="F140" s="20" t="s">
        <v>536</v>
      </c>
      <c r="G140" s="8" t="str">
        <f t="shared" si="4"/>
        <v>LOPES KIMBERLY</v>
      </c>
      <c r="H140" s="20" t="str">
        <f t="shared" si="5"/>
        <v>4015</v>
      </c>
    </row>
    <row r="141" spans="1:8" x14ac:dyDescent="0.25">
      <c r="A141" s="8">
        <v>43000.599317129629</v>
      </c>
      <c r="B141" s="20" t="s">
        <v>470</v>
      </c>
      <c r="C141" s="20" t="s">
        <v>733</v>
      </c>
      <c r="D141" s="138">
        <v>3000000</v>
      </c>
      <c r="E141" s="20" t="s">
        <v>457</v>
      </c>
      <c r="F141" s="20" t="s">
        <v>458</v>
      </c>
      <c r="G141" s="8" t="str">
        <f t="shared" si="4"/>
        <v>FORTUNATO FRANK</v>
      </c>
      <c r="H141" s="20" t="str">
        <f t="shared" si="5"/>
        <v>4063</v>
      </c>
    </row>
    <row r="142" spans="1:8" x14ac:dyDescent="0.25">
      <c r="A142" s="8">
        <v>43000.599803240744</v>
      </c>
      <c r="B142" s="20" t="s">
        <v>642</v>
      </c>
      <c r="C142" s="20" t="s">
        <v>734</v>
      </c>
      <c r="D142" s="138">
        <v>2150000</v>
      </c>
      <c r="E142" s="20" t="s">
        <v>735</v>
      </c>
      <c r="F142" s="20" t="s">
        <v>736</v>
      </c>
      <c r="G142" s="8" t="str">
        <f t="shared" si="4"/>
        <v>SWANSON BRYCE</v>
      </c>
      <c r="H142" s="20" t="str">
        <f t="shared" si="5"/>
        <v>4012</v>
      </c>
    </row>
    <row r="143" spans="1:8" x14ac:dyDescent="0.25">
      <c r="A143" s="8">
        <v>43000.601539351854</v>
      </c>
      <c r="B143" s="20" t="s">
        <v>580</v>
      </c>
      <c r="C143" s="20" t="s">
        <v>597</v>
      </c>
      <c r="D143" s="138">
        <v>2350000</v>
      </c>
      <c r="E143" s="20" t="s">
        <v>490</v>
      </c>
      <c r="F143" s="20" t="s">
        <v>491</v>
      </c>
      <c r="G143" s="8" t="str">
        <f t="shared" si="4"/>
        <v>BERLING GARY</v>
      </c>
      <c r="H143" s="20" t="str">
        <f t="shared" si="5"/>
        <v>4041</v>
      </c>
    </row>
    <row r="144" spans="1:8" x14ac:dyDescent="0.25">
      <c r="A144" s="8">
        <v>43000.613356481481</v>
      </c>
      <c r="B144" s="20" t="s">
        <v>437</v>
      </c>
      <c r="C144" s="20" t="s">
        <v>737</v>
      </c>
      <c r="D144" s="138">
        <v>2630000</v>
      </c>
      <c r="E144" s="20" t="s">
        <v>702</v>
      </c>
      <c r="F144" s="20" t="s">
        <v>703</v>
      </c>
      <c r="G144" s="8" t="str">
        <f t="shared" si="4"/>
        <v>SAFIEF AEIMEN</v>
      </c>
      <c r="H144" s="20" t="str">
        <f t="shared" si="5"/>
        <v>4018</v>
      </c>
    </row>
    <row r="145" spans="1:8" x14ac:dyDescent="0.25">
      <c r="A145" s="8">
        <v>43000.615694444445</v>
      </c>
      <c r="B145" s="20" t="s">
        <v>583</v>
      </c>
      <c r="C145" s="20" t="s">
        <v>738</v>
      </c>
      <c r="D145" s="138">
        <v>1300000</v>
      </c>
      <c r="E145" s="20" t="s">
        <v>441</v>
      </c>
      <c r="F145" s="20" t="s">
        <v>442</v>
      </c>
      <c r="G145" s="8" t="str">
        <f t="shared" si="4"/>
        <v>LEVIN SCOTT</v>
      </c>
      <c r="H145" s="20" t="str">
        <f t="shared" si="5"/>
        <v>4061</v>
      </c>
    </row>
    <row r="146" spans="1:8" x14ac:dyDescent="0.25">
      <c r="A146" s="8">
        <v>43000.621354166666</v>
      </c>
      <c r="B146" s="20" t="s">
        <v>453</v>
      </c>
      <c r="C146" s="20" t="s">
        <v>732</v>
      </c>
      <c r="D146" s="138">
        <v>2440000</v>
      </c>
      <c r="E146" s="20" t="s">
        <v>535</v>
      </c>
      <c r="F146" s="20" t="s">
        <v>536</v>
      </c>
      <c r="G146" s="8" t="str">
        <f t="shared" si="4"/>
        <v>LOPES KIMBERLY</v>
      </c>
      <c r="H146" s="20" t="str">
        <f t="shared" si="5"/>
        <v>4027</v>
      </c>
    </row>
    <row r="147" spans="1:8" x14ac:dyDescent="0.25">
      <c r="A147" s="8">
        <v>43000.622337962966</v>
      </c>
      <c r="B147" s="20" t="s">
        <v>521</v>
      </c>
      <c r="C147" s="20" t="s">
        <v>739</v>
      </c>
      <c r="D147" s="138">
        <v>1770000</v>
      </c>
      <c r="E147" s="20" t="s">
        <v>459</v>
      </c>
      <c r="F147" s="20" t="s">
        <v>460</v>
      </c>
      <c r="G147" s="8" t="str">
        <f t="shared" si="4"/>
        <v>BRUDER RICHARD</v>
      </c>
      <c r="H147" s="20" t="str">
        <f t="shared" si="5"/>
        <v>4032</v>
      </c>
    </row>
    <row r="148" spans="1:8" x14ac:dyDescent="0.25">
      <c r="A148" s="8">
        <v>43000.623784722222</v>
      </c>
      <c r="B148" s="20" t="s">
        <v>471</v>
      </c>
      <c r="C148" s="20" t="s">
        <v>740</v>
      </c>
      <c r="D148" s="138">
        <v>2350000</v>
      </c>
      <c r="E148" s="20" t="s">
        <v>490</v>
      </c>
      <c r="F148" s="20" t="s">
        <v>491</v>
      </c>
      <c r="G148" s="8" t="str">
        <f t="shared" si="4"/>
        <v>BERLING GARY</v>
      </c>
      <c r="H148" s="20" t="str">
        <f t="shared" si="5"/>
        <v>4042</v>
      </c>
    </row>
    <row r="149" spans="1:8" x14ac:dyDescent="0.25">
      <c r="A149" s="8">
        <v>43000.627430555556</v>
      </c>
      <c r="B149" s="20" t="s">
        <v>412</v>
      </c>
      <c r="C149" s="20" t="s">
        <v>741</v>
      </c>
      <c r="D149" s="138">
        <v>2550000</v>
      </c>
      <c r="E149" s="20" t="s">
        <v>528</v>
      </c>
      <c r="F149" s="20" t="s">
        <v>529</v>
      </c>
      <c r="G149" s="8" t="str">
        <f t="shared" si="4"/>
        <v>BADERTSCHER DIANE</v>
      </c>
      <c r="H149" s="20" t="str">
        <f t="shared" si="5"/>
        <v>4043</v>
      </c>
    </row>
    <row r="150" spans="1:8" x14ac:dyDescent="0.25">
      <c r="A150" s="8">
        <v>43000.630868055552</v>
      </c>
      <c r="B150" s="20" t="s">
        <v>479</v>
      </c>
      <c r="C150" s="20" t="s">
        <v>742</v>
      </c>
      <c r="D150" s="138">
        <v>2370000</v>
      </c>
      <c r="E150" s="20" t="s">
        <v>488</v>
      </c>
      <c r="F150" s="20" t="s">
        <v>489</v>
      </c>
      <c r="G150" s="8" t="str">
        <f t="shared" si="4"/>
        <v>DELGADO DIANAH</v>
      </c>
      <c r="H150" s="20" t="str">
        <f t="shared" si="5"/>
        <v>4002</v>
      </c>
    </row>
    <row r="151" spans="1:8" x14ac:dyDescent="0.25">
      <c r="A151" s="8">
        <v>43000.632268518515</v>
      </c>
      <c r="B151" s="20" t="s">
        <v>638</v>
      </c>
      <c r="C151" s="20" t="s">
        <v>743</v>
      </c>
      <c r="D151" s="138">
        <v>2150000</v>
      </c>
      <c r="E151" s="20" t="s">
        <v>735</v>
      </c>
      <c r="F151" s="20" t="s">
        <v>736</v>
      </c>
      <c r="G151" s="8" t="str">
        <f t="shared" si="4"/>
        <v>SWANSON BRYCE</v>
      </c>
      <c r="H151" s="20" t="str">
        <f t="shared" si="5"/>
        <v>4011</v>
      </c>
    </row>
    <row r="152" spans="1:8" x14ac:dyDescent="0.25">
      <c r="A152" s="8">
        <v>43000.63244212963</v>
      </c>
      <c r="B152" s="20" t="s">
        <v>436</v>
      </c>
      <c r="C152" s="20" t="s">
        <v>744</v>
      </c>
      <c r="D152" s="138">
        <v>2230000</v>
      </c>
      <c r="E152" s="20" t="s">
        <v>745</v>
      </c>
      <c r="F152" s="20" t="s">
        <v>190</v>
      </c>
      <c r="G152" s="8" t="str">
        <f t="shared" si="4"/>
        <v>SMITH MICHAEL</v>
      </c>
      <c r="H152" s="20" t="str">
        <f t="shared" si="5"/>
        <v>4039</v>
      </c>
    </row>
    <row r="153" spans="1:8" x14ac:dyDescent="0.25">
      <c r="A153" s="8">
        <v>43000.635069444441</v>
      </c>
      <c r="B153" s="20" t="s">
        <v>625</v>
      </c>
      <c r="C153" s="20" t="s">
        <v>746</v>
      </c>
      <c r="D153" s="138">
        <v>2440000</v>
      </c>
      <c r="E153" s="20" t="s">
        <v>535</v>
      </c>
      <c r="F153" s="20" t="s">
        <v>536</v>
      </c>
      <c r="G153" s="8" t="str">
        <f t="shared" si="4"/>
        <v>LOPES KIMBERLY</v>
      </c>
      <c r="H153" s="20" t="str">
        <f t="shared" si="5"/>
        <v>4060</v>
      </c>
    </row>
    <row r="154" spans="1:8" x14ac:dyDescent="0.25">
      <c r="A154" s="8">
        <v>43000.640266203707</v>
      </c>
      <c r="B154" s="20" t="s">
        <v>473</v>
      </c>
      <c r="C154" s="20" t="s">
        <v>598</v>
      </c>
      <c r="D154" s="138">
        <v>3000000</v>
      </c>
      <c r="E154" s="20" t="s">
        <v>457</v>
      </c>
      <c r="F154" s="20" t="s">
        <v>458</v>
      </c>
      <c r="G154" s="8" t="str">
        <f t="shared" si="4"/>
        <v>FORTUNATO FRANK</v>
      </c>
      <c r="H154" s="20" t="str">
        <f t="shared" si="5"/>
        <v>4064</v>
      </c>
    </row>
    <row r="155" spans="1:8" x14ac:dyDescent="0.25">
      <c r="A155" s="8">
        <v>43000.644097222219</v>
      </c>
      <c r="B155" s="20" t="s">
        <v>439</v>
      </c>
      <c r="C155" s="20" t="s">
        <v>747</v>
      </c>
      <c r="D155" s="138">
        <v>2630000</v>
      </c>
      <c r="E155" s="20" t="s">
        <v>702</v>
      </c>
      <c r="F155" s="20" t="s">
        <v>703</v>
      </c>
      <c r="G155" s="8" t="str">
        <f t="shared" si="4"/>
        <v>SAFIEF AEIMEN</v>
      </c>
      <c r="H155" s="20" t="str">
        <f t="shared" si="5"/>
        <v>4017</v>
      </c>
    </row>
    <row r="156" spans="1:8" x14ac:dyDescent="0.25">
      <c r="A156" s="8">
        <v>43000.644965277781</v>
      </c>
      <c r="B156" s="20" t="s">
        <v>440</v>
      </c>
      <c r="C156" s="20" t="s">
        <v>748</v>
      </c>
      <c r="D156" s="138">
        <v>2230000</v>
      </c>
      <c r="E156" s="20" t="s">
        <v>745</v>
      </c>
      <c r="F156" s="20" t="s">
        <v>190</v>
      </c>
      <c r="G156" s="8" t="str">
        <f t="shared" si="4"/>
        <v>SMITH MICHAEL</v>
      </c>
      <c r="H156" s="20" t="str">
        <f t="shared" si="5"/>
        <v>4040</v>
      </c>
    </row>
    <row r="157" spans="1:8" x14ac:dyDescent="0.25">
      <c r="A157" s="8">
        <v>43000.650451388887</v>
      </c>
      <c r="B157" s="20" t="s">
        <v>580</v>
      </c>
      <c r="C157" s="20" t="s">
        <v>599</v>
      </c>
      <c r="D157" s="138">
        <v>2350000</v>
      </c>
      <c r="E157" s="20" t="s">
        <v>490</v>
      </c>
      <c r="F157" s="20" t="s">
        <v>491</v>
      </c>
      <c r="G157" s="8" t="str">
        <f t="shared" si="4"/>
        <v>BERLING GARY</v>
      </c>
      <c r="H157" s="20" t="str">
        <f t="shared" si="5"/>
        <v>4041</v>
      </c>
    </row>
    <row r="158" spans="1:8" x14ac:dyDescent="0.25">
      <c r="A158" s="8">
        <v>43000.653136574074</v>
      </c>
      <c r="B158" s="20" t="s">
        <v>595</v>
      </c>
      <c r="C158" s="20" t="s">
        <v>749</v>
      </c>
      <c r="D158" s="138">
        <v>1300000</v>
      </c>
      <c r="E158" s="20" t="s">
        <v>441</v>
      </c>
      <c r="F158" s="20" t="s">
        <v>442</v>
      </c>
      <c r="G158" s="8" t="str">
        <f t="shared" si="4"/>
        <v>LEVIN SCOTT</v>
      </c>
      <c r="H158" s="20" t="str">
        <f t="shared" si="5"/>
        <v>4062</v>
      </c>
    </row>
    <row r="159" spans="1:8" x14ac:dyDescent="0.25">
      <c r="A159" s="8">
        <v>43000.661898148152</v>
      </c>
      <c r="B159" s="20" t="s">
        <v>519</v>
      </c>
      <c r="C159" s="20" t="s">
        <v>750</v>
      </c>
      <c r="D159" s="138">
        <v>1770000</v>
      </c>
      <c r="E159" s="20" t="s">
        <v>459</v>
      </c>
      <c r="F159" s="20" t="s">
        <v>460</v>
      </c>
      <c r="G159" s="8" t="str">
        <f t="shared" si="4"/>
        <v>BRUDER RICHARD</v>
      </c>
      <c r="H159" s="20" t="str">
        <f t="shared" si="5"/>
        <v>4031</v>
      </c>
    </row>
    <row r="160" spans="1:8" x14ac:dyDescent="0.25">
      <c r="A160" s="8">
        <v>43000.663217592592</v>
      </c>
      <c r="B160" s="20" t="s">
        <v>454</v>
      </c>
      <c r="C160" s="20" t="s">
        <v>751</v>
      </c>
      <c r="D160" s="138">
        <v>2550000</v>
      </c>
      <c r="E160" s="20" t="s">
        <v>528</v>
      </c>
      <c r="F160" s="20" t="s">
        <v>529</v>
      </c>
      <c r="G160" s="8" t="str">
        <f t="shared" si="4"/>
        <v>BADERTSCHER DIANE</v>
      </c>
      <c r="H160" s="20" t="str">
        <f t="shared" si="5"/>
        <v>4044</v>
      </c>
    </row>
    <row r="161" spans="1:8" x14ac:dyDescent="0.25">
      <c r="A161" s="8">
        <v>43000.664849537039</v>
      </c>
      <c r="B161" s="20" t="s">
        <v>471</v>
      </c>
      <c r="C161" s="20" t="s">
        <v>600</v>
      </c>
      <c r="D161" s="138">
        <v>2350000</v>
      </c>
      <c r="E161" s="20" t="s">
        <v>490</v>
      </c>
      <c r="F161" s="20" t="s">
        <v>491</v>
      </c>
      <c r="G161" s="8" t="str">
        <f t="shared" si="4"/>
        <v>BERLING GARY</v>
      </c>
      <c r="H161" s="20" t="str">
        <f t="shared" si="5"/>
        <v>4042</v>
      </c>
    </row>
    <row r="162" spans="1:8" x14ac:dyDescent="0.25">
      <c r="A162" s="8">
        <v>43000.666712962964</v>
      </c>
      <c r="B162" s="20" t="s">
        <v>436</v>
      </c>
      <c r="C162" s="20" t="s">
        <v>752</v>
      </c>
      <c r="D162" s="138">
        <v>2230000</v>
      </c>
      <c r="E162" s="20" t="s">
        <v>745</v>
      </c>
      <c r="F162" s="20" t="s">
        <v>190</v>
      </c>
      <c r="G162" s="8" t="str">
        <f t="shared" si="4"/>
        <v>SMITH MICHAEL</v>
      </c>
      <c r="H162" s="20" t="str">
        <f t="shared" si="5"/>
        <v>4039</v>
      </c>
    </row>
    <row r="163" spans="1:8" x14ac:dyDescent="0.25">
      <c r="A163" s="8">
        <v>43000.672013888892</v>
      </c>
      <c r="B163" s="20" t="s">
        <v>472</v>
      </c>
      <c r="C163" s="20" t="s">
        <v>753</v>
      </c>
      <c r="D163" s="138">
        <v>2370000</v>
      </c>
      <c r="E163" s="20" t="s">
        <v>488</v>
      </c>
      <c r="F163" s="20" t="s">
        <v>489</v>
      </c>
      <c r="G163" s="8" t="str">
        <f t="shared" si="4"/>
        <v>DELGADO DIANAH</v>
      </c>
      <c r="H163" s="20" t="str">
        <f t="shared" si="5"/>
        <v>4001</v>
      </c>
    </row>
    <row r="164" spans="1:8" x14ac:dyDescent="0.25">
      <c r="A164" s="8">
        <v>43000.672835648147</v>
      </c>
      <c r="B164" s="20" t="s">
        <v>642</v>
      </c>
      <c r="C164" s="20" t="s">
        <v>754</v>
      </c>
      <c r="D164" s="138">
        <v>2150000</v>
      </c>
      <c r="E164" s="20" t="s">
        <v>735</v>
      </c>
      <c r="F164" s="20" t="s">
        <v>736</v>
      </c>
      <c r="G164" s="8" t="str">
        <f t="shared" si="4"/>
        <v>SWANSON BRYCE</v>
      </c>
      <c r="H164" s="20" t="str">
        <f t="shared" si="5"/>
        <v>4012</v>
      </c>
    </row>
    <row r="165" spans="1:8" x14ac:dyDescent="0.25">
      <c r="A165" s="8">
        <v>43000.674745370372</v>
      </c>
      <c r="B165" s="20" t="s">
        <v>470</v>
      </c>
      <c r="C165" s="20" t="s">
        <v>755</v>
      </c>
      <c r="D165" s="138">
        <v>3000000</v>
      </c>
      <c r="E165" s="20" t="s">
        <v>457</v>
      </c>
      <c r="F165" s="20" t="s">
        <v>458</v>
      </c>
      <c r="G165" s="8" t="str">
        <f t="shared" si="4"/>
        <v>FORTUNATO FRANK</v>
      </c>
      <c r="H165" s="20" t="str">
        <f t="shared" si="5"/>
        <v>4063</v>
      </c>
    </row>
    <row r="166" spans="1:8" x14ac:dyDescent="0.25">
      <c r="A166" s="8">
        <v>43000.684999999998</v>
      </c>
      <c r="B166" s="20" t="s">
        <v>437</v>
      </c>
      <c r="C166" s="20" t="s">
        <v>601</v>
      </c>
      <c r="D166" s="138">
        <v>3130000</v>
      </c>
      <c r="E166" s="20" t="s">
        <v>756</v>
      </c>
      <c r="F166" s="20" t="s">
        <v>757</v>
      </c>
      <c r="G166" s="8" t="str">
        <f t="shared" si="4"/>
        <v>ZEWDU DEREJE</v>
      </c>
      <c r="H166" s="20" t="str">
        <f t="shared" si="5"/>
        <v>4018</v>
      </c>
    </row>
    <row r="167" spans="1:8" x14ac:dyDescent="0.25">
      <c r="A167" s="8">
        <v>43000.686747685184</v>
      </c>
      <c r="B167" s="20" t="s">
        <v>580</v>
      </c>
      <c r="C167" s="20" t="s">
        <v>602</v>
      </c>
      <c r="D167" s="138">
        <v>2350000</v>
      </c>
      <c r="E167" s="20" t="s">
        <v>490</v>
      </c>
      <c r="F167" s="20" t="s">
        <v>491</v>
      </c>
      <c r="G167" s="8" t="str">
        <f t="shared" si="4"/>
        <v>BERLING GARY</v>
      </c>
      <c r="H167" s="20" t="str">
        <f t="shared" si="5"/>
        <v>4041</v>
      </c>
    </row>
    <row r="168" spans="1:8" x14ac:dyDescent="0.25">
      <c r="A168" s="8">
        <v>43000.688333333332</v>
      </c>
      <c r="B168" s="20" t="s">
        <v>401</v>
      </c>
      <c r="C168" s="20" t="s">
        <v>718</v>
      </c>
      <c r="D168" s="138">
        <v>1810000</v>
      </c>
      <c r="E168" s="20" t="s">
        <v>530</v>
      </c>
      <c r="F168" s="20" t="s">
        <v>376</v>
      </c>
      <c r="G168" s="8" t="str">
        <f t="shared" si="4"/>
        <v>NEWELL JAMES</v>
      </c>
      <c r="H168" s="20" t="str">
        <f t="shared" si="5"/>
        <v>4058</v>
      </c>
    </row>
    <row r="169" spans="1:8" x14ac:dyDescent="0.25">
      <c r="A169" s="8">
        <v>43000.689085648148</v>
      </c>
      <c r="B169" s="20" t="s">
        <v>440</v>
      </c>
      <c r="C169" s="20" t="s">
        <v>758</v>
      </c>
      <c r="D169" s="138">
        <v>2230000</v>
      </c>
      <c r="E169" s="20" t="s">
        <v>745</v>
      </c>
      <c r="F169" s="20" t="s">
        <v>190</v>
      </c>
      <c r="G169" s="8" t="str">
        <f t="shared" si="4"/>
        <v>SMITH MICHAEL</v>
      </c>
      <c r="H169" s="20" t="str">
        <f t="shared" si="5"/>
        <v>4040</v>
      </c>
    </row>
    <row r="170" spans="1:8" x14ac:dyDescent="0.25">
      <c r="A170" s="8">
        <v>43000.690787037034</v>
      </c>
      <c r="B170" s="20" t="s">
        <v>583</v>
      </c>
      <c r="C170" s="20" t="s">
        <v>759</v>
      </c>
      <c r="D170" s="138">
        <v>1300000</v>
      </c>
      <c r="E170" s="20" t="s">
        <v>441</v>
      </c>
      <c r="F170" s="20" t="s">
        <v>442</v>
      </c>
      <c r="G170" s="8" t="str">
        <f t="shared" si="4"/>
        <v>LEVIN SCOTT</v>
      </c>
      <c r="H170" s="20" t="str">
        <f t="shared" si="5"/>
        <v>4061</v>
      </c>
    </row>
    <row r="171" spans="1:8" x14ac:dyDescent="0.25">
      <c r="A171" s="8">
        <v>43000.694398148145</v>
      </c>
      <c r="B171" s="20" t="s">
        <v>521</v>
      </c>
      <c r="C171" s="20" t="s">
        <v>760</v>
      </c>
      <c r="D171" s="138">
        <v>1770000</v>
      </c>
      <c r="E171" s="20" t="s">
        <v>459</v>
      </c>
      <c r="F171" s="20" t="s">
        <v>460</v>
      </c>
      <c r="G171" s="8" t="str">
        <f t="shared" si="4"/>
        <v>BRUDER RICHARD</v>
      </c>
      <c r="H171" s="20" t="str">
        <f t="shared" si="5"/>
        <v>4032</v>
      </c>
    </row>
    <row r="172" spans="1:8" x14ac:dyDescent="0.25">
      <c r="A172" s="8">
        <v>43000.699467592596</v>
      </c>
      <c r="B172" s="20" t="s">
        <v>412</v>
      </c>
      <c r="C172" s="20" t="s">
        <v>761</v>
      </c>
      <c r="D172" s="138">
        <v>2550000</v>
      </c>
      <c r="E172" s="20" t="s">
        <v>528</v>
      </c>
      <c r="F172" s="20" t="s">
        <v>529</v>
      </c>
      <c r="G172" s="8" t="str">
        <f t="shared" si="4"/>
        <v>BADERTSCHER DIANE</v>
      </c>
      <c r="H172" s="20" t="str">
        <f t="shared" si="5"/>
        <v>4043</v>
      </c>
    </row>
    <row r="173" spans="1:8" x14ac:dyDescent="0.25">
      <c r="A173" s="8">
        <v>43000.703020833331</v>
      </c>
      <c r="B173" s="20" t="s">
        <v>479</v>
      </c>
      <c r="C173" s="20" t="s">
        <v>603</v>
      </c>
      <c r="D173" s="138">
        <v>2370000</v>
      </c>
      <c r="E173" s="20" t="s">
        <v>488</v>
      </c>
      <c r="F173" s="20" t="s">
        <v>489</v>
      </c>
      <c r="G173" s="8" t="str">
        <f t="shared" si="4"/>
        <v>DELGADO DIANAH</v>
      </c>
      <c r="H173" s="20" t="str">
        <f t="shared" si="5"/>
        <v>4002</v>
      </c>
    </row>
    <row r="174" spans="1:8" x14ac:dyDescent="0.25">
      <c r="A174" s="8">
        <v>43000.703981481478</v>
      </c>
      <c r="B174" s="20" t="s">
        <v>406</v>
      </c>
      <c r="C174" s="20" t="s">
        <v>592</v>
      </c>
      <c r="D174" s="138">
        <v>3330000</v>
      </c>
      <c r="E174" s="20" t="s">
        <v>526</v>
      </c>
      <c r="F174" s="20" t="s">
        <v>527</v>
      </c>
      <c r="G174" s="8" t="str">
        <f t="shared" si="4"/>
        <v>GONZALEZ ARMANDO</v>
      </c>
      <c r="H174" s="20" t="str">
        <f t="shared" si="5"/>
        <v>4028</v>
      </c>
    </row>
    <row r="175" spans="1:8" x14ac:dyDescent="0.25">
      <c r="A175" s="8">
        <v>43000.705567129633</v>
      </c>
      <c r="B175" s="20" t="s">
        <v>638</v>
      </c>
      <c r="C175" s="20" t="s">
        <v>762</v>
      </c>
      <c r="D175" s="138">
        <v>2150000</v>
      </c>
      <c r="E175" s="20" t="s">
        <v>735</v>
      </c>
      <c r="F175" s="20" t="s">
        <v>736</v>
      </c>
      <c r="G175" s="8" t="str">
        <f t="shared" si="4"/>
        <v>SWANSON BRYCE</v>
      </c>
      <c r="H175" s="20" t="str">
        <f t="shared" si="5"/>
        <v>4011</v>
      </c>
    </row>
    <row r="176" spans="1:8" x14ac:dyDescent="0.25">
      <c r="A176" s="8">
        <v>43000.706261574072</v>
      </c>
      <c r="B176" s="20" t="s">
        <v>436</v>
      </c>
      <c r="C176" s="20" t="s">
        <v>763</v>
      </c>
      <c r="D176" s="138">
        <v>2230000</v>
      </c>
      <c r="E176" s="20" t="s">
        <v>745</v>
      </c>
      <c r="F176" s="20" t="s">
        <v>190</v>
      </c>
      <c r="G176" s="8" t="str">
        <f t="shared" si="4"/>
        <v>SMITH MICHAEL</v>
      </c>
      <c r="H176" s="20" t="str">
        <f t="shared" si="5"/>
        <v>4039</v>
      </c>
    </row>
    <row r="177" spans="1:8" x14ac:dyDescent="0.25">
      <c r="A177" s="8">
        <v>43000.711354166669</v>
      </c>
      <c r="B177" s="20" t="s">
        <v>471</v>
      </c>
      <c r="C177" s="20" t="s">
        <v>764</v>
      </c>
      <c r="D177" s="138">
        <v>2350000</v>
      </c>
      <c r="E177" s="20" t="s">
        <v>490</v>
      </c>
      <c r="F177" s="20" t="s">
        <v>491</v>
      </c>
      <c r="G177" s="8" t="str">
        <f t="shared" si="4"/>
        <v>BERLING GARY</v>
      </c>
      <c r="H177" s="20" t="str">
        <f t="shared" si="5"/>
        <v>4042</v>
      </c>
    </row>
    <row r="178" spans="1:8" x14ac:dyDescent="0.25">
      <c r="A178" s="8">
        <v>43000.716168981482</v>
      </c>
      <c r="B178" s="20" t="s">
        <v>473</v>
      </c>
      <c r="C178" s="20" t="s">
        <v>765</v>
      </c>
      <c r="D178" s="138">
        <v>3000000</v>
      </c>
      <c r="E178" s="20" t="s">
        <v>457</v>
      </c>
      <c r="F178" s="20" t="s">
        <v>458</v>
      </c>
      <c r="G178" s="8" t="str">
        <f t="shared" si="4"/>
        <v>FORTUNATO FRANK</v>
      </c>
      <c r="H178" s="20" t="str">
        <f t="shared" si="5"/>
        <v>4064</v>
      </c>
    </row>
    <row r="179" spans="1:8" x14ac:dyDescent="0.25">
      <c r="A179" s="8">
        <v>43000.723738425928</v>
      </c>
      <c r="B179" s="20" t="s">
        <v>439</v>
      </c>
      <c r="C179" s="20" t="s">
        <v>766</v>
      </c>
      <c r="D179" s="138">
        <v>3130000</v>
      </c>
      <c r="E179" s="20" t="s">
        <v>756</v>
      </c>
      <c r="F179" s="20" t="s">
        <v>757</v>
      </c>
      <c r="G179" s="8" t="str">
        <f t="shared" si="4"/>
        <v>ZEWDU DEREJE</v>
      </c>
      <c r="H179" s="20" t="str">
        <f t="shared" si="5"/>
        <v>4017</v>
      </c>
    </row>
    <row r="180" spans="1:8" x14ac:dyDescent="0.25">
      <c r="A180" s="8">
        <v>43000.725254629629</v>
      </c>
      <c r="B180" s="20" t="s">
        <v>595</v>
      </c>
      <c r="C180" s="20" t="s">
        <v>767</v>
      </c>
      <c r="D180" s="138">
        <v>1300000</v>
      </c>
      <c r="E180" s="20" t="s">
        <v>441</v>
      </c>
      <c r="F180" s="20" t="s">
        <v>442</v>
      </c>
      <c r="G180" s="8" t="str">
        <f t="shared" si="4"/>
        <v>LEVIN SCOTT</v>
      </c>
      <c r="H180" s="20" t="str">
        <f t="shared" si="5"/>
        <v>4062</v>
      </c>
    </row>
    <row r="181" spans="1:8" x14ac:dyDescent="0.25">
      <c r="A181" s="8">
        <v>43000.731516203705</v>
      </c>
      <c r="B181" s="20" t="s">
        <v>519</v>
      </c>
      <c r="C181" s="20" t="s">
        <v>768</v>
      </c>
      <c r="D181" s="138">
        <v>1770000</v>
      </c>
      <c r="E181" s="20" t="s">
        <v>459</v>
      </c>
      <c r="F181" s="20" t="s">
        <v>460</v>
      </c>
      <c r="G181" s="8" t="str">
        <f t="shared" si="4"/>
        <v>BRUDER RICHARD</v>
      </c>
      <c r="H181" s="20" t="str">
        <f t="shared" si="5"/>
        <v>4031</v>
      </c>
    </row>
    <row r="182" spans="1:8" x14ac:dyDescent="0.25">
      <c r="A182" s="8">
        <v>43000.733402777776</v>
      </c>
      <c r="B182" s="20" t="s">
        <v>471</v>
      </c>
      <c r="C182" s="20" t="s">
        <v>769</v>
      </c>
      <c r="D182" s="138">
        <v>2350000</v>
      </c>
      <c r="E182" s="20" t="s">
        <v>490</v>
      </c>
      <c r="F182" s="20" t="s">
        <v>491</v>
      </c>
      <c r="G182" s="8" t="str">
        <f t="shared" si="4"/>
        <v>BERLING GARY</v>
      </c>
      <c r="H182" s="20" t="str">
        <f t="shared" si="5"/>
        <v>4042</v>
      </c>
    </row>
    <row r="183" spans="1:8" x14ac:dyDescent="0.25">
      <c r="A183" s="8">
        <v>43000.734479166669</v>
      </c>
      <c r="B183" s="20" t="s">
        <v>471</v>
      </c>
      <c r="C183" s="20" t="s">
        <v>769</v>
      </c>
      <c r="D183" s="138">
        <v>2350000</v>
      </c>
      <c r="E183" s="20" t="s">
        <v>490</v>
      </c>
      <c r="F183" s="20" t="s">
        <v>491</v>
      </c>
      <c r="G183" s="8" t="str">
        <f t="shared" si="4"/>
        <v>BERLING GARY</v>
      </c>
      <c r="H183" s="20" t="str">
        <f t="shared" si="5"/>
        <v>4042</v>
      </c>
    </row>
    <row r="184" spans="1:8" x14ac:dyDescent="0.25">
      <c r="A184" s="8">
        <v>43000.735173611109</v>
      </c>
      <c r="B184" s="20" t="s">
        <v>471</v>
      </c>
      <c r="C184" s="20" t="s">
        <v>769</v>
      </c>
      <c r="D184" s="138">
        <v>2350000</v>
      </c>
      <c r="E184" s="20" t="s">
        <v>490</v>
      </c>
      <c r="F184" s="20" t="s">
        <v>491</v>
      </c>
      <c r="G184" s="8" t="str">
        <f t="shared" si="4"/>
        <v>BERLING GARY</v>
      </c>
      <c r="H184" s="20" t="str">
        <f t="shared" si="5"/>
        <v>4042</v>
      </c>
    </row>
    <row r="185" spans="1:8" x14ac:dyDescent="0.25">
      <c r="A185" s="8">
        <v>43000.736608796295</v>
      </c>
      <c r="B185" s="20" t="s">
        <v>471</v>
      </c>
      <c r="C185" s="20" t="s">
        <v>769</v>
      </c>
      <c r="D185" s="138">
        <v>2350000</v>
      </c>
      <c r="E185" s="20" t="s">
        <v>490</v>
      </c>
      <c r="F185" s="20" t="s">
        <v>491</v>
      </c>
      <c r="G185" s="8" t="str">
        <f t="shared" si="4"/>
        <v>BERLING GARY</v>
      </c>
      <c r="H185" s="20" t="str">
        <f t="shared" si="5"/>
        <v>4042</v>
      </c>
    </row>
    <row r="186" spans="1:8" x14ac:dyDescent="0.25">
      <c r="A186" s="8">
        <v>43000.737071759257</v>
      </c>
      <c r="B186" s="20" t="s">
        <v>454</v>
      </c>
      <c r="C186" s="20" t="s">
        <v>770</v>
      </c>
      <c r="D186" s="138">
        <v>2730000</v>
      </c>
      <c r="E186" s="20" t="s">
        <v>455</v>
      </c>
      <c r="F186" s="20" t="s">
        <v>456</v>
      </c>
      <c r="G186" s="8" t="str">
        <f t="shared" si="4"/>
        <v>YANG JAN</v>
      </c>
      <c r="H186" s="20" t="str">
        <f t="shared" si="5"/>
        <v>4044</v>
      </c>
    </row>
    <row r="187" spans="1:8" x14ac:dyDescent="0.25">
      <c r="A187" s="8">
        <v>43000.739641203705</v>
      </c>
      <c r="B187" s="20" t="s">
        <v>472</v>
      </c>
      <c r="C187" s="20" t="s">
        <v>771</v>
      </c>
      <c r="D187" s="138">
        <v>2370000</v>
      </c>
      <c r="E187" s="20" t="s">
        <v>488</v>
      </c>
      <c r="F187" s="20" t="s">
        <v>489</v>
      </c>
      <c r="G187" s="8" t="str">
        <f t="shared" si="4"/>
        <v>DELGADO DIANAH</v>
      </c>
      <c r="H187" s="20" t="str">
        <f t="shared" si="5"/>
        <v>4001</v>
      </c>
    </row>
    <row r="188" spans="1:8" x14ac:dyDescent="0.25">
      <c r="A188" s="8">
        <v>43000.745324074072</v>
      </c>
      <c r="B188" s="20" t="s">
        <v>642</v>
      </c>
      <c r="C188" s="20" t="s">
        <v>772</v>
      </c>
      <c r="D188" s="138">
        <v>2150000</v>
      </c>
      <c r="E188" s="20" t="s">
        <v>735</v>
      </c>
      <c r="F188" s="20" t="s">
        <v>736</v>
      </c>
      <c r="G188" s="8" t="str">
        <f t="shared" si="4"/>
        <v>SWANSON BRYCE</v>
      </c>
      <c r="H188" s="20" t="str">
        <f t="shared" si="5"/>
        <v>4012</v>
      </c>
    </row>
    <row r="189" spans="1:8" x14ac:dyDescent="0.25">
      <c r="A189" s="8">
        <v>43000.745370370372</v>
      </c>
      <c r="B189" s="20" t="s">
        <v>440</v>
      </c>
      <c r="C189" s="20" t="s">
        <v>773</v>
      </c>
      <c r="D189" s="138">
        <v>2230000</v>
      </c>
      <c r="E189" s="20" t="s">
        <v>745</v>
      </c>
      <c r="F189" s="20" t="s">
        <v>190</v>
      </c>
      <c r="G189" s="8" t="str">
        <f t="shared" si="4"/>
        <v>SMITH MICHAEL</v>
      </c>
      <c r="H189" s="20" t="str">
        <f t="shared" si="5"/>
        <v>4040</v>
      </c>
    </row>
    <row r="190" spans="1:8" x14ac:dyDescent="0.25">
      <c r="A190" s="8">
        <v>43000.745891203704</v>
      </c>
      <c r="B190" s="20" t="s">
        <v>470</v>
      </c>
      <c r="C190" s="20" t="s">
        <v>774</v>
      </c>
      <c r="D190" s="138">
        <v>3000000</v>
      </c>
      <c r="E190" s="20" t="s">
        <v>457</v>
      </c>
      <c r="F190" s="20" t="s">
        <v>458</v>
      </c>
      <c r="G190" s="8" t="str">
        <f t="shared" si="4"/>
        <v>FORTUNATO FRANK</v>
      </c>
      <c r="H190" s="20" t="str">
        <f t="shared" si="5"/>
        <v>4063</v>
      </c>
    </row>
    <row r="191" spans="1:8" x14ac:dyDescent="0.25">
      <c r="A191" s="8">
        <v>43000.753993055558</v>
      </c>
      <c r="B191" s="20" t="s">
        <v>580</v>
      </c>
      <c r="C191" s="20" t="s">
        <v>604</v>
      </c>
      <c r="D191" s="138">
        <v>2350000</v>
      </c>
      <c r="E191" s="20" t="s">
        <v>490</v>
      </c>
      <c r="F191" s="20" t="s">
        <v>491</v>
      </c>
      <c r="G191" s="8" t="str">
        <f t="shared" si="4"/>
        <v>BERLING GARY</v>
      </c>
      <c r="H191" s="20" t="str">
        <f t="shared" si="5"/>
        <v>4041</v>
      </c>
    </row>
    <row r="192" spans="1:8" x14ac:dyDescent="0.25">
      <c r="A192" s="8">
        <v>43000.756203703706</v>
      </c>
      <c r="B192" s="20" t="s">
        <v>437</v>
      </c>
      <c r="C192" s="20" t="s">
        <v>775</v>
      </c>
      <c r="D192" s="138">
        <v>2620000</v>
      </c>
      <c r="E192" s="20" t="s">
        <v>383</v>
      </c>
      <c r="F192" s="20" t="s">
        <v>384</v>
      </c>
      <c r="G192" s="8" t="str">
        <f t="shared" si="4"/>
        <v>PERKINS DARREN</v>
      </c>
      <c r="H192" s="20" t="str">
        <f t="shared" si="5"/>
        <v>4018</v>
      </c>
    </row>
    <row r="193" spans="1:8" x14ac:dyDescent="0.25">
      <c r="A193" s="8">
        <v>43000.758553240739</v>
      </c>
      <c r="B193" s="20" t="s">
        <v>583</v>
      </c>
      <c r="C193" s="20" t="s">
        <v>776</v>
      </c>
      <c r="D193" s="138">
        <v>1300000</v>
      </c>
      <c r="E193" s="20" t="s">
        <v>441</v>
      </c>
      <c r="F193" s="20" t="s">
        <v>442</v>
      </c>
      <c r="G193" s="8" t="str">
        <f t="shared" si="4"/>
        <v>LEVIN SCOTT</v>
      </c>
      <c r="H193" s="20" t="str">
        <f t="shared" si="5"/>
        <v>4061</v>
      </c>
    </row>
    <row r="194" spans="1:8" x14ac:dyDescent="0.25">
      <c r="A194" s="8">
        <v>43000.762442129628</v>
      </c>
      <c r="B194" s="20" t="s">
        <v>406</v>
      </c>
      <c r="C194" s="20" t="s">
        <v>592</v>
      </c>
      <c r="D194" s="138">
        <v>3320000</v>
      </c>
      <c r="E194" s="20" t="s">
        <v>391</v>
      </c>
      <c r="F194" s="20" t="s">
        <v>392</v>
      </c>
      <c r="G194" s="8" t="str">
        <f t="shared" si="4"/>
        <v>NICHOLSON WESLEY</v>
      </c>
      <c r="H194" s="20" t="str">
        <f t="shared" si="5"/>
        <v>4028</v>
      </c>
    </row>
    <row r="195" spans="1:8" x14ac:dyDescent="0.25">
      <c r="A195" s="8">
        <v>43000.765833333331</v>
      </c>
      <c r="B195" s="20" t="s">
        <v>521</v>
      </c>
      <c r="C195" s="20" t="s">
        <v>777</v>
      </c>
      <c r="D195" s="138">
        <v>3130000</v>
      </c>
      <c r="E195" s="20" t="s">
        <v>756</v>
      </c>
      <c r="F195" s="20" t="s">
        <v>757</v>
      </c>
      <c r="G195" s="8" t="str">
        <f t="shared" ref="G195:G258" si="6">E195&amp;" "&amp;F195</f>
        <v>ZEWDU DEREJE</v>
      </c>
      <c r="H195" s="20" t="str">
        <f t="shared" ref="H195:H258" si="7">MID(B195,13,4)</f>
        <v>4032</v>
      </c>
    </row>
    <row r="196" spans="1:8" x14ac:dyDescent="0.25">
      <c r="A196" s="8">
        <v>43000.768611111111</v>
      </c>
      <c r="B196" s="20" t="s">
        <v>453</v>
      </c>
      <c r="C196" s="20" t="s">
        <v>592</v>
      </c>
      <c r="D196" s="138">
        <v>3320000</v>
      </c>
      <c r="E196" s="20" t="s">
        <v>391</v>
      </c>
      <c r="F196" s="20" t="s">
        <v>392</v>
      </c>
      <c r="G196" s="8" t="str">
        <f t="shared" si="6"/>
        <v>NICHOLSON WESLEY</v>
      </c>
      <c r="H196" s="20" t="str">
        <f t="shared" si="7"/>
        <v>4027</v>
      </c>
    </row>
    <row r="197" spans="1:8" x14ac:dyDescent="0.25">
      <c r="A197" s="8">
        <v>43000.768923611111</v>
      </c>
      <c r="B197" s="20" t="s">
        <v>436</v>
      </c>
      <c r="C197" s="20" t="s">
        <v>778</v>
      </c>
      <c r="D197" s="138">
        <v>2230000</v>
      </c>
      <c r="E197" s="20" t="s">
        <v>745</v>
      </c>
      <c r="F197" s="20" t="s">
        <v>190</v>
      </c>
      <c r="G197" s="8" t="str">
        <f t="shared" si="6"/>
        <v>SMITH MICHAEL</v>
      </c>
      <c r="H197" s="20" t="str">
        <f t="shared" si="7"/>
        <v>4039</v>
      </c>
    </row>
    <row r="198" spans="1:8" x14ac:dyDescent="0.25">
      <c r="A198" s="8">
        <v>43000.770150462966</v>
      </c>
      <c r="B198" s="20" t="s">
        <v>453</v>
      </c>
      <c r="C198" s="20" t="s">
        <v>779</v>
      </c>
      <c r="D198" s="138">
        <v>3320000</v>
      </c>
      <c r="E198" s="20" t="s">
        <v>391</v>
      </c>
      <c r="F198" s="20" t="s">
        <v>392</v>
      </c>
      <c r="G198" s="8" t="str">
        <f t="shared" si="6"/>
        <v>NICHOLSON WESLEY</v>
      </c>
      <c r="H198" s="20" t="str">
        <f t="shared" si="7"/>
        <v>4027</v>
      </c>
    </row>
    <row r="199" spans="1:8" x14ac:dyDescent="0.25">
      <c r="A199" s="8">
        <v>43000.775312500002</v>
      </c>
      <c r="B199" s="20" t="s">
        <v>412</v>
      </c>
      <c r="C199" s="20" t="s">
        <v>780</v>
      </c>
      <c r="D199" s="138">
        <v>2730000</v>
      </c>
      <c r="E199" s="20" t="s">
        <v>455</v>
      </c>
      <c r="F199" s="20" t="s">
        <v>456</v>
      </c>
      <c r="G199" s="8" t="str">
        <f t="shared" si="6"/>
        <v>YANG JAN</v>
      </c>
      <c r="H199" s="20" t="str">
        <f t="shared" si="7"/>
        <v>4043</v>
      </c>
    </row>
    <row r="200" spans="1:8" x14ac:dyDescent="0.25">
      <c r="A200" s="8">
        <v>43000.775833333333</v>
      </c>
      <c r="B200" s="20" t="s">
        <v>479</v>
      </c>
      <c r="C200" s="20" t="s">
        <v>781</v>
      </c>
      <c r="D200" s="138">
        <v>2370000</v>
      </c>
      <c r="E200" s="20" t="s">
        <v>488</v>
      </c>
      <c r="F200" s="20" t="s">
        <v>489</v>
      </c>
      <c r="G200" s="8" t="str">
        <f t="shared" si="6"/>
        <v>DELGADO DIANAH</v>
      </c>
      <c r="H200" s="20" t="str">
        <f t="shared" si="7"/>
        <v>4002</v>
      </c>
    </row>
    <row r="201" spans="1:8" x14ac:dyDescent="0.25">
      <c r="A201" s="8">
        <v>43000.77584490741</v>
      </c>
      <c r="B201" s="20" t="s">
        <v>406</v>
      </c>
      <c r="C201" s="20" t="s">
        <v>779</v>
      </c>
      <c r="D201" s="138">
        <v>3320000</v>
      </c>
      <c r="E201" s="20" t="s">
        <v>391</v>
      </c>
      <c r="F201" s="20" t="s">
        <v>392</v>
      </c>
      <c r="G201" s="8" t="str">
        <f t="shared" si="6"/>
        <v>NICHOLSON WESLEY</v>
      </c>
      <c r="H201" s="20" t="str">
        <f t="shared" si="7"/>
        <v>4028</v>
      </c>
    </row>
    <row r="202" spans="1:8" x14ac:dyDescent="0.25">
      <c r="A202" s="26">
        <v>43000.77753472222</v>
      </c>
      <c r="B202" s="20" t="s">
        <v>638</v>
      </c>
      <c r="C202" s="20" t="s">
        <v>782</v>
      </c>
      <c r="D202" s="138">
        <v>2150000</v>
      </c>
      <c r="E202" s="20" t="s">
        <v>735</v>
      </c>
      <c r="F202" s="20" t="s">
        <v>736</v>
      </c>
      <c r="G202" s="8" t="str">
        <f t="shared" si="6"/>
        <v>SWANSON BRYCE</v>
      </c>
      <c r="H202" s="20" t="str">
        <f t="shared" si="7"/>
        <v>4011</v>
      </c>
    </row>
    <row r="203" spans="1:8" x14ac:dyDescent="0.25">
      <c r="A203" s="8">
        <v>43000.777662037035</v>
      </c>
      <c r="B203" s="20" t="s">
        <v>471</v>
      </c>
      <c r="C203" s="20" t="s">
        <v>783</v>
      </c>
      <c r="D203" s="138">
        <v>2350000</v>
      </c>
      <c r="E203" s="20" t="s">
        <v>490</v>
      </c>
      <c r="F203" s="20" t="s">
        <v>491</v>
      </c>
      <c r="G203" s="8" t="str">
        <f t="shared" si="6"/>
        <v>BERLING GARY</v>
      </c>
      <c r="H203" s="20" t="str">
        <f t="shared" si="7"/>
        <v>4042</v>
      </c>
    </row>
    <row r="204" spans="1:8" x14ac:dyDescent="0.25">
      <c r="A204" s="8">
        <v>43000.787581018521</v>
      </c>
      <c r="B204" s="20" t="s">
        <v>473</v>
      </c>
      <c r="C204" s="20" t="s">
        <v>784</v>
      </c>
      <c r="D204" s="138">
        <v>3190000</v>
      </c>
      <c r="E204" s="20" t="s">
        <v>385</v>
      </c>
      <c r="F204" s="20" t="s">
        <v>386</v>
      </c>
      <c r="G204" s="8" t="str">
        <f t="shared" si="6"/>
        <v>HART KEVIN</v>
      </c>
      <c r="H204" s="20" t="str">
        <f t="shared" si="7"/>
        <v>4064</v>
      </c>
    </row>
    <row r="205" spans="1:8" x14ac:dyDescent="0.25">
      <c r="A205" s="8">
        <v>43000.790833333333</v>
      </c>
      <c r="B205" s="20" t="s">
        <v>440</v>
      </c>
      <c r="C205" s="20" t="s">
        <v>785</v>
      </c>
      <c r="D205" s="138">
        <v>2230000</v>
      </c>
      <c r="E205" s="20" t="s">
        <v>745</v>
      </c>
      <c r="F205" s="20" t="s">
        <v>190</v>
      </c>
      <c r="G205" s="8" t="str">
        <f t="shared" si="6"/>
        <v>SMITH MICHAEL</v>
      </c>
      <c r="H205" s="20" t="str">
        <f t="shared" si="7"/>
        <v>4040</v>
      </c>
    </row>
    <row r="206" spans="1:8" x14ac:dyDescent="0.25">
      <c r="A206" s="8">
        <v>43000.791724537034</v>
      </c>
      <c r="B206" s="20" t="s">
        <v>439</v>
      </c>
      <c r="C206" s="20" t="s">
        <v>786</v>
      </c>
      <c r="D206" s="138">
        <v>2620000</v>
      </c>
      <c r="E206" s="20" t="s">
        <v>383</v>
      </c>
      <c r="F206" s="20" t="s">
        <v>384</v>
      </c>
      <c r="G206" s="8" t="str">
        <f t="shared" si="6"/>
        <v>PERKINS DARREN</v>
      </c>
      <c r="H206" s="20" t="str">
        <f t="shared" si="7"/>
        <v>4017</v>
      </c>
    </row>
    <row r="207" spans="1:8" x14ac:dyDescent="0.25">
      <c r="A207" s="8">
        <v>43000.792060185187</v>
      </c>
      <c r="B207" s="20" t="s">
        <v>440</v>
      </c>
      <c r="C207" s="20" t="s">
        <v>785</v>
      </c>
      <c r="D207" s="138">
        <v>2230000</v>
      </c>
      <c r="E207" s="20" t="s">
        <v>745</v>
      </c>
      <c r="F207" s="20" t="s">
        <v>190</v>
      </c>
      <c r="G207" s="8" t="str">
        <f t="shared" si="6"/>
        <v>SMITH MICHAEL</v>
      </c>
      <c r="H207" s="20" t="str">
        <f t="shared" si="7"/>
        <v>4040</v>
      </c>
    </row>
    <row r="208" spans="1:8" x14ac:dyDescent="0.25">
      <c r="A208" s="8">
        <v>43000.792905092596</v>
      </c>
      <c r="B208" s="20" t="s">
        <v>453</v>
      </c>
      <c r="C208" s="20" t="s">
        <v>592</v>
      </c>
      <c r="D208" s="138">
        <v>3320000</v>
      </c>
      <c r="E208" s="20" t="s">
        <v>391</v>
      </c>
      <c r="F208" s="20" t="s">
        <v>392</v>
      </c>
      <c r="G208" s="8" t="str">
        <f t="shared" si="6"/>
        <v>NICHOLSON WESLEY</v>
      </c>
      <c r="H208" s="20" t="str">
        <f t="shared" si="7"/>
        <v>4027</v>
      </c>
    </row>
    <row r="209" spans="1:8" x14ac:dyDescent="0.25">
      <c r="A209" s="8">
        <v>43000.797222222223</v>
      </c>
      <c r="B209" s="20" t="s">
        <v>595</v>
      </c>
      <c r="C209" s="20" t="s">
        <v>787</v>
      </c>
      <c r="D209" s="138">
        <v>1300000</v>
      </c>
      <c r="E209" s="20" t="s">
        <v>441</v>
      </c>
      <c r="F209" s="20" t="s">
        <v>442</v>
      </c>
      <c r="G209" s="8" t="str">
        <f t="shared" si="6"/>
        <v>LEVIN SCOTT</v>
      </c>
      <c r="H209" s="20" t="str">
        <f t="shared" si="7"/>
        <v>4062</v>
      </c>
    </row>
    <row r="210" spans="1:8" x14ac:dyDescent="0.25">
      <c r="A210" s="8">
        <v>43000.807743055557</v>
      </c>
      <c r="B210" s="20" t="s">
        <v>519</v>
      </c>
      <c r="C210" s="20" t="s">
        <v>788</v>
      </c>
      <c r="D210" s="138">
        <v>3130000</v>
      </c>
      <c r="E210" s="20" t="s">
        <v>756</v>
      </c>
      <c r="F210" s="20" t="s">
        <v>757</v>
      </c>
      <c r="G210" s="8" t="str">
        <f t="shared" si="6"/>
        <v>ZEWDU DEREJE</v>
      </c>
      <c r="H210" s="20" t="str">
        <f t="shared" si="7"/>
        <v>4031</v>
      </c>
    </row>
    <row r="211" spans="1:8" x14ac:dyDescent="0.25">
      <c r="A211" s="8">
        <v>43000.807916666665</v>
      </c>
      <c r="B211" s="20" t="s">
        <v>454</v>
      </c>
      <c r="C211" s="20" t="s">
        <v>789</v>
      </c>
      <c r="D211" s="138">
        <v>2730000</v>
      </c>
      <c r="E211" s="20" t="s">
        <v>455</v>
      </c>
      <c r="F211" s="20" t="s">
        <v>456</v>
      </c>
      <c r="G211" s="8" t="str">
        <f t="shared" si="6"/>
        <v>YANG JAN</v>
      </c>
      <c r="H211" s="20" t="str">
        <f t="shared" si="7"/>
        <v>4044</v>
      </c>
    </row>
    <row r="212" spans="1:8" x14ac:dyDescent="0.25">
      <c r="A212" s="8">
        <v>43000.809918981482</v>
      </c>
      <c r="B212" s="20" t="s">
        <v>580</v>
      </c>
      <c r="C212" s="20" t="s">
        <v>790</v>
      </c>
      <c r="D212" s="138">
        <v>2350000</v>
      </c>
      <c r="E212" s="20" t="s">
        <v>490</v>
      </c>
      <c r="F212" s="20" t="s">
        <v>491</v>
      </c>
      <c r="G212" s="8" t="str">
        <f t="shared" si="6"/>
        <v>BERLING GARY</v>
      </c>
      <c r="H212" s="20" t="str">
        <f t="shared" si="7"/>
        <v>4041</v>
      </c>
    </row>
    <row r="213" spans="1:8" x14ac:dyDescent="0.25">
      <c r="A213" s="8">
        <v>43000.814953703702</v>
      </c>
      <c r="B213" s="20" t="s">
        <v>580</v>
      </c>
      <c r="C213" s="20" t="s">
        <v>790</v>
      </c>
      <c r="D213" s="138">
        <v>2350000</v>
      </c>
      <c r="E213" s="20" t="s">
        <v>490</v>
      </c>
      <c r="F213" s="20" t="s">
        <v>491</v>
      </c>
      <c r="G213" s="8" t="str">
        <f t="shared" si="6"/>
        <v>BERLING GARY</v>
      </c>
      <c r="H213" s="20" t="str">
        <f t="shared" si="7"/>
        <v>4041</v>
      </c>
    </row>
    <row r="214" spans="1:8" x14ac:dyDescent="0.25">
      <c r="A214" s="8">
        <v>43000.816423611112</v>
      </c>
      <c r="B214" s="20" t="s">
        <v>580</v>
      </c>
      <c r="C214" s="20" t="s">
        <v>790</v>
      </c>
      <c r="D214" s="138">
        <v>2350000</v>
      </c>
      <c r="E214" s="20" t="s">
        <v>490</v>
      </c>
      <c r="F214" s="20" t="s">
        <v>491</v>
      </c>
      <c r="G214" s="8" t="str">
        <f t="shared" si="6"/>
        <v>BERLING GARY</v>
      </c>
      <c r="H214" s="20" t="str">
        <f t="shared" si="7"/>
        <v>4041</v>
      </c>
    </row>
    <row r="215" spans="1:8" x14ac:dyDescent="0.25">
      <c r="A215" s="8">
        <v>43000.817708333336</v>
      </c>
      <c r="B215" s="20" t="s">
        <v>580</v>
      </c>
      <c r="C215" s="20" t="s">
        <v>790</v>
      </c>
      <c r="D215" s="138">
        <v>2350000</v>
      </c>
      <c r="E215" s="20" t="s">
        <v>490</v>
      </c>
      <c r="F215" s="20" t="s">
        <v>491</v>
      </c>
      <c r="G215" s="8" t="str">
        <f t="shared" si="6"/>
        <v>BERLING GARY</v>
      </c>
      <c r="H215" s="20" t="str">
        <f t="shared" si="7"/>
        <v>4041</v>
      </c>
    </row>
    <row r="216" spans="1:8" x14ac:dyDescent="0.25">
      <c r="A216" s="8">
        <v>43000.822708333333</v>
      </c>
      <c r="B216" s="20" t="s">
        <v>642</v>
      </c>
      <c r="C216" s="20" t="s">
        <v>791</v>
      </c>
      <c r="D216" s="138">
        <v>2150000</v>
      </c>
      <c r="E216" s="20" t="s">
        <v>735</v>
      </c>
      <c r="F216" s="20" t="s">
        <v>736</v>
      </c>
      <c r="G216" s="8" t="str">
        <f t="shared" si="6"/>
        <v>SWANSON BRYCE</v>
      </c>
      <c r="H216" s="20" t="str">
        <f t="shared" si="7"/>
        <v>4012</v>
      </c>
    </row>
    <row r="217" spans="1:8" x14ac:dyDescent="0.25">
      <c r="A217" s="8">
        <v>43000.829467592594</v>
      </c>
      <c r="B217" s="20" t="s">
        <v>470</v>
      </c>
      <c r="C217" s="20" t="s">
        <v>792</v>
      </c>
      <c r="D217" s="138">
        <v>3190000</v>
      </c>
      <c r="E217" s="20" t="s">
        <v>385</v>
      </c>
      <c r="F217" s="20" t="s">
        <v>386</v>
      </c>
      <c r="G217" s="8" t="str">
        <f t="shared" si="6"/>
        <v>HART KEVIN</v>
      </c>
      <c r="H217" s="20" t="str">
        <f t="shared" si="7"/>
        <v>4063</v>
      </c>
    </row>
    <row r="218" spans="1:8" x14ac:dyDescent="0.25">
      <c r="A218" s="8">
        <v>43000.830358796295</v>
      </c>
      <c r="B218" s="20" t="s">
        <v>437</v>
      </c>
      <c r="C218" s="20" t="s">
        <v>793</v>
      </c>
      <c r="D218" s="138">
        <v>2600000</v>
      </c>
      <c r="E218" s="20" t="s">
        <v>531</v>
      </c>
      <c r="F218" s="20" t="s">
        <v>532</v>
      </c>
      <c r="G218" s="8" t="str">
        <f t="shared" si="6"/>
        <v>DAVIDSON DAVID</v>
      </c>
      <c r="H218" s="20" t="str">
        <f t="shared" si="7"/>
        <v>4018</v>
      </c>
    </row>
    <row r="219" spans="1:8" x14ac:dyDescent="0.25">
      <c r="A219" s="8">
        <v>43000.832060185188</v>
      </c>
      <c r="B219" s="20" t="s">
        <v>471</v>
      </c>
      <c r="C219" s="20" t="s">
        <v>605</v>
      </c>
      <c r="D219" s="138">
        <v>2350000</v>
      </c>
      <c r="E219" s="20" t="s">
        <v>490</v>
      </c>
      <c r="F219" s="20" t="s">
        <v>491</v>
      </c>
      <c r="G219" s="8" t="str">
        <f t="shared" si="6"/>
        <v>BERLING GARY</v>
      </c>
      <c r="H219" s="20" t="str">
        <f t="shared" si="7"/>
        <v>4042</v>
      </c>
    </row>
    <row r="220" spans="1:8" x14ac:dyDescent="0.25">
      <c r="A220" s="8">
        <v>43000.839872685188</v>
      </c>
      <c r="B220" s="20" t="s">
        <v>521</v>
      </c>
      <c r="C220" s="20" t="s">
        <v>794</v>
      </c>
      <c r="D220" s="138">
        <v>3340000</v>
      </c>
      <c r="E220" s="20" t="s">
        <v>533</v>
      </c>
      <c r="F220" s="20" t="s">
        <v>534</v>
      </c>
      <c r="G220" s="8" t="str">
        <f t="shared" si="6"/>
        <v>ELBAUM MIKE</v>
      </c>
      <c r="H220" s="20" t="str">
        <f t="shared" si="7"/>
        <v>4032</v>
      </c>
    </row>
    <row r="221" spans="1:8" x14ac:dyDescent="0.25">
      <c r="A221" s="8">
        <v>43000.847129629627</v>
      </c>
      <c r="B221" s="20" t="s">
        <v>412</v>
      </c>
      <c r="C221" s="20" t="s">
        <v>795</v>
      </c>
      <c r="D221" s="138">
        <v>2730000</v>
      </c>
      <c r="E221" s="20" t="s">
        <v>455</v>
      </c>
      <c r="F221" s="20" t="s">
        <v>456</v>
      </c>
      <c r="G221" s="8" t="str">
        <f t="shared" si="6"/>
        <v>YANG JAN</v>
      </c>
      <c r="H221" s="20" t="str">
        <f t="shared" si="7"/>
        <v>4043</v>
      </c>
    </row>
    <row r="222" spans="1:8" x14ac:dyDescent="0.25">
      <c r="A222" s="8">
        <v>43000.854988425926</v>
      </c>
      <c r="B222" s="20" t="s">
        <v>580</v>
      </c>
      <c r="C222" s="20" t="s">
        <v>796</v>
      </c>
      <c r="D222" s="138">
        <v>2350000</v>
      </c>
      <c r="E222" s="20" t="s">
        <v>490</v>
      </c>
      <c r="F222" s="20" t="s">
        <v>491</v>
      </c>
      <c r="G222" s="8" t="str">
        <f t="shared" si="6"/>
        <v>BERLING GARY</v>
      </c>
      <c r="H222" s="20" t="str">
        <f t="shared" si="7"/>
        <v>4041</v>
      </c>
    </row>
    <row r="223" spans="1:8" x14ac:dyDescent="0.25">
      <c r="A223" s="8">
        <v>43000.860983796294</v>
      </c>
      <c r="B223" s="20" t="s">
        <v>439</v>
      </c>
      <c r="C223" s="20" t="s">
        <v>797</v>
      </c>
      <c r="D223" s="138">
        <v>2600000</v>
      </c>
      <c r="E223" s="20" t="s">
        <v>531</v>
      </c>
      <c r="F223" s="20" t="s">
        <v>532</v>
      </c>
      <c r="G223" s="8" t="str">
        <f t="shared" si="6"/>
        <v>DAVIDSON DAVID</v>
      </c>
      <c r="H223" s="20" t="str">
        <f t="shared" si="7"/>
        <v>4017</v>
      </c>
    </row>
    <row r="224" spans="1:8" x14ac:dyDescent="0.25">
      <c r="A224" s="8">
        <v>43000.872349537036</v>
      </c>
      <c r="B224" t="s">
        <v>473</v>
      </c>
      <c r="C224" t="s">
        <v>798</v>
      </c>
      <c r="D224" s="138">
        <v>3190000</v>
      </c>
      <c r="E224" t="s">
        <v>385</v>
      </c>
      <c r="F224" s="20" t="s">
        <v>386</v>
      </c>
      <c r="G224" s="8" t="str">
        <f t="shared" si="6"/>
        <v>HART KEVIN</v>
      </c>
      <c r="H224" s="20" t="str">
        <f t="shared" si="7"/>
        <v>4064</v>
      </c>
    </row>
    <row r="225" spans="1:8" x14ac:dyDescent="0.25">
      <c r="A225" s="8">
        <v>43000.876064814816</v>
      </c>
      <c r="B225" t="s">
        <v>471</v>
      </c>
      <c r="C225" t="s">
        <v>799</v>
      </c>
      <c r="D225" s="138">
        <v>2230000</v>
      </c>
      <c r="E225" t="s">
        <v>745</v>
      </c>
      <c r="F225" s="20" t="s">
        <v>190</v>
      </c>
      <c r="G225" s="8" t="str">
        <f t="shared" si="6"/>
        <v>SMITH MICHAEL</v>
      </c>
      <c r="H225" s="20" t="str">
        <f t="shared" si="7"/>
        <v>4042</v>
      </c>
    </row>
    <row r="226" spans="1:8" x14ac:dyDescent="0.25">
      <c r="A226" s="8">
        <v>43000.880509259259</v>
      </c>
      <c r="B226" t="s">
        <v>519</v>
      </c>
      <c r="C226" t="s">
        <v>800</v>
      </c>
      <c r="D226" s="138">
        <v>3340000</v>
      </c>
      <c r="E226" t="s">
        <v>533</v>
      </c>
      <c r="F226" s="20" t="s">
        <v>534</v>
      </c>
      <c r="G226" s="8" t="str">
        <f t="shared" si="6"/>
        <v>ELBAUM MIKE</v>
      </c>
      <c r="H226" s="20" t="str">
        <f t="shared" si="7"/>
        <v>4031</v>
      </c>
    </row>
    <row r="227" spans="1:8" x14ac:dyDescent="0.25">
      <c r="A227" s="8">
        <v>43000.886608796296</v>
      </c>
      <c r="B227" t="s">
        <v>454</v>
      </c>
      <c r="C227" t="s">
        <v>801</v>
      </c>
      <c r="D227" s="138">
        <v>3500000</v>
      </c>
      <c r="E227" t="s">
        <v>802</v>
      </c>
      <c r="F227" s="20" t="s">
        <v>803</v>
      </c>
      <c r="G227" s="8" t="str">
        <f t="shared" si="6"/>
        <v>GUNTHIER ERIC</v>
      </c>
      <c r="H227" s="20" t="str">
        <f t="shared" si="7"/>
        <v>4044</v>
      </c>
    </row>
    <row r="228" spans="1:8" x14ac:dyDescent="0.25">
      <c r="A228" s="8">
        <v>43000.893460648149</v>
      </c>
      <c r="B228" t="s">
        <v>580</v>
      </c>
      <c r="C228" t="s">
        <v>804</v>
      </c>
      <c r="D228" s="138">
        <v>2230000</v>
      </c>
      <c r="E228" t="s">
        <v>745</v>
      </c>
      <c r="F228" s="20" t="s">
        <v>190</v>
      </c>
      <c r="G228" s="8" t="str">
        <f t="shared" si="6"/>
        <v>SMITH MICHAEL</v>
      </c>
      <c r="H228" s="20" t="str">
        <f t="shared" si="7"/>
        <v>4041</v>
      </c>
    </row>
    <row r="229" spans="1:8" x14ac:dyDescent="0.25">
      <c r="A229" s="8">
        <v>43000.903402777774</v>
      </c>
      <c r="B229" t="s">
        <v>437</v>
      </c>
      <c r="C229" t="s">
        <v>805</v>
      </c>
      <c r="D229" s="138">
        <v>2620000</v>
      </c>
      <c r="E229" t="s">
        <v>383</v>
      </c>
      <c r="F229" s="20" t="s">
        <v>384</v>
      </c>
      <c r="G229" s="8" t="str">
        <f t="shared" si="6"/>
        <v>PERKINS DARREN</v>
      </c>
      <c r="H229" s="20" t="str">
        <f t="shared" si="7"/>
        <v>4018</v>
      </c>
    </row>
    <row r="230" spans="1:8" x14ac:dyDescent="0.25">
      <c r="A230" s="8">
        <v>43000.907210648147</v>
      </c>
      <c r="B230" t="s">
        <v>470</v>
      </c>
      <c r="C230" t="s">
        <v>806</v>
      </c>
      <c r="D230" s="138">
        <v>3190000</v>
      </c>
      <c r="E230" t="s">
        <v>385</v>
      </c>
      <c r="F230" s="20" t="s">
        <v>386</v>
      </c>
      <c r="G230" s="8" t="str">
        <f t="shared" si="6"/>
        <v>HART KEVIN</v>
      </c>
      <c r="H230" s="20" t="str">
        <f t="shared" si="7"/>
        <v>4063</v>
      </c>
    </row>
    <row r="231" spans="1:8" x14ac:dyDescent="0.25">
      <c r="A231" s="8">
        <v>43000.914895833332</v>
      </c>
      <c r="B231" t="s">
        <v>471</v>
      </c>
      <c r="C231" t="s">
        <v>807</v>
      </c>
      <c r="D231" s="138">
        <v>2230000</v>
      </c>
      <c r="E231" t="s">
        <v>745</v>
      </c>
      <c r="F231" s="20" t="s">
        <v>190</v>
      </c>
      <c r="G231" s="8" t="str">
        <f t="shared" si="6"/>
        <v>SMITH MICHAEL</v>
      </c>
      <c r="H231" s="20" t="str">
        <f t="shared" si="7"/>
        <v>4042</v>
      </c>
    </row>
    <row r="232" spans="1:8" x14ac:dyDescent="0.25">
      <c r="A232" s="8">
        <v>43000.921377314815</v>
      </c>
      <c r="B232" t="s">
        <v>521</v>
      </c>
      <c r="C232" t="s">
        <v>808</v>
      </c>
      <c r="D232" s="138">
        <v>3340000</v>
      </c>
      <c r="E232" t="s">
        <v>533</v>
      </c>
      <c r="F232" s="20" t="s">
        <v>534</v>
      </c>
      <c r="G232" s="8" t="str">
        <f t="shared" si="6"/>
        <v>ELBAUM MIKE</v>
      </c>
      <c r="H232" s="20" t="str">
        <f t="shared" si="7"/>
        <v>4032</v>
      </c>
    </row>
    <row r="233" spans="1:8" x14ac:dyDescent="0.25">
      <c r="A233" s="8">
        <v>43000.932789351849</v>
      </c>
      <c r="B233" t="s">
        <v>412</v>
      </c>
      <c r="C233" t="s">
        <v>809</v>
      </c>
      <c r="D233" s="138">
        <v>3500000</v>
      </c>
      <c r="E233" t="s">
        <v>802</v>
      </c>
      <c r="F233" s="20" t="s">
        <v>803</v>
      </c>
      <c r="G233" s="8" t="str">
        <f t="shared" si="6"/>
        <v>GUNTHIER ERIC</v>
      </c>
      <c r="H233" s="20" t="str">
        <f t="shared" si="7"/>
        <v>4043</v>
      </c>
    </row>
    <row r="234" spans="1:8" x14ac:dyDescent="0.25">
      <c r="A234" s="8">
        <v>43000.934710648151</v>
      </c>
      <c r="B234" t="s">
        <v>580</v>
      </c>
      <c r="C234" t="s">
        <v>810</v>
      </c>
      <c r="D234" s="138">
        <v>2230000</v>
      </c>
      <c r="E234" t="s">
        <v>745</v>
      </c>
      <c r="F234" s="20" t="s">
        <v>190</v>
      </c>
      <c r="G234" s="8" t="str">
        <f t="shared" si="6"/>
        <v>SMITH MICHAEL</v>
      </c>
      <c r="H234" s="20" t="str">
        <f t="shared" si="7"/>
        <v>4041</v>
      </c>
    </row>
    <row r="235" spans="1:8" x14ac:dyDescent="0.25">
      <c r="A235" s="8">
        <v>43000.947893518518</v>
      </c>
      <c r="B235" t="s">
        <v>473</v>
      </c>
      <c r="C235" t="s">
        <v>811</v>
      </c>
      <c r="D235" s="138">
        <v>3320000</v>
      </c>
      <c r="E235" t="s">
        <v>391</v>
      </c>
      <c r="F235" s="20" t="s">
        <v>392</v>
      </c>
      <c r="G235" s="8" t="str">
        <f t="shared" si="6"/>
        <v>NICHOLSON WESLEY</v>
      </c>
      <c r="H235" s="20" t="str">
        <f t="shared" si="7"/>
        <v>4064</v>
      </c>
    </row>
    <row r="236" spans="1:8" x14ac:dyDescent="0.25">
      <c r="A236" s="8">
        <v>43000.952962962961</v>
      </c>
      <c r="B236" t="s">
        <v>439</v>
      </c>
      <c r="C236" t="s">
        <v>812</v>
      </c>
      <c r="D236" s="138">
        <v>2620000</v>
      </c>
      <c r="E236" t="s">
        <v>383</v>
      </c>
      <c r="F236" s="20" t="s">
        <v>384</v>
      </c>
      <c r="G236" s="8" t="str">
        <f t="shared" si="6"/>
        <v>PERKINS DARREN</v>
      </c>
      <c r="H236" s="20" t="str">
        <f t="shared" si="7"/>
        <v>4017</v>
      </c>
    </row>
    <row r="237" spans="1:8" x14ac:dyDescent="0.25">
      <c r="A237" s="8">
        <v>43000.957060185188</v>
      </c>
      <c r="B237" t="s">
        <v>471</v>
      </c>
      <c r="C237" t="s">
        <v>606</v>
      </c>
      <c r="D237" s="138">
        <v>2230000</v>
      </c>
      <c r="E237" t="s">
        <v>745</v>
      </c>
      <c r="F237" s="20" t="s">
        <v>190</v>
      </c>
      <c r="G237" s="8" t="str">
        <f t="shared" si="6"/>
        <v>SMITH MICHAEL</v>
      </c>
      <c r="H237" s="20" t="str">
        <f t="shared" si="7"/>
        <v>4042</v>
      </c>
    </row>
    <row r="238" spans="1:8" x14ac:dyDescent="0.25">
      <c r="A238" s="8">
        <v>43000.963599537034</v>
      </c>
      <c r="B238" t="s">
        <v>519</v>
      </c>
      <c r="C238" t="s">
        <v>813</v>
      </c>
      <c r="D238" s="138">
        <v>3340000</v>
      </c>
      <c r="E238" t="s">
        <v>533</v>
      </c>
      <c r="F238" s="20" t="s">
        <v>534</v>
      </c>
      <c r="G238" s="8" t="str">
        <f t="shared" si="6"/>
        <v>ELBAUM MIKE</v>
      </c>
      <c r="H238" s="20" t="str">
        <f t="shared" si="7"/>
        <v>4031</v>
      </c>
    </row>
    <row r="239" spans="1:8" x14ac:dyDescent="0.25">
      <c r="A239" s="8">
        <v>43000.966180555559</v>
      </c>
      <c r="B239" t="s">
        <v>454</v>
      </c>
      <c r="C239" t="s">
        <v>814</v>
      </c>
      <c r="D239" s="138">
        <v>2730000</v>
      </c>
      <c r="E239" t="s">
        <v>455</v>
      </c>
      <c r="F239" s="20" t="s">
        <v>456</v>
      </c>
      <c r="G239" s="8" t="str">
        <f t="shared" si="6"/>
        <v>YANG JAN</v>
      </c>
      <c r="H239" s="20" t="str">
        <f t="shared" si="7"/>
        <v>4044</v>
      </c>
    </row>
    <row r="240" spans="1:8" x14ac:dyDescent="0.25">
      <c r="A240" s="8">
        <v>43000.975023148145</v>
      </c>
      <c r="B240" t="s">
        <v>519</v>
      </c>
      <c r="C240" t="s">
        <v>813</v>
      </c>
      <c r="D240" s="138">
        <v>3340000</v>
      </c>
      <c r="E240" t="s">
        <v>533</v>
      </c>
      <c r="F240" s="20" t="s">
        <v>534</v>
      </c>
      <c r="G240" s="8" t="str">
        <f t="shared" si="6"/>
        <v>ELBAUM MIKE</v>
      </c>
      <c r="H240" s="20" t="str">
        <f t="shared" si="7"/>
        <v>4031</v>
      </c>
    </row>
    <row r="241" spans="1:8" x14ac:dyDescent="0.25">
      <c r="A241" s="8">
        <v>43000.976712962962</v>
      </c>
      <c r="B241" t="s">
        <v>580</v>
      </c>
      <c r="C241" t="s">
        <v>815</v>
      </c>
      <c r="D241" s="138">
        <v>2230000</v>
      </c>
      <c r="E241" t="s">
        <v>745</v>
      </c>
      <c r="F241" s="20" t="s">
        <v>190</v>
      </c>
      <c r="G241" s="8" t="str">
        <f t="shared" si="6"/>
        <v>SMITH MICHAEL</v>
      </c>
      <c r="H241" s="20" t="str">
        <f t="shared" si="7"/>
        <v>4041</v>
      </c>
    </row>
    <row r="242" spans="1:8" x14ac:dyDescent="0.25">
      <c r="A242" s="8">
        <v>43000.988900462966</v>
      </c>
      <c r="B242" t="s">
        <v>437</v>
      </c>
      <c r="C242" t="s">
        <v>816</v>
      </c>
      <c r="D242" s="138">
        <v>2620000</v>
      </c>
      <c r="E242" t="s">
        <v>383</v>
      </c>
      <c r="F242" s="20" t="s">
        <v>384</v>
      </c>
      <c r="G242" s="8" t="str">
        <f t="shared" si="6"/>
        <v>PERKINS DARREN</v>
      </c>
      <c r="H242" s="20" t="str">
        <f t="shared" si="7"/>
        <v>4018</v>
      </c>
    </row>
    <row r="243" spans="1:8" x14ac:dyDescent="0.25">
      <c r="A243" s="8">
        <v>43000.994756944441</v>
      </c>
      <c r="B243" t="s">
        <v>470</v>
      </c>
      <c r="C243" t="s">
        <v>817</v>
      </c>
      <c r="D243" s="138">
        <v>3320000</v>
      </c>
      <c r="E243" t="s">
        <v>391</v>
      </c>
      <c r="F243" s="20" t="s">
        <v>392</v>
      </c>
      <c r="G243" s="8" t="str">
        <f t="shared" si="6"/>
        <v>NICHOLSON WESLEY</v>
      </c>
      <c r="H243" s="20" t="str">
        <f t="shared" si="7"/>
        <v>4063</v>
      </c>
    </row>
    <row r="244" spans="1:8" x14ac:dyDescent="0.25">
      <c r="A244" s="8">
        <v>43001.004895833335</v>
      </c>
      <c r="B244" t="s">
        <v>521</v>
      </c>
      <c r="C244" t="s">
        <v>818</v>
      </c>
      <c r="D244" s="138">
        <v>3340000</v>
      </c>
      <c r="E244" t="s">
        <v>533</v>
      </c>
      <c r="F244" s="20" t="s">
        <v>534</v>
      </c>
      <c r="G244" s="8" t="str">
        <f t="shared" si="6"/>
        <v>ELBAUM MIKE</v>
      </c>
      <c r="H244" s="20" t="str">
        <f t="shared" si="7"/>
        <v>4032</v>
      </c>
    </row>
    <row r="245" spans="1:8" x14ac:dyDescent="0.25">
      <c r="A245" s="8">
        <v>43001.013865740744</v>
      </c>
      <c r="B245" t="s">
        <v>412</v>
      </c>
      <c r="C245" t="s">
        <v>819</v>
      </c>
      <c r="D245" s="138">
        <v>2730000</v>
      </c>
      <c r="E245" t="s">
        <v>455</v>
      </c>
      <c r="F245" s="20" t="s">
        <v>456</v>
      </c>
      <c r="G245" s="8" t="str">
        <f t="shared" si="6"/>
        <v>YANG JAN</v>
      </c>
      <c r="H245" s="20" t="str">
        <f t="shared" si="7"/>
        <v>4043</v>
      </c>
    </row>
    <row r="246" spans="1:8" x14ac:dyDescent="0.25">
      <c r="A246" s="8">
        <v>43001.027986111112</v>
      </c>
      <c r="B246" t="s">
        <v>439</v>
      </c>
      <c r="C246" t="s">
        <v>820</v>
      </c>
      <c r="D246" s="138">
        <v>2620000</v>
      </c>
      <c r="E246" t="s">
        <v>383</v>
      </c>
      <c r="F246" s="20" t="s">
        <v>384</v>
      </c>
      <c r="G246" s="8" t="str">
        <f t="shared" si="6"/>
        <v>PERKINS DARREN</v>
      </c>
      <c r="H246" s="20" t="str">
        <f t="shared" si="7"/>
        <v>4017</v>
      </c>
    </row>
    <row r="247" spans="1:8" x14ac:dyDescent="0.25">
      <c r="A247" s="8">
        <v>43001.039340277777</v>
      </c>
      <c r="B247" t="s">
        <v>473</v>
      </c>
      <c r="C247" t="s">
        <v>821</v>
      </c>
      <c r="D247" s="138">
        <v>3190000</v>
      </c>
      <c r="E247" t="s">
        <v>385</v>
      </c>
      <c r="F247" s="20" t="s">
        <v>386</v>
      </c>
      <c r="G247" s="8" t="str">
        <f t="shared" si="6"/>
        <v>HART KEVIN</v>
      </c>
      <c r="H247" s="20" t="str">
        <f t="shared" si="7"/>
        <v>4064</v>
      </c>
    </row>
    <row r="248" spans="1:8" x14ac:dyDescent="0.25">
      <c r="A248" s="8">
        <v>43001.046226851853</v>
      </c>
      <c r="B248" t="s">
        <v>519</v>
      </c>
      <c r="C248" t="s">
        <v>608</v>
      </c>
      <c r="D248" s="138">
        <v>3340000</v>
      </c>
      <c r="E248" t="s">
        <v>533</v>
      </c>
      <c r="F248" s="20" t="s">
        <v>534</v>
      </c>
      <c r="G248" s="8" t="str">
        <f t="shared" si="6"/>
        <v>ELBAUM MIKE</v>
      </c>
      <c r="H248" s="20" t="str">
        <f t="shared" si="7"/>
        <v>4031</v>
      </c>
    </row>
    <row r="249" spans="1:8" x14ac:dyDescent="0.25">
      <c r="A249" s="8">
        <v>43001.048101851855</v>
      </c>
      <c r="B249" t="s">
        <v>454</v>
      </c>
      <c r="C249" t="s">
        <v>607</v>
      </c>
      <c r="D249" s="138">
        <v>2730000</v>
      </c>
      <c r="E249" t="s">
        <v>455</v>
      </c>
      <c r="F249" s="20" t="s">
        <v>456</v>
      </c>
      <c r="G249" s="8" t="str">
        <f t="shared" si="6"/>
        <v>YANG JAN</v>
      </c>
      <c r="H249" s="20" t="str">
        <f t="shared" si="7"/>
        <v>4044</v>
      </c>
    </row>
    <row r="250" spans="1:8" x14ac:dyDescent="0.25">
      <c r="A250" s="8">
        <v>43001.070138888892</v>
      </c>
      <c r="B250" t="s">
        <v>437</v>
      </c>
      <c r="C250" t="s">
        <v>822</v>
      </c>
      <c r="D250" s="138">
        <v>2620000</v>
      </c>
      <c r="E250" t="s">
        <v>383</v>
      </c>
      <c r="F250" s="20" t="s">
        <v>384</v>
      </c>
      <c r="G250" s="8" t="str">
        <f t="shared" si="6"/>
        <v>PERKINS DARREN</v>
      </c>
      <c r="H250" s="20" t="str">
        <f t="shared" si="7"/>
        <v>4018</v>
      </c>
    </row>
    <row r="251" spans="1:8" x14ac:dyDescent="0.25">
      <c r="A251" s="8">
        <v>43001.080046296294</v>
      </c>
      <c r="B251" t="s">
        <v>470</v>
      </c>
      <c r="C251" t="s">
        <v>823</v>
      </c>
      <c r="D251" s="138">
        <v>3190000</v>
      </c>
      <c r="E251" t="s">
        <v>385</v>
      </c>
      <c r="F251" s="20" t="s">
        <v>386</v>
      </c>
      <c r="G251" s="8" t="str">
        <f t="shared" si="6"/>
        <v>HART KEVIN</v>
      </c>
      <c r="H251" s="20" t="str">
        <f t="shared" si="7"/>
        <v>4063</v>
      </c>
    </row>
    <row r="252" spans="1:8" x14ac:dyDescent="0.25">
      <c r="A252" s="8">
        <v>43001.08734953704</v>
      </c>
      <c r="B252" t="s">
        <v>521</v>
      </c>
      <c r="C252" t="s">
        <v>824</v>
      </c>
      <c r="D252" s="138">
        <v>3340000</v>
      </c>
      <c r="E252" t="s">
        <v>533</v>
      </c>
      <c r="F252" s="20" t="s">
        <v>534</v>
      </c>
      <c r="G252" s="8" t="str">
        <f t="shared" si="6"/>
        <v>ELBAUM MIKE</v>
      </c>
      <c r="H252" s="20" t="str">
        <f t="shared" si="7"/>
        <v>4032</v>
      </c>
    </row>
    <row r="253" spans="1:8" x14ac:dyDescent="0.25">
      <c r="A253" s="8">
        <v>43001.114247685182</v>
      </c>
      <c r="B253" t="s">
        <v>520</v>
      </c>
      <c r="C253" t="s">
        <v>825</v>
      </c>
      <c r="D253" s="138">
        <v>3120000</v>
      </c>
      <c r="E253" t="s">
        <v>826</v>
      </c>
      <c r="F253" s="20" t="s">
        <v>827</v>
      </c>
      <c r="G253" s="8" t="str">
        <f t="shared" si="6"/>
        <v>THOMPSON LESTER</v>
      </c>
      <c r="H253" s="20" t="str">
        <f t="shared" si="7"/>
        <v>4009</v>
      </c>
    </row>
    <row r="254" spans="1:8" x14ac:dyDescent="0.25">
      <c r="A254" s="8">
        <v>43000.034861111111</v>
      </c>
      <c r="B254" t="s">
        <v>423</v>
      </c>
      <c r="C254" t="s">
        <v>537</v>
      </c>
      <c r="D254" s="138">
        <v>2440000</v>
      </c>
      <c r="E254" t="s">
        <v>535</v>
      </c>
      <c r="F254" s="20" t="s">
        <v>536</v>
      </c>
      <c r="G254" s="8" t="str">
        <f t="shared" si="6"/>
        <v>LOPES KIMBERLY</v>
      </c>
      <c r="H254" s="20" t="str">
        <f t="shared" si="7"/>
        <v>4024</v>
      </c>
    </row>
    <row r="255" spans="1:8" x14ac:dyDescent="0.25">
      <c r="A255" s="8">
        <v>43000.047627314816</v>
      </c>
      <c r="B255" t="s">
        <v>372</v>
      </c>
      <c r="C255" t="s">
        <v>539</v>
      </c>
      <c r="D255" s="138">
        <v>890000</v>
      </c>
      <c r="E255" t="s">
        <v>369</v>
      </c>
      <c r="F255" s="20" t="s">
        <v>370</v>
      </c>
      <c r="G255" s="8" t="str">
        <f t="shared" si="6"/>
        <v>LOZA FIDEL</v>
      </c>
      <c r="H255" s="20" t="str">
        <f t="shared" si="7"/>
        <v>4030</v>
      </c>
    </row>
    <row r="256" spans="1:8" x14ac:dyDescent="0.25">
      <c r="A256" s="8">
        <v>43000.055752314816</v>
      </c>
      <c r="B256" t="s">
        <v>520</v>
      </c>
      <c r="C256" t="s">
        <v>522</v>
      </c>
      <c r="D256" s="138">
        <v>2620000</v>
      </c>
      <c r="E256" t="s">
        <v>383</v>
      </c>
      <c r="F256" s="20" t="s">
        <v>384</v>
      </c>
      <c r="G256" s="8" t="str">
        <f t="shared" si="6"/>
        <v>PERKINS DARREN</v>
      </c>
      <c r="H256" s="20" t="str">
        <f t="shared" si="7"/>
        <v>4009</v>
      </c>
    </row>
    <row r="257" spans="1:8" x14ac:dyDescent="0.25">
      <c r="A257" s="8">
        <v>43000.067048611112</v>
      </c>
      <c r="B257" t="s">
        <v>525</v>
      </c>
      <c r="C257" t="s">
        <v>540</v>
      </c>
      <c r="D257" s="138">
        <v>3340000</v>
      </c>
      <c r="E257" t="s">
        <v>533</v>
      </c>
      <c r="F257" s="20" t="s">
        <v>534</v>
      </c>
      <c r="G257" s="8" t="str">
        <f t="shared" si="6"/>
        <v>ELBAUM MIKE</v>
      </c>
      <c r="H257" s="20" t="str">
        <f t="shared" si="7"/>
        <v>4014</v>
      </c>
    </row>
    <row r="258" spans="1:8" x14ac:dyDescent="0.25">
      <c r="A258" s="8">
        <v>43000.073518518519</v>
      </c>
      <c r="B258" t="s">
        <v>401</v>
      </c>
      <c r="C258" t="s">
        <v>541</v>
      </c>
      <c r="D258" s="138">
        <v>3320000</v>
      </c>
      <c r="E258" t="s">
        <v>391</v>
      </c>
      <c r="F258" s="20" t="s">
        <v>392</v>
      </c>
      <c r="G258" s="8" t="str">
        <f t="shared" si="6"/>
        <v>NICHOLSON WESLEY</v>
      </c>
      <c r="H258" s="20" t="str">
        <f t="shared" si="7"/>
        <v>4058</v>
      </c>
    </row>
    <row r="259" spans="1:8" x14ac:dyDescent="0.25">
      <c r="A259" s="8">
        <v>43000.089803240742</v>
      </c>
      <c r="B259" t="s">
        <v>438</v>
      </c>
      <c r="C259" t="s">
        <v>542</v>
      </c>
      <c r="D259" s="138">
        <v>2620000</v>
      </c>
      <c r="E259" t="s">
        <v>383</v>
      </c>
      <c r="F259" s="20" t="s">
        <v>384</v>
      </c>
      <c r="G259" s="8" t="str">
        <f t="shared" ref="G259:G273" si="8">E259&amp;" "&amp;F259</f>
        <v>PERKINS DARREN</v>
      </c>
      <c r="H259" s="20" t="str">
        <f t="shared" ref="H259:H273" si="9">MID(B259,13,4)</f>
        <v>4010</v>
      </c>
    </row>
    <row r="260" spans="1:8" x14ac:dyDescent="0.25">
      <c r="A260" s="8">
        <v>43000.111990740741</v>
      </c>
      <c r="B260" t="s">
        <v>472</v>
      </c>
      <c r="C260" t="s">
        <v>543</v>
      </c>
      <c r="D260" s="138">
        <v>1830000</v>
      </c>
      <c r="E260" t="s">
        <v>413</v>
      </c>
      <c r="F260" s="20" t="s">
        <v>414</v>
      </c>
      <c r="G260" s="8" t="str">
        <f t="shared" si="8"/>
        <v>YORK EDGAR</v>
      </c>
      <c r="H260" s="20" t="str">
        <f t="shared" si="9"/>
        <v>4001</v>
      </c>
    </row>
    <row r="261" spans="1:8" x14ac:dyDescent="0.25">
      <c r="A261" s="8">
        <v>43000.112986111111</v>
      </c>
      <c r="B261" t="s">
        <v>416</v>
      </c>
      <c r="C261" t="s">
        <v>544</v>
      </c>
      <c r="D261" s="138">
        <v>900000</v>
      </c>
      <c r="E261" t="s">
        <v>476</v>
      </c>
      <c r="F261" s="20" t="s">
        <v>477</v>
      </c>
      <c r="G261" s="8" t="str">
        <f t="shared" si="8"/>
        <v>ROCHA YAOTL</v>
      </c>
      <c r="H261" s="20" t="str">
        <f t="shared" si="9"/>
        <v>4057</v>
      </c>
    </row>
    <row r="262" spans="1:8" x14ac:dyDescent="0.25">
      <c r="A262" s="8">
        <v>42999.026921296296</v>
      </c>
      <c r="B262" t="s">
        <v>471</v>
      </c>
      <c r="C262" t="s">
        <v>496</v>
      </c>
      <c r="D262" s="138">
        <v>2620000</v>
      </c>
      <c r="E262" t="s">
        <v>383</v>
      </c>
      <c r="F262" s="20" t="s">
        <v>384</v>
      </c>
      <c r="G262" s="8" t="str">
        <f t="shared" si="8"/>
        <v>PERKINS DARREN</v>
      </c>
      <c r="H262" s="20" t="str">
        <f t="shared" si="9"/>
        <v>4042</v>
      </c>
    </row>
    <row r="263" spans="1:8" x14ac:dyDescent="0.25">
      <c r="A263" s="8">
        <v>42999.029710648145</v>
      </c>
      <c r="B263" t="s">
        <v>422</v>
      </c>
      <c r="C263" t="s">
        <v>474</v>
      </c>
      <c r="D263" s="138">
        <v>3310000</v>
      </c>
      <c r="E263" t="s">
        <v>494</v>
      </c>
      <c r="F263" s="20" t="s">
        <v>495</v>
      </c>
      <c r="G263" s="8" t="str">
        <f t="shared" si="8"/>
        <v>ANDERS STEVEN</v>
      </c>
      <c r="H263" s="20" t="str">
        <f t="shared" si="9"/>
        <v>4023</v>
      </c>
    </row>
    <row r="264" spans="1:8" x14ac:dyDescent="0.25">
      <c r="A264" s="8">
        <v>42999.031157407408</v>
      </c>
      <c r="B264" t="s">
        <v>422</v>
      </c>
      <c r="C264" t="s">
        <v>474</v>
      </c>
      <c r="D264" s="138">
        <v>3310000</v>
      </c>
      <c r="E264" t="s">
        <v>494</v>
      </c>
      <c r="F264" s="20" t="s">
        <v>495</v>
      </c>
      <c r="G264" s="8" t="str">
        <f t="shared" si="8"/>
        <v>ANDERS STEVEN</v>
      </c>
      <c r="H264" s="20" t="str">
        <f t="shared" si="9"/>
        <v>4023</v>
      </c>
    </row>
    <row r="265" spans="1:8" x14ac:dyDescent="0.25">
      <c r="A265" s="8">
        <v>42999.038171296299</v>
      </c>
      <c r="B265" t="s">
        <v>436</v>
      </c>
      <c r="C265" t="s">
        <v>497</v>
      </c>
      <c r="D265" s="138">
        <v>890000</v>
      </c>
      <c r="E265" t="s">
        <v>369</v>
      </c>
      <c r="F265" s="20" t="s">
        <v>370</v>
      </c>
      <c r="G265" s="8" t="str">
        <f t="shared" si="8"/>
        <v>LOZA FIDEL</v>
      </c>
      <c r="H265" s="20" t="str">
        <f t="shared" si="9"/>
        <v>4039</v>
      </c>
    </row>
    <row r="266" spans="1:8" x14ac:dyDescent="0.25">
      <c r="A266" s="8">
        <v>42999.046215277776</v>
      </c>
      <c r="B266" t="s">
        <v>473</v>
      </c>
      <c r="C266" t="s">
        <v>498</v>
      </c>
      <c r="D266" s="138">
        <v>2680000</v>
      </c>
      <c r="E266" t="s">
        <v>381</v>
      </c>
      <c r="F266" s="20" t="s">
        <v>382</v>
      </c>
      <c r="G266" s="8" t="str">
        <f t="shared" si="8"/>
        <v>DUNCAN SHEILA</v>
      </c>
      <c r="H266" s="20" t="str">
        <f t="shared" si="9"/>
        <v>4064</v>
      </c>
    </row>
    <row r="267" spans="1:8" x14ac:dyDescent="0.25">
      <c r="A267" s="8">
        <v>42999.056111111109</v>
      </c>
      <c r="B267" t="s">
        <v>470</v>
      </c>
      <c r="C267" t="s">
        <v>498</v>
      </c>
      <c r="D267" s="138">
        <v>2680000</v>
      </c>
      <c r="E267" t="s">
        <v>381</v>
      </c>
      <c r="F267" s="20" t="s">
        <v>382</v>
      </c>
      <c r="G267" s="8" t="str">
        <f t="shared" si="8"/>
        <v>DUNCAN SHEILA</v>
      </c>
      <c r="H267" s="20" t="str">
        <f t="shared" si="9"/>
        <v>4063</v>
      </c>
    </row>
    <row r="268" spans="1:8" x14ac:dyDescent="0.25">
      <c r="A268" s="8">
        <v>42999.058923611112</v>
      </c>
      <c r="B268" t="s">
        <v>412</v>
      </c>
      <c r="C268" t="s">
        <v>475</v>
      </c>
      <c r="D268" s="138">
        <v>3190000</v>
      </c>
      <c r="E268" t="s">
        <v>385</v>
      </c>
      <c r="F268" s="20" t="s">
        <v>386</v>
      </c>
      <c r="G268" s="8" t="str">
        <f t="shared" si="8"/>
        <v>HART KEVIN</v>
      </c>
      <c r="H268" s="20" t="str">
        <f t="shared" si="9"/>
        <v>4043</v>
      </c>
    </row>
    <row r="269" spans="1:8" x14ac:dyDescent="0.25">
      <c r="A269" s="8">
        <v>42999.067094907405</v>
      </c>
      <c r="B269" t="s">
        <v>440</v>
      </c>
      <c r="C269" t="s">
        <v>499</v>
      </c>
      <c r="D269" s="138">
        <v>890000</v>
      </c>
      <c r="E269" t="s">
        <v>369</v>
      </c>
      <c r="F269" s="20" t="s">
        <v>370</v>
      </c>
      <c r="G269" s="8" t="str">
        <f t="shared" si="8"/>
        <v>LOZA FIDEL</v>
      </c>
      <c r="H269" s="20" t="str">
        <f t="shared" si="9"/>
        <v>4040</v>
      </c>
    </row>
    <row r="270" spans="1:8" x14ac:dyDescent="0.25">
      <c r="A270" s="8">
        <v>42999.070891203701</v>
      </c>
      <c r="B270" t="s">
        <v>473</v>
      </c>
      <c r="C270" t="s">
        <v>498</v>
      </c>
      <c r="D270" s="138">
        <v>2680000</v>
      </c>
      <c r="E270" t="s">
        <v>381</v>
      </c>
      <c r="F270" s="20" t="s">
        <v>382</v>
      </c>
      <c r="G270" s="8" t="str">
        <f t="shared" si="8"/>
        <v>DUNCAN SHEILA</v>
      </c>
      <c r="H270" s="20" t="str">
        <f t="shared" si="9"/>
        <v>4064</v>
      </c>
    </row>
    <row r="271" spans="1:8" x14ac:dyDescent="0.25">
      <c r="A271" s="8">
        <v>42999.07104166667</v>
      </c>
      <c r="B271" t="s">
        <v>412</v>
      </c>
      <c r="C271" t="s">
        <v>475</v>
      </c>
      <c r="D271" s="138">
        <v>3190000</v>
      </c>
      <c r="E271" t="s">
        <v>385</v>
      </c>
      <c r="F271" s="20" t="s">
        <v>386</v>
      </c>
      <c r="G271" s="8" t="str">
        <f t="shared" si="8"/>
        <v>HART KEVIN</v>
      </c>
      <c r="H271" s="20" t="str">
        <f t="shared" si="9"/>
        <v>4043</v>
      </c>
    </row>
    <row r="272" spans="1:8" x14ac:dyDescent="0.25">
      <c r="A272" s="8">
        <v>42999.089884259258</v>
      </c>
      <c r="B272" t="s">
        <v>454</v>
      </c>
      <c r="C272" t="s">
        <v>500</v>
      </c>
      <c r="D272" s="138">
        <v>3190000</v>
      </c>
      <c r="E272" t="s">
        <v>385</v>
      </c>
      <c r="F272" s="20" t="s">
        <v>386</v>
      </c>
      <c r="G272" s="8" t="str">
        <f t="shared" si="8"/>
        <v>HART KEVIN</v>
      </c>
      <c r="H272" s="20" t="str">
        <f t="shared" si="9"/>
        <v>4044</v>
      </c>
    </row>
    <row r="273" spans="1:8" x14ac:dyDescent="0.25">
      <c r="A273" s="8">
        <v>42999.114386574074</v>
      </c>
      <c r="B273" t="s">
        <v>424</v>
      </c>
      <c r="C273" t="s">
        <v>501</v>
      </c>
      <c r="D273" s="138">
        <v>1830000</v>
      </c>
      <c r="E273" t="s">
        <v>413</v>
      </c>
      <c r="F273" s="20" t="s">
        <v>414</v>
      </c>
      <c r="G273" s="8" t="str">
        <f t="shared" si="8"/>
        <v>YORK EDGAR</v>
      </c>
      <c r="H273" s="20" t="str">
        <f t="shared" si="9"/>
        <v>4005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218" t="s">
        <v>157</v>
      </c>
      <c r="B1" s="218" t="s">
        <v>160</v>
      </c>
      <c r="C1" s="218" t="s">
        <v>153</v>
      </c>
      <c r="D1" s="136" t="s">
        <v>165</v>
      </c>
      <c r="E1" s="218" t="s">
        <v>154</v>
      </c>
      <c r="F1" s="218" t="s">
        <v>152</v>
      </c>
      <c r="G1" s="218" t="s">
        <v>150</v>
      </c>
      <c r="H1" s="218" t="s">
        <v>163</v>
      </c>
      <c r="I1" s="218" t="s">
        <v>164</v>
      </c>
      <c r="J1" s="218" t="s">
        <v>828</v>
      </c>
      <c r="K1" s="218" t="s">
        <v>158</v>
      </c>
      <c r="L1" s="218" t="s">
        <v>156</v>
      </c>
      <c r="M1" s="218" t="s">
        <v>151</v>
      </c>
      <c r="N1" s="218" t="s">
        <v>161</v>
      </c>
      <c r="O1" s="218" t="s">
        <v>345</v>
      </c>
      <c r="P1" s="218" t="s">
        <v>155</v>
      </c>
      <c r="Q1" s="218" t="s">
        <v>162</v>
      </c>
      <c r="R1" s="218" t="s">
        <v>346</v>
      </c>
      <c r="S1" s="218" t="s">
        <v>159</v>
      </c>
    </row>
    <row r="2" spans="1:19" x14ac:dyDescent="0.25">
      <c r="A2" s="196">
        <v>71.22</v>
      </c>
      <c r="B2" s="196">
        <v>0</v>
      </c>
      <c r="C2" s="196">
        <v>26.3</v>
      </c>
      <c r="D2" s="8">
        <v>43000</v>
      </c>
      <c r="E2" s="196">
        <v>0.19</v>
      </c>
      <c r="F2" s="196" t="s">
        <v>365</v>
      </c>
      <c r="G2" s="196">
        <v>267.73</v>
      </c>
      <c r="H2" s="196">
        <v>0</v>
      </c>
      <c r="I2" s="196">
        <v>0</v>
      </c>
      <c r="J2" s="196"/>
      <c r="K2" s="196">
        <v>998.89</v>
      </c>
      <c r="L2" s="196" t="s">
        <v>545</v>
      </c>
      <c r="M2" s="196">
        <v>71.22</v>
      </c>
      <c r="N2" s="196">
        <v>1506060000</v>
      </c>
      <c r="O2" s="196">
        <v>0</v>
      </c>
      <c r="P2" s="196">
        <v>3.2</v>
      </c>
      <c r="Q2" s="196">
        <v>200</v>
      </c>
      <c r="R2" s="196">
        <v>11.26</v>
      </c>
      <c r="S2" s="196">
        <v>4.3899999999999997</v>
      </c>
    </row>
    <row r="3" spans="1:19" x14ac:dyDescent="0.25">
      <c r="A3" s="196">
        <v>68.67</v>
      </c>
      <c r="B3" s="196">
        <v>0</v>
      </c>
      <c r="C3" s="196">
        <v>26.89</v>
      </c>
      <c r="D3" s="8">
        <v>43000.041666666664</v>
      </c>
      <c r="E3" s="196">
        <v>0.21</v>
      </c>
      <c r="F3" s="196" t="s">
        <v>365</v>
      </c>
      <c r="G3" s="196">
        <v>267.24</v>
      </c>
      <c r="H3" s="196">
        <v>0</v>
      </c>
      <c r="I3" s="196">
        <v>0</v>
      </c>
      <c r="J3" s="196"/>
      <c r="K3" s="196">
        <v>998.61</v>
      </c>
      <c r="L3" s="196" t="s">
        <v>545</v>
      </c>
      <c r="M3" s="196">
        <v>68.67</v>
      </c>
      <c r="N3" s="196">
        <v>1506063600</v>
      </c>
      <c r="O3" s="196">
        <v>0</v>
      </c>
      <c r="P3" s="196">
        <v>3.84</v>
      </c>
      <c r="Q3" s="196">
        <v>191</v>
      </c>
      <c r="R3" s="196">
        <v>7.08</v>
      </c>
      <c r="S3" s="196">
        <v>2.8</v>
      </c>
    </row>
    <row r="4" spans="1:19" x14ac:dyDescent="0.25">
      <c r="A4" s="196">
        <v>64.78</v>
      </c>
      <c r="B4" s="196">
        <v>0</v>
      </c>
      <c r="C4" s="196">
        <v>27.91</v>
      </c>
      <c r="D4" s="8">
        <v>43000.083333333336</v>
      </c>
      <c r="E4" s="196">
        <v>0.25</v>
      </c>
      <c r="F4" s="196" t="s">
        <v>365</v>
      </c>
      <c r="G4" s="196">
        <v>265.87</v>
      </c>
      <c r="H4" s="196">
        <v>0</v>
      </c>
      <c r="I4" s="196">
        <v>0</v>
      </c>
      <c r="J4" s="196"/>
      <c r="K4" s="196">
        <v>998.99</v>
      </c>
      <c r="L4" s="196" t="s">
        <v>364</v>
      </c>
      <c r="M4" s="196">
        <v>64.78</v>
      </c>
      <c r="N4" s="196">
        <v>1506067200</v>
      </c>
      <c r="O4" s="196">
        <v>0</v>
      </c>
      <c r="P4" s="196">
        <v>3.54</v>
      </c>
      <c r="Q4" s="196">
        <v>184</v>
      </c>
      <c r="R4" s="196">
        <v>5.37</v>
      </c>
      <c r="S4" s="196">
        <v>2.13</v>
      </c>
    </row>
    <row r="5" spans="1:19" x14ac:dyDescent="0.25">
      <c r="A5" s="196">
        <v>61.8</v>
      </c>
      <c r="B5" s="196">
        <v>0</v>
      </c>
      <c r="C5" s="196">
        <v>29.14</v>
      </c>
      <c r="D5" s="8">
        <v>43000.125</v>
      </c>
      <c r="E5" s="196">
        <v>0.28999999999999998</v>
      </c>
      <c r="F5" s="196" t="s">
        <v>365</v>
      </c>
      <c r="G5" s="196">
        <v>265</v>
      </c>
      <c r="H5" s="196">
        <v>0</v>
      </c>
      <c r="I5" s="196">
        <v>0</v>
      </c>
      <c r="J5" s="196"/>
      <c r="K5" s="196">
        <v>1000.5</v>
      </c>
      <c r="L5" s="196" t="s">
        <v>364</v>
      </c>
      <c r="M5" s="196">
        <v>61.8</v>
      </c>
      <c r="N5" s="196">
        <v>1506070800</v>
      </c>
      <c r="O5" s="196">
        <v>0</v>
      </c>
      <c r="P5" s="196">
        <v>3.83</v>
      </c>
      <c r="Q5" s="196">
        <v>194</v>
      </c>
      <c r="R5" s="196">
        <v>4.42</v>
      </c>
      <c r="S5" s="196">
        <v>1.91</v>
      </c>
    </row>
    <row r="6" spans="1:19" x14ac:dyDescent="0.25">
      <c r="A6" s="196">
        <v>59.63</v>
      </c>
      <c r="B6" s="196">
        <v>0</v>
      </c>
      <c r="C6" s="196">
        <v>30.87</v>
      </c>
      <c r="D6" s="8">
        <v>43000.166666666664</v>
      </c>
      <c r="E6" s="196">
        <v>0.34</v>
      </c>
      <c r="F6" s="196" t="s">
        <v>365</v>
      </c>
      <c r="G6" s="196">
        <v>264.87</v>
      </c>
      <c r="H6" s="196">
        <v>0</v>
      </c>
      <c r="I6" s="196">
        <v>0</v>
      </c>
      <c r="J6" s="196"/>
      <c r="K6" s="196">
        <v>1000.38</v>
      </c>
      <c r="L6" s="196" t="s">
        <v>364</v>
      </c>
      <c r="M6" s="196">
        <v>59.63</v>
      </c>
      <c r="N6" s="196">
        <v>1506074400</v>
      </c>
      <c r="O6" s="196">
        <v>0</v>
      </c>
      <c r="P6" s="196">
        <v>3.77</v>
      </c>
      <c r="Q6" s="196">
        <v>197</v>
      </c>
      <c r="R6" s="196">
        <v>6.3</v>
      </c>
      <c r="S6" s="196">
        <v>0.99</v>
      </c>
    </row>
    <row r="7" spans="1:19" x14ac:dyDescent="0.25">
      <c r="A7" s="196">
        <v>56.98</v>
      </c>
      <c r="B7" s="196">
        <v>0.01</v>
      </c>
      <c r="C7" s="196">
        <v>32.659999999999997</v>
      </c>
      <c r="D7" s="8">
        <v>43000.208333333336</v>
      </c>
      <c r="E7" s="196">
        <v>0.4</v>
      </c>
      <c r="F7" s="196" t="s">
        <v>365</v>
      </c>
      <c r="G7" s="196">
        <v>265.25</v>
      </c>
      <c r="H7" s="196">
        <v>0</v>
      </c>
      <c r="I7" s="196">
        <v>0</v>
      </c>
      <c r="J7" s="196"/>
      <c r="K7" s="196">
        <v>1001.22</v>
      </c>
      <c r="L7" s="196" t="s">
        <v>364</v>
      </c>
      <c r="M7" s="196">
        <v>56.98</v>
      </c>
      <c r="N7" s="196">
        <v>1506078000</v>
      </c>
      <c r="O7" s="196">
        <v>0</v>
      </c>
      <c r="P7" s="196">
        <v>3.6</v>
      </c>
      <c r="Q7" s="196">
        <v>258</v>
      </c>
      <c r="R7" s="196">
        <v>6.04</v>
      </c>
      <c r="S7" s="196">
        <v>1.38</v>
      </c>
    </row>
    <row r="8" spans="1:19" x14ac:dyDescent="0.25">
      <c r="A8" s="196">
        <v>53.18</v>
      </c>
      <c r="B8" s="196">
        <v>0.01</v>
      </c>
      <c r="C8" s="196">
        <v>35.24</v>
      </c>
      <c r="D8" s="8">
        <v>43000.25</v>
      </c>
      <c r="E8" s="196">
        <v>0.5</v>
      </c>
      <c r="F8" s="196" t="s">
        <v>365</v>
      </c>
      <c r="G8" s="196">
        <v>265.74</v>
      </c>
      <c r="H8" s="196">
        <v>0</v>
      </c>
      <c r="I8" s="196">
        <v>0</v>
      </c>
      <c r="J8" s="196"/>
      <c r="K8" s="196">
        <v>1002.1</v>
      </c>
      <c r="L8" s="196" t="s">
        <v>364</v>
      </c>
      <c r="M8" s="196">
        <v>53.18</v>
      </c>
      <c r="N8" s="196">
        <v>1506081600</v>
      </c>
      <c r="O8" s="196">
        <v>0</v>
      </c>
      <c r="P8" s="196">
        <v>3.22</v>
      </c>
      <c r="Q8" s="196">
        <v>326</v>
      </c>
      <c r="R8" s="196">
        <v>4.9800000000000004</v>
      </c>
      <c r="S8" s="196">
        <v>1.33</v>
      </c>
    </row>
    <row r="9" spans="1:19" x14ac:dyDescent="0.25">
      <c r="A9" s="196">
        <v>50.77</v>
      </c>
      <c r="B9" s="196">
        <v>0.04</v>
      </c>
      <c r="C9" s="196">
        <v>36.53</v>
      </c>
      <c r="D9" s="8">
        <v>43000.291666666664</v>
      </c>
      <c r="E9" s="196">
        <v>0.57999999999999996</v>
      </c>
      <c r="F9" s="196" t="s">
        <v>363</v>
      </c>
      <c r="G9" s="196">
        <v>265.49</v>
      </c>
      <c r="H9" s="196">
        <v>0</v>
      </c>
      <c r="I9" s="196">
        <v>0</v>
      </c>
      <c r="J9" s="196"/>
      <c r="K9" s="196">
        <v>1003.28</v>
      </c>
      <c r="L9" s="196" t="s">
        <v>364</v>
      </c>
      <c r="M9" s="196">
        <v>50.77</v>
      </c>
      <c r="N9" s="196">
        <v>1506085200</v>
      </c>
      <c r="O9" s="196">
        <v>0</v>
      </c>
      <c r="P9" s="196">
        <v>3.78</v>
      </c>
      <c r="Q9" s="196">
        <v>338</v>
      </c>
      <c r="R9" s="196">
        <v>3.33</v>
      </c>
      <c r="S9" s="196">
        <v>1.39</v>
      </c>
    </row>
    <row r="10" spans="1:19" x14ac:dyDescent="0.25">
      <c r="A10" s="196">
        <v>52.75</v>
      </c>
      <c r="B10" s="196">
        <v>0.05</v>
      </c>
      <c r="C10" s="196">
        <v>38.39</v>
      </c>
      <c r="D10" s="8">
        <v>43000.333333333336</v>
      </c>
      <c r="E10" s="196">
        <v>0.57999999999999996</v>
      </c>
      <c r="F10" s="196" t="s">
        <v>363</v>
      </c>
      <c r="G10" s="196">
        <v>265.12</v>
      </c>
      <c r="H10" s="196">
        <v>0</v>
      </c>
      <c r="I10" s="196">
        <v>0</v>
      </c>
      <c r="J10" s="196"/>
      <c r="K10" s="196">
        <v>1003.9</v>
      </c>
      <c r="L10" s="196" t="s">
        <v>364</v>
      </c>
      <c r="M10" s="196">
        <v>52.75</v>
      </c>
      <c r="N10" s="196">
        <v>1506088800</v>
      </c>
      <c r="O10" s="196">
        <v>1</v>
      </c>
      <c r="P10" s="196">
        <v>7.48</v>
      </c>
      <c r="Q10" s="196">
        <v>353</v>
      </c>
      <c r="R10" s="196">
        <v>3.61</v>
      </c>
      <c r="S10" s="196">
        <v>0.74</v>
      </c>
    </row>
    <row r="11" spans="1:19" x14ac:dyDescent="0.25">
      <c r="A11" s="196">
        <v>57.35</v>
      </c>
      <c r="B11" s="196">
        <v>0.04</v>
      </c>
      <c r="C11" s="196">
        <v>39.28</v>
      </c>
      <c r="D11" s="8">
        <v>43000.375</v>
      </c>
      <c r="E11" s="196">
        <v>0.51</v>
      </c>
      <c r="F11" s="196" t="s">
        <v>363</v>
      </c>
      <c r="G11" s="196">
        <v>264.87</v>
      </c>
      <c r="H11" s="196">
        <v>0</v>
      </c>
      <c r="I11" s="196">
        <v>0</v>
      </c>
      <c r="J11" s="196"/>
      <c r="K11" s="196">
        <v>1004.01</v>
      </c>
      <c r="L11" s="196" t="s">
        <v>364</v>
      </c>
      <c r="M11" s="196">
        <v>57.35</v>
      </c>
      <c r="N11" s="196">
        <v>1506092400</v>
      </c>
      <c r="O11" s="196">
        <v>2</v>
      </c>
      <c r="P11" s="196">
        <v>4.33</v>
      </c>
      <c r="Q11" s="196">
        <v>38</v>
      </c>
      <c r="R11" s="196">
        <v>5.0999999999999996</v>
      </c>
      <c r="S11" s="196">
        <v>1.42</v>
      </c>
    </row>
    <row r="12" spans="1:19" x14ac:dyDescent="0.25">
      <c r="A12" s="196">
        <v>60.88</v>
      </c>
      <c r="B12" s="196">
        <v>0.05</v>
      </c>
      <c r="C12" s="196">
        <v>39.69</v>
      </c>
      <c r="D12" s="8">
        <v>43000.416666666664</v>
      </c>
      <c r="E12" s="196">
        <v>0.46</v>
      </c>
      <c r="F12" s="196" t="s">
        <v>363</v>
      </c>
      <c r="G12" s="196">
        <v>265.12</v>
      </c>
      <c r="H12" s="196">
        <v>0</v>
      </c>
      <c r="I12" s="196">
        <v>0</v>
      </c>
      <c r="J12" s="196"/>
      <c r="K12" s="196">
        <v>1003.63</v>
      </c>
      <c r="L12" s="196" t="s">
        <v>364</v>
      </c>
      <c r="M12" s="196">
        <v>60.88</v>
      </c>
      <c r="N12" s="196">
        <v>1506096000</v>
      </c>
      <c r="O12" s="196">
        <v>3</v>
      </c>
      <c r="P12" s="196">
        <v>4.34</v>
      </c>
      <c r="Q12" s="196">
        <v>50</v>
      </c>
      <c r="R12" s="196">
        <v>6.17</v>
      </c>
      <c r="S12" s="196">
        <v>1.52</v>
      </c>
    </row>
    <row r="13" spans="1:19" x14ac:dyDescent="0.25">
      <c r="A13" s="196">
        <v>64.489999999999995</v>
      </c>
      <c r="B13" s="196">
        <v>0.02</v>
      </c>
      <c r="C13" s="196">
        <v>40.18</v>
      </c>
      <c r="D13" s="8">
        <v>43000.458333333336</v>
      </c>
      <c r="E13" s="196">
        <v>0.41</v>
      </c>
      <c r="F13" s="196" t="s">
        <v>363</v>
      </c>
      <c r="G13" s="196">
        <v>265.62</v>
      </c>
      <c r="H13" s="196">
        <v>0</v>
      </c>
      <c r="I13" s="196">
        <v>0</v>
      </c>
      <c r="J13" s="196"/>
      <c r="K13" s="196">
        <v>1002.19</v>
      </c>
      <c r="L13" s="196" t="s">
        <v>364</v>
      </c>
      <c r="M13" s="196">
        <v>64.489999999999995</v>
      </c>
      <c r="N13" s="196">
        <v>1506099600</v>
      </c>
      <c r="O13" s="196">
        <v>5</v>
      </c>
      <c r="P13" s="196">
        <v>3.99</v>
      </c>
      <c r="Q13" s="196">
        <v>29</v>
      </c>
      <c r="R13" s="196">
        <v>7.85</v>
      </c>
      <c r="S13" s="196">
        <v>1.56</v>
      </c>
    </row>
    <row r="14" spans="1:19" x14ac:dyDescent="0.25">
      <c r="A14" s="196">
        <v>68.459999999999994</v>
      </c>
      <c r="B14" s="196">
        <v>0.08</v>
      </c>
      <c r="C14" s="196">
        <v>41.13</v>
      </c>
      <c r="D14" s="8">
        <v>43000.5</v>
      </c>
      <c r="E14" s="196">
        <v>0.37</v>
      </c>
      <c r="F14" s="196" t="s">
        <v>363</v>
      </c>
      <c r="G14" s="196">
        <v>264.86</v>
      </c>
      <c r="H14" s="196">
        <v>0</v>
      </c>
      <c r="I14" s="196">
        <v>0</v>
      </c>
      <c r="J14" s="196"/>
      <c r="K14" s="196">
        <v>1000.6</v>
      </c>
      <c r="L14" s="196" t="s">
        <v>364</v>
      </c>
      <c r="M14" s="196">
        <v>68.459999999999994</v>
      </c>
      <c r="N14" s="196">
        <v>1506103200</v>
      </c>
      <c r="O14" s="196">
        <v>6</v>
      </c>
      <c r="P14" s="196">
        <v>4.2</v>
      </c>
      <c r="Q14" s="196">
        <v>12</v>
      </c>
      <c r="R14" s="196">
        <v>9.02</v>
      </c>
      <c r="S14" s="196">
        <v>2.84</v>
      </c>
    </row>
    <row r="15" spans="1:19" x14ac:dyDescent="0.25">
      <c r="A15" s="196">
        <v>71.47</v>
      </c>
      <c r="B15" s="196">
        <v>0.12</v>
      </c>
      <c r="C15" s="196">
        <v>41.79</v>
      </c>
      <c r="D15" s="8">
        <v>43000.541666666664</v>
      </c>
      <c r="E15" s="196">
        <v>0.34</v>
      </c>
      <c r="F15" s="196" t="s">
        <v>363</v>
      </c>
      <c r="G15" s="196">
        <v>264.61</v>
      </c>
      <c r="H15" s="196">
        <v>0</v>
      </c>
      <c r="I15" s="196">
        <v>0</v>
      </c>
      <c r="J15" s="196"/>
      <c r="K15" s="196">
        <v>1000.33</v>
      </c>
      <c r="L15" s="196" t="s">
        <v>364</v>
      </c>
      <c r="M15" s="196">
        <v>71.47</v>
      </c>
      <c r="N15" s="196">
        <v>1506106800</v>
      </c>
      <c r="O15" s="196">
        <v>7</v>
      </c>
      <c r="P15" s="196">
        <v>4.2300000000000004</v>
      </c>
      <c r="Q15" s="196">
        <v>9</v>
      </c>
      <c r="R15" s="196">
        <v>10.45</v>
      </c>
      <c r="S15" s="196">
        <v>2.96</v>
      </c>
    </row>
    <row r="16" spans="1:19" x14ac:dyDescent="0.25">
      <c r="A16" s="196">
        <v>73.11</v>
      </c>
      <c r="B16" s="196">
        <v>0.17</v>
      </c>
      <c r="C16" s="196">
        <v>42.46</v>
      </c>
      <c r="D16" s="8">
        <v>43000.583333333336</v>
      </c>
      <c r="E16" s="196">
        <v>0.33</v>
      </c>
      <c r="F16" s="196" t="s">
        <v>363</v>
      </c>
      <c r="G16" s="196">
        <v>264.36</v>
      </c>
      <c r="H16" s="196">
        <v>0</v>
      </c>
      <c r="I16" s="196">
        <v>0</v>
      </c>
      <c r="J16" s="196"/>
      <c r="K16" s="196">
        <v>999.65</v>
      </c>
      <c r="L16" s="196" t="s">
        <v>364</v>
      </c>
      <c r="M16" s="196">
        <v>73.11</v>
      </c>
      <c r="N16" s="196">
        <v>1506110400</v>
      </c>
      <c r="O16" s="196">
        <v>6</v>
      </c>
      <c r="P16" s="196">
        <v>4.0599999999999996</v>
      </c>
      <c r="Q16" s="196">
        <v>346</v>
      </c>
      <c r="R16" s="196">
        <v>11.8</v>
      </c>
      <c r="S16" s="196">
        <v>2.44</v>
      </c>
    </row>
    <row r="17" spans="1:19" x14ac:dyDescent="0.25">
      <c r="A17" s="196">
        <v>71.709999999999994</v>
      </c>
      <c r="B17" s="196">
        <v>0.24</v>
      </c>
      <c r="C17" s="196">
        <v>42.39</v>
      </c>
      <c r="D17" s="8">
        <v>43000.625</v>
      </c>
      <c r="E17" s="196">
        <v>0.35</v>
      </c>
      <c r="F17" s="196" t="s">
        <v>363</v>
      </c>
      <c r="G17" s="196">
        <v>264.11</v>
      </c>
      <c r="H17" s="196">
        <v>0</v>
      </c>
      <c r="I17" s="196">
        <v>0</v>
      </c>
      <c r="J17" s="196"/>
      <c r="K17" s="196">
        <v>999.51</v>
      </c>
      <c r="L17" s="196" t="s">
        <v>364</v>
      </c>
      <c r="M17" s="196">
        <v>71.709999999999994</v>
      </c>
      <c r="N17" s="196">
        <v>1506114000</v>
      </c>
      <c r="O17" s="196">
        <v>4</v>
      </c>
      <c r="P17" s="196">
        <v>3.84</v>
      </c>
      <c r="Q17" s="196">
        <v>321</v>
      </c>
      <c r="R17" s="196">
        <v>13.25</v>
      </c>
      <c r="S17" s="196">
        <v>4.4400000000000004</v>
      </c>
    </row>
    <row r="18" spans="1:19" x14ac:dyDescent="0.25">
      <c r="A18" s="196">
        <v>71.08</v>
      </c>
      <c r="B18" s="196">
        <v>0.5</v>
      </c>
      <c r="C18" s="196">
        <v>42.86</v>
      </c>
      <c r="D18" s="8">
        <v>43000.666666666664</v>
      </c>
      <c r="E18" s="196">
        <v>0.36</v>
      </c>
      <c r="F18" s="196" t="s">
        <v>829</v>
      </c>
      <c r="G18" s="196">
        <v>263.99</v>
      </c>
      <c r="H18" s="196">
        <v>1E-4</v>
      </c>
      <c r="I18" s="196">
        <v>0.06</v>
      </c>
      <c r="J18" s="196" t="s">
        <v>830</v>
      </c>
      <c r="K18" s="196">
        <v>1000.15</v>
      </c>
      <c r="L18" s="196" t="s">
        <v>831</v>
      </c>
      <c r="M18" s="196">
        <v>71.08</v>
      </c>
      <c r="N18" s="196">
        <v>1506117600</v>
      </c>
      <c r="O18" s="196">
        <v>2</v>
      </c>
      <c r="P18" s="196">
        <v>4.2</v>
      </c>
      <c r="Q18" s="196">
        <v>323</v>
      </c>
      <c r="R18" s="196">
        <v>14.02</v>
      </c>
      <c r="S18" s="196">
        <v>5.43</v>
      </c>
    </row>
    <row r="19" spans="1:19" x14ac:dyDescent="0.25">
      <c r="A19" s="196">
        <v>69.33</v>
      </c>
      <c r="B19" s="196">
        <v>0.42</v>
      </c>
      <c r="C19" s="196">
        <v>43.89</v>
      </c>
      <c r="D19" s="8">
        <v>43000.708333333336</v>
      </c>
      <c r="E19" s="196">
        <v>0.4</v>
      </c>
      <c r="F19" s="196" t="s">
        <v>829</v>
      </c>
      <c r="G19" s="196">
        <v>263.99</v>
      </c>
      <c r="H19" s="196">
        <v>0</v>
      </c>
      <c r="I19" s="196">
        <v>0</v>
      </c>
      <c r="J19" s="196"/>
      <c r="K19" s="196">
        <v>1000.4</v>
      </c>
      <c r="L19" s="196" t="s">
        <v>831</v>
      </c>
      <c r="M19" s="196">
        <v>69.33</v>
      </c>
      <c r="N19" s="196">
        <v>1506121200</v>
      </c>
      <c r="O19" s="196">
        <v>1</v>
      </c>
      <c r="P19" s="196">
        <v>4.2300000000000004</v>
      </c>
      <c r="Q19" s="196">
        <v>328</v>
      </c>
      <c r="R19" s="196">
        <v>14.75</v>
      </c>
      <c r="S19" s="196">
        <v>5.17</v>
      </c>
    </row>
    <row r="20" spans="1:19" x14ac:dyDescent="0.25">
      <c r="A20" s="196">
        <v>64.739999999999995</v>
      </c>
      <c r="B20" s="196">
        <v>0.28000000000000003</v>
      </c>
      <c r="C20" s="196">
        <v>43.36</v>
      </c>
      <c r="D20" s="8">
        <v>43000.75</v>
      </c>
      <c r="E20" s="196">
        <v>0.46</v>
      </c>
      <c r="F20" s="196" t="s">
        <v>829</v>
      </c>
      <c r="G20" s="196">
        <v>261.2</v>
      </c>
      <c r="H20" s="196">
        <v>0</v>
      </c>
      <c r="I20" s="196">
        <v>0</v>
      </c>
      <c r="J20" s="196"/>
      <c r="K20" s="196">
        <v>1003.61</v>
      </c>
      <c r="L20" s="196" t="s">
        <v>831</v>
      </c>
      <c r="M20" s="196">
        <v>64.739999999999995</v>
      </c>
      <c r="N20" s="196">
        <v>1506124800</v>
      </c>
      <c r="O20" s="196">
        <v>1</v>
      </c>
      <c r="P20" s="196">
        <v>4.0599999999999996</v>
      </c>
      <c r="Q20" s="196">
        <v>352</v>
      </c>
      <c r="R20" s="196">
        <v>13.86</v>
      </c>
      <c r="S20" s="196">
        <v>5.23</v>
      </c>
    </row>
    <row r="21" spans="1:19" x14ac:dyDescent="0.25">
      <c r="A21" s="196">
        <v>61.88</v>
      </c>
      <c r="B21" s="196">
        <v>0.24</v>
      </c>
      <c r="C21" s="196">
        <v>43.19</v>
      </c>
      <c r="D21" s="8">
        <v>43000.791666666664</v>
      </c>
      <c r="E21" s="196">
        <v>0.5</v>
      </c>
      <c r="F21" s="196" t="s">
        <v>365</v>
      </c>
      <c r="G21" s="196">
        <v>261.07</v>
      </c>
      <c r="H21" s="196">
        <v>0</v>
      </c>
      <c r="I21" s="196">
        <v>0</v>
      </c>
      <c r="J21" s="196"/>
      <c r="K21" s="196">
        <v>1005.81</v>
      </c>
      <c r="L21" s="196" t="s">
        <v>364</v>
      </c>
      <c r="M21" s="196">
        <v>61.88</v>
      </c>
      <c r="N21" s="196">
        <v>1506128400</v>
      </c>
      <c r="O21" s="196">
        <v>0</v>
      </c>
      <c r="P21" s="196">
        <v>4.2300000000000004</v>
      </c>
      <c r="Q21" s="196">
        <v>350</v>
      </c>
      <c r="R21" s="196">
        <v>10.55</v>
      </c>
      <c r="S21" s="196">
        <v>4.47</v>
      </c>
    </row>
    <row r="22" spans="1:19" x14ac:dyDescent="0.25">
      <c r="A22" s="196">
        <v>60.3</v>
      </c>
      <c r="B22" s="196">
        <v>0.22</v>
      </c>
      <c r="C22" s="196">
        <v>42.39</v>
      </c>
      <c r="D22" s="8">
        <v>43000.833333333336</v>
      </c>
      <c r="E22" s="196">
        <v>0.52</v>
      </c>
      <c r="F22" s="196" t="s">
        <v>365</v>
      </c>
      <c r="G22" s="196">
        <v>261.07</v>
      </c>
      <c r="H22" s="196">
        <v>0</v>
      </c>
      <c r="I22" s="196">
        <v>0</v>
      </c>
      <c r="J22" s="196"/>
      <c r="K22" s="196">
        <v>1006.74</v>
      </c>
      <c r="L22" s="196" t="s">
        <v>364</v>
      </c>
      <c r="M22" s="196">
        <v>60.3</v>
      </c>
      <c r="N22" s="196">
        <v>1506132000</v>
      </c>
      <c r="O22" s="196">
        <v>0</v>
      </c>
      <c r="P22" s="196">
        <v>4.3600000000000003</v>
      </c>
      <c r="Q22" s="196">
        <v>330</v>
      </c>
      <c r="R22" s="196">
        <v>6.86</v>
      </c>
      <c r="S22" s="196">
        <v>3.28</v>
      </c>
    </row>
    <row r="23" spans="1:19" x14ac:dyDescent="0.25">
      <c r="A23" s="196">
        <v>58.74</v>
      </c>
      <c r="B23" s="196">
        <v>0.16</v>
      </c>
      <c r="C23" s="196">
        <v>41.64</v>
      </c>
      <c r="D23" s="8">
        <v>43000.875</v>
      </c>
      <c r="E23" s="196">
        <v>0.53</v>
      </c>
      <c r="F23" s="196" t="s">
        <v>365</v>
      </c>
      <c r="G23" s="196">
        <v>261.08</v>
      </c>
      <c r="H23" s="196">
        <v>4.0000000000000002E-4</v>
      </c>
      <c r="I23" s="196">
        <v>0.01</v>
      </c>
      <c r="J23" s="196" t="s">
        <v>830</v>
      </c>
      <c r="K23" s="196">
        <v>1007.69</v>
      </c>
      <c r="L23" s="196" t="s">
        <v>364</v>
      </c>
      <c r="M23" s="196">
        <v>58.74</v>
      </c>
      <c r="N23" s="196">
        <v>1506135600</v>
      </c>
      <c r="O23" s="196">
        <v>0</v>
      </c>
      <c r="P23" s="196">
        <v>4.2300000000000004</v>
      </c>
      <c r="Q23" s="196">
        <v>324</v>
      </c>
      <c r="R23" s="196">
        <v>5.0599999999999996</v>
      </c>
      <c r="S23" s="196">
        <v>2.15</v>
      </c>
    </row>
    <row r="24" spans="1:19" x14ac:dyDescent="0.25">
      <c r="A24" s="196">
        <v>58.06</v>
      </c>
      <c r="B24" s="196">
        <v>0.15</v>
      </c>
      <c r="C24" s="196">
        <v>40.44</v>
      </c>
      <c r="D24" s="8">
        <v>43000.916666666664</v>
      </c>
      <c r="E24" s="196">
        <v>0.52</v>
      </c>
      <c r="F24" s="196" t="s">
        <v>365</v>
      </c>
      <c r="G24" s="196">
        <v>261.08</v>
      </c>
      <c r="H24" s="196">
        <v>2.9999999999999997E-4</v>
      </c>
      <c r="I24" s="196">
        <v>0.01</v>
      </c>
      <c r="J24" s="196" t="s">
        <v>830</v>
      </c>
      <c r="K24" s="196">
        <v>1008.11</v>
      </c>
      <c r="L24" s="196" t="s">
        <v>364</v>
      </c>
      <c r="M24" s="196">
        <v>58.06</v>
      </c>
      <c r="N24" s="196">
        <v>1506139200</v>
      </c>
      <c r="O24" s="196">
        <v>0</v>
      </c>
      <c r="P24" s="196">
        <v>4.3600000000000003</v>
      </c>
      <c r="Q24" s="196">
        <v>339</v>
      </c>
      <c r="R24" s="196">
        <v>6.12</v>
      </c>
      <c r="S24" s="196">
        <v>2.48</v>
      </c>
    </row>
    <row r="25" spans="1:19" x14ac:dyDescent="0.25">
      <c r="A25" s="196">
        <v>57.45</v>
      </c>
      <c r="B25" s="196">
        <v>0.18</v>
      </c>
      <c r="C25" s="196">
        <v>39.380000000000003</v>
      </c>
      <c r="D25" s="8">
        <v>43000.958333333336</v>
      </c>
      <c r="E25" s="196">
        <v>0.51</v>
      </c>
      <c r="F25" s="196" t="s">
        <v>365</v>
      </c>
      <c r="G25" s="196">
        <v>261.07</v>
      </c>
      <c r="H25" s="196">
        <v>0</v>
      </c>
      <c r="I25" s="196">
        <v>0</v>
      </c>
      <c r="J25" s="196"/>
      <c r="K25" s="196">
        <v>1008.09</v>
      </c>
      <c r="L25" s="196" t="s">
        <v>364</v>
      </c>
      <c r="M25" s="196">
        <v>57.45</v>
      </c>
      <c r="N25" s="196">
        <v>1506142800</v>
      </c>
      <c r="O25" s="196">
        <v>0</v>
      </c>
      <c r="P25" s="196">
        <v>3.83</v>
      </c>
      <c r="Q25" s="196">
        <v>340</v>
      </c>
      <c r="R25" s="196">
        <v>8.32</v>
      </c>
      <c r="S25" s="196">
        <v>3.11</v>
      </c>
    </row>
    <row r="26" spans="1:19" x14ac:dyDescent="0.25">
      <c r="A26" s="196">
        <v>55.99</v>
      </c>
      <c r="B26" s="196">
        <v>0.21</v>
      </c>
      <c r="C26" s="196">
        <v>38.770000000000003</v>
      </c>
      <c r="D26" s="8">
        <v>43001</v>
      </c>
      <c r="E26" s="196">
        <v>0.52</v>
      </c>
      <c r="F26" s="196" t="s">
        <v>365</v>
      </c>
      <c r="G26" s="196">
        <v>260.94</v>
      </c>
      <c r="H26" s="196">
        <v>0</v>
      </c>
      <c r="I26" s="196">
        <v>0</v>
      </c>
      <c r="J26" s="196"/>
      <c r="K26" s="196">
        <v>1008.33</v>
      </c>
      <c r="L26" s="196" t="s">
        <v>364</v>
      </c>
      <c r="M26" s="196">
        <v>55.99</v>
      </c>
      <c r="N26" s="196">
        <v>1506146400</v>
      </c>
      <c r="O26" s="196">
        <v>0</v>
      </c>
      <c r="P26" s="196">
        <v>3.69</v>
      </c>
      <c r="Q26" s="196">
        <v>338</v>
      </c>
      <c r="R26" s="196">
        <v>6.23</v>
      </c>
      <c r="S26" s="196">
        <v>2.74</v>
      </c>
    </row>
    <row r="27" spans="1:19" x14ac:dyDescent="0.25">
      <c r="A27" s="196">
        <v>54.45</v>
      </c>
      <c r="B27" s="196">
        <v>0.2</v>
      </c>
      <c r="C27" s="196">
        <v>38.54</v>
      </c>
      <c r="D27" s="8">
        <v>43001.041666666664</v>
      </c>
      <c r="E27" s="196">
        <v>0.55000000000000004</v>
      </c>
      <c r="F27" s="196" t="s">
        <v>365</v>
      </c>
      <c r="G27" s="196">
        <v>260.56</v>
      </c>
      <c r="H27" s="196">
        <v>0</v>
      </c>
      <c r="I27" s="196">
        <v>0</v>
      </c>
      <c r="J27" s="196"/>
      <c r="K27" s="196">
        <v>1008.71</v>
      </c>
      <c r="L27" s="196" t="s">
        <v>364</v>
      </c>
      <c r="M27" s="196">
        <v>54.45</v>
      </c>
      <c r="N27" s="196">
        <v>1506150000</v>
      </c>
      <c r="O27" s="196">
        <v>0</v>
      </c>
      <c r="P27" s="196">
        <v>3.83</v>
      </c>
      <c r="Q27" s="196">
        <v>334</v>
      </c>
      <c r="R27" s="196">
        <v>7.39</v>
      </c>
      <c r="S27" s="196">
        <v>2.84</v>
      </c>
    </row>
    <row r="28" spans="1:19" x14ac:dyDescent="0.25">
      <c r="A28" s="196">
        <v>52.68</v>
      </c>
      <c r="B28" s="196">
        <v>0.21</v>
      </c>
      <c r="C28" s="196">
        <v>38.299999999999997</v>
      </c>
      <c r="D28" s="8">
        <v>43001.083333333336</v>
      </c>
      <c r="E28" s="196">
        <v>0.57999999999999996</v>
      </c>
      <c r="F28" s="196" t="s">
        <v>365</v>
      </c>
      <c r="G28" s="196">
        <v>259.92</v>
      </c>
      <c r="H28" s="196">
        <v>5.0000000000000001E-4</v>
      </c>
      <c r="I28" s="196">
        <v>0.01</v>
      </c>
      <c r="J28" s="196" t="s">
        <v>830</v>
      </c>
      <c r="K28" s="196">
        <v>1008.92</v>
      </c>
      <c r="L28" s="196" t="s">
        <v>364</v>
      </c>
      <c r="M28" s="196">
        <v>52.68</v>
      </c>
      <c r="N28" s="196">
        <v>1506153600</v>
      </c>
      <c r="O28" s="196">
        <v>0</v>
      </c>
      <c r="P28" s="196">
        <v>3.69</v>
      </c>
      <c r="Q28" s="196">
        <v>21</v>
      </c>
      <c r="R28" s="196">
        <v>6.09</v>
      </c>
      <c r="S28" s="196">
        <v>1.99</v>
      </c>
    </row>
    <row r="29" spans="1:19" x14ac:dyDescent="0.25">
      <c r="A29" s="196">
        <v>51.38</v>
      </c>
      <c r="B29" s="196">
        <v>0.5</v>
      </c>
      <c r="C29" s="196">
        <v>38.33</v>
      </c>
      <c r="D29" s="8">
        <v>43001.125</v>
      </c>
      <c r="E29" s="196">
        <v>0.61</v>
      </c>
      <c r="F29" s="196" t="s">
        <v>832</v>
      </c>
      <c r="G29" s="196">
        <v>259.41000000000003</v>
      </c>
      <c r="H29" s="196">
        <v>0</v>
      </c>
      <c r="I29" s="196">
        <v>0</v>
      </c>
      <c r="J29" s="196"/>
      <c r="K29" s="196">
        <v>1008.92</v>
      </c>
      <c r="L29" s="196" t="s">
        <v>831</v>
      </c>
      <c r="M29" s="196">
        <v>51.38</v>
      </c>
      <c r="N29" s="196">
        <v>1506157200</v>
      </c>
      <c r="O29" s="196">
        <v>0</v>
      </c>
      <c r="P29" s="196">
        <v>3.69</v>
      </c>
      <c r="Q29" s="196">
        <v>19</v>
      </c>
      <c r="R29" s="196">
        <v>3.83</v>
      </c>
      <c r="S29" s="196">
        <v>1.75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182</v>
      </c>
    </row>
    <row r="33" spans="1:1" x14ac:dyDescent="0.25">
      <c r="A33" s="141" t="s">
        <v>174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5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328</v>
      </c>
      <c r="U1" s="156"/>
      <c r="V1" s="156"/>
      <c r="W1" s="156"/>
      <c r="X1" s="156"/>
    </row>
    <row r="2" spans="1:32" ht="15.75" thickBot="1" x14ac:dyDescent="0.3">
      <c r="A2" s="12">
        <v>43000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329</v>
      </c>
      <c r="U2" s="155">
        <v>167</v>
      </c>
      <c r="V2" s="155">
        <v>168</v>
      </c>
      <c r="W2" s="155">
        <v>199</v>
      </c>
      <c r="X2" s="155">
        <v>200</v>
      </c>
      <c r="AD2" t="s">
        <v>349</v>
      </c>
      <c r="AE2" s="56" t="s">
        <v>352</v>
      </c>
      <c r="AF2" s="56" t="s">
        <v>353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330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331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332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350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344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351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434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354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183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959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960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961</v>
      </c>
      <c r="J20" s="140" t="s">
        <v>87</v>
      </c>
      <c r="M20" s="154" t="s">
        <v>342</v>
      </c>
      <c r="N20" s="154" t="s">
        <v>327</v>
      </c>
      <c r="T20" s="155"/>
      <c r="U20" s="155"/>
      <c r="V20" s="155"/>
      <c r="W20" s="155"/>
      <c r="X20" s="155"/>
    </row>
    <row r="21" spans="3:24" x14ac:dyDescent="0.25">
      <c r="C21" t="s">
        <v>962</v>
      </c>
      <c r="J21" s="140" t="s">
        <v>90</v>
      </c>
      <c r="K21" s="140" t="s">
        <v>91</v>
      </c>
      <c r="M21" s="154" t="s">
        <v>173</v>
      </c>
      <c r="T21" s="155"/>
      <c r="U21" s="155"/>
      <c r="V21" s="155"/>
      <c r="W21" s="155"/>
      <c r="X21" s="155"/>
    </row>
    <row r="22" spans="3:24" x14ac:dyDescent="0.25">
      <c r="C22" t="s">
        <v>963</v>
      </c>
      <c r="J22" s="140" t="s">
        <v>92</v>
      </c>
      <c r="K22" s="140" t="s">
        <v>518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964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965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966</v>
      </c>
      <c r="J25" s="140" t="s">
        <v>145</v>
      </c>
      <c r="M25" s="154" t="b">
        <v>1</v>
      </c>
    </row>
    <row r="26" spans="3:24" x14ac:dyDescent="0.25">
      <c r="C26" t="s">
        <v>967</v>
      </c>
      <c r="J26" s="140" t="s">
        <v>146</v>
      </c>
      <c r="M26" s="154" t="str">
        <f>"c:\users\stu\Documents\GitHub\eaglep3-reporting\EC\"&amp;TEXT(A2,"yyyy-mm-dd")&amp;"-refined-times.txt"</f>
        <v>c:\users\stu\Documents\GitHub\eaglep3-reporting\EC\2017-09-22-refined-times.txt</v>
      </c>
    </row>
    <row r="27" spans="3:24" x14ac:dyDescent="0.25">
      <c r="C27" t="s">
        <v>968</v>
      </c>
      <c r="J27" s="140" t="s">
        <v>175</v>
      </c>
      <c r="M27" s="154" t="str">
        <f>"c:\users\stu\Documents\GitHub\eaglep3-reporting\EC\"&amp;TEXT(A2,"YYYY-MM-DD")&amp;"-Enforcements.txt"</f>
        <v>c:\users\stu\Documents\GitHub\eaglep3-reporting\EC\2017-09-22-Enforcements.txt</v>
      </c>
    </row>
    <row r="28" spans="3:24" x14ac:dyDescent="0.25">
      <c r="C28" t="s">
        <v>969</v>
      </c>
      <c r="J28" s="140" t="s">
        <v>176</v>
      </c>
      <c r="M28" s="154" t="str">
        <f>"c:\users\stu\Documents\GitHub\eaglep3-reporting\EC\"&amp;TEXT(A2,"YYYY-MM-DD")&amp;"-Runs-refined.txt"</f>
        <v>c:\users\stu\Documents\GitHub\eaglep3-reporting\EC\2017-09-22-Runs-refined.txt</v>
      </c>
    </row>
    <row r="29" spans="3:24" x14ac:dyDescent="0.25">
      <c r="C29" t="s">
        <v>970</v>
      </c>
      <c r="J29" s="140" t="s">
        <v>177</v>
      </c>
      <c r="M29" s="154" t="str">
        <f>"c:\users\stu\Documents\GitHub\eaglep3-reporting\EC\"&amp;TEXT(A2,"YYYY-MM-DD")&amp;"-Trips.txt"</f>
        <v>c:\users\stu\Documents\GitHub\eaglep3-reporting\EC\2017-09-22-Trips.txt</v>
      </c>
    </row>
    <row r="30" spans="3:24" x14ac:dyDescent="0.25">
      <c r="C30" t="s">
        <v>971</v>
      </c>
      <c r="J30" s="140" t="s">
        <v>178</v>
      </c>
      <c r="M30" s="154" t="str">
        <f>"c:\users\stu\Documents\GitHub\eaglep3-reporting\EC\"&amp;TEXT(A2,"YYYY-MM-DD")&amp;"-Weather.txt"</f>
        <v>c:\users\stu\Documents\GitHub\eaglep3-reporting\EC\2017-09-22-Weather.txt</v>
      </c>
    </row>
    <row r="31" spans="3:24" x14ac:dyDescent="0.25">
      <c r="C31" t="s">
        <v>972</v>
      </c>
      <c r="J31" s="140" t="s">
        <v>192</v>
      </c>
      <c r="M31" s="154" t="s">
        <v>193</v>
      </c>
    </row>
    <row r="32" spans="3:24" x14ac:dyDescent="0.25">
      <c r="C32" t="s">
        <v>973</v>
      </c>
    </row>
    <row r="33" spans="3:3" x14ac:dyDescent="0.25">
      <c r="C33" t="s">
        <v>974</v>
      </c>
    </row>
    <row r="34" spans="3:3" x14ac:dyDescent="0.25">
      <c r="C34" t="s">
        <v>975</v>
      </c>
    </row>
    <row r="35" spans="3:3" x14ac:dyDescent="0.25">
      <c r="C35" t="s">
        <v>976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116</v>
      </c>
      <c r="B1" s="92" t="s">
        <v>117</v>
      </c>
      <c r="C1" s="93" t="s">
        <v>118</v>
      </c>
      <c r="H1" s="168" t="s">
        <v>112</v>
      </c>
      <c r="I1" s="186" t="s">
        <v>114</v>
      </c>
      <c r="J1" s="168" t="s">
        <v>334</v>
      </c>
    </row>
    <row r="2" spans="1:11" x14ac:dyDescent="0.25">
      <c r="A2" s="93" t="s">
        <v>119</v>
      </c>
      <c r="B2" s="93" t="s">
        <v>120</v>
      </c>
      <c r="C2" s="93" t="s">
        <v>121</v>
      </c>
      <c r="H2" s="168" t="s">
        <v>113</v>
      </c>
      <c r="I2" s="168" t="s">
        <v>115</v>
      </c>
      <c r="J2" s="168" t="s">
        <v>335</v>
      </c>
    </row>
    <row r="3" spans="1:11" x14ac:dyDescent="0.25">
      <c r="A3" s="93" t="s">
        <v>122</v>
      </c>
      <c r="B3" s="93" t="s">
        <v>123</v>
      </c>
      <c r="C3" s="93" t="s">
        <v>124</v>
      </c>
      <c r="H3" s="168" t="s">
        <v>138</v>
      </c>
      <c r="I3" s="168">
        <v>1</v>
      </c>
      <c r="J3" s="168">
        <v>1</v>
      </c>
      <c r="K3" s="55"/>
    </row>
    <row r="4" spans="1:11" x14ac:dyDescent="0.25">
      <c r="A4" s="93" t="s">
        <v>125</v>
      </c>
      <c r="C4" s="93" t="s">
        <v>126</v>
      </c>
      <c r="H4" s="168" t="s">
        <v>139</v>
      </c>
      <c r="I4" s="168">
        <v>2</v>
      </c>
      <c r="J4" s="168">
        <v>1</v>
      </c>
      <c r="K4" s="55"/>
    </row>
    <row r="5" spans="1:11" x14ac:dyDescent="0.25">
      <c r="A5" s="93" t="s">
        <v>127</v>
      </c>
      <c r="C5" s="93" t="s">
        <v>128</v>
      </c>
      <c r="H5" s="168" t="s">
        <v>140</v>
      </c>
      <c r="I5" s="168">
        <v>338</v>
      </c>
      <c r="J5" s="168">
        <v>10</v>
      </c>
      <c r="K5" s="55"/>
    </row>
    <row r="6" spans="1:11" x14ac:dyDescent="0.25">
      <c r="A6" s="93" t="s">
        <v>129</v>
      </c>
      <c r="C6" s="93" t="s">
        <v>130</v>
      </c>
      <c r="H6" s="187" t="s">
        <v>141</v>
      </c>
      <c r="I6" s="187" t="s">
        <v>120</v>
      </c>
    </row>
    <row r="7" spans="1:11" x14ac:dyDescent="0.25">
      <c r="A7" s="93" t="s">
        <v>131</v>
      </c>
      <c r="C7" s="93" t="s">
        <v>132</v>
      </c>
    </row>
    <row r="8" spans="1:11" x14ac:dyDescent="0.25">
      <c r="C8" s="93" t="s">
        <v>133</v>
      </c>
    </row>
    <row r="9" spans="1:11" x14ac:dyDescent="0.25">
      <c r="C9" s="94" t="s">
        <v>166</v>
      </c>
    </row>
    <row r="10" spans="1:11" x14ac:dyDescent="0.25">
      <c r="C10" s="93" t="s">
        <v>134</v>
      </c>
    </row>
    <row r="11" spans="1:11" x14ac:dyDescent="0.25">
      <c r="C11" s="93" t="s">
        <v>135</v>
      </c>
    </row>
    <row r="12" spans="1:11" x14ac:dyDescent="0.25">
      <c r="C12" s="93" t="s">
        <v>136</v>
      </c>
    </row>
    <row r="13" spans="1:11" x14ac:dyDescent="0.25">
      <c r="C13" s="93" t="s">
        <v>137</v>
      </c>
    </row>
    <row r="14" spans="1:11" x14ac:dyDescent="0.25">
      <c r="C14" s="94" t="s">
        <v>167</v>
      </c>
    </row>
    <row r="15" spans="1:11" x14ac:dyDescent="0.25">
      <c r="C15" s="94" t="s">
        <v>184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2017-09-25T15:33:40Z</dcterms:modified>
</cp:coreProperties>
</file>