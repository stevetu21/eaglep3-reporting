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5" i="1" l="1"/>
  <c r="K194" i="1"/>
  <c r="L194" i="1"/>
  <c r="M194" i="1"/>
  <c r="N194" i="1" s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X196" i="1"/>
  <c r="X197" i="1"/>
  <c r="X193" i="1"/>
  <c r="X190" i="1"/>
  <c r="X191" i="1"/>
  <c r="X192" i="1"/>
  <c r="K190" i="1"/>
  <c r="L190" i="1"/>
  <c r="M190" i="1"/>
  <c r="N190" i="1"/>
  <c r="V190" i="1"/>
  <c r="AA190" i="1"/>
  <c r="AB190" i="1"/>
  <c r="AC190" i="1"/>
  <c r="AD190" i="1"/>
  <c r="T190" i="1" s="1"/>
  <c r="AE190" i="1"/>
  <c r="AF190" i="1"/>
  <c r="AH190" i="1"/>
  <c r="AM190" i="1"/>
  <c r="AN190" i="1"/>
  <c r="AO190" i="1"/>
  <c r="X187" i="1"/>
  <c r="K186" i="1"/>
  <c r="L186" i="1"/>
  <c r="M186" i="1"/>
  <c r="N186" i="1"/>
  <c r="V186" i="1"/>
  <c r="AA186" i="1"/>
  <c r="AB186" i="1"/>
  <c r="AC186" i="1"/>
  <c r="AD186" i="1"/>
  <c r="T186" i="1" s="1"/>
  <c r="AE186" i="1"/>
  <c r="AF186" i="1"/>
  <c r="AH186" i="1"/>
  <c r="AM186" i="1"/>
  <c r="AN186" i="1"/>
  <c r="AO186" i="1"/>
  <c r="X182" i="1"/>
  <c r="X183" i="1"/>
  <c r="X184" i="1"/>
  <c r="K182" i="1"/>
  <c r="L182" i="1"/>
  <c r="M182" i="1"/>
  <c r="N182" i="1"/>
  <c r="V182" i="1"/>
  <c r="AA182" i="1"/>
  <c r="AB182" i="1"/>
  <c r="AC182" i="1"/>
  <c r="AD182" i="1"/>
  <c r="T182" i="1" s="1"/>
  <c r="AE182" i="1"/>
  <c r="AF182" i="1"/>
  <c r="AH182" i="1"/>
  <c r="AM182" i="1"/>
  <c r="AN182" i="1"/>
  <c r="AO182" i="1"/>
  <c r="X160" i="1"/>
  <c r="X161" i="1"/>
  <c r="X162" i="1"/>
  <c r="X163" i="1"/>
  <c r="X164" i="1"/>
  <c r="X165" i="1"/>
  <c r="X158" i="1"/>
  <c r="X159" i="1"/>
  <c r="K157" i="1"/>
  <c r="L157" i="1"/>
  <c r="M157" i="1"/>
  <c r="N157" i="1" s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6" i="1"/>
  <c r="L156" i="1"/>
  <c r="M156" i="1"/>
  <c r="N156" i="1" s="1"/>
  <c r="V156" i="1"/>
  <c r="AA156" i="1"/>
  <c r="AB156" i="1"/>
  <c r="AC156" i="1"/>
  <c r="AD156" i="1"/>
  <c r="X156" i="1" s="1"/>
  <c r="AE156" i="1"/>
  <c r="AF156" i="1"/>
  <c r="AH156" i="1"/>
  <c r="AM156" i="1"/>
  <c r="AN156" i="1"/>
  <c r="AO156" i="1"/>
  <c r="X154" i="1"/>
  <c r="X155" i="1"/>
  <c r="K153" i="1"/>
  <c r="L153" i="1"/>
  <c r="M153" i="1"/>
  <c r="N153" i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X145" i="1"/>
  <c r="X146" i="1"/>
  <c r="K144" i="1"/>
  <c r="L144" i="1"/>
  <c r="M144" i="1"/>
  <c r="N144" i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X138" i="1"/>
  <c r="X139" i="1"/>
  <c r="X140" i="1"/>
  <c r="K137" i="1"/>
  <c r="L137" i="1"/>
  <c r="M137" i="1"/>
  <c r="N137" i="1" s="1"/>
  <c r="V137" i="1"/>
  <c r="AA137" i="1"/>
  <c r="AB137" i="1"/>
  <c r="AC137" i="1"/>
  <c r="AD137" i="1"/>
  <c r="T137" i="1" s="1"/>
  <c r="AE137" i="1"/>
  <c r="AF137" i="1"/>
  <c r="AH137" i="1"/>
  <c r="AM137" i="1"/>
  <c r="AN137" i="1"/>
  <c r="AO137" i="1"/>
  <c r="P136" i="1"/>
  <c r="X125" i="1"/>
  <c r="X126" i="1"/>
  <c r="X127" i="1"/>
  <c r="K125" i="1"/>
  <c r="L125" i="1"/>
  <c r="M125" i="1"/>
  <c r="N125" i="1" s="1"/>
  <c r="V125" i="1"/>
  <c r="AA125" i="1"/>
  <c r="AB125" i="1"/>
  <c r="AC125" i="1"/>
  <c r="AD125" i="1"/>
  <c r="T125" i="1" s="1"/>
  <c r="AE125" i="1"/>
  <c r="AF125" i="1"/>
  <c r="AH125" i="1"/>
  <c r="AM125" i="1"/>
  <c r="AN125" i="1"/>
  <c r="AO125" i="1"/>
  <c r="X113" i="1"/>
  <c r="X114" i="1"/>
  <c r="X115" i="1"/>
  <c r="X116" i="1"/>
  <c r="P113" i="1"/>
  <c r="K113" i="1"/>
  <c r="L113" i="1"/>
  <c r="M113" i="1"/>
  <c r="V113" i="1"/>
  <c r="AA113" i="1"/>
  <c r="AB113" i="1"/>
  <c r="AC113" i="1"/>
  <c r="AD113" i="1"/>
  <c r="T113" i="1" s="1"/>
  <c r="AE113" i="1"/>
  <c r="AF113" i="1"/>
  <c r="AH113" i="1"/>
  <c r="AM113" i="1"/>
  <c r="AN113" i="1"/>
  <c r="AO113" i="1"/>
  <c r="K112" i="1"/>
  <c r="L112" i="1"/>
  <c r="M112" i="1"/>
  <c r="N112" i="1"/>
  <c r="V112" i="1"/>
  <c r="AA112" i="1"/>
  <c r="AB112" i="1"/>
  <c r="AC112" i="1"/>
  <c r="AD112" i="1"/>
  <c r="T112" i="1" s="1"/>
  <c r="AE112" i="1"/>
  <c r="AF112" i="1"/>
  <c r="AH112" i="1"/>
  <c r="AM112" i="1"/>
  <c r="AN112" i="1"/>
  <c r="AO112" i="1"/>
  <c r="X93" i="1"/>
  <c r="X94" i="1"/>
  <c r="X95" i="1"/>
  <c r="X96" i="1"/>
  <c r="X97" i="1"/>
  <c r="X98" i="1"/>
  <c r="AG186" i="1"/>
  <c r="AG153" i="1"/>
  <c r="AG113" i="1"/>
  <c r="AG182" i="1"/>
  <c r="AG144" i="1"/>
  <c r="AG112" i="1"/>
  <c r="AG194" i="1"/>
  <c r="AG157" i="1"/>
  <c r="AG137" i="1"/>
  <c r="AG190" i="1"/>
  <c r="AG156" i="1"/>
  <c r="AG125" i="1"/>
  <c r="AI194" i="1" l="1"/>
  <c r="U194" i="1"/>
  <c r="S194" i="1" s="1"/>
  <c r="W194" i="1"/>
  <c r="X194" i="1"/>
  <c r="AI190" i="1"/>
  <c r="U190" i="1"/>
  <c r="S190" i="1" s="1"/>
  <c r="W190" i="1"/>
  <c r="AI186" i="1"/>
  <c r="U186" i="1"/>
  <c r="S186" i="1" s="1"/>
  <c r="W186" i="1"/>
  <c r="X186" i="1"/>
  <c r="AI182" i="1"/>
  <c r="U182" i="1"/>
  <c r="S182" i="1" s="1"/>
  <c r="W182" i="1"/>
  <c r="U157" i="1"/>
  <c r="S157" i="1" s="1"/>
  <c r="AI157" i="1"/>
  <c r="W157" i="1"/>
  <c r="X157" i="1"/>
  <c r="T156" i="1"/>
  <c r="U156" i="1" s="1"/>
  <c r="S156" i="1" s="1"/>
  <c r="AI156" i="1"/>
  <c r="W156" i="1"/>
  <c r="U153" i="1"/>
  <c r="S153" i="1" s="1"/>
  <c r="AI153" i="1"/>
  <c r="W153" i="1"/>
  <c r="X153" i="1"/>
  <c r="U144" i="1"/>
  <c r="S144" i="1" s="1"/>
  <c r="AI144" i="1"/>
  <c r="W144" i="1"/>
  <c r="X144" i="1"/>
  <c r="U137" i="1"/>
  <c r="S137" i="1" s="1"/>
  <c r="AI137" i="1"/>
  <c r="W137" i="1"/>
  <c r="X137" i="1"/>
  <c r="AI125" i="1"/>
  <c r="U125" i="1"/>
  <c r="S125" i="1" s="1"/>
  <c r="W125" i="1"/>
  <c r="U113" i="1"/>
  <c r="S113" i="1" s="1"/>
  <c r="AI113" i="1"/>
  <c r="W113" i="1"/>
  <c r="AI112" i="1"/>
  <c r="U112" i="1"/>
  <c r="S112" i="1" s="1"/>
  <c r="W112" i="1"/>
  <c r="X112" i="1"/>
  <c r="AO14" i="1"/>
  <c r="AN14" i="1"/>
  <c r="AM14" i="1"/>
  <c r="AH14" i="1"/>
  <c r="AF14" i="1"/>
  <c r="AE14" i="1"/>
  <c r="AD14" i="1"/>
  <c r="AC14" i="1"/>
  <c r="AB14" i="1"/>
  <c r="Z14" i="1"/>
  <c r="AA14" i="1" s="1"/>
  <c r="V14" i="1"/>
  <c r="T14" i="1"/>
  <c r="M14" i="1"/>
  <c r="P14" i="1" s="1"/>
  <c r="L14" i="1"/>
  <c r="K14" i="1"/>
  <c r="AO15" i="1"/>
  <c r="AN15" i="1"/>
  <c r="AM15" i="1"/>
  <c r="AH15" i="1"/>
  <c r="AF15" i="1"/>
  <c r="AE15" i="1"/>
  <c r="AD15" i="1"/>
  <c r="X15" i="1" s="1"/>
  <c r="AC15" i="1"/>
  <c r="AB15" i="1"/>
  <c r="AA15" i="1"/>
  <c r="Z15" i="1"/>
  <c r="Y15" i="1"/>
  <c r="V15" i="1"/>
  <c r="T15" i="1"/>
  <c r="M15" i="1"/>
  <c r="N15" i="1" s="1"/>
  <c r="L15" i="1"/>
  <c r="K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A19" i="1" s="1"/>
  <c r="AB19" i="1"/>
  <c r="AC19" i="1"/>
  <c r="AD19" i="1"/>
  <c r="X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T21" i="1"/>
  <c r="V21" i="1"/>
  <c r="Y21" i="1"/>
  <c r="Z21" i="1"/>
  <c r="AA21" i="1" s="1"/>
  <c r="AB21" i="1"/>
  <c r="AC21" i="1"/>
  <c r="AD21" i="1"/>
  <c r="X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T23" i="1"/>
  <c r="V23" i="1"/>
  <c r="Y23" i="1"/>
  <c r="Z23" i="1"/>
  <c r="AA23" i="1" s="1"/>
  <c r="AB23" i="1"/>
  <c r="AC23" i="1"/>
  <c r="AD23" i="1"/>
  <c r="X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T25" i="1"/>
  <c r="V25" i="1"/>
  <c r="X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17" i="3" s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/>
  <c r="V39" i="1"/>
  <c r="Y39" i="1"/>
  <c r="Z39" i="1"/>
  <c r="AB39" i="1"/>
  <c r="AC39" i="1"/>
  <c r="AD39" i="1"/>
  <c r="X39" i="1" s="1"/>
  <c r="AE39" i="1"/>
  <c r="AF39" i="1"/>
  <c r="AH39" i="1"/>
  <c r="AM39" i="1"/>
  <c r="AN39" i="1"/>
  <c r="AO39" i="1"/>
  <c r="K40" i="1"/>
  <c r="L40" i="1"/>
  <c r="M40" i="1"/>
  <c r="P40" i="1" s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P43" i="1" s="1"/>
  <c r="V43" i="1"/>
  <c r="S29" i="3" s="1"/>
  <c r="Y43" i="1"/>
  <c r="AA43" i="1"/>
  <c r="AB43" i="1"/>
  <c r="AC43" i="1"/>
  <c r="AD43" i="1"/>
  <c r="AE43" i="1"/>
  <c r="R29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S23" i="3" s="1"/>
  <c r="Y47" i="1"/>
  <c r="Z47" i="1"/>
  <c r="AA47" i="1" s="1"/>
  <c r="AB47" i="1"/>
  <c r="AC47" i="1"/>
  <c r="AD47" i="1"/>
  <c r="T47" i="1" s="1"/>
  <c r="AE47" i="1"/>
  <c r="R23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T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P55" i="1" s="1"/>
  <c r="V55" i="1"/>
  <c r="S30" i="3" s="1"/>
  <c r="Y55" i="1"/>
  <c r="AA55" i="1" s="1"/>
  <c r="Z55" i="1"/>
  <c r="AB55" i="1"/>
  <c r="AC55" i="1"/>
  <c r="AD55" i="1"/>
  <c r="T55" i="1" s="1"/>
  <c r="AE55" i="1"/>
  <c r="R30" i="3" s="1"/>
  <c r="AF55" i="1"/>
  <c r="AH55" i="1"/>
  <c r="AM55" i="1"/>
  <c r="AN55" i="1"/>
  <c r="AO55" i="1"/>
  <c r="K56" i="1"/>
  <c r="L56" i="1"/>
  <c r="M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/>
  <c r="V68" i="1"/>
  <c r="Y68" i="1"/>
  <c r="Z68" i="1"/>
  <c r="AA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S21" i="3" s="1"/>
  <c r="Y69" i="1"/>
  <c r="Z69" i="1"/>
  <c r="AB69" i="1"/>
  <c r="AC69" i="1"/>
  <c r="AD69" i="1"/>
  <c r="AE69" i="1"/>
  <c r="R21" i="3" s="1"/>
  <c r="AF69" i="1"/>
  <c r="AH69" i="1"/>
  <c r="AM69" i="1"/>
  <c r="AN69" i="1"/>
  <c r="AO69" i="1"/>
  <c r="K70" i="1"/>
  <c r="L70" i="1"/>
  <c r="M70" i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12" i="3" s="1"/>
  <c r="Y86" i="1"/>
  <c r="Z86" i="1"/>
  <c r="AB86" i="1"/>
  <c r="AC86" i="1"/>
  <c r="AD86" i="1"/>
  <c r="AE86" i="1"/>
  <c r="R12" i="3" s="1"/>
  <c r="AF86" i="1"/>
  <c r="AH86" i="1"/>
  <c r="AM86" i="1"/>
  <c r="AN86" i="1"/>
  <c r="AO86" i="1"/>
  <c r="K87" i="1"/>
  <c r="L87" i="1"/>
  <c r="M87" i="1"/>
  <c r="N87" i="1" s="1"/>
  <c r="V87" i="1"/>
  <c r="S18" i="3" s="1"/>
  <c r="Y87" i="1"/>
  <c r="Z87" i="1"/>
  <c r="AA87" i="1" s="1"/>
  <c r="AB87" i="1"/>
  <c r="AC87" i="1"/>
  <c r="AD87" i="1"/>
  <c r="AE87" i="1"/>
  <c r="R18" i="3" s="1"/>
  <c r="AF87" i="1"/>
  <c r="AH87" i="1"/>
  <c r="AM87" i="1"/>
  <c r="AN87" i="1"/>
  <c r="AO87" i="1"/>
  <c r="K88" i="1"/>
  <c r="L88" i="1"/>
  <c r="M88" i="1"/>
  <c r="N88" i="1" s="1"/>
  <c r="V88" i="1"/>
  <c r="S26" i="3" s="1"/>
  <c r="Y88" i="1"/>
  <c r="Z88" i="1"/>
  <c r="AB88" i="1"/>
  <c r="AC88" i="1"/>
  <c r="AD88" i="1"/>
  <c r="AE88" i="1"/>
  <c r="R26" i="3" s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/>
  <c r="V92" i="1"/>
  <c r="Y92" i="1"/>
  <c r="AA92" i="1" s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P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60" i="1"/>
  <c r="L160" i="1"/>
  <c r="M160" i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S32" i="3" s="1"/>
  <c r="Y163" i="1"/>
  <c r="Z163" i="1"/>
  <c r="AB163" i="1"/>
  <c r="AC163" i="1"/>
  <c r="AD163" i="1"/>
  <c r="AE163" i="1"/>
  <c r="R32" i="3" s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169" i="1"/>
  <c r="L169" i="1"/>
  <c r="M169" i="1"/>
  <c r="N169" i="1" s="1"/>
  <c r="V169" i="1"/>
  <c r="Y169" i="1"/>
  <c r="Z169" i="1"/>
  <c r="AB169" i="1"/>
  <c r="AC169" i="1"/>
  <c r="AD169" i="1"/>
  <c r="X170" i="1" s="1"/>
  <c r="AE169" i="1"/>
  <c r="AF169" i="1"/>
  <c r="AH103" i="1"/>
  <c r="AM103" i="1"/>
  <c r="AN103" i="1"/>
  <c r="AO103" i="1"/>
  <c r="K170" i="1"/>
  <c r="L170" i="1"/>
  <c r="M170" i="1"/>
  <c r="N170" i="1" s="1"/>
  <c r="V170" i="1"/>
  <c r="Y170" i="1"/>
  <c r="AA170" i="1" s="1"/>
  <c r="Z170" i="1"/>
  <c r="AB170" i="1"/>
  <c r="AC170" i="1"/>
  <c r="AD170" i="1"/>
  <c r="T170" i="1" s="1"/>
  <c r="AE170" i="1"/>
  <c r="AF170" i="1"/>
  <c r="AH104" i="1"/>
  <c r="AM104" i="1"/>
  <c r="AN104" i="1"/>
  <c r="AO104" i="1"/>
  <c r="K94" i="1"/>
  <c r="L94" i="1"/>
  <c r="M94" i="1"/>
  <c r="N94" i="1"/>
  <c r="V94" i="1"/>
  <c r="Y94" i="1"/>
  <c r="Z94" i="1"/>
  <c r="AA94" i="1" s="1"/>
  <c r="AB94" i="1"/>
  <c r="AC94" i="1"/>
  <c r="AD94" i="1"/>
  <c r="AE94" i="1"/>
  <c r="AF94" i="1"/>
  <c r="AH105" i="1"/>
  <c r="AM105" i="1"/>
  <c r="AN105" i="1"/>
  <c r="AO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AM106" i="1"/>
  <c r="AN106" i="1"/>
  <c r="AO106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107" i="1"/>
  <c r="AM107" i="1"/>
  <c r="AN107" i="1"/>
  <c r="AO107" i="1"/>
  <c r="K173" i="1"/>
  <c r="L173" i="1"/>
  <c r="M173" i="1"/>
  <c r="N173" i="1"/>
  <c r="V173" i="1"/>
  <c r="Y173" i="1"/>
  <c r="AA173" i="1" s="1"/>
  <c r="Z173" i="1"/>
  <c r="AB173" i="1"/>
  <c r="AC173" i="1"/>
  <c r="AD173" i="1"/>
  <c r="T173" i="1" s="1"/>
  <c r="AE173" i="1"/>
  <c r="AF173" i="1"/>
  <c r="AH108" i="1"/>
  <c r="AM108" i="1"/>
  <c r="AN108" i="1"/>
  <c r="AO108" i="1"/>
  <c r="K174" i="1"/>
  <c r="L174" i="1"/>
  <c r="M174" i="1"/>
  <c r="N174" i="1"/>
  <c r="V174" i="1"/>
  <c r="Y174" i="1"/>
  <c r="Z174" i="1"/>
  <c r="AA174" i="1" s="1"/>
  <c r="AB174" i="1"/>
  <c r="AC174" i="1"/>
  <c r="AD174" i="1"/>
  <c r="X174" i="1" s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114" i="1"/>
  <c r="AM114" i="1"/>
  <c r="AN114" i="1"/>
  <c r="AO114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5" i="1"/>
  <c r="AM115" i="1"/>
  <c r="AN115" i="1"/>
  <c r="AO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AO116" i="1"/>
  <c r="K180" i="1"/>
  <c r="L180" i="1"/>
  <c r="M180" i="1"/>
  <c r="N180" i="1"/>
  <c r="V180" i="1"/>
  <c r="Y180" i="1"/>
  <c r="Z180" i="1"/>
  <c r="AB180" i="1"/>
  <c r="AC180" i="1"/>
  <c r="AD180" i="1"/>
  <c r="X180" i="1" s="1"/>
  <c r="AE180" i="1"/>
  <c r="AF180" i="1"/>
  <c r="AH117" i="1"/>
  <c r="AM117" i="1"/>
  <c r="AN117" i="1"/>
  <c r="AO117" i="1"/>
  <c r="K95" i="1"/>
  <c r="L95" i="1"/>
  <c r="M95" i="1"/>
  <c r="N95" i="1"/>
  <c r="V95" i="1"/>
  <c r="Y95" i="1"/>
  <c r="Z95" i="1"/>
  <c r="AB95" i="1"/>
  <c r="AC95" i="1"/>
  <c r="AD95" i="1"/>
  <c r="T95" i="1" s="1"/>
  <c r="AE95" i="1"/>
  <c r="AF95" i="1"/>
  <c r="AH118" i="1"/>
  <c r="AM118" i="1"/>
  <c r="AN118" i="1"/>
  <c r="AO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AM119" i="1"/>
  <c r="AN119" i="1"/>
  <c r="AO119" i="1"/>
  <c r="K183" i="1"/>
  <c r="L183" i="1"/>
  <c r="M183" i="1"/>
  <c r="N183" i="1"/>
  <c r="V183" i="1"/>
  <c r="Y183" i="1"/>
  <c r="AA183" i="1" s="1"/>
  <c r="Z183" i="1"/>
  <c r="AB183" i="1"/>
  <c r="AC183" i="1"/>
  <c r="AD183" i="1"/>
  <c r="T183" i="1" s="1"/>
  <c r="AE183" i="1"/>
  <c r="AF183" i="1"/>
  <c r="AH120" i="1"/>
  <c r="AM120" i="1"/>
  <c r="AN120" i="1"/>
  <c r="AO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AO1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124" i="1"/>
  <c r="AM124" i="1"/>
  <c r="AN124" i="1"/>
  <c r="AO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6" i="1"/>
  <c r="AM126" i="1"/>
  <c r="AN126" i="1"/>
  <c r="AO126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7" i="1"/>
  <c r="AM127" i="1"/>
  <c r="AN127" i="1"/>
  <c r="AO127" i="1"/>
  <c r="K191" i="1"/>
  <c r="L191" i="1"/>
  <c r="M191" i="1"/>
  <c r="N191" i="1" s="1"/>
  <c r="V191" i="1"/>
  <c r="AB191" i="1"/>
  <c r="AC191" i="1"/>
  <c r="AD191" i="1"/>
  <c r="AE191" i="1"/>
  <c r="AF191" i="1"/>
  <c r="AH128" i="1"/>
  <c r="AM128" i="1"/>
  <c r="AN128" i="1"/>
  <c r="AO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AO129" i="1"/>
  <c r="K193" i="1"/>
  <c r="L193" i="1"/>
  <c r="M193" i="1"/>
  <c r="N193" i="1" s="1"/>
  <c r="V193" i="1"/>
  <c r="S33" i="3" s="1"/>
  <c r="Y193" i="1"/>
  <c r="AA193" i="1" s="1"/>
  <c r="Z193" i="1"/>
  <c r="AB193" i="1"/>
  <c r="AC193" i="1"/>
  <c r="AD193" i="1"/>
  <c r="T193" i="1" s="1"/>
  <c r="AE193" i="1"/>
  <c r="R33" i="3" s="1"/>
  <c r="AF193" i="1"/>
  <c r="AH130" i="1"/>
  <c r="AM130" i="1"/>
  <c r="AN130" i="1"/>
  <c r="AO13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1" i="1"/>
  <c r="AM131" i="1"/>
  <c r="AN131" i="1"/>
  <c r="AO13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5" i="1"/>
  <c r="AM135" i="1"/>
  <c r="AN135" i="1"/>
  <c r="AO135" i="1"/>
  <c r="K100" i="1"/>
  <c r="L100" i="1"/>
  <c r="M100" i="1"/>
  <c r="N100" i="1" s="1"/>
  <c r="V100" i="1"/>
  <c r="S25" i="3" s="1"/>
  <c r="Y100" i="1"/>
  <c r="Z100" i="1"/>
  <c r="AA100" i="1" s="1"/>
  <c r="AB100" i="1"/>
  <c r="AC100" i="1"/>
  <c r="AD100" i="1"/>
  <c r="AE100" i="1"/>
  <c r="R25" i="3" s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T102" i="1"/>
  <c r="V102" i="1"/>
  <c r="S8" i="3" s="1"/>
  <c r="Y102" i="1"/>
  <c r="Z102" i="1"/>
  <c r="AB102" i="1"/>
  <c r="AC102" i="1"/>
  <c r="AD102" i="1"/>
  <c r="AE102" i="1"/>
  <c r="R8" i="3" s="1"/>
  <c r="AF102" i="1"/>
  <c r="AH139" i="1"/>
  <c r="AM139" i="1"/>
  <c r="AN139" i="1"/>
  <c r="AO139" i="1"/>
  <c r="K103" i="1"/>
  <c r="L103" i="1"/>
  <c r="M103" i="1"/>
  <c r="N103" i="1" s="1"/>
  <c r="V103" i="1"/>
  <c r="S13" i="3" s="1"/>
  <c r="Y103" i="1"/>
  <c r="Z103" i="1"/>
  <c r="AB103" i="1"/>
  <c r="AC103" i="1"/>
  <c r="AD103" i="1"/>
  <c r="T103" i="1" s="1"/>
  <c r="AE103" i="1"/>
  <c r="R13" i="3" s="1"/>
  <c r="AF103" i="1"/>
  <c r="AH140" i="1"/>
  <c r="AM140" i="1"/>
  <c r="AN140" i="1"/>
  <c r="AO14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1" i="1"/>
  <c r="AM141" i="1"/>
  <c r="AN141" i="1"/>
  <c r="AO14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42" i="1"/>
  <c r="AM142" i="1"/>
  <c r="AN142" i="1"/>
  <c r="AO142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3" i="1"/>
  <c r="AM143" i="1"/>
  <c r="AN143" i="1"/>
  <c r="AO143" i="1"/>
  <c r="K105" i="1"/>
  <c r="L105" i="1"/>
  <c r="M105" i="1"/>
  <c r="N105" i="1" s="1"/>
  <c r="T105" i="1"/>
  <c r="V105" i="1"/>
  <c r="Y105" i="1"/>
  <c r="Z105" i="1"/>
  <c r="AB105" i="1"/>
  <c r="AC105" i="1"/>
  <c r="AD105" i="1"/>
  <c r="AE105" i="1"/>
  <c r="AF105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9" i="1"/>
  <c r="AM149" i="1"/>
  <c r="AN149" i="1"/>
  <c r="AO149" i="1"/>
  <c r="K110" i="1"/>
  <c r="L110" i="1"/>
  <c r="M110" i="1"/>
  <c r="N110" i="1"/>
  <c r="V110" i="1"/>
  <c r="Y110" i="1"/>
  <c r="Z110" i="1"/>
  <c r="AA110" i="1" s="1"/>
  <c r="AB110" i="1"/>
  <c r="AC110" i="1"/>
  <c r="AD110" i="1"/>
  <c r="T110" i="1" s="1"/>
  <c r="AE110" i="1"/>
  <c r="AF110" i="1"/>
  <c r="AH150" i="1"/>
  <c r="AM150" i="1"/>
  <c r="AN150" i="1"/>
  <c r="AO150" i="1"/>
  <c r="K111" i="1"/>
  <c r="L111" i="1"/>
  <c r="M111" i="1"/>
  <c r="N111" i="1" s="1"/>
  <c r="T111" i="1"/>
  <c r="V111" i="1"/>
  <c r="Y111" i="1"/>
  <c r="Z111" i="1"/>
  <c r="AB111" i="1"/>
  <c r="AC111" i="1"/>
  <c r="AD111" i="1"/>
  <c r="AE111" i="1"/>
  <c r="AF111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2" i="1"/>
  <c r="AM152" i="1"/>
  <c r="AN152" i="1"/>
  <c r="AO152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54" i="1"/>
  <c r="AM154" i="1"/>
  <c r="AN154" i="1"/>
  <c r="AO154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5" i="1"/>
  <c r="AM155" i="1"/>
  <c r="AN155" i="1"/>
  <c r="AO155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8" i="1"/>
  <c r="AM158" i="1"/>
  <c r="AN158" i="1"/>
  <c r="AO158" i="1"/>
  <c r="K118" i="1"/>
  <c r="L118" i="1"/>
  <c r="M118" i="1"/>
  <c r="N118" i="1" s="1"/>
  <c r="V118" i="1"/>
  <c r="S28" i="3" s="1"/>
  <c r="Y118" i="1"/>
  <c r="Z118" i="1"/>
  <c r="AA118" i="1" s="1"/>
  <c r="AB118" i="1"/>
  <c r="AC118" i="1"/>
  <c r="AD118" i="1"/>
  <c r="T118" i="1" s="1"/>
  <c r="AE118" i="1"/>
  <c r="R28" i="3" s="1"/>
  <c r="AF118" i="1"/>
  <c r="AH159" i="1"/>
  <c r="AM159" i="1"/>
  <c r="AN159" i="1"/>
  <c r="AO159" i="1"/>
  <c r="K119" i="1"/>
  <c r="L119" i="1"/>
  <c r="M119" i="1"/>
  <c r="N119" i="1" s="1"/>
  <c r="T119" i="1"/>
  <c r="V119" i="1"/>
  <c r="Y119" i="1"/>
  <c r="Z119" i="1"/>
  <c r="AB119" i="1"/>
  <c r="AC119" i="1"/>
  <c r="AD119" i="1"/>
  <c r="AE119" i="1"/>
  <c r="AF119" i="1"/>
  <c r="AH160" i="1"/>
  <c r="AM160" i="1"/>
  <c r="AN160" i="1"/>
  <c r="AO160" i="1"/>
  <c r="K120" i="1"/>
  <c r="L120" i="1"/>
  <c r="M120" i="1"/>
  <c r="N120" i="1"/>
  <c r="V120" i="1"/>
  <c r="Y120" i="1"/>
  <c r="Z120" i="1"/>
  <c r="AA120" i="1" s="1"/>
  <c r="AB120" i="1"/>
  <c r="AC120" i="1"/>
  <c r="AD120" i="1"/>
  <c r="T120" i="1" s="1"/>
  <c r="AE120" i="1"/>
  <c r="AF120" i="1"/>
  <c r="AH161" i="1"/>
  <c r="AM161" i="1"/>
  <c r="AN161" i="1"/>
  <c r="AO161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2" i="1"/>
  <c r="AM162" i="1"/>
  <c r="AN162" i="1"/>
  <c r="AO162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3" i="1"/>
  <c r="AM163" i="1"/>
  <c r="AN163" i="1"/>
  <c r="AO163" i="1"/>
  <c r="K123" i="1"/>
  <c r="L123" i="1"/>
  <c r="M123" i="1"/>
  <c r="N123" i="1"/>
  <c r="V123" i="1"/>
  <c r="S15" i="3" s="1"/>
  <c r="Y123" i="1"/>
  <c r="Z123" i="1"/>
  <c r="AA123" i="1" s="1"/>
  <c r="AB123" i="1"/>
  <c r="AC123" i="1"/>
  <c r="AD123" i="1"/>
  <c r="X123" i="1" s="1"/>
  <c r="AE123" i="1"/>
  <c r="R9" i="3" s="1"/>
  <c r="AF123" i="1"/>
  <c r="AH164" i="1"/>
  <c r="AM164" i="1"/>
  <c r="AN164" i="1"/>
  <c r="AO164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70" i="1"/>
  <c r="AM170" i="1"/>
  <c r="AN170" i="1"/>
  <c r="AO170" i="1"/>
  <c r="K131" i="1"/>
  <c r="L131" i="1"/>
  <c r="M131" i="1"/>
  <c r="N131" i="1" s="1"/>
  <c r="V131" i="1"/>
  <c r="S27" i="3" s="1"/>
  <c r="Y131" i="1"/>
  <c r="Z131" i="1"/>
  <c r="AB131" i="1"/>
  <c r="AC131" i="1"/>
  <c r="AD131" i="1"/>
  <c r="T131" i="1" s="1"/>
  <c r="AE131" i="1"/>
  <c r="R27" i="3" s="1"/>
  <c r="AF131" i="1"/>
  <c r="AH171" i="1"/>
  <c r="AM171" i="1"/>
  <c r="AN171" i="1"/>
  <c r="AO171" i="1"/>
  <c r="K132" i="1"/>
  <c r="L132" i="1"/>
  <c r="M132" i="1"/>
  <c r="N132" i="1" s="1"/>
  <c r="T132" i="1"/>
  <c r="V132" i="1"/>
  <c r="Y132" i="1"/>
  <c r="Z132" i="1"/>
  <c r="AB132" i="1"/>
  <c r="AC132" i="1"/>
  <c r="AD132" i="1"/>
  <c r="AE132" i="1"/>
  <c r="AF132" i="1"/>
  <c r="AH172" i="1"/>
  <c r="AM172" i="1"/>
  <c r="AN172" i="1"/>
  <c r="AO172" i="1"/>
  <c r="K133" i="1"/>
  <c r="L133" i="1"/>
  <c r="M133" i="1"/>
  <c r="N133" i="1" s="1"/>
  <c r="V133" i="1"/>
  <c r="Y133" i="1"/>
  <c r="AA133" i="1" s="1"/>
  <c r="Z133" i="1"/>
  <c r="AB133" i="1"/>
  <c r="AC133" i="1"/>
  <c r="AD133" i="1"/>
  <c r="T133" i="1" s="1"/>
  <c r="AE133" i="1"/>
  <c r="AF133" i="1"/>
  <c r="AH173" i="1"/>
  <c r="AM173" i="1"/>
  <c r="AN173" i="1"/>
  <c r="AO173" i="1"/>
  <c r="K134" i="1"/>
  <c r="L134" i="1"/>
  <c r="M134" i="1"/>
  <c r="N134" i="1" s="1"/>
  <c r="V134" i="1"/>
  <c r="S31" i="3" s="1"/>
  <c r="Y134" i="1"/>
  <c r="Z134" i="1"/>
  <c r="AB134" i="1"/>
  <c r="AC134" i="1"/>
  <c r="AD134" i="1"/>
  <c r="AE134" i="1"/>
  <c r="R31" i="3" s="1"/>
  <c r="AF134" i="1"/>
  <c r="AH174" i="1"/>
  <c r="AM174" i="1"/>
  <c r="AN174" i="1"/>
  <c r="AO174" i="1"/>
  <c r="K135" i="1"/>
  <c r="L135" i="1"/>
  <c r="M135" i="1"/>
  <c r="N135" i="1"/>
  <c r="V135" i="1"/>
  <c r="Y135" i="1"/>
  <c r="Z135" i="1"/>
  <c r="AB135" i="1"/>
  <c r="AC135" i="1"/>
  <c r="AD135" i="1"/>
  <c r="AE135" i="1"/>
  <c r="AF135" i="1"/>
  <c r="AH175" i="1"/>
  <c r="AM175" i="1"/>
  <c r="AN175" i="1"/>
  <c r="AO175" i="1"/>
  <c r="K136" i="1"/>
  <c r="L136" i="1"/>
  <c r="M136" i="1"/>
  <c r="V136" i="1"/>
  <c r="S19" i="3" s="1"/>
  <c r="Y136" i="1"/>
  <c r="Z136" i="1"/>
  <c r="AB136" i="1"/>
  <c r="AC136" i="1"/>
  <c r="AD136" i="1"/>
  <c r="T136" i="1" s="1"/>
  <c r="AE136" i="1"/>
  <c r="R19" i="3" s="1"/>
  <c r="AF136" i="1"/>
  <c r="AH176" i="1"/>
  <c r="AM176" i="1"/>
  <c r="AN176" i="1"/>
  <c r="AO176" i="1"/>
  <c r="K138" i="1"/>
  <c r="L138" i="1"/>
  <c r="M138" i="1"/>
  <c r="N138" i="1"/>
  <c r="V138" i="1"/>
  <c r="Y138" i="1"/>
  <c r="Z138" i="1"/>
  <c r="AB138" i="1"/>
  <c r="AC138" i="1"/>
  <c r="AD138" i="1"/>
  <c r="AE138" i="1"/>
  <c r="AF138" i="1"/>
  <c r="AH177" i="1"/>
  <c r="AM177" i="1"/>
  <c r="AN177" i="1"/>
  <c r="AO177" i="1"/>
  <c r="K139" i="1"/>
  <c r="L139" i="1"/>
  <c r="M139" i="1"/>
  <c r="N139" i="1" s="1"/>
  <c r="V139" i="1"/>
  <c r="S7" i="3" s="1"/>
  <c r="Y139" i="1"/>
  <c r="Z139" i="1"/>
  <c r="AA139" i="1" s="1"/>
  <c r="AB139" i="1"/>
  <c r="AC139" i="1"/>
  <c r="AD139" i="1"/>
  <c r="T139" i="1" s="1"/>
  <c r="AE139" i="1"/>
  <c r="R7" i="3" s="1"/>
  <c r="AF139" i="1"/>
  <c r="AH178" i="1"/>
  <c r="AM178" i="1"/>
  <c r="AN178" i="1"/>
  <c r="AO17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9" i="1"/>
  <c r="AM179" i="1"/>
  <c r="AN179" i="1"/>
  <c r="AO179" i="1"/>
  <c r="K141" i="1"/>
  <c r="L141" i="1"/>
  <c r="M141" i="1"/>
  <c r="N141" i="1"/>
  <c r="V141" i="1"/>
  <c r="Y141" i="1"/>
  <c r="Z141" i="1"/>
  <c r="AA141" i="1" s="1"/>
  <c r="AB141" i="1"/>
  <c r="AC141" i="1"/>
  <c r="AD141" i="1"/>
  <c r="T141" i="1" s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3" i="1"/>
  <c r="AM183" i="1"/>
  <c r="AN183" i="1"/>
  <c r="AO183" i="1"/>
  <c r="K145" i="1"/>
  <c r="L145" i="1"/>
  <c r="M145" i="1"/>
  <c r="N145" i="1" s="1"/>
  <c r="V145" i="1"/>
  <c r="S16" i="3" s="1"/>
  <c r="Y145" i="1"/>
  <c r="AA145" i="1" s="1"/>
  <c r="Z145" i="1"/>
  <c r="AB145" i="1"/>
  <c r="AC145" i="1"/>
  <c r="AD145" i="1"/>
  <c r="T145" i="1" s="1"/>
  <c r="AE145" i="1"/>
  <c r="R16" i="3" s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5" i="1"/>
  <c r="AM185" i="1"/>
  <c r="AN185" i="1"/>
  <c r="AO185" i="1"/>
  <c r="K147" i="1"/>
  <c r="L147" i="1"/>
  <c r="M147" i="1"/>
  <c r="N147" i="1" s="1"/>
  <c r="V147" i="1"/>
  <c r="S10" i="3" s="1"/>
  <c r="Y147" i="1"/>
  <c r="Z147" i="1"/>
  <c r="AA147" i="1" s="1"/>
  <c r="AB147" i="1"/>
  <c r="AC147" i="1"/>
  <c r="AD147" i="1"/>
  <c r="AE147" i="1"/>
  <c r="R10" i="3" s="1"/>
  <c r="AF147" i="1"/>
  <c r="AH187" i="1"/>
  <c r="AM187" i="1"/>
  <c r="AN187" i="1"/>
  <c r="AO18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8" i="1"/>
  <c r="AM188" i="1"/>
  <c r="AN188" i="1"/>
  <c r="AO18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91" i="1"/>
  <c r="AM191" i="1"/>
  <c r="AN191" i="1"/>
  <c r="AO191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2" i="1"/>
  <c r="AM192" i="1"/>
  <c r="AN192" i="1"/>
  <c r="AO192" i="1"/>
  <c r="K152" i="1"/>
  <c r="L152" i="1"/>
  <c r="M152" i="1"/>
  <c r="N152" i="1"/>
  <c r="V152" i="1"/>
  <c r="Y152" i="1"/>
  <c r="Z152" i="1"/>
  <c r="AB152" i="1"/>
  <c r="AC152" i="1"/>
  <c r="AD152" i="1"/>
  <c r="T152" i="1" s="1"/>
  <c r="AE152" i="1"/>
  <c r="AF152" i="1"/>
  <c r="AH193" i="1"/>
  <c r="AM193" i="1"/>
  <c r="AN193" i="1"/>
  <c r="AO19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5" i="1"/>
  <c r="AM195" i="1"/>
  <c r="AN195" i="1"/>
  <c r="AO195" i="1"/>
  <c r="K155" i="1"/>
  <c r="L155" i="1"/>
  <c r="M155" i="1"/>
  <c r="N155" i="1"/>
  <c r="V155" i="1"/>
  <c r="S14" i="3" s="1"/>
  <c r="Y155" i="1"/>
  <c r="Z155" i="1"/>
  <c r="AB155" i="1"/>
  <c r="AC155" i="1"/>
  <c r="AD155" i="1"/>
  <c r="T155" i="1" s="1"/>
  <c r="AE155" i="1"/>
  <c r="R14" i="3" s="1"/>
  <c r="AF155" i="1"/>
  <c r="AH196" i="1"/>
  <c r="AM196" i="1"/>
  <c r="AN196" i="1"/>
  <c r="AO196" i="1"/>
  <c r="K158" i="1"/>
  <c r="L158" i="1"/>
  <c r="M158" i="1"/>
  <c r="N158" i="1"/>
  <c r="V158" i="1"/>
  <c r="Y158" i="1"/>
  <c r="Z158" i="1"/>
  <c r="AB158" i="1"/>
  <c r="AC158" i="1"/>
  <c r="AD158" i="1"/>
  <c r="T158" i="1" s="1"/>
  <c r="AE158" i="1"/>
  <c r="AF158" i="1"/>
  <c r="AH197" i="1"/>
  <c r="AM197" i="1"/>
  <c r="AN197" i="1"/>
  <c r="AO197" i="1"/>
  <c r="K159" i="1"/>
  <c r="L159" i="1"/>
  <c r="M159" i="1"/>
  <c r="N159" i="1"/>
  <c r="V159" i="1"/>
  <c r="Y159" i="1"/>
  <c r="Z159" i="1"/>
  <c r="AA159" i="1"/>
  <c r="AB159" i="1"/>
  <c r="AC159" i="1"/>
  <c r="AD159" i="1"/>
  <c r="T159" i="1" s="1"/>
  <c r="AE159" i="1"/>
  <c r="AF159" i="1"/>
  <c r="AH198" i="1"/>
  <c r="AM198" i="1"/>
  <c r="AN198" i="1"/>
  <c r="AO19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/>
  <c r="V199" i="1"/>
  <c r="Y199" i="1"/>
  <c r="Z199" i="1"/>
  <c r="AA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/>
  <c r="V203" i="1"/>
  <c r="Y203" i="1"/>
  <c r="AA203" i="1" s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/>
  <c r="V204" i="1"/>
  <c r="Y204" i="1"/>
  <c r="AA204" i="1" s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/>
  <c r="V207" i="1"/>
  <c r="Y207" i="1"/>
  <c r="AA207" i="1" s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M32" i="3"/>
  <c r="U32" i="3"/>
  <c r="T32" i="3" s="1"/>
  <c r="V32" i="3"/>
  <c r="X32" i="3"/>
  <c r="M17" i="3"/>
  <c r="S17" i="3"/>
  <c r="U17" i="3"/>
  <c r="AC17" i="3" s="1"/>
  <c r="V17" i="3"/>
  <c r="X17" i="3"/>
  <c r="M29" i="3"/>
  <c r="U29" i="3"/>
  <c r="V29" i="3"/>
  <c r="X29" i="3"/>
  <c r="M23" i="3"/>
  <c r="U23" i="3"/>
  <c r="T23" i="3" s="1"/>
  <c r="V23" i="3"/>
  <c r="X23" i="3"/>
  <c r="M24" i="3"/>
  <c r="S24" i="3"/>
  <c r="U24" i="3"/>
  <c r="T24" i="3" s="1"/>
  <c r="V24" i="3"/>
  <c r="X24" i="3"/>
  <c r="M30" i="3"/>
  <c r="U30" i="3"/>
  <c r="V30" i="3"/>
  <c r="X30" i="3"/>
  <c r="M22" i="3"/>
  <c r="U22" i="3"/>
  <c r="V22" i="3"/>
  <c r="X22" i="3"/>
  <c r="M21" i="3"/>
  <c r="U21" i="3"/>
  <c r="V21" i="3"/>
  <c r="X21" i="3"/>
  <c r="M18" i="3"/>
  <c r="U18" i="3"/>
  <c r="T18" i="3" s="1"/>
  <c r="V18" i="3"/>
  <c r="X18" i="3"/>
  <c r="M12" i="3"/>
  <c r="U12" i="3"/>
  <c r="V12" i="3"/>
  <c r="X12" i="3"/>
  <c r="M26" i="3"/>
  <c r="U26" i="3"/>
  <c r="V26" i="3"/>
  <c r="X26" i="3"/>
  <c r="M8" i="3"/>
  <c r="U8" i="3"/>
  <c r="V8" i="3"/>
  <c r="X8" i="3"/>
  <c r="M25" i="3"/>
  <c r="U25" i="3"/>
  <c r="T25" i="3" s="1"/>
  <c r="V25" i="3"/>
  <c r="X25" i="3"/>
  <c r="M13" i="3"/>
  <c r="U13" i="3"/>
  <c r="V13" i="3"/>
  <c r="X13" i="3"/>
  <c r="M28" i="3"/>
  <c r="U28" i="3"/>
  <c r="AD28" i="3" s="1"/>
  <c r="V28" i="3"/>
  <c r="X28" i="3"/>
  <c r="M20" i="3"/>
  <c r="R20" i="3"/>
  <c r="S20" i="3"/>
  <c r="U20" i="3"/>
  <c r="AD20" i="3" s="1"/>
  <c r="V20" i="3"/>
  <c r="X20" i="3"/>
  <c r="M15" i="3"/>
  <c r="U15" i="3"/>
  <c r="T15" i="3" s="1"/>
  <c r="V15" i="3"/>
  <c r="X15" i="3"/>
  <c r="M9" i="3"/>
  <c r="U9" i="3"/>
  <c r="AC9" i="3" s="1"/>
  <c r="V9" i="3"/>
  <c r="X9" i="3"/>
  <c r="M27" i="3"/>
  <c r="U27" i="3"/>
  <c r="AD27" i="3" s="1"/>
  <c r="V27" i="3"/>
  <c r="X27" i="3"/>
  <c r="M19" i="3"/>
  <c r="U19" i="3"/>
  <c r="V19" i="3"/>
  <c r="X19" i="3"/>
  <c r="M31" i="3"/>
  <c r="U31" i="3"/>
  <c r="T31" i="3" s="1"/>
  <c r="V31" i="3"/>
  <c r="X31" i="3"/>
  <c r="M7" i="3"/>
  <c r="U7" i="3"/>
  <c r="AC7" i="3" s="1"/>
  <c r="V7" i="3"/>
  <c r="X7" i="3"/>
  <c r="M33" i="3"/>
  <c r="U33" i="3"/>
  <c r="V33" i="3"/>
  <c r="X33" i="3"/>
  <c r="M16" i="3"/>
  <c r="U16" i="3"/>
  <c r="V16" i="3"/>
  <c r="X16" i="3"/>
  <c r="M10" i="3"/>
  <c r="U10" i="3"/>
  <c r="AC10" i="3" s="1"/>
  <c r="V10" i="3"/>
  <c r="X10" i="3"/>
  <c r="M14" i="3"/>
  <c r="U14" i="3"/>
  <c r="T14" i="3" s="1"/>
  <c r="V14" i="3"/>
  <c r="X14" i="3"/>
  <c r="M34" i="3"/>
  <c r="R34" i="3"/>
  <c r="S34" i="3"/>
  <c r="U34" i="3"/>
  <c r="AD34" i="3" s="1"/>
  <c r="V34" i="3"/>
  <c r="X34" i="3"/>
  <c r="AG30" i="1"/>
  <c r="AG52" i="1"/>
  <c r="AG68" i="1"/>
  <c r="AG84" i="1"/>
  <c r="AG166" i="1"/>
  <c r="AG95" i="1"/>
  <c r="AG20" i="1"/>
  <c r="AG98" i="1"/>
  <c r="AG114" i="1"/>
  <c r="AG131" i="1"/>
  <c r="AG151" i="1"/>
  <c r="AG197" i="1"/>
  <c r="AG18" i="1"/>
  <c r="AG49" i="1"/>
  <c r="AG65" i="1"/>
  <c r="AG81" i="1"/>
  <c r="AG163" i="1"/>
  <c r="AG178" i="1"/>
  <c r="AG29" i="1"/>
  <c r="AG195" i="1"/>
  <c r="AG109" i="1"/>
  <c r="AG128" i="1"/>
  <c r="AG146" i="1"/>
  <c r="AG154" i="1"/>
  <c r="AG220" i="1"/>
  <c r="AG87" i="1"/>
  <c r="AG202" i="1"/>
  <c r="AG138" i="1"/>
  <c r="AG67" i="1"/>
  <c r="AG97" i="1"/>
  <c r="AG38" i="1"/>
  <c r="AG70" i="1"/>
  <c r="AG168" i="1"/>
  <c r="AG28" i="1"/>
  <c r="AG116" i="1"/>
  <c r="AG199" i="1"/>
  <c r="AG47" i="1"/>
  <c r="AG169" i="1"/>
  <c r="AG101" i="1"/>
  <c r="AG143" i="1"/>
  <c r="AG22" i="1"/>
  <c r="AG74" i="1"/>
  <c r="AG171" i="1"/>
  <c r="AG196" i="1"/>
  <c r="AG147" i="1"/>
  <c r="AG43" i="1"/>
  <c r="AG165" i="1"/>
  <c r="AG210" i="1"/>
  <c r="AG215" i="1"/>
  <c r="W7" i="3"/>
  <c r="W20" i="3"/>
  <c r="W21" i="3"/>
  <c r="W17" i="3"/>
  <c r="W8" i="3"/>
  <c r="W10" i="3"/>
  <c r="W31" i="3"/>
  <c r="AG40" i="1"/>
  <c r="AG56" i="1"/>
  <c r="AG72" i="1"/>
  <c r="AG88" i="1"/>
  <c r="AG170" i="1"/>
  <c r="AG185" i="1"/>
  <c r="AG36" i="1"/>
  <c r="AG102" i="1"/>
  <c r="AG118" i="1"/>
  <c r="AG135" i="1"/>
  <c r="AG205" i="1"/>
  <c r="AG203" i="1"/>
  <c r="AG37" i="1"/>
  <c r="AG53" i="1"/>
  <c r="AG69" i="1"/>
  <c r="AG85" i="1"/>
  <c r="AG167" i="1"/>
  <c r="AG181" i="1"/>
  <c r="AG24" i="1"/>
  <c r="AG99" i="1"/>
  <c r="AG115" i="1"/>
  <c r="AG132" i="1"/>
  <c r="AG155" i="1"/>
  <c r="AG198" i="1"/>
  <c r="AG39" i="1"/>
  <c r="AG176" i="1"/>
  <c r="AG66" i="1"/>
  <c r="AG206" i="1"/>
  <c r="AG83" i="1"/>
  <c r="AG121" i="1"/>
  <c r="AG46" i="1"/>
  <c r="AG78" i="1"/>
  <c r="AG175" i="1"/>
  <c r="AG35" i="1"/>
  <c r="AG124" i="1"/>
  <c r="AG149" i="1"/>
  <c r="AG63" i="1"/>
  <c r="AG184" i="1"/>
  <c r="AG107" i="1"/>
  <c r="AG150" i="1"/>
  <c r="AG42" i="1"/>
  <c r="AG82" i="1"/>
  <c r="AG188" i="1"/>
  <c r="AG110" i="1"/>
  <c r="AG213" i="1"/>
  <c r="AG59" i="1"/>
  <c r="AG180" i="1"/>
  <c r="AG111" i="1"/>
  <c r="AG159" i="1"/>
  <c r="W26" i="3"/>
  <c r="W13" i="3"/>
  <c r="W34" i="3"/>
  <c r="W9" i="3"/>
  <c r="W25" i="3"/>
  <c r="W28" i="3"/>
  <c r="W24" i="3"/>
  <c r="AG14" i="1"/>
  <c r="AG44" i="1"/>
  <c r="AG60" i="1"/>
  <c r="AG76" i="1"/>
  <c r="AG92" i="1"/>
  <c r="AG173" i="1"/>
  <c r="AG96" i="1"/>
  <c r="AG31" i="1"/>
  <c r="AG104" i="1"/>
  <c r="AG122" i="1"/>
  <c r="AG140" i="1"/>
  <c r="AG216" i="1"/>
  <c r="AG211" i="1"/>
  <c r="AG41" i="1"/>
  <c r="AG57" i="1"/>
  <c r="AG48" i="1"/>
  <c r="AG177" i="1"/>
  <c r="AG127" i="1"/>
  <c r="AG45" i="1"/>
  <c r="AG89" i="1"/>
  <c r="AG187" i="1"/>
  <c r="AG103" i="1"/>
  <c r="AG136" i="1"/>
  <c r="AG204" i="1"/>
  <c r="AG192" i="1"/>
  <c r="AG26" i="1"/>
  <c r="AG148" i="1"/>
  <c r="AG86" i="1"/>
  <c r="AG100" i="1"/>
  <c r="AG200" i="1"/>
  <c r="AG21" i="1"/>
  <c r="AG201" i="1"/>
  <c r="AG90" i="1"/>
  <c r="AG120" i="1"/>
  <c r="AG75" i="1"/>
  <c r="AG130" i="1"/>
  <c r="W14" i="3"/>
  <c r="W32" i="3"/>
  <c r="W19" i="3"/>
  <c r="AG64" i="1"/>
  <c r="AG25" i="1"/>
  <c r="AG145" i="1"/>
  <c r="AG61" i="1"/>
  <c r="AG93" i="1"/>
  <c r="AG191" i="1"/>
  <c r="AG105" i="1"/>
  <c r="AG141" i="1"/>
  <c r="AG212" i="1"/>
  <c r="AG117" i="1"/>
  <c r="AG51" i="1"/>
  <c r="AG207" i="1"/>
  <c r="AG160" i="1"/>
  <c r="AG106" i="1"/>
  <c r="AG214" i="1"/>
  <c r="AG32" i="1"/>
  <c r="AG217" i="1"/>
  <c r="AG164" i="1"/>
  <c r="AG129" i="1"/>
  <c r="AG91" i="1"/>
  <c r="AG139" i="1"/>
  <c r="W18" i="3"/>
  <c r="W16" i="3"/>
  <c r="W12" i="3"/>
  <c r="AG80" i="1"/>
  <c r="AG193" i="1"/>
  <c r="AG152" i="1"/>
  <c r="AG73" i="1"/>
  <c r="AG94" i="1"/>
  <c r="AG19" i="1"/>
  <c r="AG119" i="1"/>
  <c r="AG208" i="1"/>
  <c r="AG55" i="1"/>
  <c r="AG179" i="1"/>
  <c r="AG172" i="1"/>
  <c r="AG54" i="1"/>
  <c r="AG183" i="1"/>
  <c r="AG133" i="1"/>
  <c r="AG79" i="1"/>
  <c r="AG126" i="1"/>
  <c r="AG50" i="1"/>
  <c r="AG33" i="1"/>
  <c r="AG158" i="1"/>
  <c r="AG189" i="1"/>
  <c r="AG222" i="1"/>
  <c r="W29" i="3"/>
  <c r="W22" i="3"/>
  <c r="W23" i="3"/>
  <c r="AG15" i="1"/>
  <c r="AG162" i="1"/>
  <c r="AG108" i="1"/>
  <c r="AG218" i="1"/>
  <c r="AG77" i="1"/>
  <c r="AG174" i="1"/>
  <c r="AG34" i="1"/>
  <c r="AG123" i="1"/>
  <c r="AG219" i="1"/>
  <c r="AG71" i="1"/>
  <c r="AG209" i="1"/>
  <c r="AG16" i="1"/>
  <c r="AG62" i="1"/>
  <c r="AG17" i="1"/>
  <c r="AG142" i="1"/>
  <c r="AG161" i="1"/>
  <c r="AG134" i="1"/>
  <c r="AG58" i="1"/>
  <c r="AG23" i="1"/>
  <c r="AG221" i="1"/>
  <c r="AG27" i="1"/>
  <c r="W30" i="3"/>
  <c r="W27" i="3"/>
  <c r="W33" i="3"/>
  <c r="W15" i="3"/>
  <c r="X100" i="1" l="1"/>
  <c r="AA166" i="1"/>
  <c r="AA221" i="1"/>
  <c r="AA208" i="1"/>
  <c r="AA158" i="1"/>
  <c r="AA138" i="1"/>
  <c r="AA135" i="1"/>
  <c r="AA134" i="1"/>
  <c r="AA126" i="1"/>
  <c r="AA116" i="1"/>
  <c r="AA114" i="1"/>
  <c r="AA106" i="1"/>
  <c r="AA195" i="1"/>
  <c r="AA184" i="1"/>
  <c r="AA93" i="1"/>
  <c r="AA80" i="1"/>
  <c r="AA74" i="1"/>
  <c r="AA62" i="1"/>
  <c r="AA61" i="1"/>
  <c r="AA46" i="1"/>
  <c r="AA41" i="1"/>
  <c r="T19" i="1"/>
  <c r="AA17" i="1"/>
  <c r="X210" i="1"/>
  <c r="AA210" i="1"/>
  <c r="AA196" i="1"/>
  <c r="AA71" i="1"/>
  <c r="AA152" i="1"/>
  <c r="AA151" i="1"/>
  <c r="AA111" i="1"/>
  <c r="AA105" i="1"/>
  <c r="AA102" i="1"/>
  <c r="X88" i="1"/>
  <c r="AA73" i="1"/>
  <c r="AA60" i="1"/>
  <c r="AA59" i="1"/>
  <c r="R24" i="3"/>
  <c r="S22" i="3"/>
  <c r="U14" i="1"/>
  <c r="S14" i="1" s="1"/>
  <c r="AI14" i="1"/>
  <c r="W14" i="1"/>
  <c r="AD32" i="3"/>
  <c r="U15" i="1"/>
  <c r="S15" i="1" s="1"/>
  <c r="AI15" i="1"/>
  <c r="W15" i="1"/>
  <c r="S9" i="3"/>
  <c r="AD21" i="3"/>
  <c r="X104" i="1"/>
  <c r="AA214" i="1"/>
  <c r="AA132" i="1"/>
  <c r="AA128" i="1"/>
  <c r="AA122" i="1"/>
  <c r="AA121" i="1"/>
  <c r="AC32" i="3"/>
  <c r="AA222" i="1"/>
  <c r="AA217" i="1"/>
  <c r="AA216" i="1"/>
  <c r="AA211" i="1"/>
  <c r="AA201" i="1"/>
  <c r="AA154" i="1"/>
  <c r="AA150" i="1"/>
  <c r="T138" i="1"/>
  <c r="X133" i="1"/>
  <c r="T123" i="1"/>
  <c r="X122" i="1"/>
  <c r="AA119" i="1"/>
  <c r="AA115" i="1"/>
  <c r="AA107" i="1"/>
  <c r="AA209" i="1"/>
  <c r="AA103" i="1"/>
  <c r="T100" i="1"/>
  <c r="AA97" i="1"/>
  <c r="AA96" i="1"/>
  <c r="AA185" i="1"/>
  <c r="AA160" i="1"/>
  <c r="AA91" i="1"/>
  <c r="AA86" i="1"/>
  <c r="X84" i="1"/>
  <c r="X83" i="1"/>
  <c r="X82" i="1"/>
  <c r="X81" i="1"/>
  <c r="AA72" i="1"/>
  <c r="AA70" i="1"/>
  <c r="AA69" i="1"/>
  <c r="AA67" i="1"/>
  <c r="AA58" i="1"/>
  <c r="X57" i="1"/>
  <c r="X53" i="1"/>
  <c r="X51" i="1"/>
  <c r="AA48" i="1"/>
  <c r="AA44" i="1"/>
  <c r="X43" i="1"/>
  <c r="X42" i="1"/>
  <c r="X34" i="1"/>
  <c r="T17" i="1"/>
  <c r="AA63" i="1"/>
  <c r="AA37" i="1"/>
  <c r="X31" i="1"/>
  <c r="AA148" i="1"/>
  <c r="X147" i="1"/>
  <c r="AA99" i="1"/>
  <c r="AA149" i="1"/>
  <c r="AA140" i="1"/>
  <c r="AA131" i="1"/>
  <c r="AA109" i="1"/>
  <c r="T210" i="1"/>
  <c r="AA90" i="1"/>
  <c r="AA89" i="1"/>
  <c r="X80" i="1"/>
  <c r="X79" i="1"/>
  <c r="X78" i="1"/>
  <c r="X77" i="1"/>
  <c r="AA75" i="1"/>
  <c r="AA66" i="1"/>
  <c r="AA65" i="1"/>
  <c r="AA52" i="1"/>
  <c r="AA38" i="1"/>
  <c r="AC25" i="3"/>
  <c r="R22" i="3"/>
  <c r="AD23" i="3"/>
  <c r="AD17" i="3"/>
  <c r="AC23" i="3"/>
  <c r="T116" i="1"/>
  <c r="T69" i="1"/>
  <c r="X69" i="1"/>
  <c r="T41" i="1"/>
  <c r="X41" i="1"/>
  <c r="AA220" i="1"/>
  <c r="AA212" i="1"/>
  <c r="X131" i="1"/>
  <c r="T124" i="1"/>
  <c r="X124" i="1"/>
  <c r="X108" i="1"/>
  <c r="T108" i="1"/>
  <c r="AA192" i="1"/>
  <c r="AA179" i="1"/>
  <c r="T164" i="1"/>
  <c r="T61" i="1"/>
  <c r="X61" i="1"/>
  <c r="X29" i="1"/>
  <c r="T29" i="1"/>
  <c r="R15" i="3"/>
  <c r="AA206" i="1"/>
  <c r="X141" i="1"/>
  <c r="X209" i="1"/>
  <c r="AA95" i="1"/>
  <c r="T87" i="1"/>
  <c r="X87" i="1"/>
  <c r="T73" i="1"/>
  <c r="X73" i="1"/>
  <c r="T85" i="1"/>
  <c r="X85" i="1"/>
  <c r="AA146" i="1"/>
  <c r="AA198" i="1"/>
  <c r="AA218" i="1"/>
  <c r="AA215" i="1"/>
  <c r="AA202" i="1"/>
  <c r="AA155" i="1"/>
  <c r="T115" i="1"/>
  <c r="X106" i="1"/>
  <c r="AA104" i="1"/>
  <c r="AA98" i="1"/>
  <c r="AA187" i="1"/>
  <c r="AA176" i="1"/>
  <c r="T89" i="1"/>
  <c r="X89" i="1"/>
  <c r="T65" i="1"/>
  <c r="X65" i="1"/>
  <c r="X27" i="1"/>
  <c r="T27" i="1"/>
  <c r="AA136" i="1"/>
  <c r="X132" i="1"/>
  <c r="X129" i="1"/>
  <c r="X120" i="1"/>
  <c r="X110" i="1"/>
  <c r="X105" i="1"/>
  <c r="AA175" i="1"/>
  <c r="AA171" i="1"/>
  <c r="AA167" i="1"/>
  <c r="AA164" i="1"/>
  <c r="X91" i="1"/>
  <c r="X90" i="1"/>
  <c r="AA88" i="1"/>
  <c r="AA81" i="1"/>
  <c r="AA79" i="1"/>
  <c r="X75" i="1"/>
  <c r="X74" i="1"/>
  <c r="X71" i="1"/>
  <c r="X70" i="1"/>
  <c r="X67" i="1"/>
  <c r="X66" i="1"/>
  <c r="X63" i="1"/>
  <c r="X62" i="1"/>
  <c r="X59" i="1"/>
  <c r="X52" i="1"/>
  <c r="AA49" i="1"/>
  <c r="X45" i="1"/>
  <c r="AA42" i="1"/>
  <c r="X38" i="1"/>
  <c r="T34" i="1"/>
  <c r="T31" i="1"/>
  <c r="AA29" i="1"/>
  <c r="AA27" i="1"/>
  <c r="X92" i="1"/>
  <c r="X86" i="1"/>
  <c r="AA84" i="1"/>
  <c r="AA83" i="1"/>
  <c r="AA77" i="1"/>
  <c r="X76" i="1"/>
  <c r="X72" i="1"/>
  <c r="X68" i="1"/>
  <c r="X64" i="1"/>
  <c r="X60" i="1"/>
  <c r="AA56" i="1"/>
  <c r="AA54" i="1"/>
  <c r="AA51" i="1"/>
  <c r="AA39" i="1"/>
  <c r="X143" i="1"/>
  <c r="T143" i="1"/>
  <c r="X24" i="1"/>
  <c r="T24" i="1"/>
  <c r="AA205" i="1"/>
  <c r="T147" i="1"/>
  <c r="AA143" i="1"/>
  <c r="W143" i="1" s="1"/>
  <c r="X135" i="1"/>
  <c r="X101" i="1"/>
  <c r="T101" i="1"/>
  <c r="X134" i="1"/>
  <c r="T134" i="1"/>
  <c r="T126" i="1"/>
  <c r="X117" i="1"/>
  <c r="T117" i="1"/>
  <c r="T168" i="1"/>
  <c r="X168" i="1"/>
  <c r="T162" i="1"/>
  <c r="U162" i="1" s="1"/>
  <c r="S162" i="1" s="1"/>
  <c r="X142" i="1"/>
  <c r="T135" i="1"/>
  <c r="U135" i="1" s="1"/>
  <c r="S135" i="1" s="1"/>
  <c r="T191" i="1"/>
  <c r="X148" i="1"/>
  <c r="X136" i="1"/>
  <c r="X128" i="1"/>
  <c r="X119" i="1"/>
  <c r="X118" i="1"/>
  <c r="X109" i="1"/>
  <c r="X107" i="1"/>
  <c r="T107" i="1"/>
  <c r="AA101" i="1"/>
  <c r="AA191" i="1"/>
  <c r="W191" i="1" s="1"/>
  <c r="X181" i="1"/>
  <c r="AA180" i="1"/>
  <c r="T174" i="1"/>
  <c r="AA168" i="1"/>
  <c r="W168" i="1" s="1"/>
  <c r="X166" i="1"/>
  <c r="AA163" i="1"/>
  <c r="T88" i="1"/>
  <c r="U88" i="1" s="1"/>
  <c r="S88" i="1" s="1"/>
  <c r="T80" i="1"/>
  <c r="T57" i="1"/>
  <c r="X54" i="1"/>
  <c r="T54" i="1"/>
  <c r="T49" i="1"/>
  <c r="X46" i="1"/>
  <c r="T46" i="1"/>
  <c r="T43" i="1"/>
  <c r="U43" i="1" s="1"/>
  <c r="S43" i="1" s="1"/>
  <c r="T39" i="1"/>
  <c r="X20" i="1"/>
  <c r="T20" i="1"/>
  <c r="T187" i="1"/>
  <c r="X176" i="1"/>
  <c r="X35" i="1"/>
  <c r="T35" i="1"/>
  <c r="U35" i="1" s="1"/>
  <c r="S35" i="1" s="1"/>
  <c r="X28" i="1"/>
  <c r="T28" i="1"/>
  <c r="X130" i="1"/>
  <c r="X121" i="1"/>
  <c r="X111" i="1"/>
  <c r="X102" i="1"/>
  <c r="T94" i="1"/>
  <c r="U94" i="1" s="1"/>
  <c r="S94" i="1" s="1"/>
  <c r="X32" i="1"/>
  <c r="T32" i="1"/>
  <c r="T16" i="1"/>
  <c r="U16" i="1" s="1"/>
  <c r="S16" i="1" s="1"/>
  <c r="X103" i="1"/>
  <c r="AA189" i="1"/>
  <c r="AA181" i="1"/>
  <c r="X178" i="1"/>
  <c r="AA172" i="1"/>
  <c r="AA169" i="1"/>
  <c r="AA165" i="1"/>
  <c r="AA161" i="1"/>
  <c r="W161" i="1" s="1"/>
  <c r="X56" i="1"/>
  <c r="X55" i="1"/>
  <c r="X48" i="1"/>
  <c r="X47" i="1"/>
  <c r="X44" i="1"/>
  <c r="X40" i="1"/>
  <c r="X33" i="1"/>
  <c r="X30" i="1"/>
  <c r="X26" i="1"/>
  <c r="X22" i="1"/>
  <c r="X18" i="1"/>
  <c r="AA30" i="1"/>
  <c r="AA26" i="1"/>
  <c r="AA22" i="1"/>
  <c r="AA18" i="1"/>
  <c r="X58" i="1"/>
  <c r="X50" i="1"/>
  <c r="U222" i="1"/>
  <c r="S222" i="1" s="1"/>
  <c r="AI222" i="1"/>
  <c r="W222" i="1"/>
  <c r="U221" i="1"/>
  <c r="S221" i="1" s="1"/>
  <c r="AI221" i="1"/>
  <c r="W221" i="1"/>
  <c r="U220" i="1"/>
  <c r="S220" i="1" s="1"/>
  <c r="AI220" i="1"/>
  <c r="W220" i="1"/>
  <c r="U218" i="1"/>
  <c r="S218" i="1" s="1"/>
  <c r="AI218" i="1"/>
  <c r="W218" i="1"/>
  <c r="U217" i="1"/>
  <c r="S217" i="1" s="1"/>
  <c r="AI217" i="1"/>
  <c r="W217" i="1"/>
  <c r="U214" i="1"/>
  <c r="S214" i="1" s="1"/>
  <c r="AI214" i="1"/>
  <c r="W214" i="1"/>
  <c r="U212" i="1"/>
  <c r="S212" i="1" s="1"/>
  <c r="AI212" i="1"/>
  <c r="W212" i="1"/>
  <c r="U211" i="1"/>
  <c r="S211" i="1" s="1"/>
  <c r="AI211" i="1"/>
  <c r="W211" i="1"/>
  <c r="U207" i="1"/>
  <c r="S207" i="1" s="1"/>
  <c r="AI209" i="1"/>
  <c r="W207" i="1"/>
  <c r="U206" i="1"/>
  <c r="S206" i="1" s="1"/>
  <c r="AI208" i="1"/>
  <c r="W206" i="1"/>
  <c r="U204" i="1"/>
  <c r="S204" i="1" s="1"/>
  <c r="AI206" i="1"/>
  <c r="W204" i="1"/>
  <c r="U203" i="1"/>
  <c r="S203" i="1" s="1"/>
  <c r="AI205" i="1"/>
  <c r="W203" i="1"/>
  <c r="U201" i="1"/>
  <c r="S201" i="1" s="1"/>
  <c r="AI203" i="1"/>
  <c r="W201" i="1"/>
  <c r="U200" i="1"/>
  <c r="S200" i="1" s="1"/>
  <c r="AI202" i="1"/>
  <c r="W200" i="1"/>
  <c r="U198" i="1"/>
  <c r="S198" i="1" s="1"/>
  <c r="AI200" i="1"/>
  <c r="W198" i="1"/>
  <c r="U197" i="1"/>
  <c r="S197" i="1" s="1"/>
  <c r="AI199" i="1"/>
  <c r="W197" i="1"/>
  <c r="U159" i="1"/>
  <c r="S159" i="1" s="1"/>
  <c r="AI198" i="1"/>
  <c r="W159" i="1"/>
  <c r="U158" i="1"/>
  <c r="S158" i="1" s="1"/>
  <c r="AI197" i="1"/>
  <c r="W158" i="1"/>
  <c r="U154" i="1"/>
  <c r="S154" i="1" s="1"/>
  <c r="AI195" i="1"/>
  <c r="W154" i="1"/>
  <c r="U152" i="1"/>
  <c r="S152" i="1" s="1"/>
  <c r="AI193" i="1"/>
  <c r="W152" i="1"/>
  <c r="U150" i="1"/>
  <c r="S150" i="1" s="1"/>
  <c r="W150" i="1"/>
  <c r="AI191" i="1"/>
  <c r="U149" i="1"/>
  <c r="S149" i="1" s="1"/>
  <c r="AI189" i="1"/>
  <c r="U219" i="1"/>
  <c r="S219" i="1" s="1"/>
  <c r="AI219" i="1"/>
  <c r="W219" i="1"/>
  <c r="U216" i="1"/>
  <c r="S216" i="1" s="1"/>
  <c r="AI216" i="1"/>
  <c r="W216" i="1"/>
  <c r="U215" i="1"/>
  <c r="S215" i="1" s="1"/>
  <c r="AI215" i="1"/>
  <c r="W215" i="1"/>
  <c r="U213" i="1"/>
  <c r="S213" i="1" s="1"/>
  <c r="AI213" i="1"/>
  <c r="W213" i="1"/>
  <c r="U208" i="1"/>
  <c r="S208" i="1" s="1"/>
  <c r="AI210" i="1"/>
  <c r="W208" i="1"/>
  <c r="U205" i="1"/>
  <c r="S205" i="1" s="1"/>
  <c r="AI207" i="1"/>
  <c r="W205" i="1"/>
  <c r="U202" i="1"/>
  <c r="S202" i="1" s="1"/>
  <c r="AI204" i="1"/>
  <c r="W202" i="1"/>
  <c r="U199" i="1"/>
  <c r="S199" i="1" s="1"/>
  <c r="AI201" i="1"/>
  <c r="W199" i="1"/>
  <c r="U155" i="1"/>
  <c r="S155" i="1" s="1"/>
  <c r="AI196" i="1"/>
  <c r="W155" i="1"/>
  <c r="U151" i="1"/>
  <c r="S151" i="1" s="1"/>
  <c r="AI192" i="1"/>
  <c r="W151" i="1"/>
  <c r="U148" i="1"/>
  <c r="S148" i="1" s="1"/>
  <c r="AI188" i="1"/>
  <c r="W148" i="1"/>
  <c r="U147" i="1"/>
  <c r="S147" i="1" s="1"/>
  <c r="AI187" i="1"/>
  <c r="U146" i="1"/>
  <c r="S146" i="1" s="1"/>
  <c r="AI185" i="1"/>
  <c r="W146" i="1"/>
  <c r="U145" i="1"/>
  <c r="S145" i="1" s="1"/>
  <c r="AI184" i="1"/>
  <c r="U143" i="1"/>
  <c r="S143" i="1" s="1"/>
  <c r="AI183" i="1"/>
  <c r="U142" i="1"/>
  <c r="S142" i="1" s="1"/>
  <c r="AI181" i="1"/>
  <c r="U141" i="1"/>
  <c r="S141" i="1" s="1"/>
  <c r="AI180" i="1"/>
  <c r="W141" i="1"/>
  <c r="U140" i="1"/>
  <c r="S140" i="1" s="1"/>
  <c r="AI179" i="1"/>
  <c r="U139" i="1"/>
  <c r="S139" i="1" s="1"/>
  <c r="AI178" i="1"/>
  <c r="W139" i="1"/>
  <c r="U138" i="1"/>
  <c r="S138" i="1" s="1"/>
  <c r="AI177" i="1"/>
  <c r="U136" i="1"/>
  <c r="S136" i="1" s="1"/>
  <c r="AI176" i="1"/>
  <c r="W136" i="1"/>
  <c r="AI175" i="1"/>
  <c r="U134" i="1"/>
  <c r="S134" i="1" s="1"/>
  <c r="AI174" i="1"/>
  <c r="W134" i="1"/>
  <c r="U133" i="1"/>
  <c r="S133" i="1" s="1"/>
  <c r="AI173" i="1"/>
  <c r="U132" i="1"/>
  <c r="S132" i="1" s="1"/>
  <c r="AI172" i="1"/>
  <c r="W132" i="1"/>
  <c r="U131" i="1"/>
  <c r="S131" i="1" s="1"/>
  <c r="AI171" i="1"/>
  <c r="U130" i="1"/>
  <c r="S130" i="1" s="1"/>
  <c r="AI170" i="1"/>
  <c r="W130" i="1"/>
  <c r="U129" i="1"/>
  <c r="S129" i="1" s="1"/>
  <c r="AI169" i="1"/>
  <c r="U128" i="1"/>
  <c r="S128" i="1" s="1"/>
  <c r="AI168" i="1"/>
  <c r="W128" i="1"/>
  <c r="U127" i="1"/>
  <c r="S127" i="1" s="1"/>
  <c r="AI167" i="1"/>
  <c r="U126" i="1"/>
  <c r="S126" i="1" s="1"/>
  <c r="AI166" i="1"/>
  <c r="W126" i="1"/>
  <c r="U124" i="1"/>
  <c r="S124" i="1" s="1"/>
  <c r="AI165" i="1"/>
  <c r="U123" i="1"/>
  <c r="S123" i="1" s="1"/>
  <c r="AI164" i="1"/>
  <c r="W123" i="1"/>
  <c r="U122" i="1"/>
  <c r="S122" i="1" s="1"/>
  <c r="AI163" i="1"/>
  <c r="U121" i="1"/>
  <c r="S121" i="1" s="1"/>
  <c r="AI162" i="1"/>
  <c r="W121" i="1"/>
  <c r="U120" i="1"/>
  <c r="S120" i="1" s="1"/>
  <c r="AI161" i="1"/>
  <c r="U119" i="1"/>
  <c r="S119" i="1" s="1"/>
  <c r="AI160" i="1"/>
  <c r="W119" i="1"/>
  <c r="U118" i="1"/>
  <c r="S118" i="1" s="1"/>
  <c r="AI159" i="1"/>
  <c r="U117" i="1"/>
  <c r="S117" i="1" s="1"/>
  <c r="AI158" i="1"/>
  <c r="W117" i="1"/>
  <c r="U116" i="1"/>
  <c r="S116" i="1" s="1"/>
  <c r="AI155" i="1"/>
  <c r="U115" i="1"/>
  <c r="S115" i="1" s="1"/>
  <c r="AI154" i="1"/>
  <c r="W115" i="1"/>
  <c r="U114" i="1"/>
  <c r="S114" i="1" s="1"/>
  <c r="AI152" i="1"/>
  <c r="U111" i="1"/>
  <c r="S111" i="1" s="1"/>
  <c r="AI151" i="1"/>
  <c r="W111" i="1"/>
  <c r="U110" i="1"/>
  <c r="S110" i="1" s="1"/>
  <c r="AI150" i="1"/>
  <c r="U109" i="1"/>
  <c r="S109" i="1" s="1"/>
  <c r="AI149" i="1"/>
  <c r="W109" i="1"/>
  <c r="U108" i="1"/>
  <c r="S108" i="1" s="1"/>
  <c r="AI148" i="1"/>
  <c r="U107" i="1"/>
  <c r="S107" i="1" s="1"/>
  <c r="AI147" i="1"/>
  <c r="W107" i="1"/>
  <c r="U106" i="1"/>
  <c r="S106" i="1" s="1"/>
  <c r="AI146" i="1"/>
  <c r="U105" i="1"/>
  <c r="S105" i="1" s="1"/>
  <c r="AI145" i="1"/>
  <c r="W105" i="1"/>
  <c r="U104" i="1"/>
  <c r="S104" i="1" s="1"/>
  <c r="AI143" i="1"/>
  <c r="U210" i="1"/>
  <c r="S210" i="1" s="1"/>
  <c r="AI142" i="1"/>
  <c r="W210" i="1"/>
  <c r="U209" i="1"/>
  <c r="S209" i="1" s="1"/>
  <c r="AI141" i="1"/>
  <c r="U103" i="1"/>
  <c r="S103" i="1" s="1"/>
  <c r="AI140" i="1"/>
  <c r="W103" i="1"/>
  <c r="U102" i="1"/>
  <c r="S102" i="1" s="1"/>
  <c r="AI139" i="1"/>
  <c r="U101" i="1"/>
  <c r="S101" i="1" s="1"/>
  <c r="AI138" i="1"/>
  <c r="W101" i="1"/>
  <c r="U100" i="1"/>
  <c r="S100" i="1" s="1"/>
  <c r="AI136" i="1"/>
  <c r="U99" i="1"/>
  <c r="S99" i="1" s="1"/>
  <c r="AI135" i="1"/>
  <c r="W99" i="1"/>
  <c r="U98" i="1"/>
  <c r="S98" i="1" s="1"/>
  <c r="AI134" i="1"/>
  <c r="U97" i="1"/>
  <c r="S97" i="1" s="1"/>
  <c r="AI133" i="1"/>
  <c r="U196" i="1"/>
  <c r="S196" i="1" s="1"/>
  <c r="AI132" i="1"/>
  <c r="U195" i="1"/>
  <c r="S195" i="1" s="1"/>
  <c r="AI131" i="1"/>
  <c r="W195" i="1"/>
  <c r="U193" i="1"/>
  <c r="S193" i="1" s="1"/>
  <c r="AI130" i="1"/>
  <c r="U192" i="1"/>
  <c r="S192" i="1" s="1"/>
  <c r="AI129" i="1"/>
  <c r="AI35" i="1"/>
  <c r="AI34" i="1"/>
  <c r="U34" i="1"/>
  <c r="S34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36" i="1"/>
  <c r="AI32" i="1"/>
  <c r="U32" i="1"/>
  <c r="S32" i="1" s="1"/>
  <c r="AI28" i="1"/>
  <c r="U28" i="1"/>
  <c r="S28" i="1" s="1"/>
  <c r="AI24" i="1"/>
  <c r="U24" i="1"/>
  <c r="S24" i="1" s="1"/>
  <c r="AI20" i="1"/>
  <c r="U20" i="1"/>
  <c r="S20" i="1" s="1"/>
  <c r="AI16" i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U191" i="1"/>
  <c r="S191" i="1" s="1"/>
  <c r="AI128" i="1"/>
  <c r="U96" i="1"/>
  <c r="S96" i="1" s="1"/>
  <c r="AI127" i="1"/>
  <c r="AI126" i="1"/>
  <c r="U188" i="1"/>
  <c r="S188" i="1" s="1"/>
  <c r="AI124" i="1"/>
  <c r="U187" i="1"/>
  <c r="S187" i="1" s="1"/>
  <c r="AI123" i="1"/>
  <c r="U185" i="1"/>
  <c r="S185" i="1" s="1"/>
  <c r="AI122" i="1"/>
  <c r="AI121" i="1"/>
  <c r="U183" i="1"/>
  <c r="S183" i="1" s="1"/>
  <c r="AI120" i="1"/>
  <c r="U181" i="1"/>
  <c r="S181" i="1" s="1"/>
  <c r="AI119" i="1"/>
  <c r="U95" i="1"/>
  <c r="S95" i="1" s="1"/>
  <c r="AI118" i="1"/>
  <c r="AI117" i="1"/>
  <c r="U179" i="1"/>
  <c r="S179" i="1" s="1"/>
  <c r="AI116" i="1"/>
  <c r="U178" i="1"/>
  <c r="S178" i="1" s="1"/>
  <c r="AI115" i="1"/>
  <c r="U177" i="1"/>
  <c r="S177" i="1" s="1"/>
  <c r="AI114" i="1"/>
  <c r="AI111" i="1"/>
  <c r="U175" i="1"/>
  <c r="S175" i="1" s="1"/>
  <c r="AI110" i="1"/>
  <c r="U174" i="1"/>
  <c r="S174" i="1" s="1"/>
  <c r="AI109" i="1"/>
  <c r="U173" i="1"/>
  <c r="S173" i="1" s="1"/>
  <c r="AI108" i="1"/>
  <c r="AI107" i="1"/>
  <c r="U171" i="1"/>
  <c r="S171" i="1" s="1"/>
  <c r="AI106" i="1"/>
  <c r="AI105" i="1"/>
  <c r="U170" i="1"/>
  <c r="S170" i="1" s="1"/>
  <c r="AI104" i="1"/>
  <c r="AI103" i="1"/>
  <c r="U168" i="1"/>
  <c r="S168" i="1" s="1"/>
  <c r="AI102" i="1"/>
  <c r="AI101" i="1"/>
  <c r="U166" i="1"/>
  <c r="S166" i="1" s="1"/>
  <c r="AI100" i="1"/>
  <c r="AI99" i="1"/>
  <c r="U164" i="1"/>
  <c r="S164" i="1" s="1"/>
  <c r="AI98" i="1"/>
  <c r="AI97" i="1"/>
  <c r="AI96" i="1"/>
  <c r="AI95" i="1"/>
  <c r="U160" i="1"/>
  <c r="AI94" i="1"/>
  <c r="AI93" i="1"/>
  <c r="AI92" i="1"/>
  <c r="W92" i="1"/>
  <c r="U91" i="1"/>
  <c r="S91" i="1" s="1"/>
  <c r="AI91" i="1"/>
  <c r="W90" i="1"/>
  <c r="AI90" i="1"/>
  <c r="U89" i="1"/>
  <c r="S89" i="1" s="1"/>
  <c r="AI89" i="1"/>
  <c r="AI88" i="1"/>
  <c r="U87" i="1"/>
  <c r="S87" i="1" s="1"/>
  <c r="AI87" i="1"/>
  <c r="AI86" i="1"/>
  <c r="U85" i="1"/>
  <c r="S85" i="1" s="1"/>
  <c r="AI85" i="1"/>
  <c r="AI84" i="1"/>
  <c r="W84" i="1"/>
  <c r="U83" i="1"/>
  <c r="S83" i="1" s="1"/>
  <c r="AI83" i="1"/>
  <c r="W82" i="1"/>
  <c r="AI82" i="1"/>
  <c r="U81" i="1"/>
  <c r="S81" i="1" s="1"/>
  <c r="AI81" i="1"/>
  <c r="U80" i="1"/>
  <c r="S80" i="1" s="1"/>
  <c r="AI80" i="1"/>
  <c r="U79" i="1"/>
  <c r="S79" i="1" s="1"/>
  <c r="AI79" i="1"/>
  <c r="AI78" i="1"/>
  <c r="U77" i="1"/>
  <c r="S77" i="1" s="1"/>
  <c r="AI77" i="1"/>
  <c r="AI76" i="1"/>
  <c r="W76" i="1"/>
  <c r="U75" i="1"/>
  <c r="S75" i="1" s="1"/>
  <c r="AI75" i="1"/>
  <c r="W74" i="1"/>
  <c r="AI74" i="1"/>
  <c r="U73" i="1"/>
  <c r="S73" i="1" s="1"/>
  <c r="AI73" i="1"/>
  <c r="U72" i="1"/>
  <c r="S72" i="1" s="1"/>
  <c r="AI72" i="1"/>
  <c r="U71" i="1"/>
  <c r="S71" i="1" s="1"/>
  <c r="AI71" i="1"/>
  <c r="AI70" i="1"/>
  <c r="U69" i="1"/>
  <c r="AI69" i="1"/>
  <c r="AI68" i="1"/>
  <c r="W68" i="1"/>
  <c r="U67" i="1"/>
  <c r="S67" i="1" s="1"/>
  <c r="AI67" i="1"/>
  <c r="W66" i="1"/>
  <c r="AI66" i="1"/>
  <c r="U65" i="1"/>
  <c r="S65" i="1" s="1"/>
  <c r="AI65" i="1"/>
  <c r="U64" i="1"/>
  <c r="S64" i="1" s="1"/>
  <c r="AI64" i="1"/>
  <c r="U63" i="1"/>
  <c r="S63" i="1" s="1"/>
  <c r="AI63" i="1"/>
  <c r="AI62" i="1"/>
  <c r="U61" i="1"/>
  <c r="S61" i="1" s="1"/>
  <c r="AI61" i="1"/>
  <c r="AI60" i="1"/>
  <c r="W60" i="1"/>
  <c r="U59" i="1"/>
  <c r="S59" i="1" s="1"/>
  <c r="AI59" i="1"/>
  <c r="U58" i="1"/>
  <c r="S58" i="1" s="1"/>
  <c r="AI58" i="1"/>
  <c r="U57" i="1"/>
  <c r="S57" i="1" s="1"/>
  <c r="AI57" i="1"/>
  <c r="U56" i="1"/>
  <c r="AI56" i="1"/>
  <c r="W56" i="1"/>
  <c r="U55" i="1"/>
  <c r="AI55" i="1"/>
  <c r="U54" i="1"/>
  <c r="S54" i="1" s="1"/>
  <c r="AI54" i="1"/>
  <c r="W54" i="1"/>
  <c r="U53" i="1"/>
  <c r="S53" i="1" s="1"/>
  <c r="AI53" i="1"/>
  <c r="U52" i="1"/>
  <c r="S52" i="1" s="1"/>
  <c r="AI52" i="1"/>
  <c r="W52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W48" i="1"/>
  <c r="U47" i="1"/>
  <c r="S47" i="1" s="1"/>
  <c r="AI47" i="1"/>
  <c r="U46" i="1"/>
  <c r="S46" i="1" s="1"/>
  <c r="AI46" i="1"/>
  <c r="W46" i="1"/>
  <c r="U45" i="1"/>
  <c r="S45" i="1" s="1"/>
  <c r="AI45" i="1"/>
  <c r="U44" i="1"/>
  <c r="S44" i="1" s="1"/>
  <c r="AI44" i="1"/>
  <c r="AI43" i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U38" i="1"/>
  <c r="S38" i="1" s="1"/>
  <c r="AI38" i="1"/>
  <c r="U37" i="1"/>
  <c r="S37" i="1" s="1"/>
  <c r="AI37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W192" i="1"/>
  <c r="W188" i="1"/>
  <c r="W149" i="1"/>
  <c r="W97" i="1"/>
  <c r="W145" i="1"/>
  <c r="W140" i="1"/>
  <c r="W127" i="1"/>
  <c r="W118" i="1"/>
  <c r="W108" i="1"/>
  <c r="W102" i="1"/>
  <c r="W95" i="1"/>
  <c r="W175" i="1"/>
  <c r="W147" i="1"/>
  <c r="W142" i="1"/>
  <c r="W133" i="1"/>
  <c r="W129" i="1"/>
  <c r="W98" i="1"/>
  <c r="W96" i="1"/>
  <c r="X189" i="1"/>
  <c r="T189" i="1"/>
  <c r="U189" i="1" s="1"/>
  <c r="S189" i="1" s="1"/>
  <c r="W177" i="1"/>
  <c r="W171" i="1"/>
  <c r="W131" i="1"/>
  <c r="W114" i="1"/>
  <c r="W196" i="1"/>
  <c r="W193" i="1"/>
  <c r="W185" i="1"/>
  <c r="W179" i="1"/>
  <c r="W135" i="1"/>
  <c r="W122" i="1"/>
  <c r="W104" i="1"/>
  <c r="W138" i="1"/>
  <c r="W124" i="1"/>
  <c r="W120" i="1"/>
  <c r="W116" i="1"/>
  <c r="W110" i="1"/>
  <c r="W106" i="1"/>
  <c r="W209" i="1"/>
  <c r="W100" i="1"/>
  <c r="W183" i="1"/>
  <c r="W173" i="1"/>
  <c r="W91" i="1"/>
  <c r="W83" i="1"/>
  <c r="W75" i="1"/>
  <c r="W67" i="1"/>
  <c r="W59" i="1"/>
  <c r="W51" i="1"/>
  <c r="W38" i="1"/>
  <c r="W58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08" i="1"/>
  <c r="X207" i="1"/>
  <c r="X206" i="1"/>
  <c r="X205" i="1"/>
  <c r="X204" i="1"/>
  <c r="X203" i="1"/>
  <c r="X202" i="1"/>
  <c r="X201" i="1"/>
  <c r="X200" i="1"/>
  <c r="X199" i="1"/>
  <c r="X198" i="1"/>
  <c r="X152" i="1"/>
  <c r="X151" i="1"/>
  <c r="X150" i="1"/>
  <c r="X149" i="1"/>
  <c r="X99" i="1"/>
  <c r="W189" i="1"/>
  <c r="X188" i="1"/>
  <c r="W184" i="1"/>
  <c r="W180" i="1"/>
  <c r="X179" i="1"/>
  <c r="W176" i="1"/>
  <c r="X175" i="1"/>
  <c r="W172" i="1"/>
  <c r="X171" i="1"/>
  <c r="X169" i="1"/>
  <c r="T169" i="1"/>
  <c r="U169" i="1" s="1"/>
  <c r="S169" i="1" s="1"/>
  <c r="X167" i="1"/>
  <c r="T167" i="1"/>
  <c r="U167" i="1" s="1"/>
  <c r="S167" i="1" s="1"/>
  <c r="T165" i="1"/>
  <c r="U165" i="1" s="1"/>
  <c r="S165" i="1" s="1"/>
  <c r="T163" i="1"/>
  <c r="U163" i="1" s="1"/>
  <c r="S163" i="1" s="1"/>
  <c r="T161" i="1"/>
  <c r="U161" i="1" s="1"/>
  <c r="S161" i="1" s="1"/>
  <c r="T93" i="1"/>
  <c r="U93" i="1" s="1"/>
  <c r="S93" i="1" s="1"/>
  <c r="W87" i="1"/>
  <c r="W85" i="1"/>
  <c r="W79" i="1"/>
  <c r="W77" i="1"/>
  <c r="W71" i="1"/>
  <c r="W69" i="1"/>
  <c r="W63" i="1"/>
  <c r="W61" i="1"/>
  <c r="W55" i="1"/>
  <c r="W45" i="1"/>
  <c r="W53" i="1"/>
  <c r="W49" i="1"/>
  <c r="W42" i="1"/>
  <c r="W187" i="1"/>
  <c r="X185" i="1"/>
  <c r="W181" i="1"/>
  <c r="W178" i="1"/>
  <c r="X177" i="1"/>
  <c r="W174" i="1"/>
  <c r="X173" i="1"/>
  <c r="W94" i="1"/>
  <c r="W89" i="1"/>
  <c r="W81" i="1"/>
  <c r="W73" i="1"/>
  <c r="W65" i="1"/>
  <c r="W21" i="1"/>
  <c r="W37" i="1"/>
  <c r="T184" i="1"/>
  <c r="U184" i="1" s="1"/>
  <c r="S184" i="1" s="1"/>
  <c r="T180" i="1"/>
  <c r="U180" i="1" s="1"/>
  <c r="S180" i="1" s="1"/>
  <c r="T176" i="1"/>
  <c r="U176" i="1" s="1"/>
  <c r="S176" i="1" s="1"/>
  <c r="T172" i="1"/>
  <c r="U172" i="1" s="1"/>
  <c r="S172" i="1" s="1"/>
  <c r="W170" i="1"/>
  <c r="W169" i="1"/>
  <c r="W167" i="1"/>
  <c r="W166" i="1"/>
  <c r="W165" i="1"/>
  <c r="W164" i="1"/>
  <c r="W163" i="1"/>
  <c r="W162" i="1"/>
  <c r="W160" i="1"/>
  <c r="W93" i="1"/>
  <c r="W88" i="1"/>
  <c r="W86" i="1"/>
  <c r="W80" i="1"/>
  <c r="W78" i="1"/>
  <c r="W72" i="1"/>
  <c r="W70" i="1"/>
  <c r="W64" i="1"/>
  <c r="W62" i="1"/>
  <c r="W57" i="1"/>
  <c r="W50" i="1"/>
  <c r="W44" i="1"/>
  <c r="W40" i="1"/>
  <c r="T90" i="1"/>
  <c r="U90" i="1" s="1"/>
  <c r="S90" i="1" s="1"/>
  <c r="T82" i="1"/>
  <c r="U82" i="1" s="1"/>
  <c r="S82" i="1" s="1"/>
  <c r="T74" i="1"/>
  <c r="U74" i="1" s="1"/>
  <c r="S74" i="1" s="1"/>
  <c r="T66" i="1"/>
  <c r="U66" i="1" s="1"/>
  <c r="S66" i="1" s="1"/>
  <c r="W43" i="1"/>
  <c r="X36" i="1"/>
  <c r="X37" i="1"/>
  <c r="T36" i="1"/>
  <c r="U36" i="1" s="1"/>
  <c r="S36" i="1" s="1"/>
  <c r="W25" i="1"/>
  <c r="T86" i="1"/>
  <c r="U86" i="1" s="1"/>
  <c r="S86" i="1" s="1"/>
  <c r="T78" i="1"/>
  <c r="U78" i="1" s="1"/>
  <c r="S78" i="1" s="1"/>
  <c r="T70" i="1"/>
  <c r="U70" i="1" s="1"/>
  <c r="T62" i="1"/>
  <c r="U62" i="1" s="1"/>
  <c r="S62" i="1" s="1"/>
  <c r="W39" i="1"/>
  <c r="W17" i="1"/>
  <c r="T92" i="1"/>
  <c r="U92" i="1" s="1"/>
  <c r="S92" i="1" s="1"/>
  <c r="T84" i="1"/>
  <c r="U84" i="1" s="1"/>
  <c r="S84" i="1" s="1"/>
  <c r="T76" i="1"/>
  <c r="U76" i="1" s="1"/>
  <c r="S76" i="1" s="1"/>
  <c r="T68" i="1"/>
  <c r="U68" i="1" s="1"/>
  <c r="S68" i="1" s="1"/>
  <c r="T60" i="1"/>
  <c r="U60" i="1" s="1"/>
  <c r="S60" i="1" s="1"/>
  <c r="W47" i="1"/>
  <c r="W41" i="1"/>
  <c r="W29" i="1"/>
  <c r="W30" i="1"/>
  <c r="W26" i="1"/>
  <c r="W22" i="1"/>
  <c r="W18" i="1"/>
  <c r="W31" i="1"/>
  <c r="W27" i="1"/>
  <c r="W23" i="1"/>
  <c r="W19" i="1"/>
  <c r="AA36" i="1"/>
  <c r="W36" i="1" s="1"/>
  <c r="AA35" i="1"/>
  <c r="W35" i="1" s="1"/>
  <c r="AA34" i="1"/>
  <c r="W34" i="1" s="1"/>
  <c r="AA33" i="1"/>
  <c r="W33" i="1" s="1"/>
  <c r="AA32" i="1"/>
  <c r="W32" i="1" s="1"/>
  <c r="AA28" i="1"/>
  <c r="W28" i="1" s="1"/>
  <c r="AA24" i="1"/>
  <c r="W24" i="1" s="1"/>
  <c r="AA20" i="1"/>
  <c r="W20" i="1" s="1"/>
  <c r="AA16" i="1"/>
  <c r="W16" i="1" s="1"/>
  <c r="AC15" i="3"/>
  <c r="AE27" i="3"/>
  <c r="AE15" i="3"/>
  <c r="AE30" i="3"/>
  <c r="AD15" i="3"/>
  <c r="AE34" i="3"/>
  <c r="AE31" i="3"/>
  <c r="AD16" i="3"/>
  <c r="AD13" i="3"/>
  <c r="AC34" i="3"/>
  <c r="T34" i="3"/>
  <c r="AD31" i="3"/>
  <c r="AE22" i="3"/>
  <c r="AE19" i="3"/>
  <c r="AC21" i="3"/>
  <c r="T21" i="3"/>
  <c r="AC30" i="3"/>
  <c r="AD12" i="3"/>
  <c r="AD9" i="3"/>
  <c r="AC31" i="3"/>
  <c r="AE26" i="3"/>
  <c r="AD24" i="3"/>
  <c r="AE23" i="3"/>
  <c r="AD19" i="3"/>
  <c r="AD8" i="3"/>
  <c r="AC19" i="3"/>
  <c r="T19" i="3"/>
  <c r="AC20" i="3"/>
  <c r="T20" i="3"/>
  <c r="AC8" i="3"/>
  <c r="T8" i="3"/>
  <c r="AC13" i="3"/>
  <c r="AC18" i="3"/>
  <c r="AC16" i="3"/>
  <c r="T16" i="3"/>
  <c r="AC12" i="3"/>
  <c r="AC24" i="3"/>
  <c r="Y16" i="3"/>
  <c r="Y24" i="3"/>
  <c r="Y19" i="3"/>
  <c r="Y32" i="3"/>
  <c r="Y31" i="3"/>
  <c r="Y20" i="3"/>
  <c r="Y25" i="3"/>
  <c r="Y34" i="3"/>
  <c r="Y15" i="3"/>
  <c r="Y18" i="3"/>
  <c r="Y8" i="3"/>
  <c r="Y21" i="3"/>
  <c r="Y23" i="3"/>
  <c r="Y14" i="3"/>
  <c r="Y33" i="3"/>
  <c r="Y27" i="3"/>
  <c r="Y28" i="3"/>
  <c r="Y26" i="3"/>
  <c r="Y22" i="3"/>
  <c r="Y29" i="3"/>
  <c r="Y10" i="3"/>
  <c r="Y7" i="3"/>
  <c r="Y9" i="3"/>
  <c r="Y13" i="3"/>
  <c r="Y12" i="3"/>
  <c r="Y30" i="3"/>
  <c r="Y17" i="3"/>
  <c r="AC33" i="3"/>
  <c r="AD30" i="3"/>
  <c r="AC22" i="3"/>
  <c r="AD14" i="3"/>
  <c r="T22" i="3"/>
  <c r="AE14" i="3"/>
  <c r="AD33" i="3"/>
  <c r="T10" i="3"/>
  <c r="AE33" i="3"/>
  <c r="T33" i="3"/>
  <c r="AC27" i="3"/>
  <c r="AD26" i="3"/>
  <c r="AC29" i="3"/>
  <c r="AD10" i="3"/>
  <c r="T29" i="3"/>
  <c r="AE10" i="3"/>
  <c r="AD29" i="3"/>
  <c r="T7" i="3"/>
  <c r="AE29" i="3"/>
  <c r="T27" i="3"/>
  <c r="AC28" i="3"/>
  <c r="AD22" i="3"/>
  <c r="T28" i="3"/>
  <c r="AC14" i="3"/>
  <c r="AD25" i="3"/>
  <c r="T9" i="3"/>
  <c r="AE25" i="3"/>
  <c r="AC26" i="3"/>
  <c r="AD18" i="3"/>
  <c r="T26" i="3"/>
  <c r="AE18" i="3"/>
  <c r="AE21" i="3"/>
  <c r="T13" i="3"/>
  <c r="AE17" i="3"/>
  <c r="T12" i="3"/>
  <c r="AE13" i="3"/>
  <c r="T30" i="3"/>
  <c r="AE9" i="3"/>
  <c r="T17" i="3"/>
  <c r="AE32" i="3"/>
  <c r="AE28" i="3"/>
  <c r="AE24" i="3"/>
  <c r="AE20" i="3"/>
  <c r="AE16" i="3"/>
  <c r="AE12" i="3"/>
  <c r="AE8" i="3"/>
  <c r="S11" i="3"/>
  <c r="R11" i="3"/>
  <c r="M11" i="3"/>
  <c r="U11" i="3"/>
  <c r="V11" i="3"/>
  <c r="X11" i="3"/>
  <c r="S55" i="1" l="1"/>
  <c r="S69" i="1"/>
  <c r="AC11" i="3"/>
  <c r="AD11" i="3"/>
  <c r="AE11" i="3"/>
  <c r="W11" i="3"/>
  <c r="Y11" i="3" l="1"/>
  <c r="T11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P13" i="1" s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32" i="3" s="1"/>
  <c r="G47" i="4"/>
  <c r="G48" i="4"/>
  <c r="N17" i="3" s="1"/>
  <c r="G49" i="4"/>
  <c r="G50" i="4"/>
  <c r="G51" i="4"/>
  <c r="G52" i="4"/>
  <c r="G53" i="4"/>
  <c r="G54" i="4"/>
  <c r="G55" i="4"/>
  <c r="G56" i="4"/>
  <c r="G57" i="4"/>
  <c r="G58" i="4"/>
  <c r="N29" i="3" s="1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21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18" i="3" s="1"/>
  <c r="G113" i="4"/>
  <c r="G114" i="4"/>
  <c r="G115" i="4"/>
  <c r="G116" i="4"/>
  <c r="G117" i="4"/>
  <c r="N12" i="3" s="1"/>
  <c r="G118" i="4"/>
  <c r="G119" i="4"/>
  <c r="G120" i="4"/>
  <c r="G121" i="4"/>
  <c r="N26" i="3" s="1"/>
  <c r="G122" i="4"/>
  <c r="G123" i="4"/>
  <c r="G124" i="4"/>
  <c r="G125" i="4"/>
  <c r="G126" i="4"/>
  <c r="G127" i="4"/>
  <c r="G128" i="4"/>
  <c r="G129" i="4"/>
  <c r="G130" i="4"/>
  <c r="N25" i="3" s="1"/>
  <c r="G131" i="4"/>
  <c r="N11" i="3" s="1"/>
  <c r="G132" i="4"/>
  <c r="G133" i="4"/>
  <c r="N8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N13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N28" i="3" s="1"/>
  <c r="G158" i="4"/>
  <c r="N20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7" i="3" s="1"/>
  <c r="G182" i="4"/>
  <c r="N31" i="3" s="1"/>
  <c r="G183" i="4"/>
  <c r="G184" i="4"/>
  <c r="G185" i="4"/>
  <c r="G186" i="4"/>
  <c r="G187" i="4"/>
  <c r="N19" i="3" s="1"/>
  <c r="G188" i="4"/>
  <c r="G189" i="4"/>
  <c r="G190" i="4"/>
  <c r="G191" i="4"/>
  <c r="G192" i="4"/>
  <c r="G193" i="4"/>
  <c r="G194" i="4"/>
  <c r="G195" i="4"/>
  <c r="G196" i="4"/>
  <c r="N7" i="3" s="1"/>
  <c r="G197" i="4"/>
  <c r="G198" i="4"/>
  <c r="G199" i="4"/>
  <c r="G200" i="4"/>
  <c r="G201" i="4"/>
  <c r="N33" i="3" s="1"/>
  <c r="G202" i="4"/>
  <c r="G203" i="4"/>
  <c r="G204" i="4"/>
  <c r="G205" i="4"/>
  <c r="N16" i="3" s="1"/>
  <c r="G206" i="4"/>
  <c r="G207" i="4"/>
  <c r="G208" i="4"/>
  <c r="N10" i="3" s="1"/>
  <c r="G209" i="4"/>
  <c r="G210" i="4"/>
  <c r="G211" i="4"/>
  <c r="G212" i="4"/>
  <c r="G213" i="4"/>
  <c r="G214" i="4"/>
  <c r="G215" i="4"/>
  <c r="G216" i="4"/>
  <c r="G217" i="4"/>
  <c r="G218" i="4"/>
  <c r="N14" i="3" s="1"/>
  <c r="G219" i="4"/>
  <c r="G220" i="4"/>
  <c r="N34" i="3" s="1"/>
  <c r="G221" i="4"/>
  <c r="G222" i="4"/>
  <c r="G223" i="4"/>
  <c r="G2" i="4"/>
  <c r="N23" i="3" l="1"/>
  <c r="N24" i="3"/>
  <c r="N9" i="3"/>
  <c r="N15" i="3"/>
  <c r="N30" i="3"/>
  <c r="N22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<sst xmlns="http://schemas.openxmlformats.org/spreadsheetml/2006/main" count="2798" uniqueCount="1107">
  <si>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</si>
  <si>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</si>
  <si>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</si>
  <si>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</si>
  <si>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</si>
  <si>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</si>
  <si>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</si>
  <si>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</si>
  <si>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</si>
  <si>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</si>
  <si>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</si>
  <si>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</si>
  <si>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</si>
  <si>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</si>
  <si>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</si>
  <si>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</si>
  <si>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</si>
  <si>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</si>
  <si>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</si>
  <si>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</si>
  <si>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</si>
  <si>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</si>
  <si>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</si>
  <si>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</si>
  <si>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</si>
  <si>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</si>
  <si>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</si>
  <si>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</si>
  <si>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</si>
  <si>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</si>
  <si>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</si>
  <si>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</si>
  <si>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</si>
  <si>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</si>
  <si>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</si>
  <si>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</si>
  <si>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</si>
  <si>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</si>
  <si>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</si>
  <si>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</si>
  <si>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</si>
  <si>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</si>
  <si>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</si>
  <si>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</si>
  <si>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</si>
  <si>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</si>
  <si>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</si>
  <si>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</si>
  <si>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</si>
  <si>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</si>
  <si>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</si>
  <si>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</si>
  <si>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</si>
  <si>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</si>
  <si>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</si>
  <si>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</si>
  <si>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</si>
  <si>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</si>
  <si>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</si>
  <si>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</si>
  <si>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</si>
  <si>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</si>
  <si>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</si>
  <si>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</si>
  <si>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</si>
  <si>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</si>
  <si>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</si>
  <si>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</si>
  <si>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</si>
  <si>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</si>
  <si>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</si>
  <si>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</si>
  <si>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</si>
  <si>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</si>
  <si>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</si>
  <si>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</si>
  <si>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</si>
  <si>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</si>
  <si>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</si>
  <si>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</si>
  <si>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</si>
  <si>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</si>
  <si>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</si>
  <si>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</si>
  <si>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</si>
  <si>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</si>
  <si>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</si>
  <si>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</si>
  <si>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</si>
  <si>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</si>
  <si>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</si>
  <si>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</si>
  <si>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</si>
  <si>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</si>
  <si>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</si>
  <si>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</si>
  <si>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</si>
  <si>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</si>
  <si>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</si>
  <si>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</si>
  <si>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</si>
  <si>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</si>
  <si>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</si>
  <si>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</si>
  <si>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</si>
  <si>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</si>
  <si>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</si>
  <si>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</si>
  <si>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</si>
  <si>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</si>
  <si>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</si>
  <si>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</si>
  <si>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</si>
  <si>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</si>
  <si>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</si>
  <si>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</si>
  <si>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</si>
  <si>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</si>
  <si>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</si>
  <si>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</si>
  <si>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</si>
  <si>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</si>
  <si>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</si>
  <si>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</si>
  <si>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</si>
  <si>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</si>
  <si>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</si>
  <si>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</si>
  <si>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</si>
  <si>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</si>
  <si>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</si>
  <si>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</si>
  <si>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</si>
  <si>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</si>
  <si>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</si>
  <si>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</si>
  <si>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</si>
  <si>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</si>
  <si>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</si>
  <si>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</si>
  <si>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</si>
  <si>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</si>
  <si>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</si>
  <si>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</si>
  <si>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</si>
  <si>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</si>
  <si>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</si>
  <si>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</si>
  <si>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</si>
  <si>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</si>
  <si>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</si>
  <si>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</si>
  <si>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</si>
  <si>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</si>
  <si>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</si>
  <si>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</si>
  <si>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</si>
  <si>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</si>
  <si>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</si>
  <si>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</si>
  <si>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</si>
  <si>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</si>
  <si>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</si>
  <si>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</si>
  <si>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</si>
  <si>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</si>
  <si>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</si>
  <si>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</si>
  <si>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</si>
  <si>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</si>
  <si>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</si>
  <si>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</si>
  <si>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</si>
  <si>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</si>
  <si>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</si>
  <si>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</si>
  <si>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</si>
  <si>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</si>
  <si>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</si>
  <si>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</si>
  <si>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</si>
  <si>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</si>
  <si>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</si>
  <si>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</si>
  <si>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</si>
  <si>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</si>
  <si>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</si>
  <si>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</si>
  <si>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</si>
  <si>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</si>
  <si>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</si>
  <si>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</si>
  <si>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</si>
  <si>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</si>
  <si>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</si>
  <si>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</si>
  <si>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</si>
  <si>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</si>
  <si>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</si>
  <si>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</si>
  <si>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</si>
  <si>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</si>
  <si>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</si>
  <si>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</si>
  <si>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</si>
  <si>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</si>
  <si>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</si>
  <si>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</si>
  <si>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</si>
  <si>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</si>
  <si>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</si>
  <si>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</si>
  <si>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</si>
  <si>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</si>
  <si>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</si>
  <si>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</si>
  <si>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</si>
  <si>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</si>
  <si>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</si>
  <si>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</si>
  <si>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</si>
  <si>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</si>
  <si>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</si>
  <si>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</si>
  <si>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</si>
  <si>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</si>
  <si>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</si>
  <si>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</si>
  <si>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</si>
  <si>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</si>
  <si>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</si>
  <si>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</si>
  <si>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</si>
  <si>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</si>
  <si>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</si>
  <si>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</si>
  <si>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</si>
  <si>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</si>
  <si>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</si>
  <si>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</si>
  <si>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</si>
  <si>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</si>
  <si>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</si>
  <si>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</si>
  <si>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</si>
  <si>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</si>
  <si>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</si>
  <si>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</si>
  <si>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</si>
  <si>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</si>
  <si>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</si>
  <si>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</si>
  <si>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</si>
  <si>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</si>
  <si>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</si>
  <si>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</si>
  <si>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</si>
  <si>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</si>
  <si>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</si>
  <si>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</si>
  <si>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</si>
  <si>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</si>
  <si>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</si>
  <si>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</si>
  <si>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</si>
  <si>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</si>
  <si>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</si>
  <si>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</si>
  <si>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</si>
  <si>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</si>
  <si>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</si>
  <si>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</si>
  <si>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</si>
  <si>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</si>
  <si>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</si>
  <si>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</si>
  <si>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</si>
  <si>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</si>
  <si>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</si>
  <si>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</si>
  <si>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</si>
  <si>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</si>
  <si>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</si>
  <si>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</si>
  <si>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</si>
  <si>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</si>
  <si>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</si>
  <si>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</si>
  <si>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</si>
  <si>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</si>
  <si>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</si>
  <si>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</si>
  <si>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</si>
  <si>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</si>
  <si>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</si>
  <si>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</si>
  <si>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</si>
  <si>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</si>
  <si>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</si>
  <si>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</si>
  <si>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</si>
  <si>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</si>
  <si>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</si>
  <si>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</si>
  <si>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</si>
  <si>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</si>
  <si>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</si>
  <si>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</si>
  <si>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</si>
  <si>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</si>
  <si>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</si>
  <si>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</si>
  <si>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</si>
  <si>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</si>
  <si>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</si>
  <si>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</si>
  <si>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</si>
  <si>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</si>
  <si>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</si>
  <si>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</si>
  <si>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</si>
  <si>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</si>
  <si>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</si>
  <si>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</si>
  <si>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</si>
  <si>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</si>
  <si>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</si>
  <si>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</si>
  <si>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</si>
  <si>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</si>
  <si>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</si>
  <si>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</si>
  <si>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</si>
  <si>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</si>
  <si>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</si>
  <si>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</si>
  <si>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</si>
  <si>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</si>
  <si>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</si>
  <si>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</si>
  <si>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</si>
  <si>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</si>
  <si>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</si>
  <si>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</si>
  <si>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</si>
  <si>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</si>
  <si>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</si>
  <si>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</si>
  <si>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</si>
  <si>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</si>
  <si>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</si>
  <si>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</si>
  <si>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</si>
  <si>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</si>
  <si>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</si>
  <si>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</si>
  <si>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</si>
  <si>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</si>
  <si>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</si>
  <si>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</si>
  <si>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</si>
  <si>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</si>
  <si>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</si>
  <si>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</si>
  <si>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</si>
  <si>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</si>
  <si>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</si>
  <si>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</si>
  <si>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</si>
  <si>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</si>
  <si>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</si>
  <si>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</si>
  <si>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</si>
  <si>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</si>
  <si>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</si>
  <si>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</si>
  <si>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</si>
  <si>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</si>
  <si>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</si>
  <si>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</si>
  <si>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</si>
  <si>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</si>
  <si>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</si>
  <si>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</si>
  <si>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</si>
  <si>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</si>
  <si>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</si>
  <si>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</si>
  <si>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</si>
  <si>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</si>
  <si>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</si>
  <si>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</si>
  <si>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</si>
  <si>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</si>
  <si>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</si>
  <si>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</si>
  <si>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</si>
  <si>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</si>
  <si>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</si>
  <si>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</si>
  <si>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</si>
  <si>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</si>
  <si>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</si>
  <si>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</si>
  <si>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</si>
  <si>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</si>
  <si>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</si>
  <si>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</si>
  <si>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</si>
  <si>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</si>
  <si>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</si>
  <si>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</si>
  <si>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</si>
  <si>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</si>
  <si>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</si>
  <si>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</si>
  <si>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</si>
  <si>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</si>
  <si>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</si>
  <si>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</si>
  <si>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</si>
  <si>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</si>
  <si>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</si>
  <si>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</si>
  <si>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</si>
  <si>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</si>
  <si>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</si>
  <si>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</si>
  <si>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</si>
  <si>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</si>
  <si>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</si>
  <si>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</si>
  <si>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</si>
  <si>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</si>
  <si>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</si>
  <si>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</si>
  <si>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</si>
  <si>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</si>
  <si>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</si>
  <si>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</si>
  <si>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</si>
  <si>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</si>
  <si>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</si>
  <si>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</si>
  <si>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</si>
  <si>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</si>
  <si>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</si>
  <si>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</si>
  <si>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204:533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</si>
  <si>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</si>
  <si>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</si>
  <si>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</si>
  <si>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</si>
  <si>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</si>
  <si>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</si>
  <si>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</si>
  <si>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</si>
  <si>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</si>
  <si>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</si>
  <si>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</si>
  <si>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</si>
  <si>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</si>
  <si>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</si>
  <si>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</si>
  <si>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</si>
  <si>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</si>
  <si>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</si>
  <si>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204:211</t>
  </si>
  <si>
    <t>Wi-MAX data drop</t>
  </si>
  <si>
    <t>FORTUNATO</t>
  </si>
  <si>
    <t>FRANK</t>
  </si>
  <si>
    <t>HAMMOND</t>
  </si>
  <si>
    <t>JUSTYNN</t>
  </si>
  <si>
    <t>311-17</t>
  </si>
  <si>
    <t>313-17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</si>
  <si>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</si>
  <si>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</si>
  <si>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</si>
  <si>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</si>
  <si>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</si>
  <si>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</si>
  <si>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</si>
  <si>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</si>
  <si>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</si>
  <si>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</si>
  <si>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</si>
  <si>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</si>
  <si>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</si>
  <si>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</si>
  <si>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MAELZER</t>
  </si>
  <si>
    <t>KURT</t>
  </si>
  <si>
    <t>DONTE</t>
  </si>
  <si>
    <t>BADERTSCHER</t>
  </si>
  <si>
    <t>DIANE</t>
  </si>
  <si>
    <t>ANDERS</t>
  </si>
  <si>
    <t>STEVEN</t>
  </si>
  <si>
    <t>204:442</t>
  </si>
  <si>
    <t>rtdc.l.rtdc.4009:itc</t>
  </si>
  <si>
    <t>GEBRETEKLE</t>
  </si>
  <si>
    <t>DAGNEW</t>
  </si>
  <si>
    <t>HOLCOMB</t>
  </si>
  <si>
    <t>KAMDEN</t>
  </si>
  <si>
    <t>DELGADO</t>
  </si>
  <si>
    <t>DIANAH</t>
  </si>
  <si>
    <t>204:506</t>
  </si>
  <si>
    <t>204:201</t>
  </si>
  <si>
    <t>204:218</t>
  </si>
  <si>
    <t>204:233259</t>
  </si>
  <si>
    <t>rtdc.l.rtdc.4044:itc</t>
  </si>
  <si>
    <t>rtdc.l.rtdc.4043:itc</t>
  </si>
  <si>
    <t>GONZALEZ</t>
  </si>
  <si>
    <t>ARMANDO</t>
  </si>
  <si>
    <t>204:233257</t>
  </si>
  <si>
    <t>204:232978</t>
  </si>
  <si>
    <t>204:220</t>
  </si>
  <si>
    <t>204:466</t>
  </si>
  <si>
    <t>204:149</t>
  </si>
  <si>
    <t>204:526</t>
  </si>
  <si>
    <t>Early Arrival</t>
  </si>
  <si>
    <t>204:198</t>
  </si>
  <si>
    <t>204:517</t>
  </si>
  <si>
    <t>204:464</t>
  </si>
  <si>
    <t>204:178</t>
  </si>
  <si>
    <t>204:233314</t>
  </si>
  <si>
    <t>204:232975</t>
  </si>
  <si>
    <t>204:150</t>
  </si>
  <si>
    <t>204:236</t>
  </si>
  <si>
    <t>partly-cloudy-night</t>
  </si>
  <si>
    <t>Partly Cloudy</t>
  </si>
  <si>
    <t>204:158</t>
  </si>
  <si>
    <t>204:504</t>
  </si>
  <si>
    <t>204:233295</t>
  </si>
  <si>
    <t>204:156</t>
  </si>
  <si>
    <t>204:192</t>
  </si>
  <si>
    <t>204:482</t>
  </si>
  <si>
    <t>204:478</t>
  </si>
  <si>
    <t>204:232938</t>
  </si>
  <si>
    <t>204:564</t>
  </si>
  <si>
    <t>204:548</t>
  </si>
  <si>
    <t>204:160</t>
  </si>
  <si>
    <t>204:170</t>
  </si>
  <si>
    <t>300:23312</t>
  </si>
  <si>
    <t>DAVID</t>
  </si>
  <si>
    <t>precipAccumulation</t>
  </si>
  <si>
    <t>precipType</t>
  </si>
  <si>
    <t>snow</t>
  </si>
  <si>
    <t>204:493</t>
  </si>
  <si>
    <t>204:233349</t>
  </si>
  <si>
    <t>204:233330</t>
  </si>
  <si>
    <t>204:233232</t>
  </si>
  <si>
    <t>204:477</t>
  </si>
  <si>
    <t>204:451</t>
  </si>
  <si>
    <t>204:497</t>
  </si>
  <si>
    <t>204:233303</t>
  </si>
  <si>
    <t>204:181</t>
  </si>
  <si>
    <t>204:200</t>
  </si>
  <si>
    <t>204:232936</t>
  </si>
  <si>
    <t>204:232921</t>
  </si>
  <si>
    <t>204:233291</t>
  </si>
  <si>
    <t>204:258</t>
  </si>
  <si>
    <t>204:242</t>
  </si>
  <si>
    <t>204:138</t>
  </si>
  <si>
    <t>300:58683</t>
  </si>
  <si>
    <t>204:540</t>
  </si>
  <si>
    <t>204:484</t>
  </si>
  <si>
    <t>204:233278</t>
  </si>
  <si>
    <t>204:232948</t>
  </si>
  <si>
    <t>204:537</t>
  </si>
  <si>
    <t>204:232900</t>
  </si>
  <si>
    <t>204:232972</t>
  </si>
  <si>
    <t>204:263</t>
  </si>
  <si>
    <t>204:568</t>
  </si>
  <si>
    <t>300:23302</t>
  </si>
  <si>
    <t>300:23306</t>
  </si>
  <si>
    <t>204:169</t>
  </si>
  <si>
    <t>204:542</t>
  </si>
  <si>
    <t>rtdc.l.rtdc.4041:itc</t>
  </si>
  <si>
    <t>230-22</t>
  </si>
  <si>
    <t>WEST</t>
  </si>
  <si>
    <t>BRYAN</t>
  </si>
  <si>
    <t>rtdc.l.rtdc.4019:itc</t>
  </si>
  <si>
    <t>rtdc.l.rtdc.4020:itc</t>
  </si>
  <si>
    <t>MACDONALD</t>
  </si>
  <si>
    <t>THOMAS</t>
  </si>
  <si>
    <t>rtdc.l.rtdc.4045:itc</t>
  </si>
  <si>
    <t>DAVIDSON</t>
  </si>
  <si>
    <t>228-22</t>
  </si>
  <si>
    <t>231-22</t>
  </si>
  <si>
    <t>844-22</t>
  </si>
  <si>
    <t>233-22</t>
  </si>
  <si>
    <t>847-22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</si>
  <si>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</si>
  <si>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</si>
  <si>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</si>
  <si>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</si>
  <si>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</si>
  <si>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</si>
  <si>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</si>
  <si>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</si>
  <si>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</si>
  <si>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</si>
  <si>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</si>
  <si>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</si>
  <si>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rain</t>
  </si>
  <si>
    <t>204:233282</t>
  </si>
  <si>
    <t>204:495</t>
  </si>
  <si>
    <t>204:233284</t>
  </si>
  <si>
    <t>204:232974</t>
  </si>
  <si>
    <t>204:232879</t>
  </si>
  <si>
    <t>204:460</t>
  </si>
  <si>
    <t>204:232998</t>
  </si>
  <si>
    <t>204:152</t>
  </si>
  <si>
    <t>204:233005</t>
  </si>
  <si>
    <t>204:491</t>
  </si>
  <si>
    <t>204:233210</t>
  </si>
  <si>
    <t>204:227</t>
  </si>
  <si>
    <t>204:498</t>
  </si>
  <si>
    <t>204:232980</t>
  </si>
  <si>
    <t>204:469</t>
  </si>
  <si>
    <t>204:232977</t>
  </si>
  <si>
    <t>204:489</t>
  </si>
  <si>
    <t>204:233312</t>
  </si>
  <si>
    <t>204:163</t>
  </si>
  <si>
    <t>204:531</t>
  </si>
  <si>
    <t>204:233268</t>
  </si>
  <si>
    <t>204:566</t>
  </si>
  <si>
    <t>204:453</t>
  </si>
  <si>
    <t>204:232913</t>
  </si>
  <si>
    <t>204:232875</t>
  </si>
  <si>
    <t>204:212</t>
  </si>
  <si>
    <t>204:473</t>
  </si>
  <si>
    <t>204:232982</t>
  </si>
  <si>
    <t>204:232940</t>
  </si>
  <si>
    <t>204:234</t>
  </si>
  <si>
    <t>204:233019</t>
  </si>
  <si>
    <t>204:232946</t>
  </si>
  <si>
    <t>204:233255</t>
  </si>
  <si>
    <t>204:519</t>
  </si>
  <si>
    <t>204:232942</t>
  </si>
  <si>
    <t>204:249</t>
  </si>
  <si>
    <t>204:528</t>
  </si>
  <si>
    <t>300:58914</t>
  </si>
  <si>
    <t>300:58609</t>
  </si>
  <si>
    <t>300:58628</t>
  </si>
  <si>
    <t>300:58608</t>
  </si>
  <si>
    <t>204:455</t>
  </si>
  <si>
    <t>300:58621</t>
  </si>
  <si>
    <t>204:437</t>
  </si>
  <si>
    <t>204:148</t>
  </si>
  <si>
    <t>204:151</t>
  </si>
  <si>
    <t>300:58660</t>
  </si>
  <si>
    <t>300:58623</t>
  </si>
  <si>
    <t>204:153</t>
  </si>
  <si>
    <t>start /low /b %USERPROFILE%\Documents\GitHub\eaglep3\Utilities\DownloadLogsFromS3.py --loco 4015 --day 2017-12-23</t>
  </si>
  <si>
    <t>Poor GPS under Wewatta St. overpass</t>
  </si>
  <si>
    <t>113-23</t>
  </si>
  <si>
    <t>rtdc.l.rtdc.4031:itc</t>
  </si>
  <si>
    <t>1802-23</t>
  </si>
  <si>
    <t>rtdc.l.rtdc.4002:itc</t>
  </si>
  <si>
    <t>125-23</t>
  </si>
  <si>
    <t>rtdc.l.rtdc.4026:itc</t>
  </si>
  <si>
    <t>131-23</t>
  </si>
  <si>
    <t>135-23</t>
  </si>
  <si>
    <t>143-23</t>
  </si>
  <si>
    <t>SWITCH UNKNOWN</t>
  </si>
  <si>
    <t>Track device (7)</t>
  </si>
  <si>
    <t>156-23</t>
  </si>
  <si>
    <t>173-23</t>
  </si>
  <si>
    <t>172-23</t>
  </si>
  <si>
    <t>rtdc.l.rtdc.4025:itc</t>
  </si>
  <si>
    <t>174-23</t>
  </si>
  <si>
    <t>189-23</t>
  </si>
  <si>
    <t>187-23</t>
  </si>
  <si>
    <t>190-23</t>
  </si>
  <si>
    <t>205-23</t>
  </si>
  <si>
    <t>200-23</t>
  </si>
  <si>
    <t>rtdc.l.rtdc.4001:itc</t>
  </si>
  <si>
    <t>210-23</t>
  </si>
  <si>
    <t>218-23</t>
  </si>
  <si>
    <t>rtdc.l.rtdc.4046:itc</t>
  </si>
  <si>
    <t>223-23</t>
  </si>
  <si>
    <t>221-23</t>
  </si>
  <si>
    <t>TRACK WARRANT AUTHORITY</t>
  </si>
  <si>
    <t>Form based authority (4)</t>
  </si>
  <si>
    <t>226-23</t>
  </si>
  <si>
    <t>1832-23</t>
  </si>
  <si>
    <t>232-23</t>
  </si>
  <si>
    <t>1834-23</t>
  </si>
  <si>
    <t>234-23</t>
  </si>
  <si>
    <t>242-23</t>
  </si>
  <si>
    <t>307-23</t>
  </si>
  <si>
    <t>300-23</t>
  </si>
  <si>
    <t>LESTER</t>
  </si>
  <si>
    <t>51-23</t>
  </si>
  <si>
    <t>DE LA ROSA</t>
  </si>
  <si>
    <t>ALEX</t>
  </si>
  <si>
    <t>302-23</t>
  </si>
  <si>
    <t>52-23</t>
  </si>
  <si>
    <t>103-23</t>
  </si>
  <si>
    <t>304-23</t>
  </si>
  <si>
    <t>306-23</t>
  </si>
  <si>
    <t>105-23</t>
  </si>
  <si>
    <t>102-23</t>
  </si>
  <si>
    <t>55-23</t>
  </si>
  <si>
    <t>rtdc.l.rtdc.4033:itc</t>
  </si>
  <si>
    <t>308-23</t>
  </si>
  <si>
    <t>107-23</t>
  </si>
  <si>
    <t>104-23</t>
  </si>
  <si>
    <t>56-23</t>
  </si>
  <si>
    <t>rtdc.l.rtdc.4034:itc</t>
  </si>
  <si>
    <t>109-23</t>
  </si>
  <si>
    <t>310-23</t>
  </si>
  <si>
    <t>111-23</t>
  </si>
  <si>
    <t>106-23</t>
  </si>
  <si>
    <t>108-23</t>
  </si>
  <si>
    <t>312-23</t>
  </si>
  <si>
    <t>rtdc.l.rtdc.4032:itc</t>
  </si>
  <si>
    <t>1901-23</t>
  </si>
  <si>
    <t>LAMAR</t>
  </si>
  <si>
    <t>NEKESHA</t>
  </si>
  <si>
    <t>115-23</t>
  </si>
  <si>
    <t>110-23</t>
  </si>
  <si>
    <t>1800-23</t>
  </si>
  <si>
    <t>117-23</t>
  </si>
  <si>
    <t>119-23</t>
  </si>
  <si>
    <t>112-23</t>
  </si>
  <si>
    <t>1801-23</t>
  </si>
  <si>
    <t>114-23</t>
  </si>
  <si>
    <t>121-23</t>
  </si>
  <si>
    <t>116-23</t>
  </si>
  <si>
    <t>123-23</t>
  </si>
  <si>
    <t>118-23</t>
  </si>
  <si>
    <t>122-23</t>
  </si>
  <si>
    <t>120-23</t>
  </si>
  <si>
    <t>127-23</t>
  </si>
  <si>
    <t>62-23</t>
  </si>
  <si>
    <t>1803-23</t>
  </si>
  <si>
    <t>124-23</t>
  </si>
  <si>
    <t>129-23</t>
  </si>
  <si>
    <t>1804-23</t>
  </si>
  <si>
    <t>133-23</t>
  </si>
  <si>
    <t>126-23</t>
  </si>
  <si>
    <t>128-23</t>
  </si>
  <si>
    <t>1805-23</t>
  </si>
  <si>
    <t>130-23</t>
  </si>
  <si>
    <t>137-23</t>
  </si>
  <si>
    <t>132-23</t>
  </si>
  <si>
    <t>1806-23</t>
  </si>
  <si>
    <t>134-23</t>
  </si>
  <si>
    <t>139-23</t>
  </si>
  <si>
    <t>136-23</t>
  </si>
  <si>
    <t>141-23</t>
  </si>
  <si>
    <t>1807-23</t>
  </si>
  <si>
    <t>138-23</t>
  </si>
  <si>
    <t>145-23</t>
  </si>
  <si>
    <t>147-23</t>
  </si>
  <si>
    <t>1808-23</t>
  </si>
  <si>
    <t>140-23</t>
  </si>
  <si>
    <t>142-23</t>
  </si>
  <si>
    <t>149-23</t>
  </si>
  <si>
    <t>144-23</t>
  </si>
  <si>
    <t>151-23</t>
  </si>
  <si>
    <t>1809-23</t>
  </si>
  <si>
    <t>146-23</t>
  </si>
  <si>
    <t>153-23</t>
  </si>
  <si>
    <t>148-23</t>
  </si>
  <si>
    <t>150-23</t>
  </si>
  <si>
    <t>1810-23</t>
  </si>
  <si>
    <t>155-23</t>
  </si>
  <si>
    <t>157-23</t>
  </si>
  <si>
    <t>ROMERO</t>
  </si>
  <si>
    <t>CHAD</t>
  </si>
  <si>
    <t>152-23</t>
  </si>
  <si>
    <t>159-23</t>
  </si>
  <si>
    <t>1811-23</t>
  </si>
  <si>
    <t>154-23</t>
  </si>
  <si>
    <t>161-23</t>
  </si>
  <si>
    <t>158-23</t>
  </si>
  <si>
    <t>163-23</t>
  </si>
  <si>
    <t>1812-23</t>
  </si>
  <si>
    <t>165-23</t>
  </si>
  <si>
    <t>160-23</t>
  </si>
  <si>
    <t>167-23</t>
  </si>
  <si>
    <t>1813-23</t>
  </si>
  <si>
    <t>162-23</t>
  </si>
  <si>
    <t>169-23</t>
  </si>
  <si>
    <t>164-23</t>
  </si>
  <si>
    <t>171-23</t>
  </si>
  <si>
    <t>1814-23</t>
  </si>
  <si>
    <t>166-23</t>
  </si>
  <si>
    <t>168-23</t>
  </si>
  <si>
    <t>175-23</t>
  </si>
  <si>
    <t>170-23</t>
  </si>
  <si>
    <t>1815-23</t>
  </si>
  <si>
    <t>177-23</t>
  </si>
  <si>
    <t>179-23</t>
  </si>
  <si>
    <t>1816-23</t>
  </si>
  <si>
    <t>181-23</t>
  </si>
  <si>
    <t>176-23</t>
  </si>
  <si>
    <t>183-23</t>
  </si>
  <si>
    <t>1817-23</t>
  </si>
  <si>
    <t>178-23</t>
  </si>
  <si>
    <t>185-23</t>
  </si>
  <si>
    <t>81-23</t>
  </si>
  <si>
    <t>BIRENBAUM</t>
  </si>
  <si>
    <t>80-23</t>
  </si>
  <si>
    <t>1818-23</t>
  </si>
  <si>
    <t>182-23</t>
  </si>
  <si>
    <t>BARTLETT</t>
  </si>
  <si>
    <t>KIANDRA</t>
  </si>
  <si>
    <t>191-23</t>
  </si>
  <si>
    <t>184-23</t>
  </si>
  <si>
    <t>74-23</t>
  </si>
  <si>
    <t>BROWN</t>
  </si>
  <si>
    <t>JACOB</t>
  </si>
  <si>
    <t>1819-23</t>
  </si>
  <si>
    <t>186-23</t>
  </si>
  <si>
    <t>193-23</t>
  </si>
  <si>
    <t>188-23</t>
  </si>
  <si>
    <t>195-23</t>
  </si>
  <si>
    <t>1820-23</t>
  </si>
  <si>
    <t>197-23</t>
  </si>
  <si>
    <t>192-23</t>
  </si>
  <si>
    <t>194-23</t>
  </si>
  <si>
    <t>199-23</t>
  </si>
  <si>
    <t>1821-23</t>
  </si>
  <si>
    <t>201-23</t>
  </si>
  <si>
    <t>196-23</t>
  </si>
  <si>
    <t>1822-23</t>
  </si>
  <si>
    <t>203-23</t>
  </si>
  <si>
    <t>198-23</t>
  </si>
  <si>
    <t>202-23</t>
  </si>
  <si>
    <t>207-23</t>
  </si>
  <si>
    <t>1823-23</t>
  </si>
  <si>
    <t>209-23</t>
  </si>
  <si>
    <t>75-23</t>
  </si>
  <si>
    <t>204-23</t>
  </si>
  <si>
    <t>211-23</t>
  </si>
  <si>
    <t>1824-23</t>
  </si>
  <si>
    <t>206-23</t>
  </si>
  <si>
    <t>213-23</t>
  </si>
  <si>
    <t>66-23</t>
  </si>
  <si>
    <t>208-23</t>
  </si>
  <si>
    <t>215-23</t>
  </si>
  <si>
    <t>1825-23</t>
  </si>
  <si>
    <t>217-23</t>
  </si>
  <si>
    <t>212-23</t>
  </si>
  <si>
    <t>219-23</t>
  </si>
  <si>
    <t>1826-23</t>
  </si>
  <si>
    <t>214-23</t>
  </si>
  <si>
    <t>301-23</t>
  </si>
  <si>
    <t>216-23</t>
  </si>
  <si>
    <t>1827-23</t>
  </si>
  <si>
    <t>303-23</t>
  </si>
  <si>
    <t>220-23</t>
  </si>
  <si>
    <t>1828-23</t>
  </si>
  <si>
    <t>305-23</t>
  </si>
  <si>
    <t>222-23</t>
  </si>
  <si>
    <t>225-23</t>
  </si>
  <si>
    <t>1829-23</t>
  </si>
  <si>
    <t>224-23</t>
  </si>
  <si>
    <t>227-23</t>
  </si>
  <si>
    <t>1830-23</t>
  </si>
  <si>
    <t>229-23</t>
  </si>
  <si>
    <t>1831-23</t>
  </si>
  <si>
    <t>231-23</t>
  </si>
  <si>
    <t>228-23</t>
  </si>
  <si>
    <t>233-23</t>
  </si>
  <si>
    <t>230-23</t>
  </si>
  <si>
    <t>1833-23</t>
  </si>
  <si>
    <t>235-23</t>
  </si>
  <si>
    <t>237-23</t>
  </si>
  <si>
    <t>1835-23</t>
  </si>
  <si>
    <t>239-23</t>
  </si>
  <si>
    <t>236-23</t>
  </si>
  <si>
    <t>1902-23</t>
  </si>
  <si>
    <t>241-23</t>
  </si>
  <si>
    <t>238-23</t>
  </si>
  <si>
    <t>243-23</t>
  </si>
  <si>
    <t>240-23</t>
  </si>
  <si>
    <t>245-23</t>
  </si>
  <si>
    <t>244-23</t>
  </si>
  <si>
    <t>309-23</t>
  </si>
  <si>
    <t>246-23</t>
  </si>
  <si>
    <t>311-23</t>
  </si>
  <si>
    <t>50-24</t>
  </si>
  <si>
    <t>LANGERAK</t>
  </si>
  <si>
    <t>WILLIAM</t>
  </si>
  <si>
    <t>313-23</t>
  </si>
  <si>
    <t>partly-cloudy-day</t>
  </si>
  <si>
    <t>fog</t>
  </si>
  <si>
    <t>Foggy</t>
  </si>
  <si>
    <t>Possible Light Snow</t>
  </si>
  <si>
    <t>Mostly Cloudy</t>
  </si>
  <si>
    <t>204:471</t>
  </si>
  <si>
    <t>204:180</t>
  </si>
  <si>
    <t>204:233011</t>
  </si>
  <si>
    <t>204:233342</t>
  </si>
  <si>
    <t>204:467</t>
  </si>
  <si>
    <t>204:233345</t>
  </si>
  <si>
    <t>204:233009</t>
  </si>
  <si>
    <t>204:233289</t>
  </si>
  <si>
    <t>204:233188</t>
  </si>
  <si>
    <t>204:2737</t>
  </si>
  <si>
    <t>204:233304</t>
  </si>
  <si>
    <t>204:232985</t>
  </si>
  <si>
    <t>204:500</t>
  </si>
  <si>
    <t>204:233209</t>
  </si>
  <si>
    <t>204:232923</t>
  </si>
  <si>
    <t>204:209</t>
  </si>
  <si>
    <t>204:233340</t>
  </si>
  <si>
    <t>204:233032</t>
  </si>
  <si>
    <t>204:233322</t>
  </si>
  <si>
    <t>204:233000</t>
  </si>
  <si>
    <t>204:457</t>
  </si>
  <si>
    <t>204:233327</t>
  </si>
  <si>
    <t>204:233010</t>
  </si>
  <si>
    <t>204:233326</t>
  </si>
  <si>
    <t>204:197018</t>
  </si>
  <si>
    <t>204:238</t>
  </si>
  <si>
    <t>204:233299</t>
  </si>
  <si>
    <t>204:513</t>
  </si>
  <si>
    <t>204:233227</t>
  </si>
  <si>
    <t>204:229</t>
  </si>
  <si>
    <t>204:480</t>
  </si>
  <si>
    <t>204:232991</t>
  </si>
  <si>
    <t>204:446</t>
  </si>
  <si>
    <t>204:232990</t>
  </si>
  <si>
    <t>204:232983</t>
  </si>
  <si>
    <t>204:233288</t>
  </si>
  <si>
    <t>204:58691</t>
  </si>
  <si>
    <t>204:64688</t>
  </si>
  <si>
    <t>204:232994</t>
  </si>
  <si>
    <t>204:535</t>
  </si>
  <si>
    <t>204:233234</t>
  </si>
  <si>
    <t>204:232929</t>
  </si>
  <si>
    <t>204:183</t>
  </si>
  <si>
    <t>204:233274</t>
  </si>
  <si>
    <t>204:232950</t>
  </si>
  <si>
    <t>204:143</t>
  </si>
  <si>
    <t>204:458</t>
  </si>
  <si>
    <t>204:233302</t>
  </si>
  <si>
    <t>204:232968</t>
  </si>
  <si>
    <t>204:233208</t>
  </si>
  <si>
    <t>204:37191</t>
  </si>
  <si>
    <t>204:240</t>
  </si>
  <si>
    <t>204:232887</t>
  </si>
  <si>
    <t>204:37193</t>
  </si>
  <si>
    <t>204:232911</t>
  </si>
  <si>
    <t>204:232928</t>
  </si>
  <si>
    <t>204:233236</t>
  </si>
  <si>
    <t>204:515</t>
  </si>
  <si>
    <t>204:232</t>
  </si>
  <si>
    <t>204:562</t>
  </si>
  <si>
    <t>204:233324</t>
  </si>
  <si>
    <t>204:187</t>
  </si>
  <si>
    <t>204:233344</t>
  </si>
  <si>
    <t>204:233021</t>
  </si>
  <si>
    <t>204:232969</t>
  </si>
  <si>
    <t>204:167</t>
  </si>
  <si>
    <t>204:233219</t>
  </si>
  <si>
    <t>204:232908</t>
  </si>
  <si>
    <t>204:233249</t>
  </si>
  <si>
    <t>204:64396</t>
  </si>
  <si>
    <t>300:58670</t>
  </si>
  <si>
    <t>300:57238</t>
  </si>
  <si>
    <t>300:57242</t>
  </si>
  <si>
    <t>204:462</t>
  </si>
  <si>
    <t>300:58986</t>
  </si>
  <si>
    <t>300:58664</t>
  </si>
  <si>
    <t>204:175</t>
  </si>
  <si>
    <t>300:58982</t>
  </si>
  <si>
    <t>300:58672</t>
  </si>
  <si>
    <t>300:58976</t>
  </si>
  <si>
    <t>300:58980</t>
  </si>
  <si>
    <t>300:58658</t>
  </si>
  <si>
    <t>300:58978</t>
  </si>
  <si>
    <t>204:233222</t>
  </si>
  <si>
    <t>204:182</t>
  </si>
  <si>
    <t>300:58990</t>
  </si>
  <si>
    <t>204:162</t>
  </si>
  <si>
    <t>300:58668</t>
  </si>
  <si>
    <t>204:468</t>
  </si>
  <si>
    <t>204:173</t>
  </si>
  <si>
    <t>204:470</t>
  </si>
  <si>
    <t>300:58950</t>
  </si>
  <si>
    <t>204:137</t>
  </si>
  <si>
    <t>300:59007</t>
  </si>
  <si>
    <t>204:232894</t>
  </si>
  <si>
    <t>204:155</t>
  </si>
  <si>
    <t>300:58679</t>
  </si>
  <si>
    <t>204:142</t>
  </si>
  <si>
    <t>300:58969</t>
  </si>
  <si>
    <t>300:58656</t>
  </si>
  <si>
    <t>204:502</t>
  </si>
  <si>
    <t>204:439</t>
  </si>
  <si>
    <t>300:58922</t>
  </si>
  <si>
    <t>204:4619</t>
  </si>
  <si>
    <t>300:58636</t>
  </si>
  <si>
    <t>300:58928</t>
  </si>
  <si>
    <t>204:233030</t>
  </si>
  <si>
    <t>204:1162</t>
  </si>
  <si>
    <t>204:232963</t>
  </si>
  <si>
    <t>204:233310</t>
  </si>
  <si>
    <t>300:30069</t>
  </si>
  <si>
    <t>300:28797</t>
  </si>
  <si>
    <t>204:233243</t>
  </si>
  <si>
    <t>204:508</t>
  </si>
  <si>
    <t>204:232960</t>
  </si>
  <si>
    <t>204:449</t>
  </si>
  <si>
    <t>204:233339</t>
  </si>
  <si>
    <t>204:174</t>
  </si>
  <si>
    <t>204:233184</t>
  </si>
  <si>
    <t>204:232865</t>
  </si>
  <si>
    <t>204:232902</t>
  </si>
  <si>
    <t>204:165</t>
  </si>
  <si>
    <t>204:580</t>
  </si>
  <si>
    <t>204:232919</t>
  </si>
  <si>
    <t>204:233323</t>
  </si>
  <si>
    <t>204:233193</t>
  </si>
  <si>
    <t>204:203</t>
  </si>
  <si>
    <t>204:233198</t>
  </si>
  <si>
    <t>204:251</t>
  </si>
  <si>
    <t>204:254</t>
  </si>
  <si>
    <t>204:233317</t>
  </si>
  <si>
    <t>204:247</t>
  </si>
  <si>
    <t>204:233086</t>
  </si>
  <si>
    <t>204:232746</t>
  </si>
  <si>
    <t>204:19133</t>
  </si>
  <si>
    <t>204:273</t>
  </si>
  <si>
    <t>204:231</t>
  </si>
  <si>
    <t>204:549</t>
  </si>
  <si>
    <t>204:232883</t>
  </si>
  <si>
    <t>204:570</t>
  </si>
  <si>
    <t>204:233336</t>
  </si>
  <si>
    <t>204:529</t>
  </si>
  <si>
    <t>204:233216</t>
  </si>
  <si>
    <t>204:278</t>
  </si>
  <si>
    <t>204:557</t>
  </si>
  <si>
    <t>204:233332</t>
  </si>
  <si>
    <t>204:233211</t>
  </si>
  <si>
    <t>300:23283</t>
  </si>
  <si>
    <t>300:23293</t>
  </si>
  <si>
    <t>300:19936</t>
  </si>
  <si>
    <t>300:23440</t>
  </si>
  <si>
    <t>300:23346</t>
  </si>
  <si>
    <t>300:23529</t>
  </si>
  <si>
    <t>204:161</t>
  </si>
  <si>
    <t>300:22005</t>
  </si>
  <si>
    <t>204:154</t>
  </si>
  <si>
    <t>300:23695</t>
  </si>
  <si>
    <t>300:23588</t>
  </si>
  <si>
    <t>204:3532</t>
  </si>
  <si>
    <t>204:3201</t>
  </si>
  <si>
    <t>204:1169</t>
  </si>
  <si>
    <t>204:1483</t>
  </si>
  <si>
    <t>204:3605</t>
  </si>
  <si>
    <t>204:3305</t>
  </si>
  <si>
    <t>204:861</t>
  </si>
  <si>
    <t>204:1166</t>
  </si>
  <si>
    <t>300:23489</t>
  </si>
  <si>
    <t>204:1734</t>
  </si>
  <si>
    <t>204:69610</t>
  </si>
  <si>
    <t>204:921</t>
  </si>
  <si>
    <t>204:1242</t>
  </si>
  <si>
    <t>204:1147</t>
  </si>
  <si>
    <t>300:5083</t>
  </si>
  <si>
    <t>204:1875</t>
  </si>
  <si>
    <t>204:1170</t>
  </si>
  <si>
    <t>300:5360</t>
  </si>
  <si>
    <t>start /low /b %USERPROFILE%\Documents\GitHub\eaglep3\Utilities\DownloadLogsFromS3.py --loco 4051 --day 2017-12-23</t>
  </si>
  <si>
    <t>start /low /b %USERPROFILE%\Documents\GitHub\eaglep3\Utilities\DownloadLogsFromS3.py --loco 4016 --day 2017-12-23</t>
  </si>
  <si>
    <t>start /low /b %USERPROFILE%\Documents\GitHub\eaglep3\Utilities\DownloadLogsFromS3.py --loco 4034 --day 2017-12-23</t>
  </si>
  <si>
    <t>start /low /b %USERPROFILE%\Documents\GitHub\eaglep3\Utilities\DownloadLogsFromS3.py --loco 4046 --day 2017-12-23</t>
  </si>
  <si>
    <t>start /low /b %USERPROFILE%\Documents\GitHub\eaglep3\Utilities\DownloadLogsFromS3.py --loco 4031 --day 2017-12-23</t>
  </si>
  <si>
    <t>start /low /b %USERPROFILE%\Documents\GitHub\eaglep3\Utilities\DownloadLogsFromS3.py --loco 4025 --day 2017-12-24</t>
  </si>
  <si>
    <t>start /low /b %USERPROFILE%\Documents\GitHub\eaglep3\Utilities\DownloadLogsFromS3.py --loco 4026 --day 2017-12-23</t>
  </si>
  <si>
    <t>start /low /b %USERPROFILE%\Documents\GitHub\eaglep3\Utilities\DownloadLogsFromS3.py --loco 4001 --day 2017-12-24</t>
  </si>
  <si>
    <t>start /low /b %USERPROFILE%\Documents\GitHub\eaglep3\Utilities\DownloadLogsFromS3.py --loco 4052 --day 2017-12-23</t>
  </si>
  <si>
    <t>start /low /b %USERPROFILE%\Documents\GitHub\eaglep3\Utilities\DownloadLogsFromS3.py --loco 4025 --day 2017-12-23</t>
  </si>
  <si>
    <t>start /low /b %USERPROFILE%\Documents\GitHub\eaglep3\Utilities\DownloadLogsFromS3.py --loco 4045 --day 2017-12-24</t>
  </si>
  <si>
    <t>start /low /b %USERPROFILE%\Documents\GitHub\eaglep3\Utilities\DownloadLogsFromS3.py --loco 4002 --day 2017-12-23</t>
  </si>
  <si>
    <t>start /low /b %USERPROFILE%\Documents\GitHub\eaglep3\Utilities\DownloadLogsFromS3.py --loco 4046 --day 2017-12-24</t>
  </si>
  <si>
    <t>start /low /b %USERPROFILE%\Documents\GitHub\eaglep3\Utilities\DownloadLogsFromS3.py --loco 4030 --day 2017-12-23</t>
  </si>
  <si>
    <t>start /low /b %USERPROFILE%\Documents\GitHub\eaglep3\Utilities\DownloadLogsFromS3.py --loco 4036 --day 2017-12-24</t>
  </si>
  <si>
    <t>start /low /b %USERPROFILE%\Documents\GitHub\eaglep3\Utilities\DownloadLogsFromS3.py --loco 4002 --day 2017-12-24</t>
  </si>
  <si>
    <t>start /low /b %USERPROFILE%\Documents\GitHub\eaglep3\Utilities\DownloadLogsFromS3.py --loco 4031 --day 2017-12-24</t>
  </si>
  <si>
    <t>Onboard en route failure during init/departure test failure</t>
  </si>
  <si>
    <t>101-23</t>
  </si>
  <si>
    <t>THOMPSON LESTER</t>
  </si>
  <si>
    <t>Wheel tach slip/slide caused location unknown</t>
  </si>
  <si>
    <t>Cascade delay from 179-23</t>
  </si>
  <si>
    <t>Canceled due to pedestrian strike at Central Park Sta.</t>
  </si>
  <si>
    <t>Pedestrian strike at Central Park Sta.</t>
  </si>
  <si>
    <t>Delay due to suspicious package at Colorado Sta.</t>
  </si>
  <si>
    <t>Operator selected wrong track</t>
  </si>
  <si>
    <t>Minor onboard en route failure during init</t>
  </si>
  <si>
    <t>Restricted aspect</t>
  </si>
  <si>
    <t>Stop Chambers 2N</t>
  </si>
  <si>
    <t>Stop CP 40th 4S</t>
  </si>
  <si>
    <t>Observed unhealthy xing banner at Sable due to Wi-MAX data drop</t>
  </si>
  <si>
    <t>Observed unhealthy xing banner at BNSF Fuel Yard due to Wi-MAX data drop</t>
  </si>
  <si>
    <t>Operator observed braking without banner, no PTC enforcement in onboard logs</t>
  </si>
  <si>
    <t>Extended Wi-MAX data drop</t>
  </si>
  <si>
    <t>No attempt to select track at DIA</t>
  </si>
  <si>
    <t>Premature downgrade EC0386RH 44-2T 2S</t>
  </si>
  <si>
    <t>Observed brief wheel tach slip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</si>
</sst>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2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2"/>
  <sheetViews>
    <sheetView tabSelected="1" zoomScaleNormal="100" workbookViewId="0">
      <selection activeCell="R25" sqref="R2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43092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43092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145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COUNTIFS($N$13:$N$9585,"&gt;0",$AG$13:$AG$9585,I1)</f>
        <v>137</v>
      </c>
      <c r="K5" s="39"/>
      <c r="L5" s="171"/>
      <c r="M5" s="40">
        <f>AVERAGEIFS($N$13:$N$9585,$AG$13:$AG$9585,I1)</f>
        <v>38.146836982621899</v>
      </c>
      <c r="N5" s="38">
        <f t="array" ref="N5">MIN(IF($AG$13:$AG$9585=I1,IF(ISNUMBER($N$13:$N$9585),IF($N$13:$N$9585&gt;0,$N$13:$N$9585))))</f>
        <v>10.083333333022892</v>
      </c>
      <c r="O5" s="3">
        <f t="array" ref="O5">MAX(IF($AG$13:$AG$9585=I1,IF(ISNUMBER($N$13:$N$9585),IF($N$13:$N$9585&gt;0,$N$13:$N$9585))))</f>
        <v>50.633333340520039</v>
      </c>
      <c r="P5" s="2"/>
      <c r="R5" s="162" t="s">
        <v>17</v>
      </c>
      <c r="S5" s="206">
        <f>COUNTIFS($N$13:$N$9585,"&gt;0",$AG$13:$AG$9585,R1)</f>
        <v>36</v>
      </c>
      <c r="T5" s="171"/>
      <c r="U5" s="194"/>
      <c r="V5" s="210">
        <f>AVERAGEIFS($N$13:$N$9585,$AG$13:$AG$9585,R1)</f>
        <v>13.638888889690861</v>
      </c>
      <c r="W5" s="211">
        <f t="array" ref="W5">MIN(IF($AG$13:$AG$9585=R1,IF(ISNUMBER($N$13:$N$9585),IF($N$13:$N$9585&gt;0,$N$13:$N$9585))))</f>
        <v>11.21666666935198</v>
      </c>
      <c r="X5" s="199">
        <f t="array" ref="X5">MAX(IF($AG$13:$AG$9585=R1,IF(ISNUMBER($N$13:$N$9585),IF($N$13:$N$9585&gt;0,$N$13:$N$9585))))</f>
        <v>16.200000004610047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COUNT($O$13:$O$343)</f>
        <v>0</v>
      </c>
      <c r="K6" s="39"/>
      <c r="L6" s="171"/>
      <c r="M6" s="40">
        <f>IFERROR(AVERAGE($O$13:$O$343),0)</f>
        <v>0</v>
      </c>
      <c r="N6" s="38">
        <f>MIN($O$13:$O$343)</f>
        <v>0</v>
      </c>
      <c r="O6" s="3">
        <f>MAX($O$13:$O$343)</f>
        <v>0</v>
      </c>
      <c r="P6" s="2"/>
      <c r="R6" s="163" t="s">
        <v>43</v>
      </c>
      <c r="S6" s="206">
        <f>COUNT($O$13:$O$343)</f>
        <v>0</v>
      </c>
      <c r="T6" s="171"/>
      <c r="U6" s="194"/>
      <c r="V6" s="210">
        <f>IFERROR(AVERAGE($O$13:$O$343),0)</f>
        <v>0</v>
      </c>
      <c r="W6" s="211">
        <f>MIN($O$13:$O$343)</f>
        <v>0</v>
      </c>
      <c r="X6" s="199">
        <f>MAX($O$13:$O$343)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COUNTIFS($P$13:$P$9585,"&gt;0",$AG$13:$AG$9585,I1)</f>
        <v>8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COUNTIFS($P$13:$P$9585,"&gt;0",$AG$13:$AG$9585,R1)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1"/>
      <c r="M8" s="40">
        <f>M5</f>
        <v>38.146836982621899</v>
      </c>
      <c r="N8" s="38">
        <f>N5</f>
        <v>10.083333333022892</v>
      </c>
      <c r="O8" s="3">
        <f>O5</f>
        <v>50.633333340520039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13.638888889690861</v>
      </c>
      <c r="W8" s="211">
        <f>W5</f>
        <v>11.21666666935198</v>
      </c>
      <c r="X8" s="199">
        <f>X5</f>
        <v>16.200000004610047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0.94482758620689655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- 2017-12-23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AVERAGE(S13:S133)</f>
        <v>0.97969187675070035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1088</v>
      </c>
      <c r="B13" s="7">
        <v>4012</v>
      </c>
      <c r="C13" s="21" t="s">
        <v>192</v>
      </c>
      <c r="D13" s="21" t="s">
        <v>894</v>
      </c>
      <c r="E13" s="13">
        <v>43092.150856481479</v>
      </c>
      <c r="F13" s="226">
        <v>43092.135879629626</v>
      </c>
      <c r="G13" s="7">
        <v>58</v>
      </c>
      <c r="H13" s="21" t="s">
        <v>558</v>
      </c>
      <c r="I13" s="226">
        <v>43092.136574074073</v>
      </c>
      <c r="J13" s="7">
        <v>0</v>
      </c>
      <c r="K13" s="89" t="str">
        <f t="shared" ref="K13:K76" si="0">IF(ISEVEN(B13),(B13-1)&amp;"/"&amp;B13,B13&amp;"/"&amp;(B13+1))</f>
        <v>4011/4012</v>
      </c>
      <c r="L13" s="184" t="s">
        <v>1089</v>
      </c>
      <c r="M13" s="6">
        <f t="shared" ref="M13:M76" si="1">I13-F13</f>
        <v>6.944444467080757E-4</v>
      </c>
      <c r="N13" s="225"/>
      <c r="O13" s="7"/>
      <c r="P13" s="225">
        <f>24*60*SUM($M13:$M13)</f>
        <v>1.000000003259629</v>
      </c>
      <c r="Q13" s="22"/>
      <c r="R13" s="166" t="s">
        <v>1103</v>
      </c>
      <c r="S13" s="249">
        <f t="shared" ref="S13:S54" si="2">1/IF(AG13="EC",12,1)*SUM(U13:U13)</f>
        <v>0</v>
      </c>
      <c r="T13" s="173" t="str">
        <f t="shared" ref="T13:T76" si="3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5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04:16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203" t="str">
        <f>IF(AA13&lt;VLOOKUP(AG13,Variables!$AC$3:$AD$8,2,FALSE),"Y","N")</f>
        <v>Y</v>
      </c>
      <c r="X13" s="203" t="e">
        <f>VALUE(LEFT(AD13,4))-VALUE(LEFT(AD12,4))</f>
        <v>#VALUE!</v>
      </c>
      <c r="Y13" s="203">
        <v>4.7100000000000003E-2</v>
      </c>
      <c r="Z13" s="203">
        <v>4.7100000000000003E-2</v>
      </c>
      <c r="AA13" s="203">
        <f t="shared" ref="AA13:AA76" si="5">ABS(Z13-Y13)</f>
        <v>0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6">VALUE(LEFT(A13,LEN(A13)-3))</f>
        <v>101</v>
      </c>
      <c r="AE13" s="77" t="str">
        <f t="shared" ref="AE13:AE76" si="7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13" s="74" t="str">
        <f t="shared" ref="AF13:AF76" si="8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/stypes="app*4012*20171223*"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9">DetSubdiv(A13)</f>
        <v>EC</v>
      </c>
      <c r="AH13" s="78" t="str">
        <f t="shared" ref="AH13" si="1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4012 --swversion DE.1.0.9.0 --startMP 204:471 --initTime 2017-12-23T03:37:14 --startdatetime 2017-12-23T03:15:40 --delay 58 --endMP 204:233291 --enddatetime 2017-12-23T03:16:40 --enforcementcount 0 &gt;&gt;%USERPROFILE%\Documents\GitHub\eaglep3-reporting\EC\2017-12-23-refined-times.txt</v>
      </c>
      <c r="AI13" s="96" t="str">
        <f t="shared" ref="AI13" si="1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{"issue":{"subject":"Extended Wi-MAX data drop","project_id":79,"tracker_id":40,"status_id":1,"priority_id":2,"assigned_to_id":338,"start_date":"2017-12-23","description":"","custom_fields":[{"id":1,"name":"Subdivision","value":"EC"},{"id":4,"name":"Milepost","value":"0.0471"},{"id":17,"name":"Train ID","value":"101-23"},{"id":16,"name":"Locomotive ID","value":"4012"},{"id":130,"name":"Impact","value":""},{"id":150,"name":"Time of Event (Mountain Time)","value":"03:16:40"},{"id":151,"name":"Denver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2">"start /low /b "&amp;dls3logs&amp;" --loco "&amp;B13&amp;" --day "&amp;TEXT(F13,"YYYY-MM-DD")</f>
        <v>start /low /b %USERPROFILE%\Documents\GitHub\eaglep3\Utilities\DownloadLogsFromS3.py --loco 4012 --day 2017-12-23</v>
      </c>
      <c r="AN13" s="150" t="str">
        <f t="shared" ref="AN13" si="1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04:16:40-0700'))&amp;_a=(columns:!('Message%20ID',Summary),filters:!(),index:'emp_*',interval:auto,query:(query_string:(analyze_wildcard:!t,query:'%22rtdc.l.rtdc.4012%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702</v>
      </c>
      <c r="B14" s="225">
        <v>4011</v>
      </c>
      <c r="C14" s="227" t="s">
        <v>192</v>
      </c>
      <c r="D14" s="227" t="s">
        <v>894</v>
      </c>
      <c r="E14" s="226">
        <v>43092.150856481479</v>
      </c>
      <c r="F14" s="226">
        <v>43092.170601851853</v>
      </c>
      <c r="G14" s="225">
        <v>58</v>
      </c>
      <c r="H14" s="227" t="s">
        <v>558</v>
      </c>
      <c r="I14" s="226">
        <v>43092.171296296299</v>
      </c>
      <c r="J14" s="225">
        <v>0</v>
      </c>
      <c r="K14" s="237" t="str">
        <f t="shared" si="0"/>
        <v>4011/4012</v>
      </c>
      <c r="L14" s="245" t="str">
        <f>VLOOKUP(A14,'Trips&amp;Operators'!$C$1:$G$99911,5,FALSE)</f>
        <v>THOMPSON LESTER</v>
      </c>
      <c r="M14" s="224">
        <f t="shared" si="1"/>
        <v>6.944444467080757E-4</v>
      </c>
      <c r="N14" s="225"/>
      <c r="O14" s="225"/>
      <c r="P14" s="225">
        <f>24*60*SUM($M14:$M14)</f>
        <v>1.000000003259629</v>
      </c>
      <c r="Q14" s="228"/>
      <c r="R14" s="242" t="s">
        <v>1087</v>
      </c>
      <c r="S14" s="249">
        <f t="shared" si="2"/>
        <v>0</v>
      </c>
      <c r="T14" s="242" t="str">
        <f t="shared" si="3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248" t="str">
        <f t="shared" si="4"/>
        <v>https://d0f6bd738d7f1b3e5a7ca70fe4ff75f0.us-east-1.aws.found.io/app/kibana#/discover/Steve-Slow-Train-Analysis-(2080s-and-2083s)?_g=(refreshInterval:(display:Off,pause:!f,section:0,value:0),time:(from:'2017-12-23T02:37:14-0700',mode:absolute,to:'2017-12-23T05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247" t="str">
        <f>IF(AA14&lt;VLOOKUP(AG14,Variables!$AC$3:$AD$8,2,FALSE),"Y","N")</f>
        <v>Y</v>
      </c>
      <c r="X14" s="247">
        <f>VALUE(LEFT(AD14,4))-VALUE(LEFT(AD13,4))</f>
        <v>1</v>
      </c>
      <c r="Y14" s="247">
        <v>23.297999999999998</v>
      </c>
      <c r="Z14" s="247">
        <f t="shared" ref="Z14:Z42" si="15">RIGHT(H14,LEN(H14)-4)/10000</f>
        <v>23.3291</v>
      </c>
      <c r="AA14" s="247">
        <f t="shared" si="5"/>
        <v>3.1100000000002126E-2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6"/>
        <v>102</v>
      </c>
      <c r="AE14" s="235" t="str">
        <f t="shared" si="7"/>
        <v>aws s3 cp s3://rtdc.mdm.uploadarchive.raw/RTDC4011/ "%USERPROFILE%\AppData\Local\Temp\OnboardLogs"\RTDC4011\2017-12-23 --exclude "*" --recursive --include "*20171223*" &amp; "%USERPROFILE%\Documents\GitHub\mrs-test-scripts\Headless Mode &amp; Sideloading\WalkAndUnGZ.bat" "%USERPROFILE%\AppData\Local\Temp\OnboardLogs"\RTDC4011\2017-12-23 &amp; 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</v>
      </c>
      <c r="AF14" s="234" t="str">
        <f t="shared" si="8"/>
        <v>"C:\Program Files (x86)\AstroGrep\AstroGrep.exe" /e /r /s /spath="%USERPROFILE%\AppData\Local\Temp\OnboardLogs" /stypes="app*4011*20171223*" /stext=" 11:.+((SYSTEM_STATE.+slice.+state.+changed )|(ment ac)|(multiple cpu faults)|(system.+state.+changed )|(\[timeout)|(PRM\|1\|D)|(kpr)|(kdp)|(train st.+moving)|(\|lc)|(penalty))"</v>
      </c>
      <c r="AG14" s="244" t="str">
        <f t="shared" si="9"/>
        <v>EC</v>
      </c>
      <c r="AH14" s="236" t="str">
        <f t="shared" ref="AH1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4011 --swversion DE.1.0.9.0 --startMP 204:471 --initTime 2017-12-23T03:37:14 --startdatetime 2017-12-23T04:05:40 --delay 58 --endMP 204:233291 --enddatetime 2017-12-23T04:06:40 --enforcementcount 0 &gt;&gt;%USERPROFILE%\Documents\GitHub\eaglep3-reporting\EC\2017-12-23-refined-times.txt</v>
      </c>
      <c r="AI14" s="238" t="str">
        <f t="shared" ref="AI14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{"issue":{"subject":"Onboard en route failure during init/departure test failure","project_id":79,"tracker_id":40,"status_id":1,"priority_id":2,"assigned_to_id":338,"start_date":"2017-12-23","description":"","custom_fields":[{"id":1,"name":"Subdivision","value":"EC"},{"id":4,"name":"Milepost","value":"23.3291"},{"id":17,"name":"Train ID","value":"102-23"},{"id":16,"name":"Locomotive ID","value":"4011"},{"id":130,"name":"Impact","value":""},{"id":150,"name":"Time of Event (Mountain Time)","value":"04:06:40"},{"id":151,"name":"Denver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" si="18">"start /low /b "&amp;dls3logs&amp;" --loco "&amp;B14&amp;" --day "&amp;TEXT(F14,"YYYY-MM-DD")</f>
        <v>start /low /b %USERPROFILE%\Documents\GitHub\eaglep3\Utilities\DownloadLogsFromS3.py --loco 4011 --day 2017-12-23</v>
      </c>
      <c r="AN14" s="241" t="str">
        <f t="shared" ref="AN14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 during init/departure test failure","project_id":30,"tracker_id":4,"status_id":1,"priority_id":1,"assigned_to_id":10,"start_date":"2017-12-23","description":"","custom_fields":[{"id":30,"name":"Category","value":"Issue"},{"id":3,"name":"Functional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" si="20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05:06:40-0700'))&amp;_a=(columns:!('Message%20ID',Summary),filters:!(),index:'emp_*',interval:auto,query:(query_string:(analyze_wildcard:!t,query:'%22rtdc.l.rtdc.4011%22')),sort:!(Time.ISO8601,asc))</v>
      </c>
      <c r="AP14" s="223"/>
      <c r="AQ14" s="223"/>
      <c r="AR14" s="223"/>
      <c r="AS14" s="223"/>
      <c r="AT14" s="223"/>
      <c r="AU14" s="223"/>
      <c r="AV14" s="223"/>
      <c r="AW14" s="223"/>
      <c r="AX14" s="223"/>
      <c r="AY14" s="223"/>
      <c r="AZ14" s="223"/>
      <c r="BA14" s="223"/>
      <c r="BB14" s="223"/>
      <c r="BC14" s="223"/>
      <c r="BD14" s="223"/>
      <c r="BE14" s="223"/>
      <c r="BF14" s="223"/>
      <c r="BG14" s="223"/>
      <c r="BH14" s="223"/>
      <c r="BI14" s="223"/>
      <c r="BJ14" s="223"/>
      <c r="BK14" s="223"/>
      <c r="BL14" s="223"/>
      <c r="BM14" s="223"/>
      <c r="BN14" s="223"/>
      <c r="BO14" s="223"/>
      <c r="BP14" s="223"/>
      <c r="BQ14" s="223"/>
      <c r="BR14" s="223"/>
      <c r="BS14" s="223"/>
      <c r="BT14" s="223"/>
      <c r="BU14" s="223"/>
      <c r="BV14" s="223"/>
      <c r="BW14" s="223"/>
      <c r="BX14" s="223"/>
      <c r="BY14" s="223"/>
      <c r="BZ14" s="223"/>
      <c r="CA14" s="223"/>
      <c r="CB14" s="223"/>
      <c r="CC14" s="223"/>
      <c r="CD14" s="223"/>
      <c r="CE14" s="223"/>
      <c r="CF14" s="223"/>
      <c r="CG14" s="223"/>
      <c r="CH14" s="223"/>
      <c r="CI14" s="223"/>
      <c r="CJ14" s="223"/>
      <c r="CK14" s="223"/>
      <c r="CL14" s="223"/>
      <c r="CM14" s="223"/>
    </row>
    <row r="15" spans="1:91" s="1" customFormat="1" x14ac:dyDescent="0.25">
      <c r="A15" s="229" t="s">
        <v>698</v>
      </c>
      <c r="B15" s="225">
        <v>4016</v>
      </c>
      <c r="C15" s="227" t="s">
        <v>192</v>
      </c>
      <c r="D15" s="227" t="s">
        <v>894</v>
      </c>
      <c r="E15" s="226">
        <v>43092.150856481479</v>
      </c>
      <c r="F15" s="226">
        <v>43092.156412037039</v>
      </c>
      <c r="G15" s="225">
        <v>58</v>
      </c>
      <c r="H15" s="227" t="s">
        <v>558</v>
      </c>
      <c r="I15" s="226">
        <v>43092.181006944447</v>
      </c>
      <c r="J15" s="225">
        <v>0</v>
      </c>
      <c r="K15" s="237" t="str">
        <f t="shared" si="0"/>
        <v>4015/4016</v>
      </c>
      <c r="L15" s="245" t="str">
        <f>VLOOKUP(A15,'Trips&amp;Operators'!$C$1:$G$99911,5,FALSE)</f>
        <v>MAELZER KURT</v>
      </c>
      <c r="M15" s="224">
        <f t="shared" si="1"/>
        <v>2.4594907408754807E-2</v>
      </c>
      <c r="N15" s="225">
        <f t="shared" ref="N15:N39" si="21">24*60*SUM($M15:$M15)</f>
        <v>35.416666668606922</v>
      </c>
      <c r="O15" s="225"/>
      <c r="P15" s="225"/>
      <c r="Q15" s="228"/>
      <c r="R15" s="242"/>
      <c r="S15" s="249">
        <f t="shared" si="2"/>
        <v>1</v>
      </c>
      <c r="T15" s="242" t="str">
        <f t="shared" si="3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4"/>
        <v>https://d0f6bd738d7f1b3e5a7ca70fe4ff75f0.us-east-1.aws.found.io/app/kibana#/discover/Steve-Slow-Train-Analysis-(2080s-and-2083s)?_g=(refreshInterval:(display:Off,pause:!f,section:0,value:0),time:(from:'2017-12-23T02:37:14-0700',mode:absolute,to:'2017-12-23T05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247" t="str">
        <f>IF(AA15&lt;VLOOKUP(AG15,Variables!$AC$3:$AD$8,2,FALSE),"Y","N")</f>
        <v>N</v>
      </c>
      <c r="X15" s="247">
        <f t="shared" ref="X15:X16" si="22">VALUE(LEFT(AD15,4))-VALUE(LEFT(AD14,4))</f>
        <v>1</v>
      </c>
      <c r="Y15" s="247">
        <f t="shared" ref="Y15:Y46" si="23">RIGHT(D15,LEN(D15)-4)/10000</f>
        <v>4.7100000000000003E-2</v>
      </c>
      <c r="Z15" s="247">
        <f t="shared" si="15"/>
        <v>23.3291</v>
      </c>
      <c r="AA15" s="247">
        <f t="shared" si="5"/>
        <v>23.282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6"/>
        <v>103</v>
      </c>
      <c r="AE15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5" s="234" t="str">
        <f t="shared" si="8"/>
        <v>"C:\Program Files (x86)\AstroGrep\AstroGrep.exe" /e /r /s /spath="%USERPROFILE%\AppData\Local\Temp\OnboardLogs" /stypes="app*4016*20171223*" /stext=" 11:.+((SYSTEM_STATE.+slice.+state.+changed )|(ment ac)|(multiple cpu faults)|(system.+state.+changed )|(\[timeout)|(PRM\|1\|D)|(kpr)|(kdp)|(train st.+moving)|(\|lc)|(penalty))"</v>
      </c>
      <c r="AG15" s="244" t="str">
        <f t="shared" si="9"/>
        <v>EC</v>
      </c>
      <c r="AH15" s="236" t="str">
        <f t="shared" ref="AH15" si="24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103-23 --locoid 4016 --swversion DE.1.0.9.0 --startMP 204:471 --initTime 2017-12-23T03:37:14 --startdatetime 2017-12-23T03:45:14 --delay 58 --endMP 204:233291 --enddatetime 2017-12-23T04:20:39 --enforcementcount 0 &gt;&gt;%USERPROFILE%\Documents\GitHub\eaglep3-reporting\EC\2017-12-23-refined-times.txt</v>
      </c>
      <c r="AI15" s="238" t="str">
        <f t="shared" ref="AI15" si="25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ID","value":"103-23"},{"id":16,"name":"Locomotive ID","value":"4016"},{"id":130,"name":"Impact","value":""},{"id":150,"name":"Time of Event (Mountain Time)","value":"04:20:39"},{"id":151,"name":"Denver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ref="AM15" si="26">"start /low /b "&amp;dls3logs&amp;" --loco "&amp;B15&amp;" --day "&amp;TEXT(F15,"YYYY-MM-DD")</f>
        <v>start /low /b %USERPROFILE%\Documents\GitHub\eaglep3\Utilities\DownloadLogsFromS3.py --loco 4016 --day 2017-12-23</v>
      </c>
      <c r="AN15" s="241" t="str">
        <f t="shared" ref="AN15" si="27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ref="AO15" si="28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-23T02:37:14-0700',mode:absolute,to:'2017-12-23T05:20:39-0700'))&amp;_a=(columns:!('Message%20ID',Summary),filters:!(),index:'emp_*',interval:auto,query:(query_string:(analyze_wildcard:!t,query:'%22rtdc.l.rtdc.4016%22')),sort:!(Time.ISO8601,asc))</v>
      </c>
      <c r="AP15" s="223"/>
      <c r="AQ15" s="223"/>
      <c r="AR15" s="223"/>
      <c r="AS15" s="223"/>
      <c r="AT15" s="223"/>
      <c r="AU15" s="223"/>
      <c r="AV15" s="223"/>
      <c r="AW15" s="223"/>
      <c r="AX15" s="223"/>
      <c r="AY15" s="223"/>
      <c r="AZ15" s="223"/>
      <c r="BA15" s="223"/>
      <c r="BB15" s="223"/>
      <c r="BC15" s="223"/>
      <c r="BD15" s="223"/>
      <c r="BE15" s="223"/>
      <c r="BF15" s="223"/>
      <c r="BG15" s="223"/>
      <c r="BH15" s="223"/>
      <c r="BI15" s="223"/>
      <c r="BJ15" s="223"/>
      <c r="BK15" s="223"/>
      <c r="BL15" s="223"/>
      <c r="BM15" s="223"/>
      <c r="BN15" s="223"/>
      <c r="BO15" s="223"/>
      <c r="BP15" s="223"/>
      <c r="BQ15" s="223"/>
      <c r="BR15" s="223"/>
      <c r="BS15" s="223"/>
      <c r="BT15" s="223"/>
      <c r="BU15" s="223"/>
      <c r="BV15" s="223"/>
      <c r="BW15" s="223"/>
      <c r="BX15" s="223"/>
      <c r="BY15" s="223"/>
      <c r="BZ15" s="223"/>
      <c r="CA15" s="223"/>
      <c r="CB15" s="223"/>
      <c r="CC15" s="223"/>
      <c r="CD15" s="223"/>
      <c r="CE15" s="223"/>
      <c r="CF15" s="223"/>
      <c r="CG15" s="223"/>
      <c r="CH15" s="223"/>
      <c r="CI15" s="223"/>
      <c r="CJ15" s="223"/>
      <c r="CK15" s="223"/>
      <c r="CL15" s="223"/>
      <c r="CM15" s="223"/>
    </row>
    <row r="16" spans="1:91" s="1" customFormat="1" x14ac:dyDescent="0.25">
      <c r="A16" s="229" t="s">
        <v>707</v>
      </c>
      <c r="B16" s="225">
        <v>4015</v>
      </c>
      <c r="C16" s="227" t="s">
        <v>192</v>
      </c>
      <c r="D16" s="227" t="s">
        <v>617</v>
      </c>
      <c r="E16" s="226">
        <v>43092.185844907406</v>
      </c>
      <c r="F16" s="226">
        <v>43092.19599537037</v>
      </c>
      <c r="G16" s="225">
        <v>47</v>
      </c>
      <c r="H16" s="227" t="s">
        <v>895</v>
      </c>
      <c r="I16" s="226">
        <v>43092.221979166665</v>
      </c>
      <c r="J16" s="225">
        <v>0</v>
      </c>
      <c r="K16" s="237" t="str">
        <f t="shared" si="0"/>
        <v>4015/4016</v>
      </c>
      <c r="L16" s="245" t="str">
        <f>VLOOKUP(A16,'Trips&amp;Operators'!$C$1:$G$99911,5,FALSE)</f>
        <v>MAELZER KURT</v>
      </c>
      <c r="M16" s="224">
        <f t="shared" si="1"/>
        <v>2.5983796294895001E-2</v>
      </c>
      <c r="N16" s="225">
        <f t="shared" si="21"/>
        <v>37.416666664648801</v>
      </c>
      <c r="O16" s="225"/>
      <c r="P16" s="225"/>
      <c r="Q16" s="228"/>
      <c r="R16" s="242"/>
      <c r="S16" s="249">
        <f t="shared" si="2"/>
        <v>1</v>
      </c>
      <c r="T16" s="242" t="str">
        <f t="shared" si="3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4"/>
        <v>https://d0f6bd738d7f1b3e5a7ca70fe4ff75f0.us-east-1.aws.found.io/app/kibana#/discover/Steve-Slow-Train-Analysis-(2080s-and-2083s)?_g=(refreshInterval:(display:Off,pause:!f,section:0,value:0),time:(from:'2017-12-23T03:27:37-0700',mode:absolute,to:'2017-12-23T06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247" t="str">
        <f>IF(AA16&lt;VLOOKUP(AG16,Variables!$AC$3:$AD$8,2,FALSE),"Y","N")</f>
        <v>N</v>
      </c>
      <c r="X16" s="247">
        <f t="shared" si="22"/>
        <v>1</v>
      </c>
      <c r="Y16" s="247">
        <f t="shared" si="23"/>
        <v>23.297999999999998</v>
      </c>
      <c r="Z16" s="247">
        <f t="shared" si="15"/>
        <v>1.7999999999999999E-2</v>
      </c>
      <c r="AA16" s="247">
        <f t="shared" si="5"/>
        <v>23.279999999999998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6"/>
        <v>104</v>
      </c>
      <c r="AE16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6" s="234" t="str">
        <f t="shared" si="8"/>
        <v>"C:\Program Files (x86)\AstroGrep\AstroGrep.exe" /e /r /s /spath="%USERPROFILE%\AppData\Local\Temp\OnboardLogs" /stypes="app*4015*20171223*" /stext=" 12:.+((SYSTEM_STATE.+slice.+state.+changed )|(ment ac)|(multiple cpu faults)|(system.+state.+changed )|(\[timeout)|(PRM\|1\|D)|(kpr)|(kdp)|(train st.+moving)|(\|lc)|(penalty))"</v>
      </c>
      <c r="AG16" s="244" t="str">
        <f t="shared" si="9"/>
        <v>EC</v>
      </c>
      <c r="AH16" s="236" t="str">
        <f t="shared" ref="AH16:AH79" si="29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104-23 --locoid 4015 --swversion DE.1.0.9.0 --startMP 204:232980 --initTime 2017-12-23T04:27:37 --startdatetime 2017-12-23T04:42:14 --delay 47 --endMP 204:180 --enddatetime 2017-12-23T05:19:39 --enforcementcount 0 &gt;&gt;%USERPROFILE%\Documents\GitHub\eaglep3-reporting\EC\2017-12-23-refined-times.txt</v>
      </c>
      <c r="AI16" s="238" t="str">
        <f t="shared" ref="AI16:AI79" si="30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ID","value":"104-23"},{"id":16,"name":"Locomotive ID","value":"4015"},{"id":130,"name":"Impact","value":""},{"id":150,"name":"Time of Event (Mountain Time)","value":"05:19:39"},{"id":151,"name":"Denver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ref="AM16:AM79" si="31">"start /low /b "&amp;dls3logs&amp;" --loco "&amp;B16&amp;" --day "&amp;TEXT(F16,"YYYY-MM-DD")</f>
        <v>start /low /b %USERPROFILE%\Documents\GitHub\eaglep3\Utilities\DownloadLogsFromS3.py --loco 4015 --day 2017-12-23</v>
      </c>
      <c r="AN16" s="241" t="str">
        <f t="shared" ref="AN16:AN79" si="32"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ref="AO16:AO79" si="33"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-23T03:27:37-0700',mode:absolute,to:'2017-12-23T06:19:39-0700'))&amp;_a=(columns:!('Message%20ID',Summary),filters:!(),index:'emp_*',interval:auto,query:(query_string:(analyze_wildcard:!t,query:'%22rtdc.l.rtdc.4015%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701</v>
      </c>
      <c r="B17" s="225">
        <v>4036</v>
      </c>
      <c r="C17" s="227" t="s">
        <v>192</v>
      </c>
      <c r="D17" s="227" t="s">
        <v>605</v>
      </c>
      <c r="E17" s="226">
        <v>43092.169745370367</v>
      </c>
      <c r="F17" s="226">
        <v>43092.177268518521</v>
      </c>
      <c r="G17" s="225">
        <v>101</v>
      </c>
      <c r="H17" s="227" t="s">
        <v>548</v>
      </c>
      <c r="I17" s="226">
        <v>43092.201793981483</v>
      </c>
      <c r="J17" s="225">
        <v>0</v>
      </c>
      <c r="K17" s="237" t="str">
        <f t="shared" si="0"/>
        <v>4035/4036</v>
      </c>
      <c r="L17" s="245" t="str">
        <f>VLOOKUP(A17,'Trips&amp;Operators'!$C$1:$G$99911,5,FALSE)</f>
        <v>LOPES KIMBERLY</v>
      </c>
      <c r="M17" s="224">
        <f t="shared" si="1"/>
        <v>2.4525462962628808E-2</v>
      </c>
      <c r="N17" s="225">
        <f t="shared" si="21"/>
        <v>35.316666666185483</v>
      </c>
      <c r="O17" s="225"/>
      <c r="P17" s="225"/>
      <c r="Q17" s="228"/>
      <c r="R17" s="242"/>
      <c r="S17" s="249">
        <f t="shared" si="2"/>
        <v>1</v>
      </c>
      <c r="T17" s="242" t="str">
        <f t="shared" si="3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4"/>
        <v>https://d0f6bd738d7f1b3e5a7ca70fe4ff75f0.us-east-1.aws.found.io/app/kibana#/discover/Steve-Slow-Train-Analysis-(2080s-and-2083s)?_g=(refreshInterval:(display:Off,pause:!f,section:0,value:0),time:(from:'2017-12-23T03:04:26-0700',mode:absolute,to:'2017-12-23T05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" s="247" t="str">
        <f>IF(AA17&lt;VLOOKUP(AG17,Variables!$AC$3:$AD$8,2,FALSE),"Y","N")</f>
        <v>N</v>
      </c>
      <c r="X17" s="247">
        <f t="shared" ref="X17" si="34">VALUE(LEFT(AD17,4))-VALUE(LEFT(AD16,4))</f>
        <v>1</v>
      </c>
      <c r="Y17" s="247">
        <f t="shared" si="23"/>
        <v>4.9500000000000002E-2</v>
      </c>
      <c r="Z17" s="247">
        <f t="shared" si="15"/>
        <v>23.332999999999998</v>
      </c>
      <c r="AA17" s="247">
        <f t="shared" si="5"/>
        <v>23.2835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6"/>
        <v>105</v>
      </c>
      <c r="AE17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7" s="234" t="str">
        <f t="shared" si="8"/>
        <v>"C:\Program Files (x86)\AstroGrep\AstroGrep.exe" /e /r /s /spath="%USERPROFILE%\AppData\Local\Temp\OnboardLogs" /stypes="app*4036*20171223*" /stext=" 11:.+((SYSTEM_STATE.+slice.+state.+changed )|(ment ac)|(multiple cpu faults)|(system.+state.+changed )|(\[timeout)|(PRM\|1\|D)|(kpr)|(kdp)|(train st.+moving)|(\|lc)|(penalty))"</v>
      </c>
      <c r="AG17" s="244" t="str">
        <f t="shared" si="9"/>
        <v>EC</v>
      </c>
      <c r="AH17" s="236" t="str">
        <f t="shared" si="29"/>
        <v>"%USERPROFILE%\Documents\GitHub\eaglep3\Utilities\RefineRTDCRunTimes.py" --tripid 105-23 --locoid 4036 --swversion DE.1.0.9.0 --startMP 204:495 --initTime 2017-12-23T04:04:26 --startdatetime 2017-12-23T04:15:16 --delay 101 --endMP 204:233330 --enddatetime 2017-12-23T04:50:35 --enforcementcount 0 &gt;&gt;%USERPROFILE%\Documents\GitHub\eaglep3-reporting\EC\2017-12-23-refined-times.txt</v>
      </c>
      <c r="AI1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{"issue":{"subject":"","project_id":79,"tracker_id":40,"status_id":1,"priority_id":2,"assigned_to_id":338,"start_date":"2017-12-23","description":"","custom_fields":[{"id":1,"name":"Subdivision","value":"EC"},{"id":4,"name":"Milepost","value":"23.333"},{"id":17,"name":"Train ID","value":"105-23"},{"id":16,"name":"Locomotive ID","value":"4036"},{"id":130,"name":"Impact","value":""},{"id":150,"name":"Time of Event (Mountain Time)","value":"04:50:35"},{"id":151,"name":"Denver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31"/>
        <v>start /low /b %USERPROFILE%\Documents\GitHub\eaglep3\Utilities\DownloadLogsFromS3.py --loco 4036 --day 2017-12-23</v>
      </c>
      <c r="AN1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33"/>
        <v>https://d0f6bd738d7f1b3e5a7ca70fe4ff75f0.us-east-1.aws.found.io/app/kibana#/discover/Steve-Slow-Train-Analysis-(2080s-and-2083s)?_g=(refreshInterval:(display:Off,pause:!f,section:0,value:0),time:(from:'2017-12-23T03:04:26-0700',mode:absolute,to:'2017-12-23T05:50:35-0700'))&amp;_a=(columns:!('Message%20ID',Summary),filters:!(),index:'emp_*',interval:auto,query:(query_string:(analyze_wildcard:!t,query:'%22rtdc.l.rtdc.4036%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713</v>
      </c>
      <c r="B18" s="225">
        <v>4035</v>
      </c>
      <c r="C18" s="227" t="s">
        <v>192</v>
      </c>
      <c r="D18" s="227" t="s">
        <v>896</v>
      </c>
      <c r="E18" s="226">
        <v>43092.210405092592</v>
      </c>
      <c r="F18" s="226">
        <v>43092.216840277775</v>
      </c>
      <c r="G18" s="225">
        <v>68</v>
      </c>
      <c r="H18" s="227" t="s">
        <v>442</v>
      </c>
      <c r="I18" s="226">
        <v>43092.243333333332</v>
      </c>
      <c r="J18" s="225">
        <v>0</v>
      </c>
      <c r="K18" s="237" t="str">
        <f t="shared" si="0"/>
        <v>4035/4036</v>
      </c>
      <c r="L18" s="245" t="str">
        <f>VLOOKUP(A18,'Trips&amp;Operators'!$C$1:$G$99911,5,FALSE)</f>
        <v>LOPES KIMBERLY</v>
      </c>
      <c r="M18" s="224">
        <f t="shared" si="1"/>
        <v>2.6493055556784384E-2</v>
      </c>
      <c r="N18" s="225">
        <f t="shared" si="21"/>
        <v>38.150000001769513</v>
      </c>
      <c r="O18" s="225"/>
      <c r="P18" s="225"/>
      <c r="Q18" s="228"/>
      <c r="R18" s="242"/>
      <c r="S18" s="249">
        <f t="shared" si="2"/>
        <v>1</v>
      </c>
      <c r="T18" s="242" t="str">
        <f t="shared" si="3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4"/>
        <v>https://d0f6bd738d7f1b3e5a7ca70fe4ff75f0.us-east-1.aws.found.io/app/kibana#/discover/Steve-Slow-Train-Analysis-(2080s-and-2083s)?_g=(refreshInterval:(display:Off,pause:!f,section:0,value:0),time:(from:'2017-12-23T04:02:59-0700',mode:absolute,to:'2017-12-23T06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" s="247" t="str">
        <f>IF(AA18&lt;VLOOKUP(AG18,Variables!$AC$3:$AD$8,2,FALSE),"Y","N")</f>
        <v>N</v>
      </c>
      <c r="X18" s="247">
        <f t="shared" ref="X18:X49" si="35">VALUE(LEFT(AD18,4))-VALUE(LEFT(AD17,4))</f>
        <v>1</v>
      </c>
      <c r="Y18" s="247">
        <f t="shared" si="23"/>
        <v>23.301100000000002</v>
      </c>
      <c r="Z18" s="247">
        <f t="shared" si="15"/>
        <v>2.07E-2</v>
      </c>
      <c r="AA18" s="247">
        <f t="shared" si="5"/>
        <v>23.2804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6"/>
        <v>106</v>
      </c>
      <c r="AE18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8" s="234" t="str">
        <f t="shared" si="8"/>
        <v>"C:\Program Files (x86)\AstroGrep\AstroGrep.exe" /e /r /s /spath="%USERPROFILE%\AppData\Local\Temp\OnboardLogs" /stypes="app*4035*20171223*" /stext=" 12:.+((SYSTEM_STATE.+slice.+state.+changed )|(ment ac)|(multiple cpu faults)|(system.+state.+changed )|(\[timeout)|(PRM\|1\|D)|(kpr)|(kdp)|(train st.+moving)|(\|lc)|(penalty))"</v>
      </c>
      <c r="AG18" s="244" t="str">
        <f t="shared" si="9"/>
        <v>EC</v>
      </c>
      <c r="AH18" s="236" t="str">
        <f t="shared" si="29"/>
        <v>"%USERPROFILE%\Documents\GitHub\eaglep3\Utilities\RefineRTDCRunTimes.py" --tripid 106-23 --locoid 4035 --swversion DE.1.0.9.0 --startMP 204:233011 --initTime 2017-12-23T05:02:59 --startdatetime 2017-12-23T05:12:15 --delay 68 --endMP 204:207 --enddatetime 2017-12-23T05:50:24 --enforcementcount 0 &gt;&gt;%USERPROFILE%\Documents\GitHub\eaglep3-reporting\EC\2017-12-23-refined-times.txt</v>
      </c>
      <c r="AI1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{"issue":{"subject":"","project_id":79,"tracker_id":40,"status_id":1,"priority_id":2,"assigned_to_id":338,"start_date":"2017-12-23","description":"","custom_fields":[{"id":1,"name":"Subdivision","value":"EC"},{"id":4,"name":"Milepost","value":"0.0207"},{"id":17,"name":"Train ID","value":"106-23"},{"id":16,"name":"Locomotive ID","value":"4035"},{"id":130,"name":"Impact","value":""},{"id":150,"name":"Time of Event (Mountain Time)","value":"05:50:24"},{"id":151,"name":"Denver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31"/>
        <v>start /low /b %USERPROFILE%\Documents\GitHub\eaglep3\Utilities\DownloadLogsFromS3.py --loco 4035 --day 2017-12-23</v>
      </c>
      <c r="AN1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33"/>
        <v>https://d0f6bd738d7f1b3e5a7ca70fe4ff75f0.us-east-1.aws.found.io/app/kibana#/discover/Steve-Slow-Train-Analysis-(2080s-and-2083s)?_g=(refreshInterval:(display:Off,pause:!f,section:0,value:0),time:(from:'2017-12-23T04:02:59-0700',mode:absolute,to:'2017-12-23T06:50:24-0700'))&amp;_a=(columns:!('Message%20ID',Summary),filters:!(),index:'emp_*',interval:auto,query:(query_string:(analyze_wildcard:!t,query:'%22rtdc.l.rtdc.4035%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706</v>
      </c>
      <c r="B19" s="225">
        <v>4030</v>
      </c>
      <c r="C19" s="227" t="s">
        <v>192</v>
      </c>
      <c r="D19" s="227" t="s">
        <v>618</v>
      </c>
      <c r="E19" s="226">
        <v>43092.182280092595</v>
      </c>
      <c r="F19" s="226">
        <v>43092.187673611108</v>
      </c>
      <c r="G19" s="225">
        <v>118</v>
      </c>
      <c r="H19" s="227" t="s">
        <v>897</v>
      </c>
      <c r="I19" s="226">
        <v>43092.21193287037</v>
      </c>
      <c r="J19" s="225">
        <v>0</v>
      </c>
      <c r="K19" s="237" t="str">
        <f t="shared" si="0"/>
        <v>4029/4030</v>
      </c>
      <c r="L19" s="245" t="str">
        <f>VLOOKUP(A19,'Trips&amp;Operators'!$C$1:$G$99911,5,FALSE)</f>
        <v>GEBRETEKLE DAGNEW</v>
      </c>
      <c r="M19" s="224">
        <f t="shared" si="1"/>
        <v>2.4259259262180422E-2</v>
      </c>
      <c r="N19" s="225">
        <f t="shared" si="21"/>
        <v>34.933333337539807</v>
      </c>
      <c r="O19" s="225"/>
      <c r="P19" s="225"/>
      <c r="Q19" s="228"/>
      <c r="R19" s="242"/>
      <c r="S19" s="249">
        <f t="shared" si="2"/>
        <v>1</v>
      </c>
      <c r="T19" s="242" t="str">
        <f t="shared" si="3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4"/>
        <v>https://d0f6bd738d7f1b3e5a7ca70fe4ff75f0.us-east-1.aws.found.io/app/kibana#/discover/Steve-Slow-Train-Analysis-(2080s-and-2083s)?_g=(refreshInterval:(display:Off,pause:!f,section:0,value:0),time:(from:'2017-12-23T03:22:29-0700',mode:absolute,to:'2017-12-23T06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247" t="str">
        <f>IF(AA19&lt;VLOOKUP(AG19,Variables!$AC$3:$AD$8,2,FALSE),"Y","N")</f>
        <v>N</v>
      </c>
      <c r="X19" s="247">
        <f t="shared" si="35"/>
        <v>1</v>
      </c>
      <c r="Y19" s="247">
        <f t="shared" si="23"/>
        <v>4.6899999999999997E-2</v>
      </c>
      <c r="Z19" s="247">
        <f t="shared" si="15"/>
        <v>23.334199999999999</v>
      </c>
      <c r="AA19" s="247">
        <f t="shared" si="5"/>
        <v>23.287299999999998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6"/>
        <v>107</v>
      </c>
      <c r="AE19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9" s="234" t="str">
        <f t="shared" si="8"/>
        <v>"C:\Program Files (x86)\AstroGrep\AstroGrep.exe" /e /r /s /spath="%USERPROFILE%\AppData\Local\Temp\OnboardLogs" /stypes="app*4030*20171223*" /stext=" 12:.+((SYSTEM_STATE.+slice.+state.+changed )|(ment ac)|(multiple cpu faults)|(system.+state.+changed )|(\[timeout)|(PRM\|1\|D)|(kpr)|(kdp)|(train st.+moving)|(\|lc)|(penalty))"</v>
      </c>
      <c r="AG19" s="244" t="str">
        <f t="shared" si="9"/>
        <v>EC</v>
      </c>
      <c r="AH19" s="236" t="str">
        <f t="shared" si="29"/>
        <v>"%USERPROFILE%\Documents\GitHub\eaglep3\Utilities\RefineRTDCRunTimes.py" --tripid 107-23 --locoid 4030 --swversion DE.1.0.9.0 --startMP 204:469 --initTime 2017-12-23T04:22:29 --startdatetime 2017-12-23T04:30:15 --delay 118 --endMP 204:233342 --enddatetime 2017-12-23T05:05:11 --enforcementcount 0 &gt;&gt;%USERPROFILE%\Documents\GitHub\eaglep3-reporting\EC\2017-12-23-refined-times.txt</v>
      </c>
      <c r="AI1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{"issue":{"subject":"","project_id":79,"tracker_id":40,"status_id":1,"priority_id":2,"assigned_to_id":338,"start_date":"2017-12-23","description":"","custom_fields":[{"id":1,"name":"Subdivision","value":"EC"},{"id":4,"name":"Milepost","value":"23.3342"},{"id":17,"name":"Train ID","value":"107-23"},{"id":16,"name":"Locomotive ID","value":"4030"},{"id":130,"name":"Impact","value":""},{"id":150,"name":"Time of Event (Mountain Time)","value":"05:05:11"},{"id":151,"name":"Denver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31"/>
        <v>start /low /b %USERPROFILE%\Documents\GitHub\eaglep3\Utilities\DownloadLogsFromS3.py --loco 4030 --day 2017-12-23</v>
      </c>
      <c r="AN1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33"/>
        <v>https://d0f6bd738d7f1b3e5a7ca70fe4ff75f0.us-east-1.aws.found.io/app/kibana#/discover/Steve-Slow-Train-Analysis-(2080s-and-2083s)?_g=(refreshInterval:(display:Off,pause:!f,section:0,value:0),time:(from:'2017-12-23T03:22:29-0700',mode:absolute,to:'2017-12-23T06:05:11-0700'))&amp;_a=(columns:!('Message%20ID',Summary),filters:!(),index:'emp_*',interval:auto,query:(query_string:(analyze_wildcard:!t,query:'%22rtdc.l.rtdc.4030%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714</v>
      </c>
      <c r="B20" s="225">
        <v>4029</v>
      </c>
      <c r="C20" s="227" t="s">
        <v>192</v>
      </c>
      <c r="D20" s="227" t="s">
        <v>634</v>
      </c>
      <c r="E20" s="226">
        <v>43092.213171296295</v>
      </c>
      <c r="F20" s="226">
        <v>43092.227280092593</v>
      </c>
      <c r="G20" s="225">
        <v>53</v>
      </c>
      <c r="H20" s="227" t="s">
        <v>554</v>
      </c>
      <c r="I20" s="226">
        <v>43092.256701388891</v>
      </c>
      <c r="J20" s="225">
        <v>0</v>
      </c>
      <c r="K20" s="237" t="str">
        <f t="shared" si="0"/>
        <v>4029/4030</v>
      </c>
      <c r="L20" s="245" t="str">
        <f>VLOOKUP(A20,'Trips&amp;Operators'!$C$1:$G$99911,5,FALSE)</f>
        <v>GEBRETEKLE DAGNEW</v>
      </c>
      <c r="M20" s="224">
        <f t="shared" si="1"/>
        <v>2.9421296298096422E-2</v>
      </c>
      <c r="N20" s="225">
        <f t="shared" si="21"/>
        <v>42.366666669258848</v>
      </c>
      <c r="O20" s="225"/>
      <c r="P20" s="225"/>
      <c r="Q20" s="228"/>
      <c r="R20" s="242"/>
      <c r="S20" s="249">
        <f t="shared" si="2"/>
        <v>1</v>
      </c>
      <c r="T20" s="242" t="str">
        <f t="shared" si="3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4"/>
        <v>https://d0f6bd738d7f1b3e5a7ca70fe4ff75f0.us-east-1.aws.found.io/app/kibana#/discover/Steve-Slow-Train-Analysis-(2080s-and-2083s)?_g=(refreshInterval:(display:Off,pause:!f,section:0,value:0),time:(from:'2017-12-23T04:06:58-0700',mode:absolute,to:'2017-12-23T07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247" t="str">
        <f>IF(AA20&lt;VLOOKUP(AG20,Variables!$AC$3:$AD$8,2,FALSE),"Y","N")</f>
        <v>N</v>
      </c>
      <c r="X20" s="247">
        <f t="shared" si="35"/>
        <v>1</v>
      </c>
      <c r="Y20" s="247">
        <f t="shared" si="23"/>
        <v>23.3019</v>
      </c>
      <c r="Z20" s="247">
        <f t="shared" si="15"/>
        <v>1.8100000000000002E-2</v>
      </c>
      <c r="AA20" s="247">
        <f t="shared" si="5"/>
        <v>23.283799999999999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6"/>
        <v>108</v>
      </c>
      <c r="AE20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20" s="234" t="str">
        <f t="shared" si="8"/>
        <v>"C:\Program Files (x86)\AstroGrep\AstroGrep.exe" /e /r /s /spath="%USERPROFILE%\AppData\Local\Temp\OnboardLogs" /stypes="app*4029*20171223*" /stext=" 13:.+((SYSTEM_STATE.+slice.+state.+changed )|(ment ac)|(multiple cpu faults)|(system.+state.+changed )|(\[timeout)|(PRM\|1\|D)|(kpr)|(kdp)|(train st.+moving)|(\|lc)|(penalty))"</v>
      </c>
      <c r="AG20" s="244" t="str">
        <f t="shared" si="9"/>
        <v>EC</v>
      </c>
      <c r="AH20" s="236" t="str">
        <f t="shared" si="29"/>
        <v>"%USERPROFILE%\Documents\GitHub\eaglep3\Utilities\RefineRTDCRunTimes.py" --tripid 108-23 --locoid 4029 --swversion DE.1.0.9.0 --startMP 204:233019 --initTime 2017-12-23T05:06:58 --startdatetime 2017-12-23T05:27:17 --delay 53 --endMP 204:181 --enddatetime 2017-12-23T06:09:39 --enforcementcount 0 &gt;&gt;%USERPROFILE%\Documents\GitHub\eaglep3-reporting\EC\2017-12-23-refined-times.txt</v>
      </c>
      <c r="AI2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{"issue":{"subject":"","project_id":79,"tracker_id":40,"status_id":1,"priority_id":2,"assigned_to_id":338,"start_date":"2017-12-23","description":"","custom_fields":[{"id":1,"name":"Subdivision","value":"EC"},{"id":4,"name":"Milepost","value":"0.0181"},{"id":17,"name":"Train ID","value":"108-23"},{"id":16,"name":"Locomotive ID","value":"4029"},{"id":130,"name":"Impact","value":""},{"id":150,"name":"Time of Event (Mountain Time)","value":"06:09:39"},{"id":151,"name":"Denver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31"/>
        <v>start /low /b %USERPROFILE%\Documents\GitHub\eaglep3\Utilities\DownloadLogsFromS3.py --loco 4029 --day 2017-12-23</v>
      </c>
      <c r="AN2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33"/>
        <v>https://d0f6bd738d7f1b3e5a7ca70fe4ff75f0.us-east-1.aws.found.io/app/kibana#/discover/Steve-Slow-Train-Analysis-(2080s-and-2083s)?_g=(refreshInterval:(display:Off,pause:!f,section:0,value:0),time:(from:'2017-12-23T04:06:58-0700',mode:absolute,to:'2017-12-23T07:09:39-0700'))&amp;_a=(columns:!('Message%20ID',Summary),filters:!(),index:'emp_*',interval:auto,query:(query_string:(analyze_wildcard:!t,query:'%22rtdc.l.rtdc.4029%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710</v>
      </c>
      <c r="B21" s="225">
        <v>4034</v>
      </c>
      <c r="C21" s="227" t="s">
        <v>192</v>
      </c>
      <c r="D21" s="227" t="s">
        <v>898</v>
      </c>
      <c r="E21" s="226">
        <v>43092.192199074074</v>
      </c>
      <c r="F21" s="226">
        <v>43092.198136574072</v>
      </c>
      <c r="G21" s="225">
        <v>92</v>
      </c>
      <c r="H21" s="227" t="s">
        <v>899</v>
      </c>
      <c r="I21" s="226">
        <v>43092.22216435185</v>
      </c>
      <c r="J21" s="225">
        <v>0</v>
      </c>
      <c r="K21" s="237" t="str">
        <f t="shared" si="0"/>
        <v>4033/4034</v>
      </c>
      <c r="L21" s="245" t="str">
        <f>VLOOKUP(A21,'Trips&amp;Operators'!$C$1:$G$99911,5,FALSE)</f>
        <v>DELGADO DIANAH</v>
      </c>
      <c r="M21" s="224">
        <f t="shared" si="1"/>
        <v>2.4027777777519077E-2</v>
      </c>
      <c r="N21" s="225">
        <f t="shared" si="21"/>
        <v>34.599999999627471</v>
      </c>
      <c r="O21" s="225"/>
      <c r="P21" s="225"/>
      <c r="Q21" s="228"/>
      <c r="R21" s="242"/>
      <c r="S21" s="249">
        <f t="shared" si="2"/>
        <v>1</v>
      </c>
      <c r="T21" s="242" t="str">
        <f t="shared" si="3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4"/>
        <v>https://d0f6bd738d7f1b3e5a7ca70fe4ff75f0.us-east-1.aws.found.io/app/kibana#/discover/Steve-Slow-Train-Analysis-(2080s-and-2083s)?_g=(refreshInterval:(display:Off,pause:!f,section:0,value:0),time:(from:'2017-12-23T03:36:46-0700',mode:absolute,to:'2017-12-23T06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247" t="str">
        <f>IF(AA21&lt;VLOOKUP(AG21,Variables!$AC$3:$AD$8,2,FALSE),"Y","N")</f>
        <v>N</v>
      </c>
      <c r="X21" s="247">
        <f t="shared" si="35"/>
        <v>1</v>
      </c>
      <c r="Y21" s="247">
        <f t="shared" si="23"/>
        <v>4.6699999999999998E-2</v>
      </c>
      <c r="Z21" s="247">
        <f t="shared" si="15"/>
        <v>23.334499999999998</v>
      </c>
      <c r="AA21" s="247">
        <f t="shared" si="5"/>
        <v>23.287799999999997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6"/>
        <v>109</v>
      </c>
      <c r="AE21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21" s="234" t="str">
        <f t="shared" si="8"/>
        <v>"C:\Program Files (x86)\AstroGrep\AstroGrep.exe" /e /r /s /spath="%USERPROFILE%\AppData\Local\Temp\OnboardLogs" /stypes="app*4034*20171223*" /stext=" 12:.+((SYSTEM_STATE.+slice.+state.+changed )|(ment ac)|(multiple cpu faults)|(system.+state.+changed )|(\[timeout)|(PRM\|1\|D)|(kpr)|(kdp)|(train st.+moving)|(\|lc)|(penalty))"</v>
      </c>
      <c r="AG21" s="244" t="str">
        <f t="shared" si="9"/>
        <v>EC</v>
      </c>
      <c r="AH21" s="236" t="str">
        <f t="shared" si="29"/>
        <v>"%USERPROFILE%\Documents\GitHub\eaglep3\Utilities\RefineRTDCRunTimes.py" --tripid 109-23 --locoid 4034 --swversion DE.1.0.9.0 --startMP 204:467 --initTime 2017-12-23T04:36:46 --startdatetime 2017-12-23T04:45:19 --delay 92 --endMP 204:233345 --enddatetime 2017-12-23T05:19:55 --enforcementcount 0 &gt;&gt;%USERPROFILE%\Documents\GitHub\eaglep3-reporting\EC\2017-12-23-refined-times.txt</v>
      </c>
      <c r="AI2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{"issue":{"subject":"","project_id":79,"tracker_id":40,"status_id":1,"priority_id":2,"assigned_to_id":338,"start_date":"2017-12-23","description":"","custom_fields":[{"id":1,"name":"Subdivision","value":"EC"},{"id":4,"name":"Milepost","value":"23.3345"},{"id":17,"name":"Train ID","value":"109-23"},{"id":16,"name":"Locomotive ID","value":"4034"},{"id":130,"name":"Impact","value":""},{"id":150,"name":"Time of Event (Mountain Time)","value":"05:19:55"},{"id":151,"name":"Denver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31"/>
        <v>start /low /b %USERPROFILE%\Documents\GitHub\eaglep3\Utilities\DownloadLogsFromS3.py --loco 4034 --day 2017-12-23</v>
      </c>
      <c r="AN2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33"/>
        <v>https://d0f6bd738d7f1b3e5a7ca70fe4ff75f0.us-east-1.aws.found.io/app/kibana#/discover/Steve-Slow-Train-Analysis-(2080s-and-2083s)?_g=(refreshInterval:(display:Off,pause:!f,section:0,value:0),time:(from:'2017-12-23T03:36:46-0700',mode:absolute,to:'2017-12-23T06:19:55-0700'))&amp;_a=(columns:!('Message%20ID',Summary),filters:!(),index:'emp_*',interval:auto,query:(query_string:(analyze_wildcard:!t,query:'%22rtdc.l.rtdc.4034%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721</v>
      </c>
      <c r="B22" s="225">
        <v>4033</v>
      </c>
      <c r="C22" s="227" t="s">
        <v>192</v>
      </c>
      <c r="D22" s="227" t="s">
        <v>900</v>
      </c>
      <c r="E22" s="226">
        <v>43092.225277777776</v>
      </c>
      <c r="F22" s="226">
        <v>43092.237685185188</v>
      </c>
      <c r="G22" s="225">
        <v>922</v>
      </c>
      <c r="H22" s="227" t="s">
        <v>539</v>
      </c>
      <c r="I22" s="226">
        <v>43092.263784722221</v>
      </c>
      <c r="J22" s="225">
        <v>0</v>
      </c>
      <c r="K22" s="237" t="str">
        <f t="shared" si="0"/>
        <v>4033/4034</v>
      </c>
      <c r="L22" s="245" t="str">
        <f>VLOOKUP(A22,'Trips&amp;Operators'!$C$1:$G$99911,5,FALSE)</f>
        <v>DELGADO DIANAH</v>
      </c>
      <c r="M22" s="224">
        <f t="shared" si="1"/>
        <v>2.6099537033587694E-2</v>
      </c>
      <c r="N22" s="225">
        <f t="shared" si="21"/>
        <v>37.58333332836628</v>
      </c>
      <c r="O22" s="225"/>
      <c r="P22" s="225"/>
      <c r="Q22" s="228"/>
      <c r="R22" s="242"/>
      <c r="S22" s="249">
        <f t="shared" si="2"/>
        <v>1</v>
      </c>
      <c r="T22" s="242" t="str">
        <f t="shared" si="3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4"/>
        <v>https://d0f6bd738d7f1b3e5a7ca70fe4ff75f0.us-east-1.aws.found.io/app/kibana#/discover/Steve-Slow-Train-Analysis-(2080s-and-2083s)?_g=(refreshInterval:(display:Off,pause:!f,section:0,value:0),time:(from:'2017-12-23T04:24:24-0700',mode:absolute,to:'2017-12-23T07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247" t="str">
        <f>IF(AA22&lt;VLOOKUP(AG22,Variables!$AC$3:$AD$8,2,FALSE),"Y","N")</f>
        <v>N</v>
      </c>
      <c r="X22" s="247">
        <f t="shared" si="35"/>
        <v>1</v>
      </c>
      <c r="Y22" s="247">
        <f t="shared" si="23"/>
        <v>23.300899999999999</v>
      </c>
      <c r="Z22" s="247">
        <f t="shared" si="15"/>
        <v>1.6E-2</v>
      </c>
      <c r="AA22" s="247">
        <f t="shared" si="5"/>
        <v>23.2849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6"/>
        <v>110</v>
      </c>
      <c r="AE22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2" s="234" t="str">
        <f t="shared" si="8"/>
        <v>"C:\Program Files (x86)\AstroGrep\AstroGrep.exe" /e /r /s /spath="%USERPROFILE%\AppData\Local\Temp\OnboardLogs" /stypes="app*4033*20171223*" /stext=" 13:.+((SYSTEM_STATE.+slice.+state.+changed )|(ment ac)|(multiple cpu faults)|(system.+state.+changed )|(\[timeout)|(PRM\|1\|D)|(kpr)|(kdp)|(train st.+moving)|(\|lc)|(penalty))"</v>
      </c>
      <c r="AG22" s="244" t="str">
        <f t="shared" si="9"/>
        <v>EC</v>
      </c>
      <c r="AH22" s="236" t="str">
        <f t="shared" si="29"/>
        <v>"%USERPROFILE%\Documents\GitHub\eaglep3\Utilities\RefineRTDCRunTimes.py" --tripid 110-23 --locoid 4033 --swversion DE.1.0.9.0 --startMP 204:233009 --initTime 2017-12-23T05:24:24 --startdatetime 2017-12-23T05:42:16 --delay 922 --endMP 204:160 --enddatetime 2017-12-23T06:19:51 --enforcementcount 0 &gt;&gt;%USERPROFILE%\Documents\GitHub\eaglep3-reporting\EC\2017-12-23-refined-times.txt</v>
      </c>
      <c r="AI2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{"issue":{"subject":"","project_id":79,"tracker_id":40,"status_id":1,"priority_id":2,"assigned_to_id":338,"start_date":"2017-12-23","description":"","custom_fields":[{"id":1,"name":"Subdivision","value":"EC"},{"id":4,"name":"Milepost","value":"0.016"},{"id":17,"name":"Train ID","value":"110-23"},{"id":16,"name":"Locomotive ID","value":"4033"},{"id":130,"name":"Impact","value":""},{"id":150,"name":"Time of Event (Mountain Time)","value":"06:19:51"},{"id":151,"name":"Denver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31"/>
        <v>start /low /b %USERPROFILE%\Documents\GitHub\eaglep3\Utilities\DownloadLogsFromS3.py --loco 4033 --day 2017-12-23</v>
      </c>
      <c r="AN2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33"/>
        <v>https://d0f6bd738d7f1b3e5a7ca70fe4ff75f0.us-east-1.aws.found.io/app/kibana#/discover/Steve-Slow-Train-Analysis-(2080s-and-2083s)?_g=(refreshInterval:(display:Off,pause:!f,section:0,value:0),time:(from:'2017-12-23T04:24:24-0700',mode:absolute,to:'2017-12-23T07:19:51-0700'))&amp;_a=(columns:!('Message%20ID',Summary),filters:!(),index:'emp_*',interval:auto,query:(query_string:(analyze_wildcard:!t,query:'%22rtdc.l.rtdc.4033%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712</v>
      </c>
      <c r="B23" s="225">
        <v>4002</v>
      </c>
      <c r="C23" s="227" t="s">
        <v>192</v>
      </c>
      <c r="D23" s="227" t="s">
        <v>898</v>
      </c>
      <c r="E23" s="226">
        <v>43092.208113425928</v>
      </c>
      <c r="F23" s="226">
        <v>43092.209317129629</v>
      </c>
      <c r="G23" s="225">
        <v>51</v>
      </c>
      <c r="H23" s="227" t="s">
        <v>901</v>
      </c>
      <c r="I23" s="226">
        <v>43092.235451388886</v>
      </c>
      <c r="J23" s="225">
        <v>0</v>
      </c>
      <c r="K23" s="237" t="str">
        <f t="shared" si="0"/>
        <v>4001/4002</v>
      </c>
      <c r="L23" s="245" t="str">
        <f>VLOOKUP(A23,'Trips&amp;Operators'!$C$1:$G$99911,5,FALSE)</f>
        <v>THOMPSON LESTER</v>
      </c>
      <c r="M23" s="224">
        <f t="shared" si="1"/>
        <v>2.6134259256650694E-2</v>
      </c>
      <c r="N23" s="225">
        <f t="shared" si="21"/>
        <v>37.633333329576999</v>
      </c>
      <c r="O23" s="225"/>
      <c r="P23" s="225"/>
      <c r="Q23" s="228"/>
      <c r="R23" s="242"/>
      <c r="S23" s="249">
        <f t="shared" si="2"/>
        <v>1</v>
      </c>
      <c r="T23" s="242" t="str">
        <f t="shared" si="3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4"/>
        <v>https://d0f6bd738d7f1b3e5a7ca70fe4ff75f0.us-east-1.aws.found.io/app/kibana#/discover/Steve-Slow-Train-Analysis-(2080s-and-2083s)?_g=(refreshInterval:(display:Off,pause:!f,section:0,value:0),time:(from:'2017-12-23T03:59:41-0700',mode:absolute,to:'2017-12-23T06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247" t="str">
        <f>IF(AA23&lt;VLOOKUP(AG23,Variables!$AC$3:$AD$8,2,FALSE),"Y","N")</f>
        <v>N</v>
      </c>
      <c r="X23" s="247">
        <f t="shared" si="35"/>
        <v>1</v>
      </c>
      <c r="Y23" s="247">
        <f t="shared" si="23"/>
        <v>4.6699999999999998E-2</v>
      </c>
      <c r="Z23" s="247">
        <f t="shared" si="15"/>
        <v>23.328900000000001</v>
      </c>
      <c r="AA23" s="247">
        <f t="shared" si="5"/>
        <v>23.2822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6"/>
        <v>111</v>
      </c>
      <c r="AE23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3" s="234" t="str">
        <f t="shared" si="8"/>
        <v>"C:\Program Files (x86)\AstroGrep\AstroGrep.exe" /e /r /s /spath="%USERPROFILE%\AppData\Local\Temp\OnboardLogs" /stypes="app*4002*20171223*" /stext=" 12:.+((SYSTEM_STATE.+slice.+state.+changed )|(ment ac)|(multiple cpu faults)|(system.+state.+changed )|(\[timeout)|(PRM\|1\|D)|(kpr)|(kdp)|(train st.+moving)|(\|lc)|(penalty))"</v>
      </c>
      <c r="AG23" s="244" t="str">
        <f t="shared" si="9"/>
        <v>EC</v>
      </c>
      <c r="AH23" s="236" t="str">
        <f t="shared" si="29"/>
        <v>"%USERPROFILE%\Documents\GitHub\eaglep3\Utilities\RefineRTDCRunTimes.py" --tripid 111-23 --locoid 4002 --swversion DE.1.0.9.0 --startMP 204:467 --initTime 2017-12-23T04:59:41 --startdatetime 2017-12-23T05:01:25 --delay 51 --endMP 204:233289 --enddatetime 2017-12-23T05:39:03 --enforcementcount 0 &gt;&gt;%USERPROFILE%\Documents\GitHub\eaglep3-reporting\EC\2017-12-23-refined-times.txt</v>
      </c>
      <c r="AI2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{"issue":{"subject":"","project_id":79,"tracker_id":40,"status_id":1,"priority_id":2,"assigned_to_id":338,"start_date":"2017-12-23","description":"","custom_fields":[{"id":1,"name":"Subdivision","value":"EC"},{"id":4,"name":"Milepost","value":"23.3289"},{"id":17,"name":"Train ID","value":"111-23"},{"id":16,"name":"Locomotive ID","value":"4002"},{"id":130,"name":"Impact","value":""},{"id":150,"name":"Time of Event (Mountain Time)","value":"05:39:03"},{"id":151,"name":"Denver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31"/>
        <v>start /low /b %USERPROFILE%\Documents\GitHub\eaglep3\Utilities\DownloadLogsFromS3.py --loco 4002 --day 2017-12-23</v>
      </c>
      <c r="AN2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33"/>
        <v>https://d0f6bd738d7f1b3e5a7ca70fe4ff75f0.us-east-1.aws.found.io/app/kibana#/discover/Steve-Slow-Train-Analysis-(2080s-and-2083s)?_g=(refreshInterval:(display:Off,pause:!f,section:0,value:0),time:(from:'2017-12-23T03:59:41-0700',mode:absolute,to:'2017-12-23T06:39:03-0700'))&amp;_a=(columns:!('Message%20ID',Summary),filters:!(),index:'emp_*',interval:auto,query:(query_string:(analyze_wildcard:!t,query:'%22rtdc.l.rtdc.4002%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725</v>
      </c>
      <c r="B24" s="225">
        <v>4001</v>
      </c>
      <c r="C24" s="227" t="s">
        <v>192</v>
      </c>
      <c r="D24" s="227" t="s">
        <v>569</v>
      </c>
      <c r="E24" s="226">
        <v>43092.246342592596</v>
      </c>
      <c r="F24" s="226">
        <v>43092.248101851852</v>
      </c>
      <c r="G24" s="225">
        <v>62</v>
      </c>
      <c r="H24" s="227" t="s">
        <v>540</v>
      </c>
      <c r="I24" s="226">
        <v>43092.275520833333</v>
      </c>
      <c r="J24" s="225">
        <v>0</v>
      </c>
      <c r="K24" s="237" t="str">
        <f t="shared" si="0"/>
        <v>4001/4002</v>
      </c>
      <c r="L24" s="245" t="str">
        <f>VLOOKUP(A24,'Trips&amp;Operators'!$C$1:$G$99911,5,FALSE)</f>
        <v>THOMPSON LESTER</v>
      </c>
      <c r="M24" s="224">
        <f t="shared" si="1"/>
        <v>2.7418981480877846E-2</v>
      </c>
      <c r="N24" s="225">
        <f t="shared" si="21"/>
        <v>39.483333332464099</v>
      </c>
      <c r="O24" s="225"/>
      <c r="P24" s="225"/>
      <c r="Q24" s="228"/>
      <c r="R24" s="242"/>
      <c r="S24" s="249">
        <f t="shared" si="2"/>
        <v>1</v>
      </c>
      <c r="T24" s="242" t="str">
        <f t="shared" si="3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4"/>
        <v>https://d0f6bd738d7f1b3e5a7ca70fe4ff75f0.us-east-1.aws.found.io/app/kibana#/discover/Steve-Slow-Train-Analysis-(2080s-and-2083s)?_g=(refreshInterval:(display:Off,pause:!f,section:0,value:0),time:(from:'2017-12-23T04:54:44-0700',mode:absolute,to:'2017-12-23T07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247" t="str">
        <f>IF(AA24&lt;VLOOKUP(AG24,Variables!$AC$3:$AD$8,2,FALSE),"Y","N")</f>
        <v>N</v>
      </c>
      <c r="X24" s="247">
        <f t="shared" si="35"/>
        <v>1</v>
      </c>
      <c r="Y24" s="247">
        <f t="shared" si="23"/>
        <v>23.2972</v>
      </c>
      <c r="Z24" s="247">
        <f t="shared" si="15"/>
        <v>1.7000000000000001E-2</v>
      </c>
      <c r="AA24" s="247">
        <f t="shared" si="5"/>
        <v>23.280200000000001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6"/>
        <v>112</v>
      </c>
      <c r="AE24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4" s="234" t="str">
        <f t="shared" si="8"/>
        <v>"C:\Program Files (x86)\AstroGrep\AstroGrep.exe" /e /r /s /spath="%USERPROFILE%\AppData\Local\Temp\OnboardLogs" /stypes="app*4001*20171223*" /stext=" 13:.+((SYSTEM_STATE.+slice.+state.+changed )|(ment ac)|(multiple cpu faults)|(system.+state.+changed )|(\[timeout)|(PRM\|1\|D)|(kpr)|(kdp)|(train st.+moving)|(\|lc)|(penalty))"</v>
      </c>
      <c r="AG24" s="244" t="str">
        <f t="shared" si="9"/>
        <v>EC</v>
      </c>
      <c r="AH24" s="236" t="str">
        <f t="shared" si="29"/>
        <v>"%USERPROFILE%\Documents\GitHub\eaglep3\Utilities\RefineRTDCRunTimes.py" --tripid 112-23 --locoid 4001 --swversion DE.1.0.9.0 --startMP 204:232972 --initTime 2017-12-23T05:54:44 --startdatetime 2017-12-23T05:57:16 --delay 62 --endMP 204:170 --enddatetime 2017-12-23T06:36:45 --enforcementcount 0 &gt;&gt;%USERPROFILE%\Documents\GitHub\eaglep3-reporting\EC\2017-12-23-refined-times.txt</v>
      </c>
      <c r="AI2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{"issue":{"subject":"","project_id":79,"tracker_id":40,"status_id":1,"priority_id":2,"assigned_to_id":338,"start_date":"2017-12-23","description":"","custom_fields":[{"id":1,"name":"Subdivision","value":"EC"},{"id":4,"name":"Milepost","value":"0.017"},{"id":17,"name":"Train ID","value":"112-23"},{"id":16,"name":"Locomotive ID","value":"4001"},{"id":130,"name":"Impact","value":""},{"id":150,"name":"Time of Event (Mountain Time)","value":"06:36:45"},{"id":151,"name":"Denver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31"/>
        <v>start /low /b %USERPROFILE%\Documents\GitHub\eaglep3\Utilities\DownloadLogsFromS3.py --loco 4001 --day 2017-12-23</v>
      </c>
      <c r="AN2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33"/>
        <v>https://d0f6bd738d7f1b3e5a7ca70fe4ff75f0.us-east-1.aws.found.io/app/kibana#/discover/Steve-Slow-Train-Analysis-(2080s-and-2083s)?_g=(refreshInterval:(display:Off,pause:!f,section:0,value:0),time:(from:'2017-12-23T04:54:44-0700',mode:absolute,to:'2017-12-23T07:36:45-0700'))&amp;_a=(columns:!('Message%20ID',Summary),filters:!(),index:'emp_*',interval:auto,query:(query_string:(analyze_wildcard:!t,query:'%22rtdc.l.rtdc.4001%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655</v>
      </c>
      <c r="B25" s="225">
        <v>4052</v>
      </c>
      <c r="C25" s="227" t="s">
        <v>192</v>
      </c>
      <c r="D25" s="227" t="s">
        <v>623</v>
      </c>
      <c r="E25" s="226">
        <v>43092.21434027778</v>
      </c>
      <c r="F25" s="226">
        <v>43092.219108796293</v>
      </c>
      <c r="G25" s="225">
        <v>63</v>
      </c>
      <c r="H25" s="227" t="s">
        <v>902</v>
      </c>
      <c r="I25" s="226">
        <v>43092.251273148147</v>
      </c>
      <c r="J25" s="225">
        <v>0</v>
      </c>
      <c r="K25" s="237" t="str">
        <f t="shared" si="0"/>
        <v>4051/4052</v>
      </c>
      <c r="L25" s="245" t="str">
        <f>VLOOKUP(A25,'Trips&amp;Operators'!$C$1:$G$99911,5,FALSE)</f>
        <v>MACDONALD THOMAS</v>
      </c>
      <c r="M25" s="224">
        <f t="shared" si="1"/>
        <v>3.2164351854589768E-2</v>
      </c>
      <c r="N25" s="225">
        <f t="shared" si="21"/>
        <v>46.316666670609266</v>
      </c>
      <c r="O25" s="225"/>
      <c r="P25" s="225"/>
      <c r="Q25" s="228"/>
      <c r="R25" s="242" t="s">
        <v>1106</v>
      </c>
      <c r="S25" s="249">
        <f t="shared" si="2"/>
        <v>1</v>
      </c>
      <c r="T25" s="242" t="str">
        <f t="shared" si="3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4"/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247" t="str">
        <f>IF(AA25&lt;VLOOKUP(AG25,Variables!$AC$3:$AD$8,2,FALSE),"Y","N")</f>
        <v>N</v>
      </c>
      <c r="X25" s="247">
        <f t="shared" si="35"/>
        <v>1</v>
      </c>
      <c r="Y25" s="247">
        <f t="shared" si="23"/>
        <v>5.3100000000000001E-2</v>
      </c>
      <c r="Z25" s="247">
        <f t="shared" si="15"/>
        <v>23.3188</v>
      </c>
      <c r="AA25" s="247">
        <f t="shared" si="5"/>
        <v>23.265699999999999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6"/>
        <v>113</v>
      </c>
      <c r="AE25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25" s="234" t="str">
        <f t="shared" si="8"/>
        <v>"C:\Program Files (x86)\AstroGrep\AstroGrep.exe" /e /r /s /spath="%USERPROFILE%\AppData\Local\Temp\OnboardLogs" /stypes="app*4052*20171223*" /stext=" 13:.+((SYSTEM_STATE.+slice.+state.+changed )|(ment ac)|(multiple cpu faults)|(system.+state.+changed )|(\[timeout)|(PRM\|1\|D)|(kpr)|(kdp)|(train st.+moving)|(\|lc)|(penalty))"</v>
      </c>
      <c r="AG25" s="244" t="str">
        <f t="shared" si="9"/>
        <v>EC</v>
      </c>
      <c r="AH25" s="236" t="str">
        <f t="shared" si="29"/>
        <v>"%USERPROFILE%\Documents\GitHub\eaglep3\Utilities\RefineRTDCRunTimes.py" --tripid 113-23 --locoid 4052 --swversion DE.1.0.9.0 --startMP 204:531 --initTime 2017-12-23T05:08:39 --startdatetime 2017-12-23T05:15:31 --delay 63 --endMP 204:233188 --enddatetime 2017-12-23T06:01:50 --enforcementcount 0 &gt;&gt;%USERPROFILE%\Documents\GitHub\eaglep3-reporting\EC\2017-12-23-refined-times.txt</v>
      </c>
      <c r="AI25" s="238" t="str">
        <f t="shared" si="30"/>
        <v>echo {"issue":{"subject":"Observed brief wheel tach slip issue","project_id":79,"tracker_id":40,"status_id":1,"priority_id":2,"assigned_to_id":338,"start_date":"2017-12-23","description":"","custom_fields":[{"id":1,"name":"Subdivision","value":"EC"},{"id":4,"name":"Milepost","value":"23.3188"},{"id":17,"name":"Train ID","value":"113-23"},{"id":16,"name":"Locomotive ID","value":"4052"},{"id":130,"name":"Impact","value":""},{"id":150,"name":"Time of Event (Mountain Time)","value":"06:01:50"},{"id":151,"name":"Denver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31"/>
        <v>start /low /b %USERPROFILE%\Documents\GitHub\eaglep3\Utilities\DownloadLogsFromS3.py --loco 4052 --day 2017-12-23</v>
      </c>
      <c r="AN25" s="241" t="str">
        <f t="shared" si="32"/>
        <v>echo {"issue":{"subject":"Observed brief wheel tach slip issue","project_id":30,"tracker_id":4,"status_id":1,"priority_id":1,"assigned_to_id":10,"start_date":"2017-12-23","description":"","custom_fields":[{"id":30,"name":"Category","value":"Issue"},{"id":3,"name":"Functional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33"/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Message%20ID',Summary),filters:!(),index:'emp_*',interval:auto,query:(query_string:(analyze_wildcard:!t,query:'%22rtdc.l.rtdc.4052%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727</v>
      </c>
      <c r="B26" s="225">
        <v>4051</v>
      </c>
      <c r="C26" s="227" t="s">
        <v>192</v>
      </c>
      <c r="D26" s="227" t="s">
        <v>628</v>
      </c>
      <c r="E26" s="226">
        <v>43092.252384259256</v>
      </c>
      <c r="F26" s="226">
        <v>43092.258564814816</v>
      </c>
      <c r="G26" s="225">
        <v>427</v>
      </c>
      <c r="H26" s="227" t="s">
        <v>519</v>
      </c>
      <c r="I26" s="226">
        <v>43092.285405092596</v>
      </c>
      <c r="J26" s="225">
        <v>0</v>
      </c>
      <c r="K26" s="237" t="str">
        <f t="shared" si="0"/>
        <v>4051/4052</v>
      </c>
      <c r="L26" s="245" t="str">
        <f>VLOOKUP(A26,'Trips&amp;Operators'!$C$1:$G$99911,5,FALSE)</f>
        <v>MACDONALD THOMAS</v>
      </c>
      <c r="M26" s="224">
        <f t="shared" si="1"/>
        <v>2.6840277780138422E-2</v>
      </c>
      <c r="N26" s="225">
        <f t="shared" si="21"/>
        <v>38.650000003399327</v>
      </c>
      <c r="O26" s="225"/>
      <c r="P26" s="225"/>
      <c r="Q26" s="228"/>
      <c r="R26" s="242"/>
      <c r="S26" s="249">
        <f t="shared" si="2"/>
        <v>1</v>
      </c>
      <c r="T26" s="242" t="str">
        <f t="shared" si="3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4"/>
        <v>https://d0f6bd738d7f1b3e5a7ca70fe4ff75f0.us-east-1.aws.found.io/app/kibana#/discover/Steve-Slow-Train-Analysis-(2080s-and-2083s)?_g=(refreshInterval:(display:Off,pause:!f,section:0,value:0),time:(from:'2017-12-23T05:03:26-0700',mode:absolute,to:'2017-12-23T07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247" t="str">
        <f>IF(AA26&lt;VLOOKUP(AG26,Variables!$AC$3:$AD$8,2,FALSE),"Y","N")</f>
        <v>N</v>
      </c>
      <c r="X26" s="247">
        <f t="shared" si="35"/>
        <v>1</v>
      </c>
      <c r="Y26" s="247">
        <f t="shared" si="23"/>
        <v>23.287500000000001</v>
      </c>
      <c r="Z26" s="247">
        <f t="shared" si="15"/>
        <v>1.9800000000000002E-2</v>
      </c>
      <c r="AA26" s="247">
        <f t="shared" si="5"/>
        <v>23.267700000000001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6"/>
        <v>114</v>
      </c>
      <c r="AE26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26" s="234" t="str">
        <f t="shared" si="8"/>
        <v>"C:\Program Files (x86)\AstroGrep\AstroGrep.exe" /e /r /s /spath="%USERPROFILE%\AppData\Local\Temp\OnboardLogs" /stypes="app*4051*20171223*" /stext=" 13:.+((SYSTEM_STATE.+slice.+state.+changed )|(ment ac)|(multiple cpu faults)|(system.+state.+changed )|(\[timeout)|(PRM\|1\|D)|(kpr)|(kdp)|(train st.+moving)|(\|lc)|(penalty))"</v>
      </c>
      <c r="AG26" s="244" t="str">
        <f t="shared" si="9"/>
        <v>EC</v>
      </c>
      <c r="AH26" s="236" t="str">
        <f t="shared" si="29"/>
        <v>"%USERPROFILE%\Documents\GitHub\eaglep3\Utilities\RefineRTDCRunTimes.py" --tripid 114-23 --locoid 4051 --swversion DE.1.0.9.0 --startMP 204:232875 --initTime 2017-12-23T06:03:26 --startdatetime 2017-12-23T06:12:20 --delay 427 --endMP 204:198 --enddatetime 2017-12-23T06:50:59 --enforcementcount 0 &gt;&gt;%USERPROFILE%\Documents\GitHub\eaglep3-reporting\EC\2017-12-23-refined-times.txt</v>
      </c>
      <c r="AI2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ID","value":"114-23"},{"id":16,"name":"Locomotive ID","value":"4051"},{"id":130,"name":"Impact","value":""},{"id":150,"name":"Time of Event (Mountain Time)","value":"06:50:59"},{"id":151,"name":"Denver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31"/>
        <v>start /low /b %USERPROFILE%\Documents\GitHub\eaglep3\Utilities\DownloadLogsFromS3.py --loco 4051 --day 2017-12-23</v>
      </c>
      <c r="AN2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33"/>
        <v>https://d0f6bd738d7f1b3e5a7ca70fe4ff75f0.us-east-1.aws.found.io/app/kibana#/discover/Steve-Slow-Train-Analysis-(2080s-and-2083s)?_g=(refreshInterval:(display:Off,pause:!f,section:0,value:0),time:(from:'2017-12-23T05:03:26-0700',mode:absolute,to:'2017-12-23T07:50:59-0700'))&amp;_a=(columns:!('Message%20ID',Summary),filters:!(),index:'emp_*',interval:auto,query:(query_string:(analyze_wildcard:!t,query:'%22rtdc.l.rtdc.4051%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720</v>
      </c>
      <c r="B27" s="225">
        <v>4016</v>
      </c>
      <c r="C27" s="227" t="s">
        <v>192</v>
      </c>
      <c r="D27" s="227" t="s">
        <v>903</v>
      </c>
      <c r="E27" s="226">
        <v>43092.224444444444</v>
      </c>
      <c r="F27" s="226">
        <v>43092.230243055557</v>
      </c>
      <c r="G27" s="225">
        <v>50</v>
      </c>
      <c r="H27" s="227" t="s">
        <v>904</v>
      </c>
      <c r="I27" s="226">
        <v>43092.255729166667</v>
      </c>
      <c r="J27" s="225">
        <v>0</v>
      </c>
      <c r="K27" s="237" t="str">
        <f t="shared" si="0"/>
        <v>4015/4016</v>
      </c>
      <c r="L27" s="245" t="str">
        <f>VLOOKUP(A27,'Trips&amp;Operators'!$C$1:$G$99911,5,FALSE)</f>
        <v>MAELZER KURT</v>
      </c>
      <c r="M27" s="224">
        <f t="shared" si="1"/>
        <v>2.548611110978527E-2</v>
      </c>
      <c r="N27" s="225">
        <f t="shared" si="21"/>
        <v>36.699999998090789</v>
      </c>
      <c r="O27" s="225"/>
      <c r="P27" s="225"/>
      <c r="Q27" s="228"/>
      <c r="R27" s="242"/>
      <c r="S27" s="249">
        <f t="shared" si="2"/>
        <v>1</v>
      </c>
      <c r="T27" s="242" t="str">
        <f t="shared" si="3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4"/>
        <v>https://d0f6bd738d7f1b3e5a7ca70fe4ff75f0.us-east-1.aws.found.io/app/kibana#/discover/Steve-Slow-Train-Analysis-(2080s-and-2083s)?_g=(refreshInterval:(display:Off,pause:!f,section:0,value:0),time:(from:'2017-12-23T04:23:12-0700',mode:absolute,to:'2017-12-23T07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247" t="str">
        <f>IF(AA27&lt;VLOOKUP(AG27,Variables!$AC$3:$AD$8,2,FALSE),"Y","N")</f>
        <v>N</v>
      </c>
      <c r="X27" s="247">
        <f t="shared" si="35"/>
        <v>1</v>
      </c>
      <c r="Y27" s="247">
        <f t="shared" si="23"/>
        <v>0.2737</v>
      </c>
      <c r="Z27" s="247">
        <f t="shared" si="15"/>
        <v>23.330400000000001</v>
      </c>
      <c r="AA27" s="247">
        <f t="shared" si="5"/>
        <v>23.056699999999999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6"/>
        <v>115</v>
      </c>
      <c r="AE27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27" s="234" t="str">
        <f t="shared" si="8"/>
        <v>"C:\Program Files (x86)\AstroGrep\AstroGrep.exe" /e /r /s /spath="%USERPROFILE%\AppData\Local\Temp\OnboardLogs" /stypes="app*4016*20171223*" /stext=" 13:.+((SYSTEM_STATE.+slice.+state.+changed )|(ment ac)|(multiple cpu faults)|(system.+state.+changed )|(\[timeout)|(PRM\|1\|D)|(kpr)|(kdp)|(train st.+moving)|(\|lc)|(penalty))"</v>
      </c>
      <c r="AG27" s="244" t="str">
        <f t="shared" si="9"/>
        <v>EC</v>
      </c>
      <c r="AH27" s="236" t="str">
        <f t="shared" si="29"/>
        <v>"%USERPROFILE%\Documents\GitHub\eaglep3\Utilities\RefineRTDCRunTimes.py" --tripid 115-23 --locoid 4016 --swversion DE.1.0.9.0 --startMP 204:2737 --initTime 2017-12-23T05:23:12 --startdatetime 2017-12-23T05:31:33 --delay 50 --endMP 204:233304 --enddatetime 2017-12-23T06:08:15 --enforcementcount 0 &gt;&gt;%USERPROFILE%\Documents\GitHub\eaglep3-reporting\EC\2017-12-23-refined-times.txt</v>
      </c>
      <c r="AI2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ID","value":"115-23"},{"id":16,"name":"Locomotive ID","value":"4016"},{"id":130,"name":"Impact","value":""},{"id":150,"name":"Time of Event (Mountain Time)","value":"06:08:15"},{"id":151,"name":"Denver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31"/>
        <v>start /low /b %USERPROFILE%\Documents\GitHub\eaglep3\Utilities\DownloadLogsFromS3.py --loco 4016 --day 2017-12-23</v>
      </c>
      <c r="AN2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33"/>
        <v>https://d0f6bd738d7f1b3e5a7ca70fe4ff75f0.us-east-1.aws.found.io/app/kibana#/discover/Steve-Slow-Train-Analysis-(2080s-and-2083s)?_g=(refreshInterval:(display:Off,pause:!f,section:0,value:0),time:(from:'2017-12-23T04:23:12-0700',mode:absolute,to:'2017-12-23T07:08:15-0700'))&amp;_a=(columns:!('Message%20ID',Summary),filters:!(),index:'emp_*',interval:auto,query:(query_string:(analyze_wildcard:!t,query:'%22rtdc.l.rtdc.4016%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729</v>
      </c>
      <c r="B28" s="225">
        <v>4015</v>
      </c>
      <c r="C28" s="227" t="s">
        <v>192</v>
      </c>
      <c r="D28" s="227" t="s">
        <v>905</v>
      </c>
      <c r="E28" s="226">
        <v>43092.264155092591</v>
      </c>
      <c r="F28" s="226">
        <v>43092.26898148148</v>
      </c>
      <c r="G28" s="225">
        <v>50</v>
      </c>
      <c r="H28" s="227" t="s">
        <v>555</v>
      </c>
      <c r="I28" s="226">
        <v>43092.294525462959</v>
      </c>
      <c r="J28" s="225">
        <v>0</v>
      </c>
      <c r="K28" s="237" t="str">
        <f t="shared" si="0"/>
        <v>4015/4016</v>
      </c>
      <c r="L28" s="245" t="str">
        <f>VLOOKUP(A28,'Trips&amp;Operators'!$C$1:$G$99911,5,FALSE)</f>
        <v>MAELZER KURT</v>
      </c>
      <c r="M28" s="224">
        <f t="shared" si="1"/>
        <v>2.5543981479131617E-2</v>
      </c>
      <c r="N28" s="225">
        <f t="shared" si="21"/>
        <v>36.783333329949528</v>
      </c>
      <c r="O28" s="225"/>
      <c r="P28" s="225"/>
      <c r="Q28" s="228"/>
      <c r="R28" s="242"/>
      <c r="S28" s="249">
        <f t="shared" si="2"/>
        <v>1</v>
      </c>
      <c r="T28" s="242" t="str">
        <f t="shared" si="3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4"/>
        <v>https://d0f6bd738d7f1b3e5a7ca70fe4ff75f0.us-east-1.aws.found.io/app/kibana#/discover/Steve-Slow-Train-Analysis-(2080s-and-2083s)?_g=(refreshInterval:(display:Off,pause:!f,section:0,value:0),time:(from:'2017-12-23T05:20:23-0700',mode:absolute,to:'2017-12-23T08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247" t="str">
        <f>IF(AA28&lt;VLOOKUP(AG28,Variables!$AC$3:$AD$8,2,FALSE),"Y","N")</f>
        <v>N</v>
      </c>
      <c r="X28" s="247">
        <f t="shared" si="35"/>
        <v>1</v>
      </c>
      <c r="Y28" s="247">
        <f t="shared" si="23"/>
        <v>23.298500000000001</v>
      </c>
      <c r="Z28" s="247">
        <f t="shared" si="15"/>
        <v>0.02</v>
      </c>
      <c r="AA28" s="247">
        <f t="shared" si="5"/>
        <v>23.278500000000001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6"/>
        <v>116</v>
      </c>
      <c r="AE28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28" s="234" t="str">
        <f t="shared" si="8"/>
        <v>"C:\Program Files (x86)\AstroGrep\AstroGrep.exe" /e /r /s /spath="%USERPROFILE%\AppData\Local\Temp\OnboardLogs" /stypes="app*4015*20171223*" /stext=" 14:.+((SYSTEM_STATE.+slice.+state.+changed )|(ment ac)|(multiple cpu faults)|(system.+state.+changed )|(\[timeout)|(PRM\|1\|D)|(kpr)|(kdp)|(train st.+moving)|(\|lc)|(penalty))"</v>
      </c>
      <c r="AG28" s="244" t="str">
        <f t="shared" si="9"/>
        <v>EC</v>
      </c>
      <c r="AH28" s="236" t="str">
        <f t="shared" si="29"/>
        <v>"%USERPROFILE%\Documents\GitHub\eaglep3\Utilities\RefineRTDCRunTimes.py" --tripid 116-23 --locoid 4015 --swversion DE.1.0.9.0 --startMP 204:232985 --initTime 2017-12-23T06:20:23 --startdatetime 2017-12-23T06:27:20 --delay 50 --endMP 204:200 --enddatetime 2017-12-23T07:04:07 --enforcementcount 0 &gt;&gt;%USERPROFILE%\Documents\GitHub\eaglep3-reporting\EC\2017-12-23-refined-times.txt</v>
      </c>
      <c r="AI2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{"issue":{"subject":"","project_id":79,"tracker_id":40,"status_id":1,"priority_id":2,"assigned_to_id":338,"start_date":"2017-12-23","description":"","custom_fields":[{"id":1,"name":"Subdivision","value":"EC"},{"id":4,"name":"Milepost","value":"0.02"},{"id":17,"name":"Train ID","value":"116-23"},{"id":16,"name":"Locomotive ID","value":"4015"},{"id":130,"name":"Impact","value":""},{"id":150,"name":"Time of Event (Mountain Time)","value":"07:04:07"},{"id":151,"name":"Denver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31"/>
        <v>start /low /b %USERPROFILE%\Documents\GitHub\eaglep3\Utilities\DownloadLogsFromS3.py --loco 4015 --day 2017-12-23</v>
      </c>
      <c r="AN2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33"/>
        <v>https://d0f6bd738d7f1b3e5a7ca70fe4ff75f0.us-east-1.aws.found.io/app/kibana#/discover/Steve-Slow-Train-Analysis-(2080s-and-2083s)?_g=(refreshInterval:(display:Off,pause:!f,section:0,value:0),time:(from:'2017-12-23T05:20:23-0700',mode:absolute,to:'2017-12-23T08:04:07-0700'))&amp;_a=(columns:!('Message%20ID',Summary),filters:!(),index:'emp_*',interval:auto,query:(query_string:(analyze_wildcard:!t,query:'%22rtdc.l.rtdc.4015%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723</v>
      </c>
      <c r="B29" s="225">
        <v>4026</v>
      </c>
      <c r="C29" s="227" t="s">
        <v>192</v>
      </c>
      <c r="D29" s="227" t="s">
        <v>906</v>
      </c>
      <c r="E29" s="226">
        <v>43092.236481481479</v>
      </c>
      <c r="F29" s="226">
        <v>43092.239849537036</v>
      </c>
      <c r="G29" s="225">
        <v>107</v>
      </c>
      <c r="H29" s="227" t="s">
        <v>907</v>
      </c>
      <c r="I29" s="226">
        <v>43092.265902777777</v>
      </c>
      <c r="J29" s="225">
        <v>0</v>
      </c>
      <c r="K29" s="237" t="str">
        <f t="shared" si="0"/>
        <v>4025/4026</v>
      </c>
      <c r="L29" s="245" t="str">
        <f>VLOOKUP(A29,'Trips&amp;Operators'!$C$1:$G$99911,5,FALSE)</f>
        <v>WILLIAMS DONTE</v>
      </c>
      <c r="M29" s="224">
        <f t="shared" si="1"/>
        <v>2.6053240741021E-2</v>
      </c>
      <c r="N29" s="225">
        <f t="shared" si="21"/>
        <v>37.51666666707024</v>
      </c>
      <c r="O29" s="225"/>
      <c r="P29" s="225"/>
      <c r="Q29" s="228"/>
      <c r="R29" s="242"/>
      <c r="S29" s="249">
        <f t="shared" si="2"/>
        <v>1</v>
      </c>
      <c r="T29" s="242" t="str">
        <f t="shared" si="3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4"/>
        <v>https://d0f6bd738d7f1b3e5a7ca70fe4ff75f0.us-east-1.aws.found.io/app/kibana#/discover/Steve-Slow-Train-Analysis-(2080s-and-2083s)?_g=(refreshInterval:(display:Off,pause:!f,section:0,value:0),time:(from:'2017-12-23T04:40:32-0700',mode:absolute,to:'2017-12-23T07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47" t="str">
        <f>IF(AA29&lt;VLOOKUP(AG29,Variables!$AC$3:$AD$8,2,FALSE),"Y","N")</f>
        <v>N</v>
      </c>
      <c r="X29" s="247">
        <f t="shared" si="35"/>
        <v>1</v>
      </c>
      <c r="Y29" s="247">
        <f t="shared" si="23"/>
        <v>0.05</v>
      </c>
      <c r="Z29" s="247">
        <f t="shared" si="15"/>
        <v>23.320900000000002</v>
      </c>
      <c r="AA29" s="247">
        <f t="shared" si="5"/>
        <v>23.270900000000001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6"/>
        <v>117</v>
      </c>
      <c r="AE29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29" s="234" t="str">
        <f t="shared" si="8"/>
        <v>"C:\Program Files (x86)\AstroGrep\AstroGrep.exe" /e /r /s /spath="%USERPROFILE%\AppData\Local\Temp\OnboardLogs" /stypes="app*4026*20171223*" /stext=" 13:.+((SYSTEM_STATE.+slice.+state.+changed )|(ment ac)|(multiple cpu faults)|(system.+state.+changed )|(\[timeout)|(PRM\|1\|D)|(kpr)|(kdp)|(train st.+moving)|(\|lc)|(penalty))"</v>
      </c>
      <c r="AG29" s="244" t="str">
        <f t="shared" si="9"/>
        <v>EC</v>
      </c>
      <c r="AH29" s="236" t="str">
        <f t="shared" si="29"/>
        <v>"%USERPROFILE%\Documents\GitHub\eaglep3\Utilities\RefineRTDCRunTimes.py" --tripid 117-23 --locoid 4026 --swversion DE.1.0.9.0 --startMP 204:500 --initTime 2017-12-23T05:40:32 --startdatetime 2017-12-23T05:45:23 --delay 107 --endMP 204:233209 --enddatetime 2017-12-23T06:22:54 --enforcementcount 0 &gt;&gt;%USERPROFILE%\Documents\GitHub\eaglep3-reporting\EC\2017-12-23-refined-times.txt</v>
      </c>
      <c r="AI2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{"issue":{"subject":"","project_id":79,"tracker_id":40,"status_id":1,"priority_id":2,"assigned_to_id":338,"start_date":"2017-12-23","description":"","custom_fields":[{"id":1,"name":"Subdivision","value":"EC"},{"id":4,"name":"Milepost","value":"23.3209"},{"id":17,"name":"Train ID","value":"117-23"},{"id":16,"name":"Locomotive ID","value":"4026"},{"id":130,"name":"Impact","value":""},{"id":150,"name":"Time of Event (Mountain Time)","value":"06:22:54"},{"id":151,"name":"Denver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31"/>
        <v>start /low /b %USERPROFILE%\Documents\GitHub\eaglep3\Utilities\DownloadLogsFromS3.py --loco 4026 --day 2017-12-23</v>
      </c>
      <c r="AN2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33"/>
        <v>https://d0f6bd738d7f1b3e5a7ca70fe4ff75f0.us-east-1.aws.found.io/app/kibana#/discover/Steve-Slow-Train-Analysis-(2080s-and-2083s)?_g=(refreshInterval:(display:Off,pause:!f,section:0,value:0),time:(from:'2017-12-23T04:40:32-0700',mode:absolute,to:'2017-12-23T07:22:54-0700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731</v>
      </c>
      <c r="B30" s="225">
        <v>4025</v>
      </c>
      <c r="C30" s="227" t="s">
        <v>192</v>
      </c>
      <c r="D30" s="227" t="s">
        <v>908</v>
      </c>
      <c r="E30" s="226">
        <v>43092.276817129627</v>
      </c>
      <c r="F30" s="226">
        <v>43092.279351851852</v>
      </c>
      <c r="G30" s="225">
        <v>75</v>
      </c>
      <c r="H30" s="227" t="s">
        <v>909</v>
      </c>
      <c r="I30" s="226">
        <v>43092.306793981479</v>
      </c>
      <c r="J30" s="225">
        <v>0</v>
      </c>
      <c r="K30" s="237" t="str">
        <f t="shared" si="0"/>
        <v>4025/4026</v>
      </c>
      <c r="L30" s="245" t="str">
        <f>VLOOKUP(A30,'Trips&amp;Operators'!$C$1:$G$99911,5,FALSE)</f>
        <v>WILLIAMS DONTE</v>
      </c>
      <c r="M30" s="224">
        <f t="shared" si="1"/>
        <v>2.7442129627161194E-2</v>
      </c>
      <c r="N30" s="225">
        <f t="shared" si="21"/>
        <v>39.516666663112119</v>
      </c>
      <c r="O30" s="225"/>
      <c r="P30" s="225"/>
      <c r="Q30" s="228"/>
      <c r="R30" s="242"/>
      <c r="S30" s="249">
        <f t="shared" si="2"/>
        <v>1</v>
      </c>
      <c r="T30" s="242" t="str">
        <f t="shared" si="3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4"/>
        <v>https://d0f6bd738d7f1b3e5a7ca70fe4ff75f0.us-east-1.aws.found.io/app/kibana#/discover/Steve-Slow-Train-Analysis-(2080s-and-2083s)?_g=(refreshInterval:(display:Off,pause:!f,section:0,value:0),time:(from:'2017-12-23T05:38:37-0700',mode:absolute,to:'2017-12-23T08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47" t="str">
        <f>IF(AA30&lt;VLOOKUP(AG30,Variables!$AC$3:$AD$8,2,FALSE),"Y","N")</f>
        <v>N</v>
      </c>
      <c r="X30" s="247">
        <f t="shared" si="35"/>
        <v>1</v>
      </c>
      <c r="Y30" s="247">
        <f t="shared" si="23"/>
        <v>23.292300000000001</v>
      </c>
      <c r="Z30" s="247">
        <f t="shared" si="15"/>
        <v>2.0899999999999998E-2</v>
      </c>
      <c r="AA30" s="247">
        <f t="shared" si="5"/>
        <v>23.2714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6"/>
        <v>118</v>
      </c>
      <c r="AE30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30" s="234" t="str">
        <f t="shared" si="8"/>
        <v>"C:\Program Files (x86)\AstroGrep\AstroGrep.exe" /e /r /s /spath="%USERPROFILE%\AppData\Local\Temp\OnboardLogs" /stypes="app*4025*20171223*" /stext=" 14:.+((SYSTEM_STATE.+slice.+state.+changed )|(ment ac)|(multiple cpu faults)|(system.+state.+changed )|(\[timeout)|(PRM\|1\|D)|(kpr)|(kdp)|(train st.+moving)|(\|lc)|(penalty))"</v>
      </c>
      <c r="AG30" s="244" t="str">
        <f t="shared" si="9"/>
        <v>EC</v>
      </c>
      <c r="AH30" s="236" t="str">
        <f t="shared" si="29"/>
        <v>"%USERPROFILE%\Documents\GitHub\eaglep3\Utilities\RefineRTDCRunTimes.py" --tripid 118-23 --locoid 4025 --swversion DE.1.0.9.0 --startMP 204:232923 --initTime 2017-12-23T06:38:37 --startdatetime 2017-12-23T06:42:16 --delay 75 --endMP 204:209 --enddatetime 2017-12-23T07:21:47 --enforcementcount 0 &gt;&gt;%USERPROFILE%\Documents\GitHub\eaglep3-reporting\EC\2017-12-23-refined-times.txt</v>
      </c>
      <c r="AI3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ID","value":"118-23"},{"id":16,"name":"Locomotive ID","value":"4025"},{"id":130,"name":"Impact","value":""},{"id":150,"name":"Time of Event (Mountain Time)","value":"07:21:47"},{"id":151,"name":"Denver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31"/>
        <v>start /low /b %USERPROFILE%\Documents\GitHub\eaglep3\Utilities\DownloadLogsFromS3.py --loco 4025 --day 2017-12-23</v>
      </c>
      <c r="AN3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33"/>
        <v>https://d0f6bd738d7f1b3e5a7ca70fe4ff75f0.us-east-1.aws.found.io/app/kibana#/discover/Steve-Slow-Train-Analysis-(2080s-and-2083s)?_g=(refreshInterval:(display:Off,pause:!f,section:0,value:0),time:(from:'2017-12-23T05:38:37-0700',mode:absolute,to:'2017-12-23T08:21:47-0700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724</v>
      </c>
      <c r="B31" s="225">
        <v>4036</v>
      </c>
      <c r="C31" s="227" t="s">
        <v>192</v>
      </c>
      <c r="D31" s="227" t="s">
        <v>616</v>
      </c>
      <c r="E31" s="226">
        <v>43092.244733796295</v>
      </c>
      <c r="F31" s="226">
        <v>43092.250162037039</v>
      </c>
      <c r="G31" s="225">
        <v>60</v>
      </c>
      <c r="H31" s="227" t="s">
        <v>910</v>
      </c>
      <c r="I31" s="226">
        <v>43092.275000000001</v>
      </c>
      <c r="J31" s="225">
        <v>0</v>
      </c>
      <c r="K31" s="237" t="str">
        <f t="shared" si="0"/>
        <v>4035/4036</v>
      </c>
      <c r="L31" s="245" t="str">
        <f>VLOOKUP(A31,'Trips&amp;Operators'!$C$1:$G$99911,5,FALSE)</f>
        <v>LOPES KIMBERLY</v>
      </c>
      <c r="M31" s="224">
        <f t="shared" si="1"/>
        <v>2.4837962962919846E-2</v>
      </c>
      <c r="N31" s="225">
        <f t="shared" si="21"/>
        <v>35.766666666604578</v>
      </c>
      <c r="O31" s="225"/>
      <c r="P31" s="225"/>
      <c r="Q31" s="228"/>
      <c r="R31" s="242"/>
      <c r="S31" s="249">
        <f t="shared" si="2"/>
        <v>1</v>
      </c>
      <c r="T31" s="242" t="str">
        <f t="shared" si="3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4"/>
        <v>https://d0f6bd738d7f1b3e5a7ca70fe4ff75f0.us-east-1.aws.found.io/app/kibana#/discover/Steve-Slow-Train-Analysis-(2080s-and-2083s)?_g=(refreshInterval:(display:Off,pause:!f,section:0,value:0),time:(from:'2017-12-23T04:52:25-0700',mode:absolute,to:'2017-12-23T07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1" s="247" t="str">
        <f>IF(AA31&lt;VLOOKUP(AG31,Variables!$AC$3:$AD$8,2,FALSE),"Y","N")</f>
        <v>N</v>
      </c>
      <c r="X31" s="247">
        <f t="shared" si="35"/>
        <v>1</v>
      </c>
      <c r="Y31" s="247">
        <f t="shared" si="23"/>
        <v>4.9799999999999997E-2</v>
      </c>
      <c r="Z31" s="247">
        <f t="shared" si="15"/>
        <v>23.334</v>
      </c>
      <c r="AA31" s="247">
        <f t="shared" si="5"/>
        <v>23.284199999999998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6"/>
        <v>119</v>
      </c>
      <c r="AE31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31" s="234" t="str">
        <f t="shared" si="8"/>
        <v>"C:\Program Files (x86)\AstroGrep\AstroGrep.exe" /e /r /s /spath="%USERPROFILE%\AppData\Local\Temp\OnboardLogs" /stypes="app*4036*20171223*" /stext=" 13:.+((SYSTEM_STATE.+slice.+state.+changed )|(ment ac)|(multiple cpu faults)|(system.+state.+changed )|(\[timeout)|(PRM\|1\|D)|(kpr)|(kdp)|(train st.+moving)|(\|lc)|(penalty))"</v>
      </c>
      <c r="AG31" s="244" t="str">
        <f t="shared" si="9"/>
        <v>EC</v>
      </c>
      <c r="AH31" s="236" t="str">
        <f t="shared" si="29"/>
        <v>"%USERPROFILE%\Documents\GitHub\eaglep3\Utilities\RefineRTDCRunTimes.py" --tripid 119-23 --locoid 4036 --swversion DE.1.0.9.0 --startMP 204:498 --initTime 2017-12-23T05:52:25 --startdatetime 2017-12-23T06:00:14 --delay 60 --endMP 204:233340 --enddatetime 2017-12-23T06:36:00 --enforcementcount 0 &gt;&gt;%USERPROFILE%\Documents\GitHub\eaglep3-reporting\EC\2017-12-23-refined-times.txt</v>
      </c>
      <c r="AI3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{"issue":{"subject":"","project_id":79,"tracker_id":40,"status_id":1,"priority_id":2,"assigned_to_id":338,"start_date":"2017-12-23","description":"","custom_fields":[{"id":1,"name":"Subdivision","value":"EC"},{"id":4,"name":"Milepost","value":"23.334"},{"id":17,"name":"Train ID","value":"119-23"},{"id":16,"name":"Locomotive ID","value":"4036"},{"id":130,"name":"Impact","value":""},{"id":150,"name":"Time of Event (Mountain Time)","value":"06:36:00"},{"id":151,"name":"Denver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31"/>
        <v>start /low /b %USERPROFILE%\Documents\GitHub\eaglep3\Utilities\DownloadLogsFromS3.py --loco 4036 --day 2017-12-23</v>
      </c>
      <c r="AN3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33"/>
        <v>https://d0f6bd738d7f1b3e5a7ca70fe4ff75f0.us-east-1.aws.found.io/app/kibana#/discover/Steve-Slow-Train-Analysis-(2080s-and-2083s)?_g=(refreshInterval:(display:Off,pause:!f,section:0,value:0),time:(from:'2017-12-23T04:52:25-0700',mode:absolute,to:'2017-12-23T07:36:00-0700'))&amp;_a=(columns:!('Message%20ID',Summary),filters:!(),index:'emp_*',interval:auto,query:(query_string:(analyze_wildcard:!t,query:'%22rtdc.l.rtdc.4036%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733</v>
      </c>
      <c r="B32" s="225">
        <v>4035</v>
      </c>
      <c r="C32" s="227" t="s">
        <v>192</v>
      </c>
      <c r="D32" s="227" t="s">
        <v>911</v>
      </c>
      <c r="E32" s="226">
        <v>43092.287037037036</v>
      </c>
      <c r="F32" s="226">
        <v>43092.28974537037</v>
      </c>
      <c r="G32" s="225">
        <v>52</v>
      </c>
      <c r="H32" s="227" t="s">
        <v>895</v>
      </c>
      <c r="I32" s="226">
        <v>43092.315081018518</v>
      </c>
      <c r="J32" s="225">
        <v>0</v>
      </c>
      <c r="K32" s="237" t="str">
        <f t="shared" si="0"/>
        <v>4035/4036</v>
      </c>
      <c r="L32" s="245" t="str">
        <f>VLOOKUP(A32,'Trips&amp;Operators'!$C$1:$G$99911,5,FALSE)</f>
        <v>LOPES KIMBERLY</v>
      </c>
      <c r="M32" s="224">
        <f t="shared" si="1"/>
        <v>2.5335648148029577E-2</v>
      </c>
      <c r="N32" s="225">
        <f t="shared" si="21"/>
        <v>36.483333333162591</v>
      </c>
      <c r="O32" s="225"/>
      <c r="P32" s="225"/>
      <c r="Q32" s="228"/>
      <c r="R32" s="242"/>
      <c r="S32" s="249">
        <f t="shared" si="2"/>
        <v>1</v>
      </c>
      <c r="T32" s="242" t="str">
        <f t="shared" si="3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4"/>
        <v>https://d0f6bd738d7f1b3e5a7ca70fe4ff75f0.us-east-1.aws.found.io/app/kibana#/discover/Steve-Slow-Train-Analysis-(2080s-and-2083s)?_g=(refreshInterval:(display:Off,pause:!f,section:0,value:0),time:(from:'2017-12-23T05:53:20-0700',mode:absolute,to:'2017-12-23T08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2" s="247" t="str">
        <f>IF(AA32&lt;VLOOKUP(AG32,Variables!$AC$3:$AD$8,2,FALSE),"Y","N")</f>
        <v>N</v>
      </c>
      <c r="X32" s="247">
        <f t="shared" si="35"/>
        <v>1</v>
      </c>
      <c r="Y32" s="247">
        <f t="shared" si="23"/>
        <v>23.3032</v>
      </c>
      <c r="Z32" s="247">
        <f t="shared" si="15"/>
        <v>1.7999999999999999E-2</v>
      </c>
      <c r="AA32" s="247">
        <f t="shared" si="5"/>
        <v>23.2852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6"/>
        <v>120</v>
      </c>
      <c r="AE32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32" s="234" t="str">
        <f t="shared" si="8"/>
        <v>"C:\Program Files (x86)\AstroGrep\AstroGrep.exe" /e /r /s /spath="%USERPROFILE%\AppData\Local\Temp\OnboardLogs" /stypes="app*4035*20171223*" /stext=" 14:.+((SYSTEM_STATE.+slice.+state.+changed )|(ment ac)|(multiple cpu faults)|(system.+state.+changed )|(\[timeout)|(PRM\|1\|D)|(kpr)|(kdp)|(train st.+moving)|(\|lc)|(penalty))"</v>
      </c>
      <c r="AG32" s="244" t="str">
        <f t="shared" si="9"/>
        <v>EC</v>
      </c>
      <c r="AH32" s="236" t="str">
        <f t="shared" si="29"/>
        <v>"%USERPROFILE%\Documents\GitHub\eaglep3\Utilities\RefineRTDCRunTimes.py" --tripid 120-23 --locoid 4035 --swversion DE.1.0.9.0 --startMP 204:233032 --initTime 2017-12-23T06:53:20 --startdatetime 2017-12-23T06:57:14 --delay 52 --endMP 204:180 --enddatetime 2017-12-23T07:33:43 --enforcementcount 0 &gt;&gt;%USERPROFILE%\Documents\GitHub\eaglep3-reporting\EC\2017-12-23-refined-times.txt</v>
      </c>
      <c r="AI3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ID","value":"120-23"},{"id":16,"name":"Locomotive ID","value":"4035"},{"id":130,"name":"Impact","value":""},{"id":150,"name":"Time of Event (Mountain Time)","value":"07:33:43"},{"id":151,"name":"Denver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31"/>
        <v>start /low /b %USERPROFILE%\Documents\GitHub\eaglep3\Utilities\DownloadLogsFromS3.py --loco 4035 --day 2017-12-23</v>
      </c>
      <c r="AN3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33"/>
        <v>https://d0f6bd738d7f1b3e5a7ca70fe4ff75f0.us-east-1.aws.found.io/app/kibana#/discover/Steve-Slow-Train-Analysis-(2080s-and-2083s)?_g=(refreshInterval:(display:Off,pause:!f,section:0,value:0),time:(from:'2017-12-23T05:53:20-0700',mode:absolute,to:'2017-12-23T08:33:43-0700'))&amp;_a=(columns:!('Message%20ID',Summary),filters:!(),index:'emp_*',interval:auto,query:(query_string:(analyze_wildcard:!t,query:'%22rtdc.l.rtdc.4035%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728</v>
      </c>
      <c r="B33" s="225">
        <v>4030</v>
      </c>
      <c r="C33" s="227" t="s">
        <v>192</v>
      </c>
      <c r="D33" s="227" t="s">
        <v>613</v>
      </c>
      <c r="E33" s="226">
        <v>43092.258425925924</v>
      </c>
      <c r="F33" s="226">
        <v>43092.26059027778</v>
      </c>
      <c r="G33" s="225">
        <v>54</v>
      </c>
      <c r="H33" s="227" t="s">
        <v>912</v>
      </c>
      <c r="I33" s="226">
        <v>43092.28434027778</v>
      </c>
      <c r="J33" s="225">
        <v>0</v>
      </c>
      <c r="K33" s="237" t="str">
        <f t="shared" si="0"/>
        <v>4029/4030</v>
      </c>
      <c r="L33" s="245" t="str">
        <f>VLOOKUP(A33,'Trips&amp;Operators'!$C$1:$G$99911,5,FALSE)</f>
        <v>GEBRETEKLE DAGNEW</v>
      </c>
      <c r="M33" s="224">
        <f t="shared" si="1"/>
        <v>2.3750000000291038E-2</v>
      </c>
      <c r="N33" s="225">
        <f t="shared" si="21"/>
        <v>34.200000000419095</v>
      </c>
      <c r="O33" s="225"/>
      <c r="P33" s="225"/>
      <c r="Q33" s="228"/>
      <c r="R33" s="242"/>
      <c r="S33" s="249">
        <f t="shared" si="2"/>
        <v>1</v>
      </c>
      <c r="T33" s="242" t="str">
        <f t="shared" si="3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4"/>
        <v>https://d0f6bd738d7f1b3e5a7ca70fe4ff75f0.us-east-1.aws.found.io/app/kibana#/discover/Steve-Slow-Train-Analysis-(2080s-and-2083s)?_g=(refreshInterval:(display:Off,pause:!f,section:0,value:0),time:(from:'2017-12-23T05:12:08-0700',mode:absolute,to:'2017-12-23T07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247" t="str">
        <f>IF(AA33&lt;VLOOKUP(AG33,Variables!$AC$3:$AD$8,2,FALSE),"Y","N")</f>
        <v>N</v>
      </c>
      <c r="X33" s="247">
        <f t="shared" si="35"/>
        <v>1</v>
      </c>
      <c r="Y33" s="247">
        <f t="shared" si="23"/>
        <v>4.9099999999999998E-2</v>
      </c>
      <c r="Z33" s="247">
        <f t="shared" si="15"/>
        <v>23.3322</v>
      </c>
      <c r="AA33" s="247">
        <f t="shared" si="5"/>
        <v>23.283100000000001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6"/>
        <v>121</v>
      </c>
      <c r="AE33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33" s="234" t="str">
        <f t="shared" si="8"/>
        <v>"C:\Program Files (x86)\AstroGrep\AstroGrep.exe" /e /r /s /spath="%USERPROFILE%\AppData\Local\Temp\OnboardLogs" /stypes="app*4030*20171223*" /stext=" 13:.+((SYSTEM_STATE.+slice.+state.+changed )|(ment ac)|(multiple cpu faults)|(system.+state.+changed )|(\[timeout)|(PRM\|1\|D)|(kpr)|(kdp)|(train st.+moving)|(\|lc)|(penalty))"</v>
      </c>
      <c r="AG33" s="244" t="str">
        <f t="shared" si="9"/>
        <v>EC</v>
      </c>
      <c r="AH33" s="236" t="str">
        <f t="shared" si="29"/>
        <v>"%USERPROFILE%\Documents\GitHub\eaglep3\Utilities\RefineRTDCRunTimes.py" --tripid 121-23 --locoid 4030 --swversion DE.1.0.9.0 --startMP 204:491 --initTime 2017-12-23T06:12:08 --startdatetime 2017-12-23T06:15:15 --delay 54 --endMP 204:233322 --enddatetime 2017-12-23T06:49:27 --enforcementcount 0 &gt;&gt;%USERPROFILE%\Documents\GitHub\eaglep3-reporting\EC\2017-12-23-refined-times.txt</v>
      </c>
      <c r="AI3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{"issue":{"subject":"","project_id":79,"tracker_id":40,"status_id":1,"priority_id":2,"assigned_to_id":338,"start_date":"2017-12-23","description":"","custom_fields":[{"id":1,"name":"Subdivision","value":"EC"},{"id":4,"name":"Milepost","value":"23.3322"},{"id":17,"name":"Train ID","value":"121-23"},{"id":16,"name":"Locomotive ID","value":"4030"},{"id":130,"name":"Impact","value":""},{"id":150,"name":"Time of Event (Mountain Time)","value":"06:49:27"},{"id":151,"name":"Denver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31"/>
        <v>start /low /b %USERPROFILE%\Documents\GitHub\eaglep3\Utilities\DownloadLogsFromS3.py --loco 4030 --day 2017-12-23</v>
      </c>
      <c r="AN3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33"/>
        <v>https://d0f6bd738d7f1b3e5a7ca70fe4ff75f0.us-east-1.aws.found.io/app/kibana#/discover/Steve-Slow-Train-Analysis-(2080s-and-2083s)?_g=(refreshInterval:(display:Off,pause:!f,section:0,value:0),time:(from:'2017-12-23T05:12:08-0700',mode:absolute,to:'2017-12-23T07:49:27-0700'))&amp;_a=(columns:!('Message%20ID',Summary),filters:!(),index:'emp_*',interval:auto,query:(query_string:(analyze_wildcard:!t,query:'%22rtdc.l.rtdc.4030%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732</v>
      </c>
      <c r="B34" s="225">
        <v>4029</v>
      </c>
      <c r="C34" s="227" t="s">
        <v>192</v>
      </c>
      <c r="D34" s="227" t="s">
        <v>913</v>
      </c>
      <c r="E34" s="226">
        <v>43092.285543981481</v>
      </c>
      <c r="F34" s="226">
        <v>43092.300185185188</v>
      </c>
      <c r="G34" s="225">
        <v>51</v>
      </c>
      <c r="H34" s="227" t="s">
        <v>532</v>
      </c>
      <c r="I34" s="226">
        <v>43092.325949074075</v>
      </c>
      <c r="J34" s="225">
        <v>0</v>
      </c>
      <c r="K34" s="237" t="str">
        <f t="shared" si="0"/>
        <v>4029/4030</v>
      </c>
      <c r="L34" s="245" t="str">
        <f>VLOOKUP(A34,'Trips&amp;Operators'!$C$1:$G$99911,5,FALSE)</f>
        <v>GEBRETEKLE DAGNEW</v>
      </c>
      <c r="M34" s="224">
        <f t="shared" si="1"/>
        <v>2.5763888887013309E-2</v>
      </c>
      <c r="N34" s="225">
        <f t="shared" si="21"/>
        <v>37.099999997299165</v>
      </c>
      <c r="O34" s="225"/>
      <c r="P34" s="225"/>
      <c r="Q34" s="228"/>
      <c r="R34" s="242"/>
      <c r="S34" s="249">
        <f t="shared" si="2"/>
        <v>1</v>
      </c>
      <c r="T34" s="242" t="str">
        <f t="shared" si="3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4"/>
        <v>https://d0f6bd738d7f1b3e5a7ca70fe4ff75f0.us-east-1.aws.found.io/app/kibana#/discover/Steve-Slow-Train-Analysis-(2080s-and-2083s)?_g=(refreshInterval:(display:Off,pause:!f,section:0,value:0),time:(from:'2017-12-23T05:51:11-0700',mode:absolute,to:'2017-12-23T08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247" t="str">
        <f>IF(AA34&lt;VLOOKUP(AG34,Variables!$AC$3:$AD$8,2,FALSE),"Y","N")</f>
        <v>N</v>
      </c>
      <c r="X34" s="247">
        <f t="shared" si="35"/>
        <v>1</v>
      </c>
      <c r="Y34" s="247">
        <f t="shared" si="23"/>
        <v>23.3</v>
      </c>
      <c r="Z34" s="247">
        <f t="shared" si="15"/>
        <v>1.5599999999999999E-2</v>
      </c>
      <c r="AA34" s="247">
        <f t="shared" si="5"/>
        <v>23.284400000000002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6"/>
        <v>122</v>
      </c>
      <c r="AE34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34" s="234" t="str">
        <f t="shared" si="8"/>
        <v>"C:\Program Files (x86)\AstroGrep\AstroGrep.exe" /e /r /s /spath="%USERPROFILE%\AppData\Local\Temp\OnboardLogs" /stypes="app*4029*20171223*" /stext=" 14:.+((SYSTEM_STATE.+slice.+state.+changed )|(ment ac)|(multiple cpu faults)|(system.+state.+changed )|(\[timeout)|(PRM\|1\|D)|(kpr)|(kdp)|(train st.+moving)|(\|lc)|(penalty))"</v>
      </c>
      <c r="AG34" s="244" t="str">
        <f t="shared" si="9"/>
        <v>EC</v>
      </c>
      <c r="AH34" s="236" t="str">
        <f t="shared" si="29"/>
        <v>"%USERPROFILE%\Documents\GitHub\eaglep3\Utilities\RefineRTDCRunTimes.py" --tripid 122-23 --locoid 4029 --swversion DE.1.0.9.0 --startMP 204:233000 --initTime 2017-12-23T06:51:11 --startdatetime 2017-12-23T07:12:16 --delay 51 --endMP 204:156 --enddatetime 2017-12-23T07:49:22 --enforcementcount 0 &gt;&gt;%USERPROFILE%\Documents\GitHub\eaglep3-reporting\EC\2017-12-23-refined-times.txt</v>
      </c>
      <c r="AI3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{"issue":{"subject":"","project_id":79,"tracker_id":40,"status_id":1,"priority_id":2,"assigned_to_id":338,"start_date":"2017-12-23","description":"","custom_fields":[{"id":1,"name":"Subdivision","value":"EC"},{"id":4,"name":"Milepost","value":"0.0156"},{"id":17,"name":"Train ID","value":"122-23"},{"id":16,"name":"Locomotive ID","value":"4029"},{"id":130,"name":"Impact","value":""},{"id":150,"name":"Time of Event (Mountain Time)","value":"07:49:22"},{"id":151,"name":"Denver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31"/>
        <v>start /low /b %USERPROFILE%\Documents\GitHub\eaglep3\Utilities\DownloadLogsFromS3.py --loco 4029 --day 2017-12-23</v>
      </c>
      <c r="AN3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33"/>
        <v>https://d0f6bd738d7f1b3e5a7ca70fe4ff75f0.us-east-1.aws.found.io/app/kibana#/discover/Steve-Slow-Train-Analysis-(2080s-and-2083s)?_g=(refreshInterval:(display:Off,pause:!f,section:0,value:0),time:(from:'2017-12-23T05:51:11-0700',mode:absolute,to:'2017-12-23T08:49:22-0700'))&amp;_a=(columns:!('Message%20ID',Summary),filters:!(),index:'emp_*',interval:auto,query:(query_string:(analyze_wildcard:!t,query:'%22rtdc.l.rtdc.4029%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730</v>
      </c>
      <c r="B35" s="225">
        <v>4034</v>
      </c>
      <c r="C35" s="227" t="s">
        <v>192</v>
      </c>
      <c r="D35" s="227" t="s">
        <v>914</v>
      </c>
      <c r="E35" s="226">
        <v>43092.266041666669</v>
      </c>
      <c r="F35" s="226">
        <v>43092.271018518521</v>
      </c>
      <c r="G35" s="225">
        <v>86</v>
      </c>
      <c r="H35" s="227" t="s">
        <v>915</v>
      </c>
      <c r="I35" s="226">
        <v>43092.295555555553</v>
      </c>
      <c r="J35" s="225">
        <v>0</v>
      </c>
      <c r="K35" s="237" t="str">
        <f t="shared" si="0"/>
        <v>4033/4034</v>
      </c>
      <c r="L35" s="245" t="str">
        <f>VLOOKUP(A35,'Trips&amp;Operators'!$C$1:$G$99911,5,FALSE)</f>
        <v>DELGADO DIANAH</v>
      </c>
      <c r="M35" s="224">
        <f t="shared" si="1"/>
        <v>2.4537037032132503E-2</v>
      </c>
      <c r="N35" s="225">
        <f t="shared" si="21"/>
        <v>35.333333326270804</v>
      </c>
      <c r="O35" s="225"/>
      <c r="P35" s="225"/>
      <c r="Q35" s="228"/>
      <c r="R35" s="242"/>
      <c r="S35" s="249">
        <f t="shared" si="2"/>
        <v>1</v>
      </c>
      <c r="T35" s="242" t="str">
        <f t="shared" si="3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4"/>
        <v>https://d0f6bd738d7f1b3e5a7ca70fe4ff75f0.us-east-1.aws.found.io/app/kibana#/discover/Steve-Slow-Train-Analysis-(2080s-and-2083s)?_g=(refreshInterval:(display:Off,pause:!f,section:0,value:0),time:(from:'2017-12-23T05:23:06-0700',mode:absolute,to:'2017-12-23T08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247" t="str">
        <f>IF(AA35&lt;VLOOKUP(AG35,Variables!$AC$3:$AD$8,2,FALSE),"Y","N")</f>
        <v>N</v>
      </c>
      <c r="X35" s="247">
        <f t="shared" si="35"/>
        <v>1</v>
      </c>
      <c r="Y35" s="247">
        <f t="shared" si="23"/>
        <v>4.5699999999999998E-2</v>
      </c>
      <c r="Z35" s="247">
        <f t="shared" si="15"/>
        <v>23.332699999999999</v>
      </c>
      <c r="AA35" s="247">
        <f t="shared" si="5"/>
        <v>23.286999999999999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6"/>
        <v>123</v>
      </c>
      <c r="AE35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35" s="234" t="str">
        <f t="shared" si="8"/>
        <v>"C:\Program Files (x86)\AstroGrep\AstroGrep.exe" /e /r /s /spath="%USERPROFILE%\AppData\Local\Temp\OnboardLogs" /stypes="app*4034*20171223*" /stext=" 14:.+((SYSTEM_STATE.+slice.+state.+changed )|(ment ac)|(multiple cpu faults)|(system.+state.+changed )|(\[timeout)|(PRM\|1\|D)|(kpr)|(kdp)|(train st.+moving)|(\|lc)|(penalty))"</v>
      </c>
      <c r="AG35" s="244" t="str">
        <f t="shared" si="9"/>
        <v>EC</v>
      </c>
      <c r="AH35" s="236" t="str">
        <f t="shared" si="29"/>
        <v>"%USERPROFILE%\Documents\GitHub\eaglep3\Utilities\RefineRTDCRunTimes.py" --tripid 123-23 --locoid 4034 --swversion DE.1.0.9.0 --startMP 204:457 --initTime 2017-12-23T06:23:06 --startdatetime 2017-12-23T06:30:16 --delay 86 --endMP 204:233327 --enddatetime 2017-12-23T07:05:36 --enforcementcount 0 &gt;&gt;%USERPROFILE%\Documents\GitHub\eaglep3-reporting\EC\2017-12-23-refined-times.txt</v>
      </c>
      <c r="AI3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{"issue":{"subject":"","project_id":79,"tracker_id":40,"status_id":1,"priority_id":2,"assigned_to_id":338,"start_date":"2017-12-23","description":"","custom_fields":[{"id":1,"name":"Subdivision","value":"EC"},{"id":4,"name":"Milepost","value":"23.3327"},{"id":17,"name":"Train ID","value":"123-23"},{"id":16,"name":"Locomotive ID","value":"4034"},{"id":130,"name":"Impact","value":""},{"id":150,"name":"Time of Event (Mountain Time)","value":"07:05:36"},{"id":151,"name":"Denver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31"/>
        <v>start /low /b %USERPROFILE%\Documents\GitHub\eaglep3\Utilities\DownloadLogsFromS3.py --loco 4034 --day 2017-12-23</v>
      </c>
      <c r="AN3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33"/>
        <v>https://d0f6bd738d7f1b3e5a7ca70fe4ff75f0.us-east-1.aws.found.io/app/kibana#/discover/Steve-Slow-Train-Analysis-(2080s-and-2083s)?_g=(refreshInterval:(display:Off,pause:!f,section:0,value:0),time:(from:'2017-12-23T05:23:06-0700',mode:absolute,to:'2017-12-23T08:05:36-0700'))&amp;_a=(columns:!('Message%20ID',Summary),filters:!(),index:'emp_*',interval:auto,query:(query_string:(analyze_wildcard:!t,query:'%22rtdc.l.rtdc.4034%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737</v>
      </c>
      <c r="B36" s="225">
        <v>4033</v>
      </c>
      <c r="C36" s="227" t="s">
        <v>192</v>
      </c>
      <c r="D36" s="227" t="s">
        <v>916</v>
      </c>
      <c r="E36" s="226">
        <v>43092.297800925924</v>
      </c>
      <c r="F36" s="226">
        <v>43092.310671296298</v>
      </c>
      <c r="G36" s="225">
        <v>972</v>
      </c>
      <c r="H36" s="227" t="s">
        <v>516</v>
      </c>
      <c r="I36" s="226">
        <v>43092.335925925923</v>
      </c>
      <c r="J36" s="225">
        <v>0</v>
      </c>
      <c r="K36" s="237" t="str">
        <f t="shared" si="0"/>
        <v>4033/4034</v>
      </c>
      <c r="L36" s="245" t="str">
        <f>VLOOKUP(A36,'Trips&amp;Operators'!$C$1:$G$99911,5,FALSE)</f>
        <v>DELGADO DIANAH</v>
      </c>
      <c r="M36" s="224">
        <f t="shared" si="1"/>
        <v>2.5254629625123926E-2</v>
      </c>
      <c r="N36" s="225">
        <f t="shared" si="21"/>
        <v>36.366666660178453</v>
      </c>
      <c r="O36" s="225"/>
      <c r="P36" s="225"/>
      <c r="Q36" s="228"/>
      <c r="R36" s="242"/>
      <c r="S36" s="249">
        <f t="shared" si="2"/>
        <v>1</v>
      </c>
      <c r="T36" s="242" t="str">
        <f t="shared" si="3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4"/>
        <v>https://d0f6bd738d7f1b3e5a7ca70fe4ff75f0.us-east-1.aws.found.io/app/kibana#/discover/Steve-Slow-Train-Analysis-(2080s-and-2083s)?_g=(refreshInterval:(display:Off,pause:!f,section:0,value:0),time:(from:'2017-12-23T06:08:50-0700',mode:absolute,to:'2017-12-23T09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247" t="str">
        <f>IF(AA36&lt;VLOOKUP(AG36,Variables!$AC$3:$AD$8,2,FALSE),"Y","N")</f>
        <v>N</v>
      </c>
      <c r="X36" s="247">
        <f t="shared" si="35"/>
        <v>1</v>
      </c>
      <c r="Y36" s="247">
        <f t="shared" si="23"/>
        <v>23.300999999999998</v>
      </c>
      <c r="Z36" s="247">
        <f t="shared" si="15"/>
        <v>1.49E-2</v>
      </c>
      <c r="AA36" s="247">
        <f t="shared" si="5"/>
        <v>23.286099999999998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6"/>
        <v>124</v>
      </c>
      <c r="AE36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36" s="234" t="str">
        <f t="shared" si="8"/>
        <v>"C:\Program Files (x86)\AstroGrep\AstroGrep.exe" /e /r /s /spath="%USERPROFILE%\AppData\Local\Temp\OnboardLogs" /stypes="app*4033*20171223*" /stext=" 15:.+((SYSTEM_STATE.+slice.+state.+changed )|(ment ac)|(multiple cpu faults)|(system.+state.+changed )|(\[timeout)|(PRM\|1\|D)|(kpr)|(kdp)|(train st.+moving)|(\|lc)|(penalty))"</v>
      </c>
      <c r="AG36" s="244" t="str">
        <f t="shared" si="9"/>
        <v>EC</v>
      </c>
      <c r="AH36" s="236" t="str">
        <f t="shared" si="29"/>
        <v>"%USERPROFILE%\Documents\GitHub\eaglep3\Utilities\RefineRTDCRunTimes.py" --tripid 124-23 --locoid 4033 --swversion DE.1.0.9.0 --startMP 204:233010 --initTime 2017-12-23T07:08:50 --startdatetime 2017-12-23T07:27:22 --delay 972 --endMP 204:149 --enddatetime 2017-12-23T08:03:44 --enforcementcount 0 &gt;&gt;%USERPROFILE%\Documents\GitHub\eaglep3-reporting\EC\2017-12-23-refined-times.txt</v>
      </c>
      <c r="AI3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{"issue":{"subject":"","project_id":79,"tracker_id":40,"status_id":1,"priority_id":2,"assigned_to_id":338,"start_date":"2017-12-23","description":"","custom_fields":[{"id":1,"name":"Subdivision","value":"EC"},{"id":4,"name":"Milepost","value":"0.0149"},{"id":17,"name":"Train ID","value":"124-23"},{"id":16,"name":"Locomotive ID","value":"4033"},{"id":130,"name":"Impact","value":""},{"id":150,"name":"Time of Event (Mountain Time)","value":"08:03:44"},{"id":151,"name":"Denver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31"/>
        <v>start /low /b %USERPROFILE%\Documents\GitHub\eaglep3\Utilities\DownloadLogsFromS3.py --loco 4033 --day 2017-12-23</v>
      </c>
      <c r="AN3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33"/>
        <v>https://d0f6bd738d7f1b3e5a7ca70fe4ff75f0.us-east-1.aws.found.io/app/kibana#/discover/Steve-Slow-Train-Analysis-(2080s-and-2083s)?_g=(refreshInterval:(display:Off,pause:!f,section:0,value:0),time:(from:'2017-12-23T06:08:50-0700',mode:absolute,to:'2017-12-23T09:03:44-0700'))&amp;_a=(columns:!('Message%20ID',Summary),filters:!(),index:'emp_*',interval:auto,query:(query_string:(analyze_wildcard:!t,query:'%22rtdc.l.rtdc.4033%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659</v>
      </c>
      <c r="B37" s="225">
        <v>4002</v>
      </c>
      <c r="C37" s="227" t="s">
        <v>192</v>
      </c>
      <c r="D37" s="227" t="s">
        <v>630</v>
      </c>
      <c r="E37" s="226">
        <v>43092.279328703706</v>
      </c>
      <c r="F37" s="226">
        <v>43092.281643518516</v>
      </c>
      <c r="G37" s="225">
        <v>48</v>
      </c>
      <c r="H37" s="227" t="s">
        <v>917</v>
      </c>
      <c r="I37" s="226">
        <v>43092.307233796295</v>
      </c>
      <c r="J37" s="225">
        <v>0</v>
      </c>
      <c r="K37" s="237" t="str">
        <f t="shared" si="0"/>
        <v>4001/4002</v>
      </c>
      <c r="L37" s="245" t="str">
        <f>VLOOKUP(A37,'Trips&amp;Operators'!$C$1:$G$99911,5,FALSE)</f>
        <v>THOMPSON LESTER</v>
      </c>
      <c r="M37" s="224">
        <f t="shared" si="1"/>
        <v>2.5590277778974269E-2</v>
      </c>
      <c r="N37" s="225">
        <f t="shared" si="21"/>
        <v>36.850000001722947</v>
      </c>
      <c r="O37" s="225"/>
      <c r="P37" s="225"/>
      <c r="Q37" s="228"/>
      <c r="R37" s="242"/>
      <c r="S37" s="249">
        <f t="shared" si="2"/>
        <v>1</v>
      </c>
      <c r="T37" s="242" t="str">
        <f t="shared" si="3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4"/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247" t="str">
        <f>IF(AA37&lt;VLOOKUP(AG37,Variables!$AC$3:$AD$8,2,FALSE),"Y","N")</f>
        <v>N</v>
      </c>
      <c r="X37" s="247">
        <f t="shared" si="35"/>
        <v>1</v>
      </c>
      <c r="Y37" s="247">
        <f t="shared" si="23"/>
        <v>4.7300000000000002E-2</v>
      </c>
      <c r="Z37" s="247">
        <f t="shared" si="15"/>
        <v>23.332599999999999</v>
      </c>
      <c r="AA37" s="247">
        <f t="shared" si="5"/>
        <v>23.285299999999999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6"/>
        <v>125</v>
      </c>
      <c r="AE37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37" s="234" t="str">
        <f t="shared" si="8"/>
        <v>"C:\Program Files (x86)\AstroGrep\AstroGrep.exe" /e /r /s /spath="%USERPROFILE%\AppData\Local\Temp\OnboardLogs" /stypes="app*4002*20171223*" /stext=" 14:.+((SYSTEM_STATE.+slice.+state.+changed )|(ment ac)|(multiple cpu faults)|(system.+state.+changed )|(\[timeout)|(PRM\|1\|D)|(kpr)|(kdp)|(train st.+moving)|(\|lc)|(penalty))"</v>
      </c>
      <c r="AG37" s="244" t="str">
        <f t="shared" si="9"/>
        <v>EC</v>
      </c>
      <c r="AH37" s="236" t="str">
        <f t="shared" si="29"/>
        <v>"%USERPROFILE%\Documents\GitHub\eaglep3\Utilities\RefineRTDCRunTimes.py" --tripid 125-23 --locoid 4002 --swversion DE.1.0.9.0 --startMP 204:473 --initTime 2017-12-23T06:42:14 --startdatetime 2017-12-23T06:45:34 --delay 48 --endMP 204:233326 --enddatetime 2017-12-23T07:22:25 --enforcementcount 0 &gt;&gt;%USERPROFILE%\Documents\GitHub\eaglep3-reporting\EC\2017-12-23-refined-times.txt</v>
      </c>
      <c r="AI3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{"issue":{"subject":"","project_id":79,"tracker_id":40,"status_id":1,"priority_id":2,"assigned_to_id":338,"start_date":"2017-12-23","description":"","custom_fields":[{"id":1,"name":"Subdivision","value":"EC"},{"id":4,"name":"Milepost","value":"23.3326"},{"id":17,"name":"Train ID","value":"125-23"},{"id":16,"name":"Locomotive ID","value":"4002"},{"id":130,"name":"Impact","value":""},{"id":150,"name":"Time of Event (Mountain Time)","value":"07:22:25"},{"id":151,"name":"Denver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31"/>
        <v>start /low /b %USERPROFILE%\Documents\GitHub\eaglep3\Utilities\DownloadLogsFromS3.py --loco 4002 --day 2017-12-23</v>
      </c>
      <c r="AN3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33"/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Message%20ID',Summary),filters:!(),index:'emp_*',interval:auto,query:(query_string:(analyze_wildcard:!t,query:'%22rtdc.l.rtdc.4002%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741</v>
      </c>
      <c r="B38" s="225">
        <v>4001</v>
      </c>
      <c r="C38" s="227" t="s">
        <v>192</v>
      </c>
      <c r="D38" s="227" t="s">
        <v>619</v>
      </c>
      <c r="E38" s="226">
        <v>43092.319768518515</v>
      </c>
      <c r="F38" s="226">
        <v>43092.321134259262</v>
      </c>
      <c r="G38" s="225">
        <v>52</v>
      </c>
      <c r="H38" s="227" t="s">
        <v>532</v>
      </c>
      <c r="I38" s="226">
        <v>43092.348124999997</v>
      </c>
      <c r="J38" s="225">
        <v>0</v>
      </c>
      <c r="K38" s="237" t="str">
        <f t="shared" si="0"/>
        <v>4001/4002</v>
      </c>
      <c r="L38" s="245" t="str">
        <f>VLOOKUP(A38,'Trips&amp;Operators'!$C$1:$G$99911,5,FALSE)</f>
        <v>THOMPSON LESTER</v>
      </c>
      <c r="M38" s="224">
        <f t="shared" si="1"/>
        <v>2.6990740734618157E-2</v>
      </c>
      <c r="N38" s="225">
        <f t="shared" si="21"/>
        <v>38.866666657850146</v>
      </c>
      <c r="O38" s="225"/>
      <c r="P38" s="225"/>
      <c r="Q38" s="228"/>
      <c r="R38" s="242"/>
      <c r="S38" s="249">
        <f t="shared" si="2"/>
        <v>1</v>
      </c>
      <c r="T38" s="242" t="str">
        <f t="shared" si="3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4"/>
        <v>https://d0f6bd738d7f1b3e5a7ca70fe4ff75f0.us-east-1.aws.found.io/app/kibana#/discover/Steve-Slow-Train-Analysis-(2080s-and-2083s)?_g=(refreshInterval:(display:Off,pause:!f,section:0,value:0),time:(from:'2017-12-23T06:40:28-0700',mode:absolute,to:'2017-12-23T09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247" t="str">
        <f>IF(AA38&lt;VLOOKUP(AG38,Variables!$AC$3:$AD$8,2,FALSE),"Y","N")</f>
        <v>N</v>
      </c>
      <c r="X38" s="247">
        <f t="shared" si="35"/>
        <v>1</v>
      </c>
      <c r="Y38" s="247">
        <f t="shared" si="23"/>
        <v>23.297699999999999</v>
      </c>
      <c r="Z38" s="247">
        <f t="shared" si="15"/>
        <v>1.5599999999999999E-2</v>
      </c>
      <c r="AA38" s="247">
        <f t="shared" si="5"/>
        <v>23.2821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6"/>
        <v>126</v>
      </c>
      <c r="AE38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38" s="234" t="str">
        <f t="shared" si="8"/>
        <v>"C:\Program Files (x86)\AstroGrep\AstroGrep.exe" /e /r /s /spath="%USERPROFILE%\AppData\Local\Temp\OnboardLogs" /stypes="app*4001*20171223*" /stext=" 15:.+((SYSTEM_STATE.+slice.+state.+changed )|(ment ac)|(multiple cpu faults)|(system.+state.+changed )|(\[timeout)|(PRM\|1\|D)|(kpr)|(kdp)|(train st.+moving)|(\|lc)|(penalty))"</v>
      </c>
      <c r="AG38" s="244" t="str">
        <f t="shared" si="9"/>
        <v>EC</v>
      </c>
      <c r="AH38" s="236" t="str">
        <f t="shared" si="29"/>
        <v>"%USERPROFILE%\Documents\GitHub\eaglep3\Utilities\RefineRTDCRunTimes.py" --tripid 126-23 --locoid 4001 --swversion DE.1.0.9.0 --startMP 204:232977 --initTime 2017-12-23T07:40:28 --startdatetime 2017-12-23T07:42:26 --delay 52 --endMP 204:156 --enddatetime 2017-12-23T08:21:18 --enforcementcount 0 &gt;&gt;%USERPROFILE%\Documents\GitHub\eaglep3-reporting\EC\2017-12-23-refined-times.txt</v>
      </c>
      <c r="AI3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{"issue":{"subject":"","project_id":79,"tracker_id":40,"status_id":1,"priority_id":2,"assigned_to_id":338,"start_date":"2017-12-23","description":"","custom_fields":[{"id":1,"name":"Subdivision","value":"EC"},{"id":4,"name":"Milepost","value":"0.0156"},{"id":17,"name":"Train ID","value":"126-23"},{"id":16,"name":"Locomotive ID","value":"4001"},{"id":130,"name":"Impact","value":""},{"id":150,"name":"Time of Event (Mountain Time)","value":"08:21:18"},{"id":151,"name":"Denver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31"/>
        <v>start /low /b %USERPROFILE%\Documents\GitHub\eaglep3\Utilities\DownloadLogsFromS3.py --loco 4001 --day 2017-12-23</v>
      </c>
      <c r="AN3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33"/>
        <v>https://d0f6bd738d7f1b3e5a7ca70fe4ff75f0.us-east-1.aws.found.io/app/kibana#/discover/Steve-Slow-Train-Analysis-(2080s-and-2083s)?_g=(refreshInterval:(display:Off,pause:!f,section:0,value:0),time:(from:'2017-12-23T06:40:28-0700',mode:absolute,to:'2017-12-23T09:21:18-0700'))&amp;_a=(columns:!('Message%20ID',Summary),filters:!(),index:'emp_*',interval:auto,query:(query_string:(analyze_wildcard:!t,query:'%22rtdc.l.rtdc.4001%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734</v>
      </c>
      <c r="B39" s="225">
        <v>4052</v>
      </c>
      <c r="C39" s="227" t="s">
        <v>192</v>
      </c>
      <c r="D39" s="227" t="s">
        <v>530</v>
      </c>
      <c r="E39" s="226">
        <v>43092.289629629631</v>
      </c>
      <c r="F39" s="226">
        <v>43092.292210648149</v>
      </c>
      <c r="G39" s="225">
        <v>51</v>
      </c>
      <c r="H39" s="227" t="s">
        <v>549</v>
      </c>
      <c r="I39" s="226">
        <v>43092.316504629627</v>
      </c>
      <c r="J39" s="225">
        <v>0</v>
      </c>
      <c r="K39" s="237" t="str">
        <f t="shared" si="0"/>
        <v>4051/4052</v>
      </c>
      <c r="L39" s="245" t="str">
        <f>VLOOKUP(A39,'Trips&amp;Operators'!$C$1:$G$99911,5,FALSE)</f>
        <v>MACDONALD THOMAS</v>
      </c>
      <c r="M39" s="224">
        <f t="shared" si="1"/>
        <v>2.4293981477967463E-2</v>
      </c>
      <c r="N39" s="225">
        <f t="shared" si="21"/>
        <v>34.983333328273147</v>
      </c>
      <c r="O39" s="225"/>
      <c r="P39" s="225"/>
      <c r="Q39" s="228"/>
      <c r="R39" s="242"/>
      <c r="S39" s="249">
        <f t="shared" si="2"/>
        <v>1</v>
      </c>
      <c r="T39" s="242" t="str">
        <f t="shared" si="3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4"/>
        <v>https://d0f6bd738d7f1b3e5a7ca70fe4ff75f0.us-east-1.aws.found.io/app/kibana#/discover/Steve-Slow-Train-Analysis-(2080s-and-2083s)?_g=(refreshInterval:(display:Off,pause:!f,section:0,value:0),time:(from:'2017-12-23T05:57:04-0700',mode:absolute,to:'2017-12-23T08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247" t="str">
        <f>IF(AA39&lt;VLOOKUP(AG39,Variables!$AC$3:$AD$8,2,FALSE),"Y","N")</f>
        <v>N</v>
      </c>
      <c r="X39" s="247">
        <f t="shared" si="35"/>
        <v>1</v>
      </c>
      <c r="Y39" s="247">
        <f t="shared" si="23"/>
        <v>5.04E-2</v>
      </c>
      <c r="Z39" s="247">
        <f t="shared" si="15"/>
        <v>23.3232</v>
      </c>
      <c r="AA39" s="247">
        <f t="shared" si="5"/>
        <v>23.2728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6"/>
        <v>127</v>
      </c>
      <c r="AE39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39" s="234" t="str">
        <f t="shared" si="8"/>
        <v>"C:\Program Files (x86)\AstroGrep\AstroGrep.exe" /e /r /s /spath="%USERPROFILE%\AppData\Local\Temp\OnboardLogs" /stypes="app*4052*20171223*" /stext=" 14:.+((SYSTEM_STATE.+slice.+state.+changed )|(ment ac)|(multiple cpu faults)|(system.+state.+changed )|(\[timeout)|(PRM\|1\|D)|(kpr)|(kdp)|(train st.+moving)|(\|lc)|(penalty))"</v>
      </c>
      <c r="AG39" s="244" t="str">
        <f t="shared" si="9"/>
        <v>EC</v>
      </c>
      <c r="AH39" s="236" t="str">
        <f t="shared" si="29"/>
        <v>"%USERPROFILE%\Documents\GitHub\eaglep3\Utilities\RefineRTDCRunTimes.py" --tripid 127-23 --locoid 4052 --swversion DE.1.0.9.0 --startMP 204:504 --initTime 2017-12-23T06:57:04 --startdatetime 2017-12-23T07:00:47 --delay 51 --endMP 204:233232 --enddatetime 2017-12-23T07:35:46 --enforcementcount 0 &gt;&gt;%USERPROFILE%\Documents\GitHub\eaglep3-reporting\EC\2017-12-23-refined-times.txt</v>
      </c>
      <c r="AI3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{"issue":{"subject":"","project_id":79,"tracker_id":40,"status_id":1,"priority_id":2,"assigned_to_id":338,"start_date":"2017-12-23","description":"","custom_fields":[{"id":1,"name":"Subdivision","value":"EC"},{"id":4,"name":"Milepost","value":"23.3232"},{"id":17,"name":"Train ID","value":"127-23"},{"id":16,"name":"Locomotive ID","value":"4052"},{"id":130,"name":"Impact","value":""},{"id":150,"name":"Time of Event (Mountain Time)","value":"07:35:46"},{"id":151,"name":"Denver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31"/>
        <v>start /low /b %USERPROFILE%\Documents\GitHub\eaglep3\Utilities\DownloadLogsFromS3.py --loco 4052 --day 2017-12-23</v>
      </c>
      <c r="AN3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33"/>
        <v>https://d0f6bd738d7f1b3e5a7ca70fe4ff75f0.us-east-1.aws.found.io/app/kibana#/discover/Steve-Slow-Train-Analysis-(2080s-and-2083s)?_g=(refreshInterval:(display:Off,pause:!f,section:0,value:0),time:(from:'2017-12-23T05:57:04-0700',mode:absolute,to:'2017-12-23T08:35:46-0700'))&amp;_a=(columns:!('Message%20ID',Summary),filters:!(),index:'emp_*',interval:auto,query:(query_string:(analyze_wildcard:!t,query:'%22rtdc.l.rtdc.4052%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742</v>
      </c>
      <c r="B40" s="225">
        <v>4051</v>
      </c>
      <c r="C40" s="227" t="s">
        <v>192</v>
      </c>
      <c r="D40" s="227" t="s">
        <v>918</v>
      </c>
      <c r="E40" s="226">
        <v>43092.321886574071</v>
      </c>
      <c r="F40" s="226">
        <v>43092.335856481484</v>
      </c>
      <c r="G40" s="225">
        <v>48</v>
      </c>
      <c r="H40" s="227" t="s">
        <v>919</v>
      </c>
      <c r="I40" s="226">
        <v>43092.362673611111</v>
      </c>
      <c r="J40" s="225">
        <v>0</v>
      </c>
      <c r="K40" s="237" t="str">
        <f t="shared" si="0"/>
        <v>4051/4052</v>
      </c>
      <c r="L40" s="245" t="str">
        <f>VLOOKUP(A40,'Trips&amp;Operators'!$C$1:$G$99911,5,FALSE)</f>
        <v>MACDONALD THOMAS</v>
      </c>
      <c r="M40" s="224">
        <f t="shared" si="1"/>
        <v>2.6817129626579117E-2</v>
      </c>
      <c r="N40" s="225"/>
      <c r="O40" s="225"/>
      <c r="P40" s="225">
        <f>24*60*SUM($M40:$M40)</f>
        <v>38.616666662273929</v>
      </c>
      <c r="Q40" s="228"/>
      <c r="R40" s="242" t="s">
        <v>1104</v>
      </c>
      <c r="S40" s="249">
        <f t="shared" si="2"/>
        <v>1</v>
      </c>
      <c r="T40" s="242" t="str">
        <f t="shared" si="3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4"/>
        <v>https://d0f6bd738d7f1b3e5a7ca70fe4ff75f0.us-east-1.aws.found.io/app/kibana#/discover/Steve-Slow-Train-Analysis-(2080s-and-2083s)?_g=(refreshInterval:(display:Off,pause:!f,section:0,value:0),time:(from:'2017-12-23T06:43:31-0700',mode:absolute,to:'2017-12-23T09:42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247" t="str">
        <f>IF(AA40&lt;VLOOKUP(AG40,Variables!$AC$3:$AD$8,2,FALSE),"Y","N")</f>
        <v>Y</v>
      </c>
      <c r="X40" s="247">
        <f t="shared" si="35"/>
        <v>1</v>
      </c>
      <c r="Y40" s="247">
        <f t="shared" si="23"/>
        <v>19.701799999999999</v>
      </c>
      <c r="Z40" s="247">
        <f t="shared" si="15"/>
        <v>2.3800000000000002E-2</v>
      </c>
      <c r="AA40" s="247">
        <f t="shared" si="5"/>
        <v>19.677999999999997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6"/>
        <v>128</v>
      </c>
      <c r="AE40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40" s="234" t="str">
        <f t="shared" si="8"/>
        <v>"C:\Program Files (x86)\AstroGrep\AstroGrep.exe" /e /r /s /spath="%USERPROFILE%\AppData\Local\Temp\OnboardLogs" /stypes="app*4051*20171223*" /stext=" 15:.+((SYSTEM_STATE.+slice.+state.+changed )|(ment ac)|(multiple cpu faults)|(system.+state.+changed )|(\[timeout)|(PRM\|1\|D)|(kpr)|(kdp)|(train st.+moving)|(\|lc)|(penalty))"</v>
      </c>
      <c r="AG40" s="244" t="str">
        <f t="shared" si="9"/>
        <v>EC</v>
      </c>
      <c r="AH40" s="236" t="str">
        <f t="shared" si="29"/>
        <v>"%USERPROFILE%\Documents\GitHub\eaglep3\Utilities\RefineRTDCRunTimes.py" --tripid 128-23 --locoid 4051 --swversion DE.1.0.9.0 --startMP 204:197018 --initTime 2017-12-23T07:43:31 --startdatetime 2017-12-23T08:03:38 --delay 48 --endMP 204:238 --enddatetime 2017-12-23T08:42:15 --enforcementcount 0 &gt;&gt;%USERPROFILE%\Documents\GitHub\eaglep3-reporting\EC\2017-12-23-refined-times.txt</v>
      </c>
      <c r="AI40" s="238" t="str">
        <f t="shared" si="30"/>
        <v>echo {"issue":{"subject":"No attempt to select track at DIA","project_id":79,"tracker_id":40,"status_id":1,"priority_id":2,"assigned_to_id":338,"start_date":"2017-12-23","description":"","custom_fields":[{"id":1,"name":"Subdivision","value":"EC"},{"id":4,"name":"Milepost","value":"0.0238"},{"id":17,"name":"Train ID","value":"128-23"},{"id":16,"name":"Locomotive ID","value":"4051"},{"id":130,"name":"Impact","value":""},{"id":150,"name":"Time of Event (Mountain Time)","value":"08:42:15"},{"id":151,"name":"Denver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31"/>
        <v>start /low /b %USERPROFILE%\Documents\GitHub\eaglep3\Utilities\DownloadLogsFromS3.py --loco 4051 --day 2017-12-23</v>
      </c>
      <c r="AN40" s="241" t="str">
        <f t="shared" si="32"/>
        <v>echo {"issue":{"subject":"No attempt to select track at DIA","project_id":30,"tracker_id":4,"status_id":1,"priority_id":1,"assigned_to_id":10,"start_date":"2017-12-23","description":"","custom_fields":[{"id":30,"name":"Category","value":"Issue"},{"id":3,"name":"Functional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33"/>
        <v>https://d0f6bd738d7f1b3e5a7ca70fe4ff75f0.us-east-1.aws.found.io/app/kibana#/discover/Steve-Slow-Train-Analysis-(2080s-and-2083s)?_g=(refreshInterval:(display:Off,pause:!f,section:0,value:0),time:(from:'2017-12-23T06:43:31-0700',mode:absolute,to:'2017-12-23T09:42:15-0700'))&amp;_a=(columns:!('Message%20ID',Summary),filters:!(),index:'emp_*',interval:auto,query:(query_string:(analyze_wildcard:!t,query:'%22rtdc.l.rtdc.4051%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738</v>
      </c>
      <c r="B41" s="225">
        <v>4016</v>
      </c>
      <c r="C41" s="227" t="s">
        <v>192</v>
      </c>
      <c r="D41" s="227" t="s">
        <v>906</v>
      </c>
      <c r="E41" s="226">
        <v>43092.298657407409</v>
      </c>
      <c r="F41" s="226">
        <v>43092.30269675926</v>
      </c>
      <c r="G41" s="225">
        <v>63</v>
      </c>
      <c r="H41" s="227" t="s">
        <v>920</v>
      </c>
      <c r="I41" s="226">
        <v>43092.327025462961</v>
      </c>
      <c r="J41" s="225">
        <v>0</v>
      </c>
      <c r="K41" s="237" t="str">
        <f t="shared" si="0"/>
        <v>4015/4016</v>
      </c>
      <c r="L41" s="245" t="str">
        <f>VLOOKUP(A41,'Trips&amp;Operators'!$C$1:$G$99911,5,FALSE)</f>
        <v>MAELZER KURT</v>
      </c>
      <c r="M41" s="224">
        <f t="shared" si="1"/>
        <v>2.4328703701030463E-2</v>
      </c>
      <c r="N41" s="225">
        <f>24*60*SUM($M41:$M41)</f>
        <v>35.033333329483867</v>
      </c>
      <c r="O41" s="225"/>
      <c r="P41" s="225"/>
      <c r="Q41" s="228"/>
      <c r="R41" s="242"/>
      <c r="S41" s="249">
        <f t="shared" si="2"/>
        <v>1</v>
      </c>
      <c r="T41" s="242" t="str">
        <f t="shared" si="3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4"/>
        <v>https://d0f6bd738d7f1b3e5a7ca70fe4ff75f0.us-east-1.aws.found.io/app/kibana#/discover/Steve-Slow-Train-Analysis-(2080s-and-2083s)?_g=(refreshInterval:(display:Off,pause:!f,section:0,value:0),time:(from:'2017-12-23T06:10:04-0700',mode:absolute,to:'2017-12-23T08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247" t="str">
        <f>IF(AA41&lt;VLOOKUP(AG41,Variables!$AC$3:$AD$8,2,FALSE),"Y","N")</f>
        <v>N</v>
      </c>
      <c r="X41" s="247">
        <f t="shared" si="35"/>
        <v>1</v>
      </c>
      <c r="Y41" s="247">
        <f t="shared" si="23"/>
        <v>0.05</v>
      </c>
      <c r="Z41" s="247">
        <f t="shared" si="15"/>
        <v>23.329899999999999</v>
      </c>
      <c r="AA41" s="247">
        <f t="shared" si="5"/>
        <v>23.279899999999998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6"/>
        <v>129</v>
      </c>
      <c r="AE41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41" s="234" t="str">
        <f t="shared" si="8"/>
        <v>"C:\Program Files (x86)\AstroGrep\AstroGrep.exe" /e /r /s /spath="%USERPROFILE%\AppData\Local\Temp\OnboardLogs" /stypes="app*4016*20171223*" /stext=" 14:.+((SYSTEM_STATE.+slice.+state.+changed )|(ment ac)|(multiple cpu faults)|(system.+state.+changed )|(\[timeout)|(PRM\|1\|D)|(kpr)|(kdp)|(train st.+moving)|(\|lc)|(penalty))"</v>
      </c>
      <c r="AG41" s="244" t="str">
        <f t="shared" si="9"/>
        <v>EC</v>
      </c>
      <c r="AH41" s="236" t="str">
        <f t="shared" si="29"/>
        <v>"%USERPROFILE%\Documents\GitHub\eaglep3\Utilities\RefineRTDCRunTimes.py" --tripid 129-23 --locoid 4016 --swversion DE.1.0.9.0 --startMP 204:500 --initTime 2017-12-23T07:10:04 --startdatetime 2017-12-23T07:15:53 --delay 63 --endMP 204:233299 --enddatetime 2017-12-23T07:50:55 --enforcementcount 0 &gt;&gt;%USERPROFILE%\Documents\GitHub\eaglep3-reporting\EC\2017-12-23-refined-times.txt</v>
      </c>
      <c r="AI4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{"issue":{"subject":"","project_id":79,"tracker_id":40,"status_id":1,"priority_id":2,"assigned_to_id":338,"start_date":"2017-12-23","description":"","custom_fields":[{"id":1,"name":"Subdivision","value":"EC"},{"id":4,"name":"Milepost","value":"23.3299"},{"id":17,"name":"Train ID","value":"129-23"},{"id":16,"name":"Locomotive ID","value":"4016"},{"id":130,"name":"Impact","value":""},{"id":150,"name":"Time of Event (Mountain Time)","value":"07:50:55"},{"id":151,"name":"Denver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31"/>
        <v>start /low /b %USERPROFILE%\Documents\GitHub\eaglep3\Utilities\DownloadLogsFromS3.py --loco 4016 --day 2017-12-23</v>
      </c>
      <c r="AN4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33"/>
        <v>https://d0f6bd738d7f1b3e5a7ca70fe4ff75f0.us-east-1.aws.found.io/app/kibana#/discover/Steve-Slow-Train-Analysis-(2080s-and-2083s)?_g=(refreshInterval:(display:Off,pause:!f,section:0,value:0),time:(from:'2017-12-23T06:10:04-0700',mode:absolute,to:'2017-12-23T08:50:55-0700'))&amp;_a=(columns:!('Message%20ID',Summary),filters:!(),index:'emp_*',interval:auto,query:(query_string:(analyze_wildcard:!t,query:'%22rtdc.l.rtdc.4016%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744</v>
      </c>
      <c r="B42" s="225">
        <v>4015</v>
      </c>
      <c r="C42" s="227" t="s">
        <v>192</v>
      </c>
      <c r="D42" s="227" t="s">
        <v>513</v>
      </c>
      <c r="E42" s="226">
        <v>43092.331932870373</v>
      </c>
      <c r="F42" s="226">
        <v>43092.341967592591</v>
      </c>
      <c r="G42" s="225">
        <v>46</v>
      </c>
      <c r="H42" s="227" t="s">
        <v>522</v>
      </c>
      <c r="I42" s="226">
        <v>43092.368819444448</v>
      </c>
      <c r="J42" s="225">
        <v>0</v>
      </c>
      <c r="K42" s="237" t="str">
        <f t="shared" si="0"/>
        <v>4015/4016</v>
      </c>
      <c r="L42" s="245" t="str">
        <f>VLOOKUP(A42,'Trips&amp;Operators'!$C$1:$G$99911,5,FALSE)</f>
        <v>MAELZER KURT</v>
      </c>
      <c r="M42" s="224">
        <f t="shared" si="1"/>
        <v>2.6851851856918074E-2</v>
      </c>
      <c r="N42" s="225">
        <f>24*60*SUM($M42:$M42)</f>
        <v>38.666666673962027</v>
      </c>
      <c r="O42" s="225"/>
      <c r="P42" s="225"/>
      <c r="Q42" s="228"/>
      <c r="R42" s="242"/>
      <c r="S42" s="249">
        <f t="shared" si="2"/>
        <v>1</v>
      </c>
      <c r="T42" s="242" t="str">
        <f t="shared" si="3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4"/>
        <v>https://d0f6bd738d7f1b3e5a7ca70fe4ff75f0.us-east-1.aws.found.io/app/kibana#/discover/Steve-Slow-Train-Analysis-(2080s-and-2083s)?_g=(refreshInterval:(display:Off,pause:!f,section:0,value:0),time:(from:'2017-12-23T06:57:59-0700',mode:absolute,to:'2017-12-23T09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247" t="str">
        <f>IF(AA42&lt;VLOOKUP(AG42,Variables!$AC$3:$AD$8,2,FALSE),"Y","N")</f>
        <v>N</v>
      </c>
      <c r="X42" s="247">
        <f t="shared" si="35"/>
        <v>1</v>
      </c>
      <c r="Y42" s="247">
        <f t="shared" si="23"/>
        <v>23.297799999999999</v>
      </c>
      <c r="Z42" s="247">
        <f t="shared" si="15"/>
        <v>1.78E-2</v>
      </c>
      <c r="AA42" s="247">
        <f t="shared" si="5"/>
        <v>23.279999999999998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6"/>
        <v>130</v>
      </c>
      <c r="AE42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42" s="234" t="str">
        <f t="shared" si="8"/>
        <v>"C:\Program Files (x86)\AstroGrep\AstroGrep.exe" /e /r /s /spath="%USERPROFILE%\AppData\Local\Temp\OnboardLogs" /stypes="app*4015*20171223*" /stext=" 15:.+((SYSTEM_STATE.+slice.+state.+changed )|(ment ac)|(multiple cpu faults)|(system.+state.+changed )|(\[timeout)|(PRM\|1\|D)|(kpr)|(kdp)|(train st.+moving)|(\|lc)|(penalty))"</v>
      </c>
      <c r="AG42" s="244" t="str">
        <f t="shared" si="9"/>
        <v>EC</v>
      </c>
      <c r="AH42" s="236" t="str">
        <f t="shared" si="29"/>
        <v>"%USERPROFILE%\Documents\GitHub\eaglep3\Utilities\RefineRTDCRunTimes.py" --tripid 130-23 --locoid 4015 --swversion DE.1.0.9.0 --startMP 204:232978 --initTime 2017-12-23T07:57:59 --startdatetime 2017-12-23T08:12:26 --delay 46 --endMP 204:178 --enddatetime 2017-12-23T08:51:06 --enforcementcount 0 &gt;&gt;%USERPROFILE%\Documents\GitHub\eaglep3-reporting\EC\2017-12-23-refined-times.txt</v>
      </c>
      <c r="AI4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{"issue":{"subject":"","project_id":79,"tracker_id":40,"status_id":1,"priority_id":2,"assigned_to_id":338,"start_date":"2017-12-23","description":"","custom_fields":[{"id":1,"name":"Subdivision","value":"EC"},{"id":4,"name":"Milepost","value":"0.0178"},{"id":17,"name":"Train ID","value":"130-23"},{"id":16,"name":"Locomotive ID","value":"4015"},{"id":130,"name":"Impact","value":""},{"id":150,"name":"Time of Event (Mountain Time)","value":"08:51:06"},{"id":151,"name":"Denver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31"/>
        <v>start /low /b %USERPROFILE%\Documents\GitHub\eaglep3\Utilities\DownloadLogsFromS3.py --loco 4015 --day 2017-12-23</v>
      </c>
      <c r="AN4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33"/>
        <v>https://d0f6bd738d7f1b3e5a7ca70fe4ff75f0.us-east-1.aws.found.io/app/kibana#/discover/Steve-Slow-Train-Analysis-(2080s-and-2083s)?_g=(refreshInterval:(display:Off,pause:!f,section:0,value:0),time:(from:'2017-12-23T06:57:59-0700',mode:absolute,to:'2017-12-23T09:51:06-0700'))&amp;_a=(columns:!('Message%20ID',Summary),filters:!(),index:'emp_*',interval:auto,query:(query_string:(analyze_wildcard:!t,query:'%22rtdc.l.rtdc.4015%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661</v>
      </c>
      <c r="B43" s="225">
        <v>4026</v>
      </c>
      <c r="C43" s="227" t="s">
        <v>192</v>
      </c>
      <c r="D43" s="227" t="s">
        <v>921</v>
      </c>
      <c r="E43" s="226">
        <v>43092.309108796297</v>
      </c>
      <c r="F43" s="226">
        <v>43092.3128125</v>
      </c>
      <c r="G43" s="225">
        <v>67</v>
      </c>
      <c r="H43" s="227" t="s">
        <v>922</v>
      </c>
      <c r="I43" s="226">
        <v>43092.331053240741</v>
      </c>
      <c r="J43" s="225">
        <v>0</v>
      </c>
      <c r="K43" s="237" t="str">
        <f t="shared" si="0"/>
        <v>4025/4026</v>
      </c>
      <c r="L43" s="245" t="str">
        <f>VLOOKUP(A43,'Trips&amp;Operators'!$C$1:$G$99911,5,FALSE)</f>
        <v>WILLIAMS DONTE</v>
      </c>
      <c r="M43" s="224">
        <f t="shared" si="1"/>
        <v>1.8240740741021E-2</v>
      </c>
      <c r="N43" s="225"/>
      <c r="O43" s="225"/>
      <c r="P43" s="225">
        <f>24*60*SUM($M43:$M43)</f>
        <v>26.26666666707024</v>
      </c>
      <c r="Q43" s="228"/>
      <c r="R43" s="242" t="s">
        <v>1090</v>
      </c>
      <c r="S43" s="249">
        <f t="shared" si="2"/>
        <v>1</v>
      </c>
      <c r="T43" s="242" t="str">
        <f t="shared" si="3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4"/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47" t="str">
        <f>IF(AA43&lt;VLOOKUP(AG43,Variables!$AC$3:$AD$8,2,FALSE),"Y","N")</f>
        <v>Y</v>
      </c>
      <c r="X43" s="247">
        <f t="shared" si="35"/>
        <v>1</v>
      </c>
      <c r="Y43" s="247">
        <f t="shared" si="23"/>
        <v>5.1299999999999998E-2</v>
      </c>
      <c r="Z43" s="247">
        <v>14.827299999999999</v>
      </c>
      <c r="AA43" s="247">
        <f t="shared" si="5"/>
        <v>14.776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6"/>
        <v>131</v>
      </c>
      <c r="AE43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43" s="234" t="str">
        <f t="shared" si="8"/>
        <v>"C:\Program Files (x86)\AstroGrep\AstroGrep.exe" /e /r /s /spath="%USERPROFILE%\AppData\Local\Temp\OnboardLogs" /stypes="app*4026*20171223*" /stext=" 14:.+((SYSTEM_STATE.+slice.+state.+changed )|(ment ac)|(multiple cpu faults)|(system.+state.+changed )|(\[timeout)|(PRM\|1\|D)|(kpr)|(kdp)|(train st.+moving)|(\|lc)|(penalty))"</v>
      </c>
      <c r="AG43" s="244" t="str">
        <f t="shared" si="9"/>
        <v>EC</v>
      </c>
      <c r="AH43" s="236" t="str">
        <f t="shared" si="29"/>
        <v>"%USERPROFILE%\Documents\GitHub\eaglep3\Utilities\RefineRTDCRunTimes.py" --tripid 131-23 --locoid 4026 --swversion DE.1.0.9.0 --startMP 204:513 --initTime 2017-12-23T07:25:07 --startdatetime 2017-12-23T07:30:27 --delay 67 --endMP 204:233227 --enddatetime 2017-12-23T07:56:43 --enforcementcount 0 &gt;&gt;%USERPROFILE%\Documents\GitHub\eaglep3-reporting\EC\2017-12-23-refined-times.txt</v>
      </c>
      <c r="AI43" s="238" t="str">
        <f t="shared" si="30"/>
        <v>echo {"issue":{"subject":"Wheel tach slip/slide caused location unknown","project_id":79,"tracker_id":40,"status_id":1,"priority_id":2,"assigned_to_id":338,"start_date":"2017-12-23","description":"","custom_fields":[{"id":1,"name":"Subdivision","value":"EC"},{"id":4,"name":"Milepost","value":"14.8273"},{"id":17,"name":"Train ID","value":"131-23"},{"id":16,"name":"Locomotive ID","value":"4026"},{"id":130,"name":"Impact","value":""},{"id":150,"name":"Time of Event (Mountain Time)","value":"07:56:43"},{"id":151,"name":"Denver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31"/>
        <v>start /low /b %USERPROFILE%\Documents\GitHub\eaglep3\Utilities\DownloadLogsFromS3.py --loco 4026 --day 2017-12-23</v>
      </c>
      <c r="AN43" s="241" t="str">
        <f t="shared" si="32"/>
        <v>echo {"issue":{"subject":"Wheel tach slip/slide caused location unknown","project_id":30,"tracker_id":4,"status_id":1,"priority_id":1,"assigned_to_id":10,"start_date":"2017-12-23","description":"","custom_fields":[{"id":30,"name":"Category","value":"Issue"},{"id":3,"name":"Functional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33"/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Message%20ID',Summary),filters:!(),index:'emp_*',interval:auto,query:(query_string:(analyze_wildcard:!t,query:'%22rtdc.l.rtdc.4026%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746</v>
      </c>
      <c r="B44" s="225">
        <v>4025</v>
      </c>
      <c r="C44" s="227" t="s">
        <v>192</v>
      </c>
      <c r="D44" s="227" t="s">
        <v>908</v>
      </c>
      <c r="E44" s="226">
        <v>43092.34747685185</v>
      </c>
      <c r="F44" s="226">
        <v>43092.352395833332</v>
      </c>
      <c r="G44" s="225">
        <v>66</v>
      </c>
      <c r="H44" s="227" t="s">
        <v>923</v>
      </c>
      <c r="I44" s="226">
        <v>43092.380173611113</v>
      </c>
      <c r="J44" s="225">
        <v>0</v>
      </c>
      <c r="K44" s="237" t="str">
        <f t="shared" si="0"/>
        <v>4025/4026</v>
      </c>
      <c r="L44" s="245" t="str">
        <f>VLOOKUP(A44,'Trips&amp;Operators'!$C$1:$G$99911,5,FALSE)</f>
        <v>WILLIAMS DONTE</v>
      </c>
      <c r="M44" s="224">
        <f t="shared" si="1"/>
        <v>2.7777777781011537E-2</v>
      </c>
      <c r="N44" s="225">
        <f t="shared" ref="N44:N54" si="36">24*60*SUM($M44:$M44)</f>
        <v>40.000000004656613</v>
      </c>
      <c r="O44" s="225"/>
      <c r="P44" s="225"/>
      <c r="Q44" s="228"/>
      <c r="R44" s="242"/>
      <c r="S44" s="249">
        <f t="shared" si="2"/>
        <v>1</v>
      </c>
      <c r="T44" s="242" t="str">
        <f t="shared" si="3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4"/>
        <v>https://d0f6bd738d7f1b3e5a7ca70fe4ff75f0.us-east-1.aws.found.io/app/kibana#/discover/Steve-Slow-Train-Analysis-(2080s-and-2083s)?_g=(refreshInterval:(display:Off,pause:!f,section:0,value:0),time:(from:'2017-12-23T07:20:22-0700',mode:absolute,to:'2017-12-23T10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47" t="str">
        <f>IF(AA44&lt;VLOOKUP(AG44,Variables!$AC$3:$AD$8,2,FALSE),"Y","N")</f>
        <v>N</v>
      </c>
      <c r="X44" s="247">
        <f t="shared" si="35"/>
        <v>1</v>
      </c>
      <c r="Y44" s="247">
        <f t="shared" si="23"/>
        <v>23.292300000000001</v>
      </c>
      <c r="Z44" s="247">
        <f t="shared" ref="Z44:Z75" si="37">RIGHT(H44,LEN(H44)-4)/10000</f>
        <v>2.29E-2</v>
      </c>
      <c r="AA44" s="247">
        <f t="shared" si="5"/>
        <v>23.269400000000001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6"/>
        <v>132</v>
      </c>
      <c r="AE44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44" s="234" t="str">
        <f t="shared" si="8"/>
        <v>"C:\Program Files (x86)\AstroGrep\AstroGrep.exe" /e /r /s /spath="%USERPROFILE%\AppData\Local\Temp\OnboardLogs" /stypes="app*4025*20171223*" /stext=" 16:.+((SYSTEM_STATE.+slice.+state.+changed )|(ment ac)|(multiple cpu faults)|(system.+state.+changed )|(\[timeout)|(PRM\|1\|D)|(kpr)|(kdp)|(train st.+moving)|(\|lc)|(penalty))"</v>
      </c>
      <c r="AG44" s="244" t="str">
        <f t="shared" si="9"/>
        <v>EC</v>
      </c>
      <c r="AH44" s="236" t="str">
        <f t="shared" si="29"/>
        <v>"%USERPROFILE%\Documents\GitHub\eaglep3\Utilities\RefineRTDCRunTimes.py" --tripid 132-23 --locoid 4025 --swversion DE.1.0.9.0 --startMP 204:232923 --initTime 2017-12-23T08:20:22 --startdatetime 2017-12-23T08:27:27 --delay 66 --endMP 204:229 --enddatetime 2017-12-23T09:07:27 --enforcementcount 0 &gt;&gt;%USERPROFILE%\Documents\GitHub\eaglep3-reporting\EC\2017-12-23-refined-times.txt</v>
      </c>
      <c r="AI4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ID","value":"132-23"},{"id":16,"name":"Locomotive ID","value":"4025"},{"id":130,"name":"Impact","value":""},{"id":150,"name":"Time of Event (Mountain Time)","value":"09:07:27"},{"id":151,"name":"Denver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31"/>
        <v>start /low /b %USERPROFILE%\Documents\GitHub\eaglep3\Utilities\DownloadLogsFromS3.py --loco 4025 --day 2017-12-23</v>
      </c>
      <c r="AN4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33"/>
        <v>https://d0f6bd738d7f1b3e5a7ca70fe4ff75f0.us-east-1.aws.found.io/app/kibana#/discover/Steve-Slow-Train-Analysis-(2080s-and-2083s)?_g=(refreshInterval:(display:Off,pause:!f,section:0,value:0),time:(from:'2017-12-23T07:20:22-0700',mode:absolute,to:'2017-12-23T10:07:27-0700'))&amp;_a=(columns:!('Message%20ID',Summary),filters:!(),index:'emp_*',interval:auto,query:(query_string:(analyze_wildcard:!t,query:'%22rtdc.l.rtdc.4025%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740</v>
      </c>
      <c r="B45" s="225">
        <v>4036</v>
      </c>
      <c r="C45" s="227" t="s">
        <v>192</v>
      </c>
      <c r="D45" s="227" t="s">
        <v>924</v>
      </c>
      <c r="E45" s="226">
        <v>43092.31653935185</v>
      </c>
      <c r="F45" s="226">
        <v>43092.323078703703</v>
      </c>
      <c r="G45" s="225">
        <v>48</v>
      </c>
      <c r="H45" s="227" t="s">
        <v>604</v>
      </c>
      <c r="I45" s="226">
        <v>43092.350405092591</v>
      </c>
      <c r="J45" s="225">
        <v>0</v>
      </c>
      <c r="K45" s="237" t="str">
        <f t="shared" si="0"/>
        <v>4035/4036</v>
      </c>
      <c r="L45" s="245" t="str">
        <f>VLOOKUP(A45,'Trips&amp;Operators'!$C$1:$G$99911,5,FALSE)</f>
        <v>LOPES KIMBERLY</v>
      </c>
      <c r="M45" s="224">
        <f t="shared" si="1"/>
        <v>2.73263888884685E-2</v>
      </c>
      <c r="N45" s="225">
        <f t="shared" si="36"/>
        <v>39.34999999939464</v>
      </c>
      <c r="O45" s="225"/>
      <c r="P45" s="225"/>
      <c r="Q45" s="228"/>
      <c r="R45" s="242"/>
      <c r="S45" s="249">
        <f t="shared" si="2"/>
        <v>1</v>
      </c>
      <c r="T45" s="242" t="str">
        <f t="shared" si="3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4"/>
        <v>https://d0f6bd738d7f1b3e5a7ca70fe4ff75f0.us-east-1.aws.found.io/app/kibana#/discover/Steve-Slow-Train-Analysis-(2080s-and-2083s)?_g=(refreshInterval:(display:Off,pause:!f,section:0,value:0),time:(from:'2017-12-23T06:35:49-0700',mode:absolute,to:'2017-12-23T09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5" s="247" t="str">
        <f>IF(AA45&lt;VLOOKUP(AG45,Variables!$AC$3:$AD$8,2,FALSE),"Y","N")</f>
        <v>N</v>
      </c>
      <c r="X45" s="247">
        <f t="shared" si="35"/>
        <v>1</v>
      </c>
      <c r="Y45" s="247">
        <f t="shared" si="23"/>
        <v>4.8000000000000001E-2</v>
      </c>
      <c r="Z45" s="247">
        <f t="shared" si="37"/>
        <v>23.328199999999999</v>
      </c>
      <c r="AA45" s="247">
        <f t="shared" si="5"/>
        <v>23.280200000000001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6"/>
        <v>133</v>
      </c>
      <c r="AE45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45" s="234" t="str">
        <f t="shared" si="8"/>
        <v>"C:\Program Files (x86)\AstroGrep\AstroGrep.exe" /e /r /s /spath="%USERPROFILE%\AppData\Local\Temp\OnboardLogs" /stypes="app*4036*20171223*" /stext=" 15:.+((SYSTEM_STATE.+slice.+state.+changed )|(ment ac)|(multiple cpu faults)|(system.+state.+changed )|(\[timeout)|(PRM\|1\|D)|(kpr)|(kdp)|(train st.+moving)|(\|lc)|(penalty))"</v>
      </c>
      <c r="AG45" s="244" t="str">
        <f t="shared" si="9"/>
        <v>EC</v>
      </c>
      <c r="AH45" s="236" t="str">
        <f t="shared" si="29"/>
        <v>"%USERPROFILE%\Documents\GitHub\eaglep3\Utilities\RefineRTDCRunTimes.py" --tripid 133-23 --locoid 4036 --swversion DE.1.0.9.0 --startMP 204:480 --initTime 2017-12-23T07:35:49 --startdatetime 2017-12-23T07:45:14 --delay 48 --endMP 204:233282 --enddatetime 2017-12-23T08:24:35 --enforcementcount 0 &gt;&gt;%USERPROFILE%\Documents\GitHub\eaglep3-reporting\EC\2017-12-23-refined-times.txt</v>
      </c>
      <c r="AI4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{"issue":{"subject":"","project_id":79,"tracker_id":40,"status_id":1,"priority_id":2,"assigned_to_id":338,"start_date":"2017-12-23","description":"","custom_fields":[{"id":1,"name":"Subdivision","value":"EC"},{"id":4,"name":"Milepost","value":"23.3282"},{"id":17,"name":"Train ID","value":"133-23"},{"id":16,"name":"Locomotive ID","value":"4036"},{"id":130,"name":"Impact","value":""},{"id":150,"name":"Time of Event (Mountain Time)","value":"08:24:35"},{"id":151,"name":"Denver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31"/>
        <v>start /low /b %USERPROFILE%\Documents\GitHub\eaglep3\Utilities\DownloadLogsFromS3.py --loco 4036 --day 2017-12-23</v>
      </c>
      <c r="AN4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33"/>
        <v>https://d0f6bd738d7f1b3e5a7ca70fe4ff75f0.us-east-1.aws.found.io/app/kibana#/discover/Steve-Slow-Train-Analysis-(2080s-and-2083s)?_g=(refreshInterval:(display:Off,pause:!f,section:0,value:0),time:(from:'2017-12-23T06:35:49-0700',mode:absolute,to:'2017-12-23T09:24:35-0700'))&amp;_a=(columns:!('Message%20ID',Summary),filters:!(),index:'emp_*',interval:auto,query:(query_string:(analyze_wildcard:!t,query:'%22rtdc.l.rtdc.4036%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748</v>
      </c>
      <c r="B46" s="225">
        <v>4035</v>
      </c>
      <c r="C46" s="227" t="s">
        <v>192</v>
      </c>
      <c r="D46" s="227" t="s">
        <v>631</v>
      </c>
      <c r="E46" s="226">
        <v>43092.351481481484</v>
      </c>
      <c r="F46" s="226">
        <v>43092.36273148148</v>
      </c>
      <c r="G46" s="225">
        <v>61</v>
      </c>
      <c r="H46" s="227" t="s">
        <v>519</v>
      </c>
      <c r="I46" s="226">
        <v>43092.388043981482</v>
      </c>
      <c r="J46" s="225">
        <v>0</v>
      </c>
      <c r="K46" s="237" t="str">
        <f t="shared" si="0"/>
        <v>4035/4036</v>
      </c>
      <c r="L46" s="245" t="str">
        <f>VLOOKUP(A46,'Trips&amp;Operators'!$C$1:$G$99911,5,FALSE)</f>
        <v>LOPES KIMBERLY</v>
      </c>
      <c r="M46" s="224">
        <f t="shared" si="1"/>
        <v>2.531250000174623E-2</v>
      </c>
      <c r="N46" s="225">
        <f t="shared" si="36"/>
        <v>36.450000002514571</v>
      </c>
      <c r="O46" s="225"/>
      <c r="P46" s="225"/>
      <c r="Q46" s="228"/>
      <c r="R46" s="242"/>
      <c r="S46" s="249">
        <f t="shared" si="2"/>
        <v>1</v>
      </c>
      <c r="T46" s="242" t="str">
        <f t="shared" si="3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4"/>
        <v>https://d0f6bd738d7f1b3e5a7ca70fe4ff75f0.us-east-1.aws.found.io/app/kibana#/discover/Steve-Slow-Train-Analysis-(2080s-and-2083s)?_g=(refreshInterval:(display:Off,pause:!f,section:0,value:0),time:(from:'2017-12-23T07:26:08-0700',mode:absolute,to:'2017-12-23T10:18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6" s="247" t="str">
        <f>IF(AA46&lt;VLOOKUP(AG46,Variables!$AC$3:$AD$8,2,FALSE),"Y","N")</f>
        <v>N</v>
      </c>
      <c r="X46" s="247">
        <f t="shared" si="35"/>
        <v>1</v>
      </c>
      <c r="Y46" s="247">
        <f t="shared" si="23"/>
        <v>23.298200000000001</v>
      </c>
      <c r="Z46" s="247">
        <f t="shared" si="37"/>
        <v>1.9800000000000002E-2</v>
      </c>
      <c r="AA46" s="247">
        <f t="shared" si="5"/>
        <v>23.278400000000001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6"/>
        <v>134</v>
      </c>
      <c r="AE46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46" s="234" t="str">
        <f t="shared" si="8"/>
        <v>"C:\Program Files (x86)\AstroGrep\AstroGrep.exe" /e /r /s /spath="%USERPROFILE%\AppData\Local\Temp\OnboardLogs" /stypes="app*4035*20171223*" /stext=" 16:.+((SYSTEM_STATE.+slice.+state.+changed )|(ment ac)|(multiple cpu faults)|(system.+state.+changed )|(\[timeout)|(PRM\|1\|D)|(kpr)|(kdp)|(train st.+moving)|(\|lc)|(penalty))"</v>
      </c>
      <c r="AG46" s="244" t="str">
        <f t="shared" si="9"/>
        <v>EC</v>
      </c>
      <c r="AH46" s="236" t="str">
        <f t="shared" si="29"/>
        <v>"%USERPROFILE%\Documents\GitHub\eaglep3\Utilities\RefineRTDCRunTimes.py" --tripid 134-23 --locoid 4035 --swversion DE.1.0.9.0 --startMP 204:232982 --initTime 2017-12-23T08:26:08 --startdatetime 2017-12-23T08:42:20 --delay 61 --endMP 204:198 --enddatetime 2017-12-23T09:18:47 --enforcementcount 0 &gt;&gt;%USERPROFILE%\Documents\GitHub\eaglep3-reporting\EC\2017-12-23-refined-times.txt</v>
      </c>
      <c r="AI4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ID","value":"134-23"},{"id":16,"name":"Locomotive ID","value":"4035"},{"id":130,"name":"Impact","value":""},{"id":150,"name":"Time of Event (Mountain Time)","value":"09:18:47"},{"id":151,"name":"Denver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31"/>
        <v>start /low /b %USERPROFILE%\Documents\GitHub\eaglep3\Utilities\DownloadLogsFromS3.py --loco 4035 --day 2017-12-23</v>
      </c>
      <c r="AN4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33"/>
        <v>https://d0f6bd738d7f1b3e5a7ca70fe4ff75f0.us-east-1.aws.found.io/app/kibana#/discover/Steve-Slow-Train-Analysis-(2080s-and-2083s)?_g=(refreshInterval:(display:Off,pause:!f,section:0,value:0),time:(from:'2017-12-23T07:26:08-0700',mode:absolute,to:'2017-12-23T10:18:47-0700'))&amp;_a=(columns:!('Message%20ID',Summary),filters:!(),index:'emp_*',interval:auto,query:(query_string:(analyze_wildcard:!t,query:'%22rtdc.l.rtdc.4035%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662</v>
      </c>
      <c r="B47" s="225">
        <v>4030</v>
      </c>
      <c r="C47" s="227" t="s">
        <v>192</v>
      </c>
      <c r="D47" s="227" t="s">
        <v>521</v>
      </c>
      <c r="E47" s="226">
        <v>43092.329189814816</v>
      </c>
      <c r="F47" s="226">
        <v>43092.333749999998</v>
      </c>
      <c r="G47" s="225">
        <v>52</v>
      </c>
      <c r="H47" s="227" t="s">
        <v>621</v>
      </c>
      <c r="I47" s="226">
        <v>43092.360266203701</v>
      </c>
      <c r="J47" s="225">
        <v>0</v>
      </c>
      <c r="K47" s="237" t="str">
        <f t="shared" si="0"/>
        <v>4029/4030</v>
      </c>
      <c r="L47" s="245" t="str">
        <f>VLOOKUP(A47,'Trips&amp;Operators'!$C$1:$G$99911,5,FALSE)</f>
        <v>GEBRETEKLE DAGNEW</v>
      </c>
      <c r="M47" s="224">
        <f t="shared" si="1"/>
        <v>2.6516203703067731E-2</v>
      </c>
      <c r="N47" s="225">
        <f t="shared" si="36"/>
        <v>38.183333332417533</v>
      </c>
      <c r="O47" s="225"/>
      <c r="P47" s="225"/>
      <c r="Q47" s="228"/>
      <c r="R47" s="242" t="s">
        <v>1100</v>
      </c>
      <c r="S47" s="249">
        <f t="shared" si="2"/>
        <v>1</v>
      </c>
      <c r="T47" s="242" t="str">
        <f t="shared" si="3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4"/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247" t="str">
        <f>IF(AA47&lt;VLOOKUP(AG47,Variables!$AC$3:$AD$8,2,FALSE),"Y","N")</f>
        <v>N</v>
      </c>
      <c r="X47" s="247">
        <f t="shared" si="35"/>
        <v>1</v>
      </c>
      <c r="Y47" s="247">
        <f t="shared" ref="Y47:Y78" si="38">RIGHT(D47,LEN(D47)-4)/10000</f>
        <v>4.6399999999999997E-2</v>
      </c>
      <c r="Z47" s="247">
        <f t="shared" si="37"/>
        <v>23.331199999999999</v>
      </c>
      <c r="AA47" s="247">
        <f t="shared" si="5"/>
        <v>23.284800000000001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6"/>
        <v>135</v>
      </c>
      <c r="AE47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47" s="234" t="str">
        <f t="shared" si="8"/>
        <v>"C:\Program Files (x86)\AstroGrep\AstroGrep.exe" /e /r /s /spath="%USERPROFILE%\AppData\Local\Temp\OnboardLogs" /stypes="app*4030*20171223*" /stext=" 15:.+((SYSTEM_STATE.+slice.+state.+changed )|(ment ac)|(multiple cpu faults)|(system.+state.+changed )|(\[timeout)|(PRM\|1\|D)|(kpr)|(kdp)|(train st.+moving)|(\|lc)|(penalty))"</v>
      </c>
      <c r="AG47" s="244" t="str">
        <f t="shared" si="9"/>
        <v>EC</v>
      </c>
      <c r="AH47" s="236" t="str">
        <f t="shared" si="29"/>
        <v>"%USERPROFILE%\Documents\GitHub\eaglep3\Utilities\RefineRTDCRunTimes.py" --tripid 135-23 --locoid 4030 --swversion DE.1.0.9.0 --startMP 204:464 --initTime 2017-12-23T07:54:02 --startdatetime 2017-12-23T08:00:36 --delay 52 --endMP 204:233312 --enddatetime 2017-12-23T08:38:47 --enforcementcount 0 &gt;&gt;%USERPROFILE%\Documents\GitHub\eaglep3-reporting\EC\2017-12-23-refined-times.txt</v>
      </c>
      <c r="AI47" s="238" t="str">
        <f t="shared" si="30"/>
        <v>echo {"issue":{"subject":"Observed unhealthy xing banner at Sable due to Wi-MAX data drop","project_id":79,"tracker_id":40,"status_id":1,"priority_id":2,"assigned_to_id":338,"start_date":"2017-12-23","description":"","custom_fields":[{"id":1,"name":"Subdivision","value":"EC"},{"id":4,"name":"Milepost","value":"23.3312"},{"id":17,"name":"Train ID","value":"135-23"},{"id":16,"name":"Locomotive ID","value":"4030"},{"id":130,"name":"Impact","value":""},{"id":150,"name":"Time of Event (Mountain Time)","value":"08:38:47"},{"id":151,"name":"Denver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31"/>
        <v>start /low /b %USERPROFILE%\Documents\GitHub\eaglep3\Utilities\DownloadLogsFromS3.py --loco 4030 --day 2017-12-23</v>
      </c>
      <c r="AN47" s="241" t="str">
        <f t="shared" si="32"/>
        <v>echo {"issue":{"subject":"Observed unhealthy xing banner at Sable due to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33"/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Message%20ID',Summary),filters:!(),index:'emp_*',interval:auto,query:(query_string:(analyze_wildcard:!t,query:'%22rtdc.l.rtdc.4030%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750</v>
      </c>
      <c r="B48" s="225">
        <v>4029</v>
      </c>
      <c r="C48" s="227" t="s">
        <v>192</v>
      </c>
      <c r="D48" s="227" t="s">
        <v>925</v>
      </c>
      <c r="E48" s="226">
        <v>43092.362256944441</v>
      </c>
      <c r="F48" s="226">
        <v>43092.373287037037</v>
      </c>
      <c r="G48" s="225">
        <v>52</v>
      </c>
      <c r="H48" s="227" t="s">
        <v>611</v>
      </c>
      <c r="I48" s="226">
        <v>43092.398101851853</v>
      </c>
      <c r="J48" s="225">
        <v>0</v>
      </c>
      <c r="K48" s="237" t="str">
        <f t="shared" si="0"/>
        <v>4029/4030</v>
      </c>
      <c r="L48" s="245" t="str">
        <f>VLOOKUP(A48,'Trips&amp;Operators'!$C$1:$G$99911,5,FALSE)</f>
        <v>GEBRETEKLE DAGNEW</v>
      </c>
      <c r="M48" s="224">
        <f t="shared" si="1"/>
        <v>2.4814814816636499E-2</v>
      </c>
      <c r="N48" s="225">
        <f t="shared" si="36"/>
        <v>35.733333335956559</v>
      </c>
      <c r="O48" s="225"/>
      <c r="P48" s="225"/>
      <c r="Q48" s="228"/>
      <c r="R48" s="242"/>
      <c r="S48" s="249">
        <f t="shared" si="2"/>
        <v>1</v>
      </c>
      <c r="T48" s="242" t="str">
        <f t="shared" si="3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4"/>
        <v>https://d0f6bd738d7f1b3e5a7ca70fe4ff75f0.us-east-1.aws.found.io/app/kibana#/discover/Steve-Slow-Train-Analysis-(2080s-and-2083s)?_g=(refreshInterval:(display:Off,pause:!f,section:0,value:0),time:(from:'2017-12-23T07:41:39-0700',mode:absolute,to:'2017-12-23T10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247" t="str">
        <f>IF(AA48&lt;VLOOKUP(AG48,Variables!$AC$3:$AD$8,2,FALSE),"Y","N")</f>
        <v>N</v>
      </c>
      <c r="X48" s="247">
        <f t="shared" si="35"/>
        <v>1</v>
      </c>
      <c r="Y48" s="247">
        <f t="shared" si="38"/>
        <v>23.299099999999999</v>
      </c>
      <c r="Z48" s="247">
        <f t="shared" si="37"/>
        <v>1.52E-2</v>
      </c>
      <c r="AA48" s="247">
        <f t="shared" si="5"/>
        <v>23.283899999999999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6"/>
        <v>136</v>
      </c>
      <c r="AE48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48" s="234" t="str">
        <f t="shared" si="8"/>
        <v>"C:\Program Files (x86)\AstroGrep\AstroGrep.exe" /e /r /s /spath="%USERPROFILE%\AppData\Local\Temp\OnboardLogs" /stypes="app*4029*20171223*" /stext=" 16:.+((SYSTEM_STATE.+slice.+state.+changed )|(ment ac)|(multiple cpu faults)|(system.+state.+changed )|(\[timeout)|(PRM\|1\|D)|(kpr)|(kdp)|(train st.+moving)|(\|lc)|(penalty))"</v>
      </c>
      <c r="AG48" s="244" t="str">
        <f t="shared" si="9"/>
        <v>EC</v>
      </c>
      <c r="AH48" s="236" t="str">
        <f t="shared" si="29"/>
        <v>"%USERPROFILE%\Documents\GitHub\eaglep3\Utilities\RefineRTDCRunTimes.py" --tripid 136-23 --locoid 4029 --swversion DE.1.0.9.0 --startMP 204:232991 --initTime 2017-12-23T08:41:39 --startdatetime 2017-12-23T08:57:32 --delay 52 --endMP 204:152 --enddatetime 2017-12-23T09:33:16 --enforcementcount 0 &gt;&gt;%USERPROFILE%\Documents\GitHub\eaglep3-reporting\EC\2017-12-23-refined-times.txt</v>
      </c>
      <c r="AI4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{"issue":{"subject":"","project_id":79,"tracker_id":40,"status_id":1,"priority_id":2,"assigned_to_id":338,"start_date":"2017-12-23","description":"","custom_fields":[{"id":1,"name":"Subdivision","value":"EC"},{"id":4,"name":"Milepost","value":"0.0152"},{"id":17,"name":"Train ID","value":"136-23"},{"id":16,"name":"Locomotive ID","value":"4029"},{"id":130,"name":"Impact","value":""},{"id":150,"name":"Time of Event (Mountain Time)","value":"09:33:16"},{"id":151,"name":"Denver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31"/>
        <v>start /low /b %USERPROFILE%\Documents\GitHub\eaglep3\Utilities\DownloadLogsFromS3.py --loco 4029 --day 2017-12-23</v>
      </c>
      <c r="AN4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33"/>
        <v>https://d0f6bd738d7f1b3e5a7ca70fe4ff75f0.us-east-1.aws.found.io/app/kibana#/discover/Steve-Slow-Train-Analysis-(2080s-and-2083s)?_g=(refreshInterval:(display:Off,pause:!f,section:0,value:0),time:(from:'2017-12-23T07:41:39-0700',mode:absolute,to:'2017-12-23T10:33:16-0700'))&amp;_a=(columns:!('Message%20ID',Summary),filters:!(),index:'emp_*',interval:auto,query:(query_string:(analyze_wildcard:!t,query:'%22rtdc.l.rtdc.4029%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745</v>
      </c>
      <c r="B49" s="225">
        <v>4034</v>
      </c>
      <c r="C49" s="227" t="s">
        <v>192</v>
      </c>
      <c r="D49" s="227" t="s">
        <v>926</v>
      </c>
      <c r="E49" s="226">
        <v>43092.338553240741</v>
      </c>
      <c r="F49" s="226">
        <v>43092.343923611108</v>
      </c>
      <c r="G49" s="225">
        <v>52</v>
      </c>
      <c r="H49" s="227" t="s">
        <v>912</v>
      </c>
      <c r="I49" s="226">
        <v>43092.367615740739</v>
      </c>
      <c r="J49" s="225">
        <v>0</v>
      </c>
      <c r="K49" s="237" t="str">
        <f t="shared" si="0"/>
        <v>4033/4034</v>
      </c>
      <c r="L49" s="245" t="str">
        <f>VLOOKUP(A49,'Trips&amp;Operators'!$C$1:$G$99911,5,FALSE)</f>
        <v>DELGADO DIANAH</v>
      </c>
      <c r="M49" s="224">
        <f t="shared" si="1"/>
        <v>2.3692129630944692E-2</v>
      </c>
      <c r="N49" s="225">
        <f t="shared" si="36"/>
        <v>34.116666668560356</v>
      </c>
      <c r="O49" s="225"/>
      <c r="P49" s="225"/>
      <c r="Q49" s="228"/>
      <c r="R49" s="242"/>
      <c r="S49" s="249">
        <f t="shared" si="2"/>
        <v>1</v>
      </c>
      <c r="T49" s="242" t="str">
        <f t="shared" si="3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4"/>
        <v>https://d0f6bd738d7f1b3e5a7ca70fe4ff75f0.us-east-1.aws.found.io/app/kibana#/discover/Steve-Slow-Train-Analysis-(2080s-and-2083s)?_g=(refreshInterval:(display:Off,pause:!f,section:0,value:0),time:(from:'2017-12-23T07:07:31-0700',mode:absolute,to:'2017-12-23T09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247" t="str">
        <f>IF(AA49&lt;VLOOKUP(AG49,Variables!$AC$3:$AD$8,2,FALSE),"Y","N")</f>
        <v>N</v>
      </c>
      <c r="X49" s="247">
        <f t="shared" si="35"/>
        <v>1</v>
      </c>
      <c r="Y49" s="247">
        <f t="shared" si="38"/>
        <v>4.4600000000000001E-2</v>
      </c>
      <c r="Z49" s="247">
        <f t="shared" si="37"/>
        <v>23.3322</v>
      </c>
      <c r="AA49" s="247">
        <f t="shared" si="5"/>
        <v>23.287600000000001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6"/>
        <v>137</v>
      </c>
      <c r="AE49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49" s="234" t="str">
        <f t="shared" si="8"/>
        <v>"C:\Program Files (x86)\AstroGrep\AstroGrep.exe" /e /r /s /spath="%USERPROFILE%\AppData\Local\Temp\OnboardLogs" /stypes="app*4034*20171223*" /stext=" 15:.+((SYSTEM_STATE.+slice.+state.+changed )|(ment ac)|(multiple cpu faults)|(system.+state.+changed )|(\[timeout)|(PRM\|1\|D)|(kpr)|(kdp)|(train st.+moving)|(\|lc)|(penalty))"</v>
      </c>
      <c r="AG49" s="244" t="str">
        <f t="shared" si="9"/>
        <v>EC</v>
      </c>
      <c r="AH49" s="236" t="str">
        <f t="shared" si="29"/>
        <v>"%USERPROFILE%\Documents\GitHub\eaglep3\Utilities\RefineRTDCRunTimes.py" --tripid 137-23 --locoid 4034 --swversion DE.1.0.9.0 --startMP 204:446 --initTime 2017-12-23T08:07:31 --startdatetime 2017-12-23T08:15:15 --delay 52 --endMP 204:233322 --enddatetime 2017-12-23T08:49:22 --enforcementcount 0 &gt;&gt;%USERPROFILE%\Documents\GitHub\eaglep3-reporting\EC\2017-12-23-refined-times.txt</v>
      </c>
      <c r="AI4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{"issue":{"subject":"","project_id":79,"tracker_id":40,"status_id":1,"priority_id":2,"assigned_to_id":338,"start_date":"2017-12-23","description":"","custom_fields":[{"id":1,"name":"Subdivision","value":"EC"},{"id":4,"name":"Milepost","value":"23.3322"},{"id":17,"name":"Train ID","value":"137-23"},{"id":16,"name":"Locomotive ID","value":"4034"},{"id":130,"name":"Impact","value":""},{"id":150,"name":"Time of Event (Mountain Time)","value":"08:49:22"},{"id":151,"name":"Denver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31"/>
        <v>start /low /b %USERPROFILE%\Documents\GitHub\eaglep3\Utilities\DownloadLogsFromS3.py --loco 4034 --day 2017-12-23</v>
      </c>
      <c r="AN4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33"/>
        <v>https://d0f6bd738d7f1b3e5a7ca70fe4ff75f0.us-east-1.aws.found.io/app/kibana#/discover/Steve-Slow-Train-Analysis-(2080s-and-2083s)?_g=(refreshInterval:(display:Off,pause:!f,section:0,value:0),time:(from:'2017-12-23T07:07:31-0700',mode:absolute,to:'2017-12-23T09:49:22-0700'))&amp;_a=(columns:!('Message%20ID',Summary),filters:!(),index:'emp_*',interval:auto,query:(query_string:(analyze_wildcard:!t,query:'%22rtdc.l.rtdc.4034%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753</v>
      </c>
      <c r="B50" s="225">
        <v>4033</v>
      </c>
      <c r="C50" s="227" t="s">
        <v>192</v>
      </c>
      <c r="D50" s="227" t="s">
        <v>927</v>
      </c>
      <c r="E50" s="226">
        <v>43092.369074074071</v>
      </c>
      <c r="F50" s="226">
        <v>43092.38349537037</v>
      </c>
      <c r="G50" s="225">
        <v>947</v>
      </c>
      <c r="H50" s="227" t="s">
        <v>561</v>
      </c>
      <c r="I50" s="226">
        <v>43092.411909722221</v>
      </c>
      <c r="J50" s="225">
        <v>0</v>
      </c>
      <c r="K50" s="237" t="str">
        <f t="shared" si="0"/>
        <v>4033/4034</v>
      </c>
      <c r="L50" s="245" t="str">
        <f>VLOOKUP(A50,'Trips&amp;Operators'!$C$1:$G$99911,5,FALSE)</f>
        <v>DELGADO DIANAH</v>
      </c>
      <c r="M50" s="224">
        <f t="shared" si="1"/>
        <v>2.8414351851097308E-2</v>
      </c>
      <c r="N50" s="225">
        <f t="shared" si="36"/>
        <v>40.916666665580124</v>
      </c>
      <c r="O50" s="225"/>
      <c r="P50" s="225"/>
      <c r="Q50" s="228"/>
      <c r="R50" s="242"/>
      <c r="S50" s="249">
        <f t="shared" si="2"/>
        <v>1</v>
      </c>
      <c r="T50" s="242" t="str">
        <f t="shared" si="3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4"/>
        <v>https://d0f6bd738d7f1b3e5a7ca70fe4ff75f0.us-east-1.aws.found.io/app/kibana#/discover/Steve-Slow-Train-Analysis-(2080s-and-2083s)?_g=(refreshInterval:(display:Off,pause:!f,section:0,value:0),time:(from:'2017-12-23T07:51:28-0700',mode:absolute,to:'2017-12-23T10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0" s="247" t="str">
        <f>IF(AA50&lt;VLOOKUP(AG50,Variables!$AC$3:$AD$8,2,FALSE),"Y","N")</f>
        <v>N</v>
      </c>
      <c r="X50" s="247">
        <f t="shared" ref="X50:X81" si="39">VALUE(LEFT(AD50,4))-VALUE(LEFT(AD49,4))</f>
        <v>1</v>
      </c>
      <c r="Y50" s="247">
        <f t="shared" si="38"/>
        <v>23.298999999999999</v>
      </c>
      <c r="Z50" s="247">
        <f t="shared" si="37"/>
        <v>1.38E-2</v>
      </c>
      <c r="AA50" s="247">
        <f t="shared" si="5"/>
        <v>23.2852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6"/>
        <v>138</v>
      </c>
      <c r="AE50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50" s="234" t="str">
        <f t="shared" si="8"/>
        <v>"C:\Program Files (x86)\AstroGrep\AstroGrep.exe" /e /r /s /spath="%USERPROFILE%\AppData\Local\Temp\OnboardLogs" /stypes="app*4033*20171223*" /stext=" 16:.+((SYSTEM_STATE.+slice.+state.+changed )|(ment ac)|(multiple cpu faults)|(system.+state.+changed )|(\[timeout)|(PRM\|1\|D)|(kpr)|(kdp)|(train st.+moving)|(\|lc)|(penalty))"</v>
      </c>
      <c r="AG50" s="244" t="str">
        <f t="shared" si="9"/>
        <v>EC</v>
      </c>
      <c r="AH50" s="236" t="str">
        <f t="shared" si="29"/>
        <v>"%USERPROFILE%\Documents\GitHub\eaglep3\Utilities\RefineRTDCRunTimes.py" --tripid 138-23 --locoid 4033 --swversion DE.1.0.9.0 --startMP 204:232990 --initTime 2017-12-23T08:51:28 --startdatetime 2017-12-23T09:12:14 --delay 947 --endMP 204:138 --enddatetime 2017-12-23T09:53:09 --enforcementcount 0 &gt;&gt;%USERPROFILE%\Documents\GitHub\eaglep3-reporting\EC\2017-12-23-refined-times.txt</v>
      </c>
      <c r="AI5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{"issue":{"subject":"","project_id":79,"tracker_id":40,"status_id":1,"priority_id":2,"assigned_to_id":338,"start_date":"2017-12-23","description":"","custom_fields":[{"id":1,"name":"Subdivision","value":"EC"},{"id":4,"name":"Milepost","value":"0.0138"},{"id":17,"name":"Train ID","value":"138-23"},{"id":16,"name":"Locomotive ID","value":"4033"},{"id":130,"name":"Impact","value":""},{"id":150,"name":"Time of Event (Mountain Time)","value":"09:53:09"},{"id":151,"name":"Denver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31"/>
        <v>start /low /b %USERPROFILE%\Documents\GitHub\eaglep3\Utilities\DownloadLogsFromS3.py --loco 4033 --day 2017-12-23</v>
      </c>
      <c r="AN5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33"/>
        <v>https://d0f6bd738d7f1b3e5a7ca70fe4ff75f0.us-east-1.aws.found.io/app/kibana#/discover/Steve-Slow-Train-Analysis-(2080s-and-2083s)?_g=(refreshInterval:(display:Off,pause:!f,section:0,value:0),time:(from:'2017-12-23T07:51:28-0700',mode:absolute,to:'2017-12-23T10:53:09-0700'))&amp;_a=(columns:!('Message%20ID',Summary),filters:!(),index:'emp_*',interval:auto,query:(query_string:(analyze_wildcard:!t,query:'%22rtdc.l.rtdc.4033%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749</v>
      </c>
      <c r="B51" s="225">
        <v>4002</v>
      </c>
      <c r="C51" s="227" t="s">
        <v>192</v>
      </c>
      <c r="D51" s="227" t="s">
        <v>552</v>
      </c>
      <c r="E51" s="226">
        <v>43092.352222222224</v>
      </c>
      <c r="F51" s="226">
        <v>43092.354398148149</v>
      </c>
      <c r="G51" s="225">
        <v>50</v>
      </c>
      <c r="H51" s="227" t="s">
        <v>904</v>
      </c>
      <c r="I51" s="226">
        <v>43092.379363425927</v>
      </c>
      <c r="J51" s="225">
        <v>0</v>
      </c>
      <c r="K51" s="237" t="str">
        <f t="shared" si="0"/>
        <v>4001/4002</v>
      </c>
      <c r="L51" s="245" t="str">
        <f>VLOOKUP(A51,'Trips&amp;Operators'!$C$1:$G$99911,5,FALSE)</f>
        <v>THOMPSON LESTER</v>
      </c>
      <c r="M51" s="224">
        <f t="shared" si="1"/>
        <v>2.4965277778392192E-2</v>
      </c>
      <c r="N51" s="225">
        <f t="shared" si="36"/>
        <v>35.950000000884756</v>
      </c>
      <c r="O51" s="225"/>
      <c r="P51" s="225"/>
      <c r="Q51" s="228"/>
      <c r="R51" s="242"/>
      <c r="S51" s="249">
        <f t="shared" si="2"/>
        <v>1</v>
      </c>
      <c r="T51" s="242" t="str">
        <f t="shared" si="3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4"/>
        <v>https://d0f6bd738d7f1b3e5a7ca70fe4ff75f0.us-east-1.aws.found.io/app/kibana#/discover/Steve-Slow-Train-Analysis-(2080s-and-2083s)?_g=(refreshInterval:(display:Off,pause:!f,section:0,value:0),time:(from:'2017-12-23T07:27:12-0700',mode:absolute,to:'2017-12-23T10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47" t="str">
        <f>IF(AA51&lt;VLOOKUP(AG51,Variables!$AC$3:$AD$8,2,FALSE),"Y","N")</f>
        <v>N</v>
      </c>
      <c r="X51" s="247">
        <f t="shared" si="39"/>
        <v>1</v>
      </c>
      <c r="Y51" s="247">
        <f t="shared" si="38"/>
        <v>4.9700000000000001E-2</v>
      </c>
      <c r="Z51" s="247">
        <f t="shared" si="37"/>
        <v>23.330400000000001</v>
      </c>
      <c r="AA51" s="247">
        <f t="shared" si="5"/>
        <v>23.2807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6"/>
        <v>139</v>
      </c>
      <c r="AE51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51" s="234" t="str">
        <f t="shared" si="8"/>
        <v>"C:\Program Files (x86)\AstroGrep\AstroGrep.exe" /e /r /s /spath="%USERPROFILE%\AppData\Local\Temp\OnboardLogs" /stypes="app*4002*20171223*" /stext=" 16:.+((SYSTEM_STATE.+slice.+state.+changed )|(ment ac)|(multiple cpu faults)|(system.+state.+changed )|(\[timeout)|(PRM\|1\|D)|(kpr)|(kdp)|(train st.+moving)|(\|lc)|(penalty))"</v>
      </c>
      <c r="AG51" s="244" t="str">
        <f t="shared" si="9"/>
        <v>EC</v>
      </c>
      <c r="AH51" s="236" t="str">
        <f t="shared" si="29"/>
        <v>"%USERPROFILE%\Documents\GitHub\eaglep3\Utilities\RefineRTDCRunTimes.py" --tripid 139-23 --locoid 4002 --swversion DE.1.0.9.0 --startMP 204:497 --initTime 2017-12-23T08:27:12 --startdatetime 2017-12-23T08:30:20 --delay 50 --endMP 204:233304 --enddatetime 2017-12-23T09:06:17 --enforcementcount 0 &gt;&gt;%USERPROFILE%\Documents\GitHub\eaglep3-reporting\EC\2017-12-23-refined-times.txt</v>
      </c>
      <c r="AI5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ID","value":"139-23"},{"id":16,"name":"Locomotive ID","value":"4002"},{"id":130,"name":"Impact","value":""},{"id":150,"name":"Time of Event (Mountain Time)","value":"09:06:17"},{"id":151,"name":"Denver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31"/>
        <v>start /low /b %USERPROFILE%\Documents\GitHub\eaglep3\Utilities\DownloadLogsFromS3.py --loco 4002 --day 2017-12-23</v>
      </c>
      <c r="AN5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33"/>
        <v>https://d0f6bd738d7f1b3e5a7ca70fe4ff75f0.us-east-1.aws.found.io/app/kibana#/discover/Steve-Slow-Train-Analysis-(2080s-and-2083s)?_g=(refreshInterval:(display:Off,pause:!f,section:0,value:0),time:(from:'2017-12-23T07:27:12-0700',mode:absolute,to:'2017-12-23T10:06:17-0700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757</v>
      </c>
      <c r="B52" s="225">
        <v>4001</v>
      </c>
      <c r="C52" s="227" t="s">
        <v>192</v>
      </c>
      <c r="D52" s="227" t="s">
        <v>928</v>
      </c>
      <c r="E52" s="226">
        <v>43092.392222222225</v>
      </c>
      <c r="F52" s="226">
        <v>43092.393993055557</v>
      </c>
      <c r="G52" s="225">
        <v>56</v>
      </c>
      <c r="H52" s="227" t="s">
        <v>895</v>
      </c>
      <c r="I52" s="226">
        <v>43092.423333333332</v>
      </c>
      <c r="J52" s="225">
        <v>0</v>
      </c>
      <c r="K52" s="237" t="str">
        <f t="shared" si="0"/>
        <v>4001/4002</v>
      </c>
      <c r="L52" s="245" t="str">
        <f>VLOOKUP(A52,'Trips&amp;Operators'!$C$1:$G$99911,5,FALSE)</f>
        <v>THOMPSON LESTER</v>
      </c>
      <c r="M52" s="224">
        <f t="shared" si="1"/>
        <v>2.9340277775190771E-2</v>
      </c>
      <c r="N52" s="225">
        <f t="shared" si="36"/>
        <v>42.24999999627471</v>
      </c>
      <c r="O52" s="225"/>
      <c r="P52" s="225"/>
      <c r="Q52" s="228"/>
      <c r="R52" s="242"/>
      <c r="S52" s="249">
        <f t="shared" si="2"/>
        <v>1</v>
      </c>
      <c r="T52" s="242" t="str">
        <f t="shared" si="3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4"/>
        <v>https://d0f6bd738d7f1b3e5a7ca70fe4ff75f0.us-east-1.aws.found.io/app/kibana#/discover/Steve-Slow-Train-Analysis-(2080s-and-2083s)?_g=(refreshInterval:(display:Off,pause:!f,section:0,value:0),time:(from:'2017-12-23T08:24:48-0700',mode:absolute,to:'2017-12-23T11:09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47" t="str">
        <f>IF(AA52&lt;VLOOKUP(AG52,Variables!$AC$3:$AD$8,2,FALSE),"Y","N")</f>
        <v>N</v>
      </c>
      <c r="X52" s="247">
        <f t="shared" si="39"/>
        <v>1</v>
      </c>
      <c r="Y52" s="247">
        <f t="shared" si="38"/>
        <v>23.298300000000001</v>
      </c>
      <c r="Z52" s="247">
        <f t="shared" si="37"/>
        <v>1.7999999999999999E-2</v>
      </c>
      <c r="AA52" s="247">
        <f t="shared" si="5"/>
        <v>23.2803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6"/>
        <v>140</v>
      </c>
      <c r="AE52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52" s="234" t="str">
        <f t="shared" si="8"/>
        <v>"C:\Program Files (x86)\AstroGrep\AstroGrep.exe" /e /r /s /spath="%USERPROFILE%\AppData\Local\Temp\OnboardLogs" /stypes="app*4001*20171223*" /stext=" 17:.+((SYSTEM_STATE.+slice.+state.+changed )|(ment ac)|(multiple cpu faults)|(system.+state.+changed )|(\[timeout)|(PRM\|1\|D)|(kpr)|(kdp)|(train st.+moving)|(\|lc)|(penalty))"</v>
      </c>
      <c r="AG52" s="244" t="str">
        <f t="shared" si="9"/>
        <v>EC</v>
      </c>
      <c r="AH52" s="236" t="str">
        <f t="shared" si="29"/>
        <v>"%USERPROFILE%\Documents\GitHub\eaglep3\Utilities\RefineRTDCRunTimes.py" --tripid 140-23 --locoid 4001 --swversion DE.1.0.9.0 --startMP 204:232983 --initTime 2017-12-23T09:24:48 --startdatetime 2017-12-23T09:27:21 --delay 56 --endMP 204:180 --enddatetime 2017-12-23T10:09:36 --enforcementcount 0 &gt;&gt;%USERPROFILE%\Documents\GitHub\eaglep3-reporting\EC\2017-12-23-refined-times.txt</v>
      </c>
      <c r="AI5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{"issue":{"subject":"","project_id":79,"tracker_id":40,"status_id":1,"priority_id":2,"assigned_to_id":338,"start_date":"2017-12-23","description":"","custom_fields":[{"id":1,"name":"Subdivision","value":"EC"},{"id":4,"name":"Milepost","value":"0.018"},{"id":17,"name":"Train ID","value":"140-23"},{"id":16,"name":"Locomotive ID","value":"4001"},{"id":130,"name":"Impact","value":""},{"id":150,"name":"Time of Event (Mountain Time)","value":"10:09:36"},{"id":151,"name":"Denver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31"/>
        <v>start /low /b %USERPROFILE%\Documents\GitHub\eaglep3\Utilities\DownloadLogsFromS3.py --loco 4001 --day 2017-12-23</v>
      </c>
      <c r="AN5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33"/>
        <v>https://d0f6bd738d7f1b3e5a7ca70fe4ff75f0.us-east-1.aws.found.io/app/kibana#/discover/Steve-Slow-Train-Analysis-(2080s-and-2083s)?_g=(refreshInterval:(display:Off,pause:!f,section:0,value:0),time:(from:'2017-12-23T08:24:48-0700',mode:absolute,to:'2017-12-23T11:09:36-0700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751</v>
      </c>
      <c r="B53" s="225">
        <v>4052</v>
      </c>
      <c r="C53" s="227" t="s">
        <v>192</v>
      </c>
      <c r="D53" s="227" t="s">
        <v>625</v>
      </c>
      <c r="E53" s="226">
        <v>43092.363865740743</v>
      </c>
      <c r="F53" s="226">
        <v>43092.364999999998</v>
      </c>
      <c r="G53" s="225">
        <v>51</v>
      </c>
      <c r="H53" s="227" t="s">
        <v>929</v>
      </c>
      <c r="I53" s="226">
        <v>43092.388564814813</v>
      </c>
      <c r="J53" s="225">
        <v>0</v>
      </c>
      <c r="K53" s="237" t="str">
        <f t="shared" si="0"/>
        <v>4051/4052</v>
      </c>
      <c r="L53" s="245" t="str">
        <f>VLOOKUP(A53,'Trips&amp;Operators'!$C$1:$G$99911,5,FALSE)</f>
        <v>MACDONALD THOMAS</v>
      </c>
      <c r="M53" s="224">
        <f t="shared" si="1"/>
        <v>2.3564814815472346E-2</v>
      </c>
      <c r="N53" s="225">
        <f t="shared" si="36"/>
        <v>33.933333334280178</v>
      </c>
      <c r="O53" s="225"/>
      <c r="P53" s="225"/>
      <c r="Q53" s="228"/>
      <c r="R53" s="242"/>
      <c r="S53" s="249">
        <f t="shared" si="2"/>
        <v>1</v>
      </c>
      <c r="T53" s="242" t="str">
        <f t="shared" si="3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4"/>
        <v>https://d0f6bd738d7f1b3e5a7ca70fe4ff75f0.us-east-1.aws.found.io/app/kibana#/discover/Steve-Slow-Train-Analysis-(2080s-and-2083s)?_g=(refreshInterval:(display:Off,pause:!f,section:0,value:0),time:(from:'2017-12-23T07:43:58-0700',mode:absolute,to:'2017-12-23T10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3" s="247" t="str">
        <f>IF(AA53&lt;VLOOKUP(AG53,Variables!$AC$3:$AD$8,2,FALSE),"Y","N")</f>
        <v>N</v>
      </c>
      <c r="X53" s="247">
        <f t="shared" si="39"/>
        <v>1</v>
      </c>
      <c r="Y53" s="247">
        <f t="shared" si="38"/>
        <v>5.6599999999999998E-2</v>
      </c>
      <c r="Z53" s="247">
        <f t="shared" si="37"/>
        <v>23.328800000000001</v>
      </c>
      <c r="AA53" s="247">
        <f t="shared" si="5"/>
        <v>23.272200000000002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6"/>
        <v>141</v>
      </c>
      <c r="AE53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53" s="234" t="str">
        <f t="shared" si="8"/>
        <v>"C:\Program Files (x86)\AstroGrep\AstroGrep.exe" /e /r /s /spath="%USERPROFILE%\AppData\Local\Temp\OnboardLogs" /stypes="app*4052*20171223*" /stext=" 16:.+((SYSTEM_STATE.+slice.+state.+changed )|(ment ac)|(multiple cpu faults)|(system.+state.+changed )|(\[timeout)|(PRM\|1\|D)|(kpr)|(kdp)|(train st.+moving)|(\|lc)|(penalty))"</v>
      </c>
      <c r="AG53" s="244" t="str">
        <f t="shared" si="9"/>
        <v>EC</v>
      </c>
      <c r="AH53" s="236" t="str">
        <f t="shared" si="29"/>
        <v>"%USERPROFILE%\Documents\GitHub\eaglep3\Utilities\RefineRTDCRunTimes.py" --tripid 141-23 --locoid 4052 --swversion DE.1.0.9.0 --startMP 204:566 --initTime 2017-12-23T08:43:58 --startdatetime 2017-12-23T08:45:36 --delay 51 --endMP 204:233288 --enddatetime 2017-12-23T09:19:32 --enforcementcount 0 &gt;&gt;%USERPROFILE%\Documents\GitHub\eaglep3-reporting\EC\2017-12-23-refined-times.txt</v>
      </c>
      <c r="AI5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{"issue":{"subject":"","project_id":79,"tracker_id":40,"status_id":1,"priority_id":2,"assigned_to_id":338,"start_date":"2017-12-23","description":"","custom_fields":[{"id":1,"name":"Subdivision","value":"EC"},{"id":4,"name":"Milepost","value":"23.3288"},{"id":17,"name":"Train ID","value":"141-23"},{"id":16,"name":"Locomotive ID","value":"4052"},{"id":130,"name":"Impact","value":""},{"id":150,"name":"Time of Event (Mountain Time)","value":"09:19:32"},{"id":151,"name":"Denver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31"/>
        <v>start /low /b %USERPROFILE%\Documents\GitHub\eaglep3\Utilities\DownloadLogsFromS3.py --loco 4052 --day 2017-12-23</v>
      </c>
      <c r="AN5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33"/>
        <v>https://d0f6bd738d7f1b3e5a7ca70fe4ff75f0.us-east-1.aws.found.io/app/kibana#/discover/Steve-Slow-Train-Analysis-(2080s-and-2083s)?_g=(refreshInterval:(display:Off,pause:!f,section:0,value:0),time:(from:'2017-12-23T07:43:58-0700',mode:absolute,to:'2017-12-23T10:19:32-0700'))&amp;_a=(columns:!('Message%20ID',Summary),filters:!(),index:'emp_*',interval:auto,query:(query_string:(analyze_wildcard:!t,query:'%22rtdc.l.rtdc.4052%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758</v>
      </c>
      <c r="B54" s="225">
        <v>4051</v>
      </c>
      <c r="C54" s="227" t="s">
        <v>192</v>
      </c>
      <c r="D54" s="227" t="s">
        <v>566</v>
      </c>
      <c r="E54" s="226">
        <v>43092.394189814811</v>
      </c>
      <c r="F54" s="226">
        <v>43092.405474537038</v>
      </c>
      <c r="G54" s="225">
        <v>67</v>
      </c>
      <c r="H54" s="227" t="s">
        <v>923</v>
      </c>
      <c r="I54" s="226">
        <v>43092.431770833333</v>
      </c>
      <c r="J54" s="225">
        <v>0</v>
      </c>
      <c r="K54" s="237" t="str">
        <f t="shared" si="0"/>
        <v>4051/4052</v>
      </c>
      <c r="L54" s="245" t="str">
        <f>VLOOKUP(A54,'Trips&amp;Operators'!$C$1:$G$99911,5,FALSE)</f>
        <v>MACDONALD THOMAS</v>
      </c>
      <c r="M54" s="224">
        <f t="shared" si="1"/>
        <v>2.6296296295186039E-2</v>
      </c>
      <c r="N54" s="225">
        <f t="shared" si="36"/>
        <v>37.866666665067896</v>
      </c>
      <c r="O54" s="225"/>
      <c r="P54" s="225"/>
      <c r="Q54" s="228"/>
      <c r="R54" s="242"/>
      <c r="S54" s="249">
        <f t="shared" si="2"/>
        <v>1</v>
      </c>
      <c r="T54" s="242" t="str">
        <f t="shared" si="3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4"/>
        <v>https://d0f6bd738d7f1b3e5a7ca70fe4ff75f0.us-east-1.aws.found.io/app/kibana#/discover/Steve-Slow-Train-Analysis-(2080s-and-2083s)?_g=(refreshInterval:(display:Off,pause:!f,section:0,value:0),time:(from:'2017-12-23T08:27:38-0700',mode:absolute,to:'2017-12-23T11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4" s="247" t="str">
        <f>IF(AA54&lt;VLOOKUP(AG54,Variables!$AC$3:$AD$8,2,FALSE),"Y","N")</f>
        <v>N</v>
      </c>
      <c r="X54" s="247">
        <f t="shared" si="39"/>
        <v>1</v>
      </c>
      <c r="Y54" s="247">
        <f t="shared" si="38"/>
        <v>23.294799999999999</v>
      </c>
      <c r="Z54" s="247">
        <f t="shared" si="37"/>
        <v>2.29E-2</v>
      </c>
      <c r="AA54" s="247">
        <f t="shared" si="5"/>
        <v>23.271899999999999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6"/>
        <v>142</v>
      </c>
      <c r="AE54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54" s="234" t="str">
        <f t="shared" si="8"/>
        <v>"C:\Program Files (x86)\AstroGrep\AstroGrep.exe" /e /r /s /spath="%USERPROFILE%\AppData\Local\Temp\OnboardLogs" /stypes="app*4051*20171223*" /stext=" 17:.+((SYSTEM_STATE.+slice.+state.+changed )|(ment ac)|(multiple cpu faults)|(system.+state.+changed )|(\[timeout)|(PRM\|1\|D)|(kpr)|(kdp)|(train st.+moving)|(\|lc)|(penalty))"</v>
      </c>
      <c r="AG54" s="244" t="str">
        <f t="shared" si="9"/>
        <v>EC</v>
      </c>
      <c r="AH54" s="236" t="str">
        <f t="shared" si="29"/>
        <v>"%USERPROFILE%\Documents\GitHub\eaglep3\Utilities\RefineRTDCRunTimes.py" --tripid 142-23 --locoid 4051 --swversion DE.1.0.9.0 --startMP 204:232948 --initTime 2017-12-23T09:27:38 --startdatetime 2017-12-23T09:43:53 --delay 67 --endMP 204:229 --enddatetime 2017-12-23T10:21:45 --enforcementcount 0 &gt;&gt;%USERPROFILE%\Documents\GitHub\eaglep3-reporting\EC\2017-12-23-refined-times.txt</v>
      </c>
      <c r="AI5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ID","value":"142-23"},{"id":16,"name":"Locomotive ID","value":"4051"},{"id":130,"name":"Impact","value":""},{"id":150,"name":"Time of Event (Mountain Time)","value":"10:21:45"},{"id":151,"name":"Denver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31"/>
        <v>start /low /b %USERPROFILE%\Documents\GitHub\eaglep3\Utilities\DownloadLogsFromS3.py --loco 4051 --day 2017-12-23</v>
      </c>
      <c r="AN5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33"/>
        <v>https://d0f6bd738d7f1b3e5a7ca70fe4ff75f0.us-east-1.aws.found.io/app/kibana#/discover/Steve-Slow-Train-Analysis-(2080s-and-2083s)?_g=(refreshInterval:(display:Off,pause:!f,section:0,value:0),time:(from:'2017-12-23T08:27:38-0700',mode:absolute,to:'2017-12-23T11:21:45-0700'))&amp;_a=(columns:!('Message%20ID',Summary),filters:!(),index:'emp_*',interval:auto,query:(query_string:(analyze_wildcard:!t,query:'%22rtdc.l.rtdc.4051%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663</v>
      </c>
      <c r="B55" s="225">
        <v>4016</v>
      </c>
      <c r="C55" s="227" t="s">
        <v>192</v>
      </c>
      <c r="D55" s="227" t="s">
        <v>535</v>
      </c>
      <c r="E55" s="226">
        <v>43092.370706018519</v>
      </c>
      <c r="F55" s="226">
        <v>43092.38858796296</v>
      </c>
      <c r="G55" s="225">
        <v>53</v>
      </c>
      <c r="H55" s="227" t="s">
        <v>930</v>
      </c>
      <c r="I55" s="226">
        <v>43092.404236111113</v>
      </c>
      <c r="J55" s="225">
        <v>0</v>
      </c>
      <c r="K55" s="237" t="str">
        <f t="shared" si="0"/>
        <v>4015/4016</v>
      </c>
      <c r="L55" s="245" t="str">
        <f>VLOOKUP(A55,'Trips&amp;Operators'!$C$1:$G$99911,5,FALSE)</f>
        <v>MAELZER KURT</v>
      </c>
      <c r="M55" s="224">
        <f t="shared" si="1"/>
        <v>1.5648148153559305E-2</v>
      </c>
      <c r="N55" s="225"/>
      <c r="O55" s="225"/>
      <c r="P55" s="225">
        <f>24*60*SUM($M55:$M55)</f>
        <v>22.533333341125399</v>
      </c>
      <c r="Q55" s="228"/>
      <c r="R55" s="242" t="s">
        <v>468</v>
      </c>
      <c r="S55" s="249">
        <f>1/IF(AG55="EC",12,1)*SUM(U55:U55+U56)</f>
        <v>0.83333333333333326</v>
      </c>
      <c r="T55" s="242" t="str">
        <f t="shared" si="3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7</v>
      </c>
      <c r="V55" s="248" t="str">
        <f t="shared" si="4"/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247" t="str">
        <f>IF(AA55&lt;VLOOKUP(AG55,Variables!$AC$3:$AD$8,2,FALSE),"Y","N")</f>
        <v>Y</v>
      </c>
      <c r="X55" s="247">
        <f t="shared" si="39"/>
        <v>1</v>
      </c>
      <c r="Y55" s="247">
        <f t="shared" si="38"/>
        <v>4.7800000000000002E-2</v>
      </c>
      <c r="Z55" s="247">
        <f t="shared" si="37"/>
        <v>5.8691000000000004</v>
      </c>
      <c r="AA55" s="247">
        <f t="shared" si="5"/>
        <v>5.8213000000000008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6"/>
        <v>143</v>
      </c>
      <c r="AE55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55" s="234" t="str">
        <f t="shared" si="8"/>
        <v>"C:\Program Files (x86)\AstroGrep\AstroGrep.exe" /e /r /s /spath="%USERPROFILE%\AppData\Local\Temp\OnboardLogs" /stypes="app*4016*20171223*" /stext=" 16:.+((SYSTEM_STATE.+slice.+state.+changed )|(ment ac)|(multiple cpu faults)|(system.+state.+changed )|(\[timeout)|(PRM\|1\|D)|(kpr)|(kdp)|(train st.+moving)|(\|lc)|(penalty))"</v>
      </c>
      <c r="AG55" s="244" t="str">
        <f t="shared" si="9"/>
        <v>EC</v>
      </c>
      <c r="AH55" s="236" t="str">
        <f t="shared" si="29"/>
        <v>"%USERPROFILE%\Documents\GitHub\eaglep3\Utilities\RefineRTDCRunTimes.py" --tripid 143-23 --locoid 4016 --swversion DE.1.0.9.0 --startMP 204:478 --initTime 2017-12-23T08:53:49 --startdatetime 2017-12-23T09:19:34 --delay 53 --endMP 204:58691 --enddatetime 2017-12-23T09:42:06 --enforcementcount 0 &gt;&gt;%USERPROFILE%\Documents\GitHub\eaglep3-reporting\EC\2017-12-23-refined-times.txt</v>
      </c>
      <c r="AI55" s="238" t="str">
        <f t="shared" si="30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drop","project_id":79,"tracker_id":40,"status_id":1,"priority_id":2,"assigned_to_id":338,"start_date":"2017-12-23","description":"","custom_fields":[{"id":1,"name":"Subdivision","value":"EC"},{"id":4,"name":"Milepost","value":"5.8691"},{"id":17,"name":"Train ID","value":"143-23"},{"id":16,"name":"Locomotive ID","value":"4016"},{"id":130,"name":"Impact","value":""},{"id":150,"name":"Time of Event (Mountain Time)","value":"09:42:06"},{"id":151,"name":"Denver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31"/>
        <v>start /low /b %USERPROFILE%\Documents\GitHub\eaglep3\Utilities\DownloadLogsFromS3.py --loco 4016 --day 2017-12-23</v>
      </c>
      <c r="AN55" s="241" t="str">
        <f t="shared" si="32"/>
        <v>echo {"issue":{"subject":"Wi-MAX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16:42:06"},{"id":29,"name":"Sharepoint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33"/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Message%20ID',Summary),filters:!(),index:'emp_*',interval:auto,query:(query_string:(analyze_wildcard:!t,query:'%22rtdc.l.rtdc.4016%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663</v>
      </c>
      <c r="B56" s="225">
        <v>4016</v>
      </c>
      <c r="C56" s="227" t="s">
        <v>192</v>
      </c>
      <c r="D56" s="227" t="s">
        <v>931</v>
      </c>
      <c r="E56" s="226">
        <v>43092.387523148151</v>
      </c>
      <c r="F56" s="226">
        <v>43092.38858796296</v>
      </c>
      <c r="G56" s="225">
        <v>51</v>
      </c>
      <c r="H56" s="227" t="s">
        <v>531</v>
      </c>
      <c r="I56" s="226">
        <v>43092.404236111113</v>
      </c>
      <c r="J56" s="225">
        <v>0</v>
      </c>
      <c r="K56" s="237" t="str">
        <f t="shared" si="0"/>
        <v>4015/4016</v>
      </c>
      <c r="L56" s="245" t="str">
        <f>VLOOKUP(A56,'Trips&amp;Operators'!$C$1:$G$99911,5,FALSE)</f>
        <v>MAELZER KURT</v>
      </c>
      <c r="M56" s="224">
        <f t="shared" si="1"/>
        <v>1.5648148153559305E-2</v>
      </c>
      <c r="N56" s="225"/>
      <c r="O56" s="225"/>
      <c r="P56" s="225"/>
      <c r="Q56" s="228"/>
      <c r="R56" s="242"/>
      <c r="S56" s="249"/>
      <c r="T56" s="242" t="str">
        <f t="shared" si="3"/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248" t="str">
        <f t="shared" si="4"/>
        <v>https://d0f6bd738d7f1b3e5a7ca70fe4ff75f0.us-east-1.aws.found.io/app/kibana#/discover/Steve-Slow-Train-Analysis-(2080s-and-2083s)?_g=(refreshInterval:(display:Off,pause:!f,section:0,value:0),time:(from:'2017-12-23T08:18:02-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247" t="str">
        <f>IF(AA56&lt;VLOOKUP(AG56,Variables!$AC$3:$AD$8,2,FALSE),"Y","N")</f>
        <v>Y</v>
      </c>
      <c r="X56" s="247">
        <f t="shared" si="39"/>
        <v>0</v>
      </c>
      <c r="Y56" s="247">
        <f t="shared" si="38"/>
        <v>6.4687999999999999</v>
      </c>
      <c r="Z56" s="247">
        <f t="shared" si="37"/>
        <v>23.329499999999999</v>
      </c>
      <c r="AA56" s="247">
        <f t="shared" si="5"/>
        <v>16.860700000000001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6"/>
        <v>143</v>
      </c>
      <c r="AE56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56" s="234" t="str">
        <f t="shared" si="8"/>
        <v>"C:\Program Files (x86)\AstroGrep\AstroGrep.exe" /e /r /s /spath="%USERPROFILE%\AppData\Local\Temp\OnboardLogs" /stypes="app*4016*20171223*" /stext=" 16:.+((SYSTEM_STATE.+slice.+state.+changed )|(ment ac)|(multiple cpu faults)|(system.+state.+changed )|(\[timeout)|(PRM\|1\|D)|(kpr)|(kdp)|(train st.+moving)|(\|lc)|(penalty))"</v>
      </c>
      <c r="AG56" s="244" t="str">
        <f t="shared" si="9"/>
        <v>EC</v>
      </c>
      <c r="AH56" s="236" t="str">
        <f t="shared" si="29"/>
        <v>"%USERPROFILE%\Documents\GitHub\eaglep3\Utilities\RefineRTDCRunTimes.py" --tripid 143-23 --locoid 4016 --swversion DE.1.0.9.0 --startMP 204:64688 --initTime 2017-12-23T09:18:02 --startdatetime 2017-12-23T09:19:34 --delay 51 --endMP 204:233295 --enddatetime 2017-12-23T09:42:06 --enforcementcount 0 &gt;&gt;%USERPROFILE%\Documents\GitHub\eaglep3-reporting\EC\2017-12-23-refined-times.txt</v>
      </c>
      <c r="AI5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{"issue":{"subject":"","project_id":79,"tracker_id":40,"status_id":1,"priority_id":2,"assigned_to_id":338,"start_date":"2017-12-23","description":"","custom_fields":[{"id":1,"name":"Subdivision","value":"EC"},{"id":4,"name":"Milepost","value":"23.3295"},{"id":17,"name":"Train ID","value":"143-23"},{"id":16,"name":"Locomotive ID","value":"4016"},{"id":130,"name":"Impact","value":""},{"id":150,"name":"Time of Event (Mountain Time)","value":"09:42:06"},{"id":151,"name":"Denver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31"/>
        <v>start /low /b %USERPROFILE%\Documents\GitHub\eaglep3\Utilities\DownloadLogsFromS3.py --loco 4016 --day 2017-12-23</v>
      </c>
      <c r="AN5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16:42:06"},{"id":29,"name":"Sharepoint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33"/>
        <v>https://d0f6bd738d7f1b3e5a7ca70fe4ff75f0.us-east-1.aws.found.io/app/kibana#/discover/Steve-Slow-Train-Analysis-(2080s-and-2083s)?_g=(refreshInterval:(display:Off,pause:!f,section:0,value:0),time:(from:'2017-12-23T08:18:02-0700',mode:absolute,to:'2017-12-23T10:42:06-0700'))&amp;_a=(columns:!('Message%20ID',Summary),filters:!(),index:'emp_*',interval:auto,query:(query_string:(analyze_wildcard:!t,query:'%22rtdc.l.rtdc.4016%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760</v>
      </c>
      <c r="B57" s="225">
        <v>4015</v>
      </c>
      <c r="C57" s="227" t="s">
        <v>192</v>
      </c>
      <c r="D57" s="227" t="s">
        <v>932</v>
      </c>
      <c r="E57" s="226">
        <v>43092.410231481481</v>
      </c>
      <c r="F57" s="226">
        <v>43092.414965277778</v>
      </c>
      <c r="G57" s="225">
        <v>51</v>
      </c>
      <c r="H57" s="227" t="s">
        <v>522</v>
      </c>
      <c r="I57" s="226">
        <v>43092.440706018519</v>
      </c>
      <c r="J57" s="225">
        <v>0</v>
      </c>
      <c r="K57" s="237" t="str">
        <f t="shared" si="0"/>
        <v>4015/4016</v>
      </c>
      <c r="L57" s="245" t="str">
        <f>VLOOKUP(A57,'Trips&amp;Operators'!$C$1:$G$99911,5,FALSE)</f>
        <v>MAELZER KURT</v>
      </c>
      <c r="M57" s="224">
        <f t="shared" si="1"/>
        <v>2.5740740740729962E-2</v>
      </c>
      <c r="N57" s="225">
        <f t="shared" ref="N57:N69" si="40">24*60*SUM($M57:$M57)</f>
        <v>37.066666666651145</v>
      </c>
      <c r="O57" s="225"/>
      <c r="P57" s="225"/>
      <c r="Q57" s="228"/>
      <c r="R57" s="242"/>
      <c r="S57" s="249">
        <f t="shared" ref="S57:S68" si="41">1/IF(AG57="EC",12,1)*SUM(U57:U57)</f>
        <v>1</v>
      </c>
      <c r="T57" s="242" t="str">
        <f t="shared" si="3"/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4"/>
        <v>https://d0f6bd738d7f1b3e5a7ca70fe4ff75f0.us-east-1.aws.found.io/app/kibana#/discover/Steve-Slow-Train-Analysis-(2080s-and-2083s)?_g=(refreshInterval:(display:Off,pause:!f,section:0,value:0),time:(from:'2017-12-23T08:50:44-0700',mode:absolute,to:'2017-12-23T11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247" t="str">
        <f>IF(AA57&lt;VLOOKUP(AG57,Variables!$AC$3:$AD$8,2,FALSE),"Y","N")</f>
        <v>N</v>
      </c>
      <c r="X57" s="247">
        <f t="shared" si="39"/>
        <v>1</v>
      </c>
      <c r="Y57" s="247">
        <f t="shared" si="38"/>
        <v>23.299399999999999</v>
      </c>
      <c r="Z57" s="247">
        <f t="shared" si="37"/>
        <v>1.78E-2</v>
      </c>
      <c r="AA57" s="247">
        <f t="shared" si="5"/>
        <v>23.281599999999997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6"/>
        <v>144</v>
      </c>
      <c r="AE57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57" s="234" t="str">
        <f t="shared" si="8"/>
        <v>"C:\Program Files (x86)\AstroGrep\AstroGrep.exe" /e /r /s /spath="%USERPROFILE%\AppData\Local\Temp\OnboardLogs" /stypes="app*4015*20171223*" /stext=" 17:.+((SYSTEM_STATE.+slice.+state.+changed )|(ment ac)|(multiple cpu faults)|(system.+state.+changed )|(\[timeout)|(PRM\|1\|D)|(kpr)|(kdp)|(train st.+moving)|(\|lc)|(penalty))"</v>
      </c>
      <c r="AG57" s="244" t="str">
        <f t="shared" si="9"/>
        <v>EC</v>
      </c>
      <c r="AH57" s="236" t="str">
        <f t="shared" si="29"/>
        <v>"%USERPROFILE%\Documents\GitHub\eaglep3\Utilities\RefineRTDCRunTimes.py" --tripid 144-23 --locoid 4015 --swversion DE.1.0.9.0 --startMP 204:232994 --initTime 2017-12-23T09:50:44 --startdatetime 2017-12-23T09:57:33 --delay 51 --endMP 204:178 --enddatetime 2017-12-23T10:34:37 --enforcementcount 0 &gt;&gt;%USERPROFILE%\Documents\GitHub\eaglep3-reporting\EC\2017-12-23-refined-times.txt</v>
      </c>
      <c r="AI5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{"issue":{"subject":"","project_id":79,"tracker_id":40,"status_id":1,"priority_id":2,"assigned_to_id":338,"start_date":"2017-12-23","description":"","custom_fields":[{"id":1,"name":"Subdivision","value":"EC"},{"id":4,"name":"Milepost","value":"0.0178"},{"id":17,"name":"Train ID","value":"144-23"},{"id":16,"name":"Locomotive ID","value":"4015"},{"id":130,"name":"Impact","value":""},{"id":150,"name":"Time of Event (Mountain Time)","value":"10:34:37"},{"id":151,"name":"Denver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31"/>
        <v>start /low /b %USERPROFILE%\Documents\GitHub\eaglep3\Utilities\DownloadLogsFromS3.py --loco 4015 --day 2017-12-23</v>
      </c>
      <c r="AN5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33"/>
        <v>https://d0f6bd738d7f1b3e5a7ca70fe4ff75f0.us-east-1.aws.found.io/app/kibana#/discover/Steve-Slow-Train-Analysis-(2080s-and-2083s)?_g=(refreshInterval:(display:Off,pause:!f,section:0,value:0),time:(from:'2017-12-23T08:50:44-0700',mode:absolute,to:'2017-12-23T11:34:37-0700'))&amp;_a=(columns:!('Message%20ID',Summary),filters:!(),index:'emp_*',interval:auto,query:(query_string:(analyze_wildcard:!t,query:'%22rtdc.l.rtdc.4015%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754</v>
      </c>
      <c r="B58" s="225">
        <v>4026</v>
      </c>
      <c r="C58" s="227" t="s">
        <v>192</v>
      </c>
      <c r="D58" s="227" t="s">
        <v>933</v>
      </c>
      <c r="E58" s="226">
        <v>43092.381666666668</v>
      </c>
      <c r="F58" s="226">
        <v>43092.385914351849</v>
      </c>
      <c r="G58" s="225">
        <v>75</v>
      </c>
      <c r="H58" s="227" t="s">
        <v>934</v>
      </c>
      <c r="I58" s="226">
        <v>43092.412939814814</v>
      </c>
      <c r="J58" s="225">
        <v>0</v>
      </c>
      <c r="K58" s="237" t="str">
        <f t="shared" si="0"/>
        <v>4025/4026</v>
      </c>
      <c r="L58" s="245" t="str">
        <f>VLOOKUP(A58,'Trips&amp;Operators'!$C$1:$G$99911,5,FALSE)</f>
        <v>WILLIAMS DONTE</v>
      </c>
      <c r="M58" s="224">
        <f t="shared" si="1"/>
        <v>2.7025462964957114E-2</v>
      </c>
      <c r="N58" s="225">
        <f t="shared" si="40"/>
        <v>38.916666669538245</v>
      </c>
      <c r="O58" s="225"/>
      <c r="P58" s="225"/>
      <c r="Q58" s="228"/>
      <c r="R58" s="242"/>
      <c r="S58" s="249">
        <f t="shared" si="41"/>
        <v>1</v>
      </c>
      <c r="T58" s="242" t="str">
        <f t="shared" si="3"/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4"/>
        <v>https://d0f6bd738d7f1b3e5a7ca70fe4ff75f0.us-east-1.aws.found.io/app/kibana#/discover/Steve-Slow-Train-Analysis-(2080s-and-2083s)?_g=(refreshInterval:(display:Off,pause:!f,section:0,value:0),time:(from:'2017-12-23T08:09:36-0700',mode:absolute,to:'2017-12-23T10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247" t="str">
        <f>IF(AA58&lt;VLOOKUP(AG58,Variables!$AC$3:$AD$8,2,FALSE),"Y","N")</f>
        <v>N</v>
      </c>
      <c r="X58" s="247">
        <f t="shared" si="39"/>
        <v>1</v>
      </c>
      <c r="Y58" s="247">
        <f t="shared" si="38"/>
        <v>5.3499999999999999E-2</v>
      </c>
      <c r="Z58" s="247">
        <f t="shared" si="37"/>
        <v>23.323399999999999</v>
      </c>
      <c r="AA58" s="247">
        <f t="shared" si="5"/>
        <v>23.2699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6"/>
        <v>145</v>
      </c>
      <c r="AE58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58" s="234" t="str">
        <f t="shared" si="8"/>
        <v>"C:\Program Files (x86)\AstroGrep\AstroGrep.exe" /e /r /s /spath="%USERPROFILE%\AppData\Local\Temp\OnboardLogs" /stypes="app*4026*20171223*" /stext=" 16:.+((SYSTEM_STATE.+slice.+state.+changed )|(ment ac)|(multiple cpu faults)|(system.+state.+changed )|(\[timeout)|(PRM\|1\|D)|(kpr)|(kdp)|(train st.+moving)|(\|lc)|(penalty))"</v>
      </c>
      <c r="AG58" s="244" t="str">
        <f t="shared" si="9"/>
        <v>EC</v>
      </c>
      <c r="AH58" s="236" t="str">
        <f t="shared" si="29"/>
        <v>"%USERPROFILE%\Documents\GitHub\eaglep3\Utilities\RefineRTDCRunTimes.py" --tripid 145-23 --locoid 4026 --swversion DE.1.0.9.0 --startMP 204:535 --initTime 2017-12-23T09:09:36 --startdatetime 2017-12-23T09:15:43 --delay 75 --endMP 204:233234 --enddatetime 2017-12-23T09:54:38 --enforcementcount 0 &gt;&gt;%USERPROFILE%\Documents\GitHub\eaglep3-reporting\EC\2017-12-23-refined-times.txt</v>
      </c>
      <c r="AI5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ID","value":"145-23"},{"id":16,"name":"Locomotive ID","value":"4026"},{"id":130,"name":"Impact","value":""},{"id":150,"name":"Time of Event (Mountain Time)","value":"09:54:38"},{"id":151,"name":"Denver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31"/>
        <v>start /low /b %USERPROFILE%\Documents\GitHub\eaglep3\Utilities\DownloadLogsFromS3.py --loco 4026 --day 2017-12-23</v>
      </c>
      <c r="AN5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33"/>
        <v>https://d0f6bd738d7f1b3e5a7ca70fe4ff75f0.us-east-1.aws.found.io/app/kibana#/discover/Steve-Slow-Train-Analysis-(2080s-and-2083s)?_g=(refreshInterval:(display:Off,pause:!f,section:0,value:0),time:(from:'2017-12-23T08:09:36-0700',mode:absolute,to:'2017-12-23T10:54:38-0700'))&amp;_a=(columns:!('Message%20ID',Summary),filters:!(),index:'emp_*',interval:auto,query:(query_string:(analyze_wildcard:!t,query:'%22rtdc.l.rtdc.4026%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763</v>
      </c>
      <c r="B59" s="225">
        <v>4025</v>
      </c>
      <c r="C59" s="227" t="s">
        <v>192</v>
      </c>
      <c r="D59" s="227" t="s">
        <v>935</v>
      </c>
      <c r="E59" s="226">
        <v>43092.42087962963</v>
      </c>
      <c r="F59" s="226">
        <v>43092.425428240742</v>
      </c>
      <c r="G59" s="225">
        <v>75</v>
      </c>
      <c r="H59" s="227" t="s">
        <v>514</v>
      </c>
      <c r="I59" s="226">
        <v>43092.451979166668</v>
      </c>
      <c r="J59" s="225">
        <v>0</v>
      </c>
      <c r="K59" s="237" t="str">
        <f t="shared" si="0"/>
        <v>4025/4026</v>
      </c>
      <c r="L59" s="245" t="str">
        <f>VLOOKUP(A59,'Trips&amp;Operators'!$C$1:$G$99911,5,FALSE)</f>
        <v>WILLIAMS DONTE</v>
      </c>
      <c r="M59" s="224">
        <f t="shared" si="1"/>
        <v>2.6550925926130731E-2</v>
      </c>
      <c r="N59" s="225">
        <f t="shared" si="40"/>
        <v>38.233333333628252</v>
      </c>
      <c r="O59" s="225"/>
      <c r="P59" s="225"/>
      <c r="Q59" s="228"/>
      <c r="R59" s="242"/>
      <c r="S59" s="249">
        <f t="shared" si="41"/>
        <v>1</v>
      </c>
      <c r="T59" s="242" t="str">
        <f t="shared" si="3"/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4"/>
        <v>https://d0f6bd738d7f1b3e5a7ca70fe4ff75f0.us-east-1.aws.found.io/app/kibana#/discover/Steve-Slow-Train-Analysis-(2080s-and-2083s)?_g=(refreshInterval:(display:Off,pause:!f,section:0,value:0),time:(from:'2017-12-23T09:06:04-0700',mode:absolute,to:'2017-12-23T11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247" t="str">
        <f>IF(AA59&lt;VLOOKUP(AG59,Variables!$AC$3:$AD$8,2,FALSE),"Y","N")</f>
        <v>N</v>
      </c>
      <c r="X59" s="247">
        <f t="shared" si="39"/>
        <v>1</v>
      </c>
      <c r="Y59" s="247">
        <f t="shared" si="38"/>
        <v>23.292899999999999</v>
      </c>
      <c r="Z59" s="247">
        <f t="shared" si="37"/>
        <v>2.1999999999999999E-2</v>
      </c>
      <c r="AA59" s="247">
        <f t="shared" si="5"/>
        <v>23.270900000000001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6"/>
        <v>146</v>
      </c>
      <c r="AE59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59" s="234" t="str">
        <f t="shared" si="8"/>
        <v>"C:\Program Files (x86)\AstroGrep\AstroGrep.exe" /e /r /s /spath="%USERPROFILE%\AppData\Local\Temp\OnboardLogs" /stypes="app*4025*20171223*" /stext=" 17:.+((SYSTEM_STATE.+slice.+state.+changed )|(ment ac)|(multiple cpu faults)|(system.+state.+changed )|(\[timeout)|(PRM\|1\|D)|(kpr)|(kdp)|(train st.+moving)|(\|lc)|(penalty))"</v>
      </c>
      <c r="AG59" s="244" t="str">
        <f t="shared" si="9"/>
        <v>EC</v>
      </c>
      <c r="AH59" s="236" t="str">
        <f t="shared" si="29"/>
        <v>"%USERPROFILE%\Documents\GitHub\eaglep3\Utilities\RefineRTDCRunTimes.py" --tripid 146-23 --locoid 4025 --swversion DE.1.0.9.0 --startMP 204:232929 --initTime 2017-12-23T10:06:04 --startdatetime 2017-12-23T10:12:37 --delay 75 --endMP 204:220 --enddatetime 2017-12-23T10:50:51 --enforcementcount 0 &gt;&gt;%USERPROFILE%\Documents\GitHub\eaglep3-reporting\EC\2017-12-23-refined-times.txt</v>
      </c>
      <c r="AI5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{"issue":{"subject":"","project_id":79,"tracker_id":40,"status_id":1,"priority_id":2,"assigned_to_id":338,"start_date":"2017-12-23","description":"","custom_fields":[{"id":1,"name":"Subdivision","value":"EC"},{"id":4,"name":"Milepost","value":"0.022"},{"id":17,"name":"Train ID","value":"146-23"},{"id":16,"name":"Locomotive ID","value":"4025"},{"id":130,"name":"Impact","value":""},{"id":150,"name":"Time of Event (Mountain Time)","value":"10:50:51"},{"id":151,"name":"Denver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31"/>
        <v>start /low /b %USERPROFILE%\Documents\GitHub\eaglep3\Utilities\DownloadLogsFromS3.py --loco 4025 --day 2017-12-23</v>
      </c>
      <c r="AN5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33"/>
        <v>https://d0f6bd738d7f1b3e5a7ca70fe4ff75f0.us-east-1.aws.found.io/app/kibana#/discover/Steve-Slow-Train-Analysis-(2080s-and-2083s)?_g=(refreshInterval:(display:Off,pause:!f,section:0,value:0),time:(from:'2017-12-23T09:06:04-0700',mode:absolute,to:'2017-12-23T11:50:51-0700'))&amp;_a=(columns:!('Message%20ID',Summary),filters:!(),index:'emp_*',interval:auto,query:(query_string:(analyze_wildcard:!t,query:'%22rtdc.l.rtdc.4025%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755</v>
      </c>
      <c r="B60" s="225">
        <v>4036</v>
      </c>
      <c r="C60" s="227" t="s">
        <v>192</v>
      </c>
      <c r="D60" s="227" t="s">
        <v>906</v>
      </c>
      <c r="E60" s="226">
        <v>43092.389456018522</v>
      </c>
      <c r="F60" s="226">
        <v>43092.395995370367</v>
      </c>
      <c r="G60" s="225">
        <v>131</v>
      </c>
      <c r="H60" s="227" t="s">
        <v>512</v>
      </c>
      <c r="I60" s="226">
        <v>43092.421122685184</v>
      </c>
      <c r="J60" s="225">
        <v>0</v>
      </c>
      <c r="K60" s="237" t="str">
        <f t="shared" si="0"/>
        <v>4035/4036</v>
      </c>
      <c r="L60" s="245" t="str">
        <f>VLOOKUP(A60,'Trips&amp;Operators'!$C$1:$G$99911,5,FALSE)</f>
        <v>LOPES KIMBERLY</v>
      </c>
      <c r="M60" s="224">
        <f t="shared" si="1"/>
        <v>2.5127314816927537E-2</v>
      </c>
      <c r="N60" s="225">
        <f t="shared" si="40"/>
        <v>36.183333336375654</v>
      </c>
      <c r="O60" s="225"/>
      <c r="P60" s="225"/>
      <c r="Q60" s="228"/>
      <c r="R60" s="242"/>
      <c r="S60" s="249">
        <f t="shared" si="41"/>
        <v>1</v>
      </c>
      <c r="T60" s="242" t="str">
        <f t="shared" si="3"/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4"/>
        <v>https://d0f6bd738d7f1b3e5a7ca70fe4ff75f0.us-east-1.aws.found.io/app/kibana#/discover/Steve-Slow-Train-Analysis-(2080s-and-2083s)?_g=(refreshInterval:(display:Off,pause:!f,section:0,value:0),time:(from:'2017-12-23T08:20:49-0700',mode:absolute,to:'2017-12-23T11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0" s="247" t="str">
        <f>IF(AA60&lt;VLOOKUP(AG60,Variables!$AC$3:$AD$8,2,FALSE),"Y","N")</f>
        <v>N</v>
      </c>
      <c r="X60" s="247">
        <f t="shared" si="39"/>
        <v>1</v>
      </c>
      <c r="Y60" s="247">
        <f t="shared" si="38"/>
        <v>0.05</v>
      </c>
      <c r="Z60" s="247">
        <f t="shared" si="37"/>
        <v>23.325700000000001</v>
      </c>
      <c r="AA60" s="247">
        <f t="shared" si="5"/>
        <v>23.275700000000001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6"/>
        <v>147</v>
      </c>
      <c r="AE60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60" s="234" t="str">
        <f t="shared" si="8"/>
        <v>"C:\Program Files (x86)\AstroGrep\AstroGrep.exe" /e /r /s /spath="%USERPROFILE%\AppData\Local\Temp\OnboardLogs" /stypes="app*4036*20171223*" /stext=" 17:.+((SYSTEM_STATE.+slice.+state.+changed )|(ment ac)|(multiple cpu faults)|(system.+state.+changed )|(\[timeout)|(PRM\|1\|D)|(kpr)|(kdp)|(train st.+moving)|(\|lc)|(penalty))"</v>
      </c>
      <c r="AG60" s="244" t="str">
        <f t="shared" si="9"/>
        <v>EC</v>
      </c>
      <c r="AH60" s="236" t="str">
        <f t="shared" si="29"/>
        <v>"%USERPROFILE%\Documents\GitHub\eaglep3\Utilities\RefineRTDCRunTimes.py" --tripid 147-23 --locoid 4036 --swversion DE.1.0.9.0 --startMP 204:500 --initTime 2017-12-23T09:20:49 --startdatetime 2017-12-23T09:30:14 --delay 131 --endMP 204:233257 --enddatetime 2017-12-23T10:06:25 --enforcementcount 0 &gt;&gt;%USERPROFILE%\Documents\GitHub\eaglep3-reporting\EC\2017-12-23-refined-times.txt</v>
      </c>
      <c r="AI6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{"issue":{"subject":"","project_id":79,"tracker_id":40,"status_id":1,"priority_id":2,"assigned_to_id":338,"start_date":"2017-12-23","description":"","custom_fields":[{"id":1,"name":"Subdivision","value":"EC"},{"id":4,"name":"Milepost","value":"23.3257"},{"id":17,"name":"Train ID","value":"147-23"},{"id":16,"name":"Locomotive ID","value":"4036"},{"id":130,"name":"Impact","value":""},{"id":150,"name":"Time of Event (Mountain Time)","value":"10:06:25"},{"id":151,"name":"Denver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31"/>
        <v>start /low /b %USERPROFILE%\Documents\GitHub\eaglep3\Utilities\DownloadLogsFromS3.py --loco 4036 --day 2017-12-23</v>
      </c>
      <c r="AN6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33"/>
        <v>https://d0f6bd738d7f1b3e5a7ca70fe4ff75f0.us-east-1.aws.found.io/app/kibana#/discover/Steve-Slow-Train-Analysis-(2080s-and-2083s)?_g=(refreshInterval:(display:Off,pause:!f,section:0,value:0),time:(from:'2017-12-23T08:20:49-0700',mode:absolute,to:'2017-12-23T11:06:25-0700'))&amp;_a=(columns:!('Message%20ID',Summary),filters:!(),index:'emp_*',interval:auto,query:(query_string:(analyze_wildcard:!t,query:'%22rtdc.l.rtdc.4036%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765</v>
      </c>
      <c r="B61" s="225">
        <v>4035</v>
      </c>
      <c r="C61" s="227" t="s">
        <v>192</v>
      </c>
      <c r="D61" s="227" t="s">
        <v>632</v>
      </c>
      <c r="E61" s="226">
        <v>43092.42523148148</v>
      </c>
      <c r="F61" s="226">
        <v>43092.435590277775</v>
      </c>
      <c r="G61" s="225">
        <v>113</v>
      </c>
      <c r="H61" s="227" t="s">
        <v>936</v>
      </c>
      <c r="I61" s="226">
        <v>43092.461597222224</v>
      </c>
      <c r="J61" s="225">
        <v>0</v>
      </c>
      <c r="K61" s="237" t="str">
        <f t="shared" si="0"/>
        <v>4035/4036</v>
      </c>
      <c r="L61" s="245" t="str">
        <f>VLOOKUP(A61,'Trips&amp;Operators'!$C$1:$G$99911,5,FALSE)</f>
        <v>LOPES KIMBERLY</v>
      </c>
      <c r="M61" s="224">
        <f t="shared" si="1"/>
        <v>2.6006944448454306E-2</v>
      </c>
      <c r="N61" s="225">
        <f t="shared" si="40"/>
        <v>37.4500000057742</v>
      </c>
      <c r="O61" s="225"/>
      <c r="P61" s="225"/>
      <c r="Q61" s="228"/>
      <c r="R61" s="242"/>
      <c r="S61" s="249">
        <f t="shared" si="41"/>
        <v>1</v>
      </c>
      <c r="T61" s="242" t="str">
        <f t="shared" si="3"/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4"/>
        <v>https://d0f6bd738d7f1b3e5a7ca70fe4ff75f0.us-east-1.aws.found.io/app/kibana#/discover/Steve-Slow-Train-Analysis-(2080s-and-2083s)?_g=(refreshInterval:(display:Off,pause:!f,section:0,value:0),time:(from:'2017-12-23T09:12:20-0700',mode:absolute,to:'2017-12-23T12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1" s="247" t="str">
        <f>IF(AA61&lt;VLOOKUP(AG61,Variables!$AC$3:$AD$8,2,FALSE),"Y","N")</f>
        <v>N</v>
      </c>
      <c r="X61" s="247">
        <f t="shared" si="39"/>
        <v>1</v>
      </c>
      <c r="Y61" s="247">
        <f t="shared" si="38"/>
        <v>23.294</v>
      </c>
      <c r="Z61" s="247">
        <f t="shared" si="37"/>
        <v>1.83E-2</v>
      </c>
      <c r="AA61" s="247">
        <f t="shared" si="5"/>
        <v>23.275700000000001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6"/>
        <v>148</v>
      </c>
      <c r="AE61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61" s="234" t="str">
        <f t="shared" si="8"/>
        <v>"C:\Program Files (x86)\AstroGrep\AstroGrep.exe" /e /r /s /spath="%USERPROFILE%\AppData\Local\Temp\OnboardLogs" /stypes="app*4035*20171223*" /stext=" 18:.+((SYSTEM_STATE.+slice.+state.+changed )|(ment ac)|(multiple cpu faults)|(system.+state.+changed )|(\[timeout)|(PRM\|1\|D)|(kpr)|(kdp)|(train st.+moving)|(\|lc)|(penalty))"</v>
      </c>
      <c r="AG61" s="244" t="str">
        <f t="shared" si="9"/>
        <v>EC</v>
      </c>
      <c r="AH61" s="236" t="str">
        <f t="shared" si="29"/>
        <v>"%USERPROFILE%\Documents\GitHub\eaglep3\Utilities\RefineRTDCRunTimes.py" --tripid 148-23 --locoid 4035 --swversion DE.1.0.9.0 --startMP 204:232940 --initTime 2017-12-23T10:12:20 --startdatetime 2017-12-23T10:27:15 --delay 113 --endMP 204:183 --enddatetime 2017-12-23T11:04:42 --enforcementcount 0 &gt;&gt;%USERPROFILE%\Documents\GitHub\eaglep3-reporting\EC\2017-12-23-refined-times.txt</v>
      </c>
      <c r="AI6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{"issue":{"subject":"","project_id":79,"tracker_id":40,"status_id":1,"priority_id":2,"assigned_to_id":338,"start_date":"2017-12-23","description":"","custom_fields":[{"id":1,"name":"Subdivision","value":"EC"},{"id":4,"name":"Milepost","value":"0.0183"},{"id":17,"name":"Train ID","value":"148-23"},{"id":16,"name":"Locomotive ID","value":"4035"},{"id":130,"name":"Impact","value":""},{"id":150,"name":"Time of Event (Mountain Time)","value":"11:04:42"},{"id":151,"name":"Denver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31"/>
        <v>start /low /b %USERPROFILE%\Documents\GitHub\eaglep3\Utilities\DownloadLogsFromS3.py --loco 4035 --day 2017-12-23</v>
      </c>
      <c r="AN6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33"/>
        <v>https://d0f6bd738d7f1b3e5a7ca70fe4ff75f0.us-east-1.aws.found.io/app/kibana#/discover/Steve-Slow-Train-Analysis-(2080s-and-2083s)?_g=(refreshInterval:(display:Off,pause:!f,section:0,value:0),time:(from:'2017-12-23T09:12:20-0700',mode:absolute,to:'2017-12-23T12:04:42-0700'))&amp;_a=(columns:!('Message%20ID',Summary),filters:!(),index:'emp_*',interval:auto,query:(query_string:(analyze_wildcard:!t,query:'%22rtdc.l.rtdc.4035%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759</v>
      </c>
      <c r="B62" s="225">
        <v>4030</v>
      </c>
      <c r="C62" s="227" t="s">
        <v>192</v>
      </c>
      <c r="D62" s="227" t="s">
        <v>496</v>
      </c>
      <c r="E62" s="226">
        <v>43092.400219907409</v>
      </c>
      <c r="F62" s="226">
        <v>43092.406423611108</v>
      </c>
      <c r="G62" s="225">
        <v>49</v>
      </c>
      <c r="H62" s="227" t="s">
        <v>937</v>
      </c>
      <c r="I62" s="226">
        <v>43092.430081018516</v>
      </c>
      <c r="J62" s="225">
        <v>0</v>
      </c>
      <c r="K62" s="237" t="str">
        <f t="shared" si="0"/>
        <v>4029/4030</v>
      </c>
      <c r="L62" s="245" t="str">
        <f>VLOOKUP(A62,'Trips&amp;Operators'!$C$1:$G$99911,5,FALSE)</f>
        <v>GEBRETEKLE DAGNEW</v>
      </c>
      <c r="M62" s="224">
        <f t="shared" si="1"/>
        <v>2.3657407407881692E-2</v>
      </c>
      <c r="N62" s="225">
        <f t="shared" si="40"/>
        <v>34.066666667349637</v>
      </c>
      <c r="O62" s="225"/>
      <c r="P62" s="225"/>
      <c r="Q62" s="228"/>
      <c r="R62" s="242"/>
      <c r="S62" s="249">
        <f t="shared" si="41"/>
        <v>1</v>
      </c>
      <c r="T62" s="242" t="str">
        <f t="shared" si="3"/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4"/>
        <v>https://d0f6bd738d7f1b3e5a7ca70fe4ff75f0.us-east-1.aws.found.io/app/kibana#/discover/Steve-Slow-Train-Analysis-(2080s-and-2083s)?_g=(refreshInterval:(display:Off,pause:!f,section:0,value:0),time:(from:'2017-12-23T08:36:19-0700',mode:absolute,to:'2017-12-23T11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247" t="str">
        <f>IF(AA62&lt;VLOOKUP(AG62,Variables!$AC$3:$AD$8,2,FALSE),"Y","N")</f>
        <v>N</v>
      </c>
      <c r="X62" s="247">
        <f t="shared" si="39"/>
        <v>1</v>
      </c>
      <c r="Y62" s="247">
        <f t="shared" si="38"/>
        <v>4.4200000000000003E-2</v>
      </c>
      <c r="Z62" s="247">
        <f t="shared" si="37"/>
        <v>23.327400000000001</v>
      </c>
      <c r="AA62" s="247">
        <f t="shared" si="5"/>
        <v>23.283200000000001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6"/>
        <v>149</v>
      </c>
      <c r="AE62" s="235" t="str">
        <f t="shared" si="7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62" s="234" t="str">
        <f t="shared" si="8"/>
        <v>"C:\Program Files (x86)\AstroGrep\AstroGrep.exe" /e /r /s /spath="%USERPROFILE%\AppData\Local\Temp\OnboardLogs" /stypes="app*4030*20171223*" /stext=" 17:.+((SYSTEM_STATE.+slice.+state.+changed )|(ment ac)|(multiple cpu faults)|(system.+state.+changed )|(\[timeout)|(PRM\|1\|D)|(kpr)|(kdp)|(train st.+moving)|(\|lc)|(penalty))"</v>
      </c>
      <c r="AG62" s="244" t="str">
        <f t="shared" si="9"/>
        <v>EC</v>
      </c>
      <c r="AH62" s="236" t="str">
        <f t="shared" si="29"/>
        <v>"%USERPROFILE%\Documents\GitHub\eaglep3\Utilities\RefineRTDCRunTimes.py" --tripid 149-23 --locoid 4030 --swversion DE.1.0.9.0 --startMP 204:442 --initTime 2017-12-23T09:36:19 --startdatetime 2017-12-23T09:45:15 --delay 49 --endMP 204:233274 --enddatetime 2017-12-23T10:19:19 --enforcementcount 0 &gt;&gt;%USERPROFILE%\Documents\GitHub\eaglep3-reporting\EC\2017-12-23-refined-times.txt</v>
      </c>
      <c r="AI6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{"issue":{"subject":"","project_id":79,"tracker_id":40,"status_id":1,"priority_id":2,"assigned_to_id":338,"start_date":"2017-12-23","description":"","custom_fields":[{"id":1,"name":"Subdivision","value":"EC"},{"id":4,"name":"Milepost","value":"23.3274"},{"id":17,"name":"Train ID","value":"149-23"},{"id":16,"name":"Locomotive ID","value":"4030"},{"id":130,"name":"Impact","value":""},{"id":150,"name":"Time of Event (Mountain Time)","value":"10:19:19"},{"id":151,"name":"Denver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31"/>
        <v>start /low /b %USERPROFILE%\Documents\GitHub\eaglep3\Utilities\DownloadLogsFromS3.py --loco 4030 --day 2017-12-23</v>
      </c>
      <c r="AN6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33"/>
        <v>https://d0f6bd738d7f1b3e5a7ca70fe4ff75f0.us-east-1.aws.found.io/app/kibana#/discover/Steve-Slow-Train-Analysis-(2080s-and-2083s)?_g=(refreshInterval:(display:Off,pause:!f,section:0,value:0),time:(from:'2017-12-23T08:36:19-0700',mode:absolute,to:'2017-12-23T11:19:19-0700'))&amp;_a=(columns:!('Message%20ID',Summary),filters:!(),index:'emp_*',interval:auto,query:(query_string:(analyze_wildcard:!t,query:'%22rtdc.l.rtdc.4030%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766</v>
      </c>
      <c r="B63" s="225">
        <v>4029</v>
      </c>
      <c r="C63" s="227" t="s">
        <v>192</v>
      </c>
      <c r="D63" s="227" t="s">
        <v>938</v>
      </c>
      <c r="E63" s="226">
        <v>43092.432141203702</v>
      </c>
      <c r="F63" s="226">
        <v>43092.446018518516</v>
      </c>
      <c r="G63" s="225">
        <v>62</v>
      </c>
      <c r="H63" s="227" t="s">
        <v>939</v>
      </c>
      <c r="I63" s="226">
        <v>43092.471516203703</v>
      </c>
      <c r="J63" s="225">
        <v>0</v>
      </c>
      <c r="K63" s="237" t="str">
        <f t="shared" si="0"/>
        <v>4029/4030</v>
      </c>
      <c r="L63" s="245" t="str">
        <f>VLOOKUP(A63,'Trips&amp;Operators'!$C$1:$G$99911,5,FALSE)</f>
        <v>GEBRETEKLE DAGNEW</v>
      </c>
      <c r="M63" s="224">
        <f t="shared" si="1"/>
        <v>2.5497685186564922E-2</v>
      </c>
      <c r="N63" s="225">
        <f t="shared" si="40"/>
        <v>36.716666668653488</v>
      </c>
      <c r="O63" s="225"/>
      <c r="P63" s="225"/>
      <c r="Q63" s="228"/>
      <c r="R63" s="242"/>
      <c r="S63" s="249">
        <f t="shared" si="41"/>
        <v>1</v>
      </c>
      <c r="T63" s="242" t="str">
        <f t="shared" si="3"/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4"/>
        <v>https://d0f6bd738d7f1b3e5a7ca70fe4ff75f0.us-east-1.aws.found.io/app/kibana#/discover/Steve-Slow-Train-Analysis-(2080s-and-2083s)?_g=(refreshInterval:(display:Off,pause:!f,section:0,value:0),time:(from:'2017-12-23T09:22:17-0700',mode:absolute,to:'2017-12-23T12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247" t="str">
        <f>IF(AA63&lt;VLOOKUP(AG63,Variables!$AC$3:$AD$8,2,FALSE),"Y","N")</f>
        <v>N</v>
      </c>
      <c r="X63" s="247">
        <f t="shared" si="39"/>
        <v>1</v>
      </c>
      <c r="Y63" s="247">
        <f t="shared" si="38"/>
        <v>23.295000000000002</v>
      </c>
      <c r="Z63" s="247">
        <f t="shared" si="37"/>
        <v>1.43E-2</v>
      </c>
      <c r="AA63" s="247">
        <f t="shared" si="5"/>
        <v>23.280700000000003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6"/>
        <v>150</v>
      </c>
      <c r="AE63" s="235" t="str">
        <f t="shared" si="7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63" s="234" t="str">
        <f t="shared" si="8"/>
        <v>"C:\Program Files (x86)\AstroGrep\AstroGrep.exe" /e /r /s /spath="%USERPROFILE%\AppData\Local\Temp\OnboardLogs" /stypes="app*4029*20171223*" /stext=" 18:.+((SYSTEM_STATE.+slice.+state.+changed )|(ment ac)|(multiple cpu faults)|(system.+state.+changed )|(\[timeout)|(PRM\|1\|D)|(kpr)|(kdp)|(train st.+moving)|(\|lc)|(penalty))"</v>
      </c>
      <c r="AG63" s="244" t="str">
        <f t="shared" si="9"/>
        <v>EC</v>
      </c>
      <c r="AH63" s="236" t="str">
        <f t="shared" si="29"/>
        <v>"%USERPROFILE%\Documents\GitHub\eaglep3\Utilities\RefineRTDCRunTimes.py" --tripid 150-23 --locoid 4029 --swversion DE.1.0.9.0 --startMP 204:232950 --initTime 2017-12-23T10:22:17 --startdatetime 2017-12-23T10:42:16 --delay 62 --endMP 204:143 --enddatetime 2017-12-23T11:18:59 --enforcementcount 0 &gt;&gt;%USERPROFILE%\Documents\GitHub\eaglep3-reporting\EC\2017-12-23-refined-times.txt</v>
      </c>
      <c r="AI6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{"issue":{"subject":"","project_id":79,"tracker_id":40,"status_id":1,"priority_id":2,"assigned_to_id":338,"start_date":"2017-12-23","description":"","custom_fields":[{"id":1,"name":"Subdivision","value":"EC"},{"id":4,"name":"Milepost","value":"0.0143"},{"id":17,"name":"Train ID","value":"150-23"},{"id":16,"name":"Locomotive ID","value":"4029"},{"id":130,"name":"Impact","value":""},{"id":150,"name":"Time of Event (Mountain Time)","value":"11:18:59"},{"id":151,"name":"Denver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31"/>
        <v>start /low /b %USERPROFILE%\Documents\GitHub\eaglep3\Utilities\DownloadLogsFromS3.py --loco 4029 --day 2017-12-23</v>
      </c>
      <c r="AN6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33"/>
        <v>https://d0f6bd738d7f1b3e5a7ca70fe4ff75f0.us-east-1.aws.found.io/app/kibana#/discover/Steve-Slow-Train-Analysis-(2080s-and-2083s)?_g=(refreshInterval:(display:Off,pause:!f,section:0,value:0),time:(from:'2017-12-23T09:22:17-0700',mode:absolute,to:'2017-12-23T12:18:59-0700'))&amp;_a=(columns:!('Message%20ID',Summary),filters:!(),index:'emp_*',interval:auto,query:(query_string:(analyze_wildcard:!t,query:'%22rtdc.l.rtdc.4029%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761</v>
      </c>
      <c r="B64" s="225">
        <v>4034</v>
      </c>
      <c r="C64" s="227" t="s">
        <v>192</v>
      </c>
      <c r="D64" s="227" t="s">
        <v>940</v>
      </c>
      <c r="E64" s="226">
        <v>43092.413391203707</v>
      </c>
      <c r="F64" s="226">
        <v>43092.416898148149</v>
      </c>
      <c r="G64" s="225">
        <v>71</v>
      </c>
      <c r="H64" s="227" t="s">
        <v>941</v>
      </c>
      <c r="I64" s="226">
        <v>43092.441087962965</v>
      </c>
      <c r="J64" s="225">
        <v>0</v>
      </c>
      <c r="K64" s="237" t="str">
        <f t="shared" si="0"/>
        <v>4033/4034</v>
      </c>
      <c r="L64" s="245" t="str">
        <f>VLOOKUP(A64,'Trips&amp;Operators'!$C$1:$G$99911,5,FALSE)</f>
        <v>DELGADO DIANAH</v>
      </c>
      <c r="M64" s="224">
        <f t="shared" si="1"/>
        <v>2.4189814816054422E-2</v>
      </c>
      <c r="N64" s="225">
        <f t="shared" si="40"/>
        <v>34.833333335118368</v>
      </c>
      <c r="O64" s="225"/>
      <c r="P64" s="225"/>
      <c r="Q64" s="228"/>
      <c r="R64" s="242"/>
      <c r="S64" s="249">
        <f t="shared" si="41"/>
        <v>1</v>
      </c>
      <c r="T64" s="242" t="str">
        <f t="shared" si="3"/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4"/>
        <v>https://d0f6bd738d7f1b3e5a7ca70fe4ff75f0.us-east-1.aws.found.io/app/kibana#/discover/Steve-Slow-Train-Analysis-(2080s-and-2083s)?_g=(refreshInterval:(display:Off,pause:!f,section:0,value:0),time:(from:'2017-12-23T08:55:17-0700',mode:absolute,to:'2017-12-23T11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4" s="247" t="str">
        <f>IF(AA64&lt;VLOOKUP(AG64,Variables!$AC$3:$AD$8,2,FALSE),"Y","N")</f>
        <v>N</v>
      </c>
      <c r="X64" s="247">
        <f t="shared" si="39"/>
        <v>1</v>
      </c>
      <c r="Y64" s="247">
        <f t="shared" si="38"/>
        <v>4.58E-2</v>
      </c>
      <c r="Z64" s="247">
        <f t="shared" si="37"/>
        <v>23.330200000000001</v>
      </c>
      <c r="AA64" s="247">
        <f t="shared" si="5"/>
        <v>23.284400000000002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6"/>
        <v>151</v>
      </c>
      <c r="AE64" s="235" t="str">
        <f t="shared" si="7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64" s="234" t="str">
        <f t="shared" si="8"/>
        <v>"C:\Program Files (x86)\AstroGrep\AstroGrep.exe" /e /r /s /spath="%USERPROFILE%\AppData\Local\Temp\OnboardLogs" /stypes="app*4034*20171223*" /stext=" 17:.+((SYSTEM_STATE.+slice.+state.+changed )|(ment ac)|(multiple cpu faults)|(system.+state.+changed )|(\[timeout)|(PRM\|1\|D)|(kpr)|(kdp)|(train st.+moving)|(\|lc)|(penalty))"</v>
      </c>
      <c r="AG64" s="244" t="str">
        <f t="shared" si="9"/>
        <v>EC</v>
      </c>
      <c r="AH64" s="236" t="str">
        <f t="shared" si="29"/>
        <v>"%USERPROFILE%\Documents\GitHub\eaglep3\Utilities\RefineRTDCRunTimes.py" --tripid 151-23 --locoid 4034 --swversion DE.1.0.9.0 --startMP 204:458 --initTime 2017-12-23T09:55:17 --startdatetime 2017-12-23T10:00:20 --delay 71 --endMP 204:233302 --enddatetime 2017-12-23T10:35:10 --enforcementcount 0 &gt;&gt;%USERPROFILE%\Documents\GitHub\eaglep3-reporting\EC\2017-12-23-refined-times.txt</v>
      </c>
      <c r="AI6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{"issue":{"subject":"","project_id":79,"tracker_id":40,"status_id":1,"priority_id":2,"assigned_to_id":338,"start_date":"2017-12-23","description":"","custom_fields":[{"id":1,"name":"Subdivision","value":"EC"},{"id":4,"name":"Milepost","value":"23.3302"},{"id":17,"name":"Train ID","value":"151-23"},{"id":16,"name":"Locomotive ID","value":"4034"},{"id":130,"name":"Impact","value":""},{"id":150,"name":"Time of Event (Mountain Time)","value":"10:35:10"},{"id":151,"name":"Denver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31"/>
        <v>start /low /b %USERPROFILE%\Documents\GitHub\eaglep3\Utilities\DownloadLogsFromS3.py --loco 4034 --day 2017-12-23</v>
      </c>
      <c r="AN6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33"/>
        <v>https://d0f6bd738d7f1b3e5a7ca70fe4ff75f0.us-east-1.aws.found.io/app/kibana#/discover/Steve-Slow-Train-Analysis-(2080s-and-2083s)?_g=(refreshInterval:(display:Off,pause:!f,section:0,value:0),time:(from:'2017-12-23T08:55:17-0700',mode:absolute,to:'2017-12-23T11:35:10-0700'))&amp;_a=(columns:!('Message%20ID',Summary),filters:!(),index:'emp_*',interval:auto,query:(query_string:(analyze_wildcard:!t,query:'%22rtdc.l.rtdc.4034%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772</v>
      </c>
      <c r="B65" s="225">
        <v>4033</v>
      </c>
      <c r="C65" s="227" t="s">
        <v>192</v>
      </c>
      <c r="D65" s="227" t="s">
        <v>942</v>
      </c>
      <c r="E65" s="226">
        <v>43092.443252314813</v>
      </c>
      <c r="F65" s="226">
        <v>43092.456412037034</v>
      </c>
      <c r="G65" s="225">
        <v>870</v>
      </c>
      <c r="H65" s="227" t="s">
        <v>529</v>
      </c>
      <c r="I65" s="226">
        <v>43092.481886574074</v>
      </c>
      <c r="J65" s="225">
        <v>0</v>
      </c>
      <c r="K65" s="237" t="str">
        <f t="shared" si="0"/>
        <v>4033/4034</v>
      </c>
      <c r="L65" s="245" t="str">
        <f>VLOOKUP(A65,'Trips&amp;Operators'!$C$1:$G$99911,5,FALSE)</f>
        <v>DELGADO DIANAH</v>
      </c>
      <c r="M65" s="224">
        <f t="shared" si="1"/>
        <v>2.5474537040281575E-2</v>
      </c>
      <c r="N65" s="225">
        <f t="shared" si="40"/>
        <v>36.683333338005468</v>
      </c>
      <c r="O65" s="225"/>
      <c r="P65" s="225"/>
      <c r="Q65" s="228"/>
      <c r="R65" s="242"/>
      <c r="S65" s="249">
        <f t="shared" si="41"/>
        <v>1</v>
      </c>
      <c r="T65" s="242" t="str">
        <f t="shared" si="3"/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4"/>
        <v>https://d0f6bd738d7f1b3e5a7ca70fe4ff75f0.us-east-1.aws.found.io/app/kibana#/discover/Steve-Slow-Train-Analysis-(2080s-and-2083s)?_g=(refreshInterval:(display:Off,pause:!f,section:0,value:0),time:(from:'2017-12-23T09:38:17-0700',mode:absolute,to:'2017-12-23T12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5" s="247" t="str">
        <f>IF(AA65&lt;VLOOKUP(AG65,Variables!$AC$3:$AD$8,2,FALSE),"Y","N")</f>
        <v>N</v>
      </c>
      <c r="X65" s="247">
        <f t="shared" si="39"/>
        <v>1</v>
      </c>
      <c r="Y65" s="247">
        <f t="shared" si="38"/>
        <v>23.296800000000001</v>
      </c>
      <c r="Z65" s="247">
        <f t="shared" si="37"/>
        <v>1.5800000000000002E-2</v>
      </c>
      <c r="AA65" s="247">
        <f t="shared" si="5"/>
        <v>23.281000000000002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6"/>
        <v>152</v>
      </c>
      <c r="AE65" s="235" t="str">
        <f t="shared" si="7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65" s="234" t="str">
        <f t="shared" si="8"/>
        <v>"C:\Program Files (x86)\AstroGrep\AstroGrep.exe" /e /r /s /spath="%USERPROFILE%\AppData\Local\Temp\OnboardLogs" /stypes="app*4033*20171223*" /stext=" 18:.+((SYSTEM_STATE.+slice.+state.+changed )|(ment ac)|(multiple cpu faults)|(system.+state.+changed )|(\[timeout)|(PRM\|1\|D)|(kpr)|(kdp)|(train st.+moving)|(\|lc)|(penalty))"</v>
      </c>
      <c r="AG65" s="244" t="str">
        <f t="shared" si="9"/>
        <v>EC</v>
      </c>
      <c r="AH65" s="236" t="str">
        <f t="shared" si="29"/>
        <v>"%USERPROFILE%\Documents\GitHub\eaglep3\Utilities\RefineRTDCRunTimes.py" --tripid 152-23 --locoid 4033 --swversion DE.1.0.9.0 --startMP 204:232968 --initTime 2017-12-23T10:38:17 --startdatetime 2017-12-23T10:57:14 --delay 870 --endMP 204:158 --enddatetime 2017-12-23T11:33:55 --enforcementcount 0 &gt;&gt;%USERPROFILE%\Documents\GitHub\eaglep3-reporting\EC\2017-12-23-refined-times.txt</v>
      </c>
      <c r="AI6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{"issue":{"subject":"","project_id":79,"tracker_id":40,"status_id":1,"priority_id":2,"assigned_to_id":338,"start_date":"2017-12-23","description":"","custom_fields":[{"id":1,"name":"Subdivision","value":"EC"},{"id":4,"name":"Milepost","value":"0.0158"},{"id":17,"name":"Train ID","value":"152-23"},{"id":16,"name":"Locomotive ID","value":"4033"},{"id":130,"name":"Impact","value":""},{"id":150,"name":"Time of Event (Mountain Time)","value":"11:33:55"},{"id":151,"name":"Denver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31"/>
        <v>start /low /b %USERPROFILE%\Documents\GitHub\eaglep3\Utilities\DownloadLogsFromS3.py --loco 4033 --day 2017-12-23</v>
      </c>
      <c r="AN6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33"/>
        <v>https://d0f6bd738d7f1b3e5a7ca70fe4ff75f0.us-east-1.aws.found.io/app/kibana#/discover/Steve-Slow-Train-Analysis-(2080s-and-2083s)?_g=(refreshInterval:(display:Off,pause:!f,section:0,value:0),time:(from:'2017-12-23T09:38:17-0700',mode:absolute,to:'2017-12-23T12:33:55-0700'))&amp;_a=(columns:!('Message%20ID',Summary),filters:!(),index:'emp_*',interval:auto,query:(query_string:(analyze_wildcard:!t,query:'%22rtdc.l.rtdc.4033%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764</v>
      </c>
      <c r="B66" s="225">
        <v>4002</v>
      </c>
      <c r="C66" s="227" t="s">
        <v>192</v>
      </c>
      <c r="D66" s="227" t="s">
        <v>924</v>
      </c>
      <c r="E66" s="226">
        <v>43092.425416666665</v>
      </c>
      <c r="F66" s="226">
        <v>43092.427256944444</v>
      </c>
      <c r="G66" s="225">
        <v>66</v>
      </c>
      <c r="H66" s="227" t="s">
        <v>558</v>
      </c>
      <c r="I66" s="226">
        <v>43092.451979166668</v>
      </c>
      <c r="J66" s="225">
        <v>0</v>
      </c>
      <c r="K66" s="237" t="str">
        <f t="shared" si="0"/>
        <v>4001/4002</v>
      </c>
      <c r="L66" s="245" t="str">
        <f>VLOOKUP(A66,'Trips&amp;Operators'!$C$1:$G$99911,5,FALSE)</f>
        <v>BADERTSCHER DIANE</v>
      </c>
      <c r="M66" s="224">
        <f t="shared" si="1"/>
        <v>2.4722222224227153E-2</v>
      </c>
      <c r="N66" s="225">
        <f t="shared" si="40"/>
        <v>35.6000000028871</v>
      </c>
      <c r="O66" s="225"/>
      <c r="P66" s="225"/>
      <c r="Q66" s="228"/>
      <c r="R66" s="242"/>
      <c r="S66" s="249">
        <f t="shared" si="41"/>
        <v>1</v>
      </c>
      <c r="T66" s="242" t="str">
        <f t="shared" si="3"/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4"/>
        <v>https://d0f6bd738d7f1b3e5a7ca70fe4ff75f0.us-east-1.aws.found.io/app/kibana#/discover/Steve-Slow-Train-Analysis-(2080s-and-2083s)?_g=(refreshInterval:(display:Off,pause:!f,section:0,value:0),time:(from:'2017-12-23T09:12:36-0700',mode:absolute,to:'2017-12-23T11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247" t="str">
        <f>IF(AA66&lt;VLOOKUP(AG66,Variables!$AC$3:$AD$8,2,FALSE),"Y","N")</f>
        <v>N</v>
      </c>
      <c r="X66" s="247">
        <f t="shared" si="39"/>
        <v>1</v>
      </c>
      <c r="Y66" s="247">
        <f t="shared" si="38"/>
        <v>4.8000000000000001E-2</v>
      </c>
      <c r="Z66" s="247">
        <f t="shared" si="37"/>
        <v>23.3291</v>
      </c>
      <c r="AA66" s="247">
        <f t="shared" si="5"/>
        <v>23.281100000000002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6"/>
        <v>153</v>
      </c>
      <c r="AE66" s="235" t="str">
        <f t="shared" si="7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66" s="234" t="str">
        <f t="shared" si="8"/>
        <v>"C:\Program Files (x86)\AstroGrep\AstroGrep.exe" /e /r /s /spath="%USERPROFILE%\AppData\Local\Temp\OnboardLogs" /stypes="app*4002*20171223*" /stext=" 17:.+((SYSTEM_STATE.+slice.+state.+changed )|(ment ac)|(multiple cpu faults)|(system.+state.+changed )|(\[timeout)|(PRM\|1\|D)|(kpr)|(kdp)|(train st.+moving)|(\|lc)|(penalty))"</v>
      </c>
      <c r="AG66" s="244" t="str">
        <f t="shared" si="9"/>
        <v>EC</v>
      </c>
      <c r="AH66" s="236" t="str">
        <f t="shared" si="29"/>
        <v>"%USERPROFILE%\Documents\GitHub\eaglep3\Utilities\RefineRTDCRunTimes.py" --tripid 153-23 --locoid 4002 --swversion DE.1.0.9.0 --startMP 204:480 --initTime 2017-12-23T10:12:36 --startdatetime 2017-12-23T10:15:15 --delay 66 --endMP 204:233291 --enddatetime 2017-12-23T10:50:51 --enforcementcount 0 &gt;&gt;%USERPROFILE%\Documents\GitHub\eaglep3-reporting\EC\2017-12-23-refined-times.txt</v>
      </c>
      <c r="AI6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ID","value":"153-23"},{"id":16,"name":"Locomotive ID","value":"4002"},{"id":130,"name":"Impact","value":""},{"id":150,"name":"Time of Event (Mountain Time)","value":"10:50:51"},{"id":151,"name":"Denver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31"/>
        <v>start /low /b %USERPROFILE%\Documents\GitHub\eaglep3\Utilities\DownloadLogsFromS3.py --loco 4002 --day 2017-12-23</v>
      </c>
      <c r="AN6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33"/>
        <v>https://d0f6bd738d7f1b3e5a7ca70fe4ff75f0.us-east-1.aws.found.io/app/kibana#/discover/Steve-Slow-Train-Analysis-(2080s-and-2083s)?_g=(refreshInterval:(display:Off,pause:!f,section:0,value:0),time:(from:'2017-12-23T09:12:36-0700',mode:absolute,to:'2017-12-23T11:50:51-0700'))&amp;_a=(columns:!('Message%20ID',Summary),filters:!(),index:'emp_*',interval:auto,query:(query_string:(analyze_wildcard:!t,query:'%22rtdc.l.rtdc.4002%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775</v>
      </c>
      <c r="B67" s="225">
        <v>4001</v>
      </c>
      <c r="C67" s="227" t="s">
        <v>192</v>
      </c>
      <c r="D67" s="227" t="s">
        <v>635</v>
      </c>
      <c r="E67" s="226">
        <v>43092.462800925925</v>
      </c>
      <c r="F67" s="226">
        <v>43092.466840277775</v>
      </c>
      <c r="G67" s="225">
        <v>96</v>
      </c>
      <c r="H67" s="227" t="s">
        <v>923</v>
      </c>
      <c r="I67" s="226">
        <v>43092.494212962964</v>
      </c>
      <c r="J67" s="225">
        <v>0</v>
      </c>
      <c r="K67" s="237" t="str">
        <f t="shared" si="0"/>
        <v>4001/4002</v>
      </c>
      <c r="L67" s="245" t="str">
        <f>VLOOKUP(A67,'Trips&amp;Operators'!$C$1:$G$99911,5,FALSE)</f>
        <v>BADERTSCHER DIANE</v>
      </c>
      <c r="M67" s="224">
        <f t="shared" si="1"/>
        <v>2.7372685188311152E-2</v>
      </c>
      <c r="N67" s="225">
        <f t="shared" si="40"/>
        <v>39.416666671168059</v>
      </c>
      <c r="O67" s="225"/>
      <c r="P67" s="225"/>
      <c r="Q67" s="228"/>
      <c r="R67" s="242"/>
      <c r="S67" s="249">
        <f t="shared" si="41"/>
        <v>1</v>
      </c>
      <c r="T67" s="242" t="str">
        <f t="shared" si="3"/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4"/>
        <v>https://d0f6bd738d7f1b3e5a7ca70fe4ff75f0.us-east-1.aws.found.io/app/kibana#/discover/Steve-Slow-Train-Analysis-(2080s-and-2083s)?_g=(refreshInterval:(display:Off,pause:!f,section:0,value:0),time:(from:'2017-12-23T10:06:26-0700',mode:absolute,to:'2017-12-23T12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247" t="str">
        <f>IF(AA67&lt;VLOOKUP(AG67,Variables!$AC$3:$AD$8,2,FALSE),"Y","N")</f>
        <v>N</v>
      </c>
      <c r="X67" s="247">
        <f t="shared" si="39"/>
        <v>1</v>
      </c>
      <c r="Y67" s="247">
        <f t="shared" si="38"/>
        <v>23.294599999999999</v>
      </c>
      <c r="Z67" s="247">
        <f t="shared" si="37"/>
        <v>2.29E-2</v>
      </c>
      <c r="AA67" s="247">
        <f t="shared" si="5"/>
        <v>23.271699999999999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6"/>
        <v>154</v>
      </c>
      <c r="AE67" s="235" t="str">
        <f t="shared" si="7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67" s="234" t="str">
        <f t="shared" si="8"/>
        <v>"C:\Program Files (x86)\AstroGrep\AstroGrep.exe" /e /r /s /spath="%USERPROFILE%\AppData\Local\Temp\OnboardLogs" /stypes="app*4001*20171223*" /stext=" 18:.+((SYSTEM_STATE.+slice.+state.+changed )|(ment ac)|(multiple cpu faults)|(system.+state.+changed )|(\[timeout)|(PRM\|1\|D)|(kpr)|(kdp)|(train st.+moving)|(\|lc)|(penalty))"</v>
      </c>
      <c r="AG67" s="244" t="str">
        <f t="shared" si="9"/>
        <v>EC</v>
      </c>
      <c r="AH67" s="236" t="str">
        <f t="shared" si="29"/>
        <v>"%USERPROFILE%\Documents\GitHub\eaglep3\Utilities\RefineRTDCRunTimes.py" --tripid 154-23 --locoid 4001 --swversion DE.1.0.9.0 --startMP 204:232946 --initTime 2017-12-23T11:06:26 --startdatetime 2017-12-23T11:12:15 --delay 96 --endMP 204:229 --enddatetime 2017-12-23T11:51:40 --enforcementcount 0 &gt;&gt;%USERPROFILE%\Documents\GitHub\eaglep3-reporting\EC\2017-12-23-refined-times.txt</v>
      </c>
      <c r="AI6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ID","value":"154-23"},{"id":16,"name":"Locomotive ID","value":"4001"},{"id":130,"name":"Impact","value":""},{"id":150,"name":"Time of Event (Mountain Time)","value":"11:51:40"},{"id":151,"name":"Denver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31"/>
        <v>start /low /b %USERPROFILE%\Documents\GitHub\eaglep3\Utilities\DownloadLogsFromS3.py --loco 4001 --day 2017-12-23</v>
      </c>
      <c r="AN6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33"/>
        <v>https://d0f6bd738d7f1b3e5a7ca70fe4ff75f0.us-east-1.aws.found.io/app/kibana#/discover/Steve-Slow-Train-Analysis-(2080s-and-2083s)?_g=(refreshInterval:(display:Off,pause:!f,section:0,value:0),time:(from:'2017-12-23T10:06:26-0700',mode:absolute,to:'2017-12-23T12:51:40-0700'))&amp;_a=(columns:!('Message%20ID',Summary),filters:!(),index:'emp_*',interval:auto,query:(query_string:(analyze_wildcard:!t,query:'%22rtdc.l.rtdc.4001%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768</v>
      </c>
      <c r="B68" s="225">
        <v>4052</v>
      </c>
      <c r="C68" s="227" t="s">
        <v>192</v>
      </c>
      <c r="D68" s="227" t="s">
        <v>517</v>
      </c>
      <c r="E68" s="226">
        <v>43092.435763888891</v>
      </c>
      <c r="F68" s="226">
        <v>43092.437719907408</v>
      </c>
      <c r="G68" s="225">
        <v>52</v>
      </c>
      <c r="H68" s="227" t="s">
        <v>943</v>
      </c>
      <c r="I68" s="226">
        <v>43092.462083333332</v>
      </c>
      <c r="J68" s="225">
        <v>0</v>
      </c>
      <c r="K68" s="237" t="str">
        <f t="shared" si="0"/>
        <v>4051/4052</v>
      </c>
      <c r="L68" s="245" t="str">
        <f>VLOOKUP(A68,'Trips&amp;Operators'!$C$1:$G$99911,5,FALSE)</f>
        <v>MACDONALD THOMAS</v>
      </c>
      <c r="M68" s="224">
        <f t="shared" si="1"/>
        <v>2.4363425924093463E-2</v>
      </c>
      <c r="N68" s="225">
        <f t="shared" si="40"/>
        <v>35.083333330694586</v>
      </c>
      <c r="O68" s="225"/>
      <c r="P68" s="225"/>
      <c r="Q68" s="228"/>
      <c r="R68" s="242"/>
      <c r="S68" s="249">
        <f t="shared" si="41"/>
        <v>1</v>
      </c>
      <c r="T68" s="242" t="str">
        <f t="shared" si="3"/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4"/>
        <v>https://d0f6bd738d7f1b3e5a7ca70fe4ff75f0.us-east-1.aws.found.io/app/kibana#/discover/Steve-Slow-Train-Analysis-(2080s-and-2083s)?_g=(refreshInterval:(display:Off,pause:!f,section:0,value:0),time:(from:'2017-12-23T09:27:30-0700',mode:absolute,to:'2017-12-23T12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247" t="str">
        <f>IF(AA68&lt;VLOOKUP(AG68,Variables!$AC$3:$AD$8,2,FALSE),"Y","N")</f>
        <v>N</v>
      </c>
      <c r="X68" s="247">
        <f t="shared" si="39"/>
        <v>1</v>
      </c>
      <c r="Y68" s="247">
        <f t="shared" si="38"/>
        <v>5.2600000000000001E-2</v>
      </c>
      <c r="Z68" s="247">
        <f t="shared" si="37"/>
        <v>23.320799999999998</v>
      </c>
      <c r="AA68" s="247">
        <f t="shared" si="5"/>
        <v>23.268199999999997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6"/>
        <v>155</v>
      </c>
      <c r="AE68" s="235" t="str">
        <f t="shared" si="7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68" s="234" t="str">
        <f t="shared" si="8"/>
        <v>"C:\Program Files (x86)\AstroGrep\AstroGrep.exe" /e /r /s /spath="%USERPROFILE%\AppData\Local\Temp\OnboardLogs" /stypes="app*4052*20171223*" /stext=" 18:.+((SYSTEM_STATE.+slice.+state.+changed )|(ment ac)|(multiple cpu faults)|(system.+state.+changed )|(\[timeout)|(PRM\|1\|D)|(kpr)|(kdp)|(train st.+moving)|(\|lc)|(penalty))"</v>
      </c>
      <c r="AG68" s="244" t="str">
        <f t="shared" si="9"/>
        <v>EC</v>
      </c>
      <c r="AH68" s="236" t="str">
        <f t="shared" si="29"/>
        <v>"%USERPROFILE%\Documents\GitHub\eaglep3\Utilities\RefineRTDCRunTimes.py" --tripid 155-23 --locoid 4052 --swversion DE.1.0.9.0 --startMP 204:526 --initTime 2017-12-23T10:27:30 --startdatetime 2017-12-23T10:30:19 --delay 52 --endMP 204:233208 --enddatetime 2017-12-23T11:05:24 --enforcementcount 0 &gt;&gt;%USERPROFILE%\Documents\GitHub\eaglep3-reporting\EC\2017-12-23-refined-times.txt</v>
      </c>
      <c r="AI6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{"issue":{"subject":"","project_id":79,"tracker_id":40,"status_id":1,"priority_id":2,"assigned_to_id":338,"start_date":"2017-12-23","description":"","custom_fields":[{"id":1,"name":"Subdivision","value":"EC"},{"id":4,"name":"Milepost","value":"23.3208"},{"id":17,"name":"Train ID","value":"155-23"},{"id":16,"name":"Locomotive ID","value":"4052"},{"id":130,"name":"Impact","value":""},{"id":150,"name":"Time of Event (Mountain Time)","value":"11:05:24"},{"id":151,"name":"Denver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31"/>
        <v>start /low /b %USERPROFILE%\Documents\GitHub\eaglep3\Utilities\DownloadLogsFromS3.py --loco 4052 --day 2017-12-23</v>
      </c>
      <c r="AN6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33"/>
        <v>https://d0f6bd738d7f1b3e5a7ca70fe4ff75f0.us-east-1.aws.found.io/app/kibana#/discover/Steve-Slow-Train-Analysis-(2080s-and-2083s)?_g=(refreshInterval:(display:Off,pause:!f,section:0,value:0),time:(from:'2017-12-23T09:27:30-0700',mode:absolute,to:'2017-12-23T12:05:24-0700'))&amp;_a=(columns:!('Message%20ID',Summary),filters:!(),index:'emp_*',interval:auto,query:(query_string:(analyze_wildcard:!t,query:'%22rtdc.l.rtdc.4052%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666</v>
      </c>
      <c r="B69" s="225">
        <v>4051</v>
      </c>
      <c r="C69" s="227" t="s">
        <v>192</v>
      </c>
      <c r="D69" s="227" t="s">
        <v>944</v>
      </c>
      <c r="E69" s="226">
        <v>43092.496296296296</v>
      </c>
      <c r="F69" s="226">
        <v>43092.497175925928</v>
      </c>
      <c r="G69" s="225">
        <v>40</v>
      </c>
      <c r="H69" s="227" t="s">
        <v>945</v>
      </c>
      <c r="I69" s="226">
        <v>43092.504178240742</v>
      </c>
      <c r="J69" s="225">
        <v>0</v>
      </c>
      <c r="K69" s="237" t="str">
        <f t="shared" si="0"/>
        <v>4051/4052</v>
      </c>
      <c r="L69" s="245" t="str">
        <f>VLOOKUP(A69,'Trips&amp;Operators'!$C$1:$G$99911,5,FALSE)</f>
        <v>MACDONALD THOMAS</v>
      </c>
      <c r="M69" s="224">
        <f t="shared" si="1"/>
        <v>7.0023148145992309E-3</v>
      </c>
      <c r="N69" s="225">
        <f t="shared" si="40"/>
        <v>10.083333333022892</v>
      </c>
      <c r="O69" s="225"/>
      <c r="P69" s="225"/>
      <c r="Q69" s="228"/>
      <c r="R69" s="242" t="s">
        <v>1105</v>
      </c>
      <c r="S69" s="249">
        <f>1/IF(AG69="EC",12,1)*SUM(U69:U69+U70)</f>
        <v>1</v>
      </c>
      <c r="T69" s="242" t="str">
        <f t="shared" si="3"/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248" t="str">
        <f t="shared" si="4"/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247" t="str">
        <f>IF(AA69&lt;VLOOKUP(AG69,Variables!$AC$3:$AD$8,2,FALSE),"Y","N")</f>
        <v>Y</v>
      </c>
      <c r="X69" s="247">
        <f t="shared" si="39"/>
        <v>1</v>
      </c>
      <c r="Y69" s="247">
        <f t="shared" si="38"/>
        <v>3.7191000000000001</v>
      </c>
      <c r="Z69" s="247">
        <f t="shared" si="37"/>
        <v>2.4E-2</v>
      </c>
      <c r="AA69" s="247">
        <f t="shared" si="5"/>
        <v>3.6951000000000001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6"/>
        <v>156</v>
      </c>
      <c r="AE69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69" s="234" t="str">
        <f t="shared" si="8"/>
        <v>"C:\Program Files (x86)\AstroGrep\AstroGrep.exe" /e /r /s /spath="%USERPROFILE%\AppData\Local\Temp\OnboardLogs" /stypes="app*4051*20171223*" /stext=" 19:.+((SYSTEM_STATE.+slice.+state.+changed )|(ment ac)|(multiple cpu faults)|(system.+state.+changed )|(\[timeout)|(PRM\|1\|D)|(kpr)|(kdp)|(train st.+moving)|(\|lc)|(penalty))"</v>
      </c>
      <c r="AG69" s="244" t="str">
        <f t="shared" si="9"/>
        <v>EC</v>
      </c>
      <c r="AH69" s="236" t="str">
        <f t="shared" si="29"/>
        <v>"%USERPROFILE%\Documents\GitHub\eaglep3\Utilities\RefineRTDCRunTimes.py" --tripid 156-23 --locoid 4051 --swversion DE.1.0.9.0 --startMP 204:37191 --initTime 2017-12-23T11:54:40 --startdatetime 2017-12-23T11:55:56 --delay 40 --endMP 204:240 --enddatetime 2017-12-23T12:06:01 --enforcementcount 0 &gt;&gt;%USERPROFILE%\Documents\GitHub\eaglep3-reporting\EC\2017-12-23-refined-times.txt</v>
      </c>
      <c r="AI69" s="238" t="str">
        <f t="shared" si="30"/>
        <v>echo {"issue":{"subject":"Premature downgrade EC0386RH 44-2T 2S","project_id":79,"tracker_id":40,"status_id":1,"priority_id":2,"assigned_to_id":338,"start_date":"2017-12-23","description":"","custom_fields":[{"id":1,"name":"Subdivision","value":"EC"},{"id":4,"name":"Milepost","value":"0.024"},{"id":17,"name":"Train ID","value":"156-23"},{"id":16,"name":"Locomotive ID","value":"4051"},{"id":130,"name":"Impact","value":""},{"id":150,"name":"Time of Event (Mountain Time)","value":"12:06:01"},{"id":151,"name":"Denver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31"/>
        <v>start /low /b %USERPROFILE%\Documents\GitHub\eaglep3\Utilities\DownloadLogsFromS3.py --loco 4051 --day 2017-12-23</v>
      </c>
      <c r="AN69" s="241" t="str">
        <f t="shared" si="32"/>
        <v>echo {"issue":{"subject":"Premature downgrade EC0386RH 44-2T 2S","project_id":30,"tracker_id":4,"status_id":1,"priority_id":1,"assigned_to_id":10,"start_date":"2017-12-23","description":"","custom_fields":[{"id":30,"name":"Category","value":"Issue"},{"id":3,"name":"Functional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33"/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Message%20ID',Summary),filters:!(),index:'emp_*',interval:auto,query:(query_string:(analyze_wildcard:!t,query:'%22rtdc.l.rtdc.4051%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666</v>
      </c>
      <c r="B70" s="225">
        <v>4051</v>
      </c>
      <c r="C70" s="227" t="s">
        <v>192</v>
      </c>
      <c r="D70" s="227" t="s">
        <v>946</v>
      </c>
      <c r="E70" s="226">
        <v>43092.467175925929</v>
      </c>
      <c r="F70" s="226">
        <v>43092.497175925928</v>
      </c>
      <c r="G70" s="225">
        <v>49</v>
      </c>
      <c r="H70" s="227" t="s">
        <v>947</v>
      </c>
      <c r="I70" s="226">
        <v>43092.504178240742</v>
      </c>
      <c r="J70" s="225">
        <v>0</v>
      </c>
      <c r="K70" s="237" t="str">
        <f t="shared" si="0"/>
        <v>4051/4052</v>
      </c>
      <c r="L70" s="245" t="str">
        <f>VLOOKUP(A70,'Trips&amp;Operators'!$C$1:$G$99911,5,FALSE)</f>
        <v>MACDONALD THOMAS</v>
      </c>
      <c r="M70" s="224">
        <f t="shared" si="1"/>
        <v>7.0023148145992309E-3</v>
      </c>
      <c r="N70" s="225"/>
      <c r="O70" s="225"/>
      <c r="P70" s="225"/>
      <c r="Q70" s="228"/>
      <c r="R70" s="242"/>
      <c r="S70" s="249"/>
      <c r="T70" s="242" t="str">
        <f t="shared" si="3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9</v>
      </c>
      <c r="V70" s="248" t="str">
        <f t="shared" si="4"/>
        <v>https://d0f6bd738d7f1b3e5a7ca70fe4ff75f0.us-east-1.aws.found.io/app/kibana#/discover/Steve-Slow-Train-Analysis-(2080s-and-2083s)?_g=(refreshInterval:(display:Off,pause:!f,section:0,value:0),time:(from:'2017-12-23T10:12:44-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0" s="247" t="str">
        <f>IF(AA70&lt;VLOOKUP(AG70,Variables!$AC$3:$AD$8,2,FALSE),"Y","N")</f>
        <v>Y</v>
      </c>
      <c r="X70" s="247">
        <f t="shared" si="39"/>
        <v>0</v>
      </c>
      <c r="Y70" s="247">
        <f t="shared" si="38"/>
        <v>23.288699999999999</v>
      </c>
      <c r="Z70" s="247">
        <f t="shared" si="37"/>
        <v>3.7193000000000001</v>
      </c>
      <c r="AA70" s="247">
        <f t="shared" si="5"/>
        <v>19.569399999999998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6"/>
        <v>156</v>
      </c>
      <c r="AE70" s="235" t="str">
        <f t="shared" si="7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70" s="234" t="str">
        <f t="shared" si="8"/>
        <v>"C:\Program Files (x86)\AstroGrep\AstroGrep.exe" /e /r /s /spath="%USERPROFILE%\AppData\Local\Temp\OnboardLogs" /stypes="app*4051*20171223*" /stext=" 19:.+((SYSTEM_STATE.+slice.+state.+changed )|(ment ac)|(multiple cpu faults)|(system.+state.+changed )|(\[timeout)|(PRM\|1\|D)|(kpr)|(kdp)|(train st.+moving)|(\|lc)|(penalty))"</v>
      </c>
      <c r="AG70" s="244" t="str">
        <f t="shared" si="9"/>
        <v>EC</v>
      </c>
      <c r="AH70" s="236" t="str">
        <f t="shared" si="29"/>
        <v>"%USERPROFILE%\Documents\GitHub\eaglep3\Utilities\RefineRTDCRunTimes.py" --tripid 156-23 --locoid 4051 --swversion DE.1.0.9.0 --startMP 204:232887 --initTime 2017-12-23T11:12:44 --startdatetime 2017-12-23T11:55:56 --delay 49 --endMP 204:37193 --enddatetime 2017-12-23T12:06:01 --enforcementcount 0 &gt;&gt;%USERPROFILE%\Documents\GitHub\eaglep3-reporting\EC\2017-12-23-refined-times.txt</v>
      </c>
      <c r="AI70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{"issue":{"subject":"","project_id":79,"tracker_id":40,"status_id":1,"priority_id":2,"assigned_to_id":338,"start_date":"2017-12-23","description":"","custom_fields":[{"id":1,"name":"Subdivision","value":"EC"},{"id":4,"name":"Milepost","value":"3.7193"},{"id":17,"name":"Train ID","value":"156-23"},{"id":16,"name":"Locomotive ID","value":"4051"},{"id":130,"name":"Impact","value":""},{"id":150,"name":"Time of Event (Mountain Time)","value":"12:06:01"},{"id":151,"name":"Denver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31"/>
        <v>start /low /b %USERPROFILE%\Documents\GitHub\eaglep3\Utilities\DownloadLogsFromS3.py --loco 4051 --day 2017-12-23</v>
      </c>
      <c r="AN70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33"/>
        <v>https://d0f6bd738d7f1b3e5a7ca70fe4ff75f0.us-east-1.aws.found.io/app/kibana#/discover/Steve-Slow-Train-Analysis-(2080s-and-2083s)?_g=(refreshInterval:(display:Off,pause:!f,section:0,value:0),time:(from:'2017-12-23T10:12:44-0700',mode:absolute,to:'2017-12-23T13:06:01-0700'))&amp;_a=(columns:!('Message%20ID',Summary),filters:!(),index:'emp_*',interval:auto,query:(query_string:(analyze_wildcard:!t,query:'%22rtdc.l.rtdc.4051%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769</v>
      </c>
      <c r="B71" s="225">
        <v>4016</v>
      </c>
      <c r="C71" s="227" t="s">
        <v>192</v>
      </c>
      <c r="D71" s="227" t="s">
        <v>550</v>
      </c>
      <c r="E71" s="226">
        <v>43092.443043981482</v>
      </c>
      <c r="F71" s="226">
        <v>43092.448067129626</v>
      </c>
      <c r="G71" s="225">
        <v>66</v>
      </c>
      <c r="H71" s="227" t="s">
        <v>934</v>
      </c>
      <c r="I71" s="226">
        <v>43092.471539351849</v>
      </c>
      <c r="J71" s="225">
        <v>0</v>
      </c>
      <c r="K71" s="237" t="str">
        <f t="shared" si="0"/>
        <v>4015/4016</v>
      </c>
      <c r="L71" s="245" t="str">
        <f>VLOOKUP(A71,'Trips&amp;Operators'!$C$1:$G$99911,5,FALSE)</f>
        <v>ROMERO CHAD</v>
      </c>
      <c r="M71" s="224">
        <f t="shared" si="1"/>
        <v>2.3472222223063E-2</v>
      </c>
      <c r="N71" s="225">
        <f t="shared" ref="N71:N92" si="42">24*60*SUM($M71:$M71)</f>
        <v>33.800000001210719</v>
      </c>
      <c r="O71" s="225"/>
      <c r="P71" s="225"/>
      <c r="Q71" s="228"/>
      <c r="R71" s="242"/>
      <c r="S71" s="249">
        <f t="shared" ref="S71:S102" si="43">1/IF(AG71="EC",12,1)*SUM(U71:U71)</f>
        <v>1</v>
      </c>
      <c r="T71" s="242" t="str">
        <f t="shared" si="3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4"/>
        <v>https://d0f6bd738d7f1b3e5a7ca70fe4ff75f0.us-east-1.aws.found.io/app/kibana#/discover/Steve-Slow-Train-Analysis-(2080s-and-2083s)?_g=(refreshInterval:(display:Off,pause:!f,section:0,value:0),time:(from:'2017-12-23T09:37:59-0700',mode:absolute,to:'2017-12-23T12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47" t="str">
        <f>IF(AA71&lt;VLOOKUP(AG71,Variables!$AC$3:$AD$8,2,FALSE),"Y","N")</f>
        <v>N</v>
      </c>
      <c r="X71" s="247">
        <f t="shared" si="39"/>
        <v>1</v>
      </c>
      <c r="Y71" s="247">
        <f t="shared" si="38"/>
        <v>4.7699999999999999E-2</v>
      </c>
      <c r="Z71" s="247">
        <f t="shared" si="37"/>
        <v>23.323399999999999</v>
      </c>
      <c r="AA71" s="247">
        <f t="shared" si="5"/>
        <v>23.275700000000001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6"/>
        <v>157</v>
      </c>
      <c r="AE71" s="235" t="str">
        <f t="shared" si="7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71" s="234" t="str">
        <f t="shared" si="8"/>
        <v>"C:\Program Files (x86)\AstroGrep\AstroGrep.exe" /e /r /s /spath="%USERPROFILE%\AppData\Local\Temp\OnboardLogs" /stypes="app*4016*20171223*" /stext=" 18:.+((SYSTEM_STATE.+slice.+state.+changed )|(ment ac)|(multiple cpu faults)|(system.+state.+changed )|(\[timeout)|(PRM\|1\|D)|(kpr)|(kdp)|(train st.+moving)|(\|lc)|(penalty))"</v>
      </c>
      <c r="AG71" s="244" t="str">
        <f t="shared" si="9"/>
        <v>EC</v>
      </c>
      <c r="AH71" s="236" t="str">
        <f t="shared" si="29"/>
        <v>"%USERPROFILE%\Documents\GitHub\eaglep3\Utilities\RefineRTDCRunTimes.py" --tripid 157-23 --locoid 4016 --swversion DE.1.0.9.0 --startMP 204:477 --initTime 2017-12-23T10:37:59 --startdatetime 2017-12-23T10:45:13 --delay 66 --endMP 204:233234 --enddatetime 2017-12-23T11:19:01 --enforcementcount 0 &gt;&gt;%USERPROFILE%\Documents\GitHub\eaglep3-reporting\EC\2017-12-23-refined-times.txt</v>
      </c>
      <c r="AI71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ID","value":"157-23"},{"id":16,"name":"Locomotive ID","value":"4016"},{"id":130,"name":"Impact","value":""},{"id":150,"name":"Time of Event (Mountain Time)","value":"11:19:01"},{"id":151,"name":"Denver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31"/>
        <v>start /low /b %USERPROFILE%\Documents\GitHub\eaglep3\Utilities\DownloadLogsFromS3.py --loco 4016 --day 2017-12-23</v>
      </c>
      <c r="AN71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33"/>
        <v>https://d0f6bd738d7f1b3e5a7ca70fe4ff75f0.us-east-1.aws.found.io/app/kibana#/discover/Steve-Slow-Train-Analysis-(2080s-and-2083s)?_g=(refreshInterval:(display:Off,pause:!f,section:0,value:0),time:(from:'2017-12-23T09:37:59-0700',mode:absolute,to:'2017-12-23T12:19:01-0700'))&amp;_a=(columns:!('Message%20ID',Summary),filters:!(),index:'emp_*',interval:auto,query:(query_string:(analyze_wildcard:!t,query:'%22rtdc.l.rtdc.4016%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777</v>
      </c>
      <c r="B72" s="225">
        <v>4015</v>
      </c>
      <c r="C72" s="227" t="s">
        <v>192</v>
      </c>
      <c r="D72" s="227" t="s">
        <v>948</v>
      </c>
      <c r="E72" s="226">
        <v>43092.472615740742</v>
      </c>
      <c r="F72" s="226">
        <v>43092.487870370373</v>
      </c>
      <c r="G72" s="225">
        <v>72</v>
      </c>
      <c r="H72" s="227" t="s">
        <v>909</v>
      </c>
      <c r="I72" s="226">
        <v>43092.513032407405</v>
      </c>
      <c r="J72" s="225">
        <v>0</v>
      </c>
      <c r="K72" s="237" t="str">
        <f t="shared" si="0"/>
        <v>4015/4016</v>
      </c>
      <c r="L72" s="245" t="str">
        <f>VLOOKUP(A72,'Trips&amp;Operators'!$C$1:$G$99911,5,FALSE)</f>
        <v>ROMERO CHAD</v>
      </c>
      <c r="M72" s="224">
        <f t="shared" si="1"/>
        <v>2.5162037032714579E-2</v>
      </c>
      <c r="N72" s="225">
        <f t="shared" si="42"/>
        <v>36.233333327108994</v>
      </c>
      <c r="O72" s="225"/>
      <c r="P72" s="225"/>
      <c r="Q72" s="228"/>
      <c r="R72" s="242"/>
      <c r="S72" s="249">
        <f t="shared" si="43"/>
        <v>1</v>
      </c>
      <c r="T72" s="242" t="str">
        <f t="shared" si="3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4"/>
        <v>https://d0f6bd738d7f1b3e5a7ca70fe4ff75f0.us-east-1.aws.found.io/app/kibana#/discover/Steve-Slow-Train-Analysis-(2080s-and-2083s)?_g=(refreshInterval:(display:Off,pause:!f,section:0,value:0),time:(from:'2017-12-23T10:20:34-0700',mode:absolute,to:'2017-12-23T13:18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47" t="str">
        <f>IF(AA72&lt;VLOOKUP(AG72,Variables!$AC$3:$AD$8,2,FALSE),"Y","N")</f>
        <v>N</v>
      </c>
      <c r="X72" s="247">
        <f t="shared" si="39"/>
        <v>1</v>
      </c>
      <c r="Y72" s="247">
        <f t="shared" si="38"/>
        <v>23.2911</v>
      </c>
      <c r="Z72" s="247">
        <f t="shared" si="37"/>
        <v>2.0899999999999998E-2</v>
      </c>
      <c r="AA72" s="247">
        <f t="shared" si="5"/>
        <v>23.270199999999999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6"/>
        <v>158</v>
      </c>
      <c r="AE72" s="235" t="str">
        <f t="shared" si="7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72" s="234" t="str">
        <f t="shared" si="8"/>
        <v>"C:\Program Files (x86)\AstroGrep\AstroGrep.exe" /e /r /s /spath="%USERPROFILE%\AppData\Local\Temp\OnboardLogs" /stypes="app*4015*20171223*" /stext=" 19:.+((SYSTEM_STATE.+slice.+state.+changed )|(ment ac)|(multiple cpu faults)|(system.+state.+changed )|(\[timeout)|(PRM\|1\|D)|(kpr)|(kdp)|(train st.+moving)|(\|lc)|(penalty))"</v>
      </c>
      <c r="AG72" s="244" t="str">
        <f t="shared" si="9"/>
        <v>EC</v>
      </c>
      <c r="AH72" s="236" t="str">
        <f t="shared" si="29"/>
        <v>"%USERPROFILE%\Documents\GitHub\eaglep3\Utilities\RefineRTDCRunTimes.py" --tripid 158-23 --locoid 4015 --swversion DE.1.0.9.0 --startMP 204:232911 --initTime 2017-12-23T11:20:34 --startdatetime 2017-12-23T11:42:32 --delay 72 --endMP 204:209 --enddatetime 2017-12-23T12:18:46 --enforcementcount 0 &gt;&gt;%USERPROFILE%\Documents\GitHub\eaglep3-reporting\EC\2017-12-23-refined-times.txt</v>
      </c>
      <c r="AI72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ID","value":"158-23"},{"id":16,"name":"Locomotive ID","value":"4015"},{"id":130,"name":"Impact","value":""},{"id":150,"name":"Time of Event (Mountain Time)","value":"12:18:46"},{"id":151,"name":"Denver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31"/>
        <v>start /low /b %USERPROFILE%\Documents\GitHub\eaglep3\Utilities\DownloadLogsFromS3.py --loco 4015 --day 2017-12-23</v>
      </c>
      <c r="AN72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33"/>
        <v>https://d0f6bd738d7f1b3e5a7ca70fe4ff75f0.us-east-1.aws.found.io/app/kibana#/discover/Steve-Slow-Train-Analysis-(2080s-and-2083s)?_g=(refreshInterval:(display:Off,pause:!f,section:0,value:0),time:(from:'2017-12-23T10:20:34-0700',mode:absolute,to:'2017-12-23T13:18:46-0700'))&amp;_a=(columns:!('Message%20ID',Summary),filters:!(),index:'emp_*',interval:auto,query:(query_string:(analyze_wildcard:!t,query:'%22rtdc.l.rtdc.4015%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773</v>
      </c>
      <c r="B73" s="225">
        <v>4026</v>
      </c>
      <c r="C73" s="227" t="s">
        <v>192</v>
      </c>
      <c r="D73" s="227" t="s">
        <v>520</v>
      </c>
      <c r="E73" s="226">
        <v>43092.453923611109</v>
      </c>
      <c r="F73" s="226">
        <v>43092.458553240744</v>
      </c>
      <c r="G73" s="225">
        <v>66</v>
      </c>
      <c r="H73" s="227" t="s">
        <v>614</v>
      </c>
      <c r="I73" s="226">
        <v>43092.483831018515</v>
      </c>
      <c r="J73" s="225">
        <v>0</v>
      </c>
      <c r="K73" s="237" t="str">
        <f t="shared" si="0"/>
        <v>4025/4026</v>
      </c>
      <c r="L73" s="245" t="str">
        <f>VLOOKUP(A73,'Trips&amp;Operators'!$C$1:$G$99911,5,FALSE)</f>
        <v>WILLIAMS DONTE</v>
      </c>
      <c r="M73" s="224">
        <f t="shared" si="1"/>
        <v>2.5277777771407273E-2</v>
      </c>
      <c r="N73" s="225">
        <f t="shared" si="42"/>
        <v>36.399999990826473</v>
      </c>
      <c r="O73" s="225"/>
      <c r="P73" s="225"/>
      <c r="Q73" s="228"/>
      <c r="R73" s="242"/>
      <c r="S73" s="249">
        <f t="shared" si="43"/>
        <v>1</v>
      </c>
      <c r="T73" s="242" t="str">
        <f t="shared" si="3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4"/>
        <v>https://d0f6bd738d7f1b3e5a7ca70fe4ff75f0.us-east-1.aws.found.io/app/kibana#/discover/Steve-Slow-Train-Analysis-(2080s-and-2083s)?_g=(refreshInterval:(display:Off,pause:!f,section:0,value:0),time:(from:'2017-12-23T09:53:39-0700',mode:absolute,to:'2017-12-23T12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47" t="str">
        <f>IF(AA73&lt;VLOOKUP(AG73,Variables!$AC$3:$AD$8,2,FALSE),"Y","N")</f>
        <v>N</v>
      </c>
      <c r="X73" s="247">
        <f t="shared" si="39"/>
        <v>1</v>
      </c>
      <c r="Y73" s="247">
        <f t="shared" si="38"/>
        <v>5.1700000000000003E-2</v>
      </c>
      <c r="Z73" s="247">
        <f t="shared" si="37"/>
        <v>23.321000000000002</v>
      </c>
      <c r="AA73" s="247">
        <f t="shared" si="5"/>
        <v>23.269300000000001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6"/>
        <v>159</v>
      </c>
      <c r="AE73" s="235" t="str">
        <f t="shared" si="7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73" s="234" t="str">
        <f t="shared" si="8"/>
        <v>"C:\Program Files (x86)\AstroGrep\AstroGrep.exe" /e /r /s /spath="%USERPROFILE%\AppData\Local\Temp\OnboardLogs" /stypes="app*4026*20171223*" /stext=" 18:.+((SYSTEM_STATE.+slice.+state.+changed )|(ment ac)|(multiple cpu faults)|(system.+state.+changed )|(\[timeout)|(PRM\|1\|D)|(kpr)|(kdp)|(train st.+moving)|(\|lc)|(penalty))"</v>
      </c>
      <c r="AG73" s="244" t="str">
        <f t="shared" si="9"/>
        <v>EC</v>
      </c>
      <c r="AH73" s="236" t="str">
        <f t="shared" si="29"/>
        <v>"%USERPROFILE%\Documents\GitHub\eaglep3\Utilities\RefineRTDCRunTimes.py" --tripid 159-23 --locoid 4026 --swversion DE.1.0.9.0 --startMP 204:517 --initTime 2017-12-23T10:53:39 --startdatetime 2017-12-23T11:00:19 --delay 66 --endMP 204:233210 --enddatetime 2017-12-23T11:36:43 --enforcementcount 0 &gt;&gt;%USERPROFILE%\Documents\GitHub\eaglep3-reporting\EC\2017-12-23-refined-times.txt</v>
      </c>
      <c r="AI73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{"issue":{"subject":"","project_id":79,"tracker_id":40,"status_id":1,"priority_id":2,"assigned_to_id":338,"start_date":"2017-12-23","description":"","custom_fields":[{"id":1,"name":"Subdivision","value":"EC"},{"id":4,"name":"Milepost","value":"23.321"},{"id":17,"name":"Train ID","value":"159-23"},{"id":16,"name":"Locomotive ID","value":"4026"},{"id":130,"name":"Impact","value":""},{"id":150,"name":"Time of Event (Mountain Time)","value":"11:36:43"},{"id":151,"name":"Denver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31"/>
        <v>start /low /b %USERPROFILE%\Documents\GitHub\eaglep3\Utilities\DownloadLogsFromS3.py --loco 4026 --day 2017-12-23</v>
      </c>
      <c r="AN73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33"/>
        <v>https://d0f6bd738d7f1b3e5a7ca70fe4ff75f0.us-east-1.aws.found.io/app/kibana#/discover/Steve-Slow-Train-Analysis-(2080s-and-2083s)?_g=(refreshInterval:(display:Off,pause:!f,section:0,value:0),time:(from:'2017-12-23T09:53:39-0700',mode:absolute,to:'2017-12-23T12:36:43-0700'))&amp;_a=(columns:!('Message%20ID',Summary),filters:!(),index:'emp_*',interval:auto,query:(query_string:(analyze_wildcard:!t,query:'%22rtdc.l.rtdc.4026%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781</v>
      </c>
      <c r="B74" s="225">
        <v>4025</v>
      </c>
      <c r="C74" s="227" t="s">
        <v>192</v>
      </c>
      <c r="D74" s="227" t="s">
        <v>949</v>
      </c>
      <c r="E74" s="226">
        <v>43092.493009259262</v>
      </c>
      <c r="F74" s="226">
        <v>43092.498101851852</v>
      </c>
      <c r="G74" s="225">
        <v>82</v>
      </c>
      <c r="H74" s="227" t="s">
        <v>506</v>
      </c>
      <c r="I74" s="226">
        <v>43092.524618055555</v>
      </c>
      <c r="J74" s="225">
        <v>0</v>
      </c>
      <c r="K74" s="237" t="str">
        <f t="shared" si="0"/>
        <v>4025/4026</v>
      </c>
      <c r="L74" s="245" t="str">
        <f>VLOOKUP(A74,'Trips&amp;Operators'!$C$1:$G$99911,5,FALSE)</f>
        <v>WILLIAMS DONTE</v>
      </c>
      <c r="M74" s="224">
        <f t="shared" si="1"/>
        <v>2.6516203703067731E-2</v>
      </c>
      <c r="N74" s="225">
        <f t="shared" si="42"/>
        <v>38.183333332417533</v>
      </c>
      <c r="O74" s="225"/>
      <c r="P74" s="225"/>
      <c r="Q74" s="228"/>
      <c r="R74" s="242"/>
      <c r="S74" s="249">
        <f t="shared" si="43"/>
        <v>1</v>
      </c>
      <c r="T74" s="242" t="str">
        <f t="shared" si="3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4"/>
        <v>https://d0f6bd738d7f1b3e5a7ca70fe4ff75f0.us-east-1.aws.found.io/app/kibana#/discover/Steve-Slow-Train-Analysis-(2080s-and-2083s)?_g=(refreshInterval:(display:Off,pause:!f,section:0,value:0),time:(from:'2017-12-23T10:49:56-0700',mode:absolute,to:'2017-12-23T13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47" t="str">
        <f>IF(AA74&lt;VLOOKUP(AG74,Variables!$AC$3:$AD$8,2,FALSE),"Y","N")</f>
        <v>N</v>
      </c>
      <c r="X74" s="247">
        <f t="shared" si="39"/>
        <v>1</v>
      </c>
      <c r="Y74" s="247">
        <f t="shared" si="38"/>
        <v>23.2928</v>
      </c>
      <c r="Z74" s="247">
        <f t="shared" si="37"/>
        <v>2.18E-2</v>
      </c>
      <c r="AA74" s="247">
        <f t="shared" si="5"/>
        <v>23.271000000000001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6"/>
        <v>160</v>
      </c>
      <c r="AE74" s="235" t="str">
        <f t="shared" si="7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74" s="234" t="str">
        <f t="shared" si="8"/>
        <v>"C:\Program Files (x86)\AstroGrep\AstroGrep.exe" /e /r /s /spath="%USERPROFILE%\AppData\Local\Temp\OnboardLogs" /stypes="app*4025*20171223*" /stext=" 19:.+((SYSTEM_STATE.+slice.+state.+changed )|(ment ac)|(multiple cpu faults)|(system.+state.+changed )|(\[timeout)|(PRM\|1\|D)|(kpr)|(kdp)|(train st.+moving)|(\|lc)|(penalty))"</v>
      </c>
      <c r="AG74" s="244" t="str">
        <f t="shared" si="9"/>
        <v>EC</v>
      </c>
      <c r="AH74" s="236" t="str">
        <f t="shared" si="29"/>
        <v>"%USERPROFILE%\Documents\GitHub\eaglep3\Utilities\RefineRTDCRunTimes.py" --tripid 160-23 --locoid 4025 --swversion DE.1.0.9.0 --startMP 204:232928 --initTime 2017-12-23T11:49:56 --startdatetime 2017-12-23T11:57:16 --delay 82 --endMP 204:218 --enddatetime 2017-12-23T12:35:27 --enforcementcount 0 &gt;&gt;%USERPROFILE%\Documents\GitHub\eaglep3-reporting\EC\2017-12-23-refined-times.txt</v>
      </c>
      <c r="AI74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{"issue":{"subject":"","project_id":79,"tracker_id":40,"status_id":1,"priority_id":2,"assigned_to_id":338,"start_date":"2017-12-23","description":"","custom_fields":[{"id":1,"name":"Subdivision","value":"EC"},{"id":4,"name":"Milepost","value":"0.0218"},{"id":17,"name":"Train ID","value":"160-23"},{"id":16,"name":"Locomotive ID","value":"4025"},{"id":130,"name":"Impact","value":""},{"id":150,"name":"Time of Event (Mountain Time)","value":"12:35:27"},{"id":151,"name":"Denver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31"/>
        <v>start /low /b %USERPROFILE%\Documents\GitHub\eaglep3\Utilities\DownloadLogsFromS3.py --loco 4025 --day 2017-12-23</v>
      </c>
      <c r="AN74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33"/>
        <v>https://d0f6bd738d7f1b3e5a7ca70fe4ff75f0.us-east-1.aws.found.io/app/kibana#/discover/Steve-Slow-Train-Analysis-(2080s-and-2083s)?_g=(refreshInterval:(display:Off,pause:!f,section:0,value:0),time:(from:'2017-12-23T10:49:56-0700',mode:absolute,to:'2017-12-23T13:35:27-0700'))&amp;_a=(columns:!('Message%20ID',Summary),filters:!(),index:'emp_*',interval:auto,query:(query_string:(analyze_wildcard:!t,query:'%22rtdc.l.rtdc.4025%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776</v>
      </c>
      <c r="B75" s="225">
        <v>4036</v>
      </c>
      <c r="C75" s="227" t="s">
        <v>192</v>
      </c>
      <c r="D75" s="227" t="s">
        <v>637</v>
      </c>
      <c r="E75" s="226">
        <v>43092.463842592595</v>
      </c>
      <c r="F75" s="226">
        <v>43092.468900462962</v>
      </c>
      <c r="G75" s="225">
        <v>77</v>
      </c>
      <c r="H75" s="227" t="s">
        <v>950</v>
      </c>
      <c r="I75" s="226">
        <v>43092.492708333331</v>
      </c>
      <c r="J75" s="225">
        <v>0</v>
      </c>
      <c r="K75" s="237" t="str">
        <f t="shared" si="0"/>
        <v>4035/4036</v>
      </c>
      <c r="L75" s="245" t="str">
        <f>VLOOKUP(A75,'Trips&amp;Operators'!$C$1:$G$99911,5,FALSE)</f>
        <v>MCREYNOLDS KYLE</v>
      </c>
      <c r="M75" s="224">
        <f t="shared" si="1"/>
        <v>2.3807870369637385E-2</v>
      </c>
      <c r="N75" s="225">
        <f t="shared" si="42"/>
        <v>34.283333332277834</v>
      </c>
      <c r="O75" s="225"/>
      <c r="P75" s="225"/>
      <c r="Q75" s="228"/>
      <c r="R75" s="242"/>
      <c r="S75" s="249">
        <f t="shared" si="43"/>
        <v>1</v>
      </c>
      <c r="T75" s="242" t="str">
        <f t="shared" si="3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4"/>
        <v>https://d0f6bd738d7f1b3e5a7ca70fe4ff75f0.us-east-1.aws.found.io/app/kibana#/discover/Steve-Slow-Train-Analysis-(2080s-and-2083s)?_g=(refreshInterval:(display:Off,pause:!f,section:0,value:0),time:(from:'2017-12-23T10:07:56-0700',mode:absolute,to:'2017-12-23T12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5" s="247" t="str">
        <f>IF(AA75&lt;VLOOKUP(AG75,Variables!$AC$3:$AD$8,2,FALSE),"Y","N")</f>
        <v>N</v>
      </c>
      <c r="X75" s="247">
        <f t="shared" si="39"/>
        <v>1</v>
      </c>
      <c r="Y75" s="247">
        <f t="shared" si="38"/>
        <v>5.1900000000000002E-2</v>
      </c>
      <c r="Z75" s="247">
        <f t="shared" si="37"/>
        <v>23.323599999999999</v>
      </c>
      <c r="AA75" s="247">
        <f t="shared" si="5"/>
        <v>23.271699999999999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6"/>
        <v>161</v>
      </c>
      <c r="AE75" s="235" t="str">
        <f t="shared" si="7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75" s="234" t="str">
        <f t="shared" si="8"/>
        <v>"C:\Program Files (x86)\AstroGrep\AstroGrep.exe" /e /r /s /spath="%USERPROFILE%\AppData\Local\Temp\OnboardLogs" /stypes="app*4036*20171223*" /stext=" 18:.+((SYSTEM_STATE.+slice.+state.+changed )|(ment ac)|(multiple cpu faults)|(system.+state.+changed )|(\[timeout)|(PRM\|1\|D)|(kpr)|(kdp)|(train st.+moving)|(\|lc)|(penalty))"</v>
      </c>
      <c r="AG75" s="244" t="str">
        <f t="shared" si="9"/>
        <v>EC</v>
      </c>
      <c r="AH75" s="236" t="str">
        <f t="shared" si="29"/>
        <v>"%USERPROFILE%\Documents\GitHub\eaglep3\Utilities\RefineRTDCRunTimes.py" --tripid 161-23 --locoid 4036 --swversion DE.1.0.9.0 --startMP 204:519 --initTime 2017-12-23T11:07:56 --startdatetime 2017-12-23T11:15:13 --delay 77 --endMP 204:233236 --enddatetime 2017-12-23T11:49:30 --enforcementcount 0 &gt;&gt;%USERPROFILE%\Documents\GitHub\eaglep3-reporting\EC\2017-12-23-refined-times.txt</v>
      </c>
      <c r="AI75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{"issue":{"subject":"","project_id":79,"tracker_id":40,"status_id":1,"priority_id":2,"assigned_to_id":338,"start_date":"2017-12-23","description":"","custom_fields":[{"id":1,"name":"Subdivision","value":"EC"},{"id":4,"name":"Milepost","value":"23.3236"},{"id":17,"name":"Train ID","value":"161-23"},{"id":16,"name":"Locomotive ID","value":"4036"},{"id":130,"name":"Impact","value":""},{"id":150,"name":"Time of Event (Mountain Time)","value":"11:49:30"},{"id":151,"name":"Denver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31"/>
        <v>start /low /b %USERPROFILE%\Documents\GitHub\eaglep3\Utilities\DownloadLogsFromS3.py --loco 4036 --day 2017-12-23</v>
      </c>
      <c r="AN75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33"/>
        <v>https://d0f6bd738d7f1b3e5a7ca70fe4ff75f0.us-east-1.aws.found.io/app/kibana#/discover/Steve-Slow-Train-Analysis-(2080s-and-2083s)?_g=(refreshInterval:(display:Off,pause:!f,section:0,value:0),time:(from:'2017-12-23T10:07:56-0700',mode:absolute,to:'2017-12-23T12:49:30-0700'))&amp;_a=(columns:!('Message%20ID',Summary),filters:!(),index:'emp_*',interval:auto,query:(query_string:(analyze_wildcard:!t,query:'%22rtdc.l.rtdc.4036%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784</v>
      </c>
      <c r="B76" s="225">
        <v>4035</v>
      </c>
      <c r="C76" s="227" t="s">
        <v>192</v>
      </c>
      <c r="D76" s="227" t="s">
        <v>948</v>
      </c>
      <c r="E76" s="226">
        <v>43092.499710648146</v>
      </c>
      <c r="F76" s="226">
        <v>43092.50849537037</v>
      </c>
      <c r="G76" s="225">
        <v>83</v>
      </c>
      <c r="H76" s="227" t="s">
        <v>467</v>
      </c>
      <c r="I76" s="226">
        <v>43092.534212962964</v>
      </c>
      <c r="J76" s="225">
        <v>0</v>
      </c>
      <c r="K76" s="237" t="str">
        <f t="shared" si="0"/>
        <v>4035/4036</v>
      </c>
      <c r="L76" s="245" t="str">
        <f>VLOOKUP(A76,'Trips&amp;Operators'!$C$1:$G$99911,5,FALSE)</f>
        <v>MCREYNOLDS KYLE</v>
      </c>
      <c r="M76" s="224">
        <f t="shared" si="1"/>
        <v>2.5717592594446614E-2</v>
      </c>
      <c r="N76" s="225">
        <f t="shared" si="42"/>
        <v>37.033333336003125</v>
      </c>
      <c r="O76" s="225"/>
      <c r="P76" s="225"/>
      <c r="Q76" s="228"/>
      <c r="R76" s="242"/>
      <c r="S76" s="249">
        <f t="shared" si="43"/>
        <v>1</v>
      </c>
      <c r="T76" s="242" t="str">
        <f t="shared" si="3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4"/>
        <v>https://d0f6bd738d7f1b3e5a7ca70fe4ff75f0.us-east-1.aws.found.io/app/kibana#/discover/Steve-Slow-Train-Analysis-(2080s-and-2083s)?_g=(refreshInterval:(display:Off,pause:!f,section:0,value:0),time:(from:'2017-12-23T10:59:35-0700',mode:absolute,to:'2017-12-23T13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6" s="247" t="str">
        <f>IF(AA76&lt;VLOOKUP(AG76,Variables!$AC$3:$AD$8,2,FALSE),"Y","N")</f>
        <v>N</v>
      </c>
      <c r="X76" s="247">
        <f t="shared" si="39"/>
        <v>1</v>
      </c>
      <c r="Y76" s="247">
        <f t="shared" si="38"/>
        <v>23.2911</v>
      </c>
      <c r="Z76" s="247">
        <f t="shared" ref="Z76:Z111" si="44">RIGHT(H76,LEN(H76)-4)/10000</f>
        <v>2.1100000000000001E-2</v>
      </c>
      <c r="AA76" s="247">
        <f t="shared" si="5"/>
        <v>23.27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6"/>
        <v>162</v>
      </c>
      <c r="AE76" s="235" t="str">
        <f t="shared" si="7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76" s="234" t="str">
        <f t="shared" si="8"/>
        <v>"C:\Program Files (x86)\AstroGrep\AstroGrep.exe" /e /r /s /spath="%USERPROFILE%\AppData\Local\Temp\OnboardLogs" /stypes="app*4035*20171223*" /stext=" 19:.+((SYSTEM_STATE.+slice.+state.+changed )|(ment ac)|(multiple cpu faults)|(system.+state.+changed )|(\[timeout)|(PRM\|1\|D)|(kpr)|(kdp)|(train st.+moving)|(\|lc)|(penalty))"</v>
      </c>
      <c r="AG76" s="244" t="str">
        <f t="shared" si="9"/>
        <v>EC</v>
      </c>
      <c r="AH76" s="236" t="str">
        <f t="shared" si="29"/>
        <v>"%USERPROFILE%\Documents\GitHub\eaglep3\Utilities\RefineRTDCRunTimes.py" --tripid 162-23 --locoid 4035 --swversion DE.1.0.9.0 --startMP 204:232911 --initTime 2017-12-23T11:59:35 --startdatetime 2017-12-23T12:12:14 --delay 83 --endMP 204:211 --enddatetime 2017-12-23T12:49:16 --enforcementcount 0 &gt;&gt;%USERPROFILE%\Documents\GitHub\eaglep3-reporting\EC\2017-12-23-refined-times.txt</v>
      </c>
      <c r="AI76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{"issue":{"subject":"","project_id":79,"tracker_id":40,"status_id":1,"priority_id":2,"assigned_to_id":338,"start_date":"2017-12-23","description":"","custom_fields":[{"id":1,"name":"Subdivision","value":"EC"},{"id":4,"name":"Milepost","value":"0.0211"},{"id":17,"name":"Train ID","value":"162-23"},{"id":16,"name":"Locomotive ID","value":"4035"},{"id":130,"name":"Impact","value":""},{"id":150,"name":"Time of Event (Mountain Time)","value":"12:49:16"},{"id":151,"name":"Denver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31"/>
        <v>start /low /b %USERPROFILE%\Documents\GitHub\eaglep3\Utilities\DownloadLogsFromS3.py --loco 4035 --day 2017-12-23</v>
      </c>
      <c r="AN76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33"/>
        <v>https://d0f6bd738d7f1b3e5a7ca70fe4ff75f0.us-east-1.aws.found.io/app/kibana#/discover/Steve-Slow-Train-Analysis-(2080s-and-2083s)?_g=(refreshInterval:(display:Off,pause:!f,section:0,value:0),time:(from:'2017-12-23T10:59:35-0700',mode:absolute,to:'2017-12-23T13:49:16-0700'))&amp;_a=(columns:!('Message%20ID',Summary),filters:!(),index:'emp_*',interval:auto,query:(query_string:(analyze_wildcard:!t,query:'%22rtdc.l.rtdc.4035%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778</v>
      </c>
      <c r="B77" s="225">
        <v>4030</v>
      </c>
      <c r="C77" s="227" t="s">
        <v>192</v>
      </c>
      <c r="D77" s="227" t="s">
        <v>645</v>
      </c>
      <c r="E77" s="226">
        <v>43092.47452546296</v>
      </c>
      <c r="F77" s="226">
        <v>43092.479467592595</v>
      </c>
      <c r="G77" s="225">
        <v>108</v>
      </c>
      <c r="H77" s="227" t="s">
        <v>624</v>
      </c>
      <c r="I77" s="226">
        <v>43092.504560185182</v>
      </c>
      <c r="J77" s="225">
        <v>0</v>
      </c>
      <c r="K77" s="237" t="str">
        <f t="shared" ref="K77:K140" si="45">IF(ISEVEN(B77),(B77-1)&amp;"/"&amp;B77,B77&amp;"/"&amp;(B77+1))</f>
        <v>4029/4030</v>
      </c>
      <c r="L77" s="245" t="str">
        <f>VLOOKUP(A77,'Trips&amp;Operators'!$C$1:$G$99911,5,FALSE)</f>
        <v>SAFIEF AEIMEN</v>
      </c>
      <c r="M77" s="224">
        <f t="shared" ref="M77:M140" si="46">I77-F77</f>
        <v>2.509259258658858E-2</v>
      </c>
      <c r="N77" s="225">
        <f t="shared" si="42"/>
        <v>36.133333324687555</v>
      </c>
      <c r="O77" s="225"/>
      <c r="P77" s="225"/>
      <c r="Q77" s="228"/>
      <c r="R77" s="242"/>
      <c r="S77" s="249">
        <f t="shared" si="43"/>
        <v>1</v>
      </c>
      <c r="T77" s="242" t="str">
        <f t="shared" ref="T77:T140" si="47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4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-23T10:23:19-0700',mode:absolute,to:'2017-12-23T13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247" t="str">
        <f>IF(AA77&lt;VLOOKUP(AG77,Variables!$AC$3:$AD$8,2,FALSE),"Y","N")</f>
        <v>N</v>
      </c>
      <c r="X77" s="247">
        <f t="shared" si="39"/>
        <v>1</v>
      </c>
      <c r="Y77" s="247">
        <f t="shared" si="38"/>
        <v>4.5499999999999999E-2</v>
      </c>
      <c r="Z77" s="247">
        <f t="shared" si="44"/>
        <v>23.326799999999999</v>
      </c>
      <c r="AA77" s="247">
        <f t="shared" ref="AA77:AA140" si="49">ABS(Z77-Y77)</f>
        <v>23.281299999999998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50">VALUE(LEFT(A77,LEN(A77)-3))</f>
        <v>163</v>
      </c>
      <c r="AE77" s="235" t="str">
        <f t="shared" ref="AE77:AE140" si="5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77" s="234" t="str">
        <f t="shared" ref="AF77:AF140" si="5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/stypes="app*4030*20171223*"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53">DetSubdiv(A77)</f>
        <v>EC</v>
      </c>
      <c r="AH77" s="236" t="str">
        <f t="shared" si="29"/>
        <v>"%USERPROFILE%\Documents\GitHub\eaglep3\Utilities\RefineRTDCRunTimes.py" --tripid 163-23 --locoid 4030 --swversion DE.1.0.9.0 --startMP 204:455 --initTime 2017-12-23T11:23:19 --startdatetime 2017-12-23T11:30:26 --delay 108 --endMP 204:233268 --enddatetime 2017-12-23T12:06:34 --enforcementcount 0 &gt;&gt;%USERPROFILE%\Documents\GitHub\eaglep3-reporting\EC\2017-12-23-refined-times.txt</v>
      </c>
      <c r="AI77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{"issue":{"subject":"","project_id":79,"tracker_id":40,"status_id":1,"priority_id":2,"assigned_to_id":338,"start_date":"2017-12-23","description":"","custom_fields":[{"id":1,"name":"Subdivision","value":"EC"},{"id":4,"name":"Milepost","value":"23.3268"},{"id":17,"name":"Train ID","value":"163-23"},{"id":16,"name":"Locomotive ID","value":"4030"},{"id":130,"name":"Impact","value":""},{"id":150,"name":"Time of Event (Mountain Time)","value":"12:06:34"},{"id":151,"name":"Denver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31"/>
        <v>start /low /b %USERPROFILE%\Documents\GitHub\eaglep3\Utilities\DownloadLogsFromS3.py --loco 4030 --day 2017-12-23</v>
      </c>
      <c r="AN77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33"/>
        <v>https://d0f6bd738d7f1b3e5a7ca70fe4ff75f0.us-east-1.aws.found.io/app/kibana#/discover/Steve-Slow-Train-Analysis-(2080s-and-2083s)?_g=(refreshInterval:(display:Off,pause:!f,section:0,value:0),time:(from:'2017-12-23T10:23:19-0700',mode:absolute,to:'2017-12-23T13:06:34-0700'))&amp;_a=(columns:!('Message%20ID',Summary),filters:!(),index:'emp_*',interval:auto,query:(query_string:(analyze_wildcard:!t,query:'%22rtdc.l.rtdc.4030%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786</v>
      </c>
      <c r="B78" s="225">
        <v>4029</v>
      </c>
      <c r="C78" s="227" t="s">
        <v>192</v>
      </c>
      <c r="D78" s="227" t="s">
        <v>638</v>
      </c>
      <c r="E78" s="226">
        <v>43092.508009259262</v>
      </c>
      <c r="F78" s="226">
        <v>43092.51903935185</v>
      </c>
      <c r="G78" s="225">
        <v>103</v>
      </c>
      <c r="H78" s="227" t="s">
        <v>505</v>
      </c>
      <c r="I78" s="226">
        <v>43092.544768518521</v>
      </c>
      <c r="J78" s="225">
        <v>0</v>
      </c>
      <c r="K78" s="237" t="str">
        <f t="shared" si="45"/>
        <v>4029/4030</v>
      </c>
      <c r="L78" s="245" t="str">
        <f>VLOOKUP(A78,'Trips&amp;Operators'!$C$1:$G$99911,5,FALSE)</f>
        <v>SAFIEF AEIMEN</v>
      </c>
      <c r="M78" s="224">
        <f t="shared" si="46"/>
        <v>2.5729166671226267E-2</v>
      </c>
      <c r="N78" s="225">
        <f t="shared" si="42"/>
        <v>37.050000006565824</v>
      </c>
      <c r="O78" s="225"/>
      <c r="P78" s="225"/>
      <c r="Q78" s="228"/>
      <c r="R78" s="242"/>
      <c r="S78" s="249">
        <f t="shared" si="43"/>
        <v>1</v>
      </c>
      <c r="T78" s="242" t="str">
        <f t="shared" si="47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48"/>
        <v>https://d0f6bd738d7f1b3e5a7ca70fe4ff75f0.us-east-1.aws.found.io/app/kibana#/discover/Steve-Slow-Train-Analysis-(2080s-and-2083s)?_g=(refreshInterval:(display:Off,pause:!f,section:0,value:0),time:(from:'2017-12-23T11:11:32-0700',mode:absolute,to:'2017-12-23T14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247" t="str">
        <f>IF(AA78&lt;VLOOKUP(AG78,Variables!$AC$3:$AD$8,2,FALSE),"Y","N")</f>
        <v>N</v>
      </c>
      <c r="X78" s="247">
        <f t="shared" si="39"/>
        <v>1</v>
      </c>
      <c r="Y78" s="247">
        <f t="shared" si="38"/>
        <v>23.2942</v>
      </c>
      <c r="Z78" s="247">
        <f t="shared" si="44"/>
        <v>2.01E-2</v>
      </c>
      <c r="AA78" s="247">
        <f t="shared" si="49"/>
        <v>23.274100000000001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50"/>
        <v>164</v>
      </c>
      <c r="AE78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78" s="234" t="str">
        <f t="shared" si="52"/>
        <v>"C:\Program Files (x86)\AstroGrep\AstroGrep.exe" /e /r /s /spath="%USERPROFILE%\AppData\Local\Temp\OnboardLogs" /stypes="app*4029*20171223*" /stext=" 20:.+((SYSTEM_STATE.+slice.+state.+changed )|(ment ac)|(multiple cpu faults)|(system.+state.+changed )|(\[timeout)|(PRM\|1\|D)|(kpr)|(kdp)|(train st.+moving)|(\|lc)|(penalty))"</v>
      </c>
      <c r="AG78" s="244" t="str">
        <f t="shared" si="53"/>
        <v>EC</v>
      </c>
      <c r="AH78" s="236" t="str">
        <f t="shared" si="29"/>
        <v>"%USERPROFILE%\Documents\GitHub\eaglep3\Utilities\RefineRTDCRunTimes.py" --tripid 164-23 --locoid 4029 --swversion DE.1.0.9.0 --startMP 204:232942 --initTime 2017-12-23T12:11:32 --startdatetime 2017-12-23T12:27:25 --delay 103 --endMP 204:201 --enddatetime 2017-12-23T13:04:28 --enforcementcount 0 &gt;&gt;%USERPROFILE%\Documents\GitHub\eaglep3-reporting\EC\2017-12-23-refined-times.txt</v>
      </c>
      <c r="AI78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ID","value":"164-23"},{"id":16,"name":"Locomotive ID","value":"4029"},{"id":130,"name":"Impact","value":""},{"id":150,"name":"Time of Event (Mountain Time)","value":"13:04:28"},{"id":151,"name":"Denver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31"/>
        <v>start /low /b %USERPROFILE%\Documents\GitHub\eaglep3\Utilities\DownloadLogsFromS3.py --loco 4029 --day 2017-12-23</v>
      </c>
      <c r="AN78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33"/>
        <v>https://d0f6bd738d7f1b3e5a7ca70fe4ff75f0.us-east-1.aws.found.io/app/kibana#/discover/Steve-Slow-Train-Analysis-(2080s-and-2083s)?_g=(refreshInterval:(display:Off,pause:!f,section:0,value:0),time:(from:'2017-12-23T11:11:32-0700',mode:absolute,to:'2017-12-23T14:04:28-0700'))&amp;_a=(columns:!('Message%20ID',Summary),filters:!(),index:'emp_*',interval:auto,query:(query_string:(analyze_wildcard:!t,query:'%22rtdc.l.rtdc.4029%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780</v>
      </c>
      <c r="B79" s="225">
        <v>4034</v>
      </c>
      <c r="C79" s="227" t="s">
        <v>192</v>
      </c>
      <c r="D79" s="227" t="s">
        <v>926</v>
      </c>
      <c r="E79" s="226">
        <v>43092.483344907407</v>
      </c>
      <c r="F79" s="226">
        <v>43092.489733796298</v>
      </c>
      <c r="G79" s="225">
        <v>69</v>
      </c>
      <c r="H79" s="227" t="s">
        <v>512</v>
      </c>
      <c r="I79" s="226">
        <v>43092.513726851852</v>
      </c>
      <c r="J79" s="225">
        <v>0</v>
      </c>
      <c r="K79" s="237" t="str">
        <f t="shared" si="45"/>
        <v>4033/4034</v>
      </c>
      <c r="L79" s="245" t="str">
        <f>VLOOKUP(A79,'Trips&amp;Operators'!$C$1:$G$99911,5,FALSE)</f>
        <v>GUZMAN DANNY</v>
      </c>
      <c r="M79" s="224">
        <f t="shared" si="46"/>
        <v>2.3993055554456078E-2</v>
      </c>
      <c r="N79" s="225">
        <f t="shared" si="42"/>
        <v>34.549999998416752</v>
      </c>
      <c r="O79" s="225"/>
      <c r="P79" s="225"/>
      <c r="Q79" s="228"/>
      <c r="R79" s="242"/>
      <c r="S79" s="249">
        <f t="shared" si="43"/>
        <v>1</v>
      </c>
      <c r="T79" s="242" t="str">
        <f t="shared" si="47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48"/>
        <v>https://d0f6bd738d7f1b3e5a7ca70fe4ff75f0.us-east-1.aws.found.io/app/kibana#/discover/Steve-Slow-Train-Analysis-(2080s-and-2083s)?_g=(refreshInterval:(display:Off,pause:!f,section:0,value:0),time:(from:'2017-12-23T10:36:01-0700',mode:absolute,to:'2017-12-23T13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9" s="247" t="str">
        <f>IF(AA79&lt;VLOOKUP(AG79,Variables!$AC$3:$AD$8,2,FALSE),"Y","N")</f>
        <v>N</v>
      </c>
      <c r="X79" s="247">
        <f t="shared" si="39"/>
        <v>1</v>
      </c>
      <c r="Y79" s="247">
        <f t="shared" ref="Y79:Y111" si="54">RIGHT(D79,LEN(D79)-4)/10000</f>
        <v>4.4600000000000001E-2</v>
      </c>
      <c r="Z79" s="247">
        <f t="shared" si="44"/>
        <v>23.325700000000001</v>
      </c>
      <c r="AA79" s="247">
        <f t="shared" si="49"/>
        <v>23.281100000000002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50"/>
        <v>165</v>
      </c>
      <c r="AE79" s="235" t="str">
        <f t="shared" si="51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79" s="234" t="str">
        <f t="shared" si="52"/>
        <v>"C:\Program Files (x86)\AstroGrep\AstroGrep.exe" /e /r /s /spath="%USERPROFILE%\AppData\Local\Temp\OnboardLogs" /stypes="app*4034*20171223*" /stext=" 19:.+((SYSTEM_STATE.+slice.+state.+changed )|(ment ac)|(multiple cpu faults)|(system.+state.+changed )|(\[timeout)|(PRM\|1\|D)|(kpr)|(kdp)|(train st.+moving)|(\|lc)|(penalty))"</v>
      </c>
      <c r="AG79" s="244" t="str">
        <f t="shared" si="53"/>
        <v>EC</v>
      </c>
      <c r="AH79" s="236" t="str">
        <f t="shared" si="29"/>
        <v>"%USERPROFILE%\Documents\GitHub\eaglep3\Utilities\RefineRTDCRunTimes.py" --tripid 165-23 --locoid 4034 --swversion DE.1.0.9.0 --startMP 204:446 --initTime 2017-12-23T11:36:01 --startdatetime 2017-12-23T11:45:13 --delay 69 --endMP 204:233257 --enddatetime 2017-12-23T12:19:46 --enforcementcount 0 &gt;&gt;%USERPROFILE%\Documents\GitHub\eaglep3-reporting\EC\2017-12-23-refined-times.txt</v>
      </c>
      <c r="AI79" s="238" t="str">
        <f t="shared" si="30"/>
        <v>echo {"issue":{"subject":"","project_id":79,"tracker_id":40,"status_id":1,"priority_id":2,"assigned_to_id":338,"start_date":"2017-12-23","description":"","custom_fields":[{"id":1,"name":"Subdivision","value":"EC"},{"id":4,"name":"Milepost","value":"23.3257"},{"id":17,"name":"Train ID","value":"165-23"},{"id":16,"name":"Locomotive ID","value":"4034"},{"id":130,"name":"Impact","value":""},{"id":150,"name":"Time of Event (Mountain Time)","value":"12:19:46"},{"id":151,"name":"Denver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31"/>
        <v>start /low /b %USERPROFILE%\Documents\GitHub\eaglep3\Utilities\DownloadLogsFromS3.py --loco 4034 --day 2017-12-23</v>
      </c>
      <c r="AN79" s="241" t="str">
        <f t="shared" si="32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33"/>
        <v>https://d0f6bd738d7f1b3e5a7ca70fe4ff75f0.us-east-1.aws.found.io/app/kibana#/discover/Steve-Slow-Train-Analysis-(2080s-and-2083s)?_g=(refreshInterval:(display:Off,pause:!f,section:0,value:0),time:(from:'2017-12-23T10:36:01-0700',mode:absolute,to:'2017-12-23T13:19:46-0700'))&amp;_a=(columns:!('Message%20ID',Summary),filters:!(),index:'emp_*',interval:auto,query:(query_string:(analyze_wildcard:!t,query:'%22rtdc.l.rtdc.4034%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789</v>
      </c>
      <c r="B80" s="225">
        <v>4033</v>
      </c>
      <c r="C80" s="227" t="s">
        <v>192</v>
      </c>
      <c r="D80" s="227" t="s">
        <v>619</v>
      </c>
      <c r="E80" s="226">
        <v>43092.519236111111</v>
      </c>
      <c r="F80" s="226">
        <v>43092.529340277775</v>
      </c>
      <c r="G80" s="225">
        <v>65</v>
      </c>
      <c r="H80" s="227" t="s">
        <v>622</v>
      </c>
      <c r="I80" s="226">
        <v>43092.555358796293</v>
      </c>
      <c r="J80" s="225">
        <v>0</v>
      </c>
      <c r="K80" s="237" t="str">
        <f t="shared" si="45"/>
        <v>4033/4034</v>
      </c>
      <c r="L80" s="245" t="str">
        <f>VLOOKUP(A80,'Trips&amp;Operators'!$C$1:$G$99911,5,FALSE)</f>
        <v>GUZMAN DANNY</v>
      </c>
      <c r="M80" s="224">
        <f t="shared" si="46"/>
        <v>2.6018518517958E-2</v>
      </c>
      <c r="N80" s="225">
        <f t="shared" si="42"/>
        <v>37.46666666585952</v>
      </c>
      <c r="O80" s="225"/>
      <c r="P80" s="225"/>
      <c r="Q80" s="228"/>
      <c r="R80" s="242"/>
      <c r="S80" s="249">
        <f t="shared" si="43"/>
        <v>1</v>
      </c>
      <c r="T80" s="242" t="str">
        <f t="shared" si="47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48"/>
        <v>https://d0f6bd738d7f1b3e5a7ca70fe4ff75f0.us-east-1.aws.found.io/app/kibana#/discover/Steve-Slow-Train-Analysis-(2080s-and-2083s)?_g=(refreshInterval:(display:Off,pause:!f,section:0,value:0),time:(from:'2017-12-23T11:27:42-0700',mode:absolute,to:'2017-12-23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0" s="247" t="str">
        <f>IF(AA80&lt;VLOOKUP(AG80,Variables!$AC$3:$AD$8,2,FALSE),"Y","N")</f>
        <v>N</v>
      </c>
      <c r="X80" s="247">
        <f t="shared" si="39"/>
        <v>1</v>
      </c>
      <c r="Y80" s="247">
        <f t="shared" si="54"/>
        <v>23.297699999999999</v>
      </c>
      <c r="Z80" s="247">
        <f t="shared" si="44"/>
        <v>1.6299999999999999E-2</v>
      </c>
      <c r="AA80" s="247">
        <f t="shared" si="49"/>
        <v>23.281399999999998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50"/>
        <v>166</v>
      </c>
      <c r="AE80" s="235" t="str">
        <f t="shared" si="51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80" s="234" t="str">
        <f t="shared" si="52"/>
        <v>"C:\Program Files (x86)\AstroGrep\AstroGrep.exe" /e /r /s /spath="%USERPROFILE%\AppData\Local\Temp\OnboardLogs" /stypes="app*4033*20171223*" /stext=" 20:.+((SYSTEM_STATE.+slice.+state.+changed )|(ment ac)|(multiple cpu faults)|(system.+state.+changed )|(\[timeout)|(PRM\|1\|D)|(kpr)|(kdp)|(train st.+moving)|(\|lc)|(penalty))"</v>
      </c>
      <c r="AG80" s="244" t="str">
        <f t="shared" si="53"/>
        <v>EC</v>
      </c>
      <c r="AH80" s="236" t="str">
        <f t="shared" ref="AH80:AH148" si="55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166-23 --locoid 4033 --swversion DE.1.0.9.0 --startMP 204:232977 --initTime 2017-12-23T12:27:42 --startdatetime 2017-12-23T12:42:15 --delay 65 --endMP 204:163 --enddatetime 2017-12-23T13:19:43 --enforcementcount 0 &gt;&gt;%USERPROFILE%\Documents\GitHub\eaglep3-reporting\EC\2017-12-23-refined-times.txt</v>
      </c>
      <c r="AI80" s="238" t="str">
        <f t="shared" ref="AI80:AI148" si="56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{"issue":{"subject":"","project_id":79,"tracker_id":40,"status_id":1,"priority_id":2,"assigned_to_id":338,"start_date":"2017-12-23","description":"","custom_fields":[{"id":1,"name":"Subdivision","value":"EC"},{"id":4,"name":"Milepost","value":"0.0163"},{"id":17,"name":"Train ID","value":"166-23"},{"id":16,"name":"Locomotive ID","value":"4033"},{"id":130,"name":"Impact","value":""},{"id":150,"name":"Time of Event (Mountain Time)","value":"13:19:43"},{"id":151,"name":"Denver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ref="AM80:AM148" si="57">"start /low /b "&amp;dls3logs&amp;" --loco "&amp;B80&amp;" --day "&amp;TEXT(F80,"YYYY-MM-DD")</f>
        <v>start /low /b %USERPROFILE%\Documents\GitHub\eaglep3\Utilities\DownloadLogsFromS3.py --loco 4033 --day 2017-12-23</v>
      </c>
      <c r="AN80" s="241" t="str">
        <f t="shared" ref="AN80:AN148" si="58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ref="AO80:AO148" si="59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-23T11:27:42-0700',mode:absolute,to:'2017-12-23T14:19:43-0700'))&amp;_a=(columns:!('Message%20ID',Summary),filters:!(),index:'emp_*',interval:auto,query:(query_string:(analyze_wildcard:!t,query:'%22rtdc.l.rtdc.4033%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782</v>
      </c>
      <c r="B81" s="225">
        <v>4002</v>
      </c>
      <c r="C81" s="227" t="s">
        <v>192</v>
      </c>
      <c r="D81" s="227" t="s">
        <v>951</v>
      </c>
      <c r="E81" s="226">
        <v>43092.496238425927</v>
      </c>
      <c r="F81" s="226">
        <v>43092.500243055554</v>
      </c>
      <c r="G81" s="225">
        <v>71</v>
      </c>
      <c r="H81" s="227" t="s">
        <v>636</v>
      </c>
      <c r="I81" s="226">
        <v>43092.526631944442</v>
      </c>
      <c r="J81" s="225">
        <v>0</v>
      </c>
      <c r="K81" s="237" t="str">
        <f t="shared" si="45"/>
        <v>4001/4002</v>
      </c>
      <c r="L81" s="245" t="str">
        <f>VLOOKUP(A81,'Trips&amp;Operators'!$C$1:$G$99911,5,FALSE)</f>
        <v>BADERTSCHER DIANE</v>
      </c>
      <c r="M81" s="224">
        <f t="shared" si="46"/>
        <v>2.6388888887595385E-2</v>
      </c>
      <c r="N81" s="225">
        <f t="shared" si="42"/>
        <v>37.999999998137355</v>
      </c>
      <c r="O81" s="225"/>
      <c r="P81" s="225"/>
      <c r="Q81" s="228"/>
      <c r="R81" s="242"/>
      <c r="S81" s="249">
        <f t="shared" si="43"/>
        <v>1</v>
      </c>
      <c r="T81" s="242" t="str">
        <f t="shared" si="47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48"/>
        <v>https://d0f6bd738d7f1b3e5a7ca70fe4ff75f0.us-east-1.aws.found.io/app/kibana#/discover/Steve-Slow-Train-Analysis-(2080s-and-2083s)?_g=(refreshInterval:(display:Off,pause:!f,section:0,value:0),time:(from:'2017-12-23T10:54:35-0700',mode:absolute,to:'2017-12-23T13:38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247" t="str">
        <f>IF(AA81&lt;VLOOKUP(AG81,Variables!$AC$3:$AD$8,2,FALSE),"Y","N")</f>
        <v>N</v>
      </c>
      <c r="X81" s="247">
        <f t="shared" si="39"/>
        <v>1</v>
      </c>
      <c r="Y81" s="247">
        <f t="shared" si="54"/>
        <v>5.1499999999999997E-2</v>
      </c>
      <c r="Z81" s="247">
        <f t="shared" si="44"/>
        <v>23.325500000000002</v>
      </c>
      <c r="AA81" s="247">
        <f t="shared" si="49"/>
        <v>23.274000000000001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50"/>
        <v>167</v>
      </c>
      <c r="AE81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81" s="234" t="str">
        <f t="shared" si="52"/>
        <v>"C:\Program Files (x86)\AstroGrep\AstroGrep.exe" /e /r /s /spath="%USERPROFILE%\AppData\Local\Temp\OnboardLogs" /stypes="app*4002*20171223*" /stext=" 19:.+((SYSTEM_STATE.+slice.+state.+changed )|(ment ac)|(multiple cpu faults)|(system.+state.+changed )|(\[timeout)|(PRM\|1\|D)|(kpr)|(kdp)|(train st.+moving)|(\|lc)|(penalty))"</v>
      </c>
      <c r="AG81" s="244" t="str">
        <f t="shared" si="53"/>
        <v>EC</v>
      </c>
      <c r="AH81" s="236" t="str">
        <f t="shared" si="55"/>
        <v>"%USERPROFILE%\Documents\GitHub\eaglep3\Utilities\RefineRTDCRunTimes.py" --tripid 167-23 --locoid 4002 --swversion DE.1.0.9.0 --startMP 204:515 --initTime 2017-12-23T11:54:35 --startdatetime 2017-12-23T12:00:21 --delay 71 --endMP 204:233255 --enddatetime 2017-12-23T12:38:21 --enforcementcount 0 &gt;&gt;%USERPROFILE%\Documents\GitHub\eaglep3-reporting\EC\2017-12-23-refined-times.txt</v>
      </c>
      <c r="AI8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{"issue":{"subject":"","project_id":79,"tracker_id":40,"status_id":1,"priority_id":2,"assigned_to_id":338,"start_date":"2017-12-23","description":"","custom_fields":[{"id":1,"name":"Subdivision","value":"EC"},{"id":4,"name":"Milepost","value":"23.3255"},{"id":17,"name":"Train ID","value":"167-23"},{"id":16,"name":"Locomotive ID","value":"4002"},{"id":130,"name":"Impact","value":""},{"id":150,"name":"Time of Event (Mountain Time)","value":"12:38:21"},{"id":151,"name":"Denver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57"/>
        <v>start /low /b %USERPROFILE%\Documents\GitHub\eaglep3\Utilities\DownloadLogsFromS3.py --loco 4002 --day 2017-12-23</v>
      </c>
      <c r="AN81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59"/>
        <v>https://d0f6bd738d7f1b3e5a7ca70fe4ff75f0.us-east-1.aws.found.io/app/kibana#/discover/Steve-Slow-Train-Analysis-(2080s-and-2083s)?_g=(refreshInterval:(display:Off,pause:!f,section:0,value:0),time:(from:'2017-12-23T10:54:35-0700',mode:absolute,to:'2017-12-23T13:38:21-0700'))&amp;_a=(columns:!('Message%20ID',Summary),filters:!(),index:'emp_*',interval:auto,query:(query_string:(analyze_wildcard:!t,query:'%22rtdc.l.rtdc.4002%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790</v>
      </c>
      <c r="B82" s="225">
        <v>4001</v>
      </c>
      <c r="C82" s="227" t="s">
        <v>192</v>
      </c>
      <c r="D82" s="227" t="s">
        <v>556</v>
      </c>
      <c r="E82" s="226">
        <v>43092.534224537034</v>
      </c>
      <c r="F82" s="226">
        <v>43092.539780092593</v>
      </c>
      <c r="G82" s="225">
        <v>61</v>
      </c>
      <c r="H82" s="227" t="s">
        <v>952</v>
      </c>
      <c r="I82" s="226">
        <v>43092.566481481481</v>
      </c>
      <c r="J82" s="225">
        <v>0</v>
      </c>
      <c r="K82" s="237" t="str">
        <f t="shared" si="45"/>
        <v>4001/4002</v>
      </c>
      <c r="L82" s="245" t="str">
        <f>VLOOKUP(A82,'Trips&amp;Operators'!$C$1:$G$99911,5,FALSE)</f>
        <v>BADERTSCHER DIANE</v>
      </c>
      <c r="M82" s="224">
        <f t="shared" si="46"/>
        <v>2.6701388887886424E-2</v>
      </c>
      <c r="N82" s="225">
        <f t="shared" si="42"/>
        <v>38.44999999855645</v>
      </c>
      <c r="O82" s="225"/>
      <c r="P82" s="225"/>
      <c r="Q82" s="228"/>
      <c r="R82" s="242"/>
      <c r="S82" s="249">
        <f t="shared" si="43"/>
        <v>1</v>
      </c>
      <c r="T82" s="242" t="str">
        <f t="shared" si="47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48"/>
        <v>https://d0f6bd738d7f1b3e5a7ca70fe4ff75f0.us-east-1.aws.found.io/app/kibana#/discover/Steve-Slow-Train-Analysis-(2080s-and-2083s)?_g=(refreshInterval:(display:Off,pause:!f,section:0,value:0),time:(from:'2017-12-23T11:49:17-0700',mode:absolute,to:'2017-12-23T14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247" t="str">
        <f>IF(AA82&lt;VLOOKUP(AG82,Variables!$AC$3:$AD$8,2,FALSE),"Y","N")</f>
        <v>N</v>
      </c>
      <c r="X82" s="247">
        <f t="shared" ref="X82:X92" si="60">VALUE(LEFT(AD82,4))-VALUE(LEFT(AD81,4))</f>
        <v>1</v>
      </c>
      <c r="Y82" s="247">
        <f t="shared" si="54"/>
        <v>23.293600000000001</v>
      </c>
      <c r="Z82" s="247">
        <f t="shared" si="44"/>
        <v>2.3199999999999998E-2</v>
      </c>
      <c r="AA82" s="247">
        <f t="shared" si="49"/>
        <v>23.270400000000002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50"/>
        <v>168</v>
      </c>
      <c r="AE82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82" s="234" t="str">
        <f t="shared" si="52"/>
        <v>"C:\Program Files (x86)\AstroGrep\AstroGrep.exe" /e /r /s /spath="%USERPROFILE%\AppData\Local\Temp\OnboardLogs" /stypes="app*4001*20171223*" /stext=" 20:.+((SYSTEM_STATE.+slice.+state.+changed )|(ment ac)|(multiple cpu faults)|(system.+state.+changed )|(\[timeout)|(PRM\|1\|D)|(kpr)|(kdp)|(train st.+moving)|(\|lc)|(penalty))"</v>
      </c>
      <c r="AG82" s="244" t="str">
        <f t="shared" si="53"/>
        <v>EC</v>
      </c>
      <c r="AH82" s="236" t="str">
        <f t="shared" si="55"/>
        <v>"%USERPROFILE%\Documents\GitHub\eaglep3\Utilities\RefineRTDCRunTimes.py" --tripid 168-23 --locoid 4001 --swversion DE.1.0.9.0 --startMP 204:232936 --initTime 2017-12-23T12:49:17 --startdatetime 2017-12-23T12:57:17 --delay 61 --endMP 204:232 --enddatetime 2017-12-23T13:35:44 --enforcementcount 0 &gt;&gt;%USERPROFILE%\Documents\GitHub\eaglep3-reporting\EC\2017-12-23-refined-times.txt</v>
      </c>
      <c r="AI8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{"issue":{"subject":"","project_id":79,"tracker_id":40,"status_id":1,"priority_id":2,"assigned_to_id":338,"start_date":"2017-12-23","description":"","custom_fields":[{"id":1,"name":"Subdivision","value":"EC"},{"id":4,"name":"Milepost","value":"0.0232"},{"id":17,"name":"Train ID","value":"168-23"},{"id":16,"name":"Locomotive ID","value":"4001"},{"id":130,"name":"Impact","value":""},{"id":150,"name":"Time of Event (Mountain Time)","value":"13:35:44"},{"id":151,"name":"Denver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57"/>
        <v>start /low /b %USERPROFILE%\Documents\GitHub\eaglep3\Utilities\DownloadLogsFromS3.py --loco 4001 --day 2017-12-23</v>
      </c>
      <c r="AN8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59"/>
        <v>https://d0f6bd738d7f1b3e5a7ca70fe4ff75f0.us-east-1.aws.found.io/app/kibana#/discover/Steve-Slow-Train-Analysis-(2080s-and-2083s)?_g=(refreshInterval:(display:Off,pause:!f,section:0,value:0),time:(from:'2017-12-23T11:49:17-0700',mode:absolute,to:'2017-12-23T14:35:44-0700'))&amp;_a=(columns:!('Message%20ID',Summary),filters:!(),index:'emp_*',interval:auto,query:(query_string:(analyze_wildcard:!t,query:'%22rtdc.l.rtdc.4001%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785</v>
      </c>
      <c r="B83" s="225">
        <v>4052</v>
      </c>
      <c r="C83" s="227" t="s">
        <v>192</v>
      </c>
      <c r="D83" s="227" t="s">
        <v>953</v>
      </c>
      <c r="E83" s="226">
        <v>43092.505937499998</v>
      </c>
      <c r="F83" s="226">
        <v>43092.510567129626</v>
      </c>
      <c r="G83" s="225">
        <v>75</v>
      </c>
      <c r="H83" s="227" t="s">
        <v>954</v>
      </c>
      <c r="I83" s="226">
        <v>43092.534780092596</v>
      </c>
      <c r="J83" s="225">
        <v>0</v>
      </c>
      <c r="K83" s="237" t="str">
        <f t="shared" si="45"/>
        <v>4051/4052</v>
      </c>
      <c r="L83" s="245" t="str">
        <f>VLOOKUP(A83,'Trips&amp;Operators'!$C$1:$G$99911,5,FALSE)</f>
        <v>GONZALEZ ARMANDO</v>
      </c>
      <c r="M83" s="224">
        <f t="shared" si="46"/>
        <v>2.4212962969613727E-2</v>
      </c>
      <c r="N83" s="225">
        <f t="shared" si="42"/>
        <v>34.866666676243767</v>
      </c>
      <c r="O83" s="225"/>
      <c r="P83" s="225"/>
      <c r="Q83" s="228"/>
      <c r="R83" s="242"/>
      <c r="S83" s="249">
        <f t="shared" si="43"/>
        <v>1</v>
      </c>
      <c r="T83" s="242" t="str">
        <f t="shared" si="47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48"/>
        <v>https://d0f6bd738d7f1b3e5a7ca70fe4ff75f0.us-east-1.aws.found.io/app/kibana#/discover/Steve-Slow-Train-Analysis-(2080s-and-2083s)?_g=(refreshInterval:(display:Off,pause:!f,section:0,value:0),time:(from:'2017-12-23T11:08:33-0700',mode:absolute,to:'2017-12-23T13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3" s="247" t="str">
        <f>IF(AA83&lt;VLOOKUP(AG83,Variables!$AC$3:$AD$8,2,FALSE),"Y","N")</f>
        <v>N</v>
      </c>
      <c r="X83" s="247">
        <f t="shared" si="60"/>
        <v>1</v>
      </c>
      <c r="Y83" s="247">
        <f t="shared" si="54"/>
        <v>5.62E-2</v>
      </c>
      <c r="Z83" s="247">
        <f t="shared" si="44"/>
        <v>23.3324</v>
      </c>
      <c r="AA83" s="247">
        <f t="shared" si="49"/>
        <v>23.276199999999999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50"/>
        <v>169</v>
      </c>
      <c r="AE83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83" s="234" t="str">
        <f t="shared" si="52"/>
        <v>"C:\Program Files (x86)\AstroGrep\AstroGrep.exe" /e /r /s /spath="%USERPROFILE%\AppData\Local\Temp\OnboardLogs" /stypes="app*4052*20171223*" /stext=" 19:.+((SYSTEM_STATE.+slice.+state.+changed )|(ment ac)|(multiple cpu faults)|(system.+state.+changed )|(\[timeout)|(PRM\|1\|D)|(kpr)|(kdp)|(train st.+moving)|(\|lc)|(penalty))"</v>
      </c>
      <c r="AG83" s="244" t="str">
        <f t="shared" si="53"/>
        <v>EC</v>
      </c>
      <c r="AH83" s="236" t="str">
        <f t="shared" si="55"/>
        <v>"%USERPROFILE%\Documents\GitHub\eaglep3\Utilities\RefineRTDCRunTimes.py" --tripid 169-23 --locoid 4052 --swversion DE.1.0.9.0 --startMP 204:562 --initTime 2017-12-23T12:08:33 --startdatetime 2017-12-23T12:15:13 --delay 75 --endMP 204:233324 --enddatetime 2017-12-23T12:50:05 --enforcementcount 0 &gt;&gt;%USERPROFILE%\Documents\GitHub\eaglep3-reporting\EC\2017-12-23-refined-times.txt</v>
      </c>
      <c r="AI8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{"issue":{"subject":"","project_id":79,"tracker_id":40,"status_id":1,"priority_id":2,"assigned_to_id":338,"start_date":"2017-12-23","description":"","custom_fields":[{"id":1,"name":"Subdivision","value":"EC"},{"id":4,"name":"Milepost","value":"23.3324"},{"id":17,"name":"Train ID","value":"169-23"},{"id":16,"name":"Locomotive ID","value":"4052"},{"id":130,"name":"Impact","value":""},{"id":150,"name":"Time of Event (Mountain Time)","value":"12:50:05"},{"id":151,"name":"Denver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57"/>
        <v>start /low /b %USERPROFILE%\Documents\GitHub\eaglep3\Utilities\DownloadLogsFromS3.py --loco 4052 --day 2017-12-23</v>
      </c>
      <c r="AN83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59"/>
        <v>https://d0f6bd738d7f1b3e5a7ca70fe4ff75f0.us-east-1.aws.found.io/app/kibana#/discover/Steve-Slow-Train-Analysis-(2080s-and-2083s)?_g=(refreshInterval:(display:Off,pause:!f,section:0,value:0),time:(from:'2017-12-23T11:08:33-0700',mode:absolute,to:'2017-12-23T13:50:05-0700'))&amp;_a=(columns:!('Message%20ID',Summary),filters:!(),index:'emp_*',interval:auto,query:(query_string:(analyze_wildcard:!t,query:'%22rtdc.l.rtdc.4052%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792</v>
      </c>
      <c r="B84" s="225">
        <v>4051</v>
      </c>
      <c r="C84" s="227" t="s">
        <v>192</v>
      </c>
      <c r="D84" s="227" t="s">
        <v>612</v>
      </c>
      <c r="E84" s="226">
        <v>43092.545787037037</v>
      </c>
      <c r="F84" s="226">
        <v>43092.550185185188</v>
      </c>
      <c r="G84" s="225">
        <v>117</v>
      </c>
      <c r="H84" s="227" t="s">
        <v>955</v>
      </c>
      <c r="I84" s="226">
        <v>43092.57916666667</v>
      </c>
      <c r="J84" s="225">
        <v>0</v>
      </c>
      <c r="K84" s="237" t="str">
        <f t="shared" si="45"/>
        <v>4051/4052</v>
      </c>
      <c r="L84" s="245" t="str">
        <f>VLOOKUP(A84,'Trips&amp;Operators'!$C$1:$G$99911,5,FALSE)</f>
        <v>GONZALEZ ARMANDO</v>
      </c>
      <c r="M84" s="224">
        <f t="shared" si="46"/>
        <v>2.8981481482333038E-2</v>
      </c>
      <c r="N84" s="225">
        <f t="shared" si="42"/>
        <v>41.733333334559575</v>
      </c>
      <c r="O84" s="225"/>
      <c r="P84" s="225"/>
      <c r="Q84" s="228"/>
      <c r="R84" s="242" t="s">
        <v>1094</v>
      </c>
      <c r="S84" s="249">
        <f t="shared" si="43"/>
        <v>1</v>
      </c>
      <c r="T84" s="242" t="str">
        <f t="shared" si="47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48"/>
        <v>https://d0f6bd738d7f1b3e5a7ca70fe4ff75f0.us-east-1.aws.found.io/app/kibana#/discover/Steve-Slow-Train-Analysis-(2080s-and-2083s)?_g=(refreshInterval:(display:Off,pause:!f,section:0,value:0),time:(from:'2017-12-23T12:05:56-0700',mode:absolute,to:'2017-12-23T14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247" t="str">
        <f>IF(AA84&lt;VLOOKUP(AG84,Variables!$AC$3:$AD$8,2,FALSE),"Y","N")</f>
        <v>N</v>
      </c>
      <c r="X84" s="247">
        <f t="shared" si="60"/>
        <v>1</v>
      </c>
      <c r="Y84" s="247">
        <f t="shared" si="54"/>
        <v>23.3005</v>
      </c>
      <c r="Z84" s="247">
        <f t="shared" si="44"/>
        <v>1.8700000000000001E-2</v>
      </c>
      <c r="AA84" s="247">
        <f t="shared" si="49"/>
        <v>23.2818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50"/>
        <v>170</v>
      </c>
      <c r="AE84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84" s="234" t="str">
        <f t="shared" si="52"/>
        <v>"C:\Program Files (x86)\AstroGrep\AstroGrep.exe" /e /r /s /spath="%USERPROFILE%\AppData\Local\Temp\OnboardLogs" /stypes="app*4051*20171223*" /stext=" 20:.+((SYSTEM_STATE.+slice.+state.+changed )|(ment ac)|(multiple cpu faults)|(system.+state.+changed )|(\[timeout)|(PRM\|1\|D)|(kpr)|(kdp)|(train st.+moving)|(\|lc)|(penalty))"</v>
      </c>
      <c r="AG84" s="244" t="str">
        <f t="shared" si="53"/>
        <v>EC</v>
      </c>
      <c r="AH84" s="236" t="str">
        <f t="shared" si="55"/>
        <v>"%USERPROFILE%\Documents\GitHub\eaglep3\Utilities\RefineRTDCRunTimes.py" --tripid 170-23 --locoid 4051 --swversion DE.1.0.9.0 --startMP 204:233005 --initTime 2017-12-23T13:05:56 --startdatetime 2017-12-23T13:12:16 --delay 117 --endMP 204:187 --enddatetime 2017-12-23T13:54:00 --enforcementcount 0 &gt;&gt;%USERPROFILE%\Documents\GitHub\eaglep3-reporting\EC\2017-12-23-refined-times.txt</v>
      </c>
      <c r="AI84" s="238" t="str">
        <f t="shared" si="56"/>
        <v>echo {"issue":{"subject":"Delay due to suspicious package at Colorado Sta.","project_id":79,"tracker_id":40,"status_id":1,"priority_id":2,"assigned_to_id":338,"start_date":"2017-12-23","description":"","custom_fields":[{"id":1,"name":"Subdivision","value":"EC"},{"id":4,"name":"Milepost","value":"0.0187"},{"id":17,"name":"Train ID","value":"170-23"},{"id":16,"name":"Locomotive ID","value":"4051"},{"id":130,"name":"Impact","value":""},{"id":150,"name":"Time of Event (Mountain Time)","value":"13:54:00"},{"id":151,"name":"Denver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57"/>
        <v>start /low /b %USERPROFILE%\Documents\GitHub\eaglep3\Utilities\DownloadLogsFromS3.py --loco 4051 --day 2017-12-23</v>
      </c>
      <c r="AN84" s="241" t="str">
        <f t="shared" si="58"/>
        <v>echo {"issue":{"subject":"Delay due to suspicious package at Colorado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59"/>
        <v>https://d0f6bd738d7f1b3e5a7ca70fe4ff75f0.us-east-1.aws.found.io/app/kibana#/discover/Steve-Slow-Train-Analysis-(2080s-and-2083s)?_g=(refreshInterval:(display:Off,pause:!f,section:0,value:0),time:(from:'2017-12-23T12:05:56-0700',mode:absolute,to:'2017-12-23T14:54:00-0700'))&amp;_a=(columns:!('Message%20ID',Summary),filters:!(),index:'emp_*',interval:auto,query:(query_string:(analyze_wildcard:!t,query:'%22rtdc.l.rtdc.4051%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787</v>
      </c>
      <c r="B85" s="225">
        <v>4016</v>
      </c>
      <c r="C85" s="227" t="s">
        <v>192</v>
      </c>
      <c r="D85" s="227" t="s">
        <v>504</v>
      </c>
      <c r="E85" s="226">
        <v>43092.514224537037</v>
      </c>
      <c r="F85" s="226">
        <v>43092.521273148152</v>
      </c>
      <c r="G85" s="225">
        <v>74</v>
      </c>
      <c r="H85" s="227" t="s">
        <v>956</v>
      </c>
      <c r="I85" s="226">
        <v>43092.545740740738</v>
      </c>
      <c r="J85" s="225">
        <v>0</v>
      </c>
      <c r="K85" s="237" t="str">
        <f t="shared" si="45"/>
        <v>4015/4016</v>
      </c>
      <c r="L85" s="245" t="str">
        <f>VLOOKUP(A85,'Trips&amp;Operators'!$C$1:$G$99911,5,FALSE)</f>
        <v>ROMERO CHAD</v>
      </c>
      <c r="M85" s="224">
        <f t="shared" si="46"/>
        <v>2.4467592586006504E-2</v>
      </c>
      <c r="N85" s="225">
        <f t="shared" si="42"/>
        <v>35.233333323849365</v>
      </c>
      <c r="O85" s="225"/>
      <c r="P85" s="225"/>
      <c r="Q85" s="228"/>
      <c r="R85" s="242"/>
      <c r="S85" s="249">
        <f t="shared" si="43"/>
        <v>1</v>
      </c>
      <c r="T85" s="242" t="str">
        <f t="shared" si="47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48"/>
        <v>https://d0f6bd738d7f1b3e5a7ca70fe4ff75f0.us-east-1.aws.found.io/app/kibana#/discover/Steve-Slow-Train-Analysis-(2080s-and-2083s)?_g=(refreshInterval:(display:Off,pause:!f,section:0,value:0),time:(from:'2017-12-23T11:20:29-0700',mode:absolute,to:'2017-12-23T14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247" t="str">
        <f>IF(AA85&lt;VLOOKUP(AG85,Variables!$AC$3:$AD$8,2,FALSE),"Y","N")</f>
        <v>N</v>
      </c>
      <c r="X85" s="247">
        <f t="shared" si="60"/>
        <v>1</v>
      </c>
      <c r="Y85" s="247">
        <f t="shared" si="54"/>
        <v>5.0599999999999999E-2</v>
      </c>
      <c r="Z85" s="247">
        <f t="shared" si="44"/>
        <v>23.334399999999999</v>
      </c>
      <c r="AA85" s="247">
        <f t="shared" si="49"/>
        <v>23.283799999999999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50"/>
        <v>171</v>
      </c>
      <c r="AE85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85" s="234" t="str">
        <f t="shared" si="52"/>
        <v>"C:\Program Files (x86)\AstroGrep\AstroGrep.exe" /e /r /s /spath="%USERPROFILE%\AppData\Local\Temp\OnboardLogs" /stypes="app*4016*20171223*" /stext=" 20:.+((SYSTEM_STATE.+slice.+state.+changed )|(ment ac)|(multiple cpu faults)|(system.+state.+changed )|(\[timeout)|(PRM\|1\|D)|(kpr)|(kdp)|(train st.+moving)|(\|lc)|(penalty))"</v>
      </c>
      <c r="AG85" s="244" t="str">
        <f t="shared" si="53"/>
        <v>EC</v>
      </c>
      <c r="AH85" s="236" t="str">
        <f t="shared" si="55"/>
        <v>"%USERPROFILE%\Documents\GitHub\eaglep3\Utilities\RefineRTDCRunTimes.py" --tripid 171-23 --locoid 4016 --swversion DE.1.0.9.0 --startMP 204:506 --initTime 2017-12-23T12:20:29 --startdatetime 2017-12-23T12:30:38 --delay 74 --endMP 204:233344 --enddatetime 2017-12-23T13:05:52 --enforcementcount 0 &gt;&gt;%USERPROFILE%\Documents\GitHub\eaglep3-reporting\EC\2017-12-23-refined-times.txt</v>
      </c>
      <c r="AI8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{"issue":{"subject":"","project_id":79,"tracker_id":40,"status_id":1,"priority_id":2,"assigned_to_id":338,"start_date":"2017-12-23","description":"","custom_fields":[{"id":1,"name":"Subdivision","value":"EC"},{"id":4,"name":"Milepost","value":"23.3344"},{"id":17,"name":"Train ID","value":"171-23"},{"id":16,"name":"Locomotive ID","value":"4016"},{"id":130,"name":"Impact","value":""},{"id":150,"name":"Time of Event (Mountain Time)","value":"13:05:52"},{"id":151,"name":"Denver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57"/>
        <v>start /low /b %USERPROFILE%\Documents\GitHub\eaglep3\Utilities\DownloadLogsFromS3.py --loco 4016 --day 2017-12-23</v>
      </c>
      <c r="AN8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59"/>
        <v>https://d0f6bd738d7f1b3e5a7ca70fe4ff75f0.us-east-1.aws.found.io/app/kibana#/discover/Steve-Slow-Train-Analysis-(2080s-and-2083s)?_g=(refreshInterval:(display:Off,pause:!f,section:0,value:0),time:(from:'2017-12-23T11:20:29-0700',mode:absolute,to:'2017-12-23T14:05:52-0700'))&amp;_a=(columns:!('Message%20ID',Summary),filters:!(),index:'emp_*',interval:auto,query:(query_string:(analyze_wildcard:!t,query:'%22rtdc.l.rtdc.4016%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668</v>
      </c>
      <c r="B86" s="225">
        <v>4015</v>
      </c>
      <c r="C86" s="227" t="s">
        <v>192</v>
      </c>
      <c r="D86" s="227" t="s">
        <v>957</v>
      </c>
      <c r="E86" s="226">
        <v>43092.546909722223</v>
      </c>
      <c r="F86" s="226">
        <v>43092.560590277775</v>
      </c>
      <c r="G86" s="225">
        <v>67</v>
      </c>
      <c r="H86" s="227" t="s">
        <v>909</v>
      </c>
      <c r="I86" s="226">
        <v>43092.595752314817</v>
      </c>
      <c r="J86" s="225">
        <v>0</v>
      </c>
      <c r="K86" s="237" t="str">
        <f t="shared" si="45"/>
        <v>4015/4016</v>
      </c>
      <c r="L86" s="245" t="str">
        <f>VLOOKUP(A86,'Trips&amp;Operators'!$C$1:$G$99911,5,FALSE)</f>
        <v>ROMERO CHAD</v>
      </c>
      <c r="M86" s="224">
        <f t="shared" si="46"/>
        <v>3.5162037042027805E-2</v>
      </c>
      <c r="N86" s="225">
        <f t="shared" si="42"/>
        <v>50.633333340520039</v>
      </c>
      <c r="O86" s="225"/>
      <c r="P86" s="225"/>
      <c r="Q86" s="228"/>
      <c r="R86" s="242" t="s">
        <v>1091</v>
      </c>
      <c r="S86" s="249">
        <f t="shared" si="43"/>
        <v>1</v>
      </c>
      <c r="T86" s="242" t="str">
        <f t="shared" si="47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48"/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247" t="str">
        <f>IF(AA86&lt;VLOOKUP(AG86,Variables!$AC$3:$AD$8,2,FALSE),"Y","N")</f>
        <v>N</v>
      </c>
      <c r="X86" s="247">
        <f t="shared" si="60"/>
        <v>1</v>
      </c>
      <c r="Y86" s="247">
        <f t="shared" si="54"/>
        <v>23.302099999999999</v>
      </c>
      <c r="Z86" s="247">
        <f t="shared" si="44"/>
        <v>2.0899999999999998E-2</v>
      </c>
      <c r="AA86" s="247">
        <f t="shared" si="49"/>
        <v>23.281199999999998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50"/>
        <v>172</v>
      </c>
      <c r="AE86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86" s="234" t="str">
        <f t="shared" si="52"/>
        <v>"C:\Program Files (x86)\AstroGrep\AstroGrep.exe" /e /r /s /spath="%USERPROFILE%\AppData\Local\Temp\OnboardLogs" /stypes="app*4015*20171223*" /stext=" 21:.+((SYSTEM_STATE.+slice.+state.+changed )|(ment ac)|(multiple cpu faults)|(system.+state.+changed )|(\[timeout)|(PRM\|1\|D)|(kpr)|(kdp)|(train st.+moving)|(\|lc)|(penalty))"</v>
      </c>
      <c r="AG86" s="244" t="str">
        <f t="shared" si="53"/>
        <v>EC</v>
      </c>
      <c r="AH86" s="236" t="str">
        <f t="shared" si="55"/>
        <v>"%USERPROFILE%\Documents\GitHub\eaglep3\Utilities\RefineRTDCRunTimes.py" --tripid 172-23 --locoid 4015 --swversion DE.1.0.9.0 --startMP 204:233021 --initTime 2017-12-23T13:07:33 --startdatetime 2017-12-23T13:27:15 --delay 67 --endMP 204:209 --enddatetime 2017-12-23T14:17:53 --enforcementcount 0 &gt;&gt;%USERPROFILE%\Documents\GitHub\eaglep3-reporting\EC\2017-12-23-refined-times.txt</v>
      </c>
      <c r="AI86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179-23","project_id":79,"tracker_id":40,"status_id":1,"priority_id":2,"assigned_to_id":338,"start_date":"2017-12-23","description":"","custom_fields":[{"id":1,"name":"Subdivision","value":"EC"},{"id":4,"name":"Milepost","value":"0.0209"},{"id":17,"name":"Train ID","value":"172-23"},{"id":16,"name":"Locomotive ID","value":"4015"},{"id":130,"name":"Impact","value":""},{"id":150,"name":"Time of Event (Mountain Time)","value":"14:17:53"},{"id":151,"name":"Denver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57"/>
        <v>start /low /b %USERPROFILE%\Documents\GitHub\eaglep3\Utilities\DownloadLogsFromS3.py --loco 4015 --day 2017-12-23</v>
      </c>
      <c r="AN86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59"/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Message%20ID',Summary),filters:!(),index:'emp_*',interval:auto,query:(query_string:(analyze_wildcard:!t,query:'%22rtdc.l.rtdc.4015%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667</v>
      </c>
      <c r="B87" s="225">
        <v>4026</v>
      </c>
      <c r="C87" s="227" t="s">
        <v>192</v>
      </c>
      <c r="D87" s="227" t="s">
        <v>951</v>
      </c>
      <c r="E87" s="226">
        <v>43092.527673611112</v>
      </c>
      <c r="F87" s="226">
        <v>43092.531481481485</v>
      </c>
      <c r="G87" s="225">
        <v>100</v>
      </c>
      <c r="H87" s="227" t="s">
        <v>558</v>
      </c>
      <c r="I87" s="226">
        <v>43092.555474537039</v>
      </c>
      <c r="J87" s="225">
        <v>0</v>
      </c>
      <c r="K87" s="237" t="str">
        <f t="shared" si="45"/>
        <v>4025/4026</v>
      </c>
      <c r="L87" s="245" t="str">
        <f>VLOOKUP(A87,'Trips&amp;Operators'!$C$1:$G$99911,5,FALSE)</f>
        <v>HOLCOMB KAMDEN</v>
      </c>
      <c r="M87" s="224">
        <f t="shared" si="46"/>
        <v>2.3993055554456078E-2</v>
      </c>
      <c r="N87" s="225">
        <f t="shared" si="42"/>
        <v>34.549999998416752</v>
      </c>
      <c r="O87" s="225"/>
      <c r="P87" s="225"/>
      <c r="Q87" s="228"/>
      <c r="R87" s="242"/>
      <c r="S87" s="249">
        <f t="shared" si="43"/>
        <v>1</v>
      </c>
      <c r="T87" s="242" t="str">
        <f t="shared" si="47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48"/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47" t="str">
        <f>IF(AA87&lt;VLOOKUP(AG87,Variables!$AC$3:$AD$8,2,FALSE),"Y","N")</f>
        <v>N</v>
      </c>
      <c r="X87" s="247">
        <f t="shared" si="60"/>
        <v>1</v>
      </c>
      <c r="Y87" s="247">
        <f t="shared" si="54"/>
        <v>5.1499999999999997E-2</v>
      </c>
      <c r="Z87" s="247">
        <f t="shared" si="44"/>
        <v>23.3291</v>
      </c>
      <c r="AA87" s="247">
        <f t="shared" si="49"/>
        <v>23.2776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50"/>
        <v>173</v>
      </c>
      <c r="AE87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87" s="234" t="str">
        <f t="shared" si="52"/>
        <v>"C:\Program Files (x86)\AstroGrep\AstroGrep.exe" /e /r /s /spath="%USERPROFILE%\AppData\Local\Temp\OnboardLogs" /stypes="app*4026*20171223*" /stext=" 20:.+((SYSTEM_STATE.+slice.+state.+changed )|(ment ac)|(multiple cpu faults)|(system.+state.+changed )|(\[timeout)|(PRM\|1\|D)|(kpr)|(kdp)|(train st.+moving)|(\|lc)|(penalty))"</v>
      </c>
      <c r="AG87" s="244" t="str">
        <f t="shared" si="53"/>
        <v>EC</v>
      </c>
      <c r="AH87" s="236" t="str">
        <f t="shared" si="55"/>
        <v>"%USERPROFILE%\Documents\GitHub\eaglep3\Utilities\RefineRTDCRunTimes.py" --tripid 173-23 --locoid 4026 --swversion DE.1.0.9.0 --startMP 204:515 --initTime 2017-12-23T12:39:51 --startdatetime 2017-12-23T12:45:20 --delay 100 --endMP 204:233291 --enddatetime 2017-12-23T13:19:53 --enforcementcount 0 &gt;&gt;%USERPROFILE%\Documents\GitHub\eaglep3-reporting\EC\2017-12-23-refined-times.txt</v>
      </c>
      <c r="AI8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{"issue":{"subject":"","project_id":79,"tracker_id":40,"status_id":1,"priority_id":2,"assigned_to_id":338,"start_date":"2017-12-23","description":"","custom_fields":[{"id":1,"name":"Subdivision","value":"EC"},{"id":4,"name":"Milepost","value":"23.3291"},{"id":17,"name":"Train ID","value":"173-23"},{"id":16,"name":"Locomotive ID","value":"4026"},{"id":130,"name":"Impact","value":""},{"id":150,"name":"Time of Event (Mountain Time)","value":"13:19:53"},{"id":151,"name":"Denver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57"/>
        <v>start /low /b %USERPROFILE%\Documents\GitHub\eaglep3\Utilities\DownloadLogsFromS3.py --loco 4026 --day 2017-12-23</v>
      </c>
      <c r="AN8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59"/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670</v>
      </c>
      <c r="B88" s="225">
        <v>4025</v>
      </c>
      <c r="C88" s="227" t="s">
        <v>192</v>
      </c>
      <c r="D88" s="227" t="s">
        <v>958</v>
      </c>
      <c r="E88" s="226">
        <v>43092.566307870373</v>
      </c>
      <c r="F88" s="226">
        <v>43092.571006944447</v>
      </c>
      <c r="G88" s="225">
        <v>91</v>
      </c>
      <c r="H88" s="227" t="s">
        <v>959</v>
      </c>
      <c r="I88" s="226">
        <v>43092.605983796297</v>
      </c>
      <c r="J88" s="225">
        <v>0</v>
      </c>
      <c r="K88" s="237" t="str">
        <f t="shared" si="45"/>
        <v>4025/4026</v>
      </c>
      <c r="L88" s="245" t="str">
        <f>VLOOKUP(A88,'Trips&amp;Operators'!$C$1:$G$99911,5,FALSE)</f>
        <v>HOLCOMB KAMDEN</v>
      </c>
      <c r="M88" s="224">
        <f t="shared" si="46"/>
        <v>3.4976851849933155E-2</v>
      </c>
      <c r="N88" s="225">
        <f t="shared" si="42"/>
        <v>50.366666663903743</v>
      </c>
      <c r="O88" s="225"/>
      <c r="P88" s="225"/>
      <c r="Q88" s="228"/>
      <c r="R88" s="242" t="s">
        <v>1091</v>
      </c>
      <c r="S88" s="249">
        <f t="shared" si="43"/>
        <v>1</v>
      </c>
      <c r="T88" s="242" t="str">
        <f t="shared" si="47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48"/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47" t="str">
        <f>IF(AA88&lt;VLOOKUP(AG88,Variables!$AC$3:$AD$8,2,FALSE),"Y","N")</f>
        <v>N</v>
      </c>
      <c r="X88" s="247">
        <f t="shared" si="60"/>
        <v>1</v>
      </c>
      <c r="Y88" s="247">
        <f t="shared" si="54"/>
        <v>23.296900000000001</v>
      </c>
      <c r="Z88" s="247">
        <f t="shared" si="44"/>
        <v>1.67E-2</v>
      </c>
      <c r="AA88" s="247">
        <f t="shared" si="49"/>
        <v>23.280200000000001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50"/>
        <v>174</v>
      </c>
      <c r="AE88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88" s="234" t="str">
        <f t="shared" si="52"/>
        <v>"C:\Program Files (x86)\AstroGrep\AstroGrep.exe" /e /r /s /spath="%USERPROFILE%\AppData\Local\Temp\OnboardLogs" /stypes="app*4025*20171223*" /stext=" 21:.+((SYSTEM_STATE.+slice.+state.+changed )|(ment ac)|(multiple cpu faults)|(system.+state.+changed )|(\[timeout)|(PRM\|1\|D)|(kpr)|(kdp)|(train st.+moving)|(\|lc)|(penalty))"</v>
      </c>
      <c r="AG88" s="244" t="str">
        <f t="shared" si="53"/>
        <v>EC</v>
      </c>
      <c r="AH88" s="236" t="str">
        <f t="shared" si="55"/>
        <v>"%USERPROFILE%\Documents\GitHub\eaglep3\Utilities\RefineRTDCRunTimes.py" --tripid 174-23 --locoid 4025 --swversion DE.1.0.9.0 --startMP 204:232969 --initTime 2017-12-23T13:35:29 --startdatetime 2017-12-23T13:42:15 --delay 91 --endMP 204:167 --enddatetime 2017-12-23T14:32:37 --enforcementcount 0 &gt;&gt;%USERPROFILE%\Documents\GitHub\eaglep3-reporting\EC\2017-12-23-refined-times.txt</v>
      </c>
      <c r="AI88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179-23","project_id":79,"tracker_id":40,"status_id":1,"priority_id":2,"assigned_to_id":338,"start_date":"2017-12-23","description":"","custom_fields":[{"id":1,"name":"Subdivision","value":"EC"},{"id":4,"name":"Milepost","value":"0.0167"},{"id":17,"name":"Train ID","value":"174-23"},{"id":16,"name":"Locomotive ID","value":"4025"},{"id":130,"name":"Impact","value":""},{"id":150,"name":"Time of Event (Mountain Time)","value":"14:32:37"},{"id":151,"name":"Denver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57"/>
        <v>start /low /b %USERPROFILE%\Documents\GitHub\eaglep3\Utilities\DownloadLogsFromS3.py --loco 4025 --day 2017-12-23</v>
      </c>
      <c r="AN88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21:32:37"},{"id":29,"name":"Sharepoint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59"/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791</v>
      </c>
      <c r="B89" s="225">
        <v>4036</v>
      </c>
      <c r="C89" s="227" t="s">
        <v>192</v>
      </c>
      <c r="D89" s="227" t="s">
        <v>517</v>
      </c>
      <c r="E89" s="226">
        <v>43092.536215277774</v>
      </c>
      <c r="F89" s="226">
        <v>43092.541817129626</v>
      </c>
      <c r="G89" s="225">
        <v>52</v>
      </c>
      <c r="H89" s="227" t="s">
        <v>960</v>
      </c>
      <c r="I89" s="226">
        <v>43092.56690972222</v>
      </c>
      <c r="J89" s="225">
        <v>0</v>
      </c>
      <c r="K89" s="237" t="str">
        <f t="shared" si="45"/>
        <v>4035/4036</v>
      </c>
      <c r="L89" s="245" t="str">
        <f>VLOOKUP(A89,'Trips&amp;Operators'!$C$1:$G$99911,5,FALSE)</f>
        <v>MCREYNOLDS KYLE</v>
      </c>
      <c r="M89" s="224">
        <f t="shared" si="46"/>
        <v>2.5092592593864538E-2</v>
      </c>
      <c r="N89" s="225">
        <f t="shared" si="42"/>
        <v>36.133333335164934</v>
      </c>
      <c r="O89" s="225"/>
      <c r="P89" s="225"/>
      <c r="Q89" s="228"/>
      <c r="R89" s="242"/>
      <c r="S89" s="249">
        <f t="shared" si="43"/>
        <v>1</v>
      </c>
      <c r="T89" s="242" t="str">
        <f t="shared" si="47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48"/>
        <v>https://d0f6bd738d7f1b3e5a7ca70fe4ff75f0.us-east-1.aws.found.io/app/kibana#/discover/Steve-Slow-Train-Analysis-(2080s-and-2083s)?_g=(refreshInterval:(display:Off,pause:!f,section:0,value:0),time:(from:'2017-12-23T11:52:09-0700',mode:absolute,to:'2017-12-23T14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9" s="247" t="str">
        <f>IF(AA89&lt;VLOOKUP(AG89,Variables!$AC$3:$AD$8,2,FALSE),"Y","N")</f>
        <v>N</v>
      </c>
      <c r="X89" s="247">
        <f t="shared" si="60"/>
        <v>1</v>
      </c>
      <c r="Y89" s="247">
        <f t="shared" si="54"/>
        <v>5.2600000000000001E-2</v>
      </c>
      <c r="Z89" s="247">
        <f t="shared" si="44"/>
        <v>23.321899999999999</v>
      </c>
      <c r="AA89" s="247">
        <f t="shared" si="49"/>
        <v>23.269299999999998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50"/>
        <v>175</v>
      </c>
      <c r="AE89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89" s="234" t="str">
        <f t="shared" si="52"/>
        <v>"C:\Program Files (x86)\AstroGrep\AstroGrep.exe" /e /r /s /spath="%USERPROFILE%\AppData\Local\Temp\OnboardLogs" /stypes="app*4036*20171223*" /stext=" 20:.+((SYSTEM_STATE.+slice.+state.+changed )|(ment ac)|(multiple cpu faults)|(system.+state.+changed )|(\[timeout)|(PRM\|1\|D)|(kpr)|(kdp)|(train st.+moving)|(\|lc)|(penalty))"</v>
      </c>
      <c r="AG89" s="244" t="str">
        <f t="shared" si="53"/>
        <v>EC</v>
      </c>
      <c r="AH89" s="236" t="str">
        <f t="shared" si="55"/>
        <v>"%USERPROFILE%\Documents\GitHub\eaglep3\Utilities\RefineRTDCRunTimes.py" --tripid 175-23 --locoid 4036 --swversion DE.1.0.9.0 --startMP 204:526 --initTime 2017-12-23T12:52:09 --startdatetime 2017-12-23T13:00:13 --delay 52 --endMP 204:233219 --enddatetime 2017-12-23T13:36:21 --enforcementcount 0 &gt;&gt;%USERPROFILE%\Documents\GitHub\eaglep3-reporting\EC\2017-12-23-refined-times.txt</v>
      </c>
      <c r="AI8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{"issue":{"subject":"","project_id":79,"tracker_id":40,"status_id":1,"priority_id":2,"assigned_to_id":338,"start_date":"2017-12-23","description":"","custom_fields":[{"id":1,"name":"Subdivision","value":"EC"},{"id":4,"name":"Milepost","value":"23.3219"},{"id":17,"name":"Train ID","value":"175-23"},{"id":16,"name":"Locomotive ID","value":"4036"},{"id":130,"name":"Impact","value":""},{"id":150,"name":"Time of Event (Mountain Time)","value":"13:36:21"},{"id":151,"name":"Denver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57"/>
        <v>start /low /b %USERPROFILE%\Documents\GitHub\eaglep3\Utilities\DownloadLogsFromS3.py --loco 4036 --day 2017-12-23</v>
      </c>
      <c r="AN89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59"/>
        <v>https://d0f6bd738d7f1b3e5a7ca70fe4ff75f0.us-east-1.aws.found.io/app/kibana#/discover/Steve-Slow-Train-Analysis-(2080s-and-2083s)?_g=(refreshInterval:(display:Off,pause:!f,section:0,value:0),time:(from:'2017-12-23T11:52:09-0700',mode:absolute,to:'2017-12-23T14:36:21-0700'))&amp;_a=(columns:!('Message%20ID',Summary),filters:!(),index:'emp_*',interval:auto,query:(query_string:(analyze_wildcard:!t,query:'%22rtdc.l.rtdc.4036%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798</v>
      </c>
      <c r="B90" s="225">
        <v>4035</v>
      </c>
      <c r="C90" s="227" t="s">
        <v>192</v>
      </c>
      <c r="D90" s="227" t="s">
        <v>961</v>
      </c>
      <c r="E90" s="226">
        <v>43092.576527777775</v>
      </c>
      <c r="F90" s="226">
        <v>43092.586875000001</v>
      </c>
      <c r="G90" s="225">
        <v>57</v>
      </c>
      <c r="H90" s="227" t="s">
        <v>560</v>
      </c>
      <c r="I90" s="226">
        <v>43092.61519675926</v>
      </c>
      <c r="J90" s="225">
        <v>0</v>
      </c>
      <c r="K90" s="237" t="str">
        <f t="shared" si="45"/>
        <v>4035/4036</v>
      </c>
      <c r="L90" s="245" t="str">
        <f>VLOOKUP(A90,'Trips&amp;Operators'!$C$1:$G$99911,5,FALSE)</f>
        <v>MCREYNOLDS KYLE</v>
      </c>
      <c r="M90" s="224">
        <f t="shared" si="46"/>
        <v>2.8321759258687962E-2</v>
      </c>
      <c r="N90" s="225">
        <f t="shared" si="42"/>
        <v>40.783333332510665</v>
      </c>
      <c r="O90" s="225"/>
      <c r="P90" s="225"/>
      <c r="Q90" s="228"/>
      <c r="R90" s="242" t="s">
        <v>1091</v>
      </c>
      <c r="S90" s="249">
        <f t="shared" si="43"/>
        <v>1</v>
      </c>
      <c r="T90" s="242" t="str">
        <f t="shared" si="47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48"/>
        <v>https://d0f6bd738d7f1b3e5a7ca70fe4ff75f0.us-east-1.aws.found.io/app/kibana#/discover/Steve-Slow-Train-Analysis-(2080s-and-2083s)?_g=(refreshInterval:(display:Off,pause:!f,section:0,value:0),time:(from:'2017-12-23T12:50:12-0700',mode:absolute,to:'2017-12-23T15:45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0" s="247" t="str">
        <f>IF(AA90&lt;VLOOKUP(AG90,Variables!$AC$3:$AD$8,2,FALSE),"Y","N")</f>
        <v>N</v>
      </c>
      <c r="X90" s="247">
        <f t="shared" si="60"/>
        <v>1</v>
      </c>
      <c r="Y90" s="247">
        <f t="shared" si="54"/>
        <v>23.290800000000001</v>
      </c>
      <c r="Z90" s="247">
        <f t="shared" si="44"/>
        <v>2.4199999999999999E-2</v>
      </c>
      <c r="AA90" s="247">
        <f t="shared" si="49"/>
        <v>23.2666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50"/>
        <v>176</v>
      </c>
      <c r="AE90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90" s="234" t="str">
        <f t="shared" si="52"/>
        <v>"C:\Program Files (x86)\AstroGrep\AstroGrep.exe" /e /r /s /spath="%USERPROFILE%\AppData\Local\Temp\OnboardLogs" /stypes="app*4035*20171223*" /stext=" 21:.+((SYSTEM_STATE.+slice.+state.+changed )|(ment ac)|(multiple cpu faults)|(system.+state.+changed )|(\[timeout)|(PRM\|1\|D)|(kpr)|(kdp)|(train st.+moving)|(\|lc)|(penalty))"</v>
      </c>
      <c r="AG90" s="244" t="str">
        <f t="shared" si="53"/>
        <v>EC</v>
      </c>
      <c r="AH90" s="236" t="str">
        <f t="shared" si="55"/>
        <v>"%USERPROFILE%\Documents\GitHub\eaglep3\Utilities\RefineRTDCRunTimes.py" --tripid 176-23 --locoid 4035 --swversion DE.1.0.9.0 --startMP 204:232908 --initTime 2017-12-23T13:50:12 --startdatetime 2017-12-23T14:05:06 --delay 57 --endMP 204:242 --enddatetime 2017-12-23T14:45:53 --enforcementcount 0 &gt;&gt;%USERPROFILE%\Documents\GitHub\eaglep3-reporting\EC\2017-12-23-refined-times.txt</v>
      </c>
      <c r="AI90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179-23","project_id":79,"tracker_id":40,"status_id":1,"priority_id":2,"assigned_to_id":338,"start_date":"2017-12-23","description":"","custom_fields":[{"id":1,"name":"Subdivision","value":"EC"},{"id":4,"name":"Milepost","value":"0.0242"},{"id":17,"name":"Train ID","value":"176-23"},{"id":16,"name":"Locomotive ID","value":"4035"},{"id":130,"name":"Impact","value":""},{"id":150,"name":"Time of Event (Mountain Time)","value":"14:45:53"},{"id":151,"name":"Denver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57"/>
        <v>start /low /b %USERPROFILE%\Documents\GitHub\eaglep3\Utilities\DownloadLogsFromS3.py --loco 4035 --day 2017-12-23</v>
      </c>
      <c r="AN90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21:45:53"},{"id":29,"name":"Sharepoint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59"/>
        <v>https://d0f6bd738d7f1b3e5a7ca70fe4ff75f0.us-east-1.aws.found.io/app/kibana#/discover/Steve-Slow-Train-Analysis-(2080s-and-2083s)?_g=(refreshInterval:(display:Off,pause:!f,section:0,value:0),time:(from:'2017-12-23T12:50:12-0700',mode:absolute,to:'2017-12-23T15:45:53-0700'))&amp;_a=(columns:!('Message%20ID',Summary),filters:!(),index:'emp_*',interval:auto,query:(query_string:(analyze_wildcard:!t,query:'%22rtdc.l.rtdc.4035%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794</v>
      </c>
      <c r="B91" s="225">
        <v>4030</v>
      </c>
      <c r="C91" s="227" t="s">
        <v>192</v>
      </c>
      <c r="D91" s="227" t="s">
        <v>564</v>
      </c>
      <c r="E91" s="226">
        <v>43092.547893518517</v>
      </c>
      <c r="F91" s="226">
        <v>43092.552453703705</v>
      </c>
      <c r="G91" s="225">
        <v>71</v>
      </c>
      <c r="H91" s="227" t="s">
        <v>962</v>
      </c>
      <c r="I91" s="226">
        <v>43092.584861111114</v>
      </c>
      <c r="J91" s="225">
        <v>0</v>
      </c>
      <c r="K91" s="237" t="str">
        <f t="shared" si="45"/>
        <v>4029/4030</v>
      </c>
      <c r="L91" s="245" t="str">
        <f>VLOOKUP(A91,'Trips&amp;Operators'!$C$1:$G$99911,5,FALSE)</f>
        <v>SAFIEF AEIMEN</v>
      </c>
      <c r="M91" s="224">
        <f t="shared" si="46"/>
        <v>3.2407407408754807E-2</v>
      </c>
      <c r="N91" s="225">
        <f t="shared" si="42"/>
        <v>46.666666668606922</v>
      </c>
      <c r="O91" s="225"/>
      <c r="P91" s="225"/>
      <c r="Q91" s="228"/>
      <c r="R91" s="242" t="s">
        <v>1094</v>
      </c>
      <c r="S91" s="249">
        <f t="shared" si="43"/>
        <v>1</v>
      </c>
      <c r="T91" s="242" t="str">
        <f t="shared" si="47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48"/>
        <v>https://d0f6bd738d7f1b3e5a7ca70fe4ff75f0.us-east-1.aws.found.io/app/kibana#/discover/Steve-Slow-Train-Analysis-(2080s-and-2083s)?_g=(refreshInterval:(display:Off,pause:!f,section:0,value:0),time:(from:'2017-12-23T12:08:58-0700',mode:absolute,to:'2017-12-23T15:02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247" t="str">
        <f>IF(AA91&lt;VLOOKUP(AG91,Variables!$AC$3:$AD$8,2,FALSE),"Y","N")</f>
        <v>N</v>
      </c>
      <c r="X91" s="247">
        <f t="shared" si="60"/>
        <v>1</v>
      </c>
      <c r="Y91" s="247">
        <f t="shared" si="54"/>
        <v>4.8399999999999999E-2</v>
      </c>
      <c r="Z91" s="247">
        <f t="shared" si="44"/>
        <v>23.3249</v>
      </c>
      <c r="AA91" s="247">
        <f t="shared" si="49"/>
        <v>23.276499999999999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50"/>
        <v>177</v>
      </c>
      <c r="AE91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91" s="234" t="str">
        <f t="shared" si="52"/>
        <v>"C:\Program Files (x86)\AstroGrep\AstroGrep.exe" /e /r /s /spath="%USERPROFILE%\AppData\Local\Temp\OnboardLogs" /stypes="app*4030*20171223*" /stext=" 21:.+((SYSTEM_STATE.+slice.+state.+changed )|(ment ac)|(multiple cpu faults)|(system.+state.+changed )|(\[timeout)|(PRM\|1\|D)|(kpr)|(kdp)|(train st.+moving)|(\|lc)|(penalty))"</v>
      </c>
      <c r="AG91" s="244" t="str">
        <f t="shared" si="53"/>
        <v>EC</v>
      </c>
      <c r="AH91" s="236" t="str">
        <f t="shared" si="55"/>
        <v>"%USERPROFILE%\Documents\GitHub\eaglep3\Utilities\RefineRTDCRunTimes.py" --tripid 177-23 --locoid 4030 --swversion DE.1.0.9.0 --startMP 204:484 --initTime 2017-12-23T13:08:58 --startdatetime 2017-12-23T13:15:32 --delay 71 --endMP 204:233249 --enddatetime 2017-12-23T14:02:12 --enforcementcount 0 &gt;&gt;%USERPROFILE%\Documents\GitHub\eaglep3-reporting\EC\2017-12-23-refined-times.txt</v>
      </c>
      <c r="AI91" s="238" t="str">
        <f t="shared" si="56"/>
        <v>echo {"issue":{"subject":"Delay due to suspicious package at Colorado Sta.","project_id":79,"tracker_id":40,"status_id":1,"priority_id":2,"assigned_to_id":338,"start_date":"2017-12-23","description":"","custom_fields":[{"id":1,"name":"Subdivision","value":"EC"},{"id":4,"name":"Milepost","value":"23.3249"},{"id":17,"name":"Train ID","value":"177-23"},{"id":16,"name":"Locomotive ID","value":"4030"},{"id":130,"name":"Impact","value":""},{"id":150,"name":"Time of Event (Mountain Time)","value":"14:02:12"},{"id":151,"name":"Denver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57"/>
        <v>start /low /b %USERPROFILE%\Documents\GitHub\eaglep3\Utilities\DownloadLogsFromS3.py --loco 4030 --day 2017-12-23</v>
      </c>
      <c r="AN91" s="241" t="str">
        <f t="shared" si="58"/>
        <v>echo {"issue":{"subject":"Delay due to suspicious package at Colorado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21:02:12"},{"id":29,"name":"Sharepoint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59"/>
        <v>https://d0f6bd738d7f1b3e5a7ca70fe4ff75f0.us-east-1.aws.found.io/app/kibana#/discover/Steve-Slow-Train-Analysis-(2080s-and-2083s)?_g=(refreshInterval:(display:Off,pause:!f,section:0,value:0),time:(from:'2017-12-23T12:08:58-0700',mode:absolute,to:'2017-12-23T15:02:12-0700'))&amp;_a=(columns:!('Message%20ID',Summary),filters:!(),index:'emp_*',interval:auto,query:(query_string:(analyze_wildcard:!t,query:'%22rtdc.l.rtdc.4030%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801</v>
      </c>
      <c r="B92" s="225">
        <v>4029</v>
      </c>
      <c r="C92" s="227" t="s">
        <v>192</v>
      </c>
      <c r="D92" s="227" t="s">
        <v>908</v>
      </c>
      <c r="E92" s="226">
        <v>43092.587592592594</v>
      </c>
      <c r="F92" s="226">
        <v>43092.593101851853</v>
      </c>
      <c r="G92" s="225">
        <v>140</v>
      </c>
      <c r="H92" s="227" t="s">
        <v>519</v>
      </c>
      <c r="I92" s="226">
        <v>43092.623865740738</v>
      </c>
      <c r="J92" s="225">
        <v>0</v>
      </c>
      <c r="K92" s="237" t="str">
        <f t="shared" si="45"/>
        <v>4029/4030</v>
      </c>
      <c r="L92" s="245" t="str">
        <f>VLOOKUP(A92,'Trips&amp;Operators'!$C$1:$G$99911,5,FALSE)</f>
        <v>SAFIEF AEIMEN</v>
      </c>
      <c r="M92" s="224">
        <f t="shared" si="46"/>
        <v>3.0763888884393964E-2</v>
      </c>
      <c r="N92" s="225">
        <f t="shared" si="42"/>
        <v>44.299999993527308</v>
      </c>
      <c r="O92" s="225"/>
      <c r="P92" s="225"/>
      <c r="Q92" s="228"/>
      <c r="R92" s="242"/>
      <c r="S92" s="249">
        <f t="shared" si="43"/>
        <v>1</v>
      </c>
      <c r="T92" s="242" t="str">
        <f t="shared" si="47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48"/>
        <v>https://d0f6bd738d7f1b3e5a7ca70fe4ff75f0.us-east-1.aws.found.io/app/kibana#/discover/Steve-Slow-Train-Analysis-(2080s-and-2083s)?_g=(refreshInterval:(display:Off,pause:!f,section:0,value:0),time:(from:'2017-12-23T13:06:08-0700',mode:absolute,to:'2017-12-23T15:58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247" t="str">
        <f>IF(AA92&lt;VLOOKUP(AG92,Variables!$AC$3:$AD$8,2,FALSE),"Y","N")</f>
        <v>N</v>
      </c>
      <c r="X92" s="247">
        <f t="shared" si="60"/>
        <v>1</v>
      </c>
      <c r="Y92" s="247">
        <f t="shared" si="54"/>
        <v>23.292300000000001</v>
      </c>
      <c r="Z92" s="247">
        <f t="shared" si="44"/>
        <v>1.9800000000000002E-2</v>
      </c>
      <c r="AA92" s="247">
        <f t="shared" si="49"/>
        <v>23.272500000000001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50"/>
        <v>178</v>
      </c>
      <c r="AE92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92" s="234" t="str">
        <f t="shared" si="52"/>
        <v>"C:\Program Files (x86)\AstroGrep\AstroGrep.exe" /e /r /s /spath="%USERPROFILE%\AppData\Local\Temp\OnboardLogs" /stypes="app*4029*20171223*" /stext=" 21:.+((SYSTEM_STATE.+slice.+state.+changed )|(ment ac)|(multiple cpu faults)|(system.+state.+changed )|(\[timeout)|(PRM\|1\|D)|(kpr)|(kdp)|(train st.+moving)|(\|lc)|(penalty))"</v>
      </c>
      <c r="AG92" s="244" t="str">
        <f t="shared" si="53"/>
        <v>EC</v>
      </c>
      <c r="AH92" s="236" t="str">
        <f t="shared" si="55"/>
        <v>"%USERPROFILE%\Documents\GitHub\eaglep3\Utilities\RefineRTDCRunTimes.py" --tripid 178-23 --locoid 4029 --swversion DE.1.0.9.0 --startMP 204:232923 --initTime 2017-12-23T14:06:08 --startdatetime 2017-12-23T14:14:04 --delay 140 --endMP 204:198 --enddatetime 2017-12-23T14:58:22 --enforcementcount 0 &gt;&gt;%USERPROFILE%\Documents\GitHub\eaglep3-reporting\EC\2017-12-23-refined-times.txt</v>
      </c>
      <c r="AI9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{"issue":{"subject":"","project_id":79,"tracker_id":40,"status_id":1,"priority_id":2,"assigned_to_id":338,"start_date":"2017-12-23","description":"","custom_fields":[{"id":1,"name":"Subdivision","value":"EC"},{"id":4,"name":"Milepost","value":"0.0198"},{"id":17,"name":"Train ID","value":"178-23"},{"id":16,"name":"Locomotive ID","value":"4029"},{"id":130,"name":"Impact","value":""},{"id":150,"name":"Time of Event (Mountain Time)","value":"14:58:22"},{"id":151,"name":"Denver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57"/>
        <v>start /low /b %USERPROFILE%\Documents\GitHub\eaglep3\Utilities\DownloadLogsFromS3.py --loco 4029 --day 2017-12-23</v>
      </c>
      <c r="AN9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21:58:22"},{"id":29,"name":"Sharepoint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59"/>
        <v>https://d0f6bd738d7f1b3e5a7ca70fe4ff75f0.us-east-1.aws.found.io/app/kibana#/discover/Steve-Slow-Train-Analysis-(2080s-and-2083s)?_g=(refreshInterval:(display:Off,pause:!f,section:0,value:0),time:(from:'2017-12-23T13:06:08-0700',mode:absolute,to:'2017-12-23T15:58:22-0700'))&amp;_a=(columns:!('Message%20ID',Summary),filters:!(),index:'emp_*',interval:auto,query:(query_string:(analyze_wildcard:!t,query:'%22rtdc.l.rtdc.4029%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795</v>
      </c>
      <c r="B93" s="225">
        <v>4034</v>
      </c>
      <c r="C93" s="227" t="s">
        <v>192</v>
      </c>
      <c r="D93" s="227" t="s">
        <v>551</v>
      </c>
      <c r="E93" s="226">
        <v>43092.558576388888</v>
      </c>
      <c r="F93" s="226">
        <v>43092.562662037039</v>
      </c>
      <c r="G93" s="225">
        <v>52</v>
      </c>
      <c r="H93" s="227" t="s">
        <v>963</v>
      </c>
      <c r="I93" s="226">
        <v>43092.571851851855</v>
      </c>
      <c r="J93" s="225">
        <v>0</v>
      </c>
      <c r="K93" s="237" t="str">
        <f t="shared" si="45"/>
        <v>4033/4034</v>
      </c>
      <c r="L93" s="245" t="str">
        <f>VLOOKUP(A93,'Trips&amp;Operators'!$C$1:$G$99911,5,FALSE)</f>
        <v>GUZMAN DANNY</v>
      </c>
      <c r="M93" s="224">
        <f t="shared" si="46"/>
        <v>9.189814816636499E-3</v>
      </c>
      <c r="N93" s="225"/>
      <c r="O93" s="225"/>
      <c r="P93" s="225">
        <f>24*60*SUM($M93:$M93)</f>
        <v>13.233333335956559</v>
      </c>
      <c r="Q93" s="228"/>
      <c r="R93" s="242" t="s">
        <v>1093</v>
      </c>
      <c r="S93" s="249">
        <f t="shared" si="43"/>
        <v>0.75</v>
      </c>
      <c r="T93" s="242" t="str">
        <f t="shared" si="47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9</v>
      </c>
      <c r="V93" s="248" t="str">
        <f t="shared" si="48"/>
        <v>https://d0f6bd738d7f1b3e5a7ca70fe4ff75f0.us-east-1.aws.found.io/app/kibana#/discover/Steve-Slow-Train-Analysis-(2080s-and-2083s)?_g=(refreshInterval:(display:Off,pause:!f,section:0,value:0),time:(from:'2017-12-23T12:24:21-0700',mode:absolute,to:'2017-12-23T14:43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3" s="247" t="str">
        <f>IF(AA93&lt;VLOOKUP(AG93,Variables!$AC$3:$AD$8,2,FALSE),"Y","N")</f>
        <v>Y</v>
      </c>
      <c r="X93" s="247">
        <f t="shared" ref="X93:X98" si="61">VALUE(LEFT(AD93,4))-VALUE(LEFT(AD92,4))</f>
        <v>1</v>
      </c>
      <c r="Y93" s="247">
        <f t="shared" si="54"/>
        <v>4.5100000000000001E-2</v>
      </c>
      <c r="Z93" s="247">
        <f t="shared" si="44"/>
        <v>6.4396000000000004</v>
      </c>
      <c r="AA93" s="247">
        <f t="shared" si="49"/>
        <v>6.3945000000000007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50"/>
        <v>179</v>
      </c>
      <c r="AE93" s="235" t="str">
        <f t="shared" si="51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93" s="234" t="str">
        <f t="shared" si="52"/>
        <v>"C:\Program Files (x86)\AstroGrep\AstroGrep.exe" /e /r /s /spath="%USERPROFILE%\AppData\Local\Temp\OnboardLogs" /stypes="app*4034*20171223*" /stext=" 20:.+((SYSTEM_STATE.+slice.+state.+changed )|(ment ac)|(multiple cpu faults)|(system.+state.+changed )|(\[timeout)|(PRM\|1\|D)|(kpr)|(kdp)|(train st.+moving)|(\|lc)|(penalty))"</v>
      </c>
      <c r="AG93" s="244" t="str">
        <f t="shared" si="53"/>
        <v>EC</v>
      </c>
      <c r="AH93" s="236" t="str">
        <f t="shared" si="55"/>
        <v>"%USERPROFILE%\Documents\GitHub\eaglep3\Utilities\RefineRTDCRunTimes.py" --tripid 179-23 --locoid 4034 --swversion DE.1.0.9.0 --startMP 204:451 --initTime 2017-12-23T13:24:21 --startdatetime 2017-12-23T13:30:14 --delay 52 --endMP 204:64396 --enddatetime 2017-12-23T13:43:28 --enforcementcount 0 &gt;&gt;%USERPROFILE%\Documents\GitHub\eaglep3-reporting\EC\2017-12-23-refined-times.txt</v>
      </c>
      <c r="AI93" s="238" t="str">
        <f t="shared" si="56"/>
        <v>echo {"issue":{"subject":"Pedestrian strike at Central Park Sta.","project_id":79,"tracker_id":40,"status_id":1,"priority_id":2,"assigned_to_id":338,"start_date":"2017-12-23","description":"","custom_fields":[{"id":1,"name":"Subdivision","value":"EC"},{"id":4,"name":"Milepost","value":"6.4396"},{"id":17,"name":"Train ID","value":"179-23"},{"id":16,"name":"Locomotive ID","value":"4034"},{"id":130,"name":"Impact","value":""},{"id":150,"name":"Time of Event (Mountain Time)","value":"13:43:28"},{"id":151,"name":"Denver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57"/>
        <v>start /low /b %USERPROFILE%\Documents\GitHub\eaglep3\Utilities\DownloadLogsFromS3.py --loco 4034 --day 2017-12-23</v>
      </c>
      <c r="AN93" s="241" t="str">
        <f t="shared" si="58"/>
        <v>echo {"issue":{"subject":"Pedestrian strike at Central Park Sta.","project_id":30,"tracker_id":4,"status_id":1,"priority_id":1,"assigned_to_id":10,"start_date":"2017-12-23","description":"","custom_fields":[{"id":30,"name":"Category","value":"Issue"},{"id":3,"name":"Functional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20:43:28"},{"id":29,"name":"Sharepoint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59"/>
        <v>https://d0f6bd738d7f1b3e5a7ca70fe4ff75f0.us-east-1.aws.found.io/app/kibana#/discover/Steve-Slow-Train-Analysis-(2080s-and-2083s)?_g=(refreshInterval:(display:Off,pause:!f,section:0,value:0),time:(from:'2017-12-23T12:24:21-0700',mode:absolute,to:'2017-12-23T14:43:28-0700'))&amp;_a=(columns:!('Message%20ID',Summary),filters:!(),index:'emp_*',interval:auto,query:(query_string:(analyze_wildcard:!t,query:'%22rtdc.l.rtdc.4034%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797</v>
      </c>
      <c r="B94" s="225">
        <v>4002</v>
      </c>
      <c r="C94" s="227" t="s">
        <v>192</v>
      </c>
      <c r="D94" s="227" t="s">
        <v>563</v>
      </c>
      <c r="E94" s="226">
        <v>43092.568449074075</v>
      </c>
      <c r="F94" s="226">
        <v>43092.573981481481</v>
      </c>
      <c r="G94" s="225">
        <v>87</v>
      </c>
      <c r="H94" s="227" t="s">
        <v>977</v>
      </c>
      <c r="I94" s="226">
        <v>43092.607152777775</v>
      </c>
      <c r="J94" s="225">
        <v>0</v>
      </c>
      <c r="K94" s="237" t="str">
        <f t="shared" si="45"/>
        <v>4001/4002</v>
      </c>
      <c r="L94" s="245" t="str">
        <f>VLOOKUP(A94,'Trips&amp;Operators'!$C$1:$G$99911,5,FALSE)</f>
        <v>BADERTSCHER DIANE</v>
      </c>
      <c r="M94" s="224">
        <f t="shared" si="46"/>
        <v>3.3171296294312924E-2</v>
      </c>
      <c r="N94" s="225">
        <f t="shared" ref="N94:N112" si="62">24*60*SUM($M94:$M94)</f>
        <v>47.766666663810611</v>
      </c>
      <c r="O94" s="225"/>
      <c r="P94" s="225"/>
      <c r="Q94" s="228"/>
      <c r="R94" s="242" t="s">
        <v>1091</v>
      </c>
      <c r="S94" s="249">
        <f t="shared" si="43"/>
        <v>1</v>
      </c>
      <c r="T94" s="242" t="str">
        <f t="shared" si="47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48"/>
        <v>https://d0f6bd738d7f1b3e5a7ca70fe4ff75f0.us-east-1.aws.found.io/app/kibana#/discover/Steve-Slow-Train-Analysis-(2080s-and-2083s)?_g=(refreshInterval:(display:Off,pause:!f,section:0,value:0),time:(from:'2017-12-23T12:38:34-0700',mode:absolute,to:'2017-12-23T15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247" t="str">
        <f>IF(AA94&lt;VLOOKUP(AG94,Variables!$AC$3:$AD$8,2,FALSE),"Y","N")</f>
        <v>N</v>
      </c>
      <c r="X94" s="247">
        <f t="shared" si="61"/>
        <v>2</v>
      </c>
      <c r="Y94" s="247">
        <f t="shared" si="54"/>
        <v>5.3999999999999999E-2</v>
      </c>
      <c r="Z94" s="247">
        <f t="shared" si="44"/>
        <v>23.322199999999999</v>
      </c>
      <c r="AA94" s="247">
        <f t="shared" si="49"/>
        <v>23.2682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50"/>
        <v>181</v>
      </c>
      <c r="AE94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94" s="234" t="str">
        <f t="shared" si="52"/>
        <v>"C:\Program Files (x86)\AstroGrep\AstroGrep.exe" /e /r /s /spath="%USERPROFILE%\AppData\Local\Temp\OnboardLogs" /stypes="app*4002*20171223*" /stext=" 21:.+((SYSTEM_STATE.+slice.+state.+changed )|(ment ac)|(multiple cpu faults)|(system.+state.+changed )|(\[timeout)|(PRM\|1\|D)|(kpr)|(kdp)|(train st.+moving)|(\|lc)|(penalty))"</v>
      </c>
      <c r="AG94" s="244" t="str">
        <f t="shared" si="53"/>
        <v>EC</v>
      </c>
      <c r="AH94" s="236" t="str">
        <f t="shared" si="55"/>
        <v>"%USERPROFILE%\Documents\GitHub\eaglep3\Utilities\RefineRTDCRunTimes.py" --tripid 181-23 --locoid 4002 --swversion DE.1.0.9.0 --startMP 204:540 --initTime 2017-12-23T13:38:34 --startdatetime 2017-12-23T13:46:32 --delay 87 --endMP 204:233222 --enddatetime 2017-12-23T14:34:18 --enforcementcount 0 &gt;&gt;%USERPROFILE%\Documents\GitHub\eaglep3-reporting\EC\2017-12-23-refined-times.txt</v>
      </c>
      <c r="AI94" s="238" t="str">
        <f t="shared" si="56"/>
        <v>echo {"issue":{"subject":"Cascade delay from 179-23","project_id":79,"tracker_id":40,"status_id":1,"priority_id":2,"assigned_to_id":338,"start_date":"2017-12-23","description":"","custom_fields":[{"id":1,"name":"Subdivision","value":"EC"},{"id":4,"name":"Milepost","value":"23.3222"},{"id":17,"name":"Train ID","value":"181-23"},{"id":16,"name":"Locomotive ID","value":"4002"},{"id":130,"name":"Impact","value":""},{"id":150,"name":"Time of Event (Mountain Time)","value":"14:34:18"},{"id":151,"name":"Denver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57"/>
        <v>start /low /b %USERPROFILE%\Documents\GitHub\eaglep3\Utilities\DownloadLogsFromS3.py --loco 4002 --day 2017-12-23</v>
      </c>
      <c r="AN94" s="241" t="str">
        <f t="shared" si="58"/>
        <v>echo {"issue":{"subject":"Cascade delay from 179-23","project_id":30,"tracker_id":4,"status_id":1,"priority_id":1,"assigned_to_id":10,"start_date":"2017-12-23","description":"","custom_fields":[{"id":30,"name":"Category","value":"Issue"},{"id":3,"name":"Functional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59"/>
        <v>https://d0f6bd738d7f1b3e5a7ca70fe4ff75f0.us-east-1.aws.found.io/app/kibana#/discover/Steve-Slow-Train-Analysis-(2080s-and-2083s)?_g=(refreshInterval:(display:Off,pause:!f,section:0,value:0),time:(from:'2017-12-23T12:38:34-0700',mode:absolute,to:'2017-12-23T15:34:18-0700'))&amp;_a=(columns:!('Message%20ID',Summary),filters:!(),index:'emp_*',interval:auto,query:(query_string:(analyze_wildcard:!t,query:'%22rtdc.l.rtdc.4002%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807</v>
      </c>
      <c r="B95" s="225">
        <v>4001</v>
      </c>
      <c r="C95" s="227" t="s">
        <v>192</v>
      </c>
      <c r="D95" s="227" t="s">
        <v>988</v>
      </c>
      <c r="E95" s="226">
        <v>43092.610138888886</v>
      </c>
      <c r="F95" s="226">
        <v>43092.613275462965</v>
      </c>
      <c r="G95" s="225">
        <v>66</v>
      </c>
      <c r="H95" s="227" t="s">
        <v>909</v>
      </c>
      <c r="I95" s="226">
        <v>43092.641250000001</v>
      </c>
      <c r="J95" s="225">
        <v>0</v>
      </c>
      <c r="K95" s="237" t="str">
        <f t="shared" si="45"/>
        <v>4001/4002</v>
      </c>
      <c r="L95" s="245" t="str">
        <f>VLOOKUP(A95,'Trips&amp;Operators'!$C$1:$G$99911,5,FALSE)</f>
        <v>BADERTSCHER DIANE</v>
      </c>
      <c r="M95" s="224">
        <f t="shared" si="46"/>
        <v>2.7974537035333924E-2</v>
      </c>
      <c r="N95" s="225">
        <f t="shared" si="62"/>
        <v>40.283333330880851</v>
      </c>
      <c r="O95" s="225"/>
      <c r="P95" s="225"/>
      <c r="Q95" s="228"/>
      <c r="R95" s="242"/>
      <c r="S95" s="249">
        <f t="shared" si="43"/>
        <v>1</v>
      </c>
      <c r="T95" s="242" t="str">
        <f t="shared" si="47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48"/>
        <v>https://d0f6bd738d7f1b3e5a7ca70fe4ff75f0.us-east-1.aws.found.io/app/kibana#/discover/Steve-Slow-Train-Analysis-(2080s-and-2083s)?_g=(refreshInterval:(display:Off,pause:!f,section:0,value:0),time:(from:'2017-12-23T13:38:36-0700',mode:absolute,to:'2017-12-23T16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247" t="str">
        <f>IF(AA95&lt;VLOOKUP(AG95,Variables!$AC$3:$AD$8,2,FALSE),"Y","N")</f>
        <v>N</v>
      </c>
      <c r="X95" s="247">
        <f t="shared" si="61"/>
        <v>1</v>
      </c>
      <c r="Y95" s="247">
        <f t="shared" si="54"/>
        <v>23.289400000000001</v>
      </c>
      <c r="Z95" s="247">
        <f t="shared" si="44"/>
        <v>2.0899999999999998E-2</v>
      </c>
      <c r="AA95" s="247">
        <f t="shared" si="49"/>
        <v>23.2685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50"/>
        <v>182</v>
      </c>
      <c r="AE95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95" s="234" t="str">
        <f t="shared" si="52"/>
        <v>"C:\Program Files (x86)\AstroGrep\AstroGrep.exe" /e /r /s /spath="%USERPROFILE%\AppData\Local\Temp\OnboardLogs" /stypes="app*4001*20171223*" /stext=" 22:.+((SYSTEM_STATE.+slice.+state.+changed )|(ment ac)|(multiple cpu faults)|(system.+state.+changed )|(\[timeout)|(PRM\|1\|D)|(kpr)|(kdp)|(train st.+moving)|(\|lc)|(penalty))"</v>
      </c>
      <c r="AG95" s="244" t="str">
        <f t="shared" si="53"/>
        <v>EC</v>
      </c>
      <c r="AH95" s="236" t="str">
        <f t="shared" si="55"/>
        <v>"%USERPROFILE%\Documents\GitHub\eaglep3\Utilities\RefineRTDCRunTimes.py" --tripid 182-23 --locoid 4001 --swversion DE.1.0.9.0 --startMP 204:232894 --initTime 2017-12-23T14:38:36 --startdatetime 2017-12-23T14:43:07 --delay 66 --endMP 204:209 --enddatetime 2017-12-23T15:23:24 --enforcementcount 0 &gt;&gt;%USERPROFILE%\Documents\GitHub\eaglep3-reporting\EC\2017-12-23-refined-times.txt</v>
      </c>
      <c r="AI9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{"issue":{"subject":"","project_id":79,"tracker_id":40,"status_id":1,"priority_id":2,"assigned_to_id":338,"start_date":"2017-12-23","description":"","custom_fields":[{"id":1,"name":"Subdivision","value":"EC"},{"id":4,"name":"Milepost","value":"0.0209"},{"id":17,"name":"Train ID","value":"182-23"},{"id":16,"name":"Locomotive ID","value":"4001"},{"id":130,"name":"Impact","value":""},{"id":150,"name":"Time of Event (Mountain Time)","value":"15:23:24"},{"id":151,"name":"Denver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57"/>
        <v>start /low /b %USERPROFILE%\Documents\GitHub\eaglep3\Utilities\DownloadLogsFromS3.py --loco 4001 --day 2017-12-23</v>
      </c>
      <c r="AN9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59"/>
        <v>https://d0f6bd738d7f1b3e5a7ca70fe4ff75f0.us-east-1.aws.found.io/app/kibana#/discover/Steve-Slow-Train-Analysis-(2080s-and-2083s)?_g=(refreshInterval:(display:Off,pause:!f,section:0,value:0),time:(from:'2017-12-23T13:38:36-0700',mode:absolute,to:'2017-12-23T16:23:24-0700'))&amp;_a=(columns:!('Message%20ID',Summary),filters:!(),index:'emp_*',interval:auto,query:(query_string:(analyze_wildcard:!t,query:'%22rtdc.l.rtdc.4001%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799</v>
      </c>
      <c r="B96" s="225">
        <v>4052</v>
      </c>
      <c r="C96" s="227" t="s">
        <v>192</v>
      </c>
      <c r="D96" s="227" t="s">
        <v>994</v>
      </c>
      <c r="E96" s="226">
        <v>43092.581145833334</v>
      </c>
      <c r="F96" s="226">
        <v>43092.586655092593</v>
      </c>
      <c r="G96" s="225">
        <v>61</v>
      </c>
      <c r="H96" s="227" t="s">
        <v>547</v>
      </c>
      <c r="I96" s="226">
        <v>43092.617361111108</v>
      </c>
      <c r="J96" s="225">
        <v>0</v>
      </c>
      <c r="K96" s="237" t="str">
        <f t="shared" si="45"/>
        <v>4051/4052</v>
      </c>
      <c r="L96" s="245" t="str">
        <f>VLOOKUP(A96,'Trips&amp;Operators'!$C$1:$G$99911,5,FALSE)</f>
        <v>GONZALEZ ARMANDO</v>
      </c>
      <c r="M96" s="224">
        <f t="shared" si="46"/>
        <v>3.0706018515047617E-2</v>
      </c>
      <c r="N96" s="225">
        <f t="shared" si="62"/>
        <v>44.216666661668569</v>
      </c>
      <c r="O96" s="225"/>
      <c r="P96" s="225"/>
      <c r="Q96" s="228"/>
      <c r="R96" s="242"/>
      <c r="S96" s="249">
        <f t="shared" si="43"/>
        <v>1</v>
      </c>
      <c r="T96" s="242" t="str">
        <f t="shared" si="47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48"/>
        <v>https://d0f6bd738d7f1b3e5a7ca70fe4ff75f0.us-east-1.aws.found.io/app/kibana#/discover/Steve-Slow-Train-Analysis-(2080s-and-2083s)?_g=(refreshInterval:(display:Off,pause:!f,section:0,value:0),time:(from:'2017-12-23T12:56:51-0700',mode:absolute,to:'2017-12-23T15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247" t="str">
        <f>IF(AA96&lt;VLOOKUP(AG96,Variables!$AC$3:$AD$8,2,FALSE),"Y","N")</f>
        <v>N</v>
      </c>
      <c r="X96" s="247">
        <f t="shared" si="61"/>
        <v>1</v>
      </c>
      <c r="Y96" s="247">
        <f t="shared" si="54"/>
        <v>5.0200000000000002E-2</v>
      </c>
      <c r="Z96" s="247">
        <f t="shared" si="44"/>
        <v>23.334900000000001</v>
      </c>
      <c r="AA96" s="247">
        <f t="shared" si="49"/>
        <v>23.284700000000001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50"/>
        <v>183</v>
      </c>
      <c r="AE96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96" s="234" t="str">
        <f t="shared" si="52"/>
        <v>"C:\Program Files (x86)\AstroGrep\AstroGrep.exe" /e /r /s /spath="%USERPROFILE%\AppData\Local\Temp\OnboardLogs" /stypes="app*4052*20171223*" /stext=" 21:.+((SYSTEM_STATE.+slice.+state.+changed )|(ment ac)|(multiple cpu faults)|(system.+state.+changed )|(\[timeout)|(PRM\|1\|D)|(kpr)|(kdp)|(train st.+moving)|(\|lc)|(penalty))"</v>
      </c>
      <c r="AG96" s="244" t="str">
        <f t="shared" si="53"/>
        <v>EC</v>
      </c>
      <c r="AH96" s="236" t="str">
        <f t="shared" si="55"/>
        <v>"%USERPROFILE%\Documents\GitHub\eaglep3\Utilities\RefineRTDCRunTimes.py" --tripid 183-23 --locoid 4052 --swversion DE.1.0.9.0 --startMP 204:502 --initTime 2017-12-23T13:56:51 --startdatetime 2017-12-23T14:04:47 --delay 61 --endMP 204:233349 --enddatetime 2017-12-23T14:49:00 --enforcementcount 0 &gt;&gt;%USERPROFILE%\Documents\GitHub\eaglep3-reporting\EC\2017-12-23-refined-times.txt</v>
      </c>
      <c r="AI9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{"issue":{"subject":"","project_id":79,"tracker_id":40,"status_id":1,"priority_id":2,"assigned_to_id":338,"start_date":"2017-12-23","description":"","custom_fields":[{"id":1,"name":"Subdivision","value":"EC"},{"id":4,"name":"Milepost","value":"23.3349"},{"id":17,"name":"Train ID","value":"183-23"},{"id":16,"name":"Locomotive ID","value":"4052"},{"id":130,"name":"Impact","value":""},{"id":150,"name":"Time of Event (Mountain Time)","value":"14:49:00"},{"id":151,"name":"Denver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57"/>
        <v>start /low /b %USERPROFILE%\Documents\GitHub\eaglep3\Utilities\DownloadLogsFromS3.py --loco 4052 --day 2017-12-23</v>
      </c>
      <c r="AN96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59"/>
        <v>https://d0f6bd738d7f1b3e5a7ca70fe4ff75f0.us-east-1.aws.found.io/app/kibana#/discover/Steve-Slow-Train-Analysis-(2080s-and-2083s)?_g=(refreshInterval:(display:Off,pause:!f,section:0,value:0),time:(from:'2017-12-23T12:56:51-0700',mode:absolute,to:'2017-12-23T15:49:00-0700'))&amp;_a=(columns:!('Message%20ID',Summary),filters:!(),index:'emp_*',interval:auto,query:(query_string:(analyze_wildcard:!t,query:'%22rtdc.l.rtdc.4052%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811</v>
      </c>
      <c r="B97" s="225">
        <v>4051</v>
      </c>
      <c r="C97" s="227" t="s">
        <v>192</v>
      </c>
      <c r="D97" s="227" t="s">
        <v>1000</v>
      </c>
      <c r="E97" s="226">
        <v>43092.621388888889</v>
      </c>
      <c r="F97" s="226">
        <v>43092.623379629629</v>
      </c>
      <c r="G97" s="225">
        <v>54</v>
      </c>
      <c r="H97" s="227" t="s">
        <v>525</v>
      </c>
      <c r="I97" s="226">
        <v>43092.649872685186</v>
      </c>
      <c r="J97" s="225">
        <v>0</v>
      </c>
      <c r="K97" s="237" t="str">
        <f t="shared" si="45"/>
        <v>4051/4052</v>
      </c>
      <c r="L97" s="245" t="str">
        <f>VLOOKUP(A97,'Trips&amp;Operators'!$C$1:$G$99911,5,FALSE)</f>
        <v>GONZALEZ ARMANDO</v>
      </c>
      <c r="M97" s="224">
        <f t="shared" si="46"/>
        <v>2.6493055556784384E-2</v>
      </c>
      <c r="N97" s="225">
        <f t="shared" si="62"/>
        <v>38.150000001769513</v>
      </c>
      <c r="O97" s="225"/>
      <c r="P97" s="225"/>
      <c r="Q97" s="228"/>
      <c r="R97" s="242"/>
      <c r="S97" s="249">
        <f t="shared" si="43"/>
        <v>1</v>
      </c>
      <c r="T97" s="242" t="str">
        <f t="shared" si="47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48"/>
        <v>https://d0f6bd738d7f1b3e5a7ca70fe4ff75f0.us-east-1.aws.found.io/app/kibana#/discover/Steve-Slow-Train-Analysis-(2080s-and-2083s)?_g=(refreshInterval:(display:Off,pause:!f,section:0,value:0),time:(from:'2017-12-23T13:54:48-0700',mode:absolute,to:'2017-12-23T16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247" t="str">
        <f>IF(AA97&lt;VLOOKUP(AG97,Variables!$AC$3:$AD$8,2,FALSE),"Y","N")</f>
        <v>N</v>
      </c>
      <c r="X97" s="247">
        <f t="shared" si="61"/>
        <v>1</v>
      </c>
      <c r="Y97" s="247">
        <f t="shared" si="54"/>
        <v>23.303000000000001</v>
      </c>
      <c r="Z97" s="247">
        <f t="shared" si="44"/>
        <v>1.4999999999999999E-2</v>
      </c>
      <c r="AA97" s="247">
        <f t="shared" si="49"/>
        <v>23.288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50"/>
        <v>184</v>
      </c>
      <c r="AE97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97" s="234" t="str">
        <f t="shared" si="52"/>
        <v>"C:\Program Files (x86)\AstroGrep\AstroGrep.exe" /e /r /s /spath="%USERPROFILE%\AppData\Local\Temp\OnboardLogs" /stypes="app*4051*20171223*" /stext=" 22:.+((SYSTEM_STATE.+slice.+state.+changed )|(ment ac)|(multiple cpu faults)|(system.+state.+changed )|(\[timeout)|(PRM\|1\|D)|(kpr)|(kdp)|(train st.+moving)|(\|lc)|(penalty))"</v>
      </c>
      <c r="AG97" s="244" t="str">
        <f t="shared" si="53"/>
        <v>EC</v>
      </c>
      <c r="AH97" s="236" t="str">
        <f t="shared" si="55"/>
        <v>"%USERPROFILE%\Documents\GitHub\eaglep3\Utilities\RefineRTDCRunTimes.py" --tripid 184-23 --locoid 4051 --swversion DE.1.0.9.0 --startMP 204:233030 --initTime 2017-12-23T14:54:48 --startdatetime 2017-12-23T14:57:40 --delay 54 --endMP 204:150 --enddatetime 2017-12-23T15:35:49 --enforcementcount 0 &gt;&gt;%USERPROFILE%\Documents\GitHub\eaglep3-reporting\EC\2017-12-23-refined-times.txt</v>
      </c>
      <c r="AI9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{"issue":{"subject":"","project_id":79,"tracker_id":40,"status_id":1,"priority_id":2,"assigned_to_id":338,"start_date":"2017-12-23","description":"","custom_fields":[{"id":1,"name":"Subdivision","value":"EC"},{"id":4,"name":"Milepost","value":"0.015"},{"id":17,"name":"Train ID","value":"184-23"},{"id":16,"name":"Locomotive ID","value":"4051"},{"id":130,"name":"Impact","value":""},{"id":150,"name":"Time of Event (Mountain Time)","value":"15:35:49"},{"id":151,"name":"Denver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57"/>
        <v>start /low /b %USERPROFILE%\Documents\GitHub\eaglep3\Utilities\DownloadLogsFromS3.py --loco 4051 --day 2017-12-23</v>
      </c>
      <c r="AN9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59"/>
        <v>https://d0f6bd738d7f1b3e5a7ca70fe4ff75f0.us-east-1.aws.found.io/app/kibana#/discover/Steve-Slow-Train-Analysis-(2080s-and-2083s)?_g=(refreshInterval:(display:Off,pause:!f,section:0,value:0),time:(from:'2017-12-23T13:54:48-0700',mode:absolute,to:'2017-12-23T16:35:49-0700'))&amp;_a=(columns:!('Message%20ID',Summary),filters:!(),index:'emp_*',interval:auto,query:(query_string:(analyze_wildcard:!t,query:'%22rtdc.l.rtdc.4051%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802</v>
      </c>
      <c r="B98" s="225">
        <v>4046</v>
      </c>
      <c r="C98" s="227" t="s">
        <v>192</v>
      </c>
      <c r="D98" s="227" t="s">
        <v>1001</v>
      </c>
      <c r="E98" s="226">
        <v>43092.588807870372</v>
      </c>
      <c r="F98" s="226">
        <v>43092.594189814816</v>
      </c>
      <c r="G98" s="225">
        <v>110</v>
      </c>
      <c r="H98" s="227" t="s">
        <v>606</v>
      </c>
      <c r="I98" s="226">
        <v>43092.626712962963</v>
      </c>
      <c r="J98" s="225">
        <v>0</v>
      </c>
      <c r="K98" s="237" t="str">
        <f t="shared" si="45"/>
        <v>4045/4046</v>
      </c>
      <c r="L98" s="245" t="str">
        <f>VLOOKUP(A98,'Trips&amp;Operators'!$C$1:$G$99911,5,FALSE)</f>
        <v>MOSES BRADLEY</v>
      </c>
      <c r="M98" s="224">
        <f t="shared" si="46"/>
        <v>3.25231481474475E-2</v>
      </c>
      <c r="N98" s="225">
        <f t="shared" si="62"/>
        <v>46.833333332324401</v>
      </c>
      <c r="O98" s="225"/>
      <c r="P98" s="225"/>
      <c r="Q98" s="228"/>
      <c r="R98" s="242"/>
      <c r="S98" s="249">
        <f t="shared" si="43"/>
        <v>1</v>
      </c>
      <c r="T98" s="242" t="str">
        <f t="shared" si="47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48"/>
        <v>https://d0f6bd738d7f1b3e5a7ca70fe4ff75f0.us-east-1.aws.found.io/app/kibana#/discover/Steve-Slow-Train-Analysis-(2080s-and-2083s)?_g=(refreshInterval:(display:Off,pause:!f,section:0,value:0),time:(from:'2017-12-23T13:07:53-0700',mode:absolute,to:'2017-12-23T16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247" t="str">
        <f>IF(AA98&lt;VLOOKUP(AG98,Variables!$AC$3:$AD$8,2,FALSE),"Y","N")</f>
        <v>N</v>
      </c>
      <c r="X98" s="247">
        <f t="shared" si="61"/>
        <v>1</v>
      </c>
      <c r="Y98" s="247">
        <f t="shared" si="54"/>
        <v>0.1162</v>
      </c>
      <c r="Z98" s="247">
        <f t="shared" si="44"/>
        <v>23.328399999999998</v>
      </c>
      <c r="AA98" s="247">
        <f t="shared" si="49"/>
        <v>23.212199999999999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50"/>
        <v>185</v>
      </c>
      <c r="AE98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98" s="234" t="str">
        <f t="shared" si="52"/>
        <v>"C:\Program Files (x86)\AstroGrep\AstroGrep.exe" /e /r /s /spath="%USERPROFILE%\AppData\Local\Temp\OnboardLogs" /stypes="app*4046*20171223*" /stext=" 22:.+((SYSTEM_STATE.+slice.+state.+changed )|(ment ac)|(multiple cpu faults)|(system.+state.+changed )|(\[timeout)|(PRM\|1\|D)|(kpr)|(kdp)|(train st.+moving)|(\|lc)|(penalty))"</v>
      </c>
      <c r="AG98" s="244" t="str">
        <f t="shared" si="53"/>
        <v>EC</v>
      </c>
      <c r="AH98" s="236" t="str">
        <f t="shared" si="55"/>
        <v>"%USERPROFILE%\Documents\GitHub\eaglep3\Utilities\RefineRTDCRunTimes.py" --tripid 185-23 --locoid 4046 --swversion DE.1.0.9.0 --startMP 204:1162 --initTime 2017-12-23T14:07:53 --startdatetime 2017-12-23T14:15:38 --delay 110 --endMP 204:233284 --enddatetime 2017-12-23T15:02:28 --enforcementcount 0 &gt;&gt;%USERPROFILE%\Documents\GitHub\eaglep3-reporting\EC\2017-12-23-refined-times.txt</v>
      </c>
      <c r="AI9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{"issue":{"subject":"","project_id":79,"tracker_id":40,"status_id":1,"priority_id":2,"assigned_to_id":338,"start_date":"2017-12-23","description":"","custom_fields":[{"id":1,"name":"Subdivision","value":"EC"},{"id":4,"name":"Milepost","value":"23.3284"},{"id":17,"name":"Train ID","value":"185-23"},{"id":16,"name":"Locomotive ID","value":"4046"},{"id":130,"name":"Impact","value":""},{"id":150,"name":"Time of Event (Mountain Time)","value":"15:02:28"},{"id":151,"name":"Denver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57"/>
        <v>start /low /b %USERPROFILE%\Documents\GitHub\eaglep3\Utilities\DownloadLogsFromS3.py --loco 4046 --day 2017-12-23</v>
      </c>
      <c r="AN98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59"/>
        <v>https://d0f6bd738d7f1b3e5a7ca70fe4ff75f0.us-east-1.aws.found.io/app/kibana#/discover/Steve-Slow-Train-Analysis-(2080s-and-2083s)?_g=(refreshInterval:(display:Off,pause:!f,section:0,value:0),time:(from:'2017-12-23T13:07:53-0700',mode:absolute,to:'2017-12-23T16:02:28-0700'))&amp;_a=(columns:!('Message%20ID',Summary),filters:!(),index:'emp_*',interval:auto,query:(query_string:(analyze_wildcard:!t,query:'%22rtdc.l.rtdc.4046%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816</v>
      </c>
      <c r="B99" s="225">
        <v>4045</v>
      </c>
      <c r="C99" s="227" t="s">
        <v>192</v>
      </c>
      <c r="D99" s="227" t="s">
        <v>1002</v>
      </c>
      <c r="E99" s="226">
        <v>43092.631377314814</v>
      </c>
      <c r="F99" s="226">
        <v>43092.634965277779</v>
      </c>
      <c r="G99" s="225">
        <v>63</v>
      </c>
      <c r="H99" s="227" t="s">
        <v>505</v>
      </c>
      <c r="I99" s="226">
        <v>43092.661041666666</v>
      </c>
      <c r="J99" s="225">
        <v>0</v>
      </c>
      <c r="K99" s="237" t="str">
        <f t="shared" si="45"/>
        <v>4045/4046</v>
      </c>
      <c r="L99" s="245" t="str">
        <f>VLOOKUP(A99,'Trips&amp;Operators'!$C$1:$G$99911,5,FALSE)</f>
        <v>MOSES BRADLEY</v>
      </c>
      <c r="M99" s="224">
        <f t="shared" si="46"/>
        <v>2.6076388887304347E-2</v>
      </c>
      <c r="N99" s="225">
        <f t="shared" si="62"/>
        <v>37.54999999771826</v>
      </c>
      <c r="O99" s="225"/>
      <c r="P99" s="225"/>
      <c r="Q99" s="228"/>
      <c r="R99" s="242"/>
      <c r="S99" s="249">
        <f t="shared" si="43"/>
        <v>1</v>
      </c>
      <c r="T99" s="242" t="str">
        <f t="shared" si="47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48"/>
        <v>https://d0f6bd738d7f1b3e5a7ca70fe4ff75f0.us-east-1.aws.found.io/app/kibana#/discover/Steve-Slow-Train-Analysis-(2080s-and-2083s)?_g=(refreshInterval:(display:Off,pause:!f,section:0,value:0),time:(from:'2017-12-23T14:09:11-0700',mode:absolute,to:'2017-12-23T16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247" t="str">
        <f>IF(AA99&lt;VLOOKUP(AG99,Variables!$AC$3:$AD$8,2,FALSE),"Y","N")</f>
        <v>N</v>
      </c>
      <c r="X99" s="247">
        <f t="shared" ref="X99:X112" si="63">VALUE(LEFT(AD99,4))-VALUE(LEFT(AD98,4))</f>
        <v>1</v>
      </c>
      <c r="Y99" s="247">
        <f t="shared" si="54"/>
        <v>23.296299999999999</v>
      </c>
      <c r="Z99" s="247">
        <f t="shared" si="44"/>
        <v>2.01E-2</v>
      </c>
      <c r="AA99" s="247">
        <f t="shared" si="49"/>
        <v>23.276199999999999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50"/>
        <v>186</v>
      </c>
      <c r="AE99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99" s="234" t="str">
        <f t="shared" si="52"/>
        <v>"C:\Program Files (x86)\AstroGrep\AstroGrep.exe" /e /r /s /spath="%USERPROFILE%\AppData\Local\Temp\OnboardLogs" /stypes="app*4045*20171223*" /stext=" 22:.+((SYSTEM_STATE.+slice.+state.+changed )|(ment ac)|(multiple cpu faults)|(system.+state.+changed )|(\[timeout)|(PRM\|1\|D)|(kpr)|(kdp)|(train st.+moving)|(\|lc)|(penalty))"</v>
      </c>
      <c r="AG99" s="244" t="str">
        <f t="shared" si="53"/>
        <v>EC</v>
      </c>
      <c r="AH99" s="236" t="str">
        <f t="shared" si="55"/>
        <v>"%USERPROFILE%\Documents\GitHub\eaglep3\Utilities\RefineRTDCRunTimes.py" --tripid 186-23 --locoid 4045 --swversion DE.1.0.9.0 --startMP 204:232963 --initTime 2017-12-23T15:09:11 --startdatetime 2017-12-23T15:14:21 --delay 63 --endMP 204:201 --enddatetime 2017-12-23T15:51:54 --enforcementcount 0 &gt;&gt;%USERPROFILE%\Documents\GitHub\eaglep3-reporting\EC\2017-12-23-refined-times.txt</v>
      </c>
      <c r="AI9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ID","value":"186-23"},{"id":16,"name":"Locomotive ID","value":"4045"},{"id":130,"name":"Impact","value":""},{"id":150,"name":"Time of Event (Mountain Time)","value":"15:51:54"},{"id":151,"name":"Denver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57"/>
        <v>start /low /b %USERPROFILE%\Documents\GitHub\eaglep3\Utilities\DownloadLogsFromS3.py --loco 4045 --day 2017-12-23</v>
      </c>
      <c r="AN99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59"/>
        <v>https://d0f6bd738d7f1b3e5a7ca70fe4ff75f0.us-east-1.aws.found.io/app/kibana#/discover/Steve-Slow-Train-Analysis-(2080s-and-2083s)?_g=(refreshInterval:(display:Off,pause:!f,section:0,value:0),time:(from:'2017-12-23T14:09:11-0700',mode:absolute,to:'2017-12-23T16:51:54-0700'))&amp;_a=(columns:!('Message%20ID',Summary),filters:!(),index:'emp_*',interval:auto,query:(query_string:(analyze_wildcard:!t,query:'%22rtdc.l.rtdc.4045%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672</v>
      </c>
      <c r="B100" s="225">
        <v>4016</v>
      </c>
      <c r="C100" s="227" t="s">
        <v>192</v>
      </c>
      <c r="D100" s="227" t="s">
        <v>640</v>
      </c>
      <c r="E100" s="226">
        <v>43092.597233796296</v>
      </c>
      <c r="F100" s="226">
        <v>43092.604618055557</v>
      </c>
      <c r="G100" s="225">
        <v>110</v>
      </c>
      <c r="H100" s="227" t="s">
        <v>1003</v>
      </c>
      <c r="I100" s="226">
        <v>43092.637754629628</v>
      </c>
      <c r="J100" s="225">
        <v>0</v>
      </c>
      <c r="K100" s="237" t="str">
        <f t="shared" si="45"/>
        <v>4015/4016</v>
      </c>
      <c r="L100" s="245" t="str">
        <f>VLOOKUP(A100,'Trips&amp;Operators'!$C$1:$G$99911,5,FALSE)</f>
        <v>ROMERO CHAD</v>
      </c>
      <c r="M100" s="224">
        <f t="shared" si="46"/>
        <v>3.3136574071249925E-2</v>
      </c>
      <c r="N100" s="225">
        <f t="shared" si="62"/>
        <v>47.716666662599891</v>
      </c>
      <c r="O100" s="225"/>
      <c r="P100" s="225"/>
      <c r="Q100" s="228"/>
      <c r="R100" s="242"/>
      <c r="S100" s="249">
        <f t="shared" si="43"/>
        <v>1</v>
      </c>
      <c r="T100" s="242" t="str">
        <f t="shared" si="47"/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48"/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47" t="str">
        <f>IF(AA100&lt;VLOOKUP(AG100,Variables!$AC$3:$AD$8,2,FALSE),"Y","N")</f>
        <v>N</v>
      </c>
      <c r="X100" s="247">
        <f t="shared" si="63"/>
        <v>1</v>
      </c>
      <c r="Y100" s="247">
        <f t="shared" si="54"/>
        <v>5.28E-2</v>
      </c>
      <c r="Z100" s="247">
        <f t="shared" si="44"/>
        <v>23.331</v>
      </c>
      <c r="AA100" s="247">
        <f t="shared" si="49"/>
        <v>23.278199999999998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50"/>
        <v>187</v>
      </c>
      <c r="AE100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00" s="234" t="str">
        <f t="shared" si="52"/>
        <v>"C:\Program Files (x86)\AstroGrep\AstroGrep.exe" /e /r /s /spath="%USERPROFILE%\AppData\Local\Temp\OnboardLogs" /stypes="app*4016*20171223*" /stext=" 22:.+((SYSTEM_STATE.+slice.+state.+changed )|(ment ac)|(multiple cpu faults)|(system.+state.+changed )|(\[timeout)|(PRM\|1\|D)|(kpr)|(kdp)|(train st.+moving)|(\|lc)|(penalty))"</v>
      </c>
      <c r="AG100" s="244" t="str">
        <f t="shared" si="53"/>
        <v>EC</v>
      </c>
      <c r="AH100" s="236" t="str">
        <f t="shared" si="55"/>
        <v>"%USERPROFILE%\Documents\GitHub\eaglep3\Utilities\RefineRTDCRunTimes.py" --tripid 187-23 --locoid 4016 --swversion DE.1.0.9.0 --startMP 204:528 --initTime 2017-12-23T14:20:01 --startdatetime 2017-12-23T14:30:39 --delay 110 --endMP 204:233310 --enddatetime 2017-12-23T15:18:22 --enforcementcount 0 &gt;&gt;%USERPROFILE%\Documents\GitHub\eaglep3-reporting\EC\2017-12-23-refined-times.txt</v>
      </c>
      <c r="AI10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{"issue":{"subject":"","project_id":79,"tracker_id":40,"status_id":1,"priority_id":2,"assigned_to_id":338,"start_date":"2017-12-23","description":"","custom_fields":[{"id":1,"name":"Subdivision","value":"EC"},{"id":4,"name":"Milepost","value":"23.331"},{"id":17,"name":"Train ID","value":"187-23"},{"id":16,"name":"Locomotive ID","value":"4016"},{"id":130,"name":"Impact","value":""},{"id":150,"name":"Time of Event (Mountain Time)","value":"15:18:22"},{"id":151,"name":"Denver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57"/>
        <v>start /low /b %USERPROFILE%\Documents\GitHub\eaglep3\Utilities\DownloadLogsFromS3.py --loco 4016 --day 2017-12-23</v>
      </c>
      <c r="AN100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59"/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Message%20ID',Summary),filters:!(),index:'emp_*',interval:auto,query:(query_string:(analyze_wildcard:!t,query:'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818</v>
      </c>
      <c r="B101" s="225">
        <v>4015</v>
      </c>
      <c r="C101" s="227" t="s">
        <v>192</v>
      </c>
      <c r="D101" s="227" t="s">
        <v>932</v>
      </c>
      <c r="E101" s="226">
        <v>43092.639050925929</v>
      </c>
      <c r="F101" s="226">
        <v>43092.643923611111</v>
      </c>
      <c r="G101" s="225">
        <v>54</v>
      </c>
      <c r="H101" s="227" t="s">
        <v>611</v>
      </c>
      <c r="I101" s="226">
        <v>43092.668564814812</v>
      </c>
      <c r="J101" s="225">
        <v>0</v>
      </c>
      <c r="K101" s="237" t="str">
        <f t="shared" si="45"/>
        <v>4015/4016</v>
      </c>
      <c r="L101" s="245" t="str">
        <f>VLOOKUP(A101,'Trips&amp;Operators'!$C$1:$G$99911,5,FALSE)</f>
        <v>ROMERO CHAD</v>
      </c>
      <c r="M101" s="224">
        <f t="shared" si="46"/>
        <v>2.4641203701321501E-2</v>
      </c>
      <c r="N101" s="225">
        <f t="shared" si="62"/>
        <v>35.483333329902962</v>
      </c>
      <c r="O101" s="225"/>
      <c r="P101" s="225"/>
      <c r="Q101" s="228"/>
      <c r="R101" s="242"/>
      <c r="S101" s="249">
        <f t="shared" si="43"/>
        <v>1</v>
      </c>
      <c r="T101" s="242" t="str">
        <f t="shared" si="47"/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48"/>
        <v>https://d0f6bd738d7f1b3e5a7ca70fe4ff75f0.us-east-1.aws.found.io/app/kibana#/discover/Steve-Slow-Train-Analysis-(2080s-and-2083s)?_g=(refreshInterval:(display:Off,pause:!f,section:0,value:0),time:(from:'2017-12-23T14:20:14-0700',mode:absolute,to:'2017-12-23T17:02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47" t="str">
        <f>IF(AA101&lt;VLOOKUP(AG101,Variables!$AC$3:$AD$8,2,FALSE),"Y","N")</f>
        <v>N</v>
      </c>
      <c r="X101" s="247">
        <f t="shared" si="63"/>
        <v>1</v>
      </c>
      <c r="Y101" s="247">
        <f t="shared" si="54"/>
        <v>23.299399999999999</v>
      </c>
      <c r="Z101" s="247">
        <f t="shared" si="44"/>
        <v>1.52E-2</v>
      </c>
      <c r="AA101" s="247">
        <f t="shared" si="49"/>
        <v>23.284199999999998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50"/>
        <v>188</v>
      </c>
      <c r="AE101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01" s="234" t="str">
        <f t="shared" si="52"/>
        <v>"C:\Program Files (x86)\AstroGrep\AstroGrep.exe" /e /r /s /spath="%USERPROFILE%\AppData\Local\Temp\OnboardLogs" /stypes="app*4015*20171223*" /stext=" 23:.+((SYSTEM_STATE.+slice.+state.+changed )|(ment ac)|(multiple cpu faults)|(system.+state.+changed )|(\[timeout)|(PRM\|1\|D)|(kpr)|(kdp)|(train st.+moving)|(\|lc)|(penalty))"</v>
      </c>
      <c r="AG101" s="244" t="str">
        <f t="shared" si="53"/>
        <v>EC</v>
      </c>
      <c r="AH101" s="236" t="str">
        <f t="shared" si="55"/>
        <v>"%USERPROFILE%\Documents\GitHub\eaglep3\Utilities\RefineRTDCRunTimes.py" --tripid 188-23 --locoid 4015 --swversion DE.1.0.9.0 --startMP 204:232994 --initTime 2017-12-23T15:20:14 --startdatetime 2017-12-23T15:27:15 --delay 54 --endMP 204:152 --enddatetime 2017-12-23T16:02:44 --enforcementcount 0 &gt;&gt;%USERPROFILE%\Documents\GitHub\eaglep3-reporting\EC\2017-12-23-refined-times.txt</v>
      </c>
      <c r="AI10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{"issue":{"subject":"","project_id":79,"tracker_id":40,"status_id":1,"priority_id":2,"assigned_to_id":338,"start_date":"2017-12-23","description":"","custom_fields":[{"id":1,"name":"Subdivision","value":"EC"},{"id":4,"name":"Milepost","value":"0.0152"},{"id":17,"name":"Train ID","value":"188-23"},{"id":16,"name":"Locomotive ID","value":"4015"},{"id":130,"name":"Impact","value":""},{"id":150,"name":"Time of Event (Mountain Time)","value":"16:02:44"},{"id":151,"name":"Denver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57"/>
        <v>start /low /b %USERPROFILE%\Documents\GitHub\eaglep3\Utilities\DownloadLogsFromS3.py --loco 4015 --day 2017-12-23</v>
      </c>
      <c r="AN101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23:02:44"},{"id":29,"name":"Sharepoint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59"/>
        <v>https://d0f6bd738d7f1b3e5a7ca70fe4ff75f0.us-east-1.aws.found.io/app/kibana#/discover/Steve-Slow-Train-Analysis-(2080s-and-2083s)?_g=(refreshInterval:(display:Off,pause:!f,section:0,value:0),time:(from:'2017-12-23T14:20:14-0700',mode:absolute,to:'2017-12-23T17:02:44-0700'))&amp;_a=(columns:!('Message%20ID',Summary),filters:!(),index:'emp_*',interval:auto,query:(query_string:(analyze_wildcard:!t,query:'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671</v>
      </c>
      <c r="B102" s="225">
        <v>4026</v>
      </c>
      <c r="C102" s="227" t="s">
        <v>192</v>
      </c>
      <c r="D102" s="227" t="s">
        <v>521</v>
      </c>
      <c r="E102" s="226">
        <v>43092.610497685186</v>
      </c>
      <c r="F102" s="226">
        <v>43092.614988425928</v>
      </c>
      <c r="G102" s="225">
        <v>81</v>
      </c>
      <c r="H102" s="227" t="s">
        <v>553</v>
      </c>
      <c r="I102" s="226">
        <v>43092.642824074072</v>
      </c>
      <c r="J102" s="225">
        <v>0</v>
      </c>
      <c r="K102" s="237" t="str">
        <f t="shared" si="45"/>
        <v>4025/4026</v>
      </c>
      <c r="L102" s="245" t="str">
        <f>VLOOKUP(A102,'Trips&amp;Operators'!$C$1:$G$99911,5,FALSE)</f>
        <v>BARTLETT KIANDRA</v>
      </c>
      <c r="M102" s="224">
        <f t="shared" si="46"/>
        <v>2.7835648143081926E-2</v>
      </c>
      <c r="N102" s="225">
        <f t="shared" si="62"/>
        <v>40.083333326037973</v>
      </c>
      <c r="O102" s="225"/>
      <c r="P102" s="225"/>
      <c r="Q102" s="228"/>
      <c r="R102" s="242"/>
      <c r="S102" s="249">
        <f t="shared" si="43"/>
        <v>1</v>
      </c>
      <c r="T102" s="242" t="str">
        <f t="shared" si="47"/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48"/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247" t="str">
        <f>IF(AA102&lt;VLOOKUP(AG102,Variables!$AC$3:$AD$8,2,FALSE),"Y","N")</f>
        <v>N</v>
      </c>
      <c r="X102" s="247">
        <f t="shared" si="63"/>
        <v>1</v>
      </c>
      <c r="Y102" s="247">
        <f t="shared" si="54"/>
        <v>4.6399999999999997E-2</v>
      </c>
      <c r="Z102" s="247">
        <f t="shared" si="44"/>
        <v>23.330300000000001</v>
      </c>
      <c r="AA102" s="247">
        <f t="shared" si="49"/>
        <v>23.283900000000003</v>
      </c>
      <c r="AB102" s="233" t="str">
        <f>VLOOKUP(A102,Enforcements!$C$7:$K$9,8,0)</f>
        <v>Bulletin (2)</v>
      </c>
      <c r="AC102" s="232" t="str">
        <f>VLOOKUP(A102,Enforcements!$C$7:$E$9,3,0)</f>
        <v>GRADE CROSSING</v>
      </c>
      <c r="AD102" s="243">
        <f t="shared" si="50"/>
        <v>189</v>
      </c>
      <c r="AE102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02" s="234" t="str">
        <f t="shared" si="52"/>
        <v>"C:\Program Files (x86)\AstroGrep\AstroGrep.exe" /e /r /s /spath="%USERPROFILE%\AppData\Local\Temp\OnboardLogs" /stypes="app*4026*20171223*" /stext=" 22:.+((SYSTEM_STATE.+slice.+state.+changed )|(ment ac)|(multiple cpu faults)|(system.+state.+changed )|(\[timeout)|(PRM\|1\|D)|(kpr)|(kdp)|(train st.+moving)|(\|lc)|(penalty))"</v>
      </c>
      <c r="AG102" s="244" t="str">
        <f t="shared" si="53"/>
        <v>EC</v>
      </c>
      <c r="AH102" s="236" t="str">
        <f t="shared" si="55"/>
        <v>"%USERPROFILE%\Documents\GitHub\eaglep3\Utilities\RefineRTDCRunTimes.py" --tripid 189-23 --locoid 4026 --swversion DE.1.0.9.0 --startMP 204:464 --initTime 2017-12-23T14:39:07 --startdatetime 2017-12-23T14:45:35 --delay 81 --endMP 204:233303 --enddatetime 2017-12-23T15:25:40 --enforcementcount 0 &gt;&gt;%USERPROFILE%\Documents\GitHub\eaglep3-reporting\EC\2017-12-23-refined-times.txt</v>
      </c>
      <c r="AI10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{"issue":{"subject":"","project_id":79,"tracker_id":40,"status_id":1,"priority_id":2,"assigned_to_id":338,"start_date":"2017-12-23","description":"","custom_fields":[{"id":1,"name":"Subdivision","value":"EC"},{"id":4,"name":"Milepost","value":"23.3303"},{"id":17,"name":"Train ID","value":"189-23"},{"id":16,"name":"Locomotive ID","value":"4026"},{"id":130,"name":"Impact","value":""},{"id":150,"name":"Time of Event (Mountain Time)","value":"15:25:40"},{"id":151,"name":"Denver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57"/>
        <v>start /low /b %USERPROFILE%\Documents\GitHub\eaglep3\Utilities\DownloadLogsFromS3.py --loco 4026 --day 2017-12-23</v>
      </c>
      <c r="AN102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59"/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Message%20ID',Summary),filters:!(),index:'emp_*',interval:auto,query:(query_string:(analyze_wildcard:!t,query:'%22rtdc.l.rtdc.4026%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9" t="s">
        <v>673</v>
      </c>
      <c r="B103" s="225">
        <v>4025</v>
      </c>
      <c r="C103" s="227" t="s">
        <v>192</v>
      </c>
      <c r="D103" s="227" t="s">
        <v>513</v>
      </c>
      <c r="E103" s="226">
        <v>43092.649085648147</v>
      </c>
      <c r="F103" s="226">
        <v>43092.654340277775</v>
      </c>
      <c r="G103" s="225">
        <v>101</v>
      </c>
      <c r="H103" s="227" t="s">
        <v>505</v>
      </c>
      <c r="I103" s="226">
        <v>43092.681168981479</v>
      </c>
      <c r="J103" s="225">
        <v>0</v>
      </c>
      <c r="K103" s="237" t="str">
        <f t="shared" si="45"/>
        <v>4025/4026</v>
      </c>
      <c r="L103" s="245" t="str">
        <f>VLOOKUP(A103,'Trips&amp;Operators'!$C$1:$G$99911,5,FALSE)</f>
        <v>BARTLETT KIANDRA</v>
      </c>
      <c r="M103" s="224">
        <f t="shared" si="46"/>
        <v>2.6828703703358769E-2</v>
      </c>
      <c r="N103" s="225">
        <f t="shared" si="62"/>
        <v>38.633333332836628</v>
      </c>
      <c r="O103" s="225"/>
      <c r="P103" s="225"/>
      <c r="Q103" s="228"/>
      <c r="R103" s="242"/>
      <c r="S103" s="249">
        <f t="shared" ref="S103:S134" si="64">1/IF(AG103="EC",12,1)*SUM(U103:U103)</f>
        <v>1</v>
      </c>
      <c r="T103" s="242" t="str">
        <f t="shared" si="47"/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48"/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247" t="str">
        <f>IF(AA103&lt;VLOOKUP(AG103,Variables!$AC$3:$AD$8,2,FALSE),"Y","N")</f>
        <v>N</v>
      </c>
      <c r="X103" s="247">
        <f t="shared" si="63"/>
        <v>1</v>
      </c>
      <c r="Y103" s="247">
        <f t="shared" si="54"/>
        <v>23.297799999999999</v>
      </c>
      <c r="Z103" s="247">
        <f t="shared" si="44"/>
        <v>2.01E-2</v>
      </c>
      <c r="AA103" s="247">
        <f t="shared" si="49"/>
        <v>23.277699999999999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50"/>
        <v>190</v>
      </c>
      <c r="AE103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03" s="234" t="str">
        <f t="shared" si="52"/>
        <v>"C:\Program Files (x86)\AstroGrep\AstroGrep.exe" /e /r /s /spath="%USERPROFILE%\AppData\Local\Temp\OnboardLogs" /stypes="app*4025*20171223*" /stext=" 23:.+((SYSTEM_STATE.+slice.+state.+changed )|(ment ac)|(multiple cpu faults)|(system.+state.+changed )|(\[timeout)|(PRM\|1\|D)|(kpr)|(kdp)|(train st.+moving)|(\|lc)|(penalty))"</v>
      </c>
      <c r="AG103" s="244" t="str">
        <f t="shared" si="53"/>
        <v>EC</v>
      </c>
      <c r="AH103" s="236" t="str">
        <f t="shared" si="55"/>
        <v>"%USERPROFILE%\Documents\GitHub\eaglep3\Utilities\RefineRTDCRunTimes.py" --tripid 190-23 --locoid 4025 --swversion DE.1.0.9.0 --startMP 204:232978 --initTime 2017-12-23T15:34:41 --startdatetime 2017-12-23T15:42:15 --delay 101 --endMP 204:201 --enddatetime 2017-12-23T16:20:53 --enforcementcount 0 &gt;&gt;%USERPROFILE%\Documents\GitHub\eaglep3-reporting\EC\2017-12-23-refined-times.txt</v>
      </c>
      <c r="AI10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ID","value":"190-23"},{"id":16,"name":"Locomotive ID","value":"4025"},{"id":130,"name":"Impact","value":""},{"id":150,"name":"Time of Event (Mountain Time)","value":"16:20:53"},{"id":151,"name":"Denver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57"/>
        <v>start /low /b %USERPROFILE%\Documents\GitHub\eaglep3\Utilities\DownloadLogsFromS3.py --loco 4025 --day 2017-12-23</v>
      </c>
      <c r="AN103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59"/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Message%20ID',Summary),filters:!(),index:'emp_*',interval:auto,query:(query_string:(analyze_wildcard:!t,query:'%22rtdc.l.rtdc.4025%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810</v>
      </c>
      <c r="B104" s="225">
        <v>4036</v>
      </c>
      <c r="C104" s="227" t="s">
        <v>192</v>
      </c>
      <c r="D104" s="227" t="s">
        <v>517</v>
      </c>
      <c r="E104" s="226">
        <v>43092.618761574071</v>
      </c>
      <c r="F104" s="226">
        <v>43092.625150462962</v>
      </c>
      <c r="G104" s="225">
        <v>193</v>
      </c>
      <c r="H104" s="227" t="s">
        <v>941</v>
      </c>
      <c r="I104" s="226">
        <v>43092.649826388886</v>
      </c>
      <c r="J104" s="225">
        <v>0</v>
      </c>
      <c r="K104" s="237" t="str">
        <f t="shared" si="45"/>
        <v>4035/4036</v>
      </c>
      <c r="L104" s="245" t="str">
        <f>VLOOKUP(A104,'Trips&amp;Operators'!$C$1:$G$99911,5,FALSE)</f>
        <v>MCREYNOLDS KYLE</v>
      </c>
      <c r="M104" s="224">
        <f t="shared" si="46"/>
        <v>2.4675925924384501E-2</v>
      </c>
      <c r="N104" s="225">
        <f t="shared" si="62"/>
        <v>35.533333331113681</v>
      </c>
      <c r="O104" s="225"/>
      <c r="P104" s="225"/>
      <c r="Q104" s="228"/>
      <c r="R104" s="242"/>
      <c r="S104" s="249">
        <f t="shared" si="64"/>
        <v>1</v>
      </c>
      <c r="T104" s="242" t="str">
        <f t="shared" si="47"/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48"/>
        <v>https://d0f6bd738d7f1b3e5a7ca70fe4ff75f0.us-east-1.aws.found.io/app/kibana#/discover/Steve-Slow-Train-Analysis-(2080s-and-2083s)?_g=(refreshInterval:(display:Off,pause:!f,section:0,value:0),time:(from:'2017-12-23T13:51:01-0700',mode:absolute,to:'2017-12-23T16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4" s="247" t="str">
        <f>IF(AA104&lt;VLOOKUP(AG104,Variables!$AC$3:$AD$8,2,FALSE),"Y","N")</f>
        <v>N</v>
      </c>
      <c r="X104" s="247">
        <f t="shared" si="63"/>
        <v>1</v>
      </c>
      <c r="Y104" s="247">
        <f t="shared" si="54"/>
        <v>5.2600000000000001E-2</v>
      </c>
      <c r="Z104" s="247">
        <f t="shared" si="44"/>
        <v>23.330200000000001</v>
      </c>
      <c r="AA104" s="247">
        <f t="shared" si="49"/>
        <v>23.2776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50"/>
        <v>191</v>
      </c>
      <c r="AE104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04" s="234" t="str">
        <f t="shared" si="52"/>
        <v>"C:\Program Files (x86)\AstroGrep\AstroGrep.exe" /e /r /s /spath="%USERPROFILE%\AppData\Local\Temp\OnboardLogs" /stypes="app*4036*20171223*" /stext=" 22:.+((SYSTEM_STATE.+slice.+state.+changed )|(ment ac)|(multiple cpu faults)|(system.+state.+changed )|(\[timeout)|(PRM\|1\|D)|(kpr)|(kdp)|(train st.+moving)|(\|lc)|(penalty))"</v>
      </c>
      <c r="AG104" s="244" t="str">
        <f t="shared" si="53"/>
        <v>EC</v>
      </c>
      <c r="AH104" s="236" t="str">
        <f t="shared" si="55"/>
        <v>"%USERPROFILE%\Documents\GitHub\eaglep3\Utilities\RefineRTDCRunTimes.py" --tripid 191-23 --locoid 4036 --swversion DE.1.0.9.0 --startMP 204:526 --initTime 2017-12-23T14:51:01 --startdatetime 2017-12-23T15:00:13 --delay 193 --endMP 204:233302 --enddatetime 2017-12-23T15:35:45 --enforcementcount 0 &gt;&gt;%USERPROFILE%\Documents\GitHub\eaglep3-reporting\EC\2017-12-23-refined-times.txt</v>
      </c>
      <c r="AI10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{"issue":{"subject":"","project_id":79,"tracker_id":40,"status_id":1,"priority_id":2,"assigned_to_id":338,"start_date":"2017-12-23","description":"","custom_fields":[{"id":1,"name":"Subdivision","value":"EC"},{"id":4,"name":"Milepost","value":"23.3302"},{"id":17,"name":"Train ID","value":"191-23"},{"id":16,"name":"Locomotive ID","value":"4036"},{"id":130,"name":"Impact","value":""},{"id":150,"name":"Time of Event (Mountain Time)","value":"15:35:45"},{"id":151,"name":"Denver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57"/>
        <v>start /low /b %USERPROFILE%\Documents\GitHub\eaglep3\Utilities\DownloadLogsFromS3.py --loco 4036 --day 2017-12-23</v>
      </c>
      <c r="AN104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59"/>
        <v>https://d0f6bd738d7f1b3e5a7ca70fe4ff75f0.us-east-1.aws.found.io/app/kibana#/discover/Steve-Slow-Train-Analysis-(2080s-and-2083s)?_g=(refreshInterval:(display:Off,pause:!f,section:0,value:0),time:(from:'2017-12-23T13:51:01-0700',mode:absolute,to:'2017-12-23T16:35:45-0700'))&amp;_a=(columns:!('Message%20ID',Summary),filters:!(),index:'emp_*',interval:auto,query:(query_string:(analyze_wildcard:!t,query:'%22rtdc.l.rtdc.4036%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822</v>
      </c>
      <c r="B105" s="225">
        <v>4035</v>
      </c>
      <c r="C105" s="227" t="s">
        <v>192</v>
      </c>
      <c r="D105" s="227" t="s">
        <v>928</v>
      </c>
      <c r="E105" s="226">
        <v>43092.659351851849</v>
      </c>
      <c r="F105" s="226">
        <v>43092.66474537037</v>
      </c>
      <c r="G105" s="225">
        <v>61</v>
      </c>
      <c r="H105" s="227" t="s">
        <v>615</v>
      </c>
      <c r="I105" s="226">
        <v>43092.690127314818</v>
      </c>
      <c r="J105" s="225">
        <v>0</v>
      </c>
      <c r="K105" s="237" t="str">
        <f t="shared" si="45"/>
        <v>4035/4036</v>
      </c>
      <c r="L105" s="245" t="str">
        <f>VLOOKUP(A105,'Trips&amp;Operators'!$C$1:$G$99911,5,FALSE)</f>
        <v>MCREYNOLDS KYLE</v>
      </c>
      <c r="M105" s="224">
        <f t="shared" si="46"/>
        <v>2.5381944447872229E-2</v>
      </c>
      <c r="N105" s="225">
        <f t="shared" si="62"/>
        <v>36.55000000493601</v>
      </c>
      <c r="O105" s="225"/>
      <c r="P105" s="225"/>
      <c r="Q105" s="228"/>
      <c r="R105" s="242"/>
      <c r="S105" s="249">
        <f t="shared" si="64"/>
        <v>1</v>
      </c>
      <c r="T105" s="242" t="str">
        <f t="shared" si="47"/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48"/>
        <v>https://d0f6bd738d7f1b3e5a7ca70fe4ff75f0.us-east-1.aws.found.io/app/kibana#/discover/Steve-Slow-Train-Analysis-(2080s-and-2083s)?_g=(refreshInterval:(display:Off,pause:!f,section:0,value:0),time:(from:'2017-12-23T14:49:28-0700',mode:absolute,to:'2017-12-23T17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5" s="247" t="str">
        <f>IF(AA105&lt;VLOOKUP(AG105,Variables!$AC$3:$AD$8,2,FALSE),"Y","N")</f>
        <v>N</v>
      </c>
      <c r="X105" s="247">
        <f t="shared" si="63"/>
        <v>1</v>
      </c>
      <c r="Y105" s="247">
        <f t="shared" si="54"/>
        <v>23.298300000000001</v>
      </c>
      <c r="Z105" s="247">
        <f t="shared" si="44"/>
        <v>2.2700000000000001E-2</v>
      </c>
      <c r="AA105" s="247">
        <f t="shared" si="49"/>
        <v>23.275600000000001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50"/>
        <v>192</v>
      </c>
      <c r="AE105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05" s="234" t="str">
        <f t="shared" si="52"/>
        <v>"C:\Program Files (x86)\AstroGrep\AstroGrep.exe" /e /r /s /spath="%USERPROFILE%\AppData\Local\Temp\OnboardLogs" /stypes="app*4035*20171223*" /stext=" 23:.+((SYSTEM_STATE.+slice.+state.+changed )|(ment ac)|(multiple cpu faults)|(system.+state.+changed )|(\[timeout)|(PRM\|1\|D)|(kpr)|(kdp)|(train st.+moving)|(\|lc)|(penalty))"</v>
      </c>
      <c r="AG105" s="244" t="str">
        <f t="shared" si="53"/>
        <v>EC</v>
      </c>
      <c r="AH105" s="236" t="str">
        <f t="shared" si="55"/>
        <v>"%USERPROFILE%\Documents\GitHub\eaglep3\Utilities\RefineRTDCRunTimes.py" --tripid 192-23 --locoid 4035 --swversion DE.1.0.9.0 --startMP 204:232983 --initTime 2017-12-23T15:49:28 --startdatetime 2017-12-23T15:57:14 --delay 61 --endMP 204:227 --enddatetime 2017-12-23T16:33:47 --enforcementcount 0 &gt;&gt;%USERPROFILE%\Documents\GitHub\eaglep3-reporting\EC\2017-12-23-refined-times.txt</v>
      </c>
      <c r="AI10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{"issue":{"subject":"","project_id":79,"tracker_id":40,"status_id":1,"priority_id":2,"assigned_to_id":338,"start_date":"2017-12-23","description":"","custom_fields":[{"id":1,"name":"Subdivision","value":"EC"},{"id":4,"name":"Milepost","value":"0.0227"},{"id":17,"name":"Train ID","value":"192-23"},{"id":16,"name":"Locomotive ID","value":"4035"},{"id":130,"name":"Impact","value":""},{"id":150,"name":"Time of Event (Mountain Time)","value":"16:33:47"},{"id":151,"name":"Denver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57"/>
        <v>start /low /b %USERPROFILE%\Documents\GitHub\eaglep3\Utilities\DownloadLogsFromS3.py --loco 4035 --day 2017-12-23</v>
      </c>
      <c r="AN105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59"/>
        <v>https://d0f6bd738d7f1b3e5a7ca70fe4ff75f0.us-east-1.aws.found.io/app/kibana#/discover/Steve-Slow-Train-Analysis-(2080s-and-2083s)?_g=(refreshInterval:(display:Off,pause:!f,section:0,value:0),time:(from:'2017-12-23T14:49:28-0700',mode:absolute,to:'2017-12-23T17:33:47-0700'))&amp;_a=(columns:!('Message%20ID',Summary),filters:!(),index:'emp_*',interval:auto,query:(query_string:(analyze_wildcard:!t,query:'%22rtdc.l.rtdc.4035%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817</v>
      </c>
      <c r="B106" s="225">
        <v>4030</v>
      </c>
      <c r="C106" s="227" t="s">
        <v>192</v>
      </c>
      <c r="D106" s="227" t="s">
        <v>546</v>
      </c>
      <c r="E106" s="226">
        <v>43092.632777777777</v>
      </c>
      <c r="F106" s="226">
        <v>43092.63559027778</v>
      </c>
      <c r="G106" s="225">
        <v>90</v>
      </c>
      <c r="H106" s="227" t="s">
        <v>1006</v>
      </c>
      <c r="I106" s="226">
        <v>43092.660567129627</v>
      </c>
      <c r="J106" s="225">
        <v>0</v>
      </c>
      <c r="K106" s="237" t="str">
        <f t="shared" si="45"/>
        <v>4029/4030</v>
      </c>
      <c r="L106" s="245" t="str">
        <f>VLOOKUP(A106,'Trips&amp;Operators'!$C$1:$G$99911,5,FALSE)</f>
        <v>SAFIEF AEIMEN</v>
      </c>
      <c r="M106" s="224">
        <f t="shared" si="46"/>
        <v>2.4976851847895887E-2</v>
      </c>
      <c r="N106" s="225">
        <f t="shared" si="62"/>
        <v>35.966666660970077</v>
      </c>
      <c r="O106" s="225"/>
      <c r="P106" s="225"/>
      <c r="Q106" s="228"/>
      <c r="R106" s="242"/>
      <c r="S106" s="249">
        <f t="shared" si="64"/>
        <v>1</v>
      </c>
      <c r="T106" s="242" t="str">
        <f t="shared" si="47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48"/>
        <v>https://d0f6bd738d7f1b3e5a7ca70fe4ff75f0.us-east-1.aws.found.io/app/kibana#/discover/Steve-Slow-Train-Analysis-(2080s-and-2083s)?_g=(refreshInterval:(display:Off,pause:!f,section:0,value:0),time:(from:'2017-12-23T14:11:12-0700',mode:absolute,to:'2017-12-23T16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6" s="247" t="str">
        <f>IF(AA106&lt;VLOOKUP(AG106,Variables!$AC$3:$AD$8,2,FALSE),"Y","N")</f>
        <v>N</v>
      </c>
      <c r="X106" s="247">
        <f t="shared" si="63"/>
        <v>1</v>
      </c>
      <c r="Y106" s="247">
        <f t="shared" si="54"/>
        <v>4.9299999999999997E-2</v>
      </c>
      <c r="Z106" s="247">
        <f t="shared" si="44"/>
        <v>23.324300000000001</v>
      </c>
      <c r="AA106" s="247">
        <f t="shared" si="49"/>
        <v>23.275000000000002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50"/>
        <v>193</v>
      </c>
      <c r="AE106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06" s="234" t="str">
        <f t="shared" si="52"/>
        <v>"C:\Program Files (x86)\AstroGrep\AstroGrep.exe" /e /r /s /spath="%USERPROFILE%\AppData\Local\Temp\OnboardLogs" /stypes="app*4030*20171223*" /stext=" 22:.+((SYSTEM_STATE.+slice.+state.+changed )|(ment ac)|(multiple cpu faults)|(system.+state.+changed )|(\[timeout)|(PRM\|1\|D)|(kpr)|(kdp)|(train st.+moving)|(\|lc)|(penalty))"</v>
      </c>
      <c r="AG106" s="244" t="str">
        <f t="shared" si="53"/>
        <v>EC</v>
      </c>
      <c r="AH106" s="236" t="str">
        <f t="shared" si="55"/>
        <v>"%USERPROFILE%\Documents\GitHub\eaglep3\Utilities\RefineRTDCRunTimes.py" --tripid 193-23 --locoid 4030 --swversion DE.1.0.9.0 --startMP 204:493 --initTime 2017-12-23T15:11:12 --startdatetime 2017-12-23T15:15:15 --delay 90 --endMP 204:233243 --enddatetime 2017-12-23T15:51:13 --enforcementcount 0 &gt;&gt;%USERPROFILE%\Documents\GitHub\eaglep3-reporting\EC\2017-12-23-refined-times.txt</v>
      </c>
      <c r="AI10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{"issue":{"subject":"","project_id":79,"tracker_id":40,"status_id":1,"priority_id":2,"assigned_to_id":338,"start_date":"2017-12-23","description":"","custom_fields":[{"id":1,"name":"Subdivision","value":"EC"},{"id":4,"name":"Milepost","value":"23.3243"},{"id":17,"name":"Train ID","value":"193-23"},{"id":16,"name":"Locomotive ID","value":"4030"},{"id":130,"name":"Impact","value":""},{"id":150,"name":"Time of Event (Mountain Time)","value":"15:51:13"},{"id":151,"name":"Denver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57"/>
        <v>start /low /b %USERPROFILE%\Documents\GitHub\eaglep3\Utilities\DownloadLogsFromS3.py --loco 4030 --day 2017-12-23</v>
      </c>
      <c r="AN106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59"/>
        <v>https://d0f6bd738d7f1b3e5a7ca70fe4ff75f0.us-east-1.aws.found.io/app/kibana#/discover/Steve-Slow-Train-Analysis-(2080s-and-2083s)?_g=(refreshInterval:(display:Off,pause:!f,section:0,value:0),time:(from:'2017-12-23T14:11:12-0700',mode:absolute,to:'2017-12-23T16:51:13-0700'))&amp;_a=(columns:!('Message%20ID',Summary),filters:!(),index:'emp_*',interval:auto,query:(query_string:(analyze_wildcard:!t,query:'%22rtdc.l.rtdc.4030%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823</v>
      </c>
      <c r="B107" s="225">
        <v>4029</v>
      </c>
      <c r="C107" s="227" t="s">
        <v>192</v>
      </c>
      <c r="D107" s="227" t="s">
        <v>536</v>
      </c>
      <c r="E107" s="226">
        <v>43092.662685185183</v>
      </c>
      <c r="F107" s="226">
        <v>43092.675196759257</v>
      </c>
      <c r="G107" s="225">
        <v>126</v>
      </c>
      <c r="H107" s="227" t="s">
        <v>554</v>
      </c>
      <c r="I107" s="226">
        <v>43092.701053240744</v>
      </c>
      <c r="J107" s="225">
        <v>0</v>
      </c>
      <c r="K107" s="237" t="str">
        <f t="shared" si="45"/>
        <v>4029/4030</v>
      </c>
      <c r="L107" s="245" t="str">
        <f>VLOOKUP(A107,'Trips&amp;Operators'!$C$1:$G$99911,5,FALSE)</f>
        <v>SAFIEF AEIMEN</v>
      </c>
      <c r="M107" s="224">
        <f t="shared" si="46"/>
        <v>2.5856481486698613E-2</v>
      </c>
      <c r="N107" s="225">
        <f t="shared" si="62"/>
        <v>37.233333340846002</v>
      </c>
      <c r="O107" s="225"/>
      <c r="P107" s="225"/>
      <c r="Q107" s="228"/>
      <c r="R107" s="242"/>
      <c r="S107" s="249">
        <f t="shared" si="64"/>
        <v>1</v>
      </c>
      <c r="T107" s="242" t="str">
        <f t="shared" si="47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48"/>
        <v>https://d0f6bd738d7f1b3e5a7ca70fe4ff75f0.us-east-1.aws.found.io/app/kibana#/discover/Steve-Slow-Train-Analysis-(2080s-and-2083s)?_g=(refreshInterval:(display:Off,pause:!f,section:0,value:0),time:(from:'2017-12-23T14:54:16-0700',mode:absolute,to:'2017-12-23T17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7" s="247" t="str">
        <f>IF(AA107&lt;VLOOKUP(AG107,Variables!$AC$3:$AD$8,2,FALSE),"Y","N")</f>
        <v>N</v>
      </c>
      <c r="X107" s="247">
        <f t="shared" si="63"/>
        <v>1</v>
      </c>
      <c r="Y107" s="247">
        <f t="shared" si="54"/>
        <v>23.293800000000001</v>
      </c>
      <c r="Z107" s="247">
        <f t="shared" si="44"/>
        <v>1.8100000000000002E-2</v>
      </c>
      <c r="AA107" s="247">
        <f t="shared" si="49"/>
        <v>23.275700000000001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50"/>
        <v>194</v>
      </c>
      <c r="AE107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107" s="234" t="str">
        <f t="shared" si="52"/>
        <v>"C:\Program Files (x86)\AstroGrep\AstroGrep.exe" /e /r /s /spath="%USERPROFILE%\AppData\Local\Temp\OnboardLogs" /stypes="app*4029*20171223*" /stext=" 23:.+((SYSTEM_STATE.+slice.+state.+changed )|(ment ac)|(multiple cpu faults)|(system.+state.+changed )|(\[timeout)|(PRM\|1\|D)|(kpr)|(kdp)|(train st.+moving)|(\|lc)|(penalty))"</v>
      </c>
      <c r="AG107" s="244" t="str">
        <f t="shared" si="53"/>
        <v>EC</v>
      </c>
      <c r="AH107" s="236" t="str">
        <f t="shared" si="55"/>
        <v>"%USERPROFILE%\Documents\GitHub\eaglep3\Utilities\RefineRTDCRunTimes.py" --tripid 194-23 --locoid 4029 --swversion DE.1.0.9.0 --startMP 204:232938 --initTime 2017-12-23T15:54:16 --startdatetime 2017-12-23T16:12:17 --delay 126 --endMP 204:181 --enddatetime 2017-12-23T16:49:31 --enforcementcount 0 &gt;&gt;%USERPROFILE%\Documents\GitHub\eaglep3-reporting\EC\2017-12-23-refined-times.txt</v>
      </c>
      <c r="AI10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{"issue":{"subject":"","project_id":79,"tracker_id":40,"status_id":1,"priority_id":2,"assigned_to_id":338,"start_date":"2017-12-23","description":"","custom_fields":[{"id":1,"name":"Subdivision","value":"EC"},{"id":4,"name":"Milepost","value":"0.0181"},{"id":17,"name":"Train ID","value":"194-23"},{"id":16,"name":"Locomotive ID","value":"4029"},{"id":130,"name":"Impact","value":""},{"id":150,"name":"Time of Event (Mountain Time)","value":"16:49:31"},{"id":151,"name":"Denver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57"/>
        <v>start /low /b %USERPROFILE%\Documents\GitHub\eaglep3\Utilities\DownloadLogsFromS3.py --loco 4029 --day 2017-12-23</v>
      </c>
      <c r="AN107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59"/>
        <v>https://d0f6bd738d7f1b3e5a7ca70fe4ff75f0.us-east-1.aws.found.io/app/kibana#/discover/Steve-Slow-Train-Analysis-(2080s-and-2083s)?_g=(refreshInterval:(display:Off,pause:!f,section:0,value:0),time:(from:'2017-12-23T14:54:16-0700',mode:absolute,to:'2017-12-23T17:49:31-0700'))&amp;_a=(columns:!('Message%20ID',Summary),filters:!(),index:'emp_*',interval:auto,query:(query_string:(analyze_wildcard:!t,query:'%22rtdc.l.rtdc.4029%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819</v>
      </c>
      <c r="B108" s="225">
        <v>4002</v>
      </c>
      <c r="C108" s="227" t="s">
        <v>192</v>
      </c>
      <c r="D108" s="227" t="s">
        <v>1007</v>
      </c>
      <c r="E108" s="226">
        <v>43092.64334490741</v>
      </c>
      <c r="F108" s="226">
        <v>43092.645995370367</v>
      </c>
      <c r="G108" s="225">
        <v>64</v>
      </c>
      <c r="H108" s="227" t="s">
        <v>636</v>
      </c>
      <c r="I108" s="226">
        <v>43092.671527777777</v>
      </c>
      <c r="J108" s="225">
        <v>0</v>
      </c>
      <c r="K108" s="237" t="str">
        <f t="shared" si="45"/>
        <v>4001/4002</v>
      </c>
      <c r="L108" s="245" t="str">
        <f>VLOOKUP(A108,'Trips&amp;Operators'!$C$1:$G$99911,5,FALSE)</f>
        <v>BADERTSCHER DIANE</v>
      </c>
      <c r="M108" s="224">
        <f t="shared" si="46"/>
        <v>2.5532407409627922E-2</v>
      </c>
      <c r="N108" s="225">
        <f t="shared" si="62"/>
        <v>36.766666669864208</v>
      </c>
      <c r="O108" s="225"/>
      <c r="P108" s="225"/>
      <c r="Q108" s="228"/>
      <c r="R108" s="242"/>
      <c r="S108" s="249">
        <f t="shared" si="64"/>
        <v>1</v>
      </c>
      <c r="T108" s="242" t="str">
        <f t="shared" si="47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48"/>
        <v>https://d0f6bd738d7f1b3e5a7ca70fe4ff75f0.us-east-1.aws.found.io/app/kibana#/discover/Steve-Slow-Train-Analysis-(2080s-and-2083s)?_g=(refreshInterval:(display:Off,pause:!f,section:0,value:0),time:(from:'2017-12-23T14:26:25-0700',mode:absolute,to:'2017-12-23T17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247" t="str">
        <f>IF(AA108&lt;VLOOKUP(AG108,Variables!$AC$3:$AD$8,2,FALSE),"Y","N")</f>
        <v>N</v>
      </c>
      <c r="X108" s="247">
        <f t="shared" si="63"/>
        <v>1</v>
      </c>
      <c r="Y108" s="247">
        <f t="shared" si="54"/>
        <v>5.0799999999999998E-2</v>
      </c>
      <c r="Z108" s="247">
        <f t="shared" si="44"/>
        <v>23.325500000000002</v>
      </c>
      <c r="AA108" s="247">
        <f t="shared" si="49"/>
        <v>23.274700000000003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50"/>
        <v>195</v>
      </c>
      <c r="AE108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08" s="234" t="str">
        <f t="shared" si="52"/>
        <v>"C:\Program Files (x86)\AstroGrep\AstroGrep.exe" /e /r /s /spath="%USERPROFILE%\AppData\Local\Temp\OnboardLogs" /stypes="app*4002*20171223*" /stext=" 23:.+((SYSTEM_STATE.+slice.+state.+changed )|(ment ac)|(multiple cpu faults)|(system.+state.+changed )|(\[timeout)|(PRM\|1\|D)|(kpr)|(kdp)|(train st.+moving)|(\|lc)|(penalty))"</v>
      </c>
      <c r="AG108" s="244" t="str">
        <f t="shared" si="53"/>
        <v>EC</v>
      </c>
      <c r="AH108" s="236" t="str">
        <f t="shared" si="55"/>
        <v>"%USERPROFILE%\Documents\GitHub\eaglep3\Utilities\RefineRTDCRunTimes.py" --tripid 195-23 --locoid 4002 --swversion DE.1.0.9.0 --startMP 204:508 --initTime 2017-12-23T15:26:25 --startdatetime 2017-12-23T15:30:14 --delay 64 --endMP 204:233255 --enddatetime 2017-12-23T16:07:00 --enforcementcount 0 &gt;&gt;%USERPROFILE%\Documents\GitHub\eaglep3-reporting\EC\2017-12-23-refined-times.txt</v>
      </c>
      <c r="AI10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{"issue":{"subject":"","project_id":79,"tracker_id":40,"status_id":1,"priority_id":2,"assigned_to_id":338,"start_date":"2017-12-23","description":"","custom_fields":[{"id":1,"name":"Subdivision","value":"EC"},{"id":4,"name":"Milepost","value":"23.3255"},{"id":17,"name":"Train ID","value":"195-23"},{"id":16,"name":"Locomotive ID","value":"4002"},{"id":130,"name":"Impact","value":""},{"id":150,"name":"Time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57"/>
        <v>start /low /b %USERPROFILE%\Documents\GitHub\eaglep3\Utilities\DownloadLogsFromS3.py --loco 4002 --day 2017-12-23</v>
      </c>
      <c r="AN108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59"/>
        <v>https://d0f6bd738d7f1b3e5a7ca70fe4ff75f0.us-east-1.aws.found.io/app/kibana#/discover/Steve-Slow-Train-Analysis-(2080s-and-2083s)?_g=(refreshInterval:(display:Off,pause:!f,section:0,value:0),time:(from:'2017-12-23T14:26:25-0700',mode:absolute,to:'2017-12-23T17:07:00-0700'))&amp;_a=(columns:!('Message%20ID',Summary),filters:!(),index:'emp_*',interval:auto,query:(query_string:(analyze_wildcard:!t,query:'%22rtdc.l.rtdc.4002%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827</v>
      </c>
      <c r="B109" s="225">
        <v>4001</v>
      </c>
      <c r="C109" s="227" t="s">
        <v>192</v>
      </c>
      <c r="D109" s="227" t="s">
        <v>1008</v>
      </c>
      <c r="E109" s="226">
        <v>43092.680173611108</v>
      </c>
      <c r="F109" s="226">
        <v>43092.685613425929</v>
      </c>
      <c r="G109" s="225">
        <v>67</v>
      </c>
      <c r="H109" s="227" t="s">
        <v>570</v>
      </c>
      <c r="I109" s="226">
        <v>43092.712777777779</v>
      </c>
      <c r="J109" s="225">
        <v>0</v>
      </c>
      <c r="K109" s="237" t="str">
        <f t="shared" si="45"/>
        <v>4001/4002</v>
      </c>
      <c r="L109" s="245" t="str">
        <f>VLOOKUP(A109,'Trips&amp;Operators'!$C$1:$G$99911,5,FALSE)</f>
        <v>BADERTSCHER DIANE</v>
      </c>
      <c r="M109" s="224">
        <f t="shared" si="46"/>
        <v>2.7164351849933155E-2</v>
      </c>
      <c r="N109" s="225">
        <f t="shared" si="62"/>
        <v>39.116666663903743</v>
      </c>
      <c r="O109" s="225"/>
      <c r="P109" s="225"/>
      <c r="Q109" s="228"/>
      <c r="R109" s="242"/>
      <c r="S109" s="249">
        <f t="shared" si="64"/>
        <v>1</v>
      </c>
      <c r="T109" s="242" t="str">
        <f t="shared" si="47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48"/>
        <v>https://d0f6bd738d7f1b3e5a7ca70fe4ff75f0.us-east-1.aws.found.io/app/kibana#/discover/Steve-Slow-Train-Analysis-(2080s-and-2083s)?_g=(refreshInterval:(display:Off,pause:!f,section:0,value:0),time:(from:'2017-12-23T15:19:27-0700',mode:absolute,to:'2017-12-23T18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247" t="str">
        <f>IF(AA109&lt;VLOOKUP(AG109,Variables!$AC$3:$AD$8,2,FALSE),"Y","N")</f>
        <v>N</v>
      </c>
      <c r="X109" s="247">
        <f t="shared" si="63"/>
        <v>1</v>
      </c>
      <c r="Y109" s="247">
        <f t="shared" si="54"/>
        <v>23.295999999999999</v>
      </c>
      <c r="Z109" s="247">
        <f t="shared" si="44"/>
        <v>2.63E-2</v>
      </c>
      <c r="AA109" s="247">
        <f t="shared" si="49"/>
        <v>23.2697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50"/>
        <v>196</v>
      </c>
      <c r="AE109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09" s="234" t="str">
        <f t="shared" si="52"/>
        <v>"C:\Program Files (x86)\AstroGrep\AstroGrep.exe" /e /r /s /spath="%USERPROFILE%\AppData\Local\Temp\OnboardLogs" /stypes="app*4001*20171224*" /stext=" 00:.+((SYSTEM_STATE.+slice.+state.+changed )|(ment ac)|(multiple cpu faults)|(system.+state.+changed )|(\[timeout)|(PRM\|1\|D)|(kpr)|(kdp)|(train st.+moving)|(\|lc)|(penalty))"</v>
      </c>
      <c r="AG109" s="244" t="str">
        <f t="shared" si="53"/>
        <v>EC</v>
      </c>
      <c r="AH109" s="236" t="str">
        <f t="shared" si="55"/>
        <v>"%USERPROFILE%\Documents\GitHub\eaglep3\Utilities\RefineRTDCRunTimes.py" --tripid 196-23 --locoid 4001 --swversion DE.1.0.9.0 --startMP 204:232960 --initTime 2017-12-23T16:19:27 --startdatetime 2017-12-23T16:27:17 --delay 67 --endMP 204:263 --enddatetime 2017-12-23T17:06:24 --enforcementcount 0 &gt;&gt;%USERPROFILE%\Documents\GitHub\eaglep3-reporting\EC\2017-12-23-refined-times.txt</v>
      </c>
      <c r="AI10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{"issue":{"subject":"","project_id":79,"tracker_id":40,"status_id":1,"priority_id":2,"assigned_to_id":338,"start_date":"2017-12-23","description":"","custom_fields":[{"id":1,"name":"Subdivision","value":"EC"},{"id":4,"name":"Milepost","value":"0.0263"},{"id":17,"name":"Train ID","value":"196-23"},{"id":16,"name":"Locomotive ID","value":"4001"},{"id":130,"name":"Impact","value":""},{"id":150,"name":"Time of Event (Mountain Time)","value":"17:06:24"},{"id":151,"name":"Denver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57"/>
        <v>start /low /b %USERPROFILE%\Documents\GitHub\eaglep3\Utilities\DownloadLogsFromS3.py --loco 4001 --day 2017-12-23</v>
      </c>
      <c r="AN10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59"/>
        <v>https://d0f6bd738d7f1b3e5a7ca70fe4ff75f0.us-east-1.aws.found.io/app/kibana#/discover/Steve-Slow-Train-Analysis-(2080s-and-2083s)?_g=(refreshInterval:(display:Off,pause:!f,section:0,value:0),time:(from:'2017-12-23T15:19:27-0700',mode:absolute,to:'2017-12-23T18:06:24-0700'))&amp;_a=(columns:!('Message%20ID',Summary),filters:!(),index:'emp_*',interval:auto,query:(query_string:(analyze_wildcard:!t,query:'%22rtdc.l.rtdc.4001%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821</v>
      </c>
      <c r="B110" s="225">
        <v>4052</v>
      </c>
      <c r="C110" s="227" t="s">
        <v>192</v>
      </c>
      <c r="D110" s="227" t="s">
        <v>1009</v>
      </c>
      <c r="E110" s="226">
        <v>43092.651886574073</v>
      </c>
      <c r="F110" s="226">
        <v>43092.696006944447</v>
      </c>
      <c r="G110" s="225">
        <v>63</v>
      </c>
      <c r="H110" s="227" t="s">
        <v>1010</v>
      </c>
      <c r="I110" s="226">
        <v>43092.722187500003</v>
      </c>
      <c r="J110" s="225">
        <v>0</v>
      </c>
      <c r="K110" s="237" t="str">
        <f t="shared" si="45"/>
        <v>4051/4052</v>
      </c>
      <c r="L110" s="245" t="str">
        <f>VLOOKUP(A110,'Trips&amp;Operators'!$C$1:$G$99911,5,FALSE)</f>
        <v>GONZALEZ ARMANDO</v>
      </c>
      <c r="M110" s="224">
        <f t="shared" si="46"/>
        <v>2.6180555556493346E-2</v>
      </c>
      <c r="N110" s="225">
        <f t="shared" si="62"/>
        <v>37.700000001350418</v>
      </c>
      <c r="O110" s="225"/>
      <c r="P110" s="225"/>
      <c r="Q110" s="228"/>
      <c r="R110" s="242"/>
      <c r="S110" s="249">
        <f t="shared" si="64"/>
        <v>1</v>
      </c>
      <c r="T110" s="242" t="str">
        <f t="shared" si="47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48"/>
        <v>https://d0f6bd738d7f1b3e5a7ca70fe4ff75f0.us-east-1.aws.found.io/app/kibana#/discover/Steve-Slow-Train-Analysis-(2080s-and-2083s)?_g=(refreshInterval:(display:Off,pause:!f,section:0,value:0),time:(from:'2017-12-23T14:38:43-0700',mode:absolute,to:'2017-12-23T18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247" t="str">
        <f>IF(AA110&lt;VLOOKUP(AG110,Variables!$AC$3:$AD$8,2,FALSE),"Y","N")</f>
        <v>N</v>
      </c>
      <c r="X110" s="247">
        <f t="shared" si="63"/>
        <v>1</v>
      </c>
      <c r="Y110" s="247">
        <f t="shared" si="54"/>
        <v>4.4900000000000002E-2</v>
      </c>
      <c r="Z110" s="247">
        <f t="shared" si="44"/>
        <v>23.3339</v>
      </c>
      <c r="AA110" s="247">
        <f t="shared" si="49"/>
        <v>23.289000000000001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50"/>
        <v>197</v>
      </c>
      <c r="AE110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110" s="234" t="str">
        <f t="shared" si="52"/>
        <v>"C:\Program Files (x86)\AstroGrep\AstroGrep.exe" /e /r /s /spath="%USERPROFILE%\AppData\Local\Temp\OnboardLogs" /stypes="app*4052*20171224*" /stext=" 00:.+((SYSTEM_STATE.+slice.+state.+changed )|(ment ac)|(multiple cpu faults)|(system.+state.+changed )|(\[timeout)|(PRM\|1\|D)|(kpr)|(kdp)|(train st.+moving)|(\|lc)|(penalty))"</v>
      </c>
      <c r="AG110" s="244" t="str">
        <f t="shared" si="53"/>
        <v>EC</v>
      </c>
      <c r="AH110" s="236" t="str">
        <f t="shared" si="55"/>
        <v>"%USERPROFILE%\Documents\GitHub\eaglep3\Utilities\RefineRTDCRunTimes.py" --tripid 197-23 --locoid 4052 --swversion DE.1.0.9.0 --startMP 204:449 --initTime 2017-12-23T15:38:43 --startdatetime 2017-12-23T16:42:15 --delay 63 --endMP 204:233339 --enddatetime 2017-12-23T17:19:57 --enforcementcount 0 &gt;&gt;%USERPROFILE%\Documents\GitHub\eaglep3-reporting\EC\2017-12-23-refined-times.txt</v>
      </c>
      <c r="AI11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{"issue":{"subject":"","project_id":79,"tracker_id":40,"status_id":1,"priority_id":2,"assigned_to_id":338,"start_date":"2017-12-23","description":"","custom_fields":[{"id":1,"name":"Subdivision","value":"EC"},{"id":4,"name":"Milepost","value":"23.3339"},{"id":17,"name":"Train ID","value":"197-23"},{"id":16,"name":"Locomotive ID","value":"4052"},{"id":130,"name":"Impact","value":""},{"id":150,"name":"Time of Event (Mountain Time)","value":"17:19:57"},{"id":151,"name":"Denver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57"/>
        <v>start /low /b %USERPROFILE%\Documents\GitHub\eaglep3\Utilities\DownloadLogsFromS3.py --loco 4052 --day 2017-12-23</v>
      </c>
      <c r="AN11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59"/>
        <v>https://d0f6bd738d7f1b3e5a7ca70fe4ff75f0.us-east-1.aws.found.io/app/kibana#/discover/Steve-Slow-Train-Analysis-(2080s-and-2083s)?_g=(refreshInterval:(display:Off,pause:!f,section:0,value:0),time:(from:'2017-12-23T14:38:43-0700',mode:absolute,to:'2017-12-23T18:19:57-0700'))&amp;_a=(columns:!('Message%20ID',Summary),filters:!(),index:'emp_*',interval:auto,query:(query_string:(analyze_wildcard:!t,query:'%22rtdc.l.rtdc.4052%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830</v>
      </c>
      <c r="B111" s="225">
        <v>4051</v>
      </c>
      <c r="C111" s="227" t="s">
        <v>192</v>
      </c>
      <c r="D111" s="227" t="s">
        <v>612</v>
      </c>
      <c r="E111" s="226">
        <v>43092.69158564815</v>
      </c>
      <c r="F111" s="226">
        <v>43092.696006944447</v>
      </c>
      <c r="G111" s="225">
        <v>49</v>
      </c>
      <c r="H111" s="227" t="s">
        <v>959</v>
      </c>
      <c r="I111" s="226">
        <v>43092.722187500003</v>
      </c>
      <c r="J111" s="225">
        <v>0</v>
      </c>
      <c r="K111" s="237" t="str">
        <f t="shared" si="45"/>
        <v>4051/4052</v>
      </c>
      <c r="L111" s="245" t="str">
        <f>VLOOKUP(A111,'Trips&amp;Operators'!$C$1:$G$99911,5,FALSE)</f>
        <v>GONZALEZ ARMANDO</v>
      </c>
      <c r="M111" s="224">
        <f t="shared" si="46"/>
        <v>2.6180555556493346E-2</v>
      </c>
      <c r="N111" s="225">
        <f t="shared" si="62"/>
        <v>37.700000001350418</v>
      </c>
      <c r="O111" s="225"/>
      <c r="P111" s="225"/>
      <c r="Q111" s="228"/>
      <c r="R111" s="242"/>
      <c r="S111" s="249">
        <f t="shared" si="64"/>
        <v>1</v>
      </c>
      <c r="T111" s="242" t="str">
        <f t="shared" si="47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18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247" t="str">
        <f>IF(AA111&lt;VLOOKUP(AG111,Variables!$AC$3:$AD$8,2,FALSE),"Y","N")</f>
        <v>N</v>
      </c>
      <c r="X111" s="247">
        <f t="shared" si="63"/>
        <v>1</v>
      </c>
      <c r="Y111" s="247">
        <f t="shared" si="54"/>
        <v>23.3005</v>
      </c>
      <c r="Z111" s="247">
        <f t="shared" si="44"/>
        <v>1.67E-2</v>
      </c>
      <c r="AA111" s="247">
        <f t="shared" si="49"/>
        <v>23.283799999999999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50"/>
        <v>198</v>
      </c>
      <c r="AE111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111" s="234" t="str">
        <f t="shared" si="52"/>
        <v>"C:\Program Files (x86)\AstroGrep\AstroGrep.exe" /e /r /s /spath="%USERPROFILE%\AppData\Local\Temp\OnboardLogs" /stypes="app*4051*20171224*" /stext=" 00:.+((SYSTEM_STATE.+slice.+state.+changed )|(ment ac)|(multiple cpu faults)|(system.+state.+changed )|(\[timeout)|(PRM\|1\|D)|(kpr)|(kdp)|(train st.+moving)|(\|lc)|(penalty))"</v>
      </c>
      <c r="AG111" s="244" t="str">
        <f t="shared" si="53"/>
        <v>EC</v>
      </c>
      <c r="AH111" s="236" t="str">
        <f t="shared" si="55"/>
        <v>"%USERPROFILE%\Documents\GitHub\eaglep3\Utilities\RefineRTDCRunTimes.py" --tripid 198-23 --locoid 4051 --swversion DE.1.0.9.0 --startMP 204:233005 --initTime 2017-12-23T16:35:53 --startdatetime 2017-12-23T16:42:15 --delay 49 --endMP 204:167 --enddatetime 2017-12-23T17:19:57 --enforcementcount 0 &gt;&gt;%USERPROFILE%\Documents\GitHub\eaglep3-reporting\EC\2017-12-23-refined-times.txt</v>
      </c>
      <c r="AI11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{"issue":{"subject":"","project_id":79,"tracker_id":40,"status_id":1,"priority_id":2,"assigned_to_id":338,"start_date":"2017-12-23","description":"","custom_fields":[{"id":1,"name":"Subdivision","value":"EC"},{"id":4,"name":"Milepost","value":"0.0167"},{"id":17,"name":"Train ID","value":"198-23"},{"id":16,"name":"Locomotive ID","value":"4051"},{"id":130,"name":"Impact","value":""},{"id":150,"name":"Time of Event (Mountain Time)","value":"17:19:57"},{"id":151,"name":"Denver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57"/>
        <v>start /low /b %USERPROFILE%\Documents\GitHub\eaglep3\Utilities\DownloadLogsFromS3.py --loco 4051 --day 2017-12-23</v>
      </c>
      <c r="AN11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59"/>
        <v>https://d0f6bd738d7f1b3e5a7ca70fe4ff75f0.us-east-1.aws.found.io/app/kibana#/discover/Steve-Slow-Train-Analysis-(2080s-and-2083s)?_g=(refreshInterval:(display:Off,pause:!f,section:0,value:0),time:(from:'2017-12-23T15:35:53-0700',mode:absolute,to:'2017-12-23T18:19:57-0700'))&amp;_a=(columns:!('Message%20ID',Summary),filters:!(),index:'emp_*',interval:auto,query:(query_string:(analyze_wildcard:!t,query:'%22rtdc.l.rtdc.4051%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25">
      <c r="A112" s="229" t="s">
        <v>824</v>
      </c>
      <c r="B112" s="225">
        <v>4046</v>
      </c>
      <c r="C112" s="227" t="s">
        <v>192</v>
      </c>
      <c r="D112" s="227" t="s">
        <v>612</v>
      </c>
      <c r="E112" s="226">
        <v>43092.69158564815</v>
      </c>
      <c r="F112" s="226">
        <v>43092.667164351849</v>
      </c>
      <c r="G112" s="225">
        <v>49</v>
      </c>
      <c r="H112" s="227" t="s">
        <v>959</v>
      </c>
      <c r="I112" s="226">
        <v>43092.692129629628</v>
      </c>
      <c r="J112" s="225">
        <v>0</v>
      </c>
      <c r="K112" s="237" t="str">
        <f t="shared" si="45"/>
        <v>4045/4046</v>
      </c>
      <c r="L112" s="245" t="str">
        <f>VLOOKUP(A112,'Trips&amp;Operators'!$C$1:$G$99911,5,FALSE)</f>
        <v>MOSES BRADLEY</v>
      </c>
      <c r="M112" s="224">
        <f t="shared" si="46"/>
        <v>2.4965277778392192E-2</v>
      </c>
      <c r="N112" s="225">
        <f t="shared" si="62"/>
        <v>35.950000000884756</v>
      </c>
      <c r="O112" s="225"/>
      <c r="P112" s="225"/>
      <c r="Q112" s="228"/>
      <c r="R112" s="242"/>
      <c r="S112" s="249">
        <f t="shared" si="64"/>
        <v>1</v>
      </c>
      <c r="T112" s="242" t="str">
        <f t="shared" si="47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17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247" t="str">
        <f>IF(AA112&lt;VLOOKUP(AG112,Variables!$AC$3:$AD$8,2,FALSE),"Y","N")</f>
        <v>N</v>
      </c>
      <c r="X112" s="247">
        <f t="shared" si="63"/>
        <v>1</v>
      </c>
      <c r="Y112" s="247">
        <v>7.4800000000000005E-2</v>
      </c>
      <c r="Z112" s="247">
        <v>23.328499999999998</v>
      </c>
      <c r="AA112" s="247">
        <f t="shared" si="49"/>
        <v>23.253699999999998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50"/>
        <v>199</v>
      </c>
      <c r="AE112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12" s="234" t="str">
        <f t="shared" si="52"/>
        <v>"C:\Program Files (x86)\AstroGrep\AstroGrep.exe" /e /r /s /spath="%USERPROFILE%\AppData\Local\Temp\OnboardLogs" /stypes="app*4046*20171223*" /stext=" 23:.+((SYSTEM_STATE.+slice.+state.+changed )|(ment ac)|(multiple cpu faults)|(system.+state.+changed )|(\[timeout)|(PRM\|1\|D)|(kpr)|(kdp)|(train st.+moving)|(\|lc)|(penalty))"</v>
      </c>
      <c r="AG112" s="244" t="str">
        <f t="shared" si="53"/>
        <v>EC</v>
      </c>
      <c r="AH112" s="236" t="str">
        <f t="shared" ref="AH112" si="65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199-23 --locoid 4046 --swversion DE.1.0.9.0 --startMP 204:233005 --initTime 2017-12-23T16:35:53 --startdatetime 2017-12-23T16:00:43 --delay 49 --endMP 204:167 --enddatetime 2017-12-23T16:36:40 --enforcementcount 0 &gt;&gt;%USERPROFILE%\Documents\GitHub\eaglep3-reporting\EC\2017-12-23-refined-times.txt</v>
      </c>
      <c r="AI112" s="238" t="str">
        <f t="shared" ref="AI112" si="66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{"issue":{"subject":"","project_id":79,"tracker_id":40,"status_id":1,"priority_id":2,"assigned_to_id":338,"start_date":"2017-12-23","description":"","custom_fields":[{"id":1,"name":"Subdivision","value":"EC"},{"id":4,"name":"Milepost","value":"23.3285"},{"id":17,"name":"Train ID","value":"199-23"},{"id":16,"name":"Locomotive ID","value":"4046"},{"id":130,"name":"Impact","value":""},{"id":150,"name":"Time of Event (Mountain Time)","value":"16:36:40"},{"id":151,"name":"Denver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ref="AM112" si="67">"start /low /b "&amp;dls3logs&amp;" --loco "&amp;B112&amp;" --day "&amp;TEXT(F112,"YYYY-MM-DD")</f>
        <v>start /low /b %USERPROFILE%\Documents\GitHub\eaglep3\Utilities\DownloadLogsFromS3.py --loco 4046 --day 2017-12-23</v>
      </c>
      <c r="AN112" s="241" t="str">
        <f t="shared" ref="AN112" si="68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ref="AO112" si="69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-23T15:35:53-0700',mode:absolute,to:'2017-12-23T17:36:40-0700'))&amp;_a=(columns:!('Message%20ID',Summary),filters:!(),index:'emp_*',interval:auto,query:(query_string:(analyze_wildcard:!t,query:'%22rtdc.l.rtdc.4046%22')),sort:!(Time.ISO8601,asc))</v>
      </c>
    </row>
    <row r="113" spans="1:91" s="223" customFormat="1" x14ac:dyDescent="0.25">
      <c r="A113" s="229" t="s">
        <v>675</v>
      </c>
      <c r="B113" s="225">
        <v>4045</v>
      </c>
      <c r="C113" s="227" t="s">
        <v>192</v>
      </c>
      <c r="D113" s="227" t="s">
        <v>612</v>
      </c>
      <c r="E113" s="226">
        <v>43092.69158564815</v>
      </c>
      <c r="F113" s="226">
        <v>43092.706620370373</v>
      </c>
      <c r="G113" s="225">
        <v>49</v>
      </c>
      <c r="H113" s="227" t="s">
        <v>959</v>
      </c>
      <c r="I113" s="226">
        <v>43092.72892361111</v>
      </c>
      <c r="J113" s="225">
        <v>0</v>
      </c>
      <c r="K113" s="237" t="str">
        <f t="shared" si="45"/>
        <v>4045/4046</v>
      </c>
      <c r="L113" s="245" t="str">
        <f>VLOOKUP(A113,'Trips&amp;Operators'!$C$1:$G$99911,5,FALSE)</f>
        <v>MOSES BRADLEY</v>
      </c>
      <c r="M113" s="224">
        <f t="shared" si="46"/>
        <v>2.230324073752854E-2</v>
      </c>
      <c r="N113" s="225"/>
      <c r="O113" s="225"/>
      <c r="P113" s="225">
        <f>24*60*SUM($M113:$M113)</f>
        <v>32.116666662041098</v>
      </c>
      <c r="Q113" s="228"/>
      <c r="R113" s="242" t="s">
        <v>468</v>
      </c>
      <c r="S113" s="249">
        <f t="shared" si="64"/>
        <v>1</v>
      </c>
      <c r="T113" s="242" t="str">
        <f t="shared" si="47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48"/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247" t="str">
        <f>IF(AA113&lt;VLOOKUP(AG113,Variables!$AC$3:$AD$8,2,FALSE),"Y","N")</f>
        <v>Y</v>
      </c>
      <c r="X113" s="247">
        <f t="shared" ref="X113:X116" si="70">VALUE(LEFT(AD113,4))-VALUE(LEFT(AD112,4))</f>
        <v>1</v>
      </c>
      <c r="Y113" s="247">
        <v>23.269400000000001</v>
      </c>
      <c r="Z113" s="247">
        <v>2.0392999999999999</v>
      </c>
      <c r="AA113" s="247">
        <f t="shared" si="49"/>
        <v>21.2301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50"/>
        <v>200</v>
      </c>
      <c r="AE113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13" s="234" t="str">
        <f t="shared" si="52"/>
        <v>"C:\Program Files (x86)\AstroGrep\AstroGrep.exe" /e /r /s /spath="%USERPROFILE%\AppData\Local\Temp\OnboardLogs" /stypes="app*4045*20171224*" /stext=" 00:.+((SYSTEM_STATE.+slice.+state.+changed )|(ment ac)|(multiple cpu faults)|(system.+state.+changed )|(\[timeout)|(PRM\|1\|D)|(kpr)|(kdp)|(train st.+moving)|(\|lc)|(penalty))"</v>
      </c>
      <c r="AG113" s="244" t="str">
        <f t="shared" si="53"/>
        <v>EC</v>
      </c>
      <c r="AH113" s="236" t="str">
        <f t="shared" ref="AH113" si="71"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200-23 --locoid 4045 --swversion DE.1.0.9.0 --startMP 204:233005 --initTime 2017-12-23T16:35:53 --startdatetime 2017-12-23T16:57:32 --delay 49 --endMP 204:167 --enddatetime 2017-12-23T17:29:39 --enforcementcount 0 &gt;&gt;%USERPROFILE%\Documents\GitHub\eaglep3-reporting\EC\2017-12-23-refined-times.txt</v>
      </c>
      <c r="AI113" s="238" t="str">
        <f t="shared" ref="AI113" si="72"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drop","project_id":79,"tracker_id":40,"status_id":1,"priority_id":2,"assigned_to_id":338,"start_date":"2017-12-23","description":"","custom_fields":[{"id":1,"name":"Subdivision","value":"EC"},{"id":4,"name":"Milepost","value":"2.0393"},{"id":17,"name":"Train ID","value":"200-23"},{"id":16,"name":"Locomotive ID","value":"4045"},{"id":130,"name":"Impact","value":""},{"id":150,"name":"Time of Event (Mountain Time)","value":"17:29:39"},{"id":151,"name":"Denver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ref="AM113" si="73">"start /low /b "&amp;dls3logs&amp;" --loco "&amp;B113&amp;" --day "&amp;TEXT(F113,"YYYY-MM-DD")</f>
        <v>start /low /b %USERPROFILE%\Documents\GitHub\eaglep3\Utilities\DownloadLogsFromS3.py --loco 4045 --day 2017-12-23</v>
      </c>
      <c r="AN113" s="241" t="str">
        <f t="shared" ref="AN113" si="74"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ref="AO113" si="75"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Message%20ID',Summary),filters:!(),index:'emp_*',interval:auto,query:"&amp;"(query_string:(analyze_wildcard:!t,query:'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Message%20ID',Summary),filters:!(),index:'emp_*',interval:auto,query:(query_string:(analyze_wildcard:!t,query:'%22rtdc.l.rtdc.4045%22')),sort:!(Time.ISO8601,asc))</v>
      </c>
    </row>
    <row r="114" spans="1:91" s="20" customFormat="1" x14ac:dyDescent="0.25">
      <c r="A114" s="229" t="s">
        <v>826</v>
      </c>
      <c r="B114" s="225">
        <v>4016</v>
      </c>
      <c r="C114" s="227" t="s">
        <v>192</v>
      </c>
      <c r="D114" s="227" t="s">
        <v>626</v>
      </c>
      <c r="E114" s="226">
        <v>43092.670358796298</v>
      </c>
      <c r="F114" s="226">
        <v>43092.677233796298</v>
      </c>
      <c r="G114" s="225">
        <v>80</v>
      </c>
      <c r="H114" s="227" t="s">
        <v>929</v>
      </c>
      <c r="I114" s="226">
        <v>43092.7030787037</v>
      </c>
      <c r="J114" s="225">
        <v>0</v>
      </c>
      <c r="K114" s="237" t="str">
        <f t="shared" si="45"/>
        <v>4015/4016</v>
      </c>
      <c r="L114" s="245" t="str">
        <f>VLOOKUP(A114,'Trips&amp;Operators'!$C$1:$G$99911,5,FALSE)</f>
        <v>ROMERO CHAD</v>
      </c>
      <c r="M114" s="224">
        <f t="shared" si="46"/>
        <v>2.5844907402643003E-2</v>
      </c>
      <c r="N114" s="225">
        <f t="shared" ref="N114:N135" si="76">24*60*SUM($M114:$M114)</f>
        <v>37.216666659805924</v>
      </c>
      <c r="O114" s="225"/>
      <c r="P114" s="225"/>
      <c r="Q114" s="228"/>
      <c r="R114" s="242"/>
      <c r="S114" s="249">
        <f t="shared" si="64"/>
        <v>1</v>
      </c>
      <c r="T114" s="242" t="str">
        <f t="shared" si="47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48"/>
        <v>https://d0f6bd738d7f1b3e5a7ca70fe4ff75f0.us-east-1.aws.found.io/app/kibana#/discover/Steve-Slow-Train-Analysis-(2080s-and-2083s)?_g=(refreshInterval:(display:Off,pause:!f,section:0,value:0),time:(from:'2017-12-23T15:05:19-0700',mode:absolute,to:'2017-12-23T17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47" t="str">
        <f>IF(AA114&lt;VLOOKUP(AG114,Variables!$AC$3:$AD$8,2,FALSE),"Y","N")</f>
        <v>N</v>
      </c>
      <c r="X114" s="247">
        <f t="shared" si="70"/>
        <v>1</v>
      </c>
      <c r="Y114" s="247">
        <f t="shared" ref="Y114:Y124" si="77">RIGHT(D114,LEN(D114)-4)/10000</f>
        <v>4.53E-2</v>
      </c>
      <c r="Z114" s="247">
        <f t="shared" ref="Z114:Z124" si="78">RIGHT(H114,LEN(H114)-4)/10000</f>
        <v>23.328800000000001</v>
      </c>
      <c r="AA114" s="247">
        <f t="shared" si="49"/>
        <v>23.2835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50"/>
        <v>201</v>
      </c>
      <c r="AE114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14" s="234" t="str">
        <f t="shared" si="52"/>
        <v>"C:\Program Files (x86)\AstroGrep\AstroGrep.exe" /e /r /s /spath="%USERPROFILE%\AppData\Local\Temp\OnboardLogs" /stypes="app*4016*20171223*" /stext=" 23:.+((SYSTEM_STATE.+slice.+state.+changed )|(ment ac)|(multiple cpu faults)|(system.+state.+changed )|(\[timeout)|(PRM\|1\|D)|(kpr)|(kdp)|(train st.+moving)|(\|lc)|(penalty))"</v>
      </c>
      <c r="AG114" s="244" t="str">
        <f t="shared" si="53"/>
        <v>EC</v>
      </c>
      <c r="AH114" s="236" t="str">
        <f t="shared" si="55"/>
        <v>"%USERPROFILE%\Documents\GitHub\eaglep3\Utilities\RefineRTDCRunTimes.py" --tripid 201-23 --locoid 4016 --swversion DE.1.0.9.0 --startMP 204:453 --initTime 2017-12-23T16:05:19 --startdatetime 2017-12-23T16:15:13 --delay 80 --endMP 204:233288 --enddatetime 2017-12-23T16:52:26 --enforcementcount 0 &gt;&gt;%USERPROFILE%\Documents\GitHub\eaglep3-reporting\EC\2017-12-23-refined-times.txt</v>
      </c>
      <c r="AI11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{"issue":{"subject":"","project_id":79,"tracker_id":40,"status_id":1,"priority_id":2,"assigned_to_id":338,"start_date":"2017-12-23","description":"","custom_fields":[{"id":1,"name":"Subdivision","value":"EC"},{"id":4,"name":"Milepost","value":"23.3288"},{"id":17,"name":"Train ID","value":"201-23"},{"id":16,"name":"Locomotive ID","value":"4016"},{"id":130,"name":"Impact","value":""},{"id":150,"name":"Time of Event (Mountain Time)","value":"16:52:26"},{"id":151,"name":"Denver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57"/>
        <v>start /low /b %USERPROFILE%\Documents\GitHub\eaglep3\Utilities\DownloadLogsFromS3.py --loco 4016 --day 2017-12-23</v>
      </c>
      <c r="AN114" s="241" t="str">
        <f t="shared" si="5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59"/>
        <v>https://d0f6bd738d7f1b3e5a7ca70fe4ff75f0.us-east-1.aws.found.io/app/kibana#/discover/Steve-Slow-Train-Analysis-(2080s-and-2083s)?_g=(refreshInterval:(display:Off,pause:!f,section:0,value:0),time:(from:'2017-12-23T15:05:19-0700',mode:absolute,to:'2017-12-23T17:52:26-0700'))&amp;_a=(columns:!('Message%20ID',Summary),filters:!(),index:'emp_*',interval:auto,query:(query_string:(analyze_wildcard:!t,query:'%22rtdc.l.rtdc.4016%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831</v>
      </c>
      <c r="B115" s="225">
        <v>4015</v>
      </c>
      <c r="C115" s="227" t="s">
        <v>192</v>
      </c>
      <c r="D115" s="227" t="s">
        <v>617</v>
      </c>
      <c r="E115" s="226">
        <v>43092.704270833332</v>
      </c>
      <c r="F115" s="226">
        <v>43092.716863425929</v>
      </c>
      <c r="G115" s="225">
        <v>50</v>
      </c>
      <c r="H115" s="227" t="s">
        <v>1011</v>
      </c>
      <c r="I115" s="226">
        <v>43092.741701388892</v>
      </c>
      <c r="J115" s="225">
        <v>0</v>
      </c>
      <c r="K115" s="237" t="str">
        <f t="shared" si="45"/>
        <v>4015/4016</v>
      </c>
      <c r="L115" s="245" t="str">
        <f>VLOOKUP(A115,'Trips&amp;Operators'!$C$1:$G$99911,5,FALSE)</f>
        <v>ROMERO CHAD</v>
      </c>
      <c r="M115" s="224">
        <f t="shared" si="46"/>
        <v>2.4837962962919846E-2</v>
      </c>
      <c r="N115" s="225">
        <f t="shared" si="76"/>
        <v>35.766666666604578</v>
      </c>
      <c r="O115" s="225"/>
      <c r="P115" s="225"/>
      <c r="Q115" s="228"/>
      <c r="R115" s="242"/>
      <c r="S115" s="249">
        <f t="shared" si="64"/>
        <v>1</v>
      </c>
      <c r="T115" s="242" t="str">
        <f t="shared" si="47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48"/>
        <v>https://d0f6bd738d7f1b3e5a7ca70fe4ff75f0.us-east-1.aws.found.io/app/kibana#/discover/Steve-Slow-Train-Analysis-(2080s-and-2083s)?_g=(refreshInterval:(display:Off,pause:!f,section:0,value:0),time:(from:'2017-12-23T15:54:09-0700',mode:absolute,to:'2017-12-23T18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47" t="str">
        <f>IF(AA115&lt;VLOOKUP(AG115,Variables!$AC$3:$AD$8,2,FALSE),"Y","N")</f>
        <v>N</v>
      </c>
      <c r="X115" s="247">
        <f t="shared" si="70"/>
        <v>1</v>
      </c>
      <c r="Y115" s="247">
        <f t="shared" si="77"/>
        <v>23.297999999999998</v>
      </c>
      <c r="Z115" s="247">
        <f t="shared" si="78"/>
        <v>1.7399999999999999E-2</v>
      </c>
      <c r="AA115" s="247">
        <f t="shared" si="49"/>
        <v>23.2806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50"/>
        <v>202</v>
      </c>
      <c r="AE115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15" s="234" t="str">
        <f t="shared" si="52"/>
        <v>"C:\Program Files (x86)\AstroGrep\AstroGrep.exe" /e /r /s /spath="%USERPROFILE%\AppData\Local\Temp\OnboardLogs" /stypes="app*4015*20171224*" /stext=" 00:.+((SYSTEM_STATE.+slice.+state.+changed )|(ment ac)|(multiple cpu faults)|(system.+state.+changed )|(\[timeout)|(PRM\|1\|D)|(kpr)|(kdp)|(train st.+moving)|(\|lc)|(penalty))"</v>
      </c>
      <c r="AG115" s="244" t="str">
        <f t="shared" si="53"/>
        <v>EC</v>
      </c>
      <c r="AH115" s="236" t="str">
        <f t="shared" si="55"/>
        <v>"%USERPROFILE%\Documents\GitHub\eaglep3\Utilities\RefineRTDCRunTimes.py" --tripid 202-23 --locoid 4015 --swversion DE.1.0.9.0 --startMP 204:232980 --initTime 2017-12-23T16:54:09 --startdatetime 2017-12-23T17:12:17 --delay 50 --endMP 204:174 --enddatetime 2017-12-23T17:48:03 --enforcementcount 0 &gt;&gt;%USERPROFILE%\Documents\GitHub\eaglep3-reporting\EC\2017-12-23-refined-times.txt</v>
      </c>
      <c r="AI11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{"issue":{"subject":"","project_id":79,"tracker_id":40,"status_id":1,"priority_id":2,"assigned_to_id":338,"start_date":"2017-12-23","description":"","custom_fields":[{"id":1,"name":"Subdivision","value":"EC"},{"id":4,"name":"Milepost","value":"0.0174"},{"id":17,"name":"Train ID","value":"202-23"},{"id":16,"name":"Locomotive ID","value":"4015"},{"id":130,"name":"Impact","value":""},{"id":150,"name":"Time of Event (Mountain Time)","value":"17:48:03"},{"id":151,"name":"Denver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57"/>
        <v>start /low /b %USERPROFILE%\Documents\GitHub\eaglep3\Utilities\DownloadLogsFromS3.py --loco 4015 --day 2017-12-23</v>
      </c>
      <c r="AN11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59"/>
        <v>https://d0f6bd738d7f1b3e5a7ca70fe4ff75f0.us-east-1.aws.found.io/app/kibana#/discover/Steve-Slow-Train-Analysis-(2080s-and-2083s)?_g=(refreshInterval:(display:Off,pause:!f,section:0,value:0),time:(from:'2017-12-23T15:54:09-0700',mode:absolute,to:'2017-12-23T18:48:03-0700'))&amp;_a=(columns:!('Message%20ID',Summary),filters:!(),index:'emp_*',interval:auto,query:(query_string:(analyze_wildcard:!t,query:'%22rtdc.l.rtdc.4015%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829</v>
      </c>
      <c r="B116" s="225">
        <v>4026</v>
      </c>
      <c r="C116" s="227" t="s">
        <v>192</v>
      </c>
      <c r="D116" s="227" t="s">
        <v>530</v>
      </c>
      <c r="E116" s="226">
        <v>43092.685613425929</v>
      </c>
      <c r="F116" s="226">
        <v>43092.688078703701</v>
      </c>
      <c r="G116" s="225">
        <v>123</v>
      </c>
      <c r="H116" s="227" t="s">
        <v>507</v>
      </c>
      <c r="I116" s="226">
        <v>43092.713518518518</v>
      </c>
      <c r="J116" s="225">
        <v>0</v>
      </c>
      <c r="K116" s="237" t="str">
        <f t="shared" si="45"/>
        <v>4025/4026</v>
      </c>
      <c r="L116" s="245" t="str">
        <f>VLOOKUP(A116,'Trips&amp;Operators'!$C$1:$G$99911,5,FALSE)</f>
        <v>HOLCOMB KAMDEN</v>
      </c>
      <c r="M116" s="224">
        <f t="shared" si="46"/>
        <v>2.5439814817218576E-2</v>
      </c>
      <c r="N116" s="225">
        <f t="shared" si="76"/>
        <v>36.633333336794749</v>
      </c>
      <c r="O116" s="225"/>
      <c r="P116" s="225"/>
      <c r="Q116" s="228"/>
      <c r="R116" s="242"/>
      <c r="S116" s="249">
        <f t="shared" si="64"/>
        <v>1</v>
      </c>
      <c r="T116" s="242" t="str">
        <f t="shared" si="47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48"/>
        <v>https://d0f6bd738d7f1b3e5a7ca70fe4ff75f0.us-east-1.aws.found.io/app/kibana#/discover/Steve-Slow-Train-Analysis-(2080s-and-2083s)?_g=(refreshInterval:(display:Off,pause:!f,section:0,value:0),time:(from:'2017-12-23T15:27:17-0700',mode:absolute,to:'2017-12-23T18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47" t="str">
        <f>IF(AA116&lt;VLOOKUP(AG116,Variables!$AC$3:$AD$8,2,FALSE),"Y","N")</f>
        <v>N</v>
      </c>
      <c r="X116" s="247">
        <f t="shared" si="70"/>
        <v>1</v>
      </c>
      <c r="Y116" s="247">
        <f t="shared" si="77"/>
        <v>5.04E-2</v>
      </c>
      <c r="Z116" s="247">
        <f t="shared" si="78"/>
        <v>23.325900000000001</v>
      </c>
      <c r="AA116" s="247">
        <f t="shared" si="49"/>
        <v>23.275500000000001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50"/>
        <v>203</v>
      </c>
      <c r="AE116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16" s="234" t="str">
        <f t="shared" si="52"/>
        <v>"C:\Program Files (x86)\AstroGrep\AstroGrep.exe" /e /r /s /spath="%USERPROFILE%\AppData\Local\Temp\OnboardLogs" /stypes="app*4026*20171224*" /stext=" 00:.+((SYSTEM_STATE.+slice.+state.+changed )|(ment ac)|(multiple cpu faults)|(system.+state.+changed )|(\[timeout)|(PRM\|1\|D)|(kpr)|(kdp)|(train st.+moving)|(\|lc)|(penalty))"</v>
      </c>
      <c r="AG116" s="244" t="str">
        <f t="shared" si="53"/>
        <v>EC</v>
      </c>
      <c r="AH116" s="236" t="str">
        <f t="shared" si="55"/>
        <v>"%USERPROFILE%\Documents\GitHub\eaglep3\Utilities\RefineRTDCRunTimes.py" --tripid 203-23 --locoid 4026 --swversion DE.1.0.9.0 --startMP 204:504 --initTime 2017-12-23T16:27:17 --startdatetime 2017-12-23T16:30:50 --delay 123 --endMP 204:233259 --enddatetime 2017-12-23T17:07:28 --enforcementcount 0 &gt;&gt;%USERPROFILE%\Documents\GitHub\eaglep3-reporting\EC\2017-12-23-refined-times.txt</v>
      </c>
      <c r="AI11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{"issue":{"subject":"","project_id":79,"tracker_id":40,"status_id":1,"priority_id":2,"assigned_to_id":338,"start_date":"2017-12-23","description":"","custom_fields":[{"id":1,"name":"Subdivision","value":"EC"},{"id":4,"name":"Milepost","value":"23.3259"},{"id":17,"name":"Train ID","value":"203-23"},{"id":16,"name":"Locomotive ID","value":"4026"},{"id":130,"name":"Impact","value":""},{"id":150,"name":"Time of Event (Mountain Time)","value":"17:07:28"},{"id":151,"name":"Denver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57"/>
        <v>start /low /b %USERPROFILE%\Documents\GitHub\eaglep3\Utilities\DownloadLogsFromS3.py --loco 4026 --day 2017-12-23</v>
      </c>
      <c r="AN11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59"/>
        <v>https://d0f6bd738d7f1b3e5a7ca70fe4ff75f0.us-east-1.aws.found.io/app/kibana#/discover/Steve-Slow-Train-Analysis-(2080s-and-2083s)?_g=(refreshInterval:(display:Off,pause:!f,section:0,value:0),time:(from:'2017-12-23T15:27:17-0700',mode:absolute,to:'2017-12-23T18:07:28-0700'))&amp;_a=(columns:!('Message%20ID',Summary),filters:!(),index:'emp_*',interval:auto,query:(query_string:(analyze_wildcard:!t,query:'%22rtdc.l.rtdc.4026%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25">
      <c r="A117" s="229" t="s">
        <v>836</v>
      </c>
      <c r="B117" s="225">
        <v>4025</v>
      </c>
      <c r="C117" s="227" t="s">
        <v>192</v>
      </c>
      <c r="D117" s="227" t="s">
        <v>536</v>
      </c>
      <c r="E117" s="226">
        <v>43092.721747685187</v>
      </c>
      <c r="F117" s="226">
        <v>43092.727349537039</v>
      </c>
      <c r="G117" s="225">
        <v>88</v>
      </c>
      <c r="H117" s="227" t="s">
        <v>555</v>
      </c>
      <c r="I117" s="226">
        <v>43092.753113425926</v>
      </c>
      <c r="J117" s="225">
        <v>0</v>
      </c>
      <c r="K117" s="237" t="str">
        <f t="shared" si="45"/>
        <v>4025/4026</v>
      </c>
      <c r="L117" s="245" t="str">
        <f>VLOOKUP(A117,'Trips&amp;Operators'!$C$1:$G$99911,5,FALSE)</f>
        <v>HOLCOMB KAMDEN</v>
      </c>
      <c r="M117" s="224">
        <f t="shared" si="46"/>
        <v>2.5763888887013309E-2</v>
      </c>
      <c r="N117" s="225">
        <f t="shared" si="76"/>
        <v>37.099999997299165</v>
      </c>
      <c r="O117" s="225"/>
      <c r="P117" s="225"/>
      <c r="Q117" s="228"/>
      <c r="R117" s="242"/>
      <c r="S117" s="249">
        <f t="shared" si="64"/>
        <v>1</v>
      </c>
      <c r="T117" s="242" t="str">
        <f t="shared" si="47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48"/>
        <v>https://d0f6bd738d7f1b3e5a7ca70fe4ff75f0.us-east-1.aws.found.io/app/kibana#/discover/Steve-Slow-Train-Analysis-(2080s-and-2083s)?_g=(refreshInterval:(display:Off,pause:!f,section:0,value:0),time:(from:'2017-12-23T16:19:19-0700',mode:absolute,to:'2017-12-23T19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47" t="str">
        <f>IF(AA117&lt;VLOOKUP(AG117,Variables!$AC$3:$AD$8,2,FALSE),"Y","N")</f>
        <v>N</v>
      </c>
      <c r="X117" s="247">
        <f t="shared" ref="X117:X124" si="79">VALUE(LEFT(AD117,4))-VALUE(LEFT(AD116,4))</f>
        <v>1</v>
      </c>
      <c r="Y117" s="247">
        <f t="shared" si="77"/>
        <v>23.293800000000001</v>
      </c>
      <c r="Z117" s="247">
        <f t="shared" si="78"/>
        <v>0.02</v>
      </c>
      <c r="AA117" s="247">
        <f t="shared" si="49"/>
        <v>23.273800000000001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50"/>
        <v>204</v>
      </c>
      <c r="AE117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17" s="234" t="str">
        <f t="shared" si="52"/>
        <v>"C:\Program Files (x86)\AstroGrep\AstroGrep.exe" /e /r /s /spath="%USERPROFILE%\AppData\Local\Temp\OnboardLogs" /stypes="app*4025*20171224*" /stext=" 01:.+((SYSTEM_STATE.+slice.+state.+changed )|(ment ac)|(multiple cpu faults)|(system.+state.+changed )|(\[timeout)|(PRM\|1\|D)|(kpr)|(kdp)|(train st.+moving)|(\|lc)|(penalty))"</v>
      </c>
      <c r="AG117" s="244" t="str">
        <f t="shared" si="53"/>
        <v>EC</v>
      </c>
      <c r="AH117" s="236" t="str">
        <f t="shared" si="55"/>
        <v>"%USERPROFILE%\Documents\GitHub\eaglep3\Utilities\RefineRTDCRunTimes.py" --tripid 204-23 --locoid 4025 --swversion DE.1.0.9.0 --startMP 204:232938 --initTime 2017-12-23T17:19:19 --startdatetime 2017-12-23T17:27:23 --delay 88 --endMP 204:200 --enddatetime 2017-12-23T18:04:29 --enforcementcount 0 &gt;&gt;%USERPROFILE%\Documents\GitHub\eaglep3-reporting\EC\2017-12-23-refined-times.txt</v>
      </c>
      <c r="AI11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{"issue":{"subject":"","project_id":79,"tracker_id":40,"status_id":1,"priority_id":2,"assigned_to_id":338,"start_date":"2017-12-23","description":"","custom_fields":[{"id":1,"name":"Subdivision","value":"EC"},{"id":4,"name":"Milepost","value":"0.02"},{"id":17,"name":"Train ID","value":"204-23"},{"id":16,"name":"Locomotive ID","value":"4025"},{"id":130,"name":"Impact","value":""},{"id":150,"name":"Time of Event (Mountain Time)","value":"18:04:29"},{"id":151,"name":"Denver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57"/>
        <v>start /low /b %USERPROFILE%\Documents\GitHub\eaglep3\Utilities\DownloadLogsFromS3.py --loco 4025 --day 2017-12-23</v>
      </c>
      <c r="AN11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59"/>
        <v>https://d0f6bd738d7f1b3e5a7ca70fe4ff75f0.us-east-1.aws.found.io/app/kibana#/discover/Steve-Slow-Train-Analysis-(2080s-and-2083s)?_g=(refreshInterval:(display:Off,pause:!f,section:0,value:0),time:(from:'2017-12-23T16:19:19-0700',mode:absolute,to:'2017-12-23T19:04:29-0700'))&amp;_a=(columns:!('Message%20ID',Summary),filters:!(),index:'emp_*',interval:auto,query:(query_string:(analyze_wildcard:!t,query:'%22rtdc.l.rtdc.4025%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25">
      <c r="A118" s="229" t="s">
        <v>674</v>
      </c>
      <c r="B118" s="225">
        <v>4036</v>
      </c>
      <c r="C118" s="227" t="s">
        <v>192</v>
      </c>
      <c r="D118" s="227" t="s">
        <v>567</v>
      </c>
      <c r="E118" s="226">
        <v>43092.693460648145</v>
      </c>
      <c r="F118" s="226">
        <v>43092.698067129626</v>
      </c>
      <c r="G118" s="225">
        <v>149</v>
      </c>
      <c r="H118" s="227" t="s">
        <v>1012</v>
      </c>
      <c r="I118" s="226">
        <v>43092.723703703705</v>
      </c>
      <c r="J118" s="225">
        <v>0</v>
      </c>
      <c r="K118" s="237" t="str">
        <f t="shared" si="45"/>
        <v>4035/4036</v>
      </c>
      <c r="L118" s="245" t="str">
        <f>VLOOKUP(A118,'Trips&amp;Operators'!$C$1:$G$99911,5,FALSE)</f>
        <v>MCREYNOLDS KYLE</v>
      </c>
      <c r="M118" s="224">
        <f t="shared" si="46"/>
        <v>2.5636574078816921E-2</v>
      </c>
      <c r="N118" s="225">
        <f t="shared" si="76"/>
        <v>36.916666673496366</v>
      </c>
      <c r="O118" s="225"/>
      <c r="P118" s="225"/>
      <c r="Q118" s="228"/>
      <c r="R118" s="242"/>
      <c r="S118" s="249">
        <f t="shared" si="64"/>
        <v>1</v>
      </c>
      <c r="T118" s="242" t="str">
        <f t="shared" si="47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48"/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8" s="247" t="str">
        <f>IF(AA118&lt;VLOOKUP(AG118,Variables!$AC$3:$AD$8,2,FALSE),"Y","N")</f>
        <v>N</v>
      </c>
      <c r="X118" s="247">
        <f t="shared" si="79"/>
        <v>1</v>
      </c>
      <c r="Y118" s="247">
        <f t="shared" si="77"/>
        <v>5.3699999999999998E-2</v>
      </c>
      <c r="Z118" s="247">
        <f t="shared" si="78"/>
        <v>23.3184</v>
      </c>
      <c r="AA118" s="247">
        <f t="shared" si="49"/>
        <v>23.264700000000001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50"/>
        <v>205</v>
      </c>
      <c r="AE118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18" s="234" t="str">
        <f t="shared" si="52"/>
        <v>"C:\Program Files (x86)\AstroGrep\AstroGrep.exe" /e /r /s /spath="%USERPROFILE%\AppData\Local\Temp\OnboardLogs" /stypes="app*4036*20171224*" /stext=" 00:.+((SYSTEM_STATE.+slice.+state.+changed )|(ment ac)|(multiple cpu faults)|(system.+state.+changed )|(\[timeout)|(PRM\|1\|D)|(kpr)|(kdp)|(train st.+moving)|(\|lc)|(penalty))"</v>
      </c>
      <c r="AG118" s="244" t="str">
        <f t="shared" si="53"/>
        <v>EC</v>
      </c>
      <c r="AH118" s="236" t="str">
        <f t="shared" si="55"/>
        <v>"%USERPROFILE%\Documents\GitHub\eaglep3\Utilities\RefineRTDCRunTimes.py" --tripid 205-23 --locoid 4036 --swversion DE.1.0.9.0 --startMP 204:537 --initTime 2017-12-23T16:38:35 --startdatetime 2017-12-23T16:45:13 --delay 149 --endMP 204:233184 --enddatetime 2017-12-23T17:22:08 --enforcementcount 0 &gt;&gt;%USERPROFILE%\Documents\GitHub\eaglep3-reporting\EC\2017-12-23-refined-times.txt</v>
      </c>
      <c r="AI11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{"issue":{"subject":"","project_id":79,"tracker_id":40,"status_id":1,"priority_id":2,"assigned_to_id":338,"start_date":"2017-12-23","description":"","custom_fields":[{"id":1,"name":"Subdivision","value":"EC"},{"id":4,"name":"Milepost","value":"23.3184"},{"id":17,"name":"Train ID","value":"205-23"},{"id":16,"name":"Locomotive ID","value":"4036"},{"id":130,"name":"Impact","value":""},{"id":150,"name":"Time of Event (Mountain Time)","value":"17:22:08"},{"id":151,"name":"Denver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57"/>
        <v>start /low /b %USERPROFILE%\Documents\GitHub\eaglep3\Utilities\DownloadLogsFromS3.py --loco 4036 --day 2017-12-23</v>
      </c>
      <c r="AN11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59"/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Message%20ID',Summary),filters:!(),index:'emp_*',interval:auto,query:(query_string:(analyze_wildcard:!t,query:'%22rtdc.l.rtdc.4036%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839</v>
      </c>
      <c r="B119" s="225">
        <v>4035</v>
      </c>
      <c r="C119" s="227" t="s">
        <v>192</v>
      </c>
      <c r="D119" s="227" t="s">
        <v>1013</v>
      </c>
      <c r="E119" s="226">
        <v>43092.729479166665</v>
      </c>
      <c r="F119" s="226">
        <v>43092.737662037034</v>
      </c>
      <c r="G119" s="225">
        <v>57</v>
      </c>
      <c r="H119" s="227" t="s">
        <v>919</v>
      </c>
      <c r="I119" s="226">
        <v>43092.763680555552</v>
      </c>
      <c r="J119" s="225">
        <v>0</v>
      </c>
      <c r="K119" s="237" t="str">
        <f t="shared" si="45"/>
        <v>4035/4036</v>
      </c>
      <c r="L119" s="245" t="str">
        <f>VLOOKUP(A119,'Trips&amp;Operators'!$C$1:$G$99911,5,FALSE)</f>
        <v>MCREYNOLDS KYLE</v>
      </c>
      <c r="M119" s="224">
        <f t="shared" si="46"/>
        <v>2.6018518517958E-2</v>
      </c>
      <c r="N119" s="225">
        <f t="shared" si="76"/>
        <v>37.46666666585952</v>
      </c>
      <c r="O119" s="225"/>
      <c r="P119" s="225"/>
      <c r="Q119" s="228"/>
      <c r="R119" s="242"/>
      <c r="S119" s="249">
        <f t="shared" si="64"/>
        <v>1</v>
      </c>
      <c r="T119" s="242" t="str">
        <f t="shared" si="47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48"/>
        <v>https://d0f6bd738d7f1b3e5a7ca70fe4ff75f0.us-east-1.aws.found.io/app/kibana#/discover/Steve-Slow-Train-Analysis-(2080s-and-2083s)?_g=(refreshInterval:(display:Off,pause:!f,section:0,value:0),time:(from:'2017-12-23T16:30:27-0700',mode:absolute,to:'2017-12-23T19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9" s="247" t="str">
        <f>IF(AA119&lt;VLOOKUP(AG119,Variables!$AC$3:$AD$8,2,FALSE),"Y","N")</f>
        <v>N</v>
      </c>
      <c r="X119" s="247">
        <f t="shared" si="79"/>
        <v>1</v>
      </c>
      <c r="Y119" s="247">
        <f t="shared" si="77"/>
        <v>23.2865</v>
      </c>
      <c r="Z119" s="247">
        <f t="shared" si="78"/>
        <v>2.3800000000000002E-2</v>
      </c>
      <c r="AA119" s="247">
        <f t="shared" si="49"/>
        <v>23.262699999999999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50"/>
        <v>206</v>
      </c>
      <c r="AE119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19" s="234" t="str">
        <f t="shared" si="52"/>
        <v>"C:\Program Files (x86)\AstroGrep\AstroGrep.exe" /e /r /s /spath="%USERPROFILE%\AppData\Local\Temp\OnboardLogs" /stypes="app*4035*20171224*" /stext=" 01:.+((SYSTEM_STATE.+slice.+state.+changed )|(ment ac)|(multiple cpu faults)|(system.+state.+changed )|(\[timeout)|(PRM\|1\|D)|(kpr)|(kdp)|(train st.+moving)|(\|lc)|(penalty))"</v>
      </c>
      <c r="AG119" s="244" t="str">
        <f t="shared" si="53"/>
        <v>EC</v>
      </c>
      <c r="AH119" s="236" t="str">
        <f t="shared" si="55"/>
        <v>"%USERPROFILE%\Documents\GitHub\eaglep3\Utilities\RefineRTDCRunTimes.py" --tripid 206-23 --locoid 4035 --swversion DE.1.0.9.0 --startMP 204:232865 --initTime 2017-12-23T17:30:27 --startdatetime 2017-12-23T17:42:14 --delay 57 --endMP 204:238 --enddatetime 2017-12-23T18:19:42 --enforcementcount 0 &gt;&gt;%USERPROFILE%\Documents\GitHub\eaglep3-reporting\EC\2017-12-23-refined-times.txt</v>
      </c>
      <c r="AI11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{"issue":{"subject":"","project_id":79,"tracker_id":40,"status_id":1,"priority_id":2,"assigned_to_id":338,"start_date":"2017-12-23","description":"","custom_fields":[{"id":1,"name":"Subdivision","value":"EC"},{"id":4,"name":"Milepost","value":"0.0238"},{"id":17,"name":"Train ID","value":"206-23"},{"id":16,"name":"Locomotive ID","value":"4035"},{"id":130,"name":"Impact","value":""},{"id":150,"name":"Time of Event (Mountain Time)","value":"18:19:42"},{"id":151,"name":"Denver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57"/>
        <v>start /low /b %USERPROFILE%\Documents\GitHub\eaglep3\Utilities\DownloadLogsFromS3.py --loco 4035 --day 2017-12-23</v>
      </c>
      <c r="AN11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59"/>
        <v>https://d0f6bd738d7f1b3e5a7ca70fe4ff75f0.us-east-1.aws.found.io/app/kibana#/discover/Steve-Slow-Train-Analysis-(2080s-and-2083s)?_g=(refreshInterval:(display:Off,pause:!f,section:0,value:0),time:(from:'2017-12-23T16:30:27-0700',mode:absolute,to:'2017-12-23T19:19:42-0700'))&amp;_a=(columns:!('Message%20ID',Summary),filters:!(),index:'emp_*',interval:auto,query:(query_string:(analyze_wildcard:!t,query:'%22rtdc.l.rtdc.4035%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25">
      <c r="A120" s="229" t="s">
        <v>832</v>
      </c>
      <c r="B120" s="225">
        <v>4030</v>
      </c>
      <c r="C120" s="227" t="s">
        <v>192</v>
      </c>
      <c r="D120" s="227" t="s">
        <v>504</v>
      </c>
      <c r="E120" s="226">
        <v>43092.70412037037</v>
      </c>
      <c r="F120" s="226">
        <v>43092.708587962959</v>
      </c>
      <c r="G120" s="225">
        <v>171</v>
      </c>
      <c r="H120" s="227" t="s">
        <v>934</v>
      </c>
      <c r="I120" s="226">
        <v>43092.734097222223</v>
      </c>
      <c r="J120" s="225">
        <v>0</v>
      </c>
      <c r="K120" s="237" t="str">
        <f t="shared" si="45"/>
        <v>4029/4030</v>
      </c>
      <c r="L120" s="245" t="str">
        <f>VLOOKUP(A120,'Trips&amp;Operators'!$C$1:$G$99911,5,FALSE)</f>
        <v>SAFIEF AEIMEN</v>
      </c>
      <c r="M120" s="224">
        <f t="shared" si="46"/>
        <v>2.5509259263344575E-2</v>
      </c>
      <c r="N120" s="225">
        <f t="shared" si="76"/>
        <v>36.733333339216188</v>
      </c>
      <c r="O120" s="225"/>
      <c r="P120" s="225"/>
      <c r="Q120" s="228"/>
      <c r="R120" s="242"/>
      <c r="S120" s="249">
        <f t="shared" si="64"/>
        <v>1</v>
      </c>
      <c r="T120" s="242" t="str">
        <f t="shared" si="47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48"/>
        <v>https://d0f6bd738d7f1b3e5a7ca70fe4ff75f0.us-east-1.aws.found.io/app/kibana#/discover/Steve-Slow-Train-Analysis-(2080s-and-2083s)?_g=(refreshInterval:(display:Off,pause:!f,section:0,value:0),time:(from:'2017-12-23T15:53:56-0700',mode:absolute,to:'2017-12-23T18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247" t="str">
        <f>IF(AA120&lt;VLOOKUP(AG120,Variables!$AC$3:$AD$8,2,FALSE),"Y","N")</f>
        <v>N</v>
      </c>
      <c r="X120" s="247">
        <f t="shared" si="79"/>
        <v>1</v>
      </c>
      <c r="Y120" s="247">
        <f t="shared" si="77"/>
        <v>5.0599999999999999E-2</v>
      </c>
      <c r="Z120" s="247">
        <f t="shared" si="78"/>
        <v>23.323399999999999</v>
      </c>
      <c r="AA120" s="247">
        <f t="shared" si="49"/>
        <v>23.2728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50"/>
        <v>207</v>
      </c>
      <c r="AE120" s="235" t="str">
        <f t="shared" si="51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20" s="234" t="str">
        <f t="shared" si="52"/>
        <v>"C:\Program Files (x86)\AstroGrep\AstroGrep.exe" /e /r /s /spath="%USERPROFILE%\AppData\Local\Temp\OnboardLogs" /stypes="app*4030*20171224*" /stext=" 00:.+((SYSTEM_STATE.+slice.+state.+changed )|(ment ac)|(multiple cpu faults)|(system.+state.+changed )|(\[timeout)|(PRM\|1\|D)|(kpr)|(kdp)|(train st.+moving)|(\|lc)|(penalty))"</v>
      </c>
      <c r="AG120" s="244" t="str">
        <f t="shared" si="53"/>
        <v>EC</v>
      </c>
      <c r="AH120" s="236" t="str">
        <f t="shared" si="55"/>
        <v>"%USERPROFILE%\Documents\GitHub\eaglep3\Utilities\RefineRTDCRunTimes.py" --tripid 207-23 --locoid 4030 --swversion DE.1.0.9.0 --startMP 204:506 --initTime 2017-12-23T16:53:56 --startdatetime 2017-12-23T17:00:22 --delay 171 --endMP 204:233234 --enddatetime 2017-12-23T17:37:06 --enforcementcount 0 &gt;&gt;%USERPROFILE%\Documents\GitHub\eaglep3-reporting\EC\2017-12-23-refined-times.txt</v>
      </c>
      <c r="AI12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ID","value":"207-23"},{"id":16,"name":"Locomotive ID","value":"4030"},{"id":130,"name":"Impact","value":""},{"id":150,"name":"Time of Event (Mountain Time)","value":"17:37:06"},{"id":151,"name":"Denver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57"/>
        <v>start /low /b %USERPROFILE%\Documents\GitHub\eaglep3\Utilities\DownloadLogsFromS3.py --loco 4030 --day 2017-12-23</v>
      </c>
      <c r="AN12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59"/>
        <v>https://d0f6bd738d7f1b3e5a7ca70fe4ff75f0.us-east-1.aws.found.io/app/kibana#/discover/Steve-Slow-Train-Analysis-(2080s-and-2083s)?_g=(refreshInterval:(display:Off,pause:!f,section:0,value:0),time:(from:'2017-12-23T15:53:56-0700',mode:absolute,to:'2017-12-23T18:37:06-0700'))&amp;_a=(columns:!('Message%20ID',Summary),filters:!(),index:'emp_*',interval:auto,query:(query_string:(analyze_wildcard:!t,query:'%22rtdc.l.rtdc.4030%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25">
      <c r="A121" s="229" t="s">
        <v>842</v>
      </c>
      <c r="B121" s="225">
        <v>4029</v>
      </c>
      <c r="C121" s="227" t="s">
        <v>192</v>
      </c>
      <c r="D121" s="227" t="s">
        <v>1014</v>
      </c>
      <c r="E121" s="226">
        <v>43092.742337962962</v>
      </c>
      <c r="F121" s="226">
        <v>43092.748078703706</v>
      </c>
      <c r="G121" s="225">
        <v>72</v>
      </c>
      <c r="H121" s="227" t="s">
        <v>1015</v>
      </c>
      <c r="I121" s="226">
        <v>43092.774629629632</v>
      </c>
      <c r="J121" s="225">
        <v>0</v>
      </c>
      <c r="K121" s="237" t="str">
        <f t="shared" si="45"/>
        <v>4029/4030</v>
      </c>
      <c r="L121" s="245" t="str">
        <f>VLOOKUP(A121,'Trips&amp;Operators'!$C$1:$G$99911,5,FALSE)</f>
        <v>BARTLETT KIANDRA</v>
      </c>
      <c r="M121" s="224">
        <f t="shared" si="46"/>
        <v>2.6550925926130731E-2</v>
      </c>
      <c r="N121" s="225">
        <f t="shared" si="76"/>
        <v>38.233333333628252</v>
      </c>
      <c r="O121" s="225"/>
      <c r="P121" s="225"/>
      <c r="Q121" s="228"/>
      <c r="R121" s="242"/>
      <c r="S121" s="249">
        <f t="shared" si="64"/>
        <v>1</v>
      </c>
      <c r="T121" s="242" t="str">
        <f t="shared" si="47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48"/>
        <v>https://d0f6bd738d7f1b3e5a7ca70fe4ff75f0.us-east-1.aws.found.io/app/kibana#/discover/Steve-Slow-Train-Analysis-(2080s-and-2083s)?_g=(refreshInterval:(display:Off,pause:!f,section:0,value:0),time:(from:'2017-12-23T16:48:58-0700',mode:absolute,to:'2017-12-23T19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247" t="str">
        <f>IF(AA121&lt;VLOOKUP(AG121,Variables!$AC$3:$AD$8,2,FALSE),"Y","N")</f>
        <v>N</v>
      </c>
      <c r="X121" s="247">
        <f t="shared" si="79"/>
        <v>1</v>
      </c>
      <c r="Y121" s="247">
        <f t="shared" si="77"/>
        <v>23.290199999999999</v>
      </c>
      <c r="Z121" s="247">
        <f t="shared" si="78"/>
        <v>1.6500000000000001E-2</v>
      </c>
      <c r="AA121" s="247">
        <f t="shared" si="49"/>
        <v>23.273699999999998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50"/>
        <v>208</v>
      </c>
      <c r="AE121" s="235" t="str">
        <f t="shared" si="51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121" s="234" t="str">
        <f t="shared" si="52"/>
        <v>"C:\Program Files (x86)\AstroGrep\AstroGrep.exe" /e /r /s /spath="%USERPROFILE%\AppData\Local\Temp\OnboardLogs" /stypes="app*4029*20171224*" /stext=" 01:.+((SYSTEM_STATE.+slice.+state.+changed )|(ment ac)|(multiple cpu faults)|(system.+state.+changed )|(\[timeout)|(PRM\|1\|D)|(kpr)|(kdp)|(train st.+moving)|(\|lc)|(penalty))"</v>
      </c>
      <c r="AG121" s="244" t="str">
        <f t="shared" si="53"/>
        <v>EC</v>
      </c>
      <c r="AH121" s="236" t="str">
        <f t="shared" si="55"/>
        <v>"%USERPROFILE%\Documents\GitHub\eaglep3\Utilities\RefineRTDCRunTimes.py" --tripid 208-23 --locoid 4029 --swversion DE.1.0.9.0 --startMP 204:232902 --initTime 2017-12-23T17:48:58 --startdatetime 2017-12-23T17:57:14 --delay 72 --endMP 204:165 --enddatetime 2017-12-23T18:35:28 --enforcementcount 0 &gt;&gt;%USERPROFILE%\Documents\GitHub\eaglep3-reporting\EC\2017-12-23-refined-times.txt</v>
      </c>
      <c r="AI12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{"issue":{"subject":"","project_id":79,"tracker_id":40,"status_id":1,"priority_id":2,"assigned_to_id":338,"start_date":"2017-12-23","description":"","custom_fields":[{"id":1,"name":"Subdivision","value":"EC"},{"id":4,"name":"Milepost","value":"0.0165"},{"id":17,"name":"Train ID","value":"208-23"},{"id":16,"name":"Locomotive ID","value":"4029"},{"id":130,"name":"Impact","value":""},{"id":150,"name":"Time of Event (Mountain Time)","value":"18:35:28"},{"id":151,"name":"Denver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57"/>
        <v>start /low /b %USERPROFILE%\Documents\GitHub\eaglep3\Utilities\DownloadLogsFromS3.py --loco 4029 --day 2017-12-23</v>
      </c>
      <c r="AN12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59"/>
        <v>https://d0f6bd738d7f1b3e5a7ca70fe4ff75f0.us-east-1.aws.found.io/app/kibana#/discover/Steve-Slow-Train-Analysis-(2080s-and-2083s)?_g=(refreshInterval:(display:Off,pause:!f,section:0,value:0),time:(from:'2017-12-23T16:48:58-0700',mode:absolute,to:'2017-12-23T19:35:28-0700'))&amp;_a=(columns:!('Message%20ID',Summary),filters:!(),index:'emp_*',interval:auto,query:(query_string:(analyze_wildcard:!t,query:'%22rtdc.l.rtdc.4029%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9" t="s">
        <v>834</v>
      </c>
      <c r="B122" s="225">
        <v>4002</v>
      </c>
      <c r="C122" s="227" t="s">
        <v>192</v>
      </c>
      <c r="D122" s="227" t="s">
        <v>1016</v>
      </c>
      <c r="E122" s="226">
        <v>43092.714525462965</v>
      </c>
      <c r="F122" s="226">
        <v>43092.718946759262</v>
      </c>
      <c r="G122" s="225">
        <v>60</v>
      </c>
      <c r="H122" s="227" t="s">
        <v>934</v>
      </c>
      <c r="I122" s="226">
        <v>43092.745868055557</v>
      </c>
      <c r="J122" s="225">
        <v>0</v>
      </c>
      <c r="K122" s="237" t="str">
        <f t="shared" si="45"/>
        <v>4001/4002</v>
      </c>
      <c r="L122" s="245" t="str">
        <f>VLOOKUP(A122,'Trips&amp;Operators'!$C$1:$G$99911,5,FALSE)</f>
        <v>BADERTSCHER DIANE</v>
      </c>
      <c r="M122" s="224">
        <f t="shared" si="46"/>
        <v>2.6921296295768116E-2</v>
      </c>
      <c r="N122" s="225">
        <f t="shared" si="76"/>
        <v>38.766666665906087</v>
      </c>
      <c r="O122" s="225"/>
      <c r="P122" s="225"/>
      <c r="Q122" s="228"/>
      <c r="R122" s="242"/>
      <c r="S122" s="249">
        <f t="shared" si="64"/>
        <v>1</v>
      </c>
      <c r="T122" s="242" t="str">
        <f t="shared" si="47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48"/>
        <v>https://d0f6bd738d7f1b3e5a7ca70fe4ff75f0.us-east-1.aws.found.io/app/kibana#/discover/Steve-Slow-Train-Analysis-(2080s-and-2083s)?_g=(refreshInterval:(display:Off,pause:!f,section:0,value:0),time:(from:'2017-12-23T16:08:55-0700',mode:absolute,to:'2017-12-23T18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247" t="str">
        <f>IF(AA122&lt;VLOOKUP(AG122,Variables!$AC$3:$AD$8,2,FALSE),"Y","N")</f>
        <v>N</v>
      </c>
      <c r="X122" s="247">
        <f t="shared" si="79"/>
        <v>1</v>
      </c>
      <c r="Y122" s="247">
        <f t="shared" si="77"/>
        <v>5.8000000000000003E-2</v>
      </c>
      <c r="Z122" s="247">
        <f t="shared" si="78"/>
        <v>23.323399999999999</v>
      </c>
      <c r="AA122" s="247">
        <f t="shared" si="49"/>
        <v>23.2654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50"/>
        <v>209</v>
      </c>
      <c r="AE122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22" s="234" t="str">
        <f t="shared" si="52"/>
        <v>"C:\Program Files (x86)\AstroGrep\AstroGrep.exe" /e /r /s /spath="%USERPROFILE%\AppData\Local\Temp\OnboardLogs" /stypes="app*4002*20171224*" /stext=" 00:.+((SYSTEM_STATE.+slice.+state.+changed )|(ment ac)|(multiple cpu faults)|(system.+state.+changed )|(\[timeout)|(PRM\|1\|D)|(kpr)|(kdp)|(train st.+moving)|(\|lc)|(penalty))"</v>
      </c>
      <c r="AG122" s="244" t="str">
        <f t="shared" si="53"/>
        <v>EC</v>
      </c>
      <c r="AH122" s="236" t="str">
        <f t="shared" si="55"/>
        <v>"%USERPROFILE%\Documents\GitHub\eaglep3\Utilities\RefineRTDCRunTimes.py" --tripid 209-23 --locoid 4002 --swversion DE.1.0.9.0 --startMP 204:580 --initTime 2017-12-23T17:08:55 --startdatetime 2017-12-23T17:15:17 --delay 60 --endMP 204:233234 --enddatetime 2017-12-23T17:54:03 --enforcementcount 0 &gt;&gt;%USERPROFILE%\Documents\GitHub\eaglep3-reporting\EC\2017-12-23-refined-times.txt</v>
      </c>
      <c r="AI12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{"issue":{"subject":"","project_id":79,"tracker_id":40,"status_id":1,"priority_id":2,"assigned_to_id":338,"start_date":"2017-12-23","description":"","custom_fields":[{"id":1,"name":"Subdivision","value":"EC"},{"id":4,"name":"Milepost","value":"23.3234"},{"id":17,"name":"Train ID","value":"209-23"},{"id":16,"name":"Locomotive ID","value":"4002"},{"id":130,"name":"Impact","value":""},{"id":150,"name":"Time of Event (Mountain Time)","value":"17:54:03"},{"id":151,"name":"Denver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57"/>
        <v>start /low /b %USERPROFILE%\Documents\GitHub\eaglep3\Utilities\DownloadLogsFromS3.py --loco 4002 --day 2017-12-23</v>
      </c>
      <c r="AN12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59"/>
        <v>https://d0f6bd738d7f1b3e5a7ca70fe4ff75f0.us-east-1.aws.found.io/app/kibana#/discover/Steve-Slow-Train-Analysis-(2080s-and-2083s)?_g=(refreshInterval:(display:Off,pause:!f,section:0,value:0),time:(from:'2017-12-23T16:08:55-0700',mode:absolute,to:'2017-12-23T18:54:03-0700'))&amp;_a=(columns:!('Message%20ID',Summary),filters:!(),index:'emp_*',interval:auto,query:(query_string:(analyze_wildcard:!t,query:'%22rtdc.l.rtdc.4002%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9" t="s">
        <v>677</v>
      </c>
      <c r="B123" s="225">
        <v>4001</v>
      </c>
      <c r="C123" s="227" t="s">
        <v>192</v>
      </c>
      <c r="D123" s="227" t="s">
        <v>1017</v>
      </c>
      <c r="E123" s="226">
        <v>43092.753692129627</v>
      </c>
      <c r="F123" s="226">
        <v>43092.758506944447</v>
      </c>
      <c r="G123" s="225">
        <v>64</v>
      </c>
      <c r="H123" s="227" t="s">
        <v>505</v>
      </c>
      <c r="I123" s="226">
        <v>43092.787604166668</v>
      </c>
      <c r="J123" s="225">
        <v>0</v>
      </c>
      <c r="K123" s="237" t="str">
        <f t="shared" si="45"/>
        <v>4001/4002</v>
      </c>
      <c r="L123" s="245" t="str">
        <f>VLOOKUP(A123,'Trips&amp;Operators'!$C$1:$G$99911,5,FALSE)</f>
        <v>BADERTSCHER DIANE</v>
      </c>
      <c r="M123" s="224">
        <f t="shared" si="46"/>
        <v>2.9097222221025731E-2</v>
      </c>
      <c r="N123" s="225">
        <f t="shared" si="76"/>
        <v>41.899999998277053</v>
      </c>
      <c r="O123" s="225"/>
      <c r="P123" s="225"/>
      <c r="Q123" s="228"/>
      <c r="R123" s="242"/>
      <c r="S123" s="249">
        <f t="shared" si="64"/>
        <v>1</v>
      </c>
      <c r="T123" s="242" t="str">
        <f t="shared" si="47"/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48"/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247" t="str">
        <f>IF(AA123&lt;VLOOKUP(AG123,Variables!$AC$3:$AD$8,2,FALSE),"Y","N")</f>
        <v>N</v>
      </c>
      <c r="X123" s="247">
        <f t="shared" si="79"/>
        <v>1</v>
      </c>
      <c r="Y123" s="247">
        <f t="shared" si="77"/>
        <v>23.291899999999998</v>
      </c>
      <c r="Z123" s="247">
        <f t="shared" si="78"/>
        <v>2.01E-2</v>
      </c>
      <c r="AA123" s="247">
        <f t="shared" si="49"/>
        <v>23.271799999999999</v>
      </c>
      <c r="AB123" s="233" t="str">
        <f>VLOOKUP(A123,Enforcements!$C$7:$K$9,8,0)</f>
        <v>Bulletin (2)</v>
      </c>
      <c r="AC123" s="232" t="str">
        <f>VLOOKUP(A123,Enforcements!$C$7:$E$9,3,0)</f>
        <v>GRADE CROSSING</v>
      </c>
      <c r="AD123" s="243">
        <f t="shared" si="50"/>
        <v>210</v>
      </c>
      <c r="AE123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23" s="234" t="str">
        <f t="shared" si="52"/>
        <v>"C:\Program Files (x86)\AstroGrep\AstroGrep.exe" /e /r /s /spath="%USERPROFILE%\AppData\Local\Temp\OnboardLogs" /stypes="app*4001*20171224*" /stext=" 01:.+((SYSTEM_STATE.+slice.+state.+changed )|(ment ac)|(multiple cpu faults)|(system.+state.+changed )|(\[timeout)|(PRM\|1\|D)|(kpr)|(kdp)|(train st.+moving)|(\|lc)|(penalty))"</v>
      </c>
      <c r="AG123" s="244" t="str">
        <f t="shared" si="53"/>
        <v>EC</v>
      </c>
      <c r="AH123" s="236" t="str">
        <f t="shared" si="55"/>
        <v>"%USERPROFILE%\Documents\GitHub\eaglep3\Utilities\RefineRTDCRunTimes.py" --tripid 210-23 --locoid 4001 --swversion DE.1.0.9.0 --startMP 204:232919 --initTime 2017-12-23T18:05:19 --startdatetime 2017-12-23T18:12:15 --delay 64 --endMP 204:201 --enddatetime 2017-12-23T18:54:09 --enforcementcount 0 &gt;&gt;%USERPROFILE%\Documents\GitHub\eaglep3-reporting\EC\2017-12-23-refined-times.txt</v>
      </c>
      <c r="AI12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ID","value":"210-23"},{"id":16,"name":"Locomotive ID","value":"4001"},{"id":130,"name":"Impact","value":""},{"id":150,"name":"Time of Event (Mountain Time)","value":"18:54:09"},{"id":151,"name":"Denver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57"/>
        <v>start /low /b %USERPROFILE%\Documents\GitHub\eaglep3\Utilities\DownloadLogsFromS3.py --loco 4001 --day 2017-12-23</v>
      </c>
      <c r="AN12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59"/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Message%20ID',Summary),filters:!(),index:'emp_*',interval:auto,query:(query_string:(analyze_wildcard:!t,query:'%22rtdc.l.rtdc.4001%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837</v>
      </c>
      <c r="B124" s="225">
        <v>4052</v>
      </c>
      <c r="C124" s="227" t="s">
        <v>192</v>
      </c>
      <c r="D124" s="227" t="s">
        <v>534</v>
      </c>
      <c r="E124" s="226">
        <v>43092.723680555559</v>
      </c>
      <c r="F124" s="226">
        <v>43092.729328703703</v>
      </c>
      <c r="G124" s="225">
        <v>76</v>
      </c>
      <c r="H124" s="227" t="s">
        <v>1018</v>
      </c>
      <c r="I124" s="226">
        <v>43092.753657407404</v>
      </c>
      <c r="J124" s="225">
        <v>0</v>
      </c>
      <c r="K124" s="237" t="str">
        <f t="shared" si="45"/>
        <v>4051/4052</v>
      </c>
      <c r="L124" s="245" t="str">
        <f>VLOOKUP(A124,'Trips&amp;Operators'!$C$1:$G$99911,5,FALSE)</f>
        <v>GONZALEZ ARMANDO</v>
      </c>
      <c r="M124" s="224">
        <f t="shared" si="46"/>
        <v>2.4328703701030463E-2</v>
      </c>
      <c r="N124" s="225">
        <f t="shared" si="76"/>
        <v>35.033333329483867</v>
      </c>
      <c r="O124" s="225"/>
      <c r="P124" s="225"/>
      <c r="Q124" s="228"/>
      <c r="R124" s="242"/>
      <c r="S124" s="249">
        <f t="shared" si="64"/>
        <v>1</v>
      </c>
      <c r="T124" s="242" t="str">
        <f t="shared" si="47"/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48"/>
        <v>https://d0f6bd738d7f1b3e5a7ca70fe4ff75f0.us-east-1.aws.found.io/app/kibana#/discover/Steve-Slow-Train-Analysis-(2080s-and-2083s)?_g=(refreshInterval:(display:Off,pause:!f,section:0,value:0),time:(from:'2017-12-23T16:22:06-0700',mode:absolute,to:'2017-12-23T19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247" t="str">
        <f>IF(AA124&lt;VLOOKUP(AG124,Variables!$AC$3:$AD$8,2,FALSE),"Y","N")</f>
        <v>N</v>
      </c>
      <c r="X124" s="247">
        <f t="shared" si="79"/>
        <v>1</v>
      </c>
      <c r="Y124" s="247">
        <f t="shared" si="77"/>
        <v>4.82E-2</v>
      </c>
      <c r="Z124" s="247">
        <f t="shared" si="78"/>
        <v>23.3323</v>
      </c>
      <c r="AA124" s="247">
        <f t="shared" si="49"/>
        <v>23.284099999999999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50"/>
        <v>211</v>
      </c>
      <c r="AE124" s="235" t="str">
        <f t="shared" si="51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124" s="234" t="str">
        <f t="shared" si="52"/>
        <v>"C:\Program Files (x86)\AstroGrep\AstroGrep.exe" /e /r /s /spath="%USERPROFILE%\AppData\Local\Temp\OnboardLogs" /stypes="app*4052*20171224*" /stext=" 01:.+((SYSTEM_STATE.+slice.+state.+changed )|(ment ac)|(multiple cpu faults)|(system.+state.+changed )|(\[timeout)|(PRM\|1\|D)|(kpr)|(kdp)|(train st.+moving)|(\|lc)|(penalty))"</v>
      </c>
      <c r="AG124" s="244" t="str">
        <f t="shared" si="53"/>
        <v>EC</v>
      </c>
      <c r="AH124" s="236" t="str">
        <f t="shared" si="55"/>
        <v>"%USERPROFILE%\Documents\GitHub\eaglep3\Utilities\RefineRTDCRunTimes.py" --tripid 211-23 --locoid 4052 --swversion DE.1.0.9.0 --startMP 204:482 --initTime 2017-12-23T17:22:06 --startdatetime 2017-12-23T17:30:14 --delay 76 --endMP 204:233323 --enddatetime 2017-12-23T18:05:16 --enforcementcount 0 &gt;&gt;%USERPROFILE%\Documents\GitHub\eaglep3-reporting\EC\2017-12-23-refined-times.txt</v>
      </c>
      <c r="AI12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{"issue":{"subject":"","project_id":79,"tracker_id":40,"status_id":1,"priority_id":2,"assigned_to_id":338,"start_date":"2017-12-23","description":"","custom_fields":[{"id":1,"name":"Subdivision","value":"EC"},{"id":4,"name":"Milepost","value":"23.3323"},{"id":17,"name":"Train ID","value":"211-23"},{"id":16,"name":"Locomotive ID","value":"4052"},{"id":130,"name":"Impact","value":""},{"id":150,"name":"Time of Event (Mountain Time)","value":"18:05:16"},{"id":151,"name":"Denver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57"/>
        <v>start /low /b %USERPROFILE%\Documents\GitHub\eaglep3\Utilities\DownloadLogsFromS3.py --loco 4052 --day 2017-12-23</v>
      </c>
      <c r="AN124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59"/>
        <v>https://d0f6bd738d7f1b3e5a7ca70fe4ff75f0.us-east-1.aws.found.io/app/kibana#/discover/Steve-Slow-Train-Analysis-(2080s-and-2083s)?_g=(refreshInterval:(display:Off,pause:!f,section:0,value:0),time:(from:'2017-12-23T16:22:06-0700',mode:absolute,to:'2017-12-23T19:05:16-0700'))&amp;_a=(columns:!('Message%20ID',Summary),filters:!(),index:'emp_*',interval:auto,query:(query_string:(analyze_wildcard:!t,query:'%22rtdc.l.rtdc.4052%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846</v>
      </c>
      <c r="B125" s="225">
        <v>4051</v>
      </c>
      <c r="C125" s="227" t="s">
        <v>192</v>
      </c>
      <c r="D125" s="227" t="s">
        <v>534</v>
      </c>
      <c r="E125" s="226">
        <v>43092.723680555559</v>
      </c>
      <c r="F125" s="226">
        <v>43092.768958333334</v>
      </c>
      <c r="G125" s="225">
        <v>76</v>
      </c>
      <c r="H125" s="227" t="s">
        <v>1018</v>
      </c>
      <c r="I125" s="226">
        <v>43092.795949074076</v>
      </c>
      <c r="J125" s="225">
        <v>0</v>
      </c>
      <c r="K125" s="237" t="str">
        <f t="shared" si="45"/>
        <v>4051/4052</v>
      </c>
      <c r="L125" s="245" t="str">
        <f>VLOOKUP(A125,'Trips&amp;Operators'!$C$1:$G$99911,5,FALSE)</f>
        <v>GONZALEZ ARMANDO</v>
      </c>
      <c r="M125" s="224">
        <f t="shared" si="46"/>
        <v>2.6990740741894115E-2</v>
      </c>
      <c r="N125" s="225">
        <f t="shared" si="76"/>
        <v>38.866666668327525</v>
      </c>
      <c r="O125" s="225"/>
      <c r="P125" s="225"/>
      <c r="Q125" s="228"/>
      <c r="R125" s="242"/>
      <c r="S125" s="249">
        <f t="shared" si="64"/>
        <v>1</v>
      </c>
      <c r="T125" s="242" t="str">
        <f t="shared" si="47"/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48"/>
        <v>https://d0f6bd738d7f1b3e5a7ca70fe4ff75f0.us-east-1.aws.found.io/app/kibana#/discover/Steve-Slow-Train-Analysis-(2080s-and-2083s)?_g=(refreshInterval:(display:Off,pause:!f,section:0,value:0),time:(from:'2017-12-23T16:22:06-0700',mode:absolute,to:'2017-12-23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247" t="str">
        <f>IF(AA125&lt;VLOOKUP(AG125,Variables!$AC$3:$AD$8,2,FALSE),"Y","N")</f>
        <v>N</v>
      </c>
      <c r="X125" s="247">
        <f t="shared" ref="X125:X127" si="80">VALUE(LEFT(AD125,4))-VALUE(LEFT(AD124,4))</f>
        <v>1</v>
      </c>
      <c r="Y125" s="247">
        <v>23.269200000000001</v>
      </c>
      <c r="Z125" s="247">
        <v>2.01E-2</v>
      </c>
      <c r="AA125" s="247">
        <f t="shared" si="49"/>
        <v>23.249100000000002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50"/>
        <v>212</v>
      </c>
      <c r="AE125" s="235" t="str">
        <f t="shared" si="51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125" s="234" t="str">
        <f t="shared" si="52"/>
        <v>"C:\Program Files (x86)\AstroGrep\AstroGrep.exe" /e /r /s /spath="%USERPROFILE%\AppData\Local\Temp\OnboardLogs" /stypes="app*4051*20171224*" /stext=" 02:.+((SYSTEM_STATE.+slice.+state.+changed )|(ment ac)|(multiple cpu faults)|(system.+state.+changed )|(\[timeout)|(PRM\|1\|D)|(kpr)|(kdp)|(train st.+moving)|(\|lc)|(penalty))"</v>
      </c>
      <c r="AG125" s="244" t="str">
        <f t="shared" si="53"/>
        <v>EC</v>
      </c>
      <c r="AH125" s="236" t="str">
        <f t="shared" ref="AH125" si="81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212-23 --locoid 4051 --swversion DE.1.0.9.0 --startMP 204:482 --initTime 2017-12-23T17:22:06 --startdatetime 2017-12-23T18:27:18 --delay 76 --endMP 204:233323 --enddatetime 2017-12-23T19:06:10 --enforcementcount 0 &gt;&gt;%USERPROFILE%\Documents\GitHub\eaglep3-reporting\EC\2017-12-23-refined-times.txt</v>
      </c>
      <c r="AI125" s="238" t="str">
        <f t="shared" ref="AI125" si="82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{"issue":{"subject":"","project_id":79,"tracker_id":40,"status_id":1,"priority_id":2,"assigned_to_id":338,"start_date":"2017-12-23","description":"","custom_fields":[{"id":1,"name":"Subdivision","value":"EC"},{"id":4,"name":"Milepost","value":"0.0201"},{"id":17,"name":"Train ID","value":"212-23"},{"id":16,"name":"Locomotive ID","value":"4051"},{"id":130,"name":"Impact","value":""},{"id":150,"name":"Time of Event (Mountain Time)","value":"19:06:10"},{"id":151,"name":"Denver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ref="AM125" si="83">"start /low /b "&amp;dls3logs&amp;" --loco "&amp;B125&amp;" --day "&amp;TEXT(F125,"YYYY-MM-DD")</f>
        <v>start /low /b %USERPROFILE%\Documents\GitHub\eaglep3\Utilities\DownloadLogsFromS3.py --loco 4051 --day 2017-12-23</v>
      </c>
      <c r="AN125" s="241" t="str">
        <f t="shared" ref="AN125" si="84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ref="AO125" si="85"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-23T16:22:06-0700',mode:absolute,to:'2017-12-23T20:06:10-0700'))&amp;_a=(columns:!('Message%20ID',Summary),filters:!(),index:'emp_*',interval:auto,query:(query_string:(analyze_wildcard:!t,query:'%22rtdc.l.rtdc.4051%22')),sort:!(Time.ISO8601,asc))</v>
      </c>
    </row>
    <row r="126" spans="1:91" s="223" customFormat="1" x14ac:dyDescent="0.25">
      <c r="A126" s="229" t="s">
        <v>840</v>
      </c>
      <c r="B126" s="225">
        <v>4046</v>
      </c>
      <c r="C126" s="227" t="s">
        <v>192</v>
      </c>
      <c r="D126" s="227" t="s">
        <v>898</v>
      </c>
      <c r="E126" s="226">
        <v>43092.735648148147</v>
      </c>
      <c r="F126" s="226">
        <v>43092.739756944444</v>
      </c>
      <c r="G126" s="225">
        <v>79</v>
      </c>
      <c r="H126" s="227" t="s">
        <v>1019</v>
      </c>
      <c r="I126" s="226">
        <v>43092.765810185185</v>
      </c>
      <c r="J126" s="225">
        <v>0</v>
      </c>
      <c r="K126" s="237" t="str">
        <f t="shared" si="45"/>
        <v>4045/4046</v>
      </c>
      <c r="L126" s="245" t="str">
        <f>VLOOKUP(A126,'Trips&amp;Operators'!$C$1:$G$99911,5,FALSE)</f>
        <v>FORTUNATO FRANK</v>
      </c>
      <c r="M126" s="224">
        <f t="shared" si="46"/>
        <v>2.6053240741021E-2</v>
      </c>
      <c r="N126" s="225">
        <f t="shared" si="76"/>
        <v>37.51666666707024</v>
      </c>
      <c r="O126" s="225"/>
      <c r="P126" s="225"/>
      <c r="Q126" s="228"/>
      <c r="R126" s="242"/>
      <c r="S126" s="249">
        <f t="shared" si="64"/>
        <v>1</v>
      </c>
      <c r="T126" s="242" t="str">
        <f t="shared" si="47"/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48"/>
        <v>https://d0f6bd738d7f1b3e5a7ca70fe4ff75f0.us-east-1.aws.found.io/app/kibana#/discover/Steve-Slow-Train-Analysis-(2080s-and-2083s)?_g=(refreshInterval:(display:Off,pause:!f,section:0,value:0),time:(from:'2017-12-23T16:39:20-0700',mode:absolute,to:'2017-12-23T19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247" t="str">
        <f>IF(AA126&lt;VLOOKUP(AG126,Variables!$AC$3:$AD$8,2,FALSE),"Y","N")</f>
        <v>N</v>
      </c>
      <c r="X126" s="247">
        <f t="shared" si="80"/>
        <v>1</v>
      </c>
      <c r="Y126" s="247">
        <f t="shared" ref="Y126:Y136" si="86">RIGHT(D126,LEN(D126)-4)/10000</f>
        <v>4.6699999999999998E-2</v>
      </c>
      <c r="Z126" s="247">
        <f t="shared" ref="Z126:Z136" si="87">RIGHT(H126,LEN(H126)-4)/10000</f>
        <v>23.319299999999998</v>
      </c>
      <c r="AA126" s="247">
        <f t="shared" si="49"/>
        <v>23.272599999999997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50"/>
        <v>213</v>
      </c>
      <c r="AE126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26" s="234" t="str">
        <f t="shared" si="52"/>
        <v>"C:\Program Files (x86)\AstroGrep\AstroGrep.exe" /e /r /s /spath="%USERPROFILE%\AppData\Local\Temp\OnboardLogs" /stypes="app*4046*20171224*" /stext=" 01:.+((SYSTEM_STATE.+slice.+state.+changed )|(ment ac)|(multiple cpu faults)|(system.+state.+changed )|(\[timeout)|(PRM\|1\|D)|(kpr)|(kdp)|(train st.+moving)|(\|lc)|(penalty))"</v>
      </c>
      <c r="AG126" s="244" t="str">
        <f t="shared" si="53"/>
        <v>EC</v>
      </c>
      <c r="AH126" s="236" t="str">
        <f t="shared" si="55"/>
        <v>"%USERPROFILE%\Documents\GitHub\eaglep3\Utilities\RefineRTDCRunTimes.py" --tripid 213-23 --locoid 4046 --swversion DE.1.0.9.0 --startMP 204:467 --initTime 2017-12-23T17:39:20 --startdatetime 2017-12-23T17:45:15 --delay 79 --endMP 204:233193 --enddatetime 2017-12-23T18:22:46 --enforcementcount 0 &gt;&gt;%USERPROFILE%\Documents\GitHub\eaglep3-reporting\EC\2017-12-23-refined-times.txt</v>
      </c>
      <c r="AI12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{"issue":{"subject":"","project_id":79,"tracker_id":40,"status_id":1,"priority_id":2,"assigned_to_id":338,"start_date":"2017-12-23","description":"","custom_fields":[{"id":1,"name":"Subdivision","value":"EC"},{"id":4,"name":"Milepost","value":"23.3193"},{"id":17,"name":"Train ID","value":"213-23"},{"id":16,"name":"Locomotive ID","value":"4046"},{"id":130,"name":"Impact","value":""},{"id":150,"name":"Time of Event (Mountain Time)","value":"18:22:46"},{"id":151,"name":"Denver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57"/>
        <v>start /low /b %USERPROFILE%\Documents\GitHub\eaglep3\Utilities\DownloadLogsFromS3.py --loco 4046 --day 2017-12-23</v>
      </c>
      <c r="AN12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59"/>
        <v>https://d0f6bd738d7f1b3e5a7ca70fe4ff75f0.us-east-1.aws.found.io/app/kibana#/discover/Steve-Slow-Train-Analysis-(2080s-and-2083s)?_g=(refreshInterval:(display:Off,pause:!f,section:0,value:0),time:(from:'2017-12-23T16:39:20-0700',mode:absolute,to:'2017-12-23T19:22:46-0700'))&amp;_a=(columns:!('Message%20ID',Summary),filters:!(),index:'emp_*',interval:auto,query:(query_string:(analyze_wildcard:!t,query:'%22rtdc.l.rtdc.4046%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849</v>
      </c>
      <c r="B127" s="225">
        <v>4045</v>
      </c>
      <c r="C127" s="227" t="s">
        <v>192</v>
      </c>
      <c r="D127" s="227" t="s">
        <v>608</v>
      </c>
      <c r="E127" s="226">
        <v>43092.77034722222</v>
      </c>
      <c r="F127" s="226">
        <v>43092.779374999998</v>
      </c>
      <c r="G127" s="225">
        <v>63</v>
      </c>
      <c r="H127" s="227" t="s">
        <v>1020</v>
      </c>
      <c r="I127" s="226">
        <v>43092.807314814818</v>
      </c>
      <c r="J127" s="225">
        <v>0</v>
      </c>
      <c r="K127" s="237" t="str">
        <f t="shared" si="45"/>
        <v>4045/4046</v>
      </c>
      <c r="L127" s="245" t="str">
        <f>VLOOKUP(A127,'Trips&amp;Operators'!$C$1:$G$99911,5,FALSE)</f>
        <v>FORTUNATO FRANK</v>
      </c>
      <c r="M127" s="224">
        <f t="shared" si="46"/>
        <v>2.7939814819546882E-2</v>
      </c>
      <c r="N127" s="225">
        <f t="shared" si="76"/>
        <v>40.23333334014751</v>
      </c>
      <c r="O127" s="225"/>
      <c r="P127" s="225"/>
      <c r="Q127" s="228"/>
      <c r="R127" s="242"/>
      <c r="S127" s="249">
        <f t="shared" si="64"/>
        <v>1</v>
      </c>
      <c r="T127" s="242" t="str">
        <f t="shared" si="47"/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48"/>
        <v>https://d0f6bd738d7f1b3e5a7ca70fe4ff75f0.us-east-1.aws.found.io/app/kibana#/discover/Steve-Slow-Train-Analysis-(2080s-and-2083s)?_g=(refreshInterval:(display:Off,pause:!f,section:0,value:0),time:(from:'2017-12-23T17:29:18-0700',mode:absolute,to:'2017-12-23T20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247" t="str">
        <f>IF(AA127&lt;VLOOKUP(AG127,Variables!$AC$3:$AD$8,2,FALSE),"Y","N")</f>
        <v>N</v>
      </c>
      <c r="X127" s="247">
        <f t="shared" si="80"/>
        <v>1</v>
      </c>
      <c r="Y127" s="247">
        <f t="shared" si="86"/>
        <v>23.2879</v>
      </c>
      <c r="Z127" s="247">
        <f t="shared" si="87"/>
        <v>2.0299999999999999E-2</v>
      </c>
      <c r="AA127" s="247">
        <f t="shared" si="49"/>
        <v>23.267600000000002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50"/>
        <v>214</v>
      </c>
      <c r="AE127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27" s="234" t="str">
        <f t="shared" si="52"/>
        <v>"C:\Program Files (x86)\AstroGrep\AstroGrep.exe" /e /r /s /spath="%USERPROFILE%\AppData\Local\Temp\OnboardLogs" /stypes="app*4045*20171224*" /stext=" 02:.+((SYSTEM_STATE.+slice.+state.+changed )|(ment ac)|(multiple cpu faults)|(system.+state.+changed )|(\[timeout)|(PRM\|1\|D)|(kpr)|(kdp)|(train st.+moving)|(\|lc)|(penalty))"</v>
      </c>
      <c r="AG127" s="244" t="str">
        <f t="shared" si="53"/>
        <v>EC</v>
      </c>
      <c r="AH127" s="236" t="str">
        <f t="shared" si="55"/>
        <v>"%USERPROFILE%\Documents\GitHub\eaglep3\Utilities\RefineRTDCRunTimes.py" --tripid 214-23 --locoid 4045 --swversion DE.1.0.9.0 --startMP 204:232879 --initTime 2017-12-23T18:29:18 --startdatetime 2017-12-23T18:42:18 --delay 63 --endMP 204:203 --enddatetime 2017-12-23T19:22:32 --enforcementcount 0 &gt;&gt;%USERPROFILE%\Documents\GitHub\eaglep3-reporting\EC\2017-12-23-refined-times.txt</v>
      </c>
      <c r="AI12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{"issue":{"subject":"","project_id":79,"tracker_id":40,"status_id":1,"priority_id":2,"assigned_to_id":338,"start_date":"2017-12-23","description":"","custom_fields":[{"id":1,"name":"Subdivision","value":"EC"},{"id":4,"name":"Milepost","value":"0.0203"},{"id":17,"name":"Train ID","value":"214-23"},{"id":16,"name":"Locomotive ID","value":"4045"},{"id":130,"name":"Impact","value":""},{"id":150,"name":"Time of Event (Mountain Time)","value":"19:22:32"},{"id":151,"name":"Denver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57"/>
        <v>start /low /b %USERPROFILE%\Documents\GitHub\eaglep3\Utilities\DownloadLogsFromS3.py --loco 4045 --day 2017-12-23</v>
      </c>
      <c r="AN12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59"/>
        <v>https://d0f6bd738d7f1b3e5a7ca70fe4ff75f0.us-east-1.aws.found.io/app/kibana#/discover/Steve-Slow-Train-Analysis-(2080s-and-2083s)?_g=(refreshInterval:(display:Off,pause:!f,section:0,value:0),time:(from:'2017-12-23T17:29:18-0700',mode:absolute,to:'2017-12-23T20:22:32-0700'))&amp;_a=(columns:!('Message%20ID',Summary),filters:!(),index:'emp_*',interval:auto,query:(query_string:(analyze_wildcard:!t,query:'%22rtdc.l.rtdc.4045%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25">
      <c r="A128" s="229" t="s">
        <v>843</v>
      </c>
      <c r="B128" s="225">
        <v>4016</v>
      </c>
      <c r="C128" s="227" t="s">
        <v>192</v>
      </c>
      <c r="D128" s="227" t="s">
        <v>618</v>
      </c>
      <c r="E128" s="226">
        <v>43092.744444444441</v>
      </c>
      <c r="F128" s="226">
        <v>43092.750254629631</v>
      </c>
      <c r="G128" s="225">
        <v>73</v>
      </c>
      <c r="H128" s="227" t="s">
        <v>1021</v>
      </c>
      <c r="I128" s="226">
        <v>43092.774780092594</v>
      </c>
      <c r="J128" s="225">
        <v>0</v>
      </c>
      <c r="K128" s="237" t="str">
        <f t="shared" si="45"/>
        <v>4015/4016</v>
      </c>
      <c r="L128" s="245" t="str">
        <f>VLOOKUP(A128,'Trips&amp;Operators'!$C$1:$G$99911,5,FALSE)</f>
        <v>WEST BRYAN</v>
      </c>
      <c r="M128" s="224">
        <f t="shared" si="46"/>
        <v>2.4525462962628808E-2</v>
      </c>
      <c r="N128" s="225">
        <f t="shared" si="76"/>
        <v>35.316666666185483</v>
      </c>
      <c r="O128" s="225"/>
      <c r="P128" s="225"/>
      <c r="Q128" s="228"/>
      <c r="R128" s="242"/>
      <c r="S128" s="249">
        <f t="shared" si="64"/>
        <v>1</v>
      </c>
      <c r="T128" s="242" t="str">
        <f t="shared" si="47"/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48"/>
        <v>https://d0f6bd738d7f1b3e5a7ca70fe4ff75f0.us-east-1.aws.found.io/app/kibana#/discover/Steve-Slow-Train-Analysis-(2080s-and-2083s)?_g=(refreshInterval:(display:Off,pause:!f,section:0,value:0),time:(from:'2017-12-23T16:52:00-0700',mode:absolute,to:'2017-12-23T19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47" t="str">
        <f>IF(AA128&lt;VLOOKUP(AG128,Variables!$AC$3:$AD$8,2,FALSE),"Y","N")</f>
        <v>N</v>
      </c>
      <c r="X128" s="247">
        <f t="shared" ref="X128:X137" si="88">VALUE(LEFT(AD128,4))-VALUE(LEFT(AD127,4))</f>
        <v>1</v>
      </c>
      <c r="Y128" s="247">
        <f t="shared" si="86"/>
        <v>4.6899999999999997E-2</v>
      </c>
      <c r="Z128" s="247">
        <f t="shared" si="87"/>
        <v>23.319800000000001</v>
      </c>
      <c r="AA128" s="247">
        <f t="shared" si="49"/>
        <v>23.2729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50"/>
        <v>215</v>
      </c>
      <c r="AE128" s="235" t="str">
        <f t="shared" si="51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128" s="234" t="str">
        <f t="shared" si="52"/>
        <v>"C:\Program Files (x86)\AstroGrep\AstroGrep.exe" /e /r /s /spath="%USERPROFILE%\AppData\Local\Temp\OnboardLogs" /stypes="app*4016*20171224*" /stext=" 01:.+((SYSTEM_STATE.+slice.+state.+changed )|(ment ac)|(multiple cpu faults)|(system.+state.+changed )|(\[timeout)|(PRM\|1\|D)|(kpr)|(kdp)|(train st.+moving)|(\|lc)|(penalty))"</v>
      </c>
      <c r="AG128" s="244" t="str">
        <f t="shared" si="53"/>
        <v>EC</v>
      </c>
      <c r="AH128" s="236" t="str">
        <f t="shared" si="55"/>
        <v>"%USERPROFILE%\Documents\GitHub\eaglep3\Utilities\RefineRTDCRunTimes.py" --tripid 215-23 --locoid 4016 --swversion DE.1.0.9.0 --startMP 204:469 --initTime 2017-12-23T17:52:00 --startdatetime 2017-12-23T18:00:22 --delay 73 --endMP 204:233198 --enddatetime 2017-12-23T18:35:41 --enforcementcount 0 &gt;&gt;%USERPROFILE%\Documents\GitHub\eaglep3-reporting\EC\2017-12-23-refined-times.txt</v>
      </c>
      <c r="AI12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{"issue":{"subject":"","project_id":79,"tracker_id":40,"status_id":1,"priority_id":2,"assigned_to_id":338,"start_date":"2017-12-23","description":"","custom_fields":[{"id":1,"name":"Subdivision","value":"EC"},{"id":4,"name":"Milepost","value":"23.3198"},{"id":17,"name":"Train ID","value":"215-23"},{"id":16,"name":"Locomotive ID","value":"4016"},{"id":130,"name":"Impact","value":""},{"id":150,"name":"Time of Event (Mountain Time)","value":"18:35:41"},{"id":151,"name":"Denver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57"/>
        <v>start /low /b %USERPROFILE%\Documents\GitHub\eaglep3\Utilities\DownloadLogsFromS3.py --loco 4016 --day 2017-12-23</v>
      </c>
      <c r="AN12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59"/>
        <v>https://d0f6bd738d7f1b3e5a7ca70fe4ff75f0.us-east-1.aws.found.io/app/kibana#/discover/Steve-Slow-Train-Analysis-(2080s-and-2083s)?_g=(refreshInterval:(display:Off,pause:!f,section:0,value:0),time:(from:'2017-12-23T16:52:00-0700',mode:absolute,to:'2017-12-23T19:35:41-0700'))&amp;_a=(columns:!('Message%20ID',Summary),filters:!(),index:'emp_*',interval:auto,query:(query_string:(analyze_wildcard:!t,query:'%22rtdc.l.rtdc.4016%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25">
      <c r="A129" s="229" t="s">
        <v>851</v>
      </c>
      <c r="B129" s="225">
        <v>4015</v>
      </c>
      <c r="C129" s="227" t="s">
        <v>192</v>
      </c>
      <c r="D129" s="227" t="s">
        <v>568</v>
      </c>
      <c r="E129" s="226">
        <v>43092.779641203706</v>
      </c>
      <c r="F129" s="226">
        <v>43092.791192129633</v>
      </c>
      <c r="G129" s="225">
        <v>74</v>
      </c>
      <c r="H129" s="227" t="s">
        <v>1022</v>
      </c>
      <c r="I129" s="226">
        <v>43092.822569444441</v>
      </c>
      <c r="J129" s="225">
        <v>0</v>
      </c>
      <c r="K129" s="237" t="str">
        <f t="shared" si="45"/>
        <v>4015/4016</v>
      </c>
      <c r="L129" s="245" t="str">
        <f>VLOOKUP(A129,'Trips&amp;Operators'!$C$1:$G$99911,5,FALSE)</f>
        <v>WEST BRYAN</v>
      </c>
      <c r="M129" s="224">
        <f t="shared" si="46"/>
        <v>3.1377314808196388E-2</v>
      </c>
      <c r="N129" s="225">
        <f t="shared" si="76"/>
        <v>45.183333323802799</v>
      </c>
      <c r="O129" s="225"/>
      <c r="P129" s="225"/>
      <c r="Q129" s="228"/>
      <c r="R129" s="242"/>
      <c r="S129" s="249">
        <f t="shared" si="64"/>
        <v>1</v>
      </c>
      <c r="T129" s="242" t="str">
        <f t="shared" si="47"/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48"/>
        <v>https://d0f6bd738d7f1b3e5a7ca70fe4ff75f0.us-east-1.aws.found.io/app/kibana#/discover/Steve-Slow-Train-Analysis-(2080s-and-2083s)?_g=(refreshInterval:(display:Off,pause:!f,section:0,value:0),time:(from:'2017-12-23T17:42:41-0700',mode:absolute,to:'2017-12-23T20:44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47" t="str">
        <f>IF(AA129&lt;VLOOKUP(AG129,Variables!$AC$3:$AD$8,2,FALSE),"Y","N")</f>
        <v>N</v>
      </c>
      <c r="X129" s="247">
        <f t="shared" si="88"/>
        <v>1</v>
      </c>
      <c r="Y129" s="247">
        <f t="shared" si="86"/>
        <v>23.29</v>
      </c>
      <c r="Z129" s="247">
        <f t="shared" si="87"/>
        <v>2.5100000000000001E-2</v>
      </c>
      <c r="AA129" s="247">
        <f t="shared" si="49"/>
        <v>23.264900000000001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50"/>
        <v>216</v>
      </c>
      <c r="AE129" s="235" t="str">
        <f t="shared" si="51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29" s="234" t="str">
        <f t="shared" si="52"/>
        <v>"C:\Program Files (x86)\AstroGrep\AstroGrep.exe" /e /r /s /spath="%USERPROFILE%\AppData\Local\Temp\OnboardLogs" /stypes="app*4015*20171224*" /stext=" 02:.+((SYSTEM_STATE.+slice.+state.+changed )|(ment ac)|(multiple cpu faults)|(system.+state.+changed )|(\[timeout)|(PRM\|1\|D)|(kpr)|(kdp)|(train st.+moving)|(\|lc)|(penalty))"</v>
      </c>
      <c r="AG129" s="244" t="str">
        <f t="shared" si="53"/>
        <v>EC</v>
      </c>
      <c r="AH129" s="236" t="str">
        <f t="shared" si="55"/>
        <v>"%USERPROFILE%\Documents\GitHub\eaglep3\Utilities\RefineRTDCRunTimes.py" --tripid 216-23 --locoid 4015 --swversion DE.1.0.9.0 --startMP 204:232900 --initTime 2017-12-23T18:42:41 --startdatetime 2017-12-23T18:59:19 --delay 74 --endMP 204:251 --enddatetime 2017-12-23T19:44:30 --enforcementcount 0 &gt;&gt;%USERPROFILE%\Documents\GitHub\eaglep3-reporting\EC\2017-12-23-refined-times.txt</v>
      </c>
      <c r="AI129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{"issue":{"subject":"","project_id":79,"tracker_id":40,"status_id":1,"priority_id":2,"assigned_to_id":338,"start_date":"2017-12-23","description":"","custom_fields":[{"id":1,"name":"Subdivision","value":"EC"},{"id":4,"name":"Milepost","value":"0.0251"},{"id":17,"name":"Train ID","value":"216-23"},{"id":16,"name":"Locomotive ID","value":"4015"},{"id":130,"name":"Impact","value":""},{"id":150,"name":"Time of Event (Mountain Time)","value":"19:44:30"},{"id":151,"name":"Denver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57"/>
        <v>start /low /b %USERPROFILE%\Documents\GitHub\eaglep3\Utilities\DownloadLogsFromS3.py --loco 4015 --day 2017-12-23</v>
      </c>
      <c r="AN129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02:44:30"},{"id":29,"name":"Sharepoint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59"/>
        <v>https://d0f6bd738d7f1b3e5a7ca70fe4ff75f0.us-east-1.aws.found.io/app/kibana#/discover/Steve-Slow-Train-Analysis-(2080s-and-2083s)?_g=(refreshInterval:(display:Off,pause:!f,section:0,value:0),time:(from:'2017-12-23T17:42:41-0700',mode:absolute,to:'2017-12-23T20:44:30-0700'))&amp;_a=(columns:!('Message%20ID',Summary),filters:!(),index:'emp_*',interval:auto,query:(query_string:(analyze_wildcard:!t,query:'%22rtdc.l.rtdc.4015%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25">
      <c r="A130" s="229" t="s">
        <v>845</v>
      </c>
      <c r="B130" s="225">
        <v>4026</v>
      </c>
      <c r="C130" s="227" t="s">
        <v>192</v>
      </c>
      <c r="D130" s="227" t="s">
        <v>637</v>
      </c>
      <c r="E130" s="226">
        <v>43092.753993055558</v>
      </c>
      <c r="F130" s="226">
        <v>43092.760567129626</v>
      </c>
      <c r="G130" s="225">
        <v>69</v>
      </c>
      <c r="H130" s="227" t="s">
        <v>920</v>
      </c>
      <c r="I130" s="226">
        <v>43092.785324074073</v>
      </c>
      <c r="J130" s="225">
        <v>0</v>
      </c>
      <c r="K130" s="237" t="str">
        <f t="shared" si="45"/>
        <v>4025/4026</v>
      </c>
      <c r="L130" s="245" t="str">
        <f>VLOOKUP(A130,'Trips&amp;Operators'!$C$1:$G$99911,5,FALSE)</f>
        <v>ELBAUM MIKE</v>
      </c>
      <c r="M130" s="224">
        <f t="shared" si="46"/>
        <v>2.4756944447290152E-2</v>
      </c>
      <c r="N130" s="225">
        <f t="shared" si="76"/>
        <v>35.650000004097819</v>
      </c>
      <c r="O130" s="225"/>
      <c r="P130" s="225"/>
      <c r="Q130" s="228"/>
      <c r="R130" s="242"/>
      <c r="S130" s="249">
        <f t="shared" si="64"/>
        <v>1</v>
      </c>
      <c r="T130" s="242" t="str">
        <f t="shared" si="47"/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48"/>
        <v>https://d0f6bd738d7f1b3e5a7ca70fe4ff75f0.us-east-1.aws.found.io/app/kibana#/discover/Steve-Slow-Train-Analysis-(2080s-and-2083s)?_g=(refreshInterval:(display:Off,pause:!f,section:0,value:0),time:(from:'2017-12-23T17:05:45-0700',mode:absolute,to:'2017-12-23T19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247" t="str">
        <f>IF(AA130&lt;VLOOKUP(AG130,Variables!$AC$3:$AD$8,2,FALSE),"Y","N")</f>
        <v>N</v>
      </c>
      <c r="X130" s="247">
        <f t="shared" si="88"/>
        <v>1</v>
      </c>
      <c r="Y130" s="247">
        <f t="shared" si="86"/>
        <v>5.1900000000000002E-2</v>
      </c>
      <c r="Z130" s="247">
        <f t="shared" si="87"/>
        <v>23.329899999999999</v>
      </c>
      <c r="AA130" s="247">
        <f t="shared" si="49"/>
        <v>23.277999999999999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50"/>
        <v>217</v>
      </c>
      <c r="AE130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30" s="234" t="str">
        <f t="shared" si="52"/>
        <v>"C:\Program Files (x86)\AstroGrep\AstroGrep.exe" /e /r /s /spath="%USERPROFILE%\AppData\Local\Temp\OnboardLogs" /stypes="app*4026*20171224*" /stext=" 01:.+((SYSTEM_STATE.+slice.+state.+changed )|(ment ac)|(multiple cpu faults)|(system.+state.+changed )|(\[timeout)|(PRM\|1\|D)|(kpr)|(kdp)|(train st.+moving)|(\|lc)|(penalty))"</v>
      </c>
      <c r="AG130" s="244" t="str">
        <f t="shared" si="53"/>
        <v>EC</v>
      </c>
      <c r="AH130" s="236" t="str">
        <f t="shared" si="55"/>
        <v>"%USERPROFILE%\Documents\GitHub\eaglep3\Utilities\RefineRTDCRunTimes.py" --tripid 217-23 --locoid 4026 --swversion DE.1.0.9.0 --startMP 204:519 --initTime 2017-12-23T18:05:45 --startdatetime 2017-12-23T18:15:13 --delay 69 --endMP 204:233299 --enddatetime 2017-12-23T18:50:52 --enforcementcount 0 &gt;&gt;%USERPROFILE%\Documents\GitHub\eaglep3-reporting\EC\2017-12-23-refined-times.txt</v>
      </c>
      <c r="AI13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{"issue":{"subject":"","project_id":79,"tracker_id":40,"status_id":1,"priority_id":2,"assigned_to_id":338,"start_date":"2017-12-23","description":"","custom_fields":[{"id":1,"name":"Subdivision","value":"EC"},{"id":4,"name":"Milepost","value":"23.3299"},{"id":17,"name":"Train ID","value":"217-23"},{"id":16,"name":"Locomotive ID","value":"4026"},{"id":130,"name":"Impact","value":""},{"id":150,"name":"Time of Event (Mountain Time)","value":"18:50:52"},{"id":151,"name":"Denver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57"/>
        <v>start /low /b %USERPROFILE%\Documents\GitHub\eaglep3\Utilities\DownloadLogsFromS3.py --loco 4026 --day 2017-12-23</v>
      </c>
      <c r="AN13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59"/>
        <v>https://d0f6bd738d7f1b3e5a7ca70fe4ff75f0.us-east-1.aws.found.io/app/kibana#/discover/Steve-Slow-Train-Analysis-(2080s-and-2083s)?_g=(refreshInterval:(display:Off,pause:!f,section:0,value:0),time:(from:'2017-12-23T17:05:45-0700',mode:absolute,to:'2017-12-23T19:50:52-0700'))&amp;_a=(columns:!('Message%20ID',Summary),filters:!(),index:'emp_*',interval:auto,query:(query_string:(analyze_wildcard:!t,query:'%22rtdc.l.rtdc.4026%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9" t="s">
        <v>678</v>
      </c>
      <c r="B131" s="225">
        <v>4025</v>
      </c>
      <c r="C131" s="227" t="s">
        <v>192</v>
      </c>
      <c r="D131" s="227" t="s">
        <v>524</v>
      </c>
      <c r="E131" s="226">
        <v>43092.786898148152</v>
      </c>
      <c r="F131" s="226">
        <v>43092.800208333334</v>
      </c>
      <c r="G131" s="225">
        <v>64</v>
      </c>
      <c r="H131" s="227" t="s">
        <v>1023</v>
      </c>
      <c r="I131" s="226">
        <v>43092.825798611113</v>
      </c>
      <c r="J131" s="225">
        <v>0</v>
      </c>
      <c r="K131" s="237" t="str">
        <f t="shared" si="45"/>
        <v>4025/4026</v>
      </c>
      <c r="L131" s="245" t="str">
        <f>VLOOKUP(A131,'Trips&amp;Operators'!$C$1:$G$99911,5,FALSE)</f>
        <v>ELBAUM MIKE</v>
      </c>
      <c r="M131" s="224">
        <f t="shared" si="46"/>
        <v>2.5590277778974269E-2</v>
      </c>
      <c r="N131" s="225">
        <f t="shared" si="76"/>
        <v>36.850000001722947</v>
      </c>
      <c r="O131" s="225"/>
      <c r="P131" s="225"/>
      <c r="Q131" s="228"/>
      <c r="R131" s="242"/>
      <c r="S131" s="249">
        <f t="shared" si="64"/>
        <v>1</v>
      </c>
      <c r="T131" s="242" t="str">
        <f t="shared" si="47"/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48"/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247" t="str">
        <f>IF(AA131&lt;VLOOKUP(AG131,Variables!$AC$3:$AD$8,2,FALSE),"Y","N")</f>
        <v>N</v>
      </c>
      <c r="X131" s="247">
        <f t="shared" si="88"/>
        <v>1</v>
      </c>
      <c r="Y131" s="247">
        <f t="shared" si="86"/>
        <v>23.297499999999999</v>
      </c>
      <c r="Z131" s="247">
        <f t="shared" si="87"/>
        <v>2.5399999999999999E-2</v>
      </c>
      <c r="AA131" s="247">
        <f t="shared" si="49"/>
        <v>23.272099999999998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50"/>
        <v>218</v>
      </c>
      <c r="AE131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31" s="234" t="str">
        <f t="shared" si="52"/>
        <v>"C:\Program Files (x86)\AstroGrep\AstroGrep.exe" /e /r /s /spath="%USERPROFILE%\AppData\Local\Temp\OnboardLogs" /stypes="app*4025*20171224*" /stext=" 02:.+((SYSTEM_STATE.+slice.+state.+changed )|(ment ac)|(multiple cpu faults)|(system.+state.+changed )|(\[timeout)|(PRM\|1\|D)|(kpr)|(kdp)|(train st.+moving)|(\|lc)|(penalty))"</v>
      </c>
      <c r="AG131" s="244" t="str">
        <f t="shared" si="53"/>
        <v>EC</v>
      </c>
      <c r="AH131" s="236" t="str">
        <f t="shared" si="55"/>
        <v>"%USERPROFILE%\Documents\GitHub\eaglep3\Utilities\RefineRTDCRunTimes.py" --tripid 218-23 --locoid 4025 --swversion DE.1.0.9.0 --startMP 204:232975 --initTime 2017-12-23T18:53:08 --startdatetime 2017-12-23T19:12:18 --delay 64 --endMP 204:254 --enddatetime 2017-12-23T19:49:09 --enforcementcount 0 &gt;&gt;%USERPROFILE%\Documents\GitHub\eaglep3-reporting\EC\2017-12-23-refined-times.txt</v>
      </c>
      <c r="AI13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{"issue":{"subject":"","project_id":79,"tracker_id":40,"status_id":1,"priority_id":2,"assigned_to_id":338,"start_date":"2017-12-23","description":"","custom_fields":[{"id":1,"name":"Subdivision","value":"EC"},{"id":4,"name":"Milepost","value":"0.0254"},{"id":17,"name":"Train ID","value":"218-23"},{"id":16,"name":"Locomotive ID","value":"4025"},{"id":130,"name":"Impact","value":""},{"id":150,"name":"Time of Event (Mountain Time)","value":"19:49:09"},{"id":151,"name":"Denver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57"/>
        <v>start /low /b %USERPROFILE%\Documents\GitHub\eaglep3\Utilities\DownloadLogsFromS3.py --loco 4025 --day 2017-12-23</v>
      </c>
      <c r="AN13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59"/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Message%20ID',Summary),filters:!(),index:'emp_*',interval:auto,query:(query_string:(analyze_wildcard:!t,query:'%22rtdc.l.rtdc.4025%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9" t="s">
        <v>847</v>
      </c>
      <c r="B132" s="225">
        <v>4036</v>
      </c>
      <c r="C132" s="227" t="s">
        <v>192</v>
      </c>
      <c r="D132" s="227" t="s">
        <v>640</v>
      </c>
      <c r="E132" s="226">
        <v>43092.766122685185</v>
      </c>
      <c r="F132" s="226">
        <v>43092.771018518521</v>
      </c>
      <c r="G132" s="225">
        <v>108</v>
      </c>
      <c r="H132" s="227" t="s">
        <v>1024</v>
      </c>
      <c r="I132" s="226">
        <v>43092.799756944441</v>
      </c>
      <c r="J132" s="225">
        <v>0</v>
      </c>
      <c r="K132" s="237" t="str">
        <f t="shared" si="45"/>
        <v>4035/4036</v>
      </c>
      <c r="L132" s="245" t="str">
        <f>VLOOKUP(A132,'Trips&amp;Operators'!$C$1:$G$99911,5,FALSE)</f>
        <v>NICHOLSON WESLEY</v>
      </c>
      <c r="M132" s="224">
        <f t="shared" si="46"/>
        <v>2.8738425920892041E-2</v>
      </c>
      <c r="N132" s="225">
        <f t="shared" si="76"/>
        <v>41.383333326084539</v>
      </c>
      <c r="O132" s="225"/>
      <c r="P132" s="225"/>
      <c r="Q132" s="228"/>
      <c r="R132" s="242"/>
      <c r="S132" s="249">
        <f t="shared" si="64"/>
        <v>1</v>
      </c>
      <c r="T132" s="242" t="str">
        <f t="shared" si="47"/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48"/>
        <v>https://d0f6bd738d7f1b3e5a7ca70fe4ff75f0.us-east-1.aws.found.io/app/kibana#/discover/Steve-Slow-Train-Analysis-(2080s-and-2083s)?_g=(refreshInterval:(display:Off,pause:!f,section:0,value:0),time:(from:'2017-12-23T17:23:13-0700',mode:absolute,to:'2017-12-23T20:11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2" s="247" t="str">
        <f>IF(AA132&lt;VLOOKUP(AG132,Variables!$AC$3:$AD$8,2,FALSE),"Y","N")</f>
        <v>N</v>
      </c>
      <c r="X132" s="247">
        <f t="shared" si="88"/>
        <v>1</v>
      </c>
      <c r="Y132" s="247">
        <f t="shared" si="86"/>
        <v>5.28E-2</v>
      </c>
      <c r="Z132" s="247">
        <f t="shared" si="87"/>
        <v>23.331700000000001</v>
      </c>
      <c r="AA132" s="247">
        <f t="shared" si="49"/>
        <v>23.2789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50"/>
        <v>219</v>
      </c>
      <c r="AE132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32" s="234" t="str">
        <f t="shared" si="52"/>
        <v>"C:\Program Files (x86)\AstroGrep\AstroGrep.exe" /e /r /s /spath="%USERPROFILE%\AppData\Local\Temp\OnboardLogs" /stypes="app*4036*20171224*" /stext=" 02:.+((SYSTEM_STATE.+slice.+state.+changed )|(ment ac)|(multiple cpu faults)|(system.+state.+changed )|(\[timeout)|(PRM\|1\|D)|(kpr)|(kdp)|(train st.+moving)|(\|lc)|(penalty))"</v>
      </c>
      <c r="AG132" s="244" t="str">
        <f t="shared" si="53"/>
        <v>EC</v>
      </c>
      <c r="AH132" s="236" t="str">
        <f t="shared" si="55"/>
        <v>"%USERPROFILE%\Documents\GitHub\eaglep3\Utilities\RefineRTDCRunTimes.py" --tripid 219-23 --locoid 4036 --swversion DE.1.0.9.0 --startMP 204:528 --initTime 2017-12-23T18:23:13 --startdatetime 2017-12-23T18:30:16 --delay 108 --endMP 204:233317 --enddatetime 2017-12-23T19:11:39 --enforcementcount 0 &gt;&gt;%USERPROFILE%\Documents\GitHub\eaglep3-reporting\EC\2017-12-23-refined-times.txt</v>
      </c>
      <c r="AI13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{"issue":{"subject":"","project_id":79,"tracker_id":40,"status_id":1,"priority_id":2,"assigned_to_id":338,"start_date":"2017-12-23","description":"","custom_fields":[{"id":1,"name":"Subdivision","value":"EC"},{"id":4,"name":"Milepost","value":"23.3317"},{"id":17,"name":"Train ID","value":"219-23"},{"id":16,"name":"Locomotive ID","value":"4036"},{"id":130,"name":"Impact","value":""},{"id":150,"name":"Time of Event (Mountain Time)","value":"19:11:39"},{"id":151,"name":"Denver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57"/>
        <v>start /low /b %USERPROFILE%\Documents\GitHub\eaglep3\Utilities\DownloadLogsFromS3.py --loco 4036 --day 2017-12-23</v>
      </c>
      <c r="AN13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02:11:39"},{"id":29,"name":"Sharepoint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59"/>
        <v>https://d0f6bd738d7f1b3e5a7ca70fe4ff75f0.us-east-1.aws.found.io/app/kibana#/discover/Steve-Slow-Train-Analysis-(2080s-and-2083s)?_g=(refreshInterval:(display:Off,pause:!f,section:0,value:0),time:(from:'2017-12-23T17:23:13-0700',mode:absolute,to:'2017-12-23T20:11:39-0700'))&amp;_a=(columns:!('Message%20ID',Summary),filters:!(),index:'emp_*',interval:auto,query:(query_string:(analyze_wildcard:!t,query:'%22rtdc.l.rtdc.4036%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854</v>
      </c>
      <c r="B133" s="225">
        <v>4035</v>
      </c>
      <c r="C133" s="227" t="s">
        <v>192</v>
      </c>
      <c r="D133" s="227" t="s">
        <v>905</v>
      </c>
      <c r="E133" s="226">
        <v>43092.805451388886</v>
      </c>
      <c r="F133" s="226">
        <v>43092.810624999998</v>
      </c>
      <c r="G133" s="225">
        <v>93</v>
      </c>
      <c r="H133" s="227" t="s">
        <v>1025</v>
      </c>
      <c r="I133" s="226">
        <v>43092.838460648149</v>
      </c>
      <c r="J133" s="225">
        <v>0</v>
      </c>
      <c r="K133" s="237" t="str">
        <f t="shared" si="45"/>
        <v>4035/4036</v>
      </c>
      <c r="L133" s="245" t="str">
        <f>VLOOKUP(A133,'Trips&amp;Operators'!$C$1:$G$99911,5,FALSE)</f>
        <v>NICHOLSON WESLEY</v>
      </c>
      <c r="M133" s="224">
        <f t="shared" si="46"/>
        <v>2.7835648150357883E-2</v>
      </c>
      <c r="N133" s="225">
        <f t="shared" si="76"/>
        <v>40.083333336515352</v>
      </c>
      <c r="O133" s="225"/>
      <c r="P133" s="225"/>
      <c r="Q133" s="228"/>
      <c r="R133" s="242"/>
      <c r="S133" s="249">
        <f t="shared" si="64"/>
        <v>1</v>
      </c>
      <c r="T133" s="242" t="str">
        <f t="shared" si="47"/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48"/>
        <v>https://d0f6bd738d7f1b3e5a7ca70fe4ff75f0.us-east-1.aws.found.io/app/kibana#/discover/Steve-Slow-Train-Analysis-(2080s-and-2083s)?_g=(refreshInterval:(display:Off,pause:!f,section:0,value:0),time:(from:'2017-12-23T18:19:51-0700',mode:absolute,to:'2017-12-23T21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3" s="247" t="str">
        <f>IF(AA133&lt;VLOOKUP(AG133,Variables!$AC$3:$AD$8,2,FALSE),"Y","N")</f>
        <v>N</v>
      </c>
      <c r="X133" s="247">
        <f t="shared" si="88"/>
        <v>1</v>
      </c>
      <c r="Y133" s="247">
        <f t="shared" si="86"/>
        <v>23.298500000000001</v>
      </c>
      <c r="Z133" s="247">
        <f t="shared" si="87"/>
        <v>2.47E-2</v>
      </c>
      <c r="AA133" s="247">
        <f t="shared" si="49"/>
        <v>23.273800000000001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50"/>
        <v>220</v>
      </c>
      <c r="AE133" s="235" t="str">
        <f t="shared" si="51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33" s="234" t="str">
        <f t="shared" si="52"/>
        <v>"C:\Program Files (x86)\AstroGrep\AstroGrep.exe" /e /r /s /spath="%USERPROFILE%\AppData\Local\Temp\OnboardLogs" /stypes="app*4035*20171224*" /stext=" 03:.+((SYSTEM_STATE.+slice.+state.+changed )|(ment ac)|(multiple cpu faults)|(system.+state.+changed )|(\[timeout)|(PRM\|1\|D)|(kpr)|(kdp)|(train st.+moving)|(\|lc)|(penalty))"</v>
      </c>
      <c r="AG133" s="244" t="str">
        <f t="shared" si="53"/>
        <v>EC</v>
      </c>
      <c r="AH133" s="236" t="str">
        <f t="shared" si="55"/>
        <v>"%USERPROFILE%\Documents\GitHub\eaglep3\Utilities\RefineRTDCRunTimes.py" --tripid 220-23 --locoid 4035 --swversion DE.1.0.9.0 --startMP 204:232985 --initTime 2017-12-23T19:19:51 --startdatetime 2017-12-23T19:27:18 --delay 93 --endMP 204:247 --enddatetime 2017-12-23T20:07:23 --enforcementcount 0 &gt;&gt;%USERPROFILE%\Documents\GitHub\eaglep3-reporting\EC\2017-12-23-refined-times.txt</v>
      </c>
      <c r="AI13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{"issue":{"subject":"","project_id":79,"tracker_id":40,"status_id":1,"priority_id":2,"assigned_to_id":338,"start_date":"2017-12-23","description":"","custom_fields":[{"id":1,"name":"Subdivision","value":"EC"},{"id":4,"name":"Milepost","value":"0.0247"},{"id":17,"name":"Train ID","value":"220-23"},{"id":16,"name":"Locomotive ID","value":"4035"},{"id":130,"name":"Impact","value":""},{"id":150,"name":"Time of Event (Mountain Time)","value":"20:07:23"},{"id":151,"name":"Denver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57"/>
        <v>start /low /b %USERPROFILE%\Documents\GitHub\eaglep3\Utilities\DownloadLogsFromS3.py --loco 4035 --day 2017-12-23</v>
      </c>
      <c r="AN13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59"/>
        <v>https://d0f6bd738d7f1b3e5a7ca70fe4ff75f0.us-east-1.aws.found.io/app/kibana#/discover/Steve-Slow-Train-Analysis-(2080s-and-2083s)?_g=(refreshInterval:(display:Off,pause:!f,section:0,value:0),time:(from:'2017-12-23T18:19:51-0700',mode:absolute,to:'2017-12-23T21:07:23-0700'))&amp;_a=(columns:!('Message%20ID',Summary),filters:!(),index:'emp_*',interval:auto,query:(query_string:(analyze_wildcard:!t,query:'%22rtdc.l.rtdc.4035%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681</v>
      </c>
      <c r="B134" s="225">
        <v>4002</v>
      </c>
      <c r="C134" s="227" t="s">
        <v>192</v>
      </c>
      <c r="D134" s="227" t="s">
        <v>552</v>
      </c>
      <c r="E134" s="226">
        <v>43092.790069444447</v>
      </c>
      <c r="F134" s="226">
        <v>43092.791828703703</v>
      </c>
      <c r="G134" s="225">
        <v>58</v>
      </c>
      <c r="H134" s="227" t="s">
        <v>1026</v>
      </c>
      <c r="I134" s="226">
        <v>43092.818043981482</v>
      </c>
      <c r="J134" s="225">
        <v>0</v>
      </c>
      <c r="K134" s="237" t="str">
        <f t="shared" si="45"/>
        <v>4001/4002</v>
      </c>
      <c r="L134" s="245" t="str">
        <f>VLOOKUP(A134,'Trips&amp;Operators'!$C$1:$G$99911,5,FALSE)</f>
        <v>AUSTIN THOMPSON</v>
      </c>
      <c r="M134" s="224">
        <f t="shared" si="46"/>
        <v>2.6215277779556345E-2</v>
      </c>
      <c r="N134" s="225">
        <f t="shared" si="76"/>
        <v>37.750000002561137</v>
      </c>
      <c r="O134" s="225"/>
      <c r="P134" s="225"/>
      <c r="Q134" s="228"/>
      <c r="R134" s="242"/>
      <c r="S134" s="249">
        <f t="shared" si="64"/>
        <v>1</v>
      </c>
      <c r="T134" s="242" t="str">
        <f t="shared" si="47"/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48"/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247" t="str">
        <f>IF(AA134&lt;VLOOKUP(AG134,Variables!$AC$3:$AD$8,2,FALSE),"Y","N")</f>
        <v>N</v>
      </c>
      <c r="X134" s="247">
        <f t="shared" si="88"/>
        <v>1</v>
      </c>
      <c r="Y134" s="247">
        <f t="shared" si="86"/>
        <v>4.9700000000000001E-2</v>
      </c>
      <c r="Z134" s="247">
        <f t="shared" si="87"/>
        <v>23.308599999999998</v>
      </c>
      <c r="AA134" s="247">
        <f t="shared" si="49"/>
        <v>23.258899999999997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50"/>
        <v>221</v>
      </c>
      <c r="AE134" s="235" t="str">
        <f t="shared" si="51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34" s="234" t="str">
        <f t="shared" si="52"/>
        <v>"C:\Program Files (x86)\AstroGrep\AstroGrep.exe" /e /r /s /spath="%USERPROFILE%\AppData\Local\Temp\OnboardLogs" /stypes="app*4002*20171224*" /stext=" 02:.+((SYSTEM_STATE.+slice.+state.+changed )|(ment ac)|(multiple cpu faults)|(system.+state.+changed )|(\[timeout)|(PRM\|1\|D)|(kpr)|(kdp)|(train st.+moving)|(\|lc)|(penalty))"</v>
      </c>
      <c r="AG134" s="244" t="str">
        <f t="shared" si="53"/>
        <v>EC</v>
      </c>
      <c r="AH134" s="236" t="str">
        <f t="shared" si="55"/>
        <v>"%USERPROFILE%\Documents\GitHub\eaglep3\Utilities\RefineRTDCRunTimes.py" --tripid 221-23 --locoid 4002 --swversion DE.1.0.9.0 --startMP 204:497 --initTime 2017-12-23T18:57:42 --startdatetime 2017-12-23T19:00:14 --delay 58 --endMP 204:233086 --enddatetime 2017-12-23T19:37:59 --enforcementcount 0 &gt;&gt;%USERPROFILE%\Documents\GitHub\eaglep3-reporting\EC\2017-12-23-refined-times.txt</v>
      </c>
      <c r="AI134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{"issue":{"subject":"","project_id":79,"tracker_id":40,"status_id":1,"priority_id":2,"assigned_to_id":338,"start_date":"2017-12-23","description":"","custom_fields":[{"id":1,"name":"Subdivision","value":"EC"},{"id":4,"name":"Milepost","value":"23.3086"},{"id":17,"name":"Train ID","value":"221-23"},{"id":16,"name":"Locomotive ID","value":"4002"},{"id":130,"name":"Impact","value":""},{"id":150,"name":"Time of Event (Mountain Time)","value":"19:37:59"},{"id":151,"name":"Denver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57"/>
        <v>start /low /b %USERPROFILE%\Documents\GitHub\eaglep3\Utilities\DownloadLogsFromS3.py --loco 4002 --day 2017-12-23</v>
      </c>
      <c r="AN134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59"/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Message%20ID',Summary),filters:!(),index:'emp_*',interval:auto,query:(query_string:(analyze_wildcard:!t,query:'%22rtdc.l.rtdc.4002%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857</v>
      </c>
      <c r="B135" s="225">
        <v>4001</v>
      </c>
      <c r="C135" s="227" t="s">
        <v>192</v>
      </c>
      <c r="D135" s="227" t="s">
        <v>1027</v>
      </c>
      <c r="E135" s="226">
        <v>43092.829062500001</v>
      </c>
      <c r="F135" s="226">
        <v>43092.831435185188</v>
      </c>
      <c r="G135" s="225">
        <v>53</v>
      </c>
      <c r="H135" s="227" t="s">
        <v>923</v>
      </c>
      <c r="I135" s="226">
        <v>43092.858738425923</v>
      </c>
      <c r="J135" s="225">
        <v>0</v>
      </c>
      <c r="K135" s="237" t="str">
        <f t="shared" si="45"/>
        <v>4001/4002</v>
      </c>
      <c r="L135" s="245" t="str">
        <f>VLOOKUP(A135,'Trips&amp;Operators'!$C$1:$G$99911,5,FALSE)</f>
        <v>AUSTIN THOMPSON</v>
      </c>
      <c r="M135" s="224">
        <f t="shared" si="46"/>
        <v>2.7303240734909195E-2</v>
      </c>
      <c r="N135" s="225">
        <f t="shared" si="76"/>
        <v>39.316666658269241</v>
      </c>
      <c r="O135" s="225"/>
      <c r="P135" s="225"/>
      <c r="Q135" s="228"/>
      <c r="R135" s="242"/>
      <c r="S135" s="249">
        <f t="shared" ref="S135:S159" si="89">1/IF(AG135="EC",12,1)*SUM(U135:U135)</f>
        <v>1</v>
      </c>
      <c r="T135" s="242" t="str">
        <f t="shared" si="47"/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48"/>
        <v>https://d0f6bd738d7f1b3e5a7ca70fe4ff75f0.us-east-1.aws.found.io/app/kibana#/discover/Steve-Slow-Train-Analysis-(2080s-and-2083s)?_g=(refreshInterval:(display:Off,pause:!f,section:0,value:0),time:(from:'2017-12-23T18:53:51-0700',mode:absolute,to:'2017-12-23T21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247" t="str">
        <f>IF(AA135&lt;VLOOKUP(AG135,Variables!$AC$3:$AD$8,2,FALSE),"Y","N")</f>
        <v>N</v>
      </c>
      <c r="X135" s="247">
        <f t="shared" si="88"/>
        <v>1</v>
      </c>
      <c r="Y135" s="247">
        <f t="shared" si="86"/>
        <v>23.2746</v>
      </c>
      <c r="Z135" s="247">
        <f t="shared" si="87"/>
        <v>2.29E-2</v>
      </c>
      <c r="AA135" s="247">
        <f t="shared" si="49"/>
        <v>23.2517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50"/>
        <v>222</v>
      </c>
      <c r="AE135" s="235" t="str">
        <f t="shared" si="51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35" s="234" t="str">
        <f t="shared" si="52"/>
        <v>"C:\Program Files (x86)\AstroGrep\AstroGrep.exe" /e /r /s /spath="%USERPROFILE%\AppData\Local\Temp\OnboardLogs" /stypes="app*4001*20171224*" /stext=" 03:.+((SYSTEM_STATE.+slice.+state.+changed )|(ment ac)|(multiple cpu faults)|(system.+state.+changed )|(\[timeout)|(PRM\|1\|D)|(kpr)|(kdp)|(train st.+moving)|(\|lc)|(penalty))"</v>
      </c>
      <c r="AG135" s="244" t="str">
        <f t="shared" si="53"/>
        <v>EC</v>
      </c>
      <c r="AH135" s="236" t="str">
        <f t="shared" si="55"/>
        <v>"%USERPROFILE%\Documents\GitHub\eaglep3\Utilities\RefineRTDCRunTimes.py" --tripid 222-23 --locoid 4001 --swversion DE.1.0.9.0 --startMP 204:232746 --initTime 2017-12-23T19:53:51 --startdatetime 2017-12-23T19:57:16 --delay 53 --endMP 204:229 --enddatetime 2017-12-23T20:36:35 --enforcementcount 0 &gt;&gt;%USERPROFILE%\Documents\GitHub\eaglep3-reporting\EC\2017-12-23-refined-times.txt</v>
      </c>
      <c r="AI13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{"issue":{"subject":"","project_id":79,"tracker_id":40,"status_id":1,"priority_id":2,"assigned_to_id":338,"start_date":"2017-12-23","description":"","custom_fields":[{"id":1,"name":"Subdivision","value":"EC"},{"id":4,"name":"Milepost","value":"0.0229"},{"id":17,"name":"Train ID","value":"222-23"},{"id":16,"name":"Locomotive ID","value":"4001"},{"id":130,"name":"Impact","value":""},{"id":150,"name":"Time of Event (Mountain Time)","value":"20:36:35"},{"id":151,"name":"Denver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57"/>
        <v>start /low /b %USERPROFILE%\Documents\GitHub\eaglep3\Utilities\DownloadLogsFromS3.py --loco 4001 --day 2017-12-23</v>
      </c>
      <c r="AN13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59"/>
        <v>https://d0f6bd738d7f1b3e5a7ca70fe4ff75f0.us-east-1.aws.found.io/app/kibana#/discover/Steve-Slow-Train-Analysis-(2080s-and-2083s)?_g=(refreshInterval:(display:Off,pause:!f,section:0,value:0),time:(from:'2017-12-23T18:53:51-0700',mode:absolute,to:'2017-12-23T21:36:35-0700'))&amp;_a=(columns:!('Message%20ID',Summary),filters:!(),index:'emp_*',interval:auto,query:(query_string:(analyze_wildcard:!t,query:'%22rtdc.l.rtdc.4001%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25">
      <c r="A136" s="229" t="s">
        <v>680</v>
      </c>
      <c r="B136" s="225">
        <v>4046</v>
      </c>
      <c r="C136" s="227" t="s">
        <v>192</v>
      </c>
      <c r="D136" s="227" t="s">
        <v>1028</v>
      </c>
      <c r="E136" s="226">
        <v>43092.815671296295</v>
      </c>
      <c r="F136" s="226">
        <v>43092.816481481481</v>
      </c>
      <c r="G136" s="225">
        <v>37</v>
      </c>
      <c r="H136" s="227" t="s">
        <v>941</v>
      </c>
      <c r="I136" s="226">
        <v>43092.839305555557</v>
      </c>
      <c r="J136" s="225">
        <v>0</v>
      </c>
      <c r="K136" s="237" t="str">
        <f t="shared" si="45"/>
        <v>4045/4046</v>
      </c>
      <c r="L136" s="245" t="str">
        <f>VLOOKUP(A136,'Trips&amp;Operators'!$C$1:$G$99911,5,FALSE)</f>
        <v>FORTUNATO FRANK</v>
      </c>
      <c r="M136" s="224">
        <f t="shared" si="46"/>
        <v>2.2824074076197576E-2</v>
      </c>
      <c r="N136" s="225"/>
      <c r="O136" s="225"/>
      <c r="P136" s="225">
        <f>24*60*SUM($M136:$M136)</f>
        <v>32.866666669724509</v>
      </c>
      <c r="Q136" s="228"/>
      <c r="R136" s="242" t="s">
        <v>1095</v>
      </c>
      <c r="S136" s="249">
        <f t="shared" si="89"/>
        <v>1</v>
      </c>
      <c r="T136" s="242" t="str">
        <f t="shared" si="47"/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48"/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247" t="str">
        <f>IF(AA136&lt;VLOOKUP(AG136,Variables!$AC$3:$AD$8,2,FALSE),"Y","N")</f>
        <v>Y</v>
      </c>
      <c r="X136" s="247">
        <f t="shared" si="88"/>
        <v>1</v>
      </c>
      <c r="Y136" s="247">
        <f t="shared" si="86"/>
        <v>1.9133</v>
      </c>
      <c r="Z136" s="247">
        <f t="shared" si="87"/>
        <v>23.330200000000001</v>
      </c>
      <c r="AA136" s="247">
        <f t="shared" si="49"/>
        <v>21.416900000000002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50"/>
        <v>223</v>
      </c>
      <c r="AE136" s="235" t="str">
        <f t="shared" si="51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36" s="234" t="str">
        <f t="shared" si="52"/>
        <v>"C:\Program Files (x86)\AstroGrep\AstroGrep.exe" /e /r /s /spath="%USERPROFILE%\AppData\Local\Temp\OnboardLogs" /stypes="app*4046*20171224*" /stext=" 03:.+((SYSTEM_STATE.+slice.+state.+changed )|(ment ac)|(multiple cpu faults)|(system.+state.+changed )|(\[timeout)|(PRM\|1\|D)|(kpr)|(kdp)|(train st.+moving)|(\|lc)|(penalty))"</v>
      </c>
      <c r="AG136" s="244" t="str">
        <f t="shared" si="53"/>
        <v>EC</v>
      </c>
      <c r="AH136" s="236" t="str">
        <f t="shared" si="55"/>
        <v>"%USERPROFILE%\Documents\GitHub\eaglep3\Utilities\RefineRTDCRunTimes.py" --tripid 223-23 --locoid 4046 --swversion DE.1.0.9.0 --startMP 204:19133 --initTime 2017-12-23T19:34:34 --startdatetime 2017-12-23T19:35:44 --delay 37 --endMP 204:233302 --enddatetime 2017-12-23T20:08:36 --enforcementcount 0 &gt;&gt;%USERPROFILE%\Documents\GitHub\eaglep3-reporting\EC\2017-12-23-refined-times.txt</v>
      </c>
      <c r="AI136" s="238" t="str">
        <f t="shared" si="56"/>
        <v>echo {"issue":{"subject":"Operator selected wrong track","project_id":79,"tracker_id":40,"status_id":1,"priority_id":2,"assigned_to_id":338,"start_date":"2017-12-23","description":"","custom_fields":[{"id":1,"name":"Subdivision","value":"EC"},{"id":4,"name":"Milepost","value":"23.3302"},{"id":17,"name":"Train ID","value":"223-23"},{"id":16,"name":"Locomotive ID","value":"4046"},{"id":130,"name":"Impact","value":""},{"id":150,"name":"Time of Event (Mountain Time)","value":"20:08:36"},{"id":151,"name":"Denver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57"/>
        <v>start /low /b %USERPROFILE%\Documents\GitHub\eaglep3\Utilities\DownloadLogsFromS3.py --loco 4046 --day 2017-12-23</v>
      </c>
      <c r="AN136" s="241" t="str">
        <f t="shared" si="58"/>
        <v>echo {"issue":{"subject":"Operator selected wrong track","project_id":30,"tracker_id":4,"status_id":1,"priority_id":1,"assigned_to_id":10,"start_date":"2017-12-24","description":"","custom_fields":[{"id":30,"name":"Category","value":"Issue"},{"id":3,"name":"Functional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59"/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Message%20ID',Summary),filters:!(),index:'emp_*',interval:auto,query:(query_string:(analyze_wildcard:!t,query:'%22rtdc.l.rtdc.4046%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3" customFormat="1" x14ac:dyDescent="0.25">
      <c r="A137" s="229" t="s">
        <v>860</v>
      </c>
      <c r="B137" s="225">
        <v>4045</v>
      </c>
      <c r="C137" s="227" t="s">
        <v>192</v>
      </c>
      <c r="D137" s="227" t="s">
        <v>1028</v>
      </c>
      <c r="E137" s="226">
        <v>43092.815671296295</v>
      </c>
      <c r="F137" s="226">
        <v>43092.854328703703</v>
      </c>
      <c r="G137" s="225">
        <v>37</v>
      </c>
      <c r="H137" s="227" t="s">
        <v>941</v>
      </c>
      <c r="I137" s="226">
        <v>43092.881180555552</v>
      </c>
      <c r="J137" s="225">
        <v>0</v>
      </c>
      <c r="K137" s="237" t="str">
        <f t="shared" si="45"/>
        <v>4045/4046</v>
      </c>
      <c r="L137" s="245" t="str">
        <f>VLOOKUP(A137,'Trips&amp;Operators'!$C$1:$G$99911,5,FALSE)</f>
        <v>FORTUNATO FRANK</v>
      </c>
      <c r="M137" s="224">
        <f t="shared" si="46"/>
        <v>2.6851851849642117E-2</v>
      </c>
      <c r="N137" s="225">
        <f t="shared" ref="N137:N159" si="90">24*60*SUM($M137:$M137)</f>
        <v>38.666666663484648</v>
      </c>
      <c r="O137" s="225"/>
      <c r="P137" s="225"/>
      <c r="Q137" s="228"/>
      <c r="R137" s="242"/>
      <c r="S137" s="249">
        <f t="shared" si="89"/>
        <v>1</v>
      </c>
      <c r="T137" s="242" t="str">
        <f t="shared" si="47"/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48"/>
        <v>https://d0f6bd738d7f1b3e5a7ca70fe4ff75f0.us-east-1.aws.found.io/app/kibana#/discover/Steve-Slow-Train-Analysis-(2080s-and-2083s)?_g=(refreshInterval:(display:Off,pause:!f,section:0,value:0),time:(from:'2017-12-23T18:34:34-0700',mode:absolute,to:'2017-12-23T22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247" t="str">
        <f>IF(AA137&lt;VLOOKUP(AG137,Variables!$AC$3:$AD$8,2,FALSE),"Y","N")</f>
        <v>N</v>
      </c>
      <c r="X137" s="247">
        <f t="shared" si="88"/>
        <v>1</v>
      </c>
      <c r="Y137" s="247">
        <v>23.279</v>
      </c>
      <c r="Z137" s="247">
        <v>2.12E-2</v>
      </c>
      <c r="AA137" s="247">
        <f t="shared" si="49"/>
        <v>23.2578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50"/>
        <v>224</v>
      </c>
      <c r="AE137" s="235" t="str">
        <f t="shared" si="51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37" s="234" t="str">
        <f t="shared" si="52"/>
        <v>"C:\Program Files (x86)\AstroGrep\AstroGrep.exe" /e /r /s /spath="%USERPROFILE%\AppData\Local\Temp\OnboardLogs" /stypes="app*4045*20171224*" /stext=" 04:.+((SYSTEM_STATE.+slice.+state.+changed )|(ment ac)|(multiple cpu faults)|(system.+state.+changed )|(\[timeout)|(PRM\|1\|D)|(kpr)|(kdp)|(train st.+moving)|(\|lc)|(penalty))"</v>
      </c>
      <c r="AG137" s="244" t="str">
        <f t="shared" si="53"/>
        <v>EC</v>
      </c>
      <c r="AH137" s="236" t="str">
        <f t="shared" ref="AH137" si="91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224-23 --locoid 4045 --swversion DE.1.0.9.0 --startMP 204:19133 --initTime 2017-12-23T19:34:34 --startdatetime 2017-12-23T20:30:14 --delay 37 --endMP 204:233302 --enddatetime 2017-12-23T21:08:54 --enforcementcount 0 &gt;&gt;%USERPROFILE%\Documents\GitHub\eaglep3-reporting\EC\2017-12-23-refined-times.txt</v>
      </c>
      <c r="AI137" s="238" t="str">
        <f t="shared" ref="AI137" si="92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{"issue":{"subject":"","project_id":79,"tracker_id":40,"status_id":1,"priority_id":2,"assigned_to_id":338,"start_date":"2017-12-23","description":"","custom_fields":[{"id":1,"name":"Subdivision","value":"EC"},{"id":4,"name":"Milepost","value":"0.0212"},{"id":17,"name":"Train ID","value":"224-23"},{"id":16,"name":"Locomotive ID","value":"4045"},{"id":130,"name":"Impact","value":""},{"id":150,"name":"Time of Event (Mountain Time)","value":"21:08:54"},{"id":151,"name":"Denver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1"/>
      <c r="AL137" s="231"/>
      <c r="AM137" s="240" t="str">
        <f t="shared" ref="AM137" si="93">"start /low /b "&amp;dls3logs&amp;" --loco "&amp;B137&amp;" --day "&amp;TEXT(F137,"YYYY-MM-DD")</f>
        <v>start /low /b %USERPROFILE%\Documents\GitHub\eaglep3\Utilities\DownloadLogsFromS3.py --loco 4045 --day 2017-12-23</v>
      </c>
      <c r="AN137" s="241" t="str">
        <f t="shared" ref="AN137" si="94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ref="AO137" si="95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-23T18:34:34-0700',mode:absolute,to:'2017-12-23T22:08:54-0700'))&amp;_a=(columns:!('Message%20ID',Summary),filters:!(),index:'emp_*',interval:auto,query:(query_string:(analyze_wildcard:!t,query:'%22rtdc.l.rtdc.4045%22')),sort:!(Time.ISO8601,asc))</v>
      </c>
    </row>
    <row r="138" spans="1:91" s="223" customFormat="1" x14ac:dyDescent="0.25">
      <c r="A138" s="229" t="s">
        <v>858</v>
      </c>
      <c r="B138" s="225">
        <v>4026</v>
      </c>
      <c r="C138" s="227" t="s">
        <v>192</v>
      </c>
      <c r="D138" s="227" t="s">
        <v>537</v>
      </c>
      <c r="E138" s="226">
        <v>43092.828715277778</v>
      </c>
      <c r="F138" s="226">
        <v>43092.833472222221</v>
      </c>
      <c r="G138" s="225">
        <v>107</v>
      </c>
      <c r="H138" s="227" t="s">
        <v>523</v>
      </c>
      <c r="I138" s="226">
        <v>43092.858726851853</v>
      </c>
      <c r="J138" s="225">
        <v>0</v>
      </c>
      <c r="K138" s="237" t="str">
        <f t="shared" si="45"/>
        <v>4025/4026</v>
      </c>
      <c r="L138" s="245" t="str">
        <f>VLOOKUP(A138,'Trips&amp;Operators'!$C$1:$G$99911,5,FALSE)</f>
        <v>ELBAUM MIKE</v>
      </c>
      <c r="M138" s="224">
        <f t="shared" si="46"/>
        <v>2.5254629632399883E-2</v>
      </c>
      <c r="N138" s="225">
        <f t="shared" si="90"/>
        <v>36.366666670655832</v>
      </c>
      <c r="O138" s="225"/>
      <c r="P138" s="225"/>
      <c r="Q138" s="228"/>
      <c r="R138" s="242"/>
      <c r="S138" s="249">
        <f t="shared" si="89"/>
        <v>1</v>
      </c>
      <c r="T138" s="242" t="str">
        <f t="shared" si="47"/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48"/>
        <v>https://d0f6bd738d7f1b3e5a7ca70fe4ff75f0.us-east-1.aws.found.io/app/kibana#/discover/Steve-Slow-Train-Analysis-(2080s-and-2083s)?_g=(refreshInterval:(display:Off,pause:!f,section:0,value:0),time:(from:'2017-12-23T18:53:21-0700',mode:absolute,to:'2017-12-23T21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247" t="str">
        <f>IF(AA138&lt;VLOOKUP(AG138,Variables!$AC$3:$AD$8,2,FALSE),"Y","N")</f>
        <v>N</v>
      </c>
      <c r="X138" s="247">
        <f t="shared" ref="X138:X140" si="96">VALUE(LEFT(AD138,4))-VALUE(LEFT(AD137,4))</f>
        <v>1</v>
      </c>
      <c r="Y138" s="247">
        <f t="shared" ref="Y138:Y143" si="97">RIGHT(D138,LEN(D138)-4)/10000</f>
        <v>5.6399999999999999E-2</v>
      </c>
      <c r="Z138" s="247">
        <f t="shared" ref="Z138:Z143" si="98">RIGHT(H138,LEN(H138)-4)/10000</f>
        <v>23.331399999999999</v>
      </c>
      <c r="AA138" s="247">
        <f t="shared" si="49"/>
        <v>23.274999999999999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50"/>
        <v>225</v>
      </c>
      <c r="AE138" s="235" t="str">
        <f t="shared" si="51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38" s="234" t="str">
        <f t="shared" si="52"/>
        <v>"C:\Program Files (x86)\AstroGrep\AstroGrep.exe" /e /r /s /spath="%USERPROFILE%\AppData\Local\Temp\OnboardLogs" /stypes="app*4026*20171224*" /stext=" 03:.+((SYSTEM_STATE.+slice.+state.+changed )|(ment ac)|(multiple cpu faults)|(system.+state.+changed )|(\[timeout)|(PRM\|1\|D)|(kpr)|(kdp)|(train st.+moving)|(\|lc)|(penalty))"</v>
      </c>
      <c r="AG138" s="244" t="str">
        <f t="shared" si="53"/>
        <v>EC</v>
      </c>
      <c r="AH138" s="236" t="str">
        <f t="shared" si="55"/>
        <v>"%USERPROFILE%\Documents\GitHub\eaglep3\Utilities\RefineRTDCRunTimes.py" --tripid 225-23 --locoid 4026 --swversion DE.1.0.9.0 --startMP 204:564 --initTime 2017-12-23T19:53:21 --startdatetime 2017-12-23T20:00:12 --delay 107 --endMP 204:233314 --enddatetime 2017-12-23T20:36:34 --enforcementcount 0 &gt;&gt;%USERPROFILE%\Documents\GitHub\eaglep3-reporting\EC\2017-12-23-refined-times.txt</v>
      </c>
      <c r="AI13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{"issue":{"subject":"","project_id":79,"tracker_id":40,"status_id":1,"priority_id":2,"assigned_to_id":338,"start_date":"2017-12-23","description":"","custom_fields":[{"id":1,"name":"Subdivision","value":"EC"},{"id":4,"name":"Milepost","value":"23.3314"},{"id":17,"name":"Train ID","value":"225-23"},{"id":16,"name":"Locomotive ID","value":"4026"},{"id":130,"name":"Impact","value":""},{"id":150,"name":"Time of Event (Mountain Time)","value":"20:36:34"},{"id":151,"name":"Denver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57"/>
        <v>start /low /b %USERPROFILE%\Documents\GitHub\eaglep3\Utilities\DownloadLogsFromS3.py --loco 4026 --day 2017-12-23</v>
      </c>
      <c r="AN13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59"/>
        <v>https://d0f6bd738d7f1b3e5a7ca70fe4ff75f0.us-east-1.aws.found.io/app/kibana#/discover/Steve-Slow-Train-Analysis-(2080s-and-2083s)?_g=(refreshInterval:(display:Off,pause:!f,section:0,value:0),time:(from:'2017-12-23T18:53:21-0700',mode:absolute,to:'2017-12-23T21:36:34-0700'))&amp;_a=(columns:!('Message%20ID',Summary),filters:!(),index:'emp_*',interval:auto,query:(query_string:(analyze_wildcard:!t,query:'%22rtdc.l.rtdc.4026%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684</v>
      </c>
      <c r="B139" s="225">
        <v>4025</v>
      </c>
      <c r="C139" s="227" t="s">
        <v>192</v>
      </c>
      <c r="D139" s="227" t="s">
        <v>610</v>
      </c>
      <c r="E139" s="226">
        <v>43092.862939814811</v>
      </c>
      <c r="F139" s="226">
        <v>43092.873055555552</v>
      </c>
      <c r="G139" s="225">
        <v>50</v>
      </c>
      <c r="H139" s="227" t="s">
        <v>1029</v>
      </c>
      <c r="I139" s="226">
        <v>43092.900289351855</v>
      </c>
      <c r="J139" s="225">
        <v>0</v>
      </c>
      <c r="K139" s="237" t="str">
        <f t="shared" si="45"/>
        <v>4025/4026</v>
      </c>
      <c r="L139" s="245" t="str">
        <f>VLOOKUP(A139,'Trips&amp;Operators'!$C$1:$G$99911,5,FALSE)</f>
        <v>ELBAUM MIKE</v>
      </c>
      <c r="M139" s="224">
        <f t="shared" si="46"/>
        <v>2.7233796303335112E-2</v>
      </c>
      <c r="N139" s="225">
        <f t="shared" si="90"/>
        <v>39.216666676802561</v>
      </c>
      <c r="O139" s="225"/>
      <c r="P139" s="225"/>
      <c r="Q139" s="228"/>
      <c r="R139" s="242" t="s">
        <v>1102</v>
      </c>
      <c r="S139" s="249">
        <f t="shared" si="89"/>
        <v>1</v>
      </c>
      <c r="T139" s="242" t="str">
        <f t="shared" si="47"/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48"/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247" t="str">
        <f>IF(AA139&lt;VLOOKUP(AG139,Variables!$AC$3:$AD$8,2,FALSE),"Y","N")</f>
        <v>N</v>
      </c>
      <c r="X139" s="247">
        <f t="shared" si="96"/>
        <v>1</v>
      </c>
      <c r="Y139" s="247">
        <f t="shared" si="97"/>
        <v>23.299800000000001</v>
      </c>
      <c r="Z139" s="247">
        <f t="shared" si="98"/>
        <v>2.7300000000000001E-2</v>
      </c>
      <c r="AA139" s="247">
        <f t="shared" si="49"/>
        <v>23.272500000000001</v>
      </c>
      <c r="AB139" s="233" t="str">
        <f>VLOOKUP(A139,Enforcements!$C$7:$K$9,8,0)</f>
        <v>Bulletin (2)</v>
      </c>
      <c r="AC139" s="232" t="str">
        <f>VLOOKUP(A139,Enforcements!$C$7:$E$9,3,0)</f>
        <v>GRADE CROSSING</v>
      </c>
      <c r="AD139" s="243">
        <f t="shared" si="50"/>
        <v>226</v>
      </c>
      <c r="AE139" s="235" t="str">
        <f t="shared" si="51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39" s="234" t="str">
        <f t="shared" si="52"/>
        <v>"C:\Program Files (x86)\AstroGrep\AstroGrep.exe" /e /r /s /spath="%USERPROFILE%\AppData\Local\Temp\OnboardLogs" /stypes="app*4025*20171224*" /stext=" 04:.+((SYSTEM_STATE.+slice.+state.+changed )|(ment ac)|(multiple cpu faults)|(system.+state.+changed )|(\[timeout)|(PRM\|1\|D)|(kpr)|(kdp)|(train st.+moving)|(\|lc)|(penalty))"</v>
      </c>
      <c r="AG139" s="244" t="str">
        <f t="shared" si="53"/>
        <v>EC</v>
      </c>
      <c r="AH139" s="236" t="str">
        <f t="shared" si="55"/>
        <v>"%USERPROFILE%\Documents\GitHub\eaglep3\Utilities\RefineRTDCRunTimes.py" --tripid 226-23 --locoid 4025 --swversion DE.1.0.9.0 --startMP 204:232998 --initTime 2017-12-23T20:42:38 --startdatetime 2017-12-23T20:57:12 --delay 50 --endMP 204:273 --enddatetime 2017-12-23T21:36:25 --enforcementcount 0 &gt;&gt;%USERPROFILE%\Documents\GitHub\eaglep3-reporting\EC\2017-12-23-refined-times.txt</v>
      </c>
      <c r="AI139" s="238" t="str">
        <f t="shared" si="56"/>
        <v>echo {"issue":{"subject":"Operator observed braking without banner, no PTC enforcement in onboard logs","project_id":79,"tracker_id":40,"status_id":1,"priority_id":2,"assigned_to_id":338,"start_date":"2017-12-23","description":"","custom_fields":[{"id":1,"name":"Subdivision","value":"EC"},{"id":4,"name":"Milepost","value":"0.0273"},{"id":17,"name":"Train ID","value":"226-23"},{"id":16,"name":"Locomotive ID","value":"4025"},{"id":130,"name":"Impact","value":""},{"id":150,"name":"Time of Event (Mountain Time)","value":"21:36:25"},{"id":151,"name":"Denver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57"/>
        <v>start /low /b %USERPROFILE%\Documents\GitHub\eaglep3\Utilities\DownloadLogsFromS3.py --loco 4025 --day 2017-12-23</v>
      </c>
      <c r="AN139" s="241" t="str">
        <f t="shared" si="58"/>
        <v>echo {"issue":{"subject":"Operator observed braking without banner, no PTC enforcement in onboard logs","project_id":30,"tracker_id":4,"status_id":1,"priority_id":1,"assigned_to_id":10,"start_date":"2017-12-24","description":"","custom_fields":[{"id":30,"name":"Category","value":"Issue"},{"id":3,"name":"Functional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59"/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Message%20ID',Summary),filters:!(),index:'emp_*',interval:auto,query:(query_string:(analyze_wildcard:!t,query:'%22rtdc.l.rtdc.4025%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9" t="s">
        <v>861</v>
      </c>
      <c r="B140" s="225">
        <v>4036</v>
      </c>
      <c r="C140" s="227" t="s">
        <v>192</v>
      </c>
      <c r="D140" s="227" t="s">
        <v>575</v>
      </c>
      <c r="E140" s="226">
        <v>43092.842905092592</v>
      </c>
      <c r="F140" s="226">
        <v>43092.854363425926</v>
      </c>
      <c r="G140" s="225">
        <v>62</v>
      </c>
      <c r="H140" s="227" t="s">
        <v>904</v>
      </c>
      <c r="I140" s="226">
        <v>43092.879942129628</v>
      </c>
      <c r="J140" s="225">
        <v>0</v>
      </c>
      <c r="K140" s="237" t="str">
        <f t="shared" si="45"/>
        <v>4035/4036</v>
      </c>
      <c r="L140" s="245" t="str">
        <f>VLOOKUP(A140,'Trips&amp;Operators'!$C$1:$G$99911,5,FALSE)</f>
        <v>NICHOLSON WESLEY</v>
      </c>
      <c r="M140" s="224">
        <f t="shared" si="46"/>
        <v>2.5578703702194616E-2</v>
      </c>
      <c r="N140" s="225">
        <f t="shared" si="90"/>
        <v>36.833333331160247</v>
      </c>
      <c r="O140" s="225"/>
      <c r="P140" s="225"/>
      <c r="Q140" s="228"/>
      <c r="R140" s="242"/>
      <c r="S140" s="249">
        <f t="shared" si="89"/>
        <v>1</v>
      </c>
      <c r="T140" s="242" t="str">
        <f t="shared" si="47"/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48"/>
        <v>https://d0f6bd738d7f1b3e5a7ca70fe4ff75f0.us-east-1.aws.found.io/app/kibana#/discover/Steve-Slow-Train-Analysis-(2080s-and-2083s)?_g=(refreshInterval:(display:Off,pause:!f,section:0,value:0),time:(from:'2017-12-23T19:13:47-0700',mode:absolute,to:'2017-12-23T22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0" s="247" t="str">
        <f>IF(AA140&lt;VLOOKUP(AG140,Variables!$AC$3:$AD$8,2,FALSE),"Y","N")</f>
        <v>N</v>
      </c>
      <c r="X140" s="247">
        <f t="shared" si="96"/>
        <v>1</v>
      </c>
      <c r="Y140" s="247">
        <f t="shared" si="97"/>
        <v>5.4199999999999998E-2</v>
      </c>
      <c r="Z140" s="247">
        <f t="shared" si="98"/>
        <v>23.330400000000001</v>
      </c>
      <c r="AA140" s="247">
        <f t="shared" si="49"/>
        <v>23.276199999999999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50"/>
        <v>227</v>
      </c>
      <c r="AE140" s="235" t="str">
        <f t="shared" si="51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40" s="234" t="str">
        <f t="shared" si="52"/>
        <v>"C:\Program Files (x86)\AstroGrep\AstroGrep.exe" /e /r /s /spath="%USERPROFILE%\AppData\Local\Temp\OnboardLogs" /stypes="app*4036*20171224*" /stext=" 04:.+((SYSTEM_STATE.+slice.+state.+changed )|(ment ac)|(multiple cpu faults)|(system.+state.+changed )|(\[timeout)|(PRM\|1\|D)|(kpr)|(kdp)|(train st.+moving)|(\|lc)|(penalty))"</v>
      </c>
      <c r="AG140" s="244" t="str">
        <f t="shared" si="53"/>
        <v>EC</v>
      </c>
      <c r="AH140" s="236" t="str">
        <f t="shared" si="55"/>
        <v>"%USERPROFILE%\Documents\GitHub\eaglep3\Utilities\RefineRTDCRunTimes.py" --tripid 227-23 --locoid 4036 --swversion DE.1.0.9.0 --startMP 204:542 --initTime 2017-12-23T20:13:47 --startdatetime 2017-12-23T20:30:17 --delay 62 --endMP 204:233304 --enddatetime 2017-12-23T21:07:07 --enforcementcount 0 &gt;&gt;%USERPROFILE%\Documents\GitHub\eaglep3-reporting\EC\2017-12-23-refined-times.txt</v>
      </c>
      <c r="AI140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{"issue":{"subject":"","project_id":79,"tracker_id":40,"status_id":1,"priority_id":2,"assigned_to_id":338,"start_date":"2017-12-23","description":"","custom_fields":[{"id":1,"name":"Subdivision","value":"EC"},{"id":4,"name":"Milepost","value":"23.3304"},{"id":17,"name":"Train ID","value":"227-23"},{"id":16,"name":"Locomotive ID","value":"4036"},{"id":130,"name":"Impact","value":""},{"id":150,"name":"Time of Event (Mountain Time)","value":"21:07:07"},{"id":151,"name":"Denver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57"/>
        <v>start /low /b %USERPROFILE%\Documents\GitHub\eaglep3\Utilities\DownloadLogsFromS3.py --loco 4036 --day 2017-12-23</v>
      </c>
      <c r="AN140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59"/>
        <v>https://d0f6bd738d7f1b3e5a7ca70fe4ff75f0.us-east-1.aws.found.io/app/kibana#/discover/Steve-Slow-Train-Analysis-(2080s-and-2083s)?_g=(refreshInterval:(display:Off,pause:!f,section:0,value:0),time:(from:'2017-12-23T19:13:47-0700',mode:absolute,to:'2017-12-23T22:07:07-0700'))&amp;_a=(columns:!('Message%20ID',Summary),filters:!(),index:'emp_*',interval:auto,query:(query_string:(analyze_wildcard:!t,query:'%22rtdc.l.rtdc.4036%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866</v>
      </c>
      <c r="B141" s="225">
        <v>4035</v>
      </c>
      <c r="C141" s="227" t="s">
        <v>192</v>
      </c>
      <c r="D141" s="227" t="s">
        <v>905</v>
      </c>
      <c r="E141" s="226">
        <v>43092.888101851851</v>
      </c>
      <c r="F141" s="226">
        <v>43092.894236111111</v>
      </c>
      <c r="G141" s="225">
        <v>79</v>
      </c>
      <c r="H141" s="227" t="s">
        <v>1030</v>
      </c>
      <c r="I141" s="226">
        <v>43092.925000000003</v>
      </c>
      <c r="J141" s="225">
        <v>0</v>
      </c>
      <c r="K141" s="237" t="str">
        <f t="shared" ref="K141:K204" si="99">IF(ISEVEN(B141),(B141-1)&amp;"/"&amp;B141,B141&amp;"/"&amp;(B141+1))</f>
        <v>4035/4036</v>
      </c>
      <c r="L141" s="245" t="str">
        <f>VLOOKUP(A141,'Trips&amp;Operators'!$C$1:$G$99911,5,FALSE)</f>
        <v>NICHOLSON WESLEY</v>
      </c>
      <c r="M141" s="224">
        <f t="shared" ref="M141:M204" si="100">I141-F141</f>
        <v>3.0763888891669922E-2</v>
      </c>
      <c r="N141" s="225">
        <f t="shared" si="90"/>
        <v>44.300000004004687</v>
      </c>
      <c r="O141" s="225"/>
      <c r="P141" s="225"/>
      <c r="Q141" s="228"/>
      <c r="R141" s="242"/>
      <c r="S141" s="249">
        <f t="shared" si="89"/>
        <v>1</v>
      </c>
      <c r="T141" s="242" t="str">
        <f t="shared" ref="T141:T204" si="101"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10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-23T20:18:52-0700',mode:absolute,to:'2017-12-23T23:12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 t="shared" si="97"/>
        <v>23.298500000000001</v>
      </c>
      <c r="Z141" s="247">
        <f t="shared" si="98"/>
        <v>2.3099999999999999E-2</v>
      </c>
      <c r="AA141" s="247">
        <f t="shared" ref="AA141:AA204" si="103">ABS(Z141-Y141)</f>
        <v>23.275400000000001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104">VALUE(LEFT(A141,LEN(A141)-3))</f>
        <v>228</v>
      </c>
      <c r="AE141" s="235" t="str">
        <f t="shared" ref="AE141:AE204" si="10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41" s="234" t="str">
        <f t="shared" ref="AF141:AF204" si="10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/stypes="app*4035*20171224*" /stext=" 05:.+((SYSTEM_STATE.+slice.+state.+changed )|(ment ac)|(multiple cpu faults)|(system.+state.+changed )|(\[timeout)|(PRM\|1\|D)|(kpr)|(kdp)|(train st.+moving)|(\|lc)|(penalty))"</v>
      </c>
      <c r="AG141" s="244" t="str">
        <f t="shared" ref="AG141:AG204" si="107">DetSubdiv(A141)</f>
        <v>EC</v>
      </c>
      <c r="AH141" s="236" t="str">
        <f t="shared" si="55"/>
        <v>"%USERPROFILE%\Documents\GitHub\eaglep3\Utilities\RefineRTDCRunTimes.py" --tripid 228-23 --locoid 4035 --swversion DE.1.0.9.0 --startMP 204:232985 --initTime 2017-12-23T21:18:52 --startdatetime 2017-12-23T21:27:42 --delay 79 --endMP 204:231 --enddatetime 2017-12-23T22:12:00 --enforcementcount 0 &gt;&gt;%USERPROFILE%\Documents\GitHub\eaglep3-reporting\EC\2017-12-23-refined-times.txt</v>
      </c>
      <c r="AI141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{"issue":{"subject":"","project_id":79,"tracker_id":40,"status_id":1,"priority_id":2,"assigned_to_id":338,"start_date":"2017-12-23","description":"","custom_fields":[{"id":1,"name":"Subdivision","value":"EC"},{"id":4,"name":"Milepost","value":"0.0231"},{"id":17,"name":"Train ID","value":"228-23"},{"id":16,"name":"Locomotive ID","value":"4035"},{"id":130,"name":"Impact","value":""},{"id":150,"name":"Time of Event (Mountain Time)","value":"22:12:00"},{"id":151,"name":"Denver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57"/>
        <v>start /low /b %USERPROFILE%\Documents\GitHub\eaglep3\Utilities\DownloadLogsFromS3.py --loco 4035 --day 2017-12-23</v>
      </c>
      <c r="AN141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59"/>
        <v>https://d0f6bd738d7f1b3e5a7ca70fe4ff75f0.us-east-1.aws.found.io/app/kibana#/discover/Steve-Slow-Train-Analysis-(2080s-and-2083s)?_g=(refreshInterval:(display:Off,pause:!f,section:0,value:0),time:(from:'2017-12-23T20:18:52-0700',mode:absolute,to:'2017-12-23T23:12:00-0700'))&amp;_a=(columns:!('Message%20ID',Summary),filters:!(),index:'emp_*',interval:auto,query:(query_string:(analyze_wildcard:!t,query:'%22rtdc.l.rtdc.4035%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863</v>
      </c>
      <c r="B142" s="225">
        <v>4002</v>
      </c>
      <c r="C142" s="227" t="s">
        <v>192</v>
      </c>
      <c r="D142" s="227" t="s">
        <v>1031</v>
      </c>
      <c r="E142" s="226">
        <v>43092.872233796297</v>
      </c>
      <c r="F142" s="226">
        <v>43092.875405092593</v>
      </c>
      <c r="G142" s="225">
        <v>55</v>
      </c>
      <c r="H142" s="227" t="s">
        <v>549</v>
      </c>
      <c r="I142" s="226">
        <v>43092.900717592594</v>
      </c>
      <c r="J142" s="225">
        <v>0</v>
      </c>
      <c r="K142" s="237" t="str">
        <f t="shared" si="99"/>
        <v>4001/4002</v>
      </c>
      <c r="L142" s="245" t="str">
        <f>VLOOKUP(A142,'Trips&amp;Operators'!$C$1:$G$99911,5,FALSE)</f>
        <v>AUSTIN THOMPSON</v>
      </c>
      <c r="M142" s="224">
        <f t="shared" si="100"/>
        <v>2.531250000174623E-2</v>
      </c>
      <c r="N142" s="225">
        <f t="shared" si="90"/>
        <v>36.450000002514571</v>
      </c>
      <c r="O142" s="225"/>
      <c r="P142" s="225"/>
      <c r="Q142" s="228"/>
      <c r="R142" s="242"/>
      <c r="S142" s="249">
        <f t="shared" si="89"/>
        <v>1</v>
      </c>
      <c r="T142" s="242" t="str">
        <f t="shared" si="101"/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102"/>
        <v>https://d0f6bd738d7f1b3e5a7ca70fe4ff75f0.us-east-1.aws.found.io/app/kibana#/discover/Steve-Slow-Train-Analysis-(2080s-and-2083s)?_g=(refreshInterval:(display:Off,pause:!f,section:0,value:0),time:(from:'2017-12-23T19:56:01-0700',mode:absolute,to:'2017-12-23T22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 t="shared" si="97"/>
        <v>5.4899999999999997E-2</v>
      </c>
      <c r="Z142" s="247">
        <f t="shared" si="98"/>
        <v>23.3232</v>
      </c>
      <c r="AA142" s="247">
        <f t="shared" si="103"/>
        <v>23.2683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104"/>
        <v>229</v>
      </c>
      <c r="AE142" s="235" t="str">
        <f t="shared" si="105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42" s="234" t="str">
        <f t="shared" si="106"/>
        <v>"C:\Program Files (x86)\AstroGrep\AstroGrep.exe" /e /r /s /spath="%USERPROFILE%\AppData\Local\Temp\OnboardLogs" /stypes="app*4002*20171224*" /stext=" 04:.+((SYSTEM_STATE.+slice.+state.+changed )|(ment ac)|(multiple cpu faults)|(system.+state.+changed )|(\[timeout)|(PRM\|1\|D)|(kpr)|(kdp)|(train st.+moving)|(\|lc)|(penalty))"</v>
      </c>
      <c r="AG142" s="244" t="str">
        <f t="shared" si="107"/>
        <v>EC</v>
      </c>
      <c r="AH142" s="236" t="str">
        <f t="shared" si="55"/>
        <v>"%USERPROFILE%\Documents\GitHub\eaglep3\Utilities\RefineRTDCRunTimes.py" --tripid 229-23 --locoid 4002 --swversion DE.1.0.9.0 --startMP 204:549 --initTime 2017-12-23T20:56:01 --startdatetime 2017-12-23T21:00:35 --delay 55 --endMP 204:233232 --enddatetime 2017-12-23T21:37:02 --enforcementcount 0 &gt;&gt;%USERPROFILE%\Documents\GitHub\eaglep3-reporting\EC\2017-12-23-refined-times.txt</v>
      </c>
      <c r="AI142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{"issue":{"subject":"","project_id":79,"tracker_id":40,"status_id":1,"priority_id":2,"assigned_to_id":338,"start_date":"2017-12-23","description":"","custom_fields":[{"id":1,"name":"Subdivision","value":"EC"},{"id":4,"name":"Milepost","value":"23.3232"},{"id":17,"name":"Train ID","value":"229-23"},{"id":16,"name":"Locomotive ID","value":"4002"},{"id":130,"name":"Impact","value":""},{"id":150,"name":"Time of Event (Mountain Time)","value":"21:37:02"},{"id":151,"name":"Denver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57"/>
        <v>start /low /b %USERPROFILE%\Documents\GitHub\eaglep3\Utilities\DownloadLogsFromS3.py --loco 4002 --day 2017-12-23</v>
      </c>
      <c r="AN142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59"/>
        <v>https://d0f6bd738d7f1b3e5a7ca70fe4ff75f0.us-east-1.aws.found.io/app/kibana#/discover/Steve-Slow-Train-Analysis-(2080s-and-2083s)?_g=(refreshInterval:(display:Off,pause:!f,section:0,value:0),time:(from:'2017-12-23T19:56:01-0700',mode:absolute,to:'2017-12-23T22:37:02-0700'))&amp;_a=(columns:!('Message%20ID',Summary),filters:!(),index:'emp_*',interval:auto,query:(query_string:(analyze_wildcard:!t,query:'%22rtdc.l.rtdc.4002%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9" t="s">
        <v>868</v>
      </c>
      <c r="B143" s="225">
        <v>4001</v>
      </c>
      <c r="C143" s="227" t="s">
        <v>192</v>
      </c>
      <c r="D143" s="227" t="s">
        <v>627</v>
      </c>
      <c r="E143" s="226">
        <v>43092.912245370368</v>
      </c>
      <c r="F143" s="226">
        <v>43092.914884259262</v>
      </c>
      <c r="G143" s="225">
        <v>54</v>
      </c>
      <c r="H143" s="227" t="s">
        <v>560</v>
      </c>
      <c r="I143" s="226">
        <v>43092.946608796294</v>
      </c>
      <c r="J143" s="225">
        <v>0</v>
      </c>
      <c r="K143" s="237" t="str">
        <f t="shared" si="99"/>
        <v>4001/4002</v>
      </c>
      <c r="L143" s="245" t="str">
        <f>VLOOKUP(A143,'Trips&amp;Operators'!$C$1:$G$99911,5,FALSE)</f>
        <v>AUSTIN THOMPSON</v>
      </c>
      <c r="M143" s="224">
        <f t="shared" si="100"/>
        <v>3.1724537031550426E-2</v>
      </c>
      <c r="N143" s="225">
        <f t="shared" si="90"/>
        <v>45.683333325432613</v>
      </c>
      <c r="O143" s="225"/>
      <c r="P143" s="225"/>
      <c r="Q143" s="228"/>
      <c r="R143" s="242"/>
      <c r="S143" s="249">
        <f t="shared" si="89"/>
        <v>1</v>
      </c>
      <c r="T143" s="242" t="str">
        <f t="shared" si="101"/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102"/>
        <v>https://d0f6bd738d7f1b3e5a7ca70fe4ff75f0.us-east-1.aws.found.io/app/kibana#/discover/Steve-Slow-Train-Analysis-(2080s-and-2083s)?_g=(refreshInterval:(display:Off,pause:!f,section:0,value:0),time:(from:'2017-12-23T20:53:38-0700',mode:absolute,to:'2017-12-23T23:43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 t="shared" si="97"/>
        <v>23.2913</v>
      </c>
      <c r="Z143" s="247">
        <f t="shared" si="98"/>
        <v>2.4199999999999999E-2</v>
      </c>
      <c r="AA143" s="247">
        <f t="shared" si="103"/>
        <v>23.267099999999999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104"/>
        <v>230</v>
      </c>
      <c r="AE143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43" s="234" t="str">
        <f t="shared" si="106"/>
        <v>"C:\Program Files (x86)\AstroGrep\AstroGrep.exe" /e /r /s /spath="%USERPROFILE%\AppData\Local\Temp\OnboardLogs" /stypes="app*4001*20171224*" /stext=" 05:.+((SYSTEM_STATE.+slice.+state.+changed )|(ment ac)|(multiple cpu faults)|(system.+state.+changed )|(\[timeout)|(PRM\|1\|D)|(kpr)|(kdp)|(train st.+moving)|(\|lc)|(penalty))"</v>
      </c>
      <c r="AG143" s="244" t="str">
        <f t="shared" si="107"/>
        <v>EC</v>
      </c>
      <c r="AH143" s="236" t="str">
        <f t="shared" si="55"/>
        <v>"%USERPROFILE%\Documents\GitHub\eaglep3\Utilities\RefineRTDCRunTimes.py" --tripid 230-23 --locoid 4001 --swversion DE.1.0.9.0 --startMP 204:232913 --initTime 2017-12-23T21:53:38 --startdatetime 2017-12-23T21:57:26 --delay 54 --endMP 204:242 --enddatetime 2017-12-23T22:43:07 --enforcementcount 0 &gt;&gt;%USERPROFILE%\Documents\GitHub\eaglep3-reporting\EC\2017-12-23-refined-times.txt</v>
      </c>
      <c r="AI143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{"issue":{"subject":"","project_id":79,"tracker_id":40,"status_id":1,"priority_id":2,"assigned_to_id":338,"start_date":"2017-12-23","description":"","custom_fields":[{"id":1,"name":"Subdivision","value":"EC"},{"id":4,"name":"Milepost","value":"0.0242"},{"id":17,"name":"Train ID","value":"230-23"},{"id":16,"name":"Locomotive ID","value":"4001"},{"id":130,"name":"Impact","value":""},{"id":150,"name":"Time of Event (Mountain Time)","value":"22:43:07"},{"id":151,"name":"Denver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57"/>
        <v>start /low /b %USERPROFILE%\Documents\GitHub\eaglep3\Utilities\DownloadLogsFromS3.py --loco 4001 --day 2017-12-23</v>
      </c>
      <c r="AN143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05:43:07"},{"id":29,"name":"Sharepoint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59"/>
        <v>https://d0f6bd738d7f1b3e5a7ca70fe4ff75f0.us-east-1.aws.found.io/app/kibana#/discover/Steve-Slow-Train-Analysis-(2080s-and-2083s)?_g=(refreshInterval:(display:Off,pause:!f,section:0,value:0),time:(from:'2017-12-23T20:53:38-0700',mode:absolute,to:'2017-12-23T23:43:07-0700'))&amp;_a=(columns:!('Message%20ID',Summary),filters:!(),index:'emp_*',interval:auto,query:(query_string:(analyze_wildcard:!t,query:'%22rtdc.l.rtdc.4001%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25">
      <c r="A144" s="229" t="s">
        <v>865</v>
      </c>
      <c r="B144" s="225">
        <v>4046</v>
      </c>
      <c r="C144" s="227" t="s">
        <v>192</v>
      </c>
      <c r="D144" s="227" t="s">
        <v>627</v>
      </c>
      <c r="E144" s="226">
        <v>43092.912245370368</v>
      </c>
      <c r="F144" s="226">
        <v>43092.896099537036</v>
      </c>
      <c r="G144" s="225">
        <v>54</v>
      </c>
      <c r="H144" s="227" t="s">
        <v>560</v>
      </c>
      <c r="I144" s="226">
        <v>43092.924884259257</v>
      </c>
      <c r="J144" s="225">
        <v>0</v>
      </c>
      <c r="K144" s="237" t="str">
        <f t="shared" si="99"/>
        <v>4045/4046</v>
      </c>
      <c r="L144" s="245" t="str">
        <f>VLOOKUP(A144,'Trips&amp;Operators'!$C$1:$G$99911,5,FALSE)</f>
        <v>FORTUNATO FRANK</v>
      </c>
      <c r="M144" s="224">
        <f t="shared" si="100"/>
        <v>2.8784722220734693E-2</v>
      </c>
      <c r="N144" s="225">
        <f t="shared" si="90"/>
        <v>41.449999997857958</v>
      </c>
      <c r="O144" s="225"/>
      <c r="P144" s="225"/>
      <c r="Q144" s="228"/>
      <c r="R144" s="242"/>
      <c r="S144" s="249">
        <f t="shared" si="89"/>
        <v>1</v>
      </c>
      <c r="T144" s="242" t="str">
        <f t="shared" si="101"/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102"/>
        <v>https://d0f6bd738d7f1b3e5a7ca70fe4ff75f0.us-east-1.aws.found.io/app/kibana#/discover/Steve-Slow-Train-Analysis-(2080s-and-2083s)?_g=(refreshInterval:(display:Off,pause:!f,section:0,value:0),time:(from:'2017-12-23T20:53:38-0700',mode:absolute,to:'2017-12-23T23:11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v>6.2100000000000002E-2</v>
      </c>
      <c r="Z144" s="247">
        <v>23.32</v>
      </c>
      <c r="AA144" s="247">
        <f t="shared" si="103"/>
        <v>23.257899999999999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104"/>
        <v>231</v>
      </c>
      <c r="AE144" s="235" t="str">
        <f t="shared" si="105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44" s="234" t="str">
        <f t="shared" si="106"/>
        <v>"C:\Program Files (x86)\AstroGrep\AstroGrep.exe" /e /r /s /spath="%USERPROFILE%\AppData\Local\Temp\OnboardLogs" /stypes="app*4046*20171224*" /stext=" 05:.+((SYSTEM_STATE.+slice.+state.+changed )|(ment ac)|(multiple cpu faults)|(system.+state.+changed )|(\[timeout)|(PRM\|1\|D)|(kpr)|(kdp)|(train st.+moving)|(\|lc)|(penalty))"</v>
      </c>
      <c r="AG144" s="244" t="str">
        <f t="shared" si="107"/>
        <v>EC</v>
      </c>
      <c r="AH144" s="236" t="str">
        <f t="shared" ref="AH144" si="108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231-23 --locoid 4046 --swversion DE.1.0.9.0 --startMP 204:232913 --initTime 2017-12-23T21:53:38 --startdatetime 2017-12-23T21:30:23 --delay 54 --endMP 204:242 --enddatetime 2017-12-23T22:11:50 --enforcementcount 0 &gt;&gt;%USERPROFILE%\Documents\GitHub\eaglep3-reporting\EC\2017-12-23-refined-times.txt</v>
      </c>
      <c r="AI144" s="238" t="str">
        <f t="shared" ref="AI144" si="109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{"issue":{"subject":"","project_id":79,"tracker_id":40,"status_id":1,"priority_id":2,"assigned_to_id":338,"start_date":"2017-12-23","description":"","custom_fields":[{"id":1,"name":"Subdivision","value":"EC"},{"id":4,"name":"Milepost","value":"23.32"},{"id":17,"name":"Train ID","value":"231-23"},{"id":16,"name":"Locomotive ID","value":"4046"},{"id":130,"name":"Impact","value":""},{"id":150,"name":"Time of Event (Mountain Time)","value":"22:11:50"},{"id":151,"name":"Denver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ref="AM144" si="110">"start /low /b "&amp;dls3logs&amp;" --loco "&amp;B144&amp;" --day "&amp;TEXT(F144,"YYYY-MM-DD")</f>
        <v>start /low /b %USERPROFILE%\Documents\GitHub\eaglep3\Utilities\DownloadLogsFromS3.py --loco 4046 --day 2017-12-23</v>
      </c>
      <c r="AN144" s="241" t="str">
        <f t="shared" ref="AN144" si="111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05:11:50"},{"id":29,"name":"Sharepoint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ref="AO144" si="112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-23T20:53:38-0700',mode:absolute,to:'2017-12-23T23:11:50-0700'))&amp;_a=(columns:!('Message%20ID',Summary),filters:!(),index:'emp_*',interval:auto,query:(query_string:(analyze_wildcard:!t,query:'%22rtdc.l.rtdc.4046%22')),sort:!(Time.ISO8601,asc))</v>
      </c>
    </row>
    <row r="145" spans="1:91" s="223" customFormat="1" x14ac:dyDescent="0.25">
      <c r="A145" s="229" t="s">
        <v>686</v>
      </c>
      <c r="B145" s="225">
        <v>4045</v>
      </c>
      <c r="C145" s="227" t="s">
        <v>192</v>
      </c>
      <c r="D145" s="227" t="s">
        <v>1032</v>
      </c>
      <c r="E145" s="226">
        <v>43092.927847222221</v>
      </c>
      <c r="F145" s="226">
        <v>43092.935671296298</v>
      </c>
      <c r="G145" s="225">
        <v>52</v>
      </c>
      <c r="H145" s="227" t="s">
        <v>629</v>
      </c>
      <c r="I145" s="226">
        <v>43092.966539351852</v>
      </c>
      <c r="J145" s="225">
        <v>0</v>
      </c>
      <c r="K145" s="237" t="str">
        <f t="shared" si="99"/>
        <v>4045/4046</v>
      </c>
      <c r="L145" s="245" t="str">
        <f>VLOOKUP(A145,'Trips&amp;Operators'!$C$1:$G$99911,5,FALSE)</f>
        <v>FORTUNATO FRANK</v>
      </c>
      <c r="M145" s="224">
        <f t="shared" si="100"/>
        <v>3.0868055553582963E-2</v>
      </c>
      <c r="N145" s="225">
        <f t="shared" si="90"/>
        <v>44.449999997159466</v>
      </c>
      <c r="O145" s="225"/>
      <c r="P145" s="225"/>
      <c r="Q145" s="228"/>
      <c r="R145" s="242"/>
      <c r="S145" s="249">
        <f t="shared" si="89"/>
        <v>1</v>
      </c>
      <c r="T145" s="242" t="str">
        <f t="shared" si="101"/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102"/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247" t="str">
        <f>IF(AA145&lt;VLOOKUP(AG145,Variables!$AC$3:$AD$8,2,FALSE),"Y","N")</f>
        <v>N</v>
      </c>
      <c r="X145" s="247">
        <f t="shared" ref="X145:X146" si="113">VALUE(LEFT(AD145,4))-VALUE(LEFT(AD144,4))</f>
        <v>1</v>
      </c>
      <c r="Y145" s="247">
        <f t="shared" ref="Y145:Y152" si="114">RIGHT(D145,LEN(D145)-4)/10000</f>
        <v>23.2883</v>
      </c>
      <c r="Z145" s="247">
        <f t="shared" ref="Z145:Z152" si="115">RIGHT(H145,LEN(H145)-4)/10000</f>
        <v>2.12E-2</v>
      </c>
      <c r="AA145" s="247">
        <f t="shared" si="103"/>
        <v>23.267099999999999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104"/>
        <v>232</v>
      </c>
      <c r="AE145" s="235" t="str">
        <f t="shared" si="105"/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AF145" s="234" t="str">
        <f t="shared" si="106"/>
        <v>"C:\Program Files (x86)\AstroGrep\AstroGrep.exe" /e /r /s /spath="%USERPROFILE%\AppData\Local\Temp\OnboardLogs" /stypes="app*4045*20171224*" /stext=" 06:.+((SYSTEM_STATE.+slice.+state.+changed )|(ment ac)|(multiple cpu faults)|(system.+state.+changed )|(\[timeout)|(PRM\|1\|D)|(kpr)|(kdp)|(train st.+moving)|(\|lc)|(penalty))"</v>
      </c>
      <c r="AG145" s="244" t="str">
        <f t="shared" si="107"/>
        <v>EC</v>
      </c>
      <c r="AH145" s="236" t="str">
        <f t="shared" si="55"/>
        <v>"%USERPROFILE%\Documents\GitHub\eaglep3\Utilities\RefineRTDCRunTimes.py" --tripid 232-23 --locoid 4045 --swversion DE.1.0.9.0 --startMP 204:232883 --initTime 2017-12-23T22:16:06 --startdatetime 2017-12-23T22:27:22 --delay 52 --endMP 204:212 --enddatetime 2017-12-23T23:11:49 --enforcementcount 0 &gt;&gt;%USERPROFILE%\Documents\GitHub\eaglep3-reporting\EC\2017-12-23-refined-times.txt</v>
      </c>
      <c r="AI145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{"issue":{"subject":"","project_id":79,"tracker_id":40,"status_id":1,"priority_id":2,"assigned_to_id":338,"start_date":"2017-12-23","description":"","custom_fields":[{"id":1,"name":"Subdivision","value":"EC"},{"id":4,"name":"Milepost","value":"0.0212"},{"id":17,"name":"Train ID","value":"232-23"},{"id":16,"name":"Locomotive ID","value":"4045"},{"id":130,"name":"Impact","value":""},{"id":150,"name":"Time of Event (Mountain Time)","value":"23:11:49"},{"id":151,"name":"Denver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57"/>
        <v>start /low /b %USERPROFILE%\Documents\GitHub\eaglep3\Utilities\DownloadLogsFromS3.py --loco 4045 --day 2017-12-23</v>
      </c>
      <c r="AN145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59"/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Message%20ID',Summary),filters:!(),index:'emp_*',interval:auto,query:(query_string:(analyze_wildcard:!t,query:'%22rtdc.l.rtdc.4045%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25">
      <c r="A146" s="229" t="s">
        <v>867</v>
      </c>
      <c r="B146" s="225">
        <v>4026</v>
      </c>
      <c r="C146" s="227" t="s">
        <v>192</v>
      </c>
      <c r="D146" s="227" t="s">
        <v>1033</v>
      </c>
      <c r="E146" s="226">
        <v>43092.905069444445</v>
      </c>
      <c r="F146" s="226">
        <v>43092.916805555556</v>
      </c>
      <c r="G146" s="225">
        <v>49</v>
      </c>
      <c r="H146" s="227" t="s">
        <v>1034</v>
      </c>
      <c r="I146" s="226">
        <v>43092.942557870374</v>
      </c>
      <c r="J146" s="225">
        <v>0</v>
      </c>
      <c r="K146" s="237" t="str">
        <f t="shared" si="99"/>
        <v>4025/4026</v>
      </c>
      <c r="L146" s="245" t="str">
        <f>VLOOKUP(A146,'Trips&amp;Operators'!$C$1:$G$99911,5,FALSE)</f>
        <v>ELBAUM MIKE</v>
      </c>
      <c r="M146" s="224">
        <f t="shared" si="100"/>
        <v>2.5752314817509614E-2</v>
      </c>
      <c r="N146" s="225">
        <f t="shared" si="90"/>
        <v>37.083333337213844</v>
      </c>
      <c r="O146" s="225"/>
      <c r="P146" s="225"/>
      <c r="Q146" s="228"/>
      <c r="R146" s="242"/>
      <c r="S146" s="249">
        <f t="shared" si="89"/>
        <v>1</v>
      </c>
      <c r="T146" s="242" t="str">
        <f t="shared" si="101"/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102"/>
        <v>https://d0f6bd738d7f1b3e5a7ca70fe4ff75f0.us-east-1.aws.found.io/app/kibana#/discover/Steve-Slow-Train-Analysis-(2080s-and-2083s)?_g=(refreshInterval:(display:Off,pause:!f,section:0,value:0),time:(from:'2017-12-23T20:43:18-0700',mode:absolute,to:'2017-12-23T23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247" t="str">
        <f>IF(AA146&lt;VLOOKUP(AG146,Variables!$AC$3:$AD$8,2,FALSE),"Y","N")</f>
        <v>N</v>
      </c>
      <c r="X146" s="247">
        <f t="shared" si="113"/>
        <v>1</v>
      </c>
      <c r="Y146" s="247">
        <f t="shared" si="114"/>
        <v>5.7000000000000002E-2</v>
      </c>
      <c r="Z146" s="247">
        <f t="shared" si="115"/>
        <v>23.333600000000001</v>
      </c>
      <c r="AA146" s="247">
        <f t="shared" si="103"/>
        <v>23.276600000000002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104"/>
        <v>233</v>
      </c>
      <c r="AE146" s="235" t="str">
        <f t="shared" si="105"/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AF146" s="234" t="str">
        <f t="shared" si="106"/>
        <v>"C:\Program Files (x86)\AstroGrep\AstroGrep.exe" /e /r /s /spath="%USERPROFILE%\AppData\Local\Temp\OnboardLogs" /stypes="app*4026*20171224*" /stext=" 05:.+((SYSTEM_STATE.+slice.+state.+changed )|(ment ac)|(multiple cpu faults)|(system.+state.+changed )|(\[timeout)|(PRM\|1\|D)|(kpr)|(kdp)|(train st.+moving)|(\|lc)|(penalty))"</v>
      </c>
      <c r="AG146" s="244" t="str">
        <f t="shared" si="107"/>
        <v>EC</v>
      </c>
      <c r="AH146" s="236" t="str">
        <f t="shared" si="55"/>
        <v>"%USERPROFILE%\Documents\GitHub\eaglep3\Utilities\RefineRTDCRunTimes.py" --tripid 233-23 --locoid 4026 --swversion DE.1.0.9.0 --startMP 204:570 --initTime 2017-12-23T21:43:18 --startdatetime 2017-12-23T22:00:12 --delay 49 --endMP 204:233336 --enddatetime 2017-12-23T22:37:17 --enforcementcount 0 &gt;&gt;%USERPROFILE%\Documents\GitHub\eaglep3-reporting\EC\2017-12-23-refined-times.txt</v>
      </c>
      <c r="AI146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{"issue":{"subject":"","project_id":79,"tracker_id":40,"status_id":1,"priority_id":2,"assigned_to_id":338,"start_date":"2017-12-23","description":"","custom_fields":[{"id":1,"name":"Subdivision","value":"EC"},{"id":4,"name":"Milepost","value":"23.3336"},{"id":17,"name":"Train ID","value":"233-23"},{"id":16,"name":"Locomotive ID","value":"4026"},{"id":130,"name":"Impact","value":""},{"id":150,"name":"Time of Event (Mountain Time)","value":"22:37:17"},{"id":151,"name":"Denver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57"/>
        <v>start /low /b %USERPROFILE%\Documents\GitHub\eaglep3\Utilities\DownloadLogsFromS3.py --loco 4026 --day 2017-12-23</v>
      </c>
      <c r="AN146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59"/>
        <v>https://d0f6bd738d7f1b3e5a7ca70fe4ff75f0.us-east-1.aws.found.io/app/kibana#/discover/Steve-Slow-Train-Analysis-(2080s-and-2083s)?_g=(refreshInterval:(display:Off,pause:!f,section:0,value:0),time:(from:'2017-12-23T20:43:18-0700',mode:absolute,to:'2017-12-23T23:37:17-0700'))&amp;_a=(columns:!('Message%20ID',Summary),filters:!(),index:'emp_*',interval:auto,query:(query_string:(analyze_wildcard:!t,query:'%22rtdc.l.rtdc.4026%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688</v>
      </c>
      <c r="B147" s="225">
        <v>4025</v>
      </c>
      <c r="C147" s="227" t="s">
        <v>192</v>
      </c>
      <c r="D147" s="227" t="s">
        <v>913</v>
      </c>
      <c r="E147" s="226">
        <v>43092.944502314815</v>
      </c>
      <c r="F147" s="226">
        <v>43092.957291666666</v>
      </c>
      <c r="G147" s="225">
        <v>56</v>
      </c>
      <c r="H147" s="227" t="s">
        <v>639</v>
      </c>
      <c r="I147" s="226">
        <v>43092.985960648148</v>
      </c>
      <c r="J147" s="225">
        <v>0</v>
      </c>
      <c r="K147" s="237" t="str">
        <f t="shared" si="99"/>
        <v>4025/4026</v>
      </c>
      <c r="L147" s="245" t="str">
        <f>VLOOKUP(A147,'Trips&amp;Operators'!$C$1:$G$99911,5,FALSE)</f>
        <v>ELBAUM MIKE</v>
      </c>
      <c r="M147" s="224">
        <f t="shared" si="100"/>
        <v>2.8668981482042E-2</v>
      </c>
      <c r="N147" s="225">
        <f t="shared" si="90"/>
        <v>41.28333333414048</v>
      </c>
      <c r="O147" s="225"/>
      <c r="P147" s="225"/>
      <c r="Q147" s="228"/>
      <c r="R147" s="242"/>
      <c r="S147" s="249">
        <f t="shared" si="89"/>
        <v>1</v>
      </c>
      <c r="T147" s="242" t="str">
        <f t="shared" si="101"/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102"/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247" t="str">
        <f>IF(AA147&lt;VLOOKUP(AG147,Variables!$AC$3:$AD$8,2,FALSE),"Y","N")</f>
        <v>N</v>
      </c>
      <c r="X147" s="247">
        <f t="shared" ref="X147:X153" si="116">VALUE(LEFT(AD147,4))-VALUE(LEFT(AD146,4))</f>
        <v>1</v>
      </c>
      <c r="Y147" s="247">
        <f t="shared" si="114"/>
        <v>23.3</v>
      </c>
      <c r="Z147" s="247">
        <f t="shared" si="115"/>
        <v>2.4899999999999999E-2</v>
      </c>
      <c r="AA147" s="247">
        <f t="shared" si="103"/>
        <v>23.275100000000002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104"/>
        <v>234</v>
      </c>
      <c r="AE147" s="235" t="str">
        <f t="shared" si="105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147" s="234" t="str">
        <f t="shared" si="106"/>
        <v>"C:\Program Files (x86)\AstroGrep\AstroGrep.exe" /e /r /s /spath="%USERPROFILE%\AppData\Local\Temp\OnboardLogs" /stypes="app*4025*20171224*" /stext=" 06:.+((SYSTEM_STATE.+slice.+state.+changed )|(ment ac)|(multiple cpu faults)|(system.+state.+changed )|(\[timeout)|(PRM\|1\|D)|(kpr)|(kdp)|(train st.+moving)|(\|lc)|(penalty))"</v>
      </c>
      <c r="AG147" s="244" t="str">
        <f t="shared" si="107"/>
        <v>EC</v>
      </c>
      <c r="AH147" s="236" t="str">
        <f t="shared" si="55"/>
        <v>"%USERPROFILE%\Documents\GitHub\eaglep3\Utilities\RefineRTDCRunTimes.py" --tripid 234-23 --locoid 4025 --swversion DE.1.0.9.0 --startMP 204:233000 --initTime 2017-12-23T22:40:05 --startdatetime 2017-12-23T22:58:30 --delay 56 --endMP 204:249 --enddatetime 2017-12-23T23:39:47 --enforcementcount 0 &gt;&gt;%USERPROFILE%\Documents\GitHub\eaglep3-reporting\EC\2017-12-23-refined-times.txt</v>
      </c>
      <c r="AI147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{"issue":{"subject":"","project_id":79,"tracker_id":40,"status_id":1,"priority_id":2,"assigned_to_id":338,"start_date":"2017-12-23","description":"","custom_fields":[{"id":1,"name":"Subdivision","value":"EC"},{"id":4,"name":"Milepost","value":"0.0249"},{"id":17,"name":"Train ID","value":"234-23"},{"id":16,"name":"Locomotive ID","value":"4025"},{"id":130,"name":"Impact","value":""},{"id":150,"name":"Time of Event (Mountain Time)","value":"23:39:47"},{"id":151,"name":"Denver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57"/>
        <v>start /low /b %USERPROFILE%\Documents\GitHub\eaglep3\Utilities\DownloadLogsFromS3.py --loco 4025 --day 2017-12-23</v>
      </c>
      <c r="AN147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59"/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Message%20ID',Summary),filters:!(),index:'emp_*',interval:auto,query:(query_string:(analyze_wildcard:!t,query:'%22rtdc.l.rtdc.4025%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9" t="s">
        <v>870</v>
      </c>
      <c r="B148" s="225">
        <v>4036</v>
      </c>
      <c r="C148" s="227" t="s">
        <v>192</v>
      </c>
      <c r="D148" s="227" t="s">
        <v>1035</v>
      </c>
      <c r="E148" s="226">
        <v>43092.931828703702</v>
      </c>
      <c r="F148" s="226">
        <v>43092.937696759262</v>
      </c>
      <c r="G148" s="225">
        <v>104</v>
      </c>
      <c r="H148" s="227" t="s">
        <v>565</v>
      </c>
      <c r="I148" s="226">
        <v>43092.964490740742</v>
      </c>
      <c r="J148" s="225">
        <v>0</v>
      </c>
      <c r="K148" s="237" t="str">
        <f t="shared" si="99"/>
        <v>4035/4036</v>
      </c>
      <c r="L148" s="245" t="str">
        <f>VLOOKUP(A148,'Trips&amp;Operators'!$C$1:$G$99911,5,FALSE)</f>
        <v>NICHOLSON WESLEY</v>
      </c>
      <c r="M148" s="224">
        <f t="shared" si="100"/>
        <v>2.679398148029577E-2</v>
      </c>
      <c r="N148" s="225">
        <f t="shared" si="90"/>
        <v>38.583333331625909</v>
      </c>
      <c r="O148" s="225"/>
      <c r="P148" s="225"/>
      <c r="Q148" s="228"/>
      <c r="R148" s="242"/>
      <c r="S148" s="249">
        <f t="shared" si="89"/>
        <v>1</v>
      </c>
      <c r="T148" s="242" t="str">
        <f t="shared" si="101"/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102"/>
        <v>https://d0f6bd738d7f1b3e5a7ca70fe4ff75f0.us-east-1.aws.found.io/app/kibana#/discover/Steve-Slow-Train-Analysis-(2080s-and-2083s)?_g=(refreshInterval:(display:Off,pause:!f,section:0,value:0),time:(from:'2017-12-23T21:21:50-0700',mode:absolute,to:'2017-12-24T00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8" s="247" t="str">
        <f>IF(AA148&lt;VLOOKUP(AG148,Variables!$AC$3:$AD$8,2,FALSE),"Y","N")</f>
        <v>N</v>
      </c>
      <c r="X148" s="247">
        <f t="shared" si="116"/>
        <v>1</v>
      </c>
      <c r="Y148" s="247">
        <f t="shared" si="114"/>
        <v>5.2900000000000003E-2</v>
      </c>
      <c r="Z148" s="247">
        <f t="shared" si="115"/>
        <v>23.3278</v>
      </c>
      <c r="AA148" s="247">
        <f t="shared" si="103"/>
        <v>23.274899999999999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104"/>
        <v>235</v>
      </c>
      <c r="AE148" s="235" t="str">
        <f t="shared" si="105"/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AF148" s="234" t="str">
        <f t="shared" si="106"/>
        <v>"C:\Program Files (x86)\AstroGrep\AstroGrep.exe" /e /r /s /spath="%USERPROFILE%\AppData\Local\Temp\OnboardLogs" /stypes="app*4036*20171224*" /stext=" 06:.+((SYSTEM_STATE.+slice.+state.+changed )|(ment ac)|(multiple cpu faults)|(system.+state.+changed )|(\[timeout)|(PRM\|1\|D)|(kpr)|(kdp)|(train st.+moving)|(\|lc)|(penalty))"</v>
      </c>
      <c r="AG148" s="244" t="str">
        <f t="shared" si="107"/>
        <v>EC</v>
      </c>
      <c r="AH148" s="236" t="str">
        <f t="shared" si="55"/>
        <v>"%USERPROFILE%\Documents\GitHub\eaglep3\Utilities\RefineRTDCRunTimes.py" --tripid 235-23 --locoid 4036 --swversion DE.1.0.9.0 --startMP 204:529 --initTime 2017-12-23T22:21:50 --startdatetime 2017-12-23T22:30:17 --delay 104 --endMP 204:233278 --enddatetime 2017-12-23T23:08:52 --enforcementcount 0 &gt;&gt;%USERPROFILE%\Documents\GitHub\eaglep3-reporting\EC\2017-12-23-refined-times.txt</v>
      </c>
      <c r="AI148" s="238" t="str">
        <f t="shared" si="56"/>
        <v>echo {"issue":{"subject":"","project_id":79,"tracker_id":40,"status_id":1,"priority_id":2,"assigned_to_id":338,"start_date":"2017-12-23","description":"","custom_fields":[{"id":1,"name":"Subdivision","value":"EC"},{"id":4,"name":"Milepost","value":"23.3278"},{"id":17,"name":"Train ID","value":"235-23"},{"id":16,"name":"Locomotive ID","value":"4036"},{"id":130,"name":"Impact","value":""},{"id":150,"name":"Time of Event (Mountain Time)","value":"23:08:52"},{"id":151,"name":"Denver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57"/>
        <v>start /low /b %USERPROFILE%\Documents\GitHub\eaglep3\Utilities\DownloadLogsFromS3.py --loco 4036 --day 2017-12-23</v>
      </c>
      <c r="AN148" s="241" t="str">
        <f t="shared" si="5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59"/>
        <v>https://d0f6bd738d7f1b3e5a7ca70fe4ff75f0.us-east-1.aws.found.io/app/kibana#/discover/Steve-Slow-Train-Analysis-(2080s-and-2083s)?_g=(refreshInterval:(display:Off,pause:!f,section:0,value:0),time:(from:'2017-12-23T21:21:50-0700',mode:absolute,to:'2017-12-24T00:08:52-0700'))&amp;_a=(columns:!('Message%20ID',Summary),filters:!(),index:'emp_*',interval:auto,query:(query_string:(analyze_wildcard:!t,query:'%22rtdc.l.rtdc.4036%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9" t="s">
        <v>874</v>
      </c>
      <c r="B149" s="225">
        <v>4035</v>
      </c>
      <c r="C149" s="227" t="s">
        <v>192</v>
      </c>
      <c r="D149" s="227" t="s">
        <v>607</v>
      </c>
      <c r="E149" s="226">
        <v>43092.974814814814</v>
      </c>
      <c r="F149" s="226">
        <v>43092.977384259262</v>
      </c>
      <c r="G149" s="225">
        <v>60</v>
      </c>
      <c r="H149" s="227" t="s">
        <v>560</v>
      </c>
      <c r="I149" s="226">
        <v>43093.007025462961</v>
      </c>
      <c r="J149" s="225">
        <v>0</v>
      </c>
      <c r="K149" s="237" t="str">
        <f t="shared" si="99"/>
        <v>4035/4036</v>
      </c>
      <c r="L149" s="245" t="str">
        <f>VLOOKUP(A149,'Trips&amp;Operators'!$C$1:$G$99911,5,FALSE)</f>
        <v>NICHOLSON WESLEY</v>
      </c>
      <c r="M149" s="224">
        <f t="shared" si="100"/>
        <v>2.9641203698702157E-2</v>
      </c>
      <c r="N149" s="225">
        <f t="shared" si="90"/>
        <v>42.683333326131105</v>
      </c>
      <c r="O149" s="225"/>
      <c r="P149" s="225"/>
      <c r="Q149" s="228"/>
      <c r="R149" s="242"/>
      <c r="S149" s="249">
        <f t="shared" si="89"/>
        <v>1</v>
      </c>
      <c r="T149" s="242" t="str">
        <f t="shared" si="101"/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102"/>
        <v>https://d0f6bd738d7f1b3e5a7ca70fe4ff75f0.us-east-1.aws.found.io/app/kibana#/discover/Steve-Slow-Train-Analysis-(2080s-and-2083s)?_g=(refreshInterval:(display:Off,pause:!f,section:0,value:0),time:(from:'2017-12-23T22:23:44-0700',mode:absolute,to:'2017-12-24T01:10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9" s="247" t="str">
        <f>IF(AA149&lt;VLOOKUP(AG149,Variables!$AC$3:$AD$8,2,FALSE),"Y","N")</f>
        <v>N</v>
      </c>
      <c r="X149" s="247">
        <f t="shared" si="116"/>
        <v>1</v>
      </c>
      <c r="Y149" s="247">
        <f t="shared" si="114"/>
        <v>23.2974</v>
      </c>
      <c r="Z149" s="247">
        <f t="shared" si="115"/>
        <v>2.4199999999999999E-2</v>
      </c>
      <c r="AA149" s="247">
        <f t="shared" si="103"/>
        <v>23.273199999999999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104"/>
        <v>236</v>
      </c>
      <c r="AE149" s="235" t="str">
        <f t="shared" si="105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149" s="234" t="str">
        <f t="shared" si="106"/>
        <v>"C:\Program Files (x86)\AstroGrep\AstroGrep.exe" /e /r /s /spath="%USERPROFILE%\AppData\Local\Temp\OnboardLogs" /stypes="app*4035*20171224*" /stext=" 07:.+((SYSTEM_STATE.+slice.+state.+changed )|(ment ac)|(multiple cpu faults)|(system.+state.+changed )|(\[timeout)|(PRM\|1\|D)|(kpr)|(kdp)|(train st.+moving)|(\|lc)|(penalty))"</v>
      </c>
      <c r="AG149" s="244" t="str">
        <f t="shared" si="107"/>
        <v>EC</v>
      </c>
      <c r="AH149" s="236" t="str">
        <f t="shared" ref="AH149:AH219" si="117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236-23 --locoid 4035 --swversion DE.1.0.9.0 --startMP 204:232974 --initTime 2017-12-23T23:23:44 --startdatetime 2017-12-23T23:27:26 --delay 60 --endMP 204:242 --enddatetime 2017-12-24T00:10:07 --enforcementcount 0 &gt;&gt;%USERPROFILE%\Documents\GitHub\eaglep3-reporting\EC\2017-12-23-refined-times.txt</v>
      </c>
      <c r="AI149" s="238" t="str">
        <f t="shared" ref="AI149:AI219" si="118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{"issue":{"subject":"","project_id":79,"tracker_id":40,"status_id":1,"priority_id":2,"assigned_to_id":338,"start_date":"2017-12-24","description":"","custom_fields":[{"id":1,"name":"Subdivision","value":"EC"},{"id":4,"name":"Milepost","value":"0.0242"},{"id":17,"name":"Train ID","value":"236-23"},{"id":16,"name":"Locomotive ID","value":"4035"},{"id":130,"name":"Impact","value":""},{"id":150,"name":"Time of Event (Mountain Time)","value":"00:10:07"},{"id":151,"name":"Denver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ref="AM149:AM219" si="119">"start /low /b "&amp;dls3logs&amp;" --loco "&amp;B149&amp;" --day "&amp;TEXT(F149,"YYYY-MM-DD")</f>
        <v>start /low /b %USERPROFILE%\Documents\GitHub\eaglep3\Utilities\DownloadLogsFromS3.py --loco 4035 --day 2017-12-23</v>
      </c>
      <c r="AN149" s="241" t="str">
        <f t="shared" ref="AN149:AN219" si="120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:AO219" si="121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-23T22:23:44-0700',mode:absolute,to:'2017-12-24T01:10:07-0700'))&amp;_a=(columns:!('Message%20ID',Summary),filters:!(),index:'emp_*',interval:auto,query:(query_string:(analyze_wildcard:!t,query:'%22rtdc.l.rtdc.4035%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29" t="s">
        <v>871</v>
      </c>
      <c r="B150" s="225">
        <v>4002</v>
      </c>
      <c r="C150" s="227" t="s">
        <v>192</v>
      </c>
      <c r="D150" s="227" t="s">
        <v>537</v>
      </c>
      <c r="E150" s="226">
        <v>43092.955763888887</v>
      </c>
      <c r="F150" s="226">
        <v>43092.95888888889</v>
      </c>
      <c r="G150" s="225">
        <v>59</v>
      </c>
      <c r="H150" s="227" t="s">
        <v>1036</v>
      </c>
      <c r="I150" s="226">
        <v>43092.984409722223</v>
      </c>
      <c r="J150" s="225">
        <v>0</v>
      </c>
      <c r="K150" s="237" t="str">
        <f t="shared" si="99"/>
        <v>4001/4002</v>
      </c>
      <c r="L150" s="245" t="str">
        <f>VLOOKUP(A150,'Trips&amp;Operators'!$C$1:$G$99911,5,FALSE)</f>
        <v>AUSTIN THOMPSON</v>
      </c>
      <c r="M150" s="224">
        <f t="shared" si="100"/>
        <v>2.5520833332848269E-2</v>
      </c>
      <c r="N150" s="225">
        <f t="shared" si="90"/>
        <v>36.749999999301508</v>
      </c>
      <c r="O150" s="225"/>
      <c r="P150" s="225"/>
      <c r="Q150" s="228"/>
      <c r="R150" s="242"/>
      <c r="S150" s="249">
        <f t="shared" si="89"/>
        <v>1</v>
      </c>
      <c r="T150" s="242" t="str">
        <f t="shared" si="101"/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102"/>
        <v>https://d0f6bd738d7f1b3e5a7ca70fe4ff75f0.us-east-1.aws.found.io/app/kibana#/discover/Steve-Slow-Train-Analysis-(2080s-and-2083s)?_g=(refreshInterval:(display:Off,pause:!f,section:0,value:0),time:(from:'2017-12-23T21:56:18-0700',mode:absolute,to:'2017-12-24T00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247" t="str">
        <f>IF(AA150&lt;VLOOKUP(AG150,Variables!$AC$3:$AD$8,2,FALSE),"Y","N")</f>
        <v>N</v>
      </c>
      <c r="X150" s="247">
        <f t="shared" si="116"/>
        <v>1</v>
      </c>
      <c r="Y150" s="247">
        <f t="shared" si="114"/>
        <v>5.6399999999999999E-2</v>
      </c>
      <c r="Z150" s="247">
        <f t="shared" si="115"/>
        <v>23.3216</v>
      </c>
      <c r="AA150" s="247">
        <f t="shared" si="103"/>
        <v>23.2652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104"/>
        <v>237</v>
      </c>
      <c r="AE150" s="235" t="str">
        <f t="shared" si="105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150" s="234" t="str">
        <f t="shared" si="106"/>
        <v>"C:\Program Files (x86)\AstroGrep\AstroGrep.exe" /e /r /s /spath="%USERPROFILE%\AppData\Local\Temp\OnboardLogs" /stypes="app*4002*20171224*" /stext=" 06:.+((SYSTEM_STATE.+slice.+state.+changed )|(ment ac)|(multiple cpu faults)|(system.+state.+changed )|(\[timeout)|(PRM\|1\|D)|(kpr)|(kdp)|(train st.+moving)|(\|lc)|(penalty))"</v>
      </c>
      <c r="AG150" s="244" t="str">
        <f t="shared" si="107"/>
        <v>EC</v>
      </c>
      <c r="AH150" s="236" t="str">
        <f t="shared" si="117"/>
        <v>"%USERPROFILE%\Documents\GitHub\eaglep3\Utilities\RefineRTDCRunTimes.py" --tripid 237-23 --locoid 4002 --swversion DE.1.0.9.0 --startMP 204:564 --initTime 2017-12-23T22:56:18 --startdatetime 2017-12-23T23:00:48 --delay 59 --endMP 204:233216 --enddatetime 2017-12-23T23:37:33 --enforcementcount 0 &gt;&gt;%USERPROFILE%\Documents\GitHub\eaglep3-reporting\EC\2017-12-23-refined-times.txt</v>
      </c>
      <c r="AI150" s="238" t="str">
        <f t="shared" si="118"/>
        <v>echo {"issue":{"subject":"","project_id":79,"tracker_id":40,"status_id":1,"priority_id":2,"assigned_to_id":338,"start_date":"2017-12-23","description":"","custom_fields":[{"id":1,"name":"Subdivision","value":"EC"},{"id":4,"name":"Milepost","value":"23.3216"},{"id":17,"name":"Train ID","value":"237-23"},{"id":16,"name":"Locomotive ID","value":"4002"},{"id":130,"name":"Impact","value":""},{"id":150,"name":"Time of Event (Mountain Time)","value":"23:37:33"},{"id":151,"name":"Denver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119"/>
        <v>start /low /b %USERPROFILE%\Documents\GitHub\eaglep3\Utilities\DownloadLogsFromS3.py --loco 4002 --day 2017-12-23</v>
      </c>
      <c r="AN15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121"/>
        <v>https://d0f6bd738d7f1b3e5a7ca70fe4ff75f0.us-east-1.aws.found.io/app/kibana#/discover/Steve-Slow-Train-Analysis-(2080s-and-2083s)?_g=(refreshInterval:(display:Off,pause:!f,section:0,value:0),time:(from:'2017-12-23T21:56:18-0700',mode:absolute,to:'2017-12-24T00:37:33-0700'))&amp;_a=(columns:!('Message%20ID',Summary),filters:!(),index:'emp_*',interval:auto,query:(query_string:(analyze_wildcard:!t,query:'%22rtdc.l.rtdc.4002%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29" t="s">
        <v>877</v>
      </c>
      <c r="B151" s="225">
        <v>4001</v>
      </c>
      <c r="C151" s="227" t="s">
        <v>192</v>
      </c>
      <c r="D151" s="227" t="s">
        <v>557</v>
      </c>
      <c r="E151" s="226">
        <v>43092.995648148149</v>
      </c>
      <c r="F151" s="226">
        <v>43092.998437499999</v>
      </c>
      <c r="G151" s="225">
        <v>55</v>
      </c>
      <c r="H151" s="227" t="s">
        <v>1037</v>
      </c>
      <c r="I151" s="226">
        <v>43093.025706018518</v>
      </c>
      <c r="J151" s="225">
        <v>0</v>
      </c>
      <c r="K151" s="237" t="str">
        <f t="shared" si="99"/>
        <v>4001/4002</v>
      </c>
      <c r="L151" s="245" t="str">
        <f>VLOOKUP(A151,'Trips&amp;Operators'!$C$1:$G$99911,5,FALSE)</f>
        <v>AUSTIN THOMPSON</v>
      </c>
      <c r="M151" s="224">
        <f t="shared" si="100"/>
        <v>2.7268518519122154E-2</v>
      </c>
      <c r="N151" s="225">
        <f t="shared" si="90"/>
        <v>39.266666667535901</v>
      </c>
      <c r="O151" s="225"/>
      <c r="P151" s="225"/>
      <c r="Q151" s="228"/>
      <c r="R151" s="242"/>
      <c r="S151" s="249">
        <f t="shared" si="89"/>
        <v>1</v>
      </c>
      <c r="T151" s="242" t="str">
        <f t="shared" si="101"/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102"/>
        <v>https://d0f6bd738d7f1b3e5a7ca70fe4ff75f0.us-east-1.aws.found.io/app/kibana#/discover/Steve-Slow-Train-Analysis-(2080s-and-2083s)?_g=(refreshInterval:(display:Off,pause:!f,section:0,value:0),time:(from:'2017-12-23T22:53:44-0700',mode:absolute,to:'2017-12-24T01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247" t="str">
        <f>IF(AA151&lt;VLOOKUP(AG151,Variables!$AC$3:$AD$8,2,FALSE),"Y","N")</f>
        <v>N</v>
      </c>
      <c r="X151" s="247">
        <f t="shared" si="116"/>
        <v>1</v>
      </c>
      <c r="Y151" s="247">
        <f t="shared" si="114"/>
        <v>23.292100000000001</v>
      </c>
      <c r="Z151" s="247">
        <f t="shared" si="115"/>
        <v>2.7799999999999998E-2</v>
      </c>
      <c r="AA151" s="247">
        <f t="shared" si="103"/>
        <v>23.264300000000002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104"/>
        <v>238</v>
      </c>
      <c r="AE151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51" s="234" t="str">
        <f t="shared" si="106"/>
        <v>"C:\Program Files (x86)\AstroGrep\AstroGrep.exe" /e /r /s /spath="%USERPROFILE%\AppData\Local\Temp\OnboardLogs" /stypes="app*4001*20171224*" /stext=" 07:.+((SYSTEM_STATE.+slice.+state.+changed )|(ment ac)|(multiple cpu faults)|(system.+state.+changed )|(\[timeout)|(PRM\|1\|D)|(kpr)|(kdp)|(train st.+moving)|(\|lc)|(penalty))"</v>
      </c>
      <c r="AG151" s="244" t="str">
        <f t="shared" si="107"/>
        <v>EC</v>
      </c>
      <c r="AH151" s="236" t="str">
        <f t="shared" si="117"/>
        <v>"%USERPROFILE%\Documents\GitHub\eaglep3\Utilities\RefineRTDCRunTimes.py" --tripid 238-23 --locoid 4001 --swversion DE.1.0.9.0 --startMP 204:232921 --initTime 2017-12-23T23:53:44 --startdatetime 2017-12-23T23:57:45 --delay 55 --endMP 204:278 --enddatetime 2017-12-24T00:37:01 --enforcementcount 0 &gt;&gt;%USERPROFILE%\Documents\GitHub\eaglep3-reporting\EC\2017-12-23-refined-times.txt</v>
      </c>
      <c r="AI151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{"issue":{"subject":"","project_id":79,"tracker_id":40,"status_id":1,"priority_id":2,"assigned_to_id":338,"start_date":"2017-12-24","description":"","custom_fields":[{"id":1,"name":"Subdivision","value":"EC"},{"id":4,"name":"Milepost","value":"0.0278"},{"id":17,"name":"Train ID","value":"238-23"},{"id":16,"name":"Locomotive ID","value":"4001"},{"id":130,"name":"Impact","value":""},{"id":150,"name":"Time of Event (Mountain Time)","value":"00:37:01"},{"id":151,"name":"Denver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119"/>
        <v>start /low /b %USERPROFILE%\Documents\GitHub\eaglep3\Utilities\DownloadLogsFromS3.py --loco 4001 --day 2017-12-23</v>
      </c>
      <c r="AN151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121"/>
        <v>https://d0f6bd738d7f1b3e5a7ca70fe4ff75f0.us-east-1.aws.found.io/app/kibana#/discover/Steve-Slow-Train-Analysis-(2080s-and-2083s)?_g=(refreshInterval:(display:Off,pause:!f,section:0,value:0),time:(from:'2017-12-23T22:53:44-0700',mode:absolute,to:'2017-12-24T01:37:01-0700'))&amp;_a=(columns:!('Message%20ID',Summary),filters:!(),index:'emp_*',interval:auto,query:(query_string:(analyze_wildcard:!t,query:'%22rtdc.l.rtdc.4001%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25">
      <c r="A152" s="229" t="s">
        <v>873</v>
      </c>
      <c r="B152" s="225">
        <v>4046</v>
      </c>
      <c r="C152" s="227" t="s">
        <v>192</v>
      </c>
      <c r="D152" s="227" t="s">
        <v>613</v>
      </c>
      <c r="E152" s="226">
        <v>43092.97079861111</v>
      </c>
      <c r="F152" s="226">
        <v>43092.979328703703</v>
      </c>
      <c r="G152" s="225">
        <v>67</v>
      </c>
      <c r="H152" s="227" t="s">
        <v>1019</v>
      </c>
      <c r="I152" s="226">
        <v>43093.005844907406</v>
      </c>
      <c r="J152" s="225">
        <v>0</v>
      </c>
      <c r="K152" s="237" t="str">
        <f t="shared" si="99"/>
        <v>4045/4046</v>
      </c>
      <c r="L152" s="245" t="str">
        <f>VLOOKUP(A152,'Trips&amp;Operators'!$C$1:$G$99911,5,FALSE)</f>
        <v>FORTUNATO FRANK</v>
      </c>
      <c r="M152" s="224">
        <f t="shared" si="100"/>
        <v>2.6516203703067731E-2</v>
      </c>
      <c r="N152" s="225">
        <f t="shared" si="90"/>
        <v>38.183333332417533</v>
      </c>
      <c r="O152" s="225"/>
      <c r="P152" s="225"/>
      <c r="Q152" s="228"/>
      <c r="R152" s="242"/>
      <c r="S152" s="249">
        <f t="shared" si="89"/>
        <v>1</v>
      </c>
      <c r="T152" s="242" t="str">
        <f t="shared" si="101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102"/>
        <v>https://d0f6bd738d7f1b3e5a7ca70fe4ff75f0.us-east-1.aws.found.io/app/kibana#/discover/Steve-Slow-Train-Analysis-(2080s-and-2083s)?_g=(refreshInterval:(display:Off,pause:!f,section:0,value:0),time:(from:'2017-12-23T22:17:57-0700',mode:absolute,to:'2017-12-24T01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247" t="str">
        <f>IF(AA152&lt;VLOOKUP(AG152,Variables!$AC$3:$AD$8,2,FALSE),"Y","N")</f>
        <v>N</v>
      </c>
      <c r="X152" s="247">
        <f t="shared" si="116"/>
        <v>1</v>
      </c>
      <c r="Y152" s="247">
        <f t="shared" si="114"/>
        <v>4.9099999999999998E-2</v>
      </c>
      <c r="Z152" s="247">
        <f t="shared" si="115"/>
        <v>23.319299999999998</v>
      </c>
      <c r="AA152" s="247">
        <f t="shared" si="103"/>
        <v>23.270199999999999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104"/>
        <v>239</v>
      </c>
      <c r="AE152" s="235" t="str">
        <f t="shared" si="105"/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AF152" s="234" t="str">
        <f t="shared" si="106"/>
        <v>"C:\Program Files (x86)\AstroGrep\AstroGrep.exe" /e /r /s /spath="%USERPROFILE%\AppData\Local\Temp\OnboardLogs" /stypes="app*4046*20171224*" /stext=" 07:.+((SYSTEM_STATE.+slice.+state.+changed )|(ment ac)|(multiple cpu faults)|(system.+state.+changed )|(\[timeout)|(PRM\|1\|D)|(kpr)|(kdp)|(train st.+moving)|(\|lc)|(penalty))"</v>
      </c>
      <c r="AG152" s="244" t="str">
        <f t="shared" si="107"/>
        <v>EC</v>
      </c>
      <c r="AH152" s="236" t="str">
        <f t="shared" si="117"/>
        <v>"%USERPROFILE%\Documents\GitHub\eaglep3\Utilities\RefineRTDCRunTimes.py" --tripid 239-23 --locoid 4046 --swversion DE.1.0.9.0 --startMP 204:491 --initTime 2017-12-23T23:17:57 --startdatetime 2017-12-23T23:30:14 --delay 67 --endMP 204:233193 --enddatetime 2017-12-24T00:08:25 --enforcementcount 0 &gt;&gt;%USERPROFILE%\Documents\GitHub\eaglep3-reporting\EC\2017-12-23-refined-times.txt</v>
      </c>
      <c r="AI152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{"issue":{"subject":"","project_id":79,"tracker_id":40,"status_id":1,"priority_id":2,"assigned_to_id":338,"start_date":"2017-12-24","description":"","custom_fields":[{"id":1,"name":"Subdivision","value":"EC"},{"id":4,"name":"Milepost","value":"23.3193"},{"id":17,"name":"Train ID","value":"239-23"},{"id":16,"name":"Locomotive ID","value":"4046"},{"id":130,"name":"Impact","value":""},{"id":150,"name":"Time of Event (Mountain Time)","value":"00:08:25"},{"id":151,"name":"Denver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119"/>
        <v>start /low /b %USERPROFILE%\Documents\GitHub\eaglep3\Utilities\DownloadLogsFromS3.py --loco 4046 --day 2017-12-23</v>
      </c>
      <c r="AN15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121"/>
        <v>https://d0f6bd738d7f1b3e5a7ca70fe4ff75f0.us-east-1.aws.found.io/app/kibana#/discover/Steve-Slow-Train-Analysis-(2080s-and-2083s)?_g=(refreshInterval:(display:Off,pause:!f,section:0,value:0),time:(from:'2017-12-23T22:17:57-0700',mode:absolute,to:'2017-12-24T01:08:25-0700'))&amp;_a=(columns:!('Message%20ID',Summary),filters:!(),index:'emp_*',interval:auto,query:(query_string:(analyze_wildcard:!t,query:'%22rtdc.l.rtdc.4046%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879</v>
      </c>
      <c r="B153" s="225">
        <v>4045</v>
      </c>
      <c r="C153" s="227" t="s">
        <v>192</v>
      </c>
      <c r="D153" s="227" t="s">
        <v>613</v>
      </c>
      <c r="E153" s="226">
        <v>43092.97079861111</v>
      </c>
      <c r="F153" s="226">
        <v>43093.018888888888</v>
      </c>
      <c r="G153" s="225">
        <v>67</v>
      </c>
      <c r="H153" s="227" t="s">
        <v>1019</v>
      </c>
      <c r="I153" s="226">
        <v>43093.050023148149</v>
      </c>
      <c r="J153" s="225">
        <v>0</v>
      </c>
      <c r="K153" s="237" t="str">
        <f t="shared" si="99"/>
        <v>4045/4046</v>
      </c>
      <c r="L153" s="245" t="str">
        <f>VLOOKUP(A153,'Trips&amp;Operators'!$C$1:$G$99911,5,FALSE)</f>
        <v>FORTUNATO FRANK</v>
      </c>
      <c r="M153" s="224">
        <f t="shared" si="100"/>
        <v>3.1134259261307307E-2</v>
      </c>
      <c r="N153" s="225">
        <f t="shared" si="90"/>
        <v>44.833333336282521</v>
      </c>
      <c r="O153" s="225"/>
      <c r="P153" s="225"/>
      <c r="Q153" s="228"/>
      <c r="R153" s="242"/>
      <c r="S153" s="249">
        <f t="shared" si="89"/>
        <v>1</v>
      </c>
      <c r="T153" s="242" t="str">
        <f t="shared" si="101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102"/>
        <v>https://d0f6bd738d7f1b3e5a7ca70fe4ff75f0.us-east-1.aws.found.io/app/kibana#/discover/Steve-Slow-Train-Analysis-(2080s-and-2083s)?_g=(refreshInterval:(display:Off,pause:!f,section:0,value:0),time:(from:'2017-12-23T22:17:57-0700',mode:absolute,to:'2017-12-24T02:12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247" t="str">
        <f>IF(AA153&lt;VLOOKUP(AG153,Variables!$AC$3:$AD$8,2,FALSE),"Y","N")</f>
        <v>N</v>
      </c>
      <c r="X153" s="247">
        <f t="shared" si="116"/>
        <v>1</v>
      </c>
      <c r="Y153" s="247">
        <v>23.271699999999999</v>
      </c>
      <c r="Z153" s="247">
        <v>2.12E-2</v>
      </c>
      <c r="AA153" s="247">
        <f t="shared" si="103"/>
        <v>23.250499999999999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104"/>
        <v>240</v>
      </c>
      <c r="AE153" s="235" t="str">
        <f t="shared" si="105"/>
        <v>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 &amp; 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</v>
      </c>
      <c r="AF153" s="234" t="str">
        <f t="shared" si="106"/>
        <v>"C:\Program Files (x86)\AstroGrep\AstroGrep.exe" /e /r /s /spath="%USERPROFILE%\AppData\Local\Temp\OnboardLogs" /stypes="app*4045*20171224*" /stext=" 08:.+((SYSTEM_STATE.+slice.+state.+changed )|(ment ac)|(multiple cpu faults)|(system.+state.+changed )|(\[timeout)|(PRM\|1\|D)|(kpr)|(kdp)|(train st.+moving)|(\|lc)|(penalty))"</v>
      </c>
      <c r="AG153" s="244" t="str">
        <f t="shared" si="107"/>
        <v>EC</v>
      </c>
      <c r="AH153" s="236" t="str">
        <f t="shared" ref="AH153" si="12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240-23 --locoid 4045 --swversion DE.1.0.9.0 --startMP 204:491 --initTime 2017-12-23T23:17:57 --startdatetime 2017-12-24T00:27:12 --delay 67 --endMP 204:233193 --enddatetime 2017-12-24T01:12:02 --enforcementcount 0 &gt;&gt;%USERPROFILE%\Documents\GitHub\eaglep3-reporting\EC\2017-12-23-refined-times.txt</v>
      </c>
      <c r="AI153" s="238" t="str">
        <f t="shared" ref="AI153" si="12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{"issue":{"subject":"","project_id":79,"tracker_id":40,"status_id":1,"priority_id":2,"assigned_to_id":338,"start_date":"2017-12-24","description":"","custom_fields":[{"id":1,"name":"Subdivision","value":"EC"},{"id":4,"name":"Milepost","value":"0.0212"},{"id":17,"name":"Train ID","value":"240-23"},{"id":16,"name":"Locomotive ID","value":"4045"},{"id":130,"name":"Impact","value":""},{"id":150,"name":"Time of Event (Mountain Time)","value":"01:12:02"},{"id":151,"name":"Denver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ref="AM153" si="124">"start /low /b "&amp;dls3logs&amp;" --loco "&amp;B153&amp;" --day "&amp;TEXT(F153,"YYYY-MM-DD")</f>
        <v>start /low /b %USERPROFILE%\Documents\GitHub\eaglep3\Utilities\DownloadLogsFromS3.py --loco 4045 --day 2017-12-24</v>
      </c>
      <c r="AN153" s="241" t="str">
        <f t="shared" ref="AN153" si="125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ref="AO153" si="126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-23T22:17:57-0700',mode:absolute,to:'2017-12-24T02:12:02-0700'))&amp;_a=(columns:!('Message%20ID',Summary),filters:!(),index:'emp_*',interval:auto,query:(query_string:(analyze_wildcard:!t,query:'%22rtdc.l.rtdc.4045%22')),sort:!(Time.ISO8601,asc))</v>
      </c>
    </row>
    <row r="154" spans="1:91" s="223" customFormat="1" x14ac:dyDescent="0.25">
      <c r="A154" s="229" t="s">
        <v>876</v>
      </c>
      <c r="B154" s="225">
        <v>4026</v>
      </c>
      <c r="C154" s="227" t="s">
        <v>192</v>
      </c>
      <c r="D154" s="227" t="s">
        <v>1038</v>
      </c>
      <c r="E154" s="226">
        <v>43092.990752314814</v>
      </c>
      <c r="F154" s="226">
        <v>43093.000451388885</v>
      </c>
      <c r="G154" s="225">
        <v>97</v>
      </c>
      <c r="H154" s="227" t="s">
        <v>1039</v>
      </c>
      <c r="I154" s="226">
        <v>43093.024895833332</v>
      </c>
      <c r="J154" s="225">
        <v>0</v>
      </c>
      <c r="K154" s="237" t="str">
        <f t="shared" si="99"/>
        <v>4025/4026</v>
      </c>
      <c r="L154" s="245" t="str">
        <f>VLOOKUP(A154,'Trips&amp;Operators'!$C$1:$G$99911,5,FALSE)</f>
        <v>ELBAUM MIKE</v>
      </c>
      <c r="M154" s="224">
        <f t="shared" si="100"/>
        <v>2.4444444446999114E-2</v>
      </c>
      <c r="N154" s="225">
        <f t="shared" si="90"/>
        <v>35.200000003678724</v>
      </c>
      <c r="O154" s="225"/>
      <c r="P154" s="225"/>
      <c r="Q154" s="228"/>
      <c r="R154" s="242"/>
      <c r="S154" s="249">
        <f t="shared" si="89"/>
        <v>1</v>
      </c>
      <c r="T154" s="242" t="str">
        <f t="shared" si="101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102"/>
        <v>https://d0f6bd738d7f1b3e5a7ca70fe4ff75f0.us-east-1.aws.found.io/app/kibana#/discover/Steve-Slow-Train-Analysis-(2080s-and-2083s)?_g=(refreshInterval:(display:Off,pause:!f,section:0,value:0),time:(from:'2017-12-23T22:46:41-0700',mode:absolute,to:'2017-12-24T01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247" t="str">
        <f>IF(AA154&lt;VLOOKUP(AG154,Variables!$AC$3:$AD$8,2,FALSE),"Y","N")</f>
        <v>N</v>
      </c>
      <c r="X154" s="247">
        <f t="shared" ref="X154:X155" si="127">VALUE(LEFT(AD154,4))-VALUE(LEFT(AD153,4))</f>
        <v>1</v>
      </c>
      <c r="Y154" s="247">
        <f>RIGHT(D154,LEN(D154)-4)/10000</f>
        <v>5.57E-2</v>
      </c>
      <c r="Z154" s="247">
        <f>RIGHT(H154,LEN(H154)-4)/10000</f>
        <v>23.333200000000001</v>
      </c>
      <c r="AA154" s="247">
        <f t="shared" si="103"/>
        <v>23.2775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104"/>
        <v>241</v>
      </c>
      <c r="AE154" s="235" t="str">
        <f t="shared" si="105"/>
        <v>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 &amp; 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</v>
      </c>
      <c r="AF154" s="234" t="str">
        <f t="shared" si="106"/>
        <v>"C:\Program Files (x86)\AstroGrep\AstroGrep.exe" /e /r /s /spath="%USERPROFILE%\AppData\Local\Temp\OnboardLogs" /stypes="app*4026*20171224*" /stext=" 07:.+((SYSTEM_STATE.+slice.+state.+changed )|(ment ac)|(multiple cpu faults)|(system.+state.+changed )|(\[timeout)|(PRM\|1\|D)|(kpr)|(kdp)|(train st.+moving)|(\|lc)|(penalty))"</v>
      </c>
      <c r="AG154" s="244" t="str">
        <f t="shared" si="107"/>
        <v>EC</v>
      </c>
      <c r="AH154" s="236" t="str">
        <f t="shared" si="117"/>
        <v>"%USERPROFILE%\Documents\GitHub\eaglep3\Utilities\RefineRTDCRunTimes.py" --tripid 241-23 --locoid 4026 --swversion DE.1.0.9.0 --startMP 204:557 --initTime 2017-12-23T23:46:41 --startdatetime 2017-12-24T00:00:39 --delay 97 --endMP 204:233332 --enddatetime 2017-12-24T00:35:51 --enforcementcount 0 &gt;&gt;%USERPROFILE%\Documents\GitHub\eaglep3-reporting\EC\2017-12-23-refined-times.txt</v>
      </c>
      <c r="AI154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{"issue":{"subject":"","project_id":79,"tracker_id":40,"status_id":1,"priority_id":2,"assigned_to_id":338,"start_date":"2017-12-24","description":"","custom_fields":[{"id":1,"name":"Subdivision","value":"EC"},{"id":4,"name":"Milepost","value":"23.3332"},{"id":17,"name":"Train ID","value":"241-23"},{"id":16,"name":"Locomotive ID","value":"4026"},{"id":130,"name":"Impact","value":""},{"id":150,"name":"Time of Event (Mountain Time)","value":"00:35:51"},{"id":151,"name":"Denver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119"/>
        <v>start /low /b %USERPROFILE%\Documents\GitHub\eaglep3\Utilities\DownloadLogsFromS3.py --loco 4026 --day 2017-12-24</v>
      </c>
      <c r="AN154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121"/>
        <v>https://d0f6bd738d7f1b3e5a7ca70fe4ff75f0.us-east-1.aws.found.io/app/kibana#/discover/Steve-Slow-Train-Analysis-(2080s-and-2083s)?_g=(refreshInterval:(display:Off,pause:!f,section:0,value:0),time:(from:'2017-12-23T22:46:41-0700',mode:absolute,to:'2017-12-24T01:35:51-0700'))&amp;_a=(columns:!('Message%20ID',Summary),filters:!(),index:'emp_*',interval:auto,query:(query_string:(analyze_wildcard:!t,query:'%22rtdc.l.rtdc.4026%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689</v>
      </c>
      <c r="B155" s="225">
        <v>4025</v>
      </c>
      <c r="C155" s="227" t="s">
        <v>192</v>
      </c>
      <c r="D155" s="227" t="s">
        <v>612</v>
      </c>
      <c r="E155" s="226">
        <v>43093.026354166665</v>
      </c>
      <c r="F155" s="226">
        <v>43093.039722222224</v>
      </c>
      <c r="G155" s="225">
        <v>81</v>
      </c>
      <c r="H155" s="227" t="s">
        <v>559</v>
      </c>
      <c r="I155" s="226">
        <v>43093.067523148151</v>
      </c>
      <c r="J155" s="225">
        <v>0</v>
      </c>
      <c r="K155" s="237" t="str">
        <f t="shared" si="99"/>
        <v>4025/4026</v>
      </c>
      <c r="L155" s="245" t="str">
        <f>VLOOKUP(A155,'Trips&amp;Operators'!$C$1:$G$99911,5,FALSE)</f>
        <v>ELBAUM MIKE</v>
      </c>
      <c r="M155" s="224">
        <f t="shared" si="100"/>
        <v>2.7800925927294884E-2</v>
      </c>
      <c r="N155" s="225">
        <f t="shared" si="90"/>
        <v>40.033333335304633</v>
      </c>
      <c r="O155" s="225"/>
      <c r="P155" s="225"/>
      <c r="Q155" s="228"/>
      <c r="R155" s="242"/>
      <c r="S155" s="249">
        <f t="shared" si="89"/>
        <v>1</v>
      </c>
      <c r="T155" s="242" t="str">
        <f t="shared" si="101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47" t="str">
        <f>IF(AA155&lt;VLOOKUP(AG155,Variables!$AC$3:$AD$8,2,FALSE),"Y","N")</f>
        <v>N</v>
      </c>
      <c r="X155" s="247">
        <f t="shared" si="127"/>
        <v>1</v>
      </c>
      <c r="Y155" s="247">
        <f>RIGHT(D155,LEN(D155)-4)/10000</f>
        <v>23.3005</v>
      </c>
      <c r="Z155" s="247">
        <f>RIGHT(H155,LEN(H155)-4)/10000</f>
        <v>2.58E-2</v>
      </c>
      <c r="AA155" s="247">
        <f t="shared" si="103"/>
        <v>23.274699999999999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104"/>
        <v>242</v>
      </c>
      <c r="AE155" s="235" t="str">
        <f t="shared" si="105"/>
        <v>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 &amp; 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</v>
      </c>
      <c r="AF155" s="234" t="str">
        <f t="shared" si="106"/>
        <v>"C:\Program Files (x86)\AstroGrep\AstroGrep.exe" /e /r /s /spath="%USERPROFILE%\AppData\Local\Temp\OnboardLogs" /stypes="app*4025*20171224*" /stext=" 08:.+((SYSTEM_STATE.+slice.+state.+changed )|(ment ac)|(multiple cpu faults)|(system.+state.+changed )|(\[timeout)|(PRM\|1\|D)|(kpr)|(kdp)|(train st.+moving)|(\|lc)|(penalty))"</v>
      </c>
      <c r="AG155" s="244" t="str">
        <f t="shared" si="107"/>
        <v>EC</v>
      </c>
      <c r="AH155" s="236" t="str">
        <f t="shared" si="117"/>
        <v>"%USERPROFILE%\Documents\GitHub\eaglep3\Utilities\RefineRTDCRunTimes.py" --tripid 242-23 --locoid 4025 --swversion DE.1.0.9.0 --startMP 204:233005 --initTime 2017-12-24T00:37:57 --startdatetime 2017-12-24T00:57:12 --delay 81 --endMP 204:258 --enddatetime 2017-12-24T01:37:14 --enforcementcount 0 &gt;&gt;%USERPROFILE%\Documents\GitHub\eaglep3-reporting\EC\2017-12-23-refined-times.txt</v>
      </c>
      <c r="AI155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{"issue":{"subject":"","project_id":79,"tracker_id":40,"status_id":1,"priority_id":2,"assigned_to_id":338,"start_date":"2017-12-24","description":"","custom_fields":[{"id":1,"name":"Subdivision","value":"EC"},{"id":4,"name":"Milepost","value":"0.0258"},{"id":17,"name":"Train ID","value":"242-23"},{"id":16,"name":"Locomotive ID","value":"4025"},{"id":130,"name":"Impact","value":""},{"id":150,"name":"Time of Event (Mountain Time)","value":"01:37:14"},{"id":151,"name":"Denver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119"/>
        <v>start /low /b %USERPROFILE%\Documents\GitHub\eaglep3\Utilities\DownloadLogsFromS3.py --loco 4025 --day 2017-12-24</v>
      </c>
      <c r="AN15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121"/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Message%20ID',Summary),filters:!(),index:'emp_*',interval:auto,query:(query_string:(analyze_wildcard:!t,query:'%22rtdc.l.rtdc.4025%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25">
      <c r="A156" s="229" t="s">
        <v>878</v>
      </c>
      <c r="B156" s="225">
        <v>4036</v>
      </c>
      <c r="C156" s="227" t="s">
        <v>192</v>
      </c>
      <c r="D156" s="227" t="s">
        <v>612</v>
      </c>
      <c r="E156" s="226">
        <v>43093.026354166665</v>
      </c>
      <c r="F156" s="226">
        <v>43093.021041666667</v>
      </c>
      <c r="G156" s="225">
        <v>81</v>
      </c>
      <c r="H156" s="227" t="s">
        <v>559</v>
      </c>
      <c r="I156" s="226">
        <v>43093.048437500001</v>
      </c>
      <c r="J156" s="225">
        <v>0</v>
      </c>
      <c r="K156" s="237" t="str">
        <f t="shared" si="99"/>
        <v>4035/4036</v>
      </c>
      <c r="L156" s="245" t="str">
        <f>VLOOKUP(A156,'Trips&amp;Operators'!$C$1:$G$99911,5,FALSE)</f>
        <v>NICHOLSON WESLEY</v>
      </c>
      <c r="M156" s="224">
        <f t="shared" si="100"/>
        <v>2.7395833334594499E-2</v>
      </c>
      <c r="N156" s="225">
        <f t="shared" si="90"/>
        <v>39.450000001816079</v>
      </c>
      <c r="O156" s="225"/>
      <c r="P156" s="225"/>
      <c r="Q156" s="228"/>
      <c r="R156" s="242"/>
      <c r="S156" s="249">
        <f t="shared" si="89"/>
        <v>1</v>
      </c>
      <c r="T156" s="242" t="str">
        <f t="shared" si="101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02:09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6" s="247" t="str">
        <f>IF(AA156&lt;VLOOKUP(AG156,Variables!$AC$3:$AD$8,2,FALSE),"Y","N")</f>
        <v>N</v>
      </c>
      <c r="X156" s="247">
        <f t="shared" ref="X156" si="128">VALUE(LEFT(AD156,4))-VALUE(LEFT(AD155,4))</f>
        <v>1</v>
      </c>
      <c r="Y156" s="247">
        <v>7.4300000000000005E-2</v>
      </c>
      <c r="Z156" s="247">
        <v>23.329499999999999</v>
      </c>
      <c r="AA156" s="247">
        <f t="shared" si="103"/>
        <v>23.255199999999999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104"/>
        <v>243</v>
      </c>
      <c r="AE156" s="235" t="str">
        <f t="shared" si="105"/>
        <v>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 &amp; aws s3 cp s3://rtdc.mdm.uploadarchive.raw/RTDC4036/ "%USERPROFILE%\AppData\Local\Temp\OnboardLogs"\RTDC4036\2017-12-25 --exclude "*" --recursive --include "*20171225*" &amp; "%USERPROFILE%\Documents\GitHub\mrs-test-scripts\Headless Mode &amp; Sideloading\WalkAndUnGZ.bat" "%USERPROFILE%\AppData\Local\Temp\OnboardLogs"\RTDC4036\2017-12-25</v>
      </c>
      <c r="AF156" s="234" t="str">
        <f t="shared" si="106"/>
        <v>"C:\Program Files (x86)\AstroGrep\AstroGrep.exe" /e /r /s /spath="%USERPROFILE%\AppData\Local\Temp\OnboardLogs" /stypes="app*4036*20171224*" /stext=" 08:.+((SYSTEM_STATE.+slice.+state.+changed )|(ment ac)|(multiple cpu faults)|(system.+state.+changed )|(\[timeout)|(PRM\|1\|D)|(kpr)|(kdp)|(train st.+moving)|(\|lc)|(penalty))"</v>
      </c>
      <c r="AG156" s="244" t="str">
        <f t="shared" si="107"/>
        <v>EC</v>
      </c>
      <c r="AH156" s="236" t="str">
        <f t="shared" ref="AH156" si="129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243-23 --locoid 4036 --swversion DE.1.0.9.0 --startMP 204:233005 --initTime 2017-12-24T00:37:57 --startdatetime 2017-12-24T00:30:18 --delay 81 --endMP 204:258 --enddatetime 2017-12-24T01:09:45 --enforcementcount 0 &gt;&gt;%USERPROFILE%\Documents\GitHub\eaglep3-reporting\EC\2017-12-23-refined-times.txt</v>
      </c>
      <c r="AI156" s="238" t="str">
        <f t="shared" ref="AI156" si="130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{"issue":{"subject":"","project_id":79,"tracker_id":40,"status_id":1,"priority_id":2,"assigned_to_id":338,"start_date":"2017-12-24","description":"","custom_fields":[{"id":1,"name":"Subdivision","value":"EC"},{"id":4,"name":"Milepost","value":"23.3295"},{"id":17,"name":"Train ID","value":"243-23"},{"id":16,"name":"Locomotive ID","value":"4036"},{"id":130,"name":"Impact","value":""},{"id":150,"name":"Time of Event (Mountain Time)","value":"01:09:45"},{"id":151,"name":"Denver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131">"start /low /b "&amp;dls3logs&amp;" --loco "&amp;B156&amp;" --day "&amp;TEXT(F156,"YYYY-MM-DD")</f>
        <v>start /low /b %USERPROFILE%\Documents\GitHub\eaglep3\Utilities\DownloadLogsFromS3.py --loco 4036 --day 2017-12-24</v>
      </c>
      <c r="AN156" s="241" t="str">
        <f t="shared" ref="AN156" si="132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133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-23T23:37:57-0700',mode:absolute,to:'2017-12-24T02:09:45-0700'))&amp;_a=(columns:!('Message%20ID',Summary),filters:!(),index:'emp_*',interval:auto,query:(query_string:(analyze_wildcard:!t,query:'%22rtdc.l.rtdc.4036%22')),sort:!(Time.ISO8601,asc))</v>
      </c>
    </row>
    <row r="157" spans="1:91" s="223" customFormat="1" x14ac:dyDescent="0.25">
      <c r="A157" s="229" t="s">
        <v>881</v>
      </c>
      <c r="B157" s="225">
        <v>4035</v>
      </c>
      <c r="C157" s="227" t="s">
        <v>192</v>
      </c>
      <c r="D157" s="227" t="s">
        <v>612</v>
      </c>
      <c r="E157" s="226">
        <v>43093.026354166665</v>
      </c>
      <c r="F157" s="226">
        <v>43093.060891203706</v>
      </c>
      <c r="G157" s="225">
        <v>81</v>
      </c>
      <c r="H157" s="227" t="s">
        <v>559</v>
      </c>
      <c r="I157" s="226">
        <v>43093.089247685188</v>
      </c>
      <c r="J157" s="225">
        <v>0</v>
      </c>
      <c r="K157" s="237" t="str">
        <f t="shared" si="99"/>
        <v>4035/4036</v>
      </c>
      <c r="L157" s="245" t="str">
        <f>VLOOKUP(A157,'Trips&amp;Operators'!$C$1:$G$99911,5,FALSE)</f>
        <v>NICHOLSON WESLEY</v>
      </c>
      <c r="M157" s="224">
        <f t="shared" si="100"/>
        <v>2.8356481481750961E-2</v>
      </c>
      <c r="N157" s="225">
        <f t="shared" si="90"/>
        <v>40.833333333721384</v>
      </c>
      <c r="O157" s="225"/>
      <c r="P157" s="225"/>
      <c r="Q157" s="228"/>
      <c r="R157" s="242"/>
      <c r="S157" s="249">
        <f t="shared" si="89"/>
        <v>1</v>
      </c>
      <c r="T157" s="242" t="str">
        <f t="shared" si="101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102"/>
        <v>https://d0f6bd738d7f1b3e5a7ca70fe4ff75f0.us-east-1.aws.found.io/app/kibana#/discover/Steve-Slow-Train-Analysis-(2080s-and-2083s)?_g=(refreshInterval:(display:Off,pause:!f,section:0,value:0),time:(from:'2017-12-23T23:37:57-0700',mode:absolute,to:'2017-12-24T03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7" s="247" t="str">
        <f>IF(AA157&lt;VLOOKUP(AG157,Variables!$AC$3:$AD$8,2,FALSE),"Y","N")</f>
        <v>N</v>
      </c>
      <c r="X157" s="247">
        <f t="shared" ref="X157:X165" si="134">VALUE(LEFT(AD157,4))-VALUE(LEFT(AD156,4))</f>
        <v>1</v>
      </c>
      <c r="Y157" s="247">
        <v>23.2761</v>
      </c>
      <c r="Z157" s="247">
        <v>2.23E-2</v>
      </c>
      <c r="AA157" s="247">
        <f t="shared" si="103"/>
        <v>23.253799999999998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104"/>
        <v>244</v>
      </c>
      <c r="AE157" s="235" t="str">
        <f t="shared" si="105"/>
        <v>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 &amp; aws s3 cp s3://rtdc.mdm.uploadarchive.raw/RTDC4035/ "%USERPROFILE%\AppData\Local\Temp\OnboardLogs"\RTDC4035\2017-12-25 --exclude "*" --recursive --include "*20171225*" &amp; "%USERPROFILE%\Documents\GitHub\mrs-test-scripts\Headless Mode &amp; Sideloading\WalkAndUnGZ.bat" "%USERPROFILE%\AppData\Local\Temp\OnboardLogs"\RTDC4035\2017-12-25</v>
      </c>
      <c r="AF157" s="234" t="str">
        <f t="shared" si="106"/>
        <v>"C:\Program Files (x86)\AstroGrep\AstroGrep.exe" /e /r /s /spath="%USERPROFILE%\AppData\Local\Temp\OnboardLogs" /stypes="app*4035*20171224*" /stext=" 09:.+((SYSTEM_STATE.+slice.+state.+changed )|(ment ac)|(multiple cpu faults)|(system.+state.+changed )|(\[timeout)|(PRM\|1\|D)|(kpr)|(kdp)|(train st.+moving)|(\|lc)|(penalty))"</v>
      </c>
      <c r="AG157" s="244" t="str">
        <f t="shared" si="107"/>
        <v>EC</v>
      </c>
      <c r="AH157" s="236" t="str">
        <f t="shared" ref="AH157" si="135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244-23 --locoid 4035 --swversion DE.1.0.9.0 --startMP 204:233005 --initTime 2017-12-24T00:37:57 --startdatetime 2017-12-24T01:27:41 --delay 81 --endMP 204:258 --enddatetime 2017-12-24T02:08:31 --enforcementcount 0 &gt;&gt;%USERPROFILE%\Documents\GitHub\eaglep3-reporting\EC\2017-12-23-refined-times.txt</v>
      </c>
      <c r="AI157" s="238" t="str">
        <f t="shared" ref="AI157" si="136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{"issue":{"subject":"","project_id":79,"tracker_id":40,"status_id":1,"priority_id":2,"assigned_to_id":338,"start_date":"2017-12-24","description":"","custom_fields":[{"id":1,"name":"Subdivision","value":"EC"},{"id":4,"name":"Milepost","value":"0.0223"},{"id":17,"name":"Train ID","value":"244-23"},{"id":16,"name":"Locomotive ID","value":"4035"},{"id":130,"name":"Impact","value":""},{"id":150,"name":"Time of Event (Mountain Time)","value":"02:08:31"},{"id":151,"name":"Denver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ref="AM157" si="137">"start /low /b "&amp;dls3logs&amp;" --loco "&amp;B157&amp;" --day "&amp;TEXT(F157,"YYYY-MM-DD")</f>
        <v>start /low /b %USERPROFILE%\Documents\GitHub\eaglep3\Utilities\DownloadLogsFromS3.py --loco 4035 --day 2017-12-24</v>
      </c>
      <c r="AN157" s="241" t="str">
        <f t="shared" ref="AN157" si="138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ref="AO157" si="139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-23T23:37:57-0700',mode:absolute,to:'2017-12-24T03:08:31-0700'))&amp;_a=(columns:!('Message%20ID',Summary),filters:!(),index:'emp_*',interval:auto,query:(query_string:(analyze_wildcard:!t,query:'%22rtdc.l.rtdc.4035%22')),sort:!(Time.ISO8601,asc))</v>
      </c>
    </row>
    <row r="158" spans="1:91" s="20" customFormat="1" x14ac:dyDescent="0.25">
      <c r="A158" s="229" t="s">
        <v>880</v>
      </c>
      <c r="B158" s="225">
        <v>4002</v>
      </c>
      <c r="C158" s="227" t="s">
        <v>192</v>
      </c>
      <c r="D158" s="227" t="s">
        <v>538</v>
      </c>
      <c r="E158" s="226">
        <v>43093.038680555554</v>
      </c>
      <c r="F158" s="226">
        <v>43093.04184027778</v>
      </c>
      <c r="G158" s="225">
        <v>49</v>
      </c>
      <c r="H158" s="227" t="s">
        <v>1040</v>
      </c>
      <c r="I158" s="226">
        <v>43093.066874999997</v>
      </c>
      <c r="J158" s="225">
        <v>0</v>
      </c>
      <c r="K158" s="237" t="str">
        <f t="shared" si="99"/>
        <v>4001/4002</v>
      </c>
      <c r="L158" s="245" t="str">
        <f>VLOOKUP(A158,'Trips&amp;Operators'!$C$1:$G$99911,5,FALSE)</f>
        <v>AUSTIN THOMPSON</v>
      </c>
      <c r="M158" s="224">
        <f t="shared" si="100"/>
        <v>2.5034722217242233E-2</v>
      </c>
      <c r="N158" s="225">
        <f t="shared" si="90"/>
        <v>36.049999992828816</v>
      </c>
      <c r="O158" s="225"/>
      <c r="P158" s="225"/>
      <c r="Q158" s="228"/>
      <c r="R158" s="242"/>
      <c r="S158" s="249">
        <f t="shared" si="89"/>
        <v>1</v>
      </c>
      <c r="T158" s="242" t="str">
        <f t="shared" si="101"/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102"/>
        <v>https://d0f6bd738d7f1b3e5a7ca70fe4ff75f0.us-east-1.aws.found.io/app/kibana#/discover/Steve-Slow-Train-Analysis-(2080s-and-2083s)?_g=(refreshInterval:(display:Off,pause:!f,section:0,value:0),time:(from:'2017-12-23T23:55:42-0700',mode:absolute,to:'2017-12-24T02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247" t="str">
        <f>IF(AA158&lt;VLOOKUP(AG158,Variables!$AC$3:$AD$8,2,FALSE),"Y","N")</f>
        <v>N</v>
      </c>
      <c r="X158" s="247">
        <f t="shared" si="134"/>
        <v>1</v>
      </c>
      <c r="Y158" s="247">
        <f t="shared" ref="Y158:Y181" si="140">RIGHT(D158,LEN(D158)-4)/10000</f>
        <v>5.4800000000000001E-2</v>
      </c>
      <c r="Z158" s="247">
        <f t="shared" ref="Z158:Z181" si="141">RIGHT(H158,LEN(H158)-4)/10000</f>
        <v>23.321100000000001</v>
      </c>
      <c r="AA158" s="247">
        <f t="shared" si="103"/>
        <v>23.266300000000001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104"/>
        <v>245</v>
      </c>
      <c r="AE158" s="235" t="str">
        <f t="shared" si="105"/>
        <v>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 &amp; aws s3 cp s3://rtdc.mdm.uploadarchive.raw/RTDC4002/ "%USERPROFILE%\AppData\Local\Temp\OnboardLogs"\RTDC4002\2017-12-25 --exclude "*" --recursive --include "*20171225*" &amp; "%USERPROFILE%\Documents\GitHub\mrs-test-scripts\Headless Mode &amp; Sideloading\WalkAndUnGZ.bat" "%USERPROFILE%\AppData\Local\Temp\OnboardLogs"\RTDC4002\2017-12-25</v>
      </c>
      <c r="AF158" s="234" t="str">
        <f t="shared" si="106"/>
        <v>"C:\Program Files (x86)\AstroGrep\AstroGrep.exe" /e /r /s /spath="%USERPROFILE%\AppData\Local\Temp\OnboardLogs" /stypes="app*4002*20171224*" /stext=" 08:.+((SYSTEM_STATE.+slice.+state.+changed )|(ment ac)|(multiple cpu faults)|(system.+state.+changed )|(\[timeout)|(PRM\|1\|D)|(kpr)|(kdp)|(train st.+moving)|(\|lc)|(penalty))"</v>
      </c>
      <c r="AG158" s="244" t="str">
        <f t="shared" si="107"/>
        <v>EC</v>
      </c>
      <c r="AH158" s="236" t="str">
        <f t="shared" si="117"/>
        <v>"%USERPROFILE%\Documents\GitHub\eaglep3\Utilities\RefineRTDCRunTimes.py" --tripid 245-23 --locoid 4002 --swversion DE.1.0.9.0 --startMP 204:548 --initTime 2017-12-24T00:55:42 --startdatetime 2017-12-24T01:00:15 --delay 49 --endMP 204:233211 --enddatetime 2017-12-24T01:36:18 --enforcementcount 0 &gt;&gt;%USERPROFILE%\Documents\GitHub\eaglep3-reporting\EC\2017-12-23-refined-times.txt</v>
      </c>
      <c r="AI158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{"issue":{"subject":"","project_id":79,"tracker_id":40,"status_id":1,"priority_id":2,"assigned_to_id":338,"start_date":"2017-12-24","description":"","custom_fields":[{"id":1,"name":"Subdivision","value":"EC"},{"id":4,"name":"Milepost","value":"23.3211"},{"id":17,"name":"Train ID","value":"245-23"},{"id":16,"name":"Locomotive ID","value":"4002"},{"id":130,"name":"Impact","value":""},{"id":150,"name":"Time of Event (Mountain Time)","value":"01:36:18"},{"id":151,"name":"Denver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119"/>
        <v>start /low /b %USERPROFILE%\Documents\GitHub\eaglep3\Utilities\DownloadLogsFromS3.py --loco 4002 --day 2017-12-24</v>
      </c>
      <c r="AN15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121"/>
        <v>https://d0f6bd738d7f1b3e5a7ca70fe4ff75f0.us-east-1.aws.found.io/app/kibana#/discover/Steve-Slow-Train-Analysis-(2080s-and-2083s)?_g=(refreshInterval:(display:Off,pause:!f,section:0,value:0),time:(from:'2017-12-23T23:55:42-0700',mode:absolute,to:'2017-12-24T02:36:18-0700'))&amp;_a=(columns:!('Message%20ID',Summary),filters:!(),index:'emp_*',interval:auto,query:(query_string:(analyze_wildcard:!t,query:'%22rtdc.l.rtdc.4002%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29" t="s">
        <v>883</v>
      </c>
      <c r="B159" s="225">
        <v>4001</v>
      </c>
      <c r="C159" s="227" t="s">
        <v>192</v>
      </c>
      <c r="D159" s="227" t="s">
        <v>1014</v>
      </c>
      <c r="E159" s="226">
        <v>43093.079004629632</v>
      </c>
      <c r="F159" s="226">
        <v>43093.081400462965</v>
      </c>
      <c r="G159" s="225">
        <v>77</v>
      </c>
      <c r="H159" s="227" t="s">
        <v>633</v>
      </c>
      <c r="I159" s="226">
        <v>43093.10733796296</v>
      </c>
      <c r="J159" s="225">
        <v>0</v>
      </c>
      <c r="K159" s="237" t="str">
        <f t="shared" si="99"/>
        <v>4001/4002</v>
      </c>
      <c r="L159" s="245" t="str">
        <f>VLOOKUP(A159,'Trips&amp;Operators'!$C$1:$G$99911,5,FALSE)</f>
        <v>AUSTIN THOMPSON</v>
      </c>
      <c r="M159" s="224">
        <f t="shared" si="100"/>
        <v>2.5937499995052349E-2</v>
      </c>
      <c r="N159" s="225">
        <f t="shared" si="90"/>
        <v>37.349999992875382</v>
      </c>
      <c r="O159" s="225"/>
      <c r="P159" s="225"/>
      <c r="Q159" s="228"/>
      <c r="R159" s="242"/>
      <c r="S159" s="249">
        <f t="shared" si="89"/>
        <v>1</v>
      </c>
      <c r="T159" s="242" t="str">
        <f t="shared" si="101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 t="shared" si="102"/>
        <v>https://d0f6bd738d7f1b3e5a7ca70fe4ff75f0.us-east-1.aws.found.io/app/kibana#/discover/Steve-Slow-Train-Analysis-(2080s-and-2083s)?_g=(refreshInterval:(display:Off,pause:!f,section:0,value:0),time:(from:'2017-12-24T00:53:46-0700',mode:absolute,to:'2017-12-24T03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247" t="str">
        <f>IF(AA159&lt;VLOOKUP(AG159,Variables!$AC$3:$AD$8,2,FALSE),"Y","N")</f>
        <v>N</v>
      </c>
      <c r="X159" s="247">
        <f t="shared" si="134"/>
        <v>1</v>
      </c>
      <c r="Y159" s="247">
        <f t="shared" si="140"/>
        <v>23.290199999999999</v>
      </c>
      <c r="Z159" s="247">
        <f t="shared" si="141"/>
        <v>2.3400000000000001E-2</v>
      </c>
      <c r="AA159" s="247">
        <f t="shared" si="103"/>
        <v>23.2668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104"/>
        <v>246</v>
      </c>
      <c r="AE159" s="235" t="str">
        <f t="shared" si="105"/>
        <v>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 &amp; aws s3 cp s3://rtdc.mdm.uploadarchive.raw/RTDC4001/ "%USERPROFILE%\AppData\Local\Temp\OnboardLogs"\RTDC4001\2017-12-25 --exclude "*" --recursive --include "*20171225*" &amp; "%USERPROFILE%\Documents\GitHub\mrs-test-scripts\Headless Mode &amp; Sideloading\WalkAndUnGZ.bat" "%USERPROFILE%\AppData\Local\Temp\OnboardLogs"\RTDC4001\2017-12-25</v>
      </c>
      <c r="AF159" s="234" t="str">
        <f t="shared" si="106"/>
        <v>"C:\Program Files (x86)\AstroGrep\AstroGrep.exe" /e /r /s /spath="%USERPROFILE%\AppData\Local\Temp\OnboardLogs" /stypes="app*4001*20171224*" /stext=" 09:.+((SYSTEM_STATE.+slice.+state.+changed )|(ment ac)|(multiple cpu faults)|(system.+state.+changed )|(\[timeout)|(PRM\|1\|D)|(kpr)|(kdp)|(train st.+moving)|(\|lc)|(penalty))"</v>
      </c>
      <c r="AG159" s="244" t="str">
        <f t="shared" si="107"/>
        <v>EC</v>
      </c>
      <c r="AH159" s="236" t="str">
        <f t="shared" si="117"/>
        <v>"%USERPROFILE%\Documents\GitHub\eaglep3\Utilities\RefineRTDCRunTimes.py" --tripid 246-23 --locoid 4001 --swversion DE.1.0.9.0 --startMP 204:232902 --initTime 2017-12-24T01:53:46 --startdatetime 2017-12-24T01:57:13 --delay 77 --endMP 204:234 --enddatetime 2017-12-24T02:34:34 --enforcementcount 0 &gt;&gt;%USERPROFILE%\Documents\GitHub\eaglep3-reporting\EC\2017-12-23-refined-times.txt</v>
      </c>
      <c r="AI159" s="238" t="str">
        <f t="shared" si="118"/>
        <v>echo {"issue":{"subject":"","project_id":79,"tracker_id":40,"status_id":1,"priority_id":2,"assigned_to_id":338,"start_date":"2017-12-24","description":"","custom_fields":[{"id":1,"name":"Subdivision","value":"EC"},{"id":4,"name":"Milepost","value":"0.0234"},{"id":17,"name":"Train ID","value":"246-23"},{"id":16,"name":"Locomotive ID","value":"4001"},{"id":130,"name":"Impact","value":""},{"id":150,"name":"Time of Event (Mountain Time)","value":"02:34:34"},{"id":151,"name":"Denver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119"/>
        <v>start /low /b %USERPROFILE%\Documents\GitHub\eaglep3\Utilities\DownloadLogsFromS3.py --loco 4001 --day 2017-12-24</v>
      </c>
      <c r="AN159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121"/>
        <v>https://d0f6bd738d7f1b3e5a7ca70fe4ff75f0.us-east-1.aws.found.io/app/kibana#/discover/Steve-Slow-Train-Analysis-(2080s-and-2083s)?_g=(refreshInterval:(display:Off,pause:!f,section:0,value:0),time:(from:'2017-12-24T00:53:46-0700',mode:absolute,to:'2017-12-24T03:34:34-0700'))&amp;_a=(columns:!('Message%20ID',Summary),filters:!(),index:'emp_*',interval:auto,query:(query_string:(analyze_wildcard:!t,query:'%22rtdc.l.rtdc.4001%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25">
      <c r="A160" s="229" t="s">
        <v>722</v>
      </c>
      <c r="B160" s="225">
        <v>4031</v>
      </c>
      <c r="C160" s="227" t="s">
        <v>192</v>
      </c>
      <c r="D160" s="227" t="s">
        <v>964</v>
      </c>
      <c r="E160" s="226">
        <v>43092.23269675926</v>
      </c>
      <c r="F160" s="226">
        <v>43092.238379629627</v>
      </c>
      <c r="G160" s="225">
        <v>74</v>
      </c>
      <c r="H160" s="227" t="s">
        <v>965</v>
      </c>
      <c r="I160" s="226">
        <v>43092.247766203705</v>
      </c>
      <c r="J160" s="225">
        <v>0</v>
      </c>
      <c r="K160" s="237" t="str">
        <f t="shared" si="99"/>
        <v>4031/4032</v>
      </c>
      <c r="L160" s="245" t="str">
        <f>VLOOKUP(A160,'Trips&amp;Operators'!$C$1:$G$99911,5,FALSE)</f>
        <v>LAMAR NEKESHA</v>
      </c>
      <c r="M160" s="224">
        <f t="shared" si="100"/>
        <v>9.3865740782348439E-3</v>
      </c>
      <c r="N160" s="225"/>
      <c r="O160" s="225"/>
      <c r="P160" s="225"/>
      <c r="Q160" s="228"/>
      <c r="R160" s="242"/>
      <c r="S160" s="249"/>
      <c r="T160" s="242" t="str">
        <f t="shared" si="101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48" t="str">
        <f t="shared" si="102"/>
        <v>https://d0f6bd738d7f1b3e5a7ca70fe4ff75f0.us-east-1.aws.found.io/app/kibana#/discover/Steve-Slow-Train-Analysis-(2080s-and-2083s)?_g=(refreshInterval:(display:Off,pause:!f,section:0,value:0),time:(from:'2017-12-23T04:35:05-0700',mode:absolute,to:'2017-12-23T06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47" t="str">
        <f>IF(AA160&lt;VLOOKUP(AG160,Variables!$AC$3:$AD$8,2,FALSE),"Y","N")</f>
        <v>Y</v>
      </c>
      <c r="X160" s="247">
        <f t="shared" si="134"/>
        <v>1554</v>
      </c>
      <c r="Y160" s="247">
        <f t="shared" si="140"/>
        <v>5.867</v>
      </c>
      <c r="Z160" s="247">
        <f t="shared" si="141"/>
        <v>5.7237999999999998</v>
      </c>
      <c r="AA160" s="247">
        <f t="shared" si="103"/>
        <v>0.14320000000000022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104"/>
        <v>1800</v>
      </c>
      <c r="AE160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0" s="234" t="str">
        <f t="shared" si="106"/>
        <v>"C:\Program Files (x86)\AstroGrep\AstroGrep.exe" /e /r /s /spath="%USERPROFILE%\AppData\Local\Temp\OnboardLogs" /stypes="app*4031*20171223*" /stext=" 12:.+((SYSTEM_STATE.+slice.+state.+changed )|(ment ac)|(multiple cpu faults)|(system.+state.+changed )|(\[timeout)|(PRM\|1\|D)|(kpr)|(kdp)|(train st.+moving)|(\|lc)|(penalty))"</v>
      </c>
      <c r="AG160" s="244" t="str">
        <f t="shared" si="107"/>
        <v>NW</v>
      </c>
      <c r="AH160" s="236" t="str">
        <f t="shared" si="117"/>
        <v>"%USERPROFILE%\Documents\GitHub\eaglep3\Utilities\RefineRTDCRunTimes.py" --tripid 1800-23 --locoid 4031 --swversion DE.1.0.9.0 --startMP 300:58670 --initTime 2017-12-23T05:35:05 --startdatetime 2017-12-23T05:43:16 --delay 74 --endMP 300:57238 --enddatetime 2017-12-23T05:56:47 --enforcementcount 0 &gt;&gt;%USERPROFILE%\Documents\GitHub\eaglep3-reporting\EC\2017-12-23-refined-times.txt</v>
      </c>
      <c r="AI16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{"issue":{"subject":"","project_id":79,"tracker_id":40,"status_id":1,"priority_id":2,"assigned_to_id":338,"start_date":"2017-12-23","description":"","custom_fields":[{"id":1,"name":"Subdivision","value":"NW"},{"id":4,"name":"Milepost","value":"5.7238"},{"id":17,"name":"Train ID","value":"1800-23"},{"id":16,"name":"Locomotive ID","value":"4031"},{"id":130,"name":"Impact","value":""},{"id":150,"name":"Time of Event (Mountain Time)","value":"05:56:47"},{"id":151,"name":"Denver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119"/>
        <v>start /low /b %USERPROFILE%\Documents\GitHub\eaglep3\Utilities\DownloadLogsFromS3.py --loco 4031 --day 2017-12-23</v>
      </c>
      <c r="AN16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121"/>
        <v>https://d0f6bd738d7f1b3e5a7ca70fe4ff75f0.us-east-1.aws.found.io/app/kibana#/discover/Steve-Slow-Train-Analysis-(2080s-and-2083s)?_g=(refreshInterval:(display:Off,pause:!f,section:0,value:0),time:(from:'2017-12-23T04:35:05-0700',mode:absolute,to:'2017-12-23T06:56:47-0700'))&amp;_a=(columns:!('Message%20ID',Summary),filters:!(),index:'emp_*',interval:auto,query:(query_string:(analyze_wildcard:!t,query:'%22rtdc.l.rtdc.4031%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25">
      <c r="A161" s="229" t="s">
        <v>722</v>
      </c>
      <c r="B161" s="225">
        <v>4031</v>
      </c>
      <c r="C161" s="227" t="s">
        <v>192</v>
      </c>
      <c r="D161" s="227" t="s">
        <v>966</v>
      </c>
      <c r="E161" s="226">
        <v>43092.235601851855</v>
      </c>
      <c r="F161" s="226">
        <v>43092.238379629627</v>
      </c>
      <c r="G161" s="225">
        <v>63</v>
      </c>
      <c r="H161" s="227" t="s">
        <v>649</v>
      </c>
      <c r="I161" s="226">
        <v>43092.247766203705</v>
      </c>
      <c r="J161" s="225">
        <v>0</v>
      </c>
      <c r="K161" s="237" t="str">
        <f t="shared" si="99"/>
        <v>4031/4032</v>
      </c>
      <c r="L161" s="245" t="str">
        <f>VLOOKUP(A161,'Trips&amp;Operators'!$C$1:$G$99911,5,FALSE)</f>
        <v>LAMAR NEKESHA</v>
      </c>
      <c r="M161" s="224">
        <f t="shared" si="100"/>
        <v>9.3865740782348439E-3</v>
      </c>
      <c r="N161" s="225">
        <f t="shared" ref="N161:N192" si="142">24*60*SUM($M161:$M161)</f>
        <v>13.516666672658175</v>
      </c>
      <c r="O161" s="225"/>
      <c r="P161" s="225"/>
      <c r="Q161" s="228"/>
      <c r="R161" s="242" t="s">
        <v>1096</v>
      </c>
      <c r="S161" s="249">
        <f t="shared" ref="S161:S192" si="143">1/IF(AG161="EC",12,1)*SUM(U161:U161)</f>
        <v>1</v>
      </c>
      <c r="T161" s="242" t="str">
        <f t="shared" si="101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102"/>
        <v>https://d0f6bd738d7f1b3e5a7ca70fe4ff75f0.us-east-1.aws.found.io/app/kibana#/discover/Steve-Slow-Train-Analysis-(2080s-and-2083s)?_g=(refreshInterval:(display:Off,pause:!f,section:0,value:0),time:(from:'2017-12-23T04:39:16-0700',mode:absolute,to:'2017-12-23T06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247" t="str">
        <f>IF(AA161&lt;VLOOKUP(AG161,Variables!$AC$3:$AD$8,2,FALSE),"Y","N")</f>
        <v>N</v>
      </c>
      <c r="X161" s="247">
        <f t="shared" si="134"/>
        <v>0</v>
      </c>
      <c r="Y161" s="247">
        <f t="shared" si="140"/>
        <v>5.7241999999999997</v>
      </c>
      <c r="Z161" s="247">
        <f t="shared" si="141"/>
        <v>1.5100000000000001E-2</v>
      </c>
      <c r="AA161" s="247">
        <f t="shared" si="103"/>
        <v>5.7090999999999994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104"/>
        <v>1800</v>
      </c>
      <c r="AE16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1" s="234" t="str">
        <f t="shared" si="106"/>
        <v>"C:\Program Files (x86)\AstroGrep\AstroGrep.exe" /e /r /s /spath="%USERPROFILE%\AppData\Local\Temp\OnboardLogs" /stypes="app*4031*20171223*" /stext=" 12:.+((SYSTEM_STATE.+slice.+state.+changed )|(ment ac)|(multiple cpu faults)|(system.+state.+changed )|(\[timeout)|(PRM\|1\|D)|(kpr)|(kdp)|(train st.+moving)|(\|lc)|(penalty))"</v>
      </c>
      <c r="AG161" s="244" t="str">
        <f t="shared" si="107"/>
        <v>NW</v>
      </c>
      <c r="AH161" s="236" t="str">
        <f t="shared" si="117"/>
        <v>"%USERPROFILE%\Documents\GitHub\eaglep3\Utilities\RefineRTDCRunTimes.py" --tripid 1800-23 --locoid 4031 --swversion DE.1.0.9.0 --startMP 300:57242 --initTime 2017-12-23T05:39:16 --startdatetime 2017-12-23T05:43:16 --delay 63 --endMP 204:151 --enddatetime 2017-12-23T05:56:47 --enforcementcount 0 &gt;&gt;%USERPROFILE%\Documents\GitHub\eaglep3-reporting\EC\2017-12-23-refined-times.txt</v>
      </c>
      <c r="AI161" s="238" t="str">
        <f t="shared" si="118"/>
        <v>echo {"issue":{"subject":"Minor onboard en route failure during init","project_id":79,"tracker_id":40,"status_id":1,"priority_id":2,"assigned_to_id":338,"start_date":"2017-12-23","description":"","custom_fields":[{"id":1,"name":"Subdivision","value":"NW"},{"id":4,"name":"Milepost","value":"0.0151"},{"id":17,"name":"Train ID","value":"1800-23"},{"id":16,"name":"Locomotive ID","value":"4031"},{"id":130,"name":"Impact","value":""},{"id":150,"name":"Time of Event (Mountain Time)","value":"05:56:47"},{"id":151,"name":"Denver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119"/>
        <v>start /low /b %USERPROFILE%\Documents\GitHub\eaglep3\Utilities\DownloadLogsFromS3.py --loco 4031 --day 2017-12-23</v>
      </c>
      <c r="AN161" s="241" t="str">
        <f t="shared" si="120"/>
        <v>echo {"issue":{"subject":"Minor onboard en route failure during init","project_id":30,"tracker_id":4,"status_id":1,"priority_id":1,"assigned_to_id":10,"start_date":"2017-12-23","description":"","custom_fields":[{"id":30,"name":"Category","value":"Issue"},{"id":3,"name":"Functional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121"/>
        <v>https://d0f6bd738d7f1b3e5a7ca70fe4ff75f0.us-east-1.aws.found.io/app/kibana#/discover/Steve-Slow-Train-Analysis-(2080s-and-2083s)?_g=(refreshInterval:(display:Off,pause:!f,section:0,value:0),time:(from:'2017-12-23T04:39:16-0700',mode:absolute,to:'2017-12-23T06:56:47-0700'))&amp;_a=(columns:!('Message%20ID',Summary),filters:!(),index:'emp_*',interval:auto,query:(query_string:(analyze_wildcard:!t,query:'%22rtdc.l.rtdc.4031%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726</v>
      </c>
      <c r="B162" s="225">
        <v>4032</v>
      </c>
      <c r="C162" s="227" t="s">
        <v>192</v>
      </c>
      <c r="D162" s="227" t="s">
        <v>967</v>
      </c>
      <c r="E162" s="226">
        <v>43092.254016203704</v>
      </c>
      <c r="F162" s="226">
        <v>43092.256423611114</v>
      </c>
      <c r="G162" s="225">
        <v>56</v>
      </c>
      <c r="H162" s="227" t="s">
        <v>968</v>
      </c>
      <c r="I162" s="226">
        <v>43092.265972222223</v>
      </c>
      <c r="J162" s="225">
        <v>0</v>
      </c>
      <c r="K162" s="237" t="str">
        <f t="shared" si="99"/>
        <v>4031/4032</v>
      </c>
      <c r="L162" s="245" t="str">
        <f>VLOOKUP(A162,'Trips&amp;Operators'!$C$1:$G$99911,5,FALSE)</f>
        <v>LAMAR NEKESHA</v>
      </c>
      <c r="M162" s="224">
        <f t="shared" si="100"/>
        <v>9.5486111094942316E-3</v>
      </c>
      <c r="N162" s="225">
        <f t="shared" si="142"/>
        <v>13.749999997671694</v>
      </c>
      <c r="O162" s="225"/>
      <c r="P162" s="225"/>
      <c r="Q162" s="228"/>
      <c r="R162" s="242"/>
      <c r="S162" s="249">
        <f t="shared" si="143"/>
        <v>1</v>
      </c>
      <c r="T162" s="242" t="str">
        <f t="shared" si="101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102"/>
        <v>https://d0f6bd738d7f1b3e5a7ca70fe4ff75f0.us-east-1.aws.found.io/app/kibana#/discover/Steve-Slow-Train-Analysis-(2080s-and-2083s)?_g=(refreshInterval:(display:Off,pause:!f,section:0,value:0),time:(from:'2017-12-23T05:05:47-0700',mode:absolute,to:'2017-12-23T07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247" t="str">
        <f>IF(AA162&lt;VLOOKUP(AG162,Variables!$AC$3:$AD$8,2,FALSE),"Y","N")</f>
        <v>N</v>
      </c>
      <c r="X162" s="247">
        <f t="shared" si="134"/>
        <v>1</v>
      </c>
      <c r="Y162" s="247">
        <f t="shared" si="140"/>
        <v>4.6199999999999998E-2</v>
      </c>
      <c r="Z162" s="247">
        <f t="shared" si="141"/>
        <v>5.8986000000000001</v>
      </c>
      <c r="AA162" s="247">
        <f t="shared" si="103"/>
        <v>5.8524000000000003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104"/>
        <v>1801</v>
      </c>
      <c r="AE16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2" s="234" t="str">
        <f t="shared" si="106"/>
        <v>"C:\Program Files (x86)\AstroGrep\AstroGrep.exe" /e /r /s /spath="%USERPROFILE%\AppData\Local\Temp\OnboardLogs" /stypes="app*4032*20171223*" /stext=" 13:.+((SYSTEM_STATE.+slice.+state.+changed )|(ment ac)|(multiple cpu faults)|(system.+state.+changed )|(\[timeout)|(PRM\|1\|D)|(kpr)|(kdp)|(train st.+moving)|(\|lc)|(penalty))"</v>
      </c>
      <c r="AG162" s="244" t="str">
        <f t="shared" si="107"/>
        <v>NW</v>
      </c>
      <c r="AH162" s="236" t="str">
        <f t="shared" si="117"/>
        <v>"%USERPROFILE%\Documents\GitHub\eaglep3\Utilities\RefineRTDCRunTimes.py" --tripid 1801-23 --locoid 4032 --swversion DE.1.0.9.0 --startMP 204:462 --initTime 2017-12-23T06:05:47 --startdatetime 2017-12-23T06:09:15 --delay 56 --endMP 300:58986 --enddatetime 2017-12-23T06:23:00 --enforcementcount 0 &gt;&gt;%USERPROFILE%\Documents\GitHub\eaglep3-reporting\EC\2017-12-23-refined-times.txt</v>
      </c>
      <c r="AI16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{"issue":{"subject":"","project_id":79,"tracker_id":40,"status_id":1,"priority_id":2,"assigned_to_id":338,"start_date":"2017-12-23","description":"","custom_fields":[{"id":1,"name":"Subdivision","value":"NW"},{"id":4,"name":"Milepost","value":"5.8986"},{"id":17,"name":"Train ID","value":"1801-23"},{"id":16,"name":"Locomotive ID","value":"4032"},{"id":130,"name":"Impact","value":""},{"id":150,"name":"Time of Event (Mountain Time)","value":"06:23:00"},{"id":151,"name":"Denver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119"/>
        <v>start /low /b %USERPROFILE%\Documents\GitHub\eaglep3\Utilities\DownloadLogsFromS3.py --loco 4032 --day 2017-12-23</v>
      </c>
      <c r="AN16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121"/>
        <v>https://d0f6bd738d7f1b3e5a7ca70fe4ff75f0.us-east-1.aws.found.io/app/kibana#/discover/Steve-Slow-Train-Analysis-(2080s-and-2083s)?_g=(refreshInterval:(display:Off,pause:!f,section:0,value:0),time:(from:'2017-12-23T05:05:47-0700',mode:absolute,to:'2017-12-23T07:23:00-0700'))&amp;_a=(columns:!('Message%20ID',Summary),filters:!(),index:'emp_*',interval:auto,query:(query_string:(analyze_wildcard:!t,query:'%22rtdc.l.rtdc.4032%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25">
      <c r="A163" s="229" t="s">
        <v>657</v>
      </c>
      <c r="B163" s="225">
        <v>4031</v>
      </c>
      <c r="C163" s="227" t="s">
        <v>192</v>
      </c>
      <c r="D163" s="227" t="s">
        <v>969</v>
      </c>
      <c r="E163" s="226">
        <v>43092.267314814817</v>
      </c>
      <c r="F163" s="226">
        <v>43092.279942129629</v>
      </c>
      <c r="G163" s="225">
        <v>57</v>
      </c>
      <c r="H163" s="227" t="s">
        <v>970</v>
      </c>
      <c r="I163" s="226">
        <v>43092.288252314815</v>
      </c>
      <c r="J163" s="225">
        <v>0</v>
      </c>
      <c r="K163" s="237" t="str">
        <f t="shared" si="99"/>
        <v>4031/4032</v>
      </c>
      <c r="L163" s="245" t="str">
        <f>VLOOKUP(A163,'Trips&amp;Operators'!$C$1:$G$99911,5,FALSE)</f>
        <v>LAMAR NEKESHA</v>
      </c>
      <c r="M163" s="224">
        <f t="shared" si="100"/>
        <v>8.3101851851097308E-3</v>
      </c>
      <c r="N163" s="225">
        <f t="shared" si="142"/>
        <v>11.966666666558012</v>
      </c>
      <c r="O163" s="225"/>
      <c r="P163" s="225"/>
      <c r="Q163" s="228"/>
      <c r="R163" s="242"/>
      <c r="S163" s="249">
        <f t="shared" si="143"/>
        <v>1</v>
      </c>
      <c r="T163" s="242" t="str">
        <f t="shared" si="101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102"/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247" t="str">
        <f>IF(AA163&lt;VLOOKUP(AG163,Variables!$AC$3:$AD$8,2,FALSE),"Y","N")</f>
        <v>N</v>
      </c>
      <c r="X163" s="247">
        <f t="shared" si="134"/>
        <v>1</v>
      </c>
      <c r="Y163" s="247">
        <f t="shared" si="140"/>
        <v>5.8663999999999996</v>
      </c>
      <c r="Z163" s="247">
        <f t="shared" si="141"/>
        <v>1.7500000000000002E-2</v>
      </c>
      <c r="AA163" s="247">
        <f t="shared" si="103"/>
        <v>5.8488999999999995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104"/>
        <v>1802</v>
      </c>
      <c r="AE16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3" s="234" t="str">
        <f t="shared" si="106"/>
        <v>"C:\Program Files (x86)\AstroGrep\AstroGrep.exe" /e /r /s /spath="%USERPROFILE%\AppData\Local\Temp\OnboardLogs" /stypes="app*4031*20171223*" /stext=" 13:.+((SYSTEM_STATE.+slice.+state.+changed )|(ment ac)|(multiple cpu faults)|(system.+state.+changed )|(\[timeout)|(PRM\|1\|D)|(kpr)|(kdp)|(train st.+moving)|(\|lc)|(penalty))"</v>
      </c>
      <c r="AG163" s="244" t="str">
        <f t="shared" si="107"/>
        <v>NW</v>
      </c>
      <c r="AH163" s="236" t="str">
        <f t="shared" si="117"/>
        <v>"%USERPROFILE%\Documents\GitHub\eaglep3\Utilities\RefineRTDCRunTimes.py" --tripid 1802-23 --locoid 4031 --swversion DE.1.0.9.0 --startMP 300:58664 --initTime 2017-12-23T06:24:56 --startdatetime 2017-12-23T06:43:07 --delay 57 --endMP 204:175 --enddatetime 2017-12-23T06:55:05 --enforcementcount 0 &gt;&gt;%USERPROFILE%\Documents\GitHub\eaglep3-reporting\EC\2017-12-23-refined-times.txt</v>
      </c>
      <c r="AI16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{"issue":{"subject":"","project_id":79,"tracker_id":40,"status_id":1,"priority_id":2,"assigned_to_id":338,"start_date":"2017-12-23","description":"","custom_fields":[{"id":1,"name":"Subdivision","value":"NW"},{"id":4,"name":"Milepost","value":"0.0175"},{"id":17,"name":"Train ID","value":"1802-23"},{"id":16,"name":"Locomotive ID","value":"4031"},{"id":130,"name":"Impact","value":""},{"id":150,"name":"Time of Event (Mountain Time)","value":"06:55:05"},{"id":151,"name":"Denver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119"/>
        <v>start /low /b %USERPROFILE%\Documents\GitHub\eaglep3\Utilities\DownloadLogsFromS3.py --loco 4031 --day 2017-12-23</v>
      </c>
      <c r="AN16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121"/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Message%20ID',Summary),filters:!(),index:'emp_*',interval:auto,query:(query_string:(analyze_wildcard:!t,query:'%22rtdc.l.rtdc.4031%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736</v>
      </c>
      <c r="B164" s="225">
        <v>4032</v>
      </c>
      <c r="C164" s="227" t="s">
        <v>192</v>
      </c>
      <c r="D164" s="227" t="s">
        <v>609</v>
      </c>
      <c r="E164" s="226">
        <v>43092.294432870367</v>
      </c>
      <c r="F164" s="226">
        <v>43092.298090277778</v>
      </c>
      <c r="G164" s="225">
        <v>64</v>
      </c>
      <c r="H164" s="227" t="s">
        <v>971</v>
      </c>
      <c r="I164" s="226">
        <v>43092.30773148148</v>
      </c>
      <c r="J164" s="225">
        <v>0</v>
      </c>
      <c r="K164" s="237" t="str">
        <f t="shared" si="99"/>
        <v>4031/4032</v>
      </c>
      <c r="L164" s="245" t="str">
        <f>VLOOKUP(A164,'Trips&amp;Operators'!$C$1:$G$99911,5,FALSE)</f>
        <v>LAMAR NEKESHA</v>
      </c>
      <c r="M164" s="224">
        <f t="shared" si="100"/>
        <v>9.6412037019035779E-3</v>
      </c>
      <c r="N164" s="225">
        <f t="shared" si="142"/>
        <v>13.883333330741152</v>
      </c>
      <c r="O164" s="225"/>
      <c r="P164" s="225"/>
      <c r="Q164" s="228"/>
      <c r="R164" s="242"/>
      <c r="S164" s="249">
        <f t="shared" si="143"/>
        <v>1</v>
      </c>
      <c r="T164" s="242" t="str">
        <f t="shared" si="101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102"/>
        <v>https://d0f6bd738d7f1b3e5a7ca70fe4ff75f0.us-east-1.aws.found.io/app/kibana#/discover/Steve-Slow-Train-Analysis-(2080s-and-2083s)?_g=(refreshInterval:(display:Off,pause:!f,section:0,value:0),time:(from:'2017-12-23T06:03:59-0700',mode:absolute,to:'2017-12-23T08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247" t="str">
        <f>IF(AA164&lt;VLOOKUP(AG164,Variables!$AC$3:$AD$8,2,FALSE),"Y","N")</f>
        <v>N</v>
      </c>
      <c r="X164" s="247">
        <f t="shared" si="134"/>
        <v>1</v>
      </c>
      <c r="Y164" s="247">
        <f t="shared" si="140"/>
        <v>4.5999999999999999E-2</v>
      </c>
      <c r="Z164" s="247">
        <f t="shared" si="141"/>
        <v>5.8982000000000001</v>
      </c>
      <c r="AA164" s="247">
        <f t="shared" si="103"/>
        <v>5.8521999999999998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104"/>
        <v>1803</v>
      </c>
      <c r="AE16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4" s="234" t="str">
        <f t="shared" si="106"/>
        <v>"C:\Program Files (x86)\AstroGrep\AstroGrep.exe" /e /r /s /spath="%USERPROFILE%\AppData\Local\Temp\OnboardLogs" /stypes="app*4032*20171223*" /stext=" 14:.+((SYSTEM_STATE.+slice.+state.+changed )|(ment ac)|(multiple cpu faults)|(system.+state.+changed )|(\[timeout)|(PRM\|1\|D)|(kpr)|(kdp)|(train st.+moving)|(\|lc)|(penalty))"</v>
      </c>
      <c r="AG164" s="244" t="str">
        <f t="shared" si="107"/>
        <v>NW</v>
      </c>
      <c r="AH164" s="236" t="str">
        <f t="shared" si="117"/>
        <v>"%USERPROFILE%\Documents\GitHub\eaglep3\Utilities\RefineRTDCRunTimes.py" --tripid 1803-23 --locoid 4032 --swversion DE.1.0.9.0 --startMP 204:460 --initTime 2017-12-23T07:03:59 --startdatetime 2017-12-23T07:09:15 --delay 64 --endMP 300:58982 --enddatetime 2017-12-23T07:23:08 --enforcementcount 0 &gt;&gt;%USERPROFILE%\Documents\GitHub\eaglep3-reporting\EC\2017-12-23-refined-times.txt</v>
      </c>
      <c r="AI16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{"issue":{"subject":"","project_id":79,"tracker_id":40,"status_id":1,"priority_id":2,"assigned_to_id":338,"start_date":"2017-12-23","description":"","custom_fields":[{"id":1,"name":"Subdivision","value":"NW"},{"id":4,"name":"Milepost","value":"5.8982"},{"id":17,"name":"Train ID","value":"1803-23"},{"id":16,"name":"Locomotive ID","value":"4032"},{"id":130,"name":"Impact","value":""},{"id":150,"name":"Time of Event (Mountain Time)","value":"07:23:08"},{"id":151,"name":"Denver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119"/>
        <v>start /low /b %USERPROFILE%\Documents\GitHub\eaglep3\Utilities\DownloadLogsFromS3.py --loco 4032 --day 2017-12-23</v>
      </c>
      <c r="AN16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121"/>
        <v>https://d0f6bd738d7f1b3e5a7ca70fe4ff75f0.us-east-1.aws.found.io/app/kibana#/discover/Steve-Slow-Train-Analysis-(2080s-and-2083s)?_g=(refreshInterval:(display:Off,pause:!f,section:0,value:0),time:(from:'2017-12-23T06:03:59-0700',mode:absolute,to:'2017-12-23T08:23:08-0700'))&amp;_a=(columns:!('Message%20ID',Summary),filters:!(),index:'emp_*',interval:auto,query:(query_string:(analyze_wildcard:!t,query:'%22rtdc.l.rtdc.4032%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25">
      <c r="A165" s="229" t="s">
        <v>739</v>
      </c>
      <c r="B165" s="225">
        <v>4031</v>
      </c>
      <c r="C165" s="227" t="s">
        <v>192</v>
      </c>
      <c r="D165" s="227" t="s">
        <v>972</v>
      </c>
      <c r="E165" s="226">
        <v>43092.308981481481</v>
      </c>
      <c r="F165" s="226">
        <v>43092.321608796294</v>
      </c>
      <c r="G165" s="225">
        <v>59</v>
      </c>
      <c r="H165" s="227" t="s">
        <v>895</v>
      </c>
      <c r="I165" s="226">
        <v>43092.330069444448</v>
      </c>
      <c r="J165" s="225">
        <v>0</v>
      </c>
      <c r="K165" s="237" t="str">
        <f t="shared" si="99"/>
        <v>4031/4032</v>
      </c>
      <c r="L165" s="245" t="str">
        <f>VLOOKUP(A165,'Trips&amp;Operators'!$C$1:$G$99911,5,FALSE)</f>
        <v>LAMAR NEKESHA</v>
      </c>
      <c r="M165" s="224">
        <f t="shared" si="100"/>
        <v>8.4606481541413814E-3</v>
      </c>
      <c r="N165" s="225">
        <f t="shared" si="142"/>
        <v>12.183333341963589</v>
      </c>
      <c r="O165" s="225"/>
      <c r="P165" s="225"/>
      <c r="Q165" s="228"/>
      <c r="R165" s="242"/>
      <c r="S165" s="249">
        <f t="shared" si="143"/>
        <v>1</v>
      </c>
      <c r="T165" s="242" t="str">
        <f t="shared" si="101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102"/>
        <v>https://d0f6bd738d7f1b3e5a7ca70fe4ff75f0.us-east-1.aws.found.io/app/kibana#/discover/Steve-Slow-Train-Analysis-(2080s-and-2083s)?_g=(refreshInterval:(display:Off,pause:!f,section:0,value:0),time:(from:'2017-12-23T06:24:56-0700',mode:absolute,to:'2017-12-23T08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247" t="str">
        <f>IF(AA165&lt;VLOOKUP(AG165,Variables!$AC$3:$AD$8,2,FALSE),"Y","N")</f>
        <v>N</v>
      </c>
      <c r="X165" s="247">
        <f t="shared" si="134"/>
        <v>1</v>
      </c>
      <c r="Y165" s="247">
        <f t="shared" si="140"/>
        <v>5.8672000000000004</v>
      </c>
      <c r="Z165" s="247">
        <f t="shared" si="141"/>
        <v>1.7999999999999999E-2</v>
      </c>
      <c r="AA165" s="247">
        <f t="shared" si="103"/>
        <v>5.8492000000000006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104"/>
        <v>1804</v>
      </c>
      <c r="AE16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5" s="234" t="str">
        <f t="shared" si="106"/>
        <v>"C:\Program Files (x86)\AstroGrep\AstroGrep.exe" /e /r /s /spath="%USERPROFILE%\AppData\Local\Temp\OnboardLogs" /stypes="app*4031*20171223*" /stext=" 14:.+((SYSTEM_STATE.+slice.+state.+changed )|(ment ac)|(multiple cpu faults)|(system.+state.+changed )|(\[timeout)|(PRM\|1\|D)|(kpr)|(kdp)|(train st.+moving)|(\|lc)|(penalty))"</v>
      </c>
      <c r="AG165" s="244" t="str">
        <f t="shared" si="107"/>
        <v>NW</v>
      </c>
      <c r="AH165" s="236" t="str">
        <f t="shared" si="117"/>
        <v>"%USERPROFILE%\Documents\GitHub\eaglep3\Utilities\RefineRTDCRunTimes.py" --tripid 1804-23 --locoid 4031 --swversion DE.1.0.9.0 --startMP 300:58672 --initTime 2017-12-23T07:24:56 --startdatetime 2017-12-23T07:43:07 --delay 59 --endMP 204:180 --enddatetime 2017-12-23T07:55:18 --enforcementcount 0 &gt;&gt;%USERPROFILE%\Documents\GitHub\eaglep3-reporting\EC\2017-12-23-refined-times.txt</v>
      </c>
      <c r="AI16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{"issue":{"subject":"","project_id":79,"tracker_id":40,"status_id":1,"priority_id":2,"assigned_to_id":338,"start_date":"2017-12-23","description":"","custom_fields":[{"id":1,"name":"Subdivision","value":"NW"},{"id":4,"name":"Milepost","value":"0.018"},{"id":17,"name":"Train ID","value":"1804-23"},{"id":16,"name":"Locomotive ID","value":"4031"},{"id":130,"name":"Impact","value":""},{"id":150,"name":"Time of Event (Mountain Time)","value":"07:55:18"},{"id":151,"name":"Denver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119"/>
        <v>start /low /b %USERPROFILE%\Documents\GitHub\eaglep3\Utilities\DownloadLogsFromS3.py --loco 4031 --day 2017-12-23</v>
      </c>
      <c r="AN165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121"/>
        <v>https://d0f6bd738d7f1b3e5a7ca70fe4ff75f0.us-east-1.aws.found.io/app/kibana#/discover/Steve-Slow-Train-Analysis-(2080s-and-2083s)?_g=(refreshInterval:(display:Off,pause:!f,section:0,value:0),time:(from:'2017-12-23T06:24:56-0700',mode:absolute,to:'2017-12-23T08:55:18-0700'))&amp;_a=(columns:!('Message%20ID',Summary),filters:!(),index:'emp_*',interval:auto,query:(query_string:(analyze_wildcard:!t,query:'%22rtdc.l.rtdc.4031%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25">
      <c r="A166" s="229" t="s">
        <v>743</v>
      </c>
      <c r="B166" s="225">
        <v>4032</v>
      </c>
      <c r="C166" s="227" t="s">
        <v>192</v>
      </c>
      <c r="D166" s="227" t="s">
        <v>534</v>
      </c>
      <c r="E166" s="226">
        <v>43092.331712962965</v>
      </c>
      <c r="F166" s="226">
        <v>43092.340150462966</v>
      </c>
      <c r="G166" s="225">
        <v>48</v>
      </c>
      <c r="H166" s="227" t="s">
        <v>973</v>
      </c>
      <c r="I166" s="226">
        <v>43092.349247685182</v>
      </c>
      <c r="J166" s="225">
        <v>0</v>
      </c>
      <c r="K166" s="237" t="str">
        <f t="shared" si="99"/>
        <v>4031/4032</v>
      </c>
      <c r="L166" s="245" t="str">
        <f>VLOOKUP(A166,'Trips&amp;Operators'!$C$1:$G$99911,5,FALSE)</f>
        <v>LAMAR NEKESHA</v>
      </c>
      <c r="M166" s="224">
        <f t="shared" si="100"/>
        <v>9.0972222169511952E-3</v>
      </c>
      <c r="N166" s="225">
        <f t="shared" si="142"/>
        <v>13.099999992409721</v>
      </c>
      <c r="O166" s="225"/>
      <c r="P166" s="225"/>
      <c r="Q166" s="228"/>
      <c r="R166" s="242"/>
      <c r="S166" s="249">
        <f t="shared" si="143"/>
        <v>1</v>
      </c>
      <c r="T166" s="242" t="str">
        <f t="shared" si="101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102"/>
        <v>https://d0f6bd738d7f1b3e5a7ca70fe4ff75f0.us-east-1.aws.found.io/app/kibana#/discover/Steve-Slow-Train-Analysis-(2080s-and-2083s)?_g=(refreshInterval:(display:Off,pause:!f,section:0,value:0),time:(from:'2017-12-23T06:57:40-0700',mode:absolute,to:'2017-12-23T09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247" t="str">
        <f>IF(AA166&lt;VLOOKUP(AG166,Variables!$AC$3:$AD$8,2,FALSE),"Y","N")</f>
        <v>N</v>
      </c>
      <c r="X166" s="247">
        <f t="shared" ref="X166:X181" si="144">VALUE(LEFT(AD166,4))-VALUE(LEFT(AD165,4))</f>
        <v>1</v>
      </c>
      <c r="Y166" s="247">
        <f t="shared" si="140"/>
        <v>4.82E-2</v>
      </c>
      <c r="Z166" s="247">
        <f t="shared" si="141"/>
        <v>5.8975999999999997</v>
      </c>
      <c r="AA166" s="247">
        <f t="shared" si="103"/>
        <v>5.8494000000000002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104"/>
        <v>1805</v>
      </c>
      <c r="AE16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6" s="234" t="str">
        <f t="shared" si="106"/>
        <v>"C:\Program Files (x86)\AstroGrep\AstroGrep.exe" /e /r /s /spath="%USERPROFILE%\AppData\Local\Temp\OnboardLogs" /stypes="app*4032*20171223*" /stext=" 15:.+((SYSTEM_STATE.+slice.+state.+changed )|(ment ac)|(multiple cpu faults)|(system.+state.+changed )|(\[timeout)|(PRM\|1\|D)|(kpr)|(kdp)|(train st.+moving)|(\|lc)|(penalty))"</v>
      </c>
      <c r="AG166" s="244" t="str">
        <f t="shared" si="107"/>
        <v>NW</v>
      </c>
      <c r="AH166" s="236" t="str">
        <f t="shared" si="117"/>
        <v>"%USERPROFILE%\Documents\GitHub\eaglep3\Utilities\RefineRTDCRunTimes.py" --tripid 1805-23 --locoid 4032 --swversion DE.1.0.9.0 --startMP 204:482 --initTime 2017-12-23T07:57:40 --startdatetime 2017-12-23T08:09:49 --delay 48 --endMP 300:58976 --enddatetime 2017-12-23T08:22:55 --enforcementcount 0 &gt;&gt;%USERPROFILE%\Documents\GitHub\eaglep3-reporting\EC\2017-12-23-refined-times.txt</v>
      </c>
      <c r="AI166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{"issue":{"subject":"","project_id":79,"tracker_id":40,"status_id":1,"priority_id":2,"assigned_to_id":338,"start_date":"2017-12-23","description":"","custom_fields":[{"id":1,"name":"Subdivision","value":"NW"},{"id":4,"name":"Milepost","value":"5.8976"},{"id":17,"name":"Train ID","value":"1805-23"},{"id":16,"name":"Locomotive ID","value":"4032"},{"id":130,"name":"Impact","value":""},{"id":150,"name":"Time of Event (Mountain Time)","value":"08:22:55"},{"id":151,"name":"Denver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119"/>
        <v>start /low /b %USERPROFILE%\Documents\GitHub\eaglep3\Utilities\DownloadLogsFromS3.py --loco 4032 --day 2017-12-23</v>
      </c>
      <c r="AN166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121"/>
        <v>https://d0f6bd738d7f1b3e5a7ca70fe4ff75f0.us-east-1.aws.found.io/app/kibana#/discover/Steve-Slow-Train-Analysis-(2080s-and-2083s)?_g=(refreshInterval:(display:Off,pause:!f,section:0,value:0),time:(from:'2017-12-23T06:57:40-0700',mode:absolute,to:'2017-12-23T09:22:55-0700'))&amp;_a=(columns:!('Message%20ID',Summary),filters:!(),index:'emp_*',interval:auto,query:(query_string:(analyze_wildcard:!t,query:'%22rtdc.l.rtdc.4032%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29" t="s">
        <v>747</v>
      </c>
      <c r="B167" s="225">
        <v>4031</v>
      </c>
      <c r="C167" s="227" t="s">
        <v>192</v>
      </c>
      <c r="D167" s="227" t="s">
        <v>969</v>
      </c>
      <c r="E167" s="226">
        <v>43092.350347222222</v>
      </c>
      <c r="F167" s="226">
        <v>43092.363275462965</v>
      </c>
      <c r="G167" s="225">
        <v>53</v>
      </c>
      <c r="H167" s="227" t="s">
        <v>574</v>
      </c>
      <c r="I167" s="226">
        <v>43092.371770833335</v>
      </c>
      <c r="J167" s="225">
        <v>0</v>
      </c>
      <c r="K167" s="237" t="str">
        <f t="shared" si="99"/>
        <v>4031/4032</v>
      </c>
      <c r="L167" s="245" t="str">
        <f>VLOOKUP(A167,'Trips&amp;Operators'!$C$1:$G$99911,5,FALSE)</f>
        <v>LAMAR NEKESHA</v>
      </c>
      <c r="M167" s="224">
        <f t="shared" si="100"/>
        <v>8.4953703699284233E-3</v>
      </c>
      <c r="N167" s="225">
        <f t="shared" si="142"/>
        <v>12.23333333269693</v>
      </c>
      <c r="O167" s="225"/>
      <c r="P167" s="225"/>
      <c r="Q167" s="228"/>
      <c r="R167" s="242"/>
      <c r="S167" s="249">
        <f t="shared" si="143"/>
        <v>1</v>
      </c>
      <c r="T167" s="242" t="str">
        <f t="shared" si="101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102"/>
        <v>https://d0f6bd738d7f1b3e5a7ca70fe4ff75f0.us-east-1.aws.found.io/app/kibana#/discover/Steve-Slow-Train-Analysis-(2080s-and-2083s)?_g=(refreshInterval:(display:Off,pause:!f,section:0,value:0),time:(from:'2017-12-23T07:24:30-0700',mode:absolute,to:'2017-12-23T09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247" t="str">
        <f>IF(AA167&lt;VLOOKUP(AG167,Variables!$AC$3:$AD$8,2,FALSE),"Y","N")</f>
        <v>N</v>
      </c>
      <c r="X167" s="247">
        <f t="shared" si="144"/>
        <v>1</v>
      </c>
      <c r="Y167" s="247">
        <f t="shared" si="140"/>
        <v>5.8663999999999996</v>
      </c>
      <c r="Z167" s="247">
        <f t="shared" si="141"/>
        <v>1.6899999999999998E-2</v>
      </c>
      <c r="AA167" s="247">
        <f t="shared" si="103"/>
        <v>5.8494999999999999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104"/>
        <v>1806</v>
      </c>
      <c r="AE16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7" s="234" t="str">
        <f t="shared" si="106"/>
        <v>"C:\Program Files (x86)\AstroGrep\AstroGrep.exe" /e /r /s /spath="%USERPROFILE%\AppData\Local\Temp\OnboardLogs" /stypes="app*4031*20171223*" /stext=" 15:.+((SYSTEM_STATE.+slice.+state.+changed )|(ment ac)|(multiple cpu faults)|(system.+state.+changed )|(\[timeout)|(PRM\|1\|D)|(kpr)|(kdp)|(train st.+moving)|(\|lc)|(penalty))"</v>
      </c>
      <c r="AG167" s="244" t="str">
        <f t="shared" si="107"/>
        <v>NW</v>
      </c>
      <c r="AH167" s="236" t="str">
        <f t="shared" si="117"/>
        <v>"%USERPROFILE%\Documents\GitHub\eaglep3\Utilities\RefineRTDCRunTimes.py" --tripid 1806-23 --locoid 4031 --swversion DE.1.0.9.0 --startMP 300:58664 --initTime 2017-12-23T08:24:30 --startdatetime 2017-12-23T08:43:07 --delay 53 --endMP 204:169 --enddatetime 2017-12-23T08:55:21 --enforcementcount 0 &gt;&gt;%USERPROFILE%\Documents\GitHub\eaglep3-reporting\EC\2017-12-23-refined-times.txt</v>
      </c>
      <c r="AI16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{"issue":{"subject":"","project_id":79,"tracker_id":40,"status_id":1,"priority_id":2,"assigned_to_id":338,"start_date":"2017-12-23","description":"","custom_fields":[{"id":1,"name":"Subdivision","value":"NW"},{"id":4,"name":"Milepost","value":"0.0169"},{"id":17,"name":"Train ID","value":"1806-23"},{"id":16,"name":"Locomotive ID","value":"4031"},{"id":130,"name":"Impact","value":""},{"id":150,"name":"Time of Event (Mountain Time)","value":"08:55:21"},{"id":151,"name":"Denver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119"/>
        <v>start /low /b %USERPROFILE%\Documents\GitHub\eaglep3\Utilities\DownloadLogsFromS3.py --loco 4031 --day 2017-12-23</v>
      </c>
      <c r="AN16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15:55:21"},{"id":29,"name":"Sharepoint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121"/>
        <v>https://d0f6bd738d7f1b3e5a7ca70fe4ff75f0.us-east-1.aws.found.io/app/kibana#/discover/Steve-Slow-Train-Analysis-(2080s-and-2083s)?_g=(refreshInterval:(display:Off,pause:!f,section:0,value:0),time:(from:'2017-12-23T07:24:30-0700',mode:absolute,to:'2017-12-23T09:55:21-0700'))&amp;_a=(columns:!('Message%20ID',Summary),filters:!(),index:'emp_*',interval:auto,query:(query_string:(analyze_wildcard:!t,query:'%22rtdc.l.rtdc.4031%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752</v>
      </c>
      <c r="B168" s="225">
        <v>4032</v>
      </c>
      <c r="C168" s="227" t="s">
        <v>192</v>
      </c>
      <c r="D168" s="227" t="s">
        <v>534</v>
      </c>
      <c r="E168" s="226">
        <v>43092.372916666667</v>
      </c>
      <c r="F168" s="226">
        <v>43092.381539351853</v>
      </c>
      <c r="G168" s="225">
        <v>51</v>
      </c>
      <c r="H168" s="227" t="s">
        <v>974</v>
      </c>
      <c r="I168" s="226">
        <v>43092.390763888892</v>
      </c>
      <c r="J168" s="225">
        <v>0</v>
      </c>
      <c r="K168" s="237" t="str">
        <f t="shared" si="99"/>
        <v>4031/4032</v>
      </c>
      <c r="L168" s="245" t="str">
        <f>VLOOKUP(A168,'Trips&amp;Operators'!$C$1:$G$99911,5,FALSE)</f>
        <v>LAMAR NEKESHA</v>
      </c>
      <c r="M168" s="224">
        <f t="shared" si="100"/>
        <v>9.2245370396994986E-3</v>
      </c>
      <c r="N168" s="225">
        <f t="shared" si="142"/>
        <v>13.283333337167278</v>
      </c>
      <c r="O168" s="225"/>
      <c r="P168" s="225"/>
      <c r="Q168" s="228"/>
      <c r="R168" s="242"/>
      <c r="S168" s="249">
        <f t="shared" si="143"/>
        <v>1</v>
      </c>
      <c r="T168" s="242" t="str">
        <f t="shared" si="101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102"/>
        <v>https://d0f6bd738d7f1b3e5a7ca70fe4ff75f0.us-east-1.aws.found.io/app/kibana#/discover/Steve-Slow-Train-Analysis-(2080s-and-2083s)?_g=(refreshInterval:(display:Off,pause:!f,section:0,value:0),time:(from:'2017-12-23T07:57:00-0700',mode:absolute,to:'2017-12-23T10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247" t="str">
        <f>IF(AA168&lt;VLOOKUP(AG168,Variables!$AC$3:$AD$8,2,FALSE),"Y","N")</f>
        <v>N</v>
      </c>
      <c r="X168" s="247">
        <f t="shared" si="144"/>
        <v>1</v>
      </c>
      <c r="Y168" s="247">
        <f t="shared" si="140"/>
        <v>4.82E-2</v>
      </c>
      <c r="Z168" s="247">
        <f t="shared" si="141"/>
        <v>5.8979999999999997</v>
      </c>
      <c r="AA168" s="247">
        <f t="shared" si="103"/>
        <v>5.8498000000000001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104"/>
        <v>1807</v>
      </c>
      <c r="AE16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68" s="234" t="str">
        <f t="shared" si="106"/>
        <v>"C:\Program Files (x86)\AstroGrep\AstroGrep.exe" /e /r /s /spath="%USERPROFILE%\AppData\Local\Temp\OnboardLogs" /stypes="app*4032*20171223*" /stext=" 16:.+((SYSTEM_STATE.+slice.+state.+changed )|(ment ac)|(multiple cpu faults)|(system.+state.+changed )|(\[timeout)|(PRM\|1\|D)|(kpr)|(kdp)|(train st.+moving)|(\|lc)|(penalty))"</v>
      </c>
      <c r="AG168" s="244" t="str">
        <f t="shared" si="107"/>
        <v>NW</v>
      </c>
      <c r="AH168" s="236" t="str">
        <f t="shared" si="117"/>
        <v>"%USERPROFILE%\Documents\GitHub\eaglep3\Utilities\RefineRTDCRunTimes.py" --tripid 1807-23 --locoid 4032 --swversion DE.1.0.9.0 --startMP 204:482 --initTime 2017-12-23T08:57:00 --startdatetime 2017-12-23T09:09:25 --delay 51 --endMP 300:58980 --enddatetime 2017-12-23T09:22:42 --enforcementcount 0 &gt;&gt;%USERPROFILE%\Documents\GitHub\eaglep3-reporting\EC\2017-12-23-refined-times.txt</v>
      </c>
      <c r="AI16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{"issue":{"subject":"","project_id":79,"tracker_id":40,"status_id":1,"priority_id":2,"assigned_to_id":338,"start_date":"2017-12-23","description":"","custom_fields":[{"id":1,"name":"Subdivision","value":"NW"},{"id":4,"name":"Milepost","value":"5.898"},{"id":17,"name":"Train ID","value":"1807-23"},{"id":16,"name":"Locomotive ID","value":"4032"},{"id":130,"name":"Impact","value":""},{"id":150,"name":"Time of Event (Mountain Time)","value":"09:22:42"},{"id":151,"name":"Denver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119"/>
        <v>start /low /b %USERPROFILE%\Documents\GitHub\eaglep3\Utilities\DownloadLogsFromS3.py --loco 4032 --day 2017-12-23</v>
      </c>
      <c r="AN16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121"/>
        <v>https://d0f6bd738d7f1b3e5a7ca70fe4ff75f0.us-east-1.aws.found.io/app/kibana#/discover/Steve-Slow-Train-Analysis-(2080s-and-2083s)?_g=(refreshInterval:(display:Off,pause:!f,section:0,value:0),time:(from:'2017-12-23T07:57:00-0700',mode:absolute,to:'2017-12-23T10:22:42-0700'))&amp;_a=(columns:!('Message%20ID',Summary),filters:!(),index:'emp_*',interval:auto,query:(query_string:(analyze_wildcard:!t,query:'%22rtdc.l.rtdc.4032%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29" t="s">
        <v>756</v>
      </c>
      <c r="B169" s="225">
        <v>4031</v>
      </c>
      <c r="C169" s="227" t="s">
        <v>192</v>
      </c>
      <c r="D169" s="227" t="s">
        <v>975</v>
      </c>
      <c r="E169" s="226">
        <v>43092.392013888886</v>
      </c>
      <c r="F169" s="226">
        <v>43092.404780092591</v>
      </c>
      <c r="G169" s="225">
        <v>54</v>
      </c>
      <c r="H169" s="227" t="s">
        <v>648</v>
      </c>
      <c r="I169" s="226">
        <v>43092.413263888891</v>
      </c>
      <c r="J169" s="225">
        <v>0</v>
      </c>
      <c r="K169" s="237" t="str">
        <f t="shared" si="99"/>
        <v>4031/4032</v>
      </c>
      <c r="L169" s="245" t="str">
        <f>VLOOKUP(A169,'Trips&amp;Operators'!$C$1:$G$99911,5,FALSE)</f>
        <v>LAMAR NEKESHA</v>
      </c>
      <c r="M169" s="224">
        <f t="shared" si="100"/>
        <v>8.4837963004247285E-3</v>
      </c>
      <c r="N169" s="225">
        <f t="shared" si="142"/>
        <v>12.216666672611609</v>
      </c>
      <c r="O169" s="225"/>
      <c r="P169" s="225"/>
      <c r="Q169" s="228"/>
      <c r="R169" s="242"/>
      <c r="S169" s="249">
        <f t="shared" si="143"/>
        <v>1</v>
      </c>
      <c r="T169" s="242" t="str">
        <f t="shared" si="101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102"/>
        <v>https://d0f6bd738d7f1b3e5a7ca70fe4ff75f0.us-east-1.aws.found.io/app/kibana#/discover/Steve-Slow-Train-Analysis-(2080s-and-2083s)?_g=(refreshInterval:(display:Off,pause:!f,section:0,value:0),time:(from:'2017-12-23T08:24:30-0700',mode:absolute,to:'2017-12-23T10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247" t="str">
        <f>IF(AA169&lt;VLOOKUP(AG169,Variables!$AC$3:$AD$8,2,FALSE),"Y","N")</f>
        <v>N</v>
      </c>
      <c r="X169" s="247">
        <f t="shared" si="144"/>
        <v>1</v>
      </c>
      <c r="Y169" s="247">
        <f t="shared" si="140"/>
        <v>5.8658000000000001</v>
      </c>
      <c r="Z169" s="247">
        <f t="shared" si="141"/>
        <v>1.4800000000000001E-2</v>
      </c>
      <c r="AA169" s="247">
        <f t="shared" si="103"/>
        <v>5.851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104"/>
        <v>1808</v>
      </c>
      <c r="AE16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69" s="234" t="str">
        <f t="shared" si="106"/>
        <v>"C:\Program Files (x86)\AstroGrep\AstroGrep.exe" /e /r /s /spath="%USERPROFILE%\AppData\Local\Temp\OnboardLogs" /stypes="app*4031*20171223*" /stext=" 16:.+((SYSTEM_STATE.+slice.+state.+changed )|(ment ac)|(multiple cpu faults)|(system.+state.+changed )|(\[timeout)|(PRM\|1\|D)|(kpr)|(kdp)|(train st.+moving)|(\|lc)|(penalty))"</v>
      </c>
      <c r="AG169" s="244" t="str">
        <f t="shared" si="107"/>
        <v>NW</v>
      </c>
      <c r="AH169" s="236" t="str">
        <f t="shared" si="117"/>
        <v>"%USERPROFILE%\Documents\GitHub\eaglep3\Utilities\RefineRTDCRunTimes.py" --tripid 1808-23 --locoid 4031 --swversion DE.1.0.9.0 --startMP 300:58658 --initTime 2017-12-23T09:24:30 --startdatetime 2017-12-23T09:42:53 --delay 54 --endMP 204:148 --enddatetime 2017-12-23T09:55:06 --enforcementcount 0 &gt;&gt;%USERPROFILE%\Documents\GitHub\eaglep3-reporting\EC\2017-12-23-refined-times.txt</v>
      </c>
      <c r="AI16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{"issue":{"subject":"","project_id":79,"tracker_id":40,"status_id":1,"priority_id":2,"assigned_to_id":338,"start_date":"2017-12-23","description":"","custom_fields":[{"id":1,"name":"Subdivision","value":"NW"},{"id":4,"name":"Milepost","value":"0.0148"},{"id":17,"name":"Train ID","value":"1808-23"},{"id":16,"name":"Locomotive ID","value":"4031"},{"id":130,"name":"Impact","value":""},{"id":150,"name":"Time of Event (Mountain Time)","value":"09:55:06"},{"id":151,"name":"Denver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119"/>
        <v>start /low /b %USERPROFILE%\Documents\GitHub\eaglep3\Utilities\DownloadLogsFromS3.py --loco 4031 --day 2017-12-23</v>
      </c>
      <c r="AN16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16:55:06"},{"id":29,"name":"Sharepoint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121"/>
        <v>https://d0f6bd738d7f1b3e5a7ca70fe4ff75f0.us-east-1.aws.found.io/app/kibana#/discover/Steve-Slow-Train-Analysis-(2080s-and-2083s)?_g=(refreshInterval:(display:Off,pause:!f,section:0,value:0),time:(from:'2017-12-23T08:24:30-0700',mode:absolute,to:'2017-12-23T10:55:06-0700'))&amp;_a=(columns:!('Message%20ID',Summary),filters:!(),index:'emp_*',interval:auto,query:(query_string:(analyze_wildcard:!t,query:'%22rtdc.l.rtdc.4031%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9" t="s">
        <v>762</v>
      </c>
      <c r="B170" s="225">
        <v>4032</v>
      </c>
      <c r="C170" s="227" t="s">
        <v>192</v>
      </c>
      <c r="D170" s="227" t="s">
        <v>521</v>
      </c>
      <c r="E170" s="226">
        <v>43092.414884259262</v>
      </c>
      <c r="F170" s="226">
        <v>43092.423101851855</v>
      </c>
      <c r="G170" s="225">
        <v>51</v>
      </c>
      <c r="H170" s="227" t="s">
        <v>976</v>
      </c>
      <c r="I170" s="226">
        <v>43092.432326388887</v>
      </c>
      <c r="J170" s="225">
        <v>0</v>
      </c>
      <c r="K170" s="237" t="str">
        <f t="shared" si="99"/>
        <v>4031/4032</v>
      </c>
      <c r="L170" s="245" t="str">
        <f>VLOOKUP(A170,'Trips&amp;Operators'!$C$1:$G$99911,5,FALSE)</f>
        <v>LAMAR NEKESHA</v>
      </c>
      <c r="M170" s="224">
        <f t="shared" si="100"/>
        <v>9.2245370324235409E-3</v>
      </c>
      <c r="N170" s="225">
        <f t="shared" si="142"/>
        <v>13.283333326689899</v>
      </c>
      <c r="O170" s="225"/>
      <c r="P170" s="225"/>
      <c r="Q170" s="228"/>
      <c r="R170" s="242"/>
      <c r="S170" s="249">
        <f t="shared" si="143"/>
        <v>1</v>
      </c>
      <c r="T170" s="242" t="str">
        <f t="shared" si="101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102"/>
        <v>https://d0f6bd738d7f1b3e5a7ca70fe4ff75f0.us-east-1.aws.found.io/app/kibana#/discover/Steve-Slow-Train-Analysis-(2080s-and-2083s)?_g=(refreshInterval:(display:Off,pause:!f,section:0,value:0),time:(from:'2017-12-23T08:57:26-0700',mode:absolute,to:'2017-12-23T11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247" t="str">
        <f>IF(AA170&lt;VLOOKUP(AG170,Variables!$AC$3:$AD$8,2,FALSE),"Y","N")</f>
        <v>N</v>
      </c>
      <c r="X170" s="247">
        <f t="shared" si="144"/>
        <v>1</v>
      </c>
      <c r="Y170" s="247">
        <f t="shared" si="140"/>
        <v>4.6399999999999997E-2</v>
      </c>
      <c r="Z170" s="247">
        <f t="shared" si="141"/>
        <v>5.8978000000000002</v>
      </c>
      <c r="AA170" s="247">
        <f t="shared" si="103"/>
        <v>5.8513999999999999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104"/>
        <v>1809</v>
      </c>
      <c r="AE17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0" s="234" t="str">
        <f t="shared" si="106"/>
        <v>"C:\Program Files (x86)\AstroGrep\AstroGrep.exe" /e /r /s /spath="%USERPROFILE%\AppData\Local\Temp\OnboardLogs" /stypes="app*4032*20171223*" /stext=" 17:.+((SYSTEM_STATE.+slice.+state.+changed )|(ment ac)|(multiple cpu faults)|(system.+state.+changed )|(\[timeout)|(PRM\|1\|D)|(kpr)|(kdp)|(train st.+moving)|(\|lc)|(penalty))"</v>
      </c>
      <c r="AG170" s="244" t="str">
        <f t="shared" si="107"/>
        <v>NW</v>
      </c>
      <c r="AH170" s="236" t="str">
        <f t="shared" si="117"/>
        <v>"%USERPROFILE%\Documents\GitHub\eaglep3\Utilities\RefineRTDCRunTimes.py" --tripid 1809-23 --locoid 4032 --swversion DE.1.0.9.0 --startMP 204:464 --initTime 2017-12-23T09:57:26 --startdatetime 2017-12-23T10:09:16 --delay 51 --endMP 300:58978 --enddatetime 2017-12-23T10:22:33 --enforcementcount 0 &gt;&gt;%USERPROFILE%\Documents\GitHub\eaglep3-reporting\EC\2017-12-23-refined-times.txt</v>
      </c>
      <c r="AI17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{"issue":{"subject":"","project_id":79,"tracker_id":40,"status_id":1,"priority_id":2,"assigned_to_id":338,"start_date":"2017-12-23","description":"","custom_fields":[{"id":1,"name":"Subdivision","value":"NW"},{"id":4,"name":"Milepost","value":"5.8978"},{"id":17,"name":"Train ID","value":"1809-23"},{"id":16,"name":"Locomotive ID","value":"4032"},{"id":130,"name":"Impact","value":""},{"id":150,"name":"Time of Event (Mountain Time)","value":"10:22:33"},{"id":151,"name":"Denver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119"/>
        <v>start /low /b %USERPROFILE%\Documents\GitHub\eaglep3\Utilities\DownloadLogsFromS3.py --loco 4032 --day 2017-12-23</v>
      </c>
      <c r="AN17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121"/>
        <v>https://d0f6bd738d7f1b3e5a7ca70fe4ff75f0.us-east-1.aws.found.io/app/kibana#/discover/Steve-Slow-Train-Analysis-(2080s-and-2083s)?_g=(refreshInterval:(display:Off,pause:!f,section:0,value:0),time:(from:'2017-12-23T08:57:26-0700',mode:absolute,to:'2017-12-23T11:22:33-0700'))&amp;_a=(columns:!('Message%20ID',Summary),filters:!(),index:'emp_*',interval:auto,query:(query_string:(analyze_wildcard:!t,query:'%22rtdc.l.rtdc.4032%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25">
      <c r="A171" s="229" t="s">
        <v>767</v>
      </c>
      <c r="B171" s="225">
        <v>4031</v>
      </c>
      <c r="C171" s="227" t="s">
        <v>192</v>
      </c>
      <c r="D171" s="227" t="s">
        <v>650</v>
      </c>
      <c r="E171" s="226">
        <v>43092.433576388888</v>
      </c>
      <c r="F171" s="226">
        <v>43092.446342592593</v>
      </c>
      <c r="G171" s="225">
        <v>53</v>
      </c>
      <c r="H171" s="227" t="s">
        <v>978</v>
      </c>
      <c r="I171" s="226">
        <v>43092.455231481479</v>
      </c>
      <c r="J171" s="225">
        <v>0</v>
      </c>
      <c r="K171" s="237" t="str">
        <f t="shared" si="99"/>
        <v>4031/4032</v>
      </c>
      <c r="L171" s="245" t="str">
        <f>VLOOKUP(A171,'Trips&amp;Operators'!$C$1:$G$99911,5,FALSE)</f>
        <v>LAMAR NEKESHA</v>
      </c>
      <c r="M171" s="224">
        <f t="shared" si="100"/>
        <v>8.8888888858491555E-3</v>
      </c>
      <c r="N171" s="225">
        <f t="shared" si="142"/>
        <v>12.799999995622784</v>
      </c>
      <c r="O171" s="225"/>
      <c r="P171" s="225"/>
      <c r="Q171" s="228"/>
      <c r="R171" s="242"/>
      <c r="S171" s="249">
        <f t="shared" si="143"/>
        <v>1</v>
      </c>
      <c r="T171" s="242" t="str">
        <f t="shared" si="101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102"/>
        <v>https://d0f6bd738d7f1b3e5a7ca70fe4ff75f0.us-east-1.aws.found.io/app/kibana#/discover/Steve-Slow-Train-Analysis-(2080s-and-2083s)?_g=(refreshInterval:(display:Off,pause:!f,section:0,value:0),time:(from:'2017-12-23T09:24:21-0700',mode:absolute,to:'2017-12-23T11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247" t="str">
        <f>IF(AA171&lt;VLOOKUP(AG171,Variables!$AC$3:$AD$8,2,FALSE),"Y","N")</f>
        <v>N</v>
      </c>
      <c r="X171" s="247">
        <f t="shared" si="144"/>
        <v>1</v>
      </c>
      <c r="Y171" s="247">
        <f t="shared" si="140"/>
        <v>5.8659999999999997</v>
      </c>
      <c r="Z171" s="247">
        <f t="shared" si="141"/>
        <v>1.8200000000000001E-2</v>
      </c>
      <c r="AA171" s="247">
        <f t="shared" si="103"/>
        <v>5.8477999999999994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104"/>
        <v>1810</v>
      </c>
      <c r="AE17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1" s="234" t="str">
        <f t="shared" si="106"/>
        <v>"C:\Program Files (x86)\AstroGrep\AstroGrep.exe" /e /r /s /spath="%USERPROFILE%\AppData\Local\Temp\OnboardLogs" /stypes="app*4031*20171223*" /stext=" 17:.+((SYSTEM_STATE.+slice.+state.+changed )|(ment ac)|(multiple cpu faults)|(system.+state.+changed )|(\[timeout)|(PRM\|1\|D)|(kpr)|(kdp)|(train st.+moving)|(\|lc)|(penalty))"</v>
      </c>
      <c r="AG171" s="244" t="str">
        <f t="shared" si="107"/>
        <v>NW</v>
      </c>
      <c r="AH171" s="236" t="str">
        <f t="shared" si="117"/>
        <v>"%USERPROFILE%\Documents\GitHub\eaglep3\Utilities\RefineRTDCRunTimes.py" --tripid 1810-23 --locoid 4031 --swversion DE.1.0.9.0 --startMP 300:58660 --initTime 2017-12-23T10:24:21 --startdatetime 2017-12-23T10:42:44 --delay 53 --endMP 204:182 --enddatetime 2017-12-23T10:55:32 --enforcementcount 0 &gt;&gt;%USERPROFILE%\Documents\GitHub\eaglep3-reporting\EC\2017-12-23-refined-times.txt</v>
      </c>
      <c r="AI17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{"issue":{"subject":"","project_id":79,"tracker_id":40,"status_id":1,"priority_id":2,"assigned_to_id":338,"start_date":"2017-12-23","description":"","custom_fields":[{"id":1,"name":"Subdivision","value":"NW"},{"id":4,"name":"Milepost","value":"0.0182"},{"id":17,"name":"Train ID","value":"1810-23"},{"id":16,"name":"Locomotive ID","value":"4031"},{"id":130,"name":"Impact","value":""},{"id":150,"name":"Time of Event (Mountain Time)","value":"10:55:32"},{"id":151,"name":"Denver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119"/>
        <v>start /low /b %USERPROFILE%\Documents\GitHub\eaglep3\Utilities\DownloadLogsFromS3.py --loco 4031 --day 2017-12-23</v>
      </c>
      <c r="AN17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121"/>
        <v>https://d0f6bd738d7f1b3e5a7ca70fe4ff75f0.us-east-1.aws.found.io/app/kibana#/discover/Steve-Slow-Train-Analysis-(2080s-and-2083s)?_g=(refreshInterval:(display:Off,pause:!f,section:0,value:0),time:(from:'2017-12-23T09:24:21-0700',mode:absolute,to:'2017-12-23T11:55:32-0700'))&amp;_a=(columns:!('Message%20ID',Summary),filters:!(),index:'emp_*',interval:auto,query:(query_string:(analyze_wildcard:!t,query:'%22rtdc.l.rtdc.4031%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774</v>
      </c>
      <c r="B172" s="225">
        <v>4032</v>
      </c>
      <c r="C172" s="227" t="s">
        <v>192</v>
      </c>
      <c r="D172" s="227" t="s">
        <v>620</v>
      </c>
      <c r="E172" s="226">
        <v>43092.457002314812</v>
      </c>
      <c r="F172" s="226">
        <v>43092.464907407404</v>
      </c>
      <c r="G172" s="225">
        <v>78</v>
      </c>
      <c r="H172" s="227" t="s">
        <v>979</v>
      </c>
      <c r="I172" s="226">
        <v>43092.47451388889</v>
      </c>
      <c r="J172" s="225">
        <v>0</v>
      </c>
      <c r="K172" s="237" t="str">
        <f t="shared" si="99"/>
        <v>4031/4032</v>
      </c>
      <c r="L172" s="245" t="str">
        <f>VLOOKUP(A172,'Trips&amp;Operators'!$C$1:$G$99911,5,FALSE)</f>
        <v>LAMAR NEKESHA</v>
      </c>
      <c r="M172" s="224">
        <f t="shared" si="100"/>
        <v>9.606481486116536E-3</v>
      </c>
      <c r="N172" s="225">
        <f t="shared" si="142"/>
        <v>13.833333340007812</v>
      </c>
      <c r="O172" s="225"/>
      <c r="P172" s="225"/>
      <c r="Q172" s="228"/>
      <c r="R172" s="242"/>
      <c r="S172" s="249">
        <f t="shared" si="143"/>
        <v>1</v>
      </c>
      <c r="T172" s="242" t="str">
        <f t="shared" si="101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102"/>
        <v>https://d0f6bd738d7f1b3e5a7ca70fe4ff75f0.us-east-1.aws.found.io/app/kibana#/discover/Steve-Slow-Train-Analysis-(2080s-and-2083s)?_g=(refreshInterval:(display:Off,pause:!f,section:0,value:0),time:(from:'2017-12-23T09:58:05-0700',mode:absolute,to:'2017-12-23T12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247" t="str">
        <f>IF(AA172&lt;VLOOKUP(AG172,Variables!$AC$3:$AD$8,2,FALSE),"Y","N")</f>
        <v>N</v>
      </c>
      <c r="X172" s="247">
        <f t="shared" si="144"/>
        <v>1</v>
      </c>
      <c r="Y172" s="247">
        <f t="shared" si="140"/>
        <v>4.8899999999999999E-2</v>
      </c>
      <c r="Z172" s="247">
        <f t="shared" si="141"/>
        <v>5.899</v>
      </c>
      <c r="AA172" s="247">
        <f t="shared" si="103"/>
        <v>5.8501000000000003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104"/>
        <v>1811</v>
      </c>
      <c r="AE17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2" s="234" t="str">
        <f t="shared" si="106"/>
        <v>"C:\Program Files (x86)\AstroGrep\AstroGrep.exe" /e /r /s /spath="%USERPROFILE%\AppData\Local\Temp\OnboardLogs" /stypes="app*4032*20171223*" /stext=" 18:.+((SYSTEM_STATE.+slice.+state.+changed )|(ment ac)|(multiple cpu faults)|(system.+state.+changed )|(\[timeout)|(PRM\|1\|D)|(kpr)|(kdp)|(train st.+moving)|(\|lc)|(penalty))"</v>
      </c>
      <c r="AG172" s="244" t="str">
        <f t="shared" si="107"/>
        <v>NW</v>
      </c>
      <c r="AH172" s="236" t="str">
        <f t="shared" si="117"/>
        <v>"%USERPROFILE%\Documents\GitHub\eaglep3\Utilities\RefineRTDCRunTimes.py" --tripid 1811-23 --locoid 4032 --swversion DE.1.0.9.0 --startMP 204:489 --initTime 2017-12-23T10:58:05 --startdatetime 2017-12-23T11:09:28 --delay 78 --endMP 300:58990 --enddatetime 2017-12-23T11:23:18 --enforcementcount 0 &gt;&gt;%USERPROFILE%\Documents\GitHub\eaglep3-reporting\EC\2017-12-23-refined-times.txt</v>
      </c>
      <c r="AI17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{"issue":{"subject":"","project_id":79,"tracker_id":40,"status_id":1,"priority_id":2,"assigned_to_id":338,"start_date":"2017-12-23","description":"","custom_fields":[{"id":1,"name":"Subdivision","value":"NW"},{"id":4,"name":"Milepost","value":"5.899"},{"id":17,"name":"Train ID","value":"1811-23"},{"id":16,"name":"Locomotive ID","value":"4032"},{"id":130,"name":"Impact","value":""},{"id":150,"name":"Time of Event (Mountain Time)","value":"11:23:18"},{"id":151,"name":"Denver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119"/>
        <v>start /low /b %USERPROFILE%\Documents\GitHub\eaglep3\Utilities\DownloadLogsFromS3.py --loco 4032 --day 2017-12-23</v>
      </c>
      <c r="AN17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121"/>
        <v>https://d0f6bd738d7f1b3e5a7ca70fe4ff75f0.us-east-1.aws.found.io/app/kibana#/discover/Steve-Slow-Train-Analysis-(2080s-and-2083s)?_g=(refreshInterval:(display:Off,pause:!f,section:0,value:0),time:(from:'2017-12-23T09:58:05-0700',mode:absolute,to:'2017-12-23T12:23:18-0700'))&amp;_a=(columns:!('Message%20ID',Summary),filters:!(),index:'emp_*',interval:auto,query:(query_string:(analyze_wildcard:!t,query:'%22rtdc.l.rtdc.4032%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779</v>
      </c>
      <c r="B173" s="225">
        <v>4031</v>
      </c>
      <c r="C173" s="227" t="s">
        <v>192</v>
      </c>
      <c r="D173" s="227" t="s">
        <v>969</v>
      </c>
      <c r="E173" s="226">
        <v>43092.475532407407</v>
      </c>
      <c r="F173" s="226">
        <v>43092.487083333333</v>
      </c>
      <c r="G173" s="225">
        <v>64</v>
      </c>
      <c r="H173" s="227" t="s">
        <v>980</v>
      </c>
      <c r="I173" s="226">
        <v>43092.496817129628</v>
      </c>
      <c r="J173" s="225">
        <v>0</v>
      </c>
      <c r="K173" s="237" t="str">
        <f t="shared" si="99"/>
        <v>4031/4032</v>
      </c>
      <c r="L173" s="245" t="str">
        <f>VLOOKUP(A173,'Trips&amp;Operators'!$C$1:$G$99911,5,FALSE)</f>
        <v>LAMAR NEKESHA</v>
      </c>
      <c r="M173" s="224">
        <f t="shared" si="100"/>
        <v>9.7337962943129241E-3</v>
      </c>
      <c r="N173" s="225">
        <f t="shared" si="142"/>
        <v>14.016666663810611</v>
      </c>
      <c r="O173" s="225"/>
      <c r="P173" s="225"/>
      <c r="Q173" s="228"/>
      <c r="R173" s="242"/>
      <c r="S173" s="249">
        <f t="shared" si="143"/>
        <v>1</v>
      </c>
      <c r="T173" s="242" t="str">
        <f t="shared" si="101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102"/>
        <v>https://d0f6bd738d7f1b3e5a7ca70fe4ff75f0.us-east-1.aws.found.io/app/kibana#/discover/Steve-Slow-Train-Analysis-(2080s-and-2083s)?_g=(refreshInterval:(display:Off,pause:!f,section:0,value:0),time:(from:'2017-12-23T10:24:46-0700',mode:absolute,to:'2017-12-23T12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247" t="str">
        <f>IF(AA173&lt;VLOOKUP(AG173,Variables!$AC$3:$AD$8,2,FALSE),"Y","N")</f>
        <v>N</v>
      </c>
      <c r="X173" s="247">
        <f t="shared" si="144"/>
        <v>1</v>
      </c>
      <c r="Y173" s="247">
        <f t="shared" si="140"/>
        <v>5.8663999999999996</v>
      </c>
      <c r="Z173" s="247">
        <f t="shared" si="141"/>
        <v>1.6199999999999999E-2</v>
      </c>
      <c r="AA173" s="247">
        <f t="shared" si="103"/>
        <v>5.8501999999999992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104"/>
        <v>1812</v>
      </c>
      <c r="AE17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3" s="234" t="str">
        <f t="shared" si="106"/>
        <v>"C:\Program Files (x86)\AstroGrep\AstroGrep.exe" /e /r /s /spath="%USERPROFILE%\AppData\Local\Temp\OnboardLogs" /stypes="app*4031*20171223*" /stext=" 18:.+((SYSTEM_STATE.+slice.+state.+changed )|(ment ac)|(multiple cpu faults)|(system.+state.+changed )|(\[timeout)|(PRM\|1\|D)|(kpr)|(kdp)|(train st.+moving)|(\|lc)|(penalty))"</v>
      </c>
      <c r="AG173" s="244" t="str">
        <f t="shared" si="107"/>
        <v>NW</v>
      </c>
      <c r="AH173" s="236" t="str">
        <f t="shared" si="117"/>
        <v>"%USERPROFILE%\Documents\GitHub\eaglep3\Utilities\RefineRTDCRunTimes.py" --tripid 1812-23 --locoid 4031 --swversion DE.1.0.9.0 --startMP 300:58664 --initTime 2017-12-23T11:24:46 --startdatetime 2017-12-23T11:41:24 --delay 64 --endMP 204:162 --enddatetime 2017-12-23T11:55:25 --enforcementcount 0 &gt;&gt;%USERPROFILE%\Documents\GitHub\eaglep3-reporting\EC\2017-12-23-refined-times.txt</v>
      </c>
      <c r="AI17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{"issue":{"subject":"","project_id":79,"tracker_id":40,"status_id":1,"priority_id":2,"assigned_to_id":338,"start_date":"2017-12-23","description":"","custom_fields":[{"id":1,"name":"Subdivision","value":"NW"},{"id":4,"name":"Milepost","value":"0.0162"},{"id":17,"name":"Train ID","value":"1812-23"},{"id":16,"name":"Locomotive ID","value":"4031"},{"id":130,"name":"Impact","value":""},{"id":150,"name":"Time of Event (Mountain Time)","value":"11:55:25"},{"id":151,"name":"Denver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119"/>
        <v>start /low /b %USERPROFILE%\Documents\GitHub\eaglep3\Utilities\DownloadLogsFromS3.py --loco 4031 --day 2017-12-23</v>
      </c>
      <c r="AN17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121"/>
        <v>https://d0f6bd738d7f1b3e5a7ca70fe4ff75f0.us-east-1.aws.found.io/app/kibana#/discover/Steve-Slow-Train-Analysis-(2080s-and-2083s)?_g=(refreshInterval:(display:Off,pause:!f,section:0,value:0),time:(from:'2017-12-23T10:24:46-0700',mode:absolute,to:'2017-12-23T12:55:25-0700'))&amp;_a=(columns:!('Message%20ID',Summary),filters:!(),index:'emp_*',interval:auto,query:(query_string:(analyze_wildcard:!t,query:'%22rtdc.l.rtdc.4031%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783</v>
      </c>
      <c r="B174" s="225">
        <v>4032</v>
      </c>
      <c r="C174" s="227" t="s">
        <v>192</v>
      </c>
      <c r="D174" s="227" t="s">
        <v>515</v>
      </c>
      <c r="E174" s="226">
        <v>43092.498506944445</v>
      </c>
      <c r="F174" s="226">
        <v>43092.506527777776</v>
      </c>
      <c r="G174" s="225">
        <v>50</v>
      </c>
      <c r="H174" s="227" t="s">
        <v>976</v>
      </c>
      <c r="I174" s="226">
        <v>43092.516030092593</v>
      </c>
      <c r="J174" s="225">
        <v>0</v>
      </c>
      <c r="K174" s="237" t="str">
        <f t="shared" si="99"/>
        <v>4031/4032</v>
      </c>
      <c r="L174" s="245" t="str">
        <f>VLOOKUP(A174,'Trips&amp;Operators'!$C$1:$G$99911,5,FALSE)</f>
        <v>LAMAR NEKESHA</v>
      </c>
      <c r="M174" s="224">
        <f t="shared" si="100"/>
        <v>9.5023148169275373E-3</v>
      </c>
      <c r="N174" s="225">
        <f t="shared" si="142"/>
        <v>13.683333336375654</v>
      </c>
      <c r="O174" s="225"/>
      <c r="P174" s="225"/>
      <c r="Q174" s="228"/>
      <c r="R174" s="242"/>
      <c r="S174" s="249">
        <f t="shared" si="143"/>
        <v>1</v>
      </c>
      <c r="T174" s="242" t="str">
        <f t="shared" si="101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102"/>
        <v>https://d0f6bd738d7f1b3e5a7ca70fe4ff75f0.us-east-1.aws.found.io/app/kibana#/discover/Steve-Slow-Train-Analysis-(2080s-and-2083s)?_g=(refreshInterval:(display:Off,pause:!f,section:0,value:0),time:(from:'2017-12-23T10:57:51-0700',mode:absolute,to:'2017-12-23T13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247" t="str">
        <f>IF(AA174&lt;VLOOKUP(AG174,Variables!$AC$3:$AD$8,2,FALSE),"Y","N")</f>
        <v>N</v>
      </c>
      <c r="X174" s="247">
        <f t="shared" si="144"/>
        <v>1</v>
      </c>
      <c r="Y174" s="247">
        <f t="shared" si="140"/>
        <v>4.6600000000000003E-2</v>
      </c>
      <c r="Z174" s="247">
        <f t="shared" si="141"/>
        <v>5.8978000000000002</v>
      </c>
      <c r="AA174" s="247">
        <f t="shared" si="103"/>
        <v>5.8512000000000004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104"/>
        <v>1813</v>
      </c>
      <c r="AE17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4" s="234" t="str">
        <f t="shared" si="106"/>
        <v>"C:\Program Files (x86)\AstroGrep\AstroGrep.exe" /e /r /s /spath="%USERPROFILE%\AppData\Local\Temp\OnboardLogs" /stypes="app*4032*20171223*" /stext=" 19:.+((SYSTEM_STATE.+slice.+state.+changed )|(ment ac)|(multiple cpu faults)|(system.+state.+changed )|(\[timeout)|(PRM\|1\|D)|(kpr)|(kdp)|(train st.+moving)|(\|lc)|(penalty))"</v>
      </c>
      <c r="AG174" s="244" t="str">
        <f t="shared" si="107"/>
        <v>NW</v>
      </c>
      <c r="AH174" s="236" t="str">
        <f t="shared" si="117"/>
        <v>"%USERPROFILE%\Documents\GitHub\eaglep3\Utilities\RefineRTDCRunTimes.py" --tripid 1813-23 --locoid 4032 --swversion DE.1.0.9.0 --startMP 204:466 --initTime 2017-12-23T11:57:51 --startdatetime 2017-12-23T12:09:24 --delay 50 --endMP 300:58978 --enddatetime 2017-12-23T12:23:05 --enforcementcount 0 &gt;&gt;%USERPROFILE%\Documents\GitHub\eaglep3-reporting\EC\2017-12-23-refined-times.txt</v>
      </c>
      <c r="AI17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{"issue":{"subject":"","project_id":79,"tracker_id":40,"status_id":1,"priority_id":2,"assigned_to_id":338,"start_date":"2017-12-23","description":"","custom_fields":[{"id":1,"name":"Subdivision","value":"NW"},{"id":4,"name":"Milepost","value":"5.8978"},{"id":17,"name":"Train ID","value":"1813-23"},{"id":16,"name":"Locomotive ID","value":"4032"},{"id":130,"name":"Impact","value":""},{"id":150,"name":"Time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119"/>
        <v>start /low /b %USERPROFILE%\Documents\GitHub\eaglep3\Utilities\DownloadLogsFromS3.py --loco 4032 --day 2017-12-23</v>
      </c>
      <c r="AN17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121"/>
        <v>https://d0f6bd738d7f1b3e5a7ca70fe4ff75f0.us-east-1.aws.found.io/app/kibana#/discover/Steve-Slow-Train-Analysis-(2080s-and-2083s)?_g=(refreshInterval:(display:Off,pause:!f,section:0,value:0),time:(from:'2017-12-23T10:57:51-0700',mode:absolute,to:'2017-12-23T13:23:05-0700'))&amp;_a=(columns:!('Message%20ID',Summary),filters:!(),index:'emp_*',interval:auto,query:(query_string:(analyze_wildcard:!t,query:'%22rtdc.l.rtdc.4032%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25">
      <c r="A175" s="229" t="s">
        <v>788</v>
      </c>
      <c r="B175" s="225">
        <v>4031</v>
      </c>
      <c r="C175" s="227" t="s">
        <v>192</v>
      </c>
      <c r="D175" s="227" t="s">
        <v>981</v>
      </c>
      <c r="E175" s="226">
        <v>43092.517314814817</v>
      </c>
      <c r="F175" s="226">
        <v>43092.528796296298</v>
      </c>
      <c r="G175" s="225">
        <v>52</v>
      </c>
      <c r="H175" s="227" t="s">
        <v>522</v>
      </c>
      <c r="I175" s="226">
        <v>43092.538460648146</v>
      </c>
      <c r="J175" s="225">
        <v>0</v>
      </c>
      <c r="K175" s="237" t="str">
        <f t="shared" si="99"/>
        <v>4031/4032</v>
      </c>
      <c r="L175" s="245" t="str">
        <f>VLOOKUP(A175,'Trips&amp;Operators'!$C$1:$G$99911,5,FALSE)</f>
        <v>LAMAR NEKESHA</v>
      </c>
      <c r="M175" s="224">
        <f t="shared" si="100"/>
        <v>9.6643518481869251E-3</v>
      </c>
      <c r="N175" s="225">
        <f t="shared" si="142"/>
        <v>13.916666661389172</v>
      </c>
      <c r="O175" s="225"/>
      <c r="P175" s="225"/>
      <c r="Q175" s="228"/>
      <c r="R175" s="242"/>
      <c r="S175" s="249">
        <f t="shared" si="143"/>
        <v>1</v>
      </c>
      <c r="T175" s="242" t="str">
        <f t="shared" si="101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102"/>
        <v>https://d0f6bd738d7f1b3e5a7ca70fe4ff75f0.us-east-1.aws.found.io/app/kibana#/discover/Steve-Slow-Train-Analysis-(2080s-and-2083s)?_g=(refreshInterval:(display:Off,pause:!f,section:0,value:0),time:(from:'2017-12-23T11:24:56-0700',mode:absolute,to:'2017-12-23T13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247" t="str">
        <f>IF(AA175&lt;VLOOKUP(AG175,Variables!$AC$3:$AD$8,2,FALSE),"Y","N")</f>
        <v>N</v>
      </c>
      <c r="X175" s="247">
        <f t="shared" si="144"/>
        <v>1</v>
      </c>
      <c r="Y175" s="247">
        <f t="shared" si="140"/>
        <v>5.8667999999999996</v>
      </c>
      <c r="Z175" s="247">
        <f t="shared" si="141"/>
        <v>1.78E-2</v>
      </c>
      <c r="AA175" s="247">
        <f t="shared" si="103"/>
        <v>5.8489999999999993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104"/>
        <v>1814</v>
      </c>
      <c r="AE17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5" s="234" t="str">
        <f t="shared" si="106"/>
        <v>"C:\Program Files (x86)\AstroGrep\AstroGrep.exe" /e /r /s /spath="%USERPROFILE%\AppData\Local\Temp\OnboardLogs" /stypes="app*4031*20171223*" /stext=" 19:.+((SYSTEM_STATE.+slice.+state.+changed )|(ment ac)|(multiple cpu faults)|(system.+state.+changed )|(\[timeout)|(PRM\|1\|D)|(kpr)|(kdp)|(train st.+moving)|(\|lc)|(penalty))"</v>
      </c>
      <c r="AG175" s="244" t="str">
        <f t="shared" si="107"/>
        <v>NW</v>
      </c>
      <c r="AH175" s="236" t="str">
        <f t="shared" si="117"/>
        <v>"%USERPROFILE%\Documents\GitHub\eaglep3\Utilities\RefineRTDCRunTimes.py" --tripid 1814-23 --locoid 4031 --swversion DE.1.0.9.0 --startMP 300:58668 --initTime 2017-12-23T12:24:56 --startdatetime 2017-12-23T12:41:28 --delay 52 --endMP 204:178 --enddatetime 2017-12-23T12:55:23 --enforcementcount 0 &gt;&gt;%USERPROFILE%\Documents\GitHub\eaglep3-reporting\EC\2017-12-23-refined-times.txt</v>
      </c>
      <c r="AI17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{"issue":{"subject":"","project_id":79,"tracker_id":40,"status_id":1,"priority_id":2,"assigned_to_id":338,"start_date":"2017-12-23","description":"","custom_fields":[{"id":1,"name":"Subdivision","value":"NW"},{"id":4,"name":"Milepost","value":"0.0178"},{"id":17,"name":"Train ID","value":"1814-23"},{"id":16,"name":"Locomotive ID","value":"4031"},{"id":130,"name":"Impact","value":""},{"id":150,"name":"Time of Event (Mountain Time)","value":"12:55:23"},{"id":151,"name":"Denver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119"/>
        <v>start /low /b %USERPROFILE%\Documents\GitHub\eaglep3\Utilities\DownloadLogsFromS3.py --loco 4031 --day 2017-12-23</v>
      </c>
      <c r="AN175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121"/>
        <v>https://d0f6bd738d7f1b3e5a7ca70fe4ff75f0.us-east-1.aws.found.io/app/kibana#/discover/Steve-Slow-Train-Analysis-(2080s-and-2083s)?_g=(refreshInterval:(display:Off,pause:!f,section:0,value:0),time:(from:'2017-12-23T11:24:56-0700',mode:absolute,to:'2017-12-23T13:55:23-0700'))&amp;_a=(columns:!('Message%20ID',Summary),filters:!(),index:'emp_*',interval:auto,query:(query_string:(analyze_wildcard:!t,query:'%22rtdc.l.rtdc.4031%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25">
      <c r="A176" s="229" t="s">
        <v>793</v>
      </c>
      <c r="B176" s="225">
        <v>4032</v>
      </c>
      <c r="C176" s="227" t="s">
        <v>192</v>
      </c>
      <c r="D176" s="227" t="s">
        <v>982</v>
      </c>
      <c r="E176" s="226">
        <v>43092.546527777777</v>
      </c>
      <c r="F176" s="226">
        <v>43092.548368055555</v>
      </c>
      <c r="G176" s="225">
        <v>50</v>
      </c>
      <c r="H176" s="227" t="s">
        <v>976</v>
      </c>
      <c r="I176" s="226">
        <v>43092.558113425926</v>
      </c>
      <c r="J176" s="225">
        <v>0</v>
      </c>
      <c r="K176" s="237" t="str">
        <f t="shared" si="99"/>
        <v>4031/4032</v>
      </c>
      <c r="L176" s="245" t="str">
        <f>VLOOKUP(A176,'Trips&amp;Operators'!$C$1:$G$99911,5,FALSE)</f>
        <v>LAMAR NEKESHA</v>
      </c>
      <c r="M176" s="224">
        <f t="shared" si="100"/>
        <v>9.7453703710925765E-3</v>
      </c>
      <c r="N176" s="225">
        <f t="shared" si="142"/>
        <v>14.03333333437331</v>
      </c>
      <c r="O176" s="225"/>
      <c r="P176" s="225"/>
      <c r="Q176" s="228"/>
      <c r="R176" s="242" t="s">
        <v>1101</v>
      </c>
      <c r="S176" s="249">
        <f t="shared" si="143"/>
        <v>1</v>
      </c>
      <c r="T176" s="242" t="str">
        <f t="shared" si="101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102"/>
        <v>https://d0f6bd738d7f1b3e5a7ca70fe4ff75f0.us-east-1.aws.found.io/app/kibana#/discover/Steve-Slow-Train-Analysis-(2080s-and-2083s)?_g=(refreshInterval:(display:Off,pause:!f,section:0,value:0),time:(from:'2017-12-23T12:07:00-0700',mode:absolute,to:'2017-12-23T14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247" t="str">
        <f>IF(AA176&lt;VLOOKUP(AG176,Variables!$AC$3:$AD$8,2,FALSE),"Y","N")</f>
        <v>N</v>
      </c>
      <c r="X176" s="247">
        <f t="shared" si="144"/>
        <v>1</v>
      </c>
      <c r="Y176" s="247">
        <f t="shared" si="140"/>
        <v>4.6800000000000001E-2</v>
      </c>
      <c r="Z176" s="247">
        <f t="shared" si="141"/>
        <v>5.8978000000000002</v>
      </c>
      <c r="AA176" s="247">
        <f t="shared" si="103"/>
        <v>5.851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104"/>
        <v>1815</v>
      </c>
      <c r="AE17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6" s="234" t="str">
        <f t="shared" si="106"/>
        <v>"C:\Program Files (x86)\AstroGrep\AstroGrep.exe" /e /r /s /spath="%USERPROFILE%\AppData\Local\Temp\OnboardLogs" /stypes="app*4032*20171223*" /stext=" 20:.+((SYSTEM_STATE.+slice.+state.+changed )|(ment ac)|(multiple cpu faults)|(system.+state.+changed )|(\[timeout)|(PRM\|1\|D)|(kpr)|(kdp)|(train st.+moving)|(\|lc)|(penalty))"</v>
      </c>
      <c r="AG176" s="244" t="str">
        <f t="shared" si="107"/>
        <v>NW</v>
      </c>
      <c r="AH176" s="236" t="str">
        <f t="shared" si="117"/>
        <v>"%USERPROFILE%\Documents\GitHub\eaglep3\Utilities\RefineRTDCRunTimes.py" --tripid 1815-23 --locoid 4032 --swversion DE.1.0.9.0 --startMP 204:468 --initTime 2017-12-23T13:07:00 --startdatetime 2017-12-23T13:09:39 --delay 50 --endMP 300:58978 --enddatetime 2017-12-23T13:23:41 --enforcementcount 0 &gt;&gt;%USERPROFILE%\Documents\GitHub\eaglep3-reporting\EC\2017-12-23-refined-times.txt</v>
      </c>
      <c r="AI176" s="238" t="str">
        <f t="shared" si="118"/>
        <v>echo {"issue":{"subject":"Observed unhealthy xing banner at BNSF Fuel Yard due to Wi-MAX data drop","project_id":79,"tracker_id":40,"status_id":1,"priority_id":2,"assigned_to_id":338,"start_date":"2017-12-23","description":"","custom_fields":[{"id":1,"name":"Subdivision","value":"NW"},{"id":4,"name":"Milepost","value":"5.8978"},{"id":17,"name":"Train ID","value":"1815-23"},{"id":16,"name":"Locomotive ID","value":"4032"},{"id":130,"name":"Impact","value":""},{"id":150,"name":"Time of Event (Mountain Time)","value":"13:23:41"},{"id":151,"name":"Denver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119"/>
        <v>start /low /b %USERPROFILE%\Documents\GitHub\eaglep3\Utilities\DownloadLogsFromS3.py --loco 4032 --day 2017-12-23</v>
      </c>
      <c r="AN176" s="241" t="str">
        <f t="shared" si="120"/>
        <v>echo {"issue":{"subject":"Observed unhealthy xing banner at BNSF Fuel Yard due to Wi-MAX data drop","project_id":30,"tracker_id":4,"status_id":1,"priority_id":1,"assigned_to_id":10,"start_date":"2017-12-23","description":"","custom_fields":[{"id":30,"name":"Category","value":"Issue"},{"id":3,"name":"Functional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121"/>
        <v>https://d0f6bd738d7f1b3e5a7ca70fe4ff75f0.us-east-1.aws.found.io/app/kibana#/discover/Steve-Slow-Train-Analysis-(2080s-and-2083s)?_g=(refreshInterval:(display:Off,pause:!f,section:0,value:0),time:(from:'2017-12-23T12:07:00-0700',mode:absolute,to:'2017-12-23T14:23:41-0700'))&amp;_a=(columns:!('Message%20ID',Summary),filters:!(),index:'emp_*',interval:auto,query:(query_string:(analyze_wildcard:!t,query:'%22rtdc.l.rtdc.4032%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796</v>
      </c>
      <c r="B177" s="225">
        <v>4031</v>
      </c>
      <c r="C177" s="227" t="s">
        <v>192</v>
      </c>
      <c r="D177" s="227" t="s">
        <v>650</v>
      </c>
      <c r="E177" s="226">
        <v>43092.559942129628</v>
      </c>
      <c r="F177" s="226">
        <v>43092.571446759262</v>
      </c>
      <c r="G177" s="225">
        <v>67</v>
      </c>
      <c r="H177" s="227" t="s">
        <v>983</v>
      </c>
      <c r="I177" s="226">
        <v>43092.580208333333</v>
      </c>
      <c r="J177" s="225">
        <v>0</v>
      </c>
      <c r="K177" s="237" t="str">
        <f t="shared" si="99"/>
        <v>4031/4032</v>
      </c>
      <c r="L177" s="245" t="str">
        <f>VLOOKUP(A177,'Trips&amp;Operators'!$C$1:$G$99911,5,FALSE)</f>
        <v>LAMAR NEKESHA</v>
      </c>
      <c r="M177" s="224">
        <f t="shared" si="100"/>
        <v>8.7615740703768097E-3</v>
      </c>
      <c r="N177" s="225">
        <f t="shared" si="142"/>
        <v>12.616666661342606</v>
      </c>
      <c r="O177" s="225"/>
      <c r="P177" s="225"/>
      <c r="Q177" s="228"/>
      <c r="R177" s="242"/>
      <c r="S177" s="249">
        <f t="shared" si="143"/>
        <v>1</v>
      </c>
      <c r="T177" s="242" t="str">
        <f t="shared" si="101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102"/>
        <v>https://d0f6bd738d7f1b3e5a7ca70fe4ff75f0.us-east-1.aws.found.io/app/kibana#/discover/Steve-Slow-Train-Analysis-(2080s-and-2083s)?_g=(refreshInterval:(display:Off,pause:!f,section:0,value:0),time:(from:'2017-12-23T12:26:19-0700',mode:absolute,to:'2017-12-23T14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247" t="str">
        <f>IF(AA177&lt;VLOOKUP(AG177,Variables!$AC$3:$AD$8,2,FALSE),"Y","N")</f>
        <v>N</v>
      </c>
      <c r="X177" s="247">
        <f t="shared" si="144"/>
        <v>1</v>
      </c>
      <c r="Y177" s="247">
        <f t="shared" si="140"/>
        <v>5.8659999999999997</v>
      </c>
      <c r="Z177" s="247">
        <f t="shared" si="141"/>
        <v>1.7299999999999999E-2</v>
      </c>
      <c r="AA177" s="247">
        <f t="shared" si="103"/>
        <v>5.8487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104"/>
        <v>1816</v>
      </c>
      <c r="AE17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7" s="234" t="str">
        <f t="shared" si="106"/>
        <v>"C:\Program Files (x86)\AstroGrep\AstroGrep.exe" /e /r /s /spath="%USERPROFILE%\AppData\Local\Temp\OnboardLogs" /stypes="app*4031*20171223*" /stext=" 20:.+((SYSTEM_STATE.+slice.+state.+changed )|(ment ac)|(multiple cpu faults)|(system.+state.+changed )|(\[timeout)|(PRM\|1\|D)|(kpr)|(kdp)|(train st.+moving)|(\|lc)|(penalty))"</v>
      </c>
      <c r="AG177" s="244" t="str">
        <f t="shared" si="107"/>
        <v>NW</v>
      </c>
      <c r="AH177" s="236" t="str">
        <f t="shared" si="117"/>
        <v>"%USERPROFILE%\Documents\GitHub\eaglep3\Utilities\RefineRTDCRunTimes.py" --tripid 1816-23 --locoid 4031 --swversion DE.1.0.9.0 --startMP 300:58660 --initTime 2017-12-23T13:26:19 --startdatetime 2017-12-23T13:42:53 --delay 67 --endMP 204:173 --enddatetime 2017-12-23T13:55:30 --enforcementcount 0 &gt;&gt;%USERPROFILE%\Documents\GitHub\eaglep3-reporting\EC\2017-12-23-refined-times.txt</v>
      </c>
      <c r="AI17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{"issue":{"subject":"","project_id":79,"tracker_id":40,"status_id":1,"priority_id":2,"assigned_to_id":338,"start_date":"2017-12-23","description":"","custom_fields":[{"id":1,"name":"Subdivision","value":"NW"},{"id":4,"name":"Milepost","value":"0.0173"},{"id":17,"name":"Train ID","value":"1816-23"},{"id":16,"name":"Locomotive ID","value":"4031"},{"id":130,"name":"Impact","value":""},{"id":150,"name":"Time of Event (Mountain Time)","value":"13:55:30"},{"id":151,"name":"Denver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119"/>
        <v>start /low /b %USERPROFILE%\Documents\GitHub\eaglep3\Utilities\DownloadLogsFromS3.py --loco 4031 --day 2017-12-23</v>
      </c>
      <c r="AN17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121"/>
        <v>https://d0f6bd738d7f1b3e5a7ca70fe4ff75f0.us-east-1.aws.found.io/app/kibana#/discover/Steve-Slow-Train-Analysis-(2080s-and-2083s)?_g=(refreshInterval:(display:Off,pause:!f,section:0,value:0),time:(from:'2017-12-23T12:26:19-0700',mode:absolute,to:'2017-12-23T14:55:30-0700'))&amp;_a=(columns:!('Message%20ID',Summary),filters:!(),index:'emp_*',interval:auto,query:(query_string:(analyze_wildcard:!t,query:'%22rtdc.l.rtdc.4031%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800</v>
      </c>
      <c r="B178" s="225">
        <v>4032</v>
      </c>
      <c r="C178" s="227" t="s">
        <v>192</v>
      </c>
      <c r="D178" s="227" t="s">
        <v>984</v>
      </c>
      <c r="E178" s="226">
        <v>43092.583090277774</v>
      </c>
      <c r="F178" s="226">
        <v>43092.589814814812</v>
      </c>
      <c r="G178" s="225">
        <v>70</v>
      </c>
      <c r="H178" s="227" t="s">
        <v>985</v>
      </c>
      <c r="I178" s="226">
        <v>43092.599560185183</v>
      </c>
      <c r="J178" s="225">
        <v>0</v>
      </c>
      <c r="K178" s="237" t="str">
        <f t="shared" si="99"/>
        <v>4031/4032</v>
      </c>
      <c r="L178" s="245" t="str">
        <f>VLOOKUP(A178,'Trips&amp;Operators'!$C$1:$G$99911,5,FALSE)</f>
        <v>SMITH MICHAEL</v>
      </c>
      <c r="M178" s="224">
        <f t="shared" si="100"/>
        <v>9.7453703710925765E-3</v>
      </c>
      <c r="N178" s="225">
        <f t="shared" si="142"/>
        <v>14.03333333437331</v>
      </c>
      <c r="O178" s="225"/>
      <c r="P178" s="225"/>
      <c r="Q178" s="228"/>
      <c r="R178" s="242"/>
      <c r="S178" s="249">
        <f t="shared" si="143"/>
        <v>1</v>
      </c>
      <c r="T178" s="242" t="str">
        <f t="shared" si="101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102"/>
        <v>https://d0f6bd738d7f1b3e5a7ca70fe4ff75f0.us-east-1.aws.found.io/app/kibana#/discover/Steve-Slow-Train-Analysis-(2080s-and-2083s)?_g=(refreshInterval:(display:Off,pause:!f,section:0,value:0),time:(from:'2017-12-23T12:59:39-0700',mode:absolute,to:'2017-12-23T15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247" t="str">
        <f>IF(AA178&lt;VLOOKUP(AG178,Variables!$AC$3:$AD$8,2,FALSE),"Y","N")</f>
        <v>N</v>
      </c>
      <c r="X178" s="247">
        <f t="shared" si="144"/>
        <v>1</v>
      </c>
      <c r="Y178" s="247">
        <f t="shared" si="140"/>
        <v>4.7E-2</v>
      </c>
      <c r="Z178" s="247">
        <f t="shared" si="141"/>
        <v>5.8949999999999996</v>
      </c>
      <c r="AA178" s="247">
        <f t="shared" si="103"/>
        <v>5.8479999999999999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104"/>
        <v>1817</v>
      </c>
      <c r="AE17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78" s="234" t="str">
        <f t="shared" si="106"/>
        <v>"C:\Program Files (x86)\AstroGrep\AstroGrep.exe" /e /r /s /spath="%USERPROFILE%\AppData\Local\Temp\OnboardLogs" /stypes="app*4032*20171223*" /stext=" 21:.+((SYSTEM_STATE.+slice.+state.+changed )|(ment ac)|(multiple cpu faults)|(system.+state.+changed )|(\[timeout)|(PRM\|1\|D)|(kpr)|(kdp)|(train st.+moving)|(\|lc)|(penalty))"</v>
      </c>
      <c r="AG178" s="244" t="str">
        <f t="shared" si="107"/>
        <v>NW</v>
      </c>
      <c r="AH178" s="236" t="str">
        <f t="shared" si="117"/>
        <v>"%USERPROFILE%\Documents\GitHub\eaglep3\Utilities\RefineRTDCRunTimes.py" --tripid 1817-23 --locoid 4032 --swversion DE.1.0.9.0 --startMP 204:470 --initTime 2017-12-23T13:59:39 --startdatetime 2017-12-23T14:09:20 --delay 70 --endMP 300:58950 --enddatetime 2017-12-23T14:23:22 --enforcementcount 0 &gt;&gt;%USERPROFILE%\Documents\GitHub\eaglep3-reporting\EC\2017-12-23-refined-times.txt</v>
      </c>
      <c r="AI17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{"issue":{"subject":"","project_id":79,"tracker_id":40,"status_id":1,"priority_id":2,"assigned_to_id":338,"start_date":"2017-12-23","description":"","custom_fields":[{"id":1,"name":"Subdivision","value":"NW"},{"id":4,"name":"Milepost","value":"5.895"},{"id":17,"name":"Train ID","value":"1817-23"},{"id":16,"name":"Locomotive ID","value":"4032"},{"id":130,"name":"Impact","value":""},{"id":150,"name":"Time of Event (Mountain Time)","value":"14:23:22"},{"id":151,"name":"Denver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119"/>
        <v>start /low /b %USERPROFILE%\Documents\GitHub\eaglep3\Utilities\DownloadLogsFromS3.py --loco 4032 --day 2017-12-23</v>
      </c>
      <c r="AN17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121"/>
        <v>https://d0f6bd738d7f1b3e5a7ca70fe4ff75f0.us-east-1.aws.found.io/app/kibana#/discover/Steve-Slow-Train-Analysis-(2080s-and-2083s)?_g=(refreshInterval:(display:Off,pause:!f,section:0,value:0),time:(from:'2017-12-23T12:59:39-0700',mode:absolute,to:'2017-12-23T15:23:22-0700'))&amp;_a=(columns:!('Message%20ID',Summary),filters:!(),index:'emp_*',interval:auto,query:(query_string:(analyze_wildcard:!t,query:'%22rtdc.l.rtdc.4032%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25">
      <c r="A179" s="229" t="s">
        <v>806</v>
      </c>
      <c r="B179" s="225">
        <v>4031</v>
      </c>
      <c r="C179" s="227" t="s">
        <v>192</v>
      </c>
      <c r="D179" s="227" t="s">
        <v>651</v>
      </c>
      <c r="E179" s="226">
        <v>43092.601388888892</v>
      </c>
      <c r="F179" s="226">
        <v>43092.612534722219</v>
      </c>
      <c r="G179" s="225">
        <v>64</v>
      </c>
      <c r="H179" s="227" t="s">
        <v>986</v>
      </c>
      <c r="I179" s="226">
        <v>43092.622766203705</v>
      </c>
      <c r="J179" s="225">
        <v>0</v>
      </c>
      <c r="K179" s="237" t="str">
        <f t="shared" si="99"/>
        <v>4031/4032</v>
      </c>
      <c r="L179" s="245" t="str">
        <f>VLOOKUP(A179,'Trips&amp;Operators'!$C$1:$G$99911,5,FALSE)</f>
        <v>SMITH MICHAEL</v>
      </c>
      <c r="M179" s="224">
        <f t="shared" si="100"/>
        <v>1.0231481486698613E-2</v>
      </c>
      <c r="N179" s="225">
        <f t="shared" si="142"/>
        <v>14.733333340846002</v>
      </c>
      <c r="O179" s="225"/>
      <c r="P179" s="225"/>
      <c r="Q179" s="228"/>
      <c r="R179" s="242"/>
      <c r="S179" s="249">
        <f t="shared" si="143"/>
        <v>1</v>
      </c>
      <c r="T179" s="242" t="str">
        <f t="shared" si="101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102"/>
        <v>https://d0f6bd738d7f1b3e5a7ca70fe4ff75f0.us-east-1.aws.found.io/app/kibana#/discover/Steve-Slow-Train-Analysis-(2080s-and-2083s)?_g=(refreshInterval:(display:Off,pause:!f,section:0,value:0),time:(from:'2017-12-23T13:26:00-0700',mode:absolute,to:'2017-12-23T15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247" t="str">
        <f>IF(AA179&lt;VLOOKUP(AG179,Variables!$AC$3:$AD$8,2,FALSE),"Y","N")</f>
        <v>N</v>
      </c>
      <c r="X179" s="247">
        <f t="shared" si="144"/>
        <v>1</v>
      </c>
      <c r="Y179" s="247">
        <f t="shared" si="140"/>
        <v>5.8623000000000003</v>
      </c>
      <c r="Z179" s="247">
        <f t="shared" si="141"/>
        <v>1.37E-2</v>
      </c>
      <c r="AA179" s="247">
        <f t="shared" si="103"/>
        <v>5.8486000000000002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104"/>
        <v>1818</v>
      </c>
      <c r="AE17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79" s="234" t="str">
        <f t="shared" si="106"/>
        <v>"C:\Program Files (x86)\AstroGrep\AstroGrep.exe" /e /r /s /spath="%USERPROFILE%\AppData\Local\Temp\OnboardLogs" /stypes="app*4031*20171223*" /stext=" 21:.+((SYSTEM_STATE.+slice.+state.+changed )|(ment ac)|(multiple cpu faults)|(system.+state.+changed )|(\[timeout)|(PRM\|1\|D)|(kpr)|(kdp)|(train st.+moving)|(\|lc)|(penalty))"</v>
      </c>
      <c r="AG179" s="244" t="str">
        <f t="shared" si="107"/>
        <v>NW</v>
      </c>
      <c r="AH179" s="236" t="str">
        <f t="shared" si="117"/>
        <v>"%USERPROFILE%\Documents\GitHub\eaglep3\Utilities\RefineRTDCRunTimes.py" --tripid 1818-23 --locoid 4031 --swversion DE.1.0.9.0 --startMP 300:58623 --initTime 2017-12-23T14:26:00 --startdatetime 2017-12-23T14:42:03 --delay 64 --endMP 204:137 --enddatetime 2017-12-23T14:56:47 --enforcementcount 0 &gt;&gt;%USERPROFILE%\Documents\GitHub\eaglep3-reporting\EC\2017-12-23-refined-times.txt</v>
      </c>
      <c r="AI17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{"issue":{"subject":"","project_id":79,"tracker_id":40,"status_id":1,"priority_id":2,"assigned_to_id":338,"start_date":"2017-12-23","description":"","custom_fields":[{"id":1,"name":"Subdivision","value":"NW"},{"id":4,"name":"Milepost","value":"0.0137"},{"id":17,"name":"Train ID","value":"1818-23"},{"id":16,"name":"Locomotive ID","value":"4031"},{"id":130,"name":"Impact","value":""},{"id":150,"name":"Time of Event (Mountain Time)","value":"14:56:47"},{"id":151,"name":"Denver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119"/>
        <v>start /low /b %USERPROFILE%\Documents\GitHub\eaglep3\Utilities\DownloadLogsFromS3.py --loco 4031 --day 2017-12-23</v>
      </c>
      <c r="AN17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121"/>
        <v>https://d0f6bd738d7f1b3e5a7ca70fe4ff75f0.us-east-1.aws.found.io/app/kibana#/discover/Steve-Slow-Train-Analysis-(2080s-and-2083s)?_g=(refreshInterval:(display:Off,pause:!f,section:0,value:0),time:(from:'2017-12-23T13:26:00-0700',mode:absolute,to:'2017-12-23T15:56:47-0700'))&amp;_a=(columns:!('Message%20ID',Summary),filters:!(),index:'emp_*',interval:auto,query:(query_string:(analyze_wildcard:!t,query:'%22rtdc.l.rtdc.4031%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815</v>
      </c>
      <c r="B180" s="225">
        <v>4032</v>
      </c>
      <c r="C180" s="227" t="s">
        <v>192</v>
      </c>
      <c r="D180" s="227" t="s">
        <v>647</v>
      </c>
      <c r="E180" s="226">
        <v>43092.625416666669</v>
      </c>
      <c r="F180" s="226">
        <v>43092.631469907406</v>
      </c>
      <c r="G180" s="225">
        <v>64</v>
      </c>
      <c r="H180" s="227" t="s">
        <v>987</v>
      </c>
      <c r="I180" s="226">
        <v>43092.642245370371</v>
      </c>
      <c r="J180" s="225">
        <v>0</v>
      </c>
      <c r="K180" s="237" t="str">
        <f t="shared" si="99"/>
        <v>4031/4032</v>
      </c>
      <c r="L180" s="245" t="str">
        <f>VLOOKUP(A180,'Trips&amp;Operators'!$C$1:$G$99911,5,FALSE)</f>
        <v>SMITH MICHAEL</v>
      </c>
      <c r="M180" s="224">
        <f t="shared" si="100"/>
        <v>1.0775462964375038E-2</v>
      </c>
      <c r="N180" s="225">
        <f t="shared" si="142"/>
        <v>15.516666668700054</v>
      </c>
      <c r="O180" s="225"/>
      <c r="P180" s="225"/>
      <c r="Q180" s="228"/>
      <c r="R180" s="242"/>
      <c r="S180" s="249">
        <f t="shared" si="143"/>
        <v>1</v>
      </c>
      <c r="T180" s="242" t="str">
        <f t="shared" si="101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102"/>
        <v>https://d0f6bd738d7f1b3e5a7ca70fe4ff75f0.us-east-1.aws.found.io/app/kibana#/discover/Steve-Slow-Train-Analysis-(2080s-and-2083s)?_g=(refreshInterval:(display:Off,pause:!f,section:0,value:0),time:(from:'2017-12-23T14:00:36-0700',mode:absolute,to:'2017-12-23T16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247" t="str">
        <f>IF(AA180&lt;VLOOKUP(AG180,Variables!$AC$3:$AD$8,2,FALSE),"Y","N")</f>
        <v>N</v>
      </c>
      <c r="X180" s="247">
        <f t="shared" si="144"/>
        <v>1</v>
      </c>
      <c r="Y180" s="247">
        <f t="shared" si="140"/>
        <v>4.3700000000000003E-2</v>
      </c>
      <c r="Z180" s="247">
        <f t="shared" si="141"/>
        <v>5.9006999999999996</v>
      </c>
      <c r="AA180" s="247">
        <f t="shared" si="103"/>
        <v>5.8569999999999993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104"/>
        <v>1819</v>
      </c>
      <c r="AE18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0" s="234" t="str">
        <f t="shared" si="106"/>
        <v>"C:\Program Files (x86)\AstroGrep\AstroGrep.exe" /e /r /s /spath="%USERPROFILE%\AppData\Local\Temp\OnboardLogs" /stypes="app*4032*20171223*" /stext=" 22:.+((SYSTEM_STATE.+slice.+state.+changed )|(ment ac)|(multiple cpu faults)|(system.+state.+changed )|(\[timeout)|(PRM\|1\|D)|(kpr)|(kdp)|(train st.+moving)|(\|lc)|(penalty))"</v>
      </c>
      <c r="AG180" s="244" t="str">
        <f t="shared" si="107"/>
        <v>NW</v>
      </c>
      <c r="AH180" s="236" t="str">
        <f t="shared" si="117"/>
        <v>"%USERPROFILE%\Documents\GitHub\eaglep3\Utilities\RefineRTDCRunTimes.py" --tripid 1819-23 --locoid 4032 --swversion DE.1.0.9.0 --startMP 204:437 --initTime 2017-12-23T15:00:36 --startdatetime 2017-12-23T15:09:19 --delay 64 --endMP 300:59007 --enddatetime 2017-12-23T15:24:50 --enforcementcount 0 &gt;&gt;%USERPROFILE%\Documents\GitHub\eaglep3-reporting\EC\2017-12-23-refined-times.txt</v>
      </c>
      <c r="AI180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{"issue":{"subject":"","project_id":79,"tracker_id":40,"status_id":1,"priority_id":2,"assigned_to_id":338,"start_date":"2017-12-23","description":"","custom_fields":[{"id":1,"name":"Subdivision","value":"NW"},{"id":4,"name":"Milepost","value":"5.9007"},{"id":17,"name":"Train ID","value":"1819-23"},{"id":16,"name":"Locomotive ID","value":"4032"},{"id":130,"name":"Impact","value":""},{"id":150,"name":"Time of Event (Mountain Time)","value":"15:24:50"},{"id":151,"name":"Denver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119"/>
        <v>start /low /b %USERPROFILE%\Documents\GitHub\eaglep3\Utilities\DownloadLogsFromS3.py --loco 4032 --day 2017-12-23</v>
      </c>
      <c r="AN180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121"/>
        <v>https://d0f6bd738d7f1b3e5a7ca70fe4ff75f0.us-east-1.aws.found.io/app/kibana#/discover/Steve-Slow-Train-Analysis-(2080s-and-2083s)?_g=(refreshInterval:(display:Off,pause:!f,section:0,value:0),time:(from:'2017-12-23T14:00:36-0700',mode:absolute,to:'2017-12-23T16:24:50-0700'))&amp;_a=(columns:!('Message%20ID',Summary),filters:!(),index:'emp_*',interval:auto,query:(query_string:(analyze_wildcard:!t,query:'%22rtdc.l.rtdc.4032%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25">
      <c r="A181" s="229" t="s">
        <v>820</v>
      </c>
      <c r="B181" s="225">
        <v>4031</v>
      </c>
      <c r="C181" s="227" t="s">
        <v>192</v>
      </c>
      <c r="D181" s="227" t="s">
        <v>562</v>
      </c>
      <c r="E181" s="226">
        <v>43092.643460648149</v>
      </c>
      <c r="F181" s="226">
        <v>43092.655046296299</v>
      </c>
      <c r="G181" s="225">
        <v>64</v>
      </c>
      <c r="H181" s="227" t="s">
        <v>989</v>
      </c>
      <c r="I181" s="226">
        <v>43092.664467592593</v>
      </c>
      <c r="J181" s="225">
        <v>0</v>
      </c>
      <c r="K181" s="237" t="str">
        <f t="shared" si="99"/>
        <v>4031/4032</v>
      </c>
      <c r="L181" s="245" t="str">
        <f>VLOOKUP(A181,'Trips&amp;Operators'!$C$1:$G$99911,5,FALSE)</f>
        <v>SMITH MICHAEL</v>
      </c>
      <c r="M181" s="224">
        <f t="shared" si="100"/>
        <v>9.4212962940218858E-3</v>
      </c>
      <c r="N181" s="225">
        <f t="shared" si="142"/>
        <v>13.566666663391516</v>
      </c>
      <c r="O181" s="225"/>
      <c r="P181" s="225"/>
      <c r="Q181" s="228"/>
      <c r="R181" s="242"/>
      <c r="S181" s="249">
        <f t="shared" si="143"/>
        <v>1</v>
      </c>
      <c r="T181" s="242" t="str">
        <f t="shared" si="101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102"/>
        <v>https://d0f6bd738d7f1b3e5a7ca70fe4ff75f0.us-east-1.aws.found.io/app/kibana#/discover/Steve-Slow-Train-Analysis-(2080s-and-2083s)?_g=(refreshInterval:(display:Off,pause:!f,section:0,value:0),time:(from:'2017-12-23T14:26:35-0700',mode:absolute,to:'2017-12-23T16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247" t="str">
        <f>IF(AA181&lt;VLOOKUP(AG181,Variables!$AC$3:$AD$8,2,FALSE),"Y","N")</f>
        <v>N</v>
      </c>
      <c r="X181" s="247">
        <f t="shared" si="144"/>
        <v>1</v>
      </c>
      <c r="Y181" s="247">
        <f t="shared" si="140"/>
        <v>5.8682999999999996</v>
      </c>
      <c r="Z181" s="247">
        <f t="shared" si="141"/>
        <v>1.55E-2</v>
      </c>
      <c r="AA181" s="247">
        <f t="shared" si="103"/>
        <v>5.8527999999999993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104"/>
        <v>1820</v>
      </c>
      <c r="AE18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1" s="234" t="str">
        <f t="shared" si="106"/>
        <v>"C:\Program Files (x86)\AstroGrep\AstroGrep.exe" /e /r /s /spath="%USERPROFILE%\AppData\Local\Temp\OnboardLogs" /stypes="app*4031*20171223*" /stext=" 22:.+((SYSTEM_STATE.+slice.+state.+changed )|(ment ac)|(multiple cpu faults)|(system.+state.+changed )|(\[timeout)|(PRM\|1\|D)|(kpr)|(kdp)|(train st.+moving)|(\|lc)|(penalty))"</v>
      </c>
      <c r="AG181" s="244" t="str">
        <f t="shared" si="107"/>
        <v>NW</v>
      </c>
      <c r="AH181" s="236" t="str">
        <f t="shared" si="117"/>
        <v>"%USERPROFILE%\Documents\GitHub\eaglep3\Utilities\RefineRTDCRunTimes.py" --tripid 1820-23 --locoid 4031 --swversion DE.1.0.9.0 --startMP 300:58683 --initTime 2017-12-23T15:26:35 --startdatetime 2017-12-23T15:43:16 --delay 64 --endMP 204:155 --enddatetime 2017-12-23T15:56:50 --enforcementcount 0 &gt;&gt;%USERPROFILE%\Documents\GitHub\eaglep3-reporting\EC\2017-12-23-refined-times.txt</v>
      </c>
      <c r="AI18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{"issue":{"subject":"","project_id":79,"tracker_id":40,"status_id":1,"priority_id":2,"assigned_to_id":338,"start_date":"2017-12-23","description":"","custom_fields":[{"id":1,"name":"Subdivision","value":"NW"},{"id":4,"name":"Milepost","value":"0.0155"},{"id":17,"name":"Train ID","value":"1820-23"},{"id":16,"name":"Locomotive ID","value":"4031"},{"id":130,"name":"Impact","value":""},{"id":150,"name":"Time of Event (Mountain Time)","value":"15:56:50"},{"id":151,"name":"Denver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119"/>
        <v>start /low /b %USERPROFILE%\Documents\GitHub\eaglep3\Utilities\DownloadLogsFromS3.py --loco 4031 --day 2017-12-23</v>
      </c>
      <c r="AN18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121"/>
        <v>https://d0f6bd738d7f1b3e5a7ca70fe4ff75f0.us-east-1.aws.found.io/app/kibana#/discover/Steve-Slow-Train-Analysis-(2080s-and-2083s)?_g=(refreshInterval:(display:Off,pause:!f,section:0,value:0),time:(from:'2017-12-23T14:26:35-0700',mode:absolute,to:'2017-12-23T16:56:50-0700'))&amp;_a=(columns:!('Message%20ID',Summary),filters:!(),index:'emp_*',interval:auto,query:(query_string:(analyze_wildcard:!t,query:'%22rtdc.l.rtdc.4031%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25">
      <c r="A182" s="229" t="s">
        <v>825</v>
      </c>
      <c r="B182" s="225">
        <v>4032</v>
      </c>
      <c r="C182" s="227" t="s">
        <v>192</v>
      </c>
      <c r="D182" s="227" t="s">
        <v>562</v>
      </c>
      <c r="E182" s="226">
        <v>43092.643460648149</v>
      </c>
      <c r="F182" s="226">
        <v>43092.67428240741</v>
      </c>
      <c r="G182" s="225">
        <v>64</v>
      </c>
      <c r="H182" s="227" t="s">
        <v>989</v>
      </c>
      <c r="I182" s="226">
        <v>43092.684050925927</v>
      </c>
      <c r="J182" s="225">
        <v>0</v>
      </c>
      <c r="K182" s="237" t="str">
        <f t="shared" si="99"/>
        <v>4031/4032</v>
      </c>
      <c r="L182" s="245" t="str">
        <f>VLOOKUP(A182,'Trips&amp;Operators'!$C$1:$G$99911,5,FALSE)</f>
        <v>SMITH MICHAEL</v>
      </c>
      <c r="M182" s="224">
        <f t="shared" si="100"/>
        <v>9.7685185173759237E-3</v>
      </c>
      <c r="N182" s="225">
        <f t="shared" si="142"/>
        <v>14.06666666502133</v>
      </c>
      <c r="O182" s="225"/>
      <c r="P182" s="225"/>
      <c r="Q182" s="228"/>
      <c r="R182" s="242"/>
      <c r="S182" s="249">
        <f t="shared" si="143"/>
        <v>1</v>
      </c>
      <c r="T182" s="242" t="str">
        <f t="shared" si="101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102"/>
        <v>https://d0f6bd738d7f1b3e5a7ca70fe4ff75f0.us-east-1.aws.found.io/app/kibana#/discover/Steve-Slow-Train-Analysis-(2080s-and-2083s)?_g=(refreshInterval:(display:Off,pause:!f,section:0,value:0),time:(from:'2017-12-23T14:26:35-0700',mode:absolute,to:'2017-12-23T17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247" t="str">
        <f>IF(AA182&lt;VLOOKUP(AG182,Variables!$AC$3:$AD$8,2,FALSE),"Y","N")</f>
        <v>N</v>
      </c>
      <c r="X182" s="247">
        <f t="shared" ref="X182:X184" si="145">VALUE(LEFT(AD182,4))-VALUE(LEFT(AD181,4))</f>
        <v>1</v>
      </c>
      <c r="Y182" s="247">
        <v>0.13450000000000001</v>
      </c>
      <c r="Z182" s="247">
        <v>5.8994999999999997</v>
      </c>
      <c r="AA182" s="247">
        <f t="shared" si="103"/>
        <v>5.7649999999999997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104"/>
        <v>1821</v>
      </c>
      <c r="AE18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2" s="234" t="str">
        <f t="shared" si="106"/>
        <v>"C:\Program Files (x86)\AstroGrep\AstroGrep.exe" /e /r /s /spath="%USERPROFILE%\AppData\Local\Temp\OnboardLogs" /stypes="app*4032*20171223*" /stext=" 23:.+((SYSTEM_STATE.+slice.+state.+changed )|(ment ac)|(multiple cpu faults)|(system.+state.+changed )|(\[timeout)|(PRM\|1\|D)|(kpr)|(kdp)|(train st.+moving)|(\|lc)|(penalty))"</v>
      </c>
      <c r="AG182" s="244" t="str">
        <f t="shared" si="107"/>
        <v>NW</v>
      </c>
      <c r="AH182" s="236" t="str">
        <f t="shared" ref="AH182" si="146"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1821-23 --locoid 4032 --swversion DE.1.0.9.0 --startMP 300:58683 --initTime 2017-12-23T15:26:35 --startdatetime 2017-12-23T16:10:58 --delay 64 --endMP 204:155 --enddatetime 2017-12-23T16:25:02 --enforcementcount 0 &gt;&gt;%USERPROFILE%\Documents\GitHub\eaglep3-reporting\EC\2017-12-23-refined-times.txt</v>
      </c>
      <c r="AI182" s="238" t="str">
        <f t="shared" ref="AI182" si="147"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{"issue":{"subject":"","project_id":79,"tracker_id":40,"status_id":1,"priority_id":2,"assigned_to_id":338,"start_date":"2017-12-23","description":"","custom_fields":[{"id":1,"name":"Subdivision","value":"NW"},{"id":4,"name":"Milepost","value":"5.8995"},{"id":17,"name":"Train ID","value":"1821-23"},{"id":16,"name":"Locomotive ID","value":"4032"},{"id":130,"name":"Impact","value":""},{"id":150,"name":"Time of Event (Mountain Time)","value":"16:25:02"},{"id":151,"name":"Denver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ref="AM182" si="148">"start /low /b "&amp;dls3logs&amp;" --loco "&amp;B182&amp;" --day "&amp;TEXT(F182,"YYYY-MM-DD")</f>
        <v>start /low /b %USERPROFILE%\Documents\GitHub\eaglep3\Utilities\DownloadLogsFromS3.py --loco 4032 --day 2017-12-23</v>
      </c>
      <c r="AN182" s="241" t="str">
        <f t="shared" ref="AN182" si="149"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ref="AO182" si="150"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-23T14:26:35-0700',mode:absolute,to:'2017-12-23T17:25:02-0700'))&amp;_a=(columns:!('Message%20ID',Summary),filters:!(),index:'emp_*',interval:auto,query:(query_string:(analyze_wildcard:!t,query:'%22rtdc.l.rtdc.4032%22')),sort:!(Time.ISO8601,asc))</v>
      </c>
    </row>
    <row r="183" spans="1:91" s="223" customFormat="1" x14ac:dyDescent="0.25">
      <c r="A183" s="229" t="s">
        <v>828</v>
      </c>
      <c r="B183" s="225">
        <v>4031</v>
      </c>
      <c r="C183" s="227" t="s">
        <v>192</v>
      </c>
      <c r="D183" s="227" t="s">
        <v>990</v>
      </c>
      <c r="E183" s="226">
        <v>43092.685300925928</v>
      </c>
      <c r="F183" s="226">
        <v>43092.696516203701</v>
      </c>
      <c r="G183" s="225">
        <v>70</v>
      </c>
      <c r="H183" s="227" t="s">
        <v>991</v>
      </c>
      <c r="I183" s="226">
        <v>43092.705312500002</v>
      </c>
      <c r="J183" s="225">
        <v>0</v>
      </c>
      <c r="K183" s="237" t="str">
        <f t="shared" si="99"/>
        <v>4031/4032</v>
      </c>
      <c r="L183" s="245" t="str">
        <f>VLOOKUP(A183,'Trips&amp;Operators'!$C$1:$G$99911,5,FALSE)</f>
        <v>SMITH MICHAEL</v>
      </c>
      <c r="M183" s="224">
        <f t="shared" si="100"/>
        <v>8.7962963007157668E-3</v>
      </c>
      <c r="N183" s="225">
        <f t="shared" si="142"/>
        <v>12.666666673030704</v>
      </c>
      <c r="O183" s="225"/>
      <c r="P183" s="225"/>
      <c r="Q183" s="228"/>
      <c r="R183" s="242"/>
      <c r="S183" s="249">
        <f t="shared" si="143"/>
        <v>1</v>
      </c>
      <c r="T183" s="242" t="str">
        <f t="shared" si="101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102"/>
        <v>https://d0f6bd738d7f1b3e5a7ca70fe4ff75f0.us-east-1.aws.found.io/app/kibana#/discover/Steve-Slow-Train-Analysis-(2080s-and-2083s)?_g=(refreshInterval:(display:Off,pause:!f,section:0,value:0),time:(from:'2017-12-23T15:26:50-0700',mode:absolute,to:'2017-12-23T17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247" t="str">
        <f>IF(AA183&lt;VLOOKUP(AG183,Variables!$AC$3:$AD$8,2,FALSE),"Y","N")</f>
        <v>N</v>
      </c>
      <c r="X183" s="247">
        <f t="shared" si="145"/>
        <v>1</v>
      </c>
      <c r="Y183" s="247">
        <f>RIGHT(D183,LEN(D183)-4)/10000</f>
        <v>5.8678999999999997</v>
      </c>
      <c r="Z183" s="247">
        <f>RIGHT(H183,LEN(H183)-4)/10000</f>
        <v>1.4200000000000001E-2</v>
      </c>
      <c r="AA183" s="247">
        <f t="shared" si="103"/>
        <v>5.8536999999999999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104"/>
        <v>1822</v>
      </c>
      <c r="AE18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3" s="234" t="str">
        <f t="shared" si="106"/>
        <v>"C:\Program Files (x86)\AstroGrep\AstroGrep.exe" /e /r /s /spath="%USERPROFILE%\AppData\Local\Temp\OnboardLogs" /stypes="app*4031*20171223*" /stext=" 23:.+((SYSTEM_STATE.+slice.+state.+changed )|(ment ac)|(multiple cpu faults)|(system.+state.+changed )|(\[timeout)|(PRM\|1\|D)|(kpr)|(kdp)|(train st.+moving)|(\|lc)|(penalty))"</v>
      </c>
      <c r="AG183" s="244" t="str">
        <f t="shared" si="107"/>
        <v>NW</v>
      </c>
      <c r="AH183" s="236" t="str">
        <f t="shared" si="117"/>
        <v>"%USERPROFILE%\Documents\GitHub\eaglep3\Utilities\RefineRTDCRunTimes.py" --tripid 1822-23 --locoid 4031 --swversion DE.1.0.9.0 --startMP 300:58679 --initTime 2017-12-23T16:26:50 --startdatetime 2017-12-23T16:42:59 --delay 70 --endMP 204:142 --enddatetime 2017-12-23T16:55:39 --enforcementcount 0 &gt;&gt;%USERPROFILE%\Documents\GitHub\eaglep3-reporting\EC\2017-12-23-refined-times.txt</v>
      </c>
      <c r="AI18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{"issue":{"subject":"","project_id":79,"tracker_id":40,"status_id":1,"priority_id":2,"assigned_to_id":338,"start_date":"2017-12-23","description":"","custom_fields":[{"id":1,"name":"Subdivision","value":"NW"},{"id":4,"name":"Milepost","value":"0.0142"},{"id":17,"name":"Train ID","value":"1822-23"},{"id":16,"name":"Locomotive ID","value":"4031"},{"id":130,"name":"Impact","value":""},{"id":150,"name":"Time of Event (Mountain Time)","value":"16:55:39"},{"id":151,"name":"Denver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119"/>
        <v>start /low /b %USERPROFILE%\Documents\GitHub\eaglep3\Utilities\DownloadLogsFromS3.py --loco 4031 --day 2017-12-23</v>
      </c>
      <c r="AN18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121"/>
        <v>https://d0f6bd738d7f1b3e5a7ca70fe4ff75f0.us-east-1.aws.found.io/app/kibana#/discover/Steve-Slow-Train-Analysis-(2080s-and-2083s)?_g=(refreshInterval:(display:Off,pause:!f,section:0,value:0),time:(from:'2017-12-23T15:26:50-0700',mode:absolute,to:'2017-12-23T17:55:39-0700'))&amp;_a=(columns:!('Message%20ID',Summary),filters:!(),index:'emp_*',interval:auto,query:(query_string:(analyze_wildcard:!t,query:'%22rtdc.l.rtdc.4031%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25">
      <c r="A184" s="229" t="s">
        <v>833</v>
      </c>
      <c r="B184" s="225">
        <v>4032</v>
      </c>
      <c r="C184" s="227" t="s">
        <v>192</v>
      </c>
      <c r="D184" s="227" t="s">
        <v>894</v>
      </c>
      <c r="E184" s="226">
        <v>43092.707187499997</v>
      </c>
      <c r="F184" s="226">
        <v>43092.714814814812</v>
      </c>
      <c r="G184" s="225">
        <v>97</v>
      </c>
      <c r="H184" s="227" t="s">
        <v>992</v>
      </c>
      <c r="I184" s="226">
        <v>43092.724456018521</v>
      </c>
      <c r="J184" s="225">
        <v>0</v>
      </c>
      <c r="K184" s="237" t="str">
        <f t="shared" si="99"/>
        <v>4031/4032</v>
      </c>
      <c r="L184" s="245" t="str">
        <f>VLOOKUP(A184,'Trips&amp;Operators'!$C$1:$G$99911,5,FALSE)</f>
        <v>SMITH MICHAEL</v>
      </c>
      <c r="M184" s="224">
        <f t="shared" si="100"/>
        <v>9.6412037091795355E-3</v>
      </c>
      <c r="N184" s="225">
        <f t="shared" si="142"/>
        <v>13.883333341218531</v>
      </c>
      <c r="O184" s="225"/>
      <c r="P184" s="225"/>
      <c r="Q184" s="228"/>
      <c r="R184" s="242"/>
      <c r="S184" s="249">
        <f t="shared" si="143"/>
        <v>1</v>
      </c>
      <c r="T184" s="242" t="str">
        <f t="shared" si="101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102"/>
        <v>https://d0f6bd738d7f1b3e5a7ca70fe4ff75f0.us-east-1.aws.found.io/app/kibana#/discover/Steve-Slow-Train-Analysis-(2080s-and-2083s)?_g=(refreshInterval:(display:Off,pause:!f,section:0,value:0),time:(from:'2017-12-23T15:58:21-0700',mode:absolute,to:'2017-12-23T18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247" t="str">
        <f>IF(AA184&lt;VLOOKUP(AG184,Variables!$AC$3:$AD$8,2,FALSE),"Y","N")</f>
        <v>N</v>
      </c>
      <c r="X184" s="247">
        <f t="shared" si="145"/>
        <v>1</v>
      </c>
      <c r="Y184" s="247">
        <f>RIGHT(D184,LEN(D184)-4)/10000</f>
        <v>4.7100000000000003E-2</v>
      </c>
      <c r="Z184" s="247">
        <f>RIGHT(H184,LEN(H184)-4)/10000</f>
        <v>5.8968999999999996</v>
      </c>
      <c r="AA184" s="247">
        <f t="shared" si="103"/>
        <v>5.8497999999999992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104"/>
        <v>1823</v>
      </c>
      <c r="AE18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4" s="234" t="str">
        <f t="shared" si="106"/>
        <v>"C:\Program Files (x86)\AstroGrep\AstroGrep.exe" /e /r /s /spath="%USERPROFILE%\AppData\Local\Temp\OnboardLogs" /stypes="app*4032*20171224*" /stext=" 00:.+((SYSTEM_STATE.+slice.+state.+changed )|(ment ac)|(multiple cpu faults)|(system.+state.+changed )|(\[timeout)|(PRM\|1\|D)|(kpr)|(kdp)|(train st.+moving)|(\|lc)|(penalty))"</v>
      </c>
      <c r="AG184" s="244" t="str">
        <f t="shared" si="107"/>
        <v>NW</v>
      </c>
      <c r="AH184" s="236" t="str">
        <f t="shared" si="117"/>
        <v>"%USERPROFILE%\Documents\GitHub\eaglep3\Utilities\RefineRTDCRunTimes.py" --tripid 1823-23 --locoid 4032 --swversion DE.1.0.9.0 --startMP 204:471 --initTime 2017-12-23T16:58:21 --startdatetime 2017-12-23T17:09:20 --delay 97 --endMP 300:58969 --enddatetime 2017-12-23T17:23:13 --enforcementcount 0 &gt;&gt;%USERPROFILE%\Documents\GitHub\eaglep3-reporting\EC\2017-12-23-refined-times.txt</v>
      </c>
      <c r="AI184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{"issue":{"subject":"","project_id":79,"tracker_id":40,"status_id":1,"priority_id":2,"assigned_to_id":338,"start_date":"2017-12-23","description":"","custom_fields":[{"id":1,"name":"Subdivision","value":"NW"},{"id":4,"name":"Milepost","value":"5.8969"},{"id":17,"name":"Train ID","value":"1823-23"},{"id":16,"name":"Locomotive ID","value":"4032"},{"id":130,"name":"Impact","value":""},{"id":150,"name":"Time of Event (Mountain Time)","value":"17:23:13"},{"id":151,"name":"Denver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119"/>
        <v>start /low /b %USERPROFILE%\Documents\GitHub\eaglep3\Utilities\DownloadLogsFromS3.py --loco 4032 --day 2017-12-23</v>
      </c>
      <c r="AN184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121"/>
        <v>https://d0f6bd738d7f1b3e5a7ca70fe4ff75f0.us-east-1.aws.found.io/app/kibana#/discover/Steve-Slow-Train-Analysis-(2080s-and-2083s)?_g=(refreshInterval:(display:Off,pause:!f,section:0,value:0),time:(from:'2017-12-23T15:58:21-0700',mode:absolute,to:'2017-12-23T18:23:13-0700'))&amp;_a=(columns:!('Message%20ID',Summary),filters:!(),index:'emp_*',interval:auto,query:(query_string:(analyze_wildcard:!t,query:'%22rtdc.l.rtdc.4032%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25">
      <c r="A185" s="229" t="s">
        <v>838</v>
      </c>
      <c r="B185" s="225">
        <v>4031</v>
      </c>
      <c r="C185" s="227" t="s">
        <v>192</v>
      </c>
      <c r="D185" s="227" t="s">
        <v>993</v>
      </c>
      <c r="E185" s="226">
        <v>43092.725254629629</v>
      </c>
      <c r="F185" s="226">
        <v>43092.738310185188</v>
      </c>
      <c r="G185" s="225">
        <v>59</v>
      </c>
      <c r="H185" s="227" t="s">
        <v>980</v>
      </c>
      <c r="I185" s="226">
        <v>43092.746840277781</v>
      </c>
      <c r="J185" s="225">
        <v>0</v>
      </c>
      <c r="K185" s="237" t="str">
        <f t="shared" si="99"/>
        <v>4031/4032</v>
      </c>
      <c r="L185" s="245" t="str">
        <f>VLOOKUP(A185,'Trips&amp;Operators'!$C$1:$G$99911,5,FALSE)</f>
        <v>SMITH MICHAEL</v>
      </c>
      <c r="M185" s="224">
        <f t="shared" si="100"/>
        <v>8.5300925929914229E-3</v>
      </c>
      <c r="N185" s="225">
        <f t="shared" si="142"/>
        <v>12.283333333907649</v>
      </c>
      <c r="O185" s="225"/>
      <c r="P185" s="225"/>
      <c r="Q185" s="228"/>
      <c r="R185" s="242"/>
      <c r="S185" s="249">
        <f t="shared" si="143"/>
        <v>1</v>
      </c>
      <c r="T185" s="242" t="str">
        <f t="shared" si="101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102"/>
        <v>https://d0f6bd738d7f1b3e5a7ca70fe4ff75f0.us-east-1.aws.found.io/app/kibana#/discover/Steve-Slow-Train-Analysis-(2080s-and-2083s)?_g=(refreshInterval:(display:Off,pause:!f,section:0,value:0),time:(from:'2017-12-23T16:24:22-0700',mode:absolute,to:'2017-12-23T18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5.8655999999999997</v>
      </c>
      <c r="Z185" s="247">
        <f>RIGHT(H185,LEN(H185)-4)/10000</f>
        <v>1.6199999999999999E-2</v>
      </c>
      <c r="AA185" s="247">
        <f t="shared" si="103"/>
        <v>5.8493999999999993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104"/>
        <v>1824</v>
      </c>
      <c r="AE18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5" s="234" t="str">
        <f t="shared" si="106"/>
        <v>"C:\Program Files (x86)\AstroGrep\AstroGrep.exe" /e /r /s /spath="%USERPROFILE%\AppData\Local\Temp\OnboardLogs" /stypes="app*4031*20171224*" /stext=" 00:.+((SYSTEM_STATE.+slice.+state.+changed )|(ment ac)|(multiple cpu faults)|(system.+state.+changed )|(\[timeout)|(PRM\|1\|D)|(kpr)|(kdp)|(train st.+moving)|(\|lc)|(penalty))"</v>
      </c>
      <c r="AG185" s="244" t="str">
        <f t="shared" si="107"/>
        <v>NW</v>
      </c>
      <c r="AH185" s="236" t="str">
        <f t="shared" si="117"/>
        <v>"%USERPROFILE%\Documents\GitHub\eaglep3\Utilities\RefineRTDCRunTimes.py" --tripid 1824-23 --locoid 4031 --swversion DE.1.0.9.0 --startMP 300:58656 --initTime 2017-12-23T17:24:22 --startdatetime 2017-12-23T17:43:10 --delay 59 --endMP 204:162 --enddatetime 2017-12-23T17:55:27 --enforcementcount 0 &gt;&gt;%USERPROFILE%\Documents\GitHub\eaglep3-reporting\EC\2017-12-23-refined-times.txt</v>
      </c>
      <c r="AI18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{"issue":{"subject":"","project_id":79,"tracker_id":40,"status_id":1,"priority_id":2,"assigned_to_id":338,"start_date":"2017-12-23","description":"","custom_fields":[{"id":1,"name":"Subdivision","value":"NW"},{"id":4,"name":"Milepost","value":"0.0162"},{"id":17,"name":"Train ID","value":"1824-23"},{"id":16,"name":"Locomotive ID","value":"4031"},{"id":130,"name":"Impact","value":""},{"id":150,"name":"Time of Event (Mountain Time)","value":"17:55:27"},{"id":151,"name":"Denver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119"/>
        <v>start /low /b %USERPROFILE%\Documents\GitHub\eaglep3\Utilities\DownloadLogsFromS3.py --loco 4031 --day 2017-12-23</v>
      </c>
      <c r="AN18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121"/>
        <v>https://d0f6bd738d7f1b3e5a7ca70fe4ff75f0.us-east-1.aws.found.io/app/kibana#/discover/Steve-Slow-Train-Analysis-(2080s-and-2083s)?_g=(refreshInterval:(display:Off,pause:!f,section:0,value:0),time:(from:'2017-12-23T16:24:22-0700',mode:absolute,to:'2017-12-23T18:55:27-0700'))&amp;_a=(columns:!('Message%20ID',Summary),filters:!(),index:'emp_*',interval:auto,query:(query_string:(analyze_wildcard:!t,query:'%22rtdc.l.rtdc.4031%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25">
      <c r="A186" s="229" t="s">
        <v>844</v>
      </c>
      <c r="B186" s="225">
        <v>4032</v>
      </c>
      <c r="C186" s="227" t="s">
        <v>192</v>
      </c>
      <c r="D186" s="227" t="s">
        <v>993</v>
      </c>
      <c r="E186" s="226">
        <v>43092.725254629629</v>
      </c>
      <c r="F186" s="226">
        <v>43092.756469907406</v>
      </c>
      <c r="G186" s="225">
        <v>59</v>
      </c>
      <c r="H186" s="227" t="s">
        <v>980</v>
      </c>
      <c r="I186" s="226">
        <v>43092.76771990741</v>
      </c>
      <c r="J186" s="225">
        <v>0</v>
      </c>
      <c r="K186" s="237" t="str">
        <f t="shared" si="99"/>
        <v>4031/4032</v>
      </c>
      <c r="L186" s="245" t="str">
        <f>VLOOKUP(A186,'Trips&amp;Operators'!$C$1:$G$99911,5,FALSE)</f>
        <v>SMITH MICHAEL</v>
      </c>
      <c r="M186" s="224">
        <f t="shared" si="100"/>
        <v>1.1250000003201421E-2</v>
      </c>
      <c r="N186" s="225">
        <f t="shared" si="142"/>
        <v>16.200000004610047</v>
      </c>
      <c r="O186" s="225"/>
      <c r="P186" s="225"/>
      <c r="Q186" s="228"/>
      <c r="R186" s="242"/>
      <c r="S186" s="249">
        <f t="shared" si="143"/>
        <v>1</v>
      </c>
      <c r="T186" s="242" t="str">
        <f t="shared" si="101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102"/>
        <v>https://d0f6bd738d7f1b3e5a7ca70fe4ff75f0.us-east-1.aws.found.io/app/kibana#/discover/Steve-Slow-Train-Analysis-(2080s-and-2083s)?_g=(refreshInterval:(display:Off,pause:!f,section:0,value:0),time:(from:'2017-12-23T16:24:22-0700',mode:absolute,to:'2017-12-23T19:25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v>0.06</v>
      </c>
      <c r="Z186" s="247">
        <v>5.8936999999999999</v>
      </c>
      <c r="AA186" s="247">
        <f t="shared" si="103"/>
        <v>5.8337000000000003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104"/>
        <v>1825</v>
      </c>
      <c r="AE18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6" s="234" t="str">
        <f t="shared" si="106"/>
        <v>"C:\Program Files (x86)\AstroGrep\AstroGrep.exe" /e /r /s /spath="%USERPROFILE%\AppData\Local\Temp\OnboardLogs" /stypes="app*4032*20171224*" /stext=" 01:.+((SYSTEM_STATE.+slice.+state.+changed )|(ment ac)|(multiple cpu faults)|(system.+state.+changed )|(\[timeout)|(PRM\|1\|D)|(kpr)|(kdp)|(train st.+moving)|(\|lc)|(penalty))"</v>
      </c>
      <c r="AG186" s="244" t="str">
        <f t="shared" si="107"/>
        <v>NW</v>
      </c>
      <c r="AH186" s="236" t="str">
        <f t="shared" ref="AH186" si="151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1825-23 --locoid 4032 --swversion DE.1.0.9.0 --startMP 300:58656 --initTime 2017-12-23T17:24:22 --startdatetime 2017-12-23T18:09:19 --delay 59 --endMP 204:162 --enddatetime 2017-12-23T18:25:31 --enforcementcount 0 &gt;&gt;%USERPROFILE%\Documents\GitHub\eaglep3-reporting\EC\2017-12-23-refined-times.txt</v>
      </c>
      <c r="AI186" s="238" t="str">
        <f t="shared" ref="AI186" si="152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{"issue":{"subject":"","project_id":79,"tracker_id":40,"status_id":1,"priority_id":2,"assigned_to_id":338,"start_date":"2017-12-23","description":"","custom_fields":[{"id":1,"name":"Subdivision","value":"NW"},{"id":4,"name":"Milepost","value":"5.8937"},{"id":17,"name":"Train ID","value":"1825-23"},{"id":16,"name":"Locomotive ID","value":"4032"},{"id":130,"name":"Impact","value":""},{"id":150,"name":"Time of Event (Mountain Time)","value":"18:25:31"},{"id":151,"name":"Denver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ref="AM186" si="153">"start /low /b "&amp;dls3logs&amp;" --loco "&amp;B186&amp;" --day "&amp;TEXT(F186,"YYYY-MM-DD")</f>
        <v>start /low /b %USERPROFILE%\Documents\GitHub\eaglep3\Utilities\DownloadLogsFromS3.py --loco 4032 --day 2017-12-23</v>
      </c>
      <c r="AN186" s="241" t="str">
        <f t="shared" ref="AN186" si="154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ref="AO186" si="155"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-23T16:24:22-0700',mode:absolute,to:'2017-12-23T19:25:31-0700'))&amp;_a=(columns:!('Message%20ID',Summary),filters:!(),index:'emp_*',interval:auto,query:(query_string:(analyze_wildcard:!t,query:'%22rtdc.l.rtdc.4032%22')),sort:!(Time.ISO8601,asc))</v>
      </c>
    </row>
    <row r="187" spans="1:91" s="20" customFormat="1" x14ac:dyDescent="0.25">
      <c r="A187" s="229" t="s">
        <v>848</v>
      </c>
      <c r="B187" s="225">
        <v>4031</v>
      </c>
      <c r="C187" s="227" t="s">
        <v>192</v>
      </c>
      <c r="D187" s="227" t="s">
        <v>643</v>
      </c>
      <c r="E187" s="226">
        <v>43092.768819444442</v>
      </c>
      <c r="F187" s="226">
        <v>43092.779942129629</v>
      </c>
      <c r="G187" s="225">
        <v>78</v>
      </c>
      <c r="H187" s="227" t="s">
        <v>529</v>
      </c>
      <c r="I187" s="226">
        <v>43092.789178240739</v>
      </c>
      <c r="J187" s="225">
        <v>0</v>
      </c>
      <c r="K187" s="237" t="str">
        <f t="shared" si="99"/>
        <v>4031/4032</v>
      </c>
      <c r="L187" s="245" t="str">
        <f>VLOOKUP(A187,'Trips&amp;Operators'!$C$1:$G$99911,5,FALSE)</f>
        <v>SMITH MICHAEL</v>
      </c>
      <c r="M187" s="224">
        <f t="shared" si="100"/>
        <v>9.2361111092031933E-3</v>
      </c>
      <c r="N187" s="225">
        <f t="shared" si="142"/>
        <v>13.299999997252598</v>
      </c>
      <c r="O187" s="225"/>
      <c r="P187" s="225"/>
      <c r="Q187" s="228"/>
      <c r="R187" s="242"/>
      <c r="S187" s="249">
        <f t="shared" si="143"/>
        <v>1</v>
      </c>
      <c r="T187" s="242" t="str">
        <f t="shared" si="101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102"/>
        <v>https://d0f6bd738d7f1b3e5a7ca70fe4ff75f0.us-east-1.aws.found.io/app/kibana#/discover/Steve-Slow-Train-Analysis-(2080s-and-2083s)?_g=(refreshInterval:(display:Off,pause:!f,section:0,value:0),time:(from:'2017-12-23T17:27:06-0700',mode:absolute,to:'2017-12-23T19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5.8628</v>
      </c>
      <c r="Z187" s="247">
        <f>RIGHT(H187,LEN(H187)-4)/10000</f>
        <v>1.5800000000000002E-2</v>
      </c>
      <c r="AA187" s="247">
        <f t="shared" si="103"/>
        <v>5.8470000000000004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104"/>
        <v>1826</v>
      </c>
      <c r="AE187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7" s="234" t="str">
        <f t="shared" si="106"/>
        <v>"C:\Program Files (x86)\AstroGrep\AstroGrep.exe" /e /r /s /spath="%USERPROFILE%\AppData\Local\Temp\OnboardLogs" /stypes="app*4031*20171224*" /stext=" 01:.+((SYSTEM_STATE.+slice.+state.+changed )|(ment ac)|(multiple cpu faults)|(system.+state.+changed )|(\[timeout)|(PRM\|1\|D)|(kpr)|(kdp)|(train st.+moving)|(\|lc)|(penalty))"</v>
      </c>
      <c r="AG187" s="244" t="str">
        <f t="shared" si="107"/>
        <v>NW</v>
      </c>
      <c r="AH187" s="236" t="str">
        <f t="shared" si="117"/>
        <v>"%USERPROFILE%\Documents\GitHub\eaglep3\Utilities\RefineRTDCRunTimes.py" --tripid 1826-23 --locoid 4031 --swversion DE.1.0.9.0 --startMP 300:58628 --initTime 2017-12-23T18:27:06 --startdatetime 2017-12-23T18:43:07 --delay 78 --endMP 204:158 --enddatetime 2017-12-23T18:56:25 --enforcementcount 0 &gt;&gt;%USERPROFILE%\Documents\GitHub\eaglep3-reporting\EC\2017-12-23-refined-times.txt</v>
      </c>
      <c r="AI187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{"issue":{"subject":"","project_id":79,"tracker_id":40,"status_id":1,"priority_id":2,"assigned_to_id":338,"start_date":"2017-12-23","description":"","custom_fields":[{"id":1,"name":"Subdivision","value":"NW"},{"id":4,"name":"Milepost","value":"0.0158"},{"id":17,"name":"Train ID","value":"1826-23"},{"id":16,"name":"Locomotive ID","value":"4031"},{"id":130,"name":"Impact","value":""},{"id":150,"name":"Time of Event (Mountain Time)","value":"18:56:25"},{"id":151,"name":"Denver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119"/>
        <v>start /low /b %USERPROFILE%\Documents\GitHub\eaglep3\Utilities\DownloadLogsFromS3.py --loco 4031 --day 2017-12-23</v>
      </c>
      <c r="AN18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121"/>
        <v>https://d0f6bd738d7f1b3e5a7ca70fe4ff75f0.us-east-1.aws.found.io/app/kibana#/discover/Steve-Slow-Train-Analysis-(2080s-and-2083s)?_g=(refreshInterval:(display:Off,pause:!f,section:0,value:0),time:(from:'2017-12-23T17:27:06-0700',mode:absolute,to:'2017-12-23T19:56:25-0700'))&amp;_a=(columns:!('Message%20ID',Summary),filters:!(),index:'emp_*',interval:auto,query:(query_string:(analyze_wildcard:!t,query:'%22rtdc.l.rtdc.4031%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25">
      <c r="A188" s="229" t="s">
        <v>852</v>
      </c>
      <c r="B188" s="225">
        <v>4032</v>
      </c>
      <c r="C188" s="227" t="s">
        <v>192</v>
      </c>
      <c r="D188" s="227" t="s">
        <v>647</v>
      </c>
      <c r="E188" s="226">
        <v>43092.791238425925</v>
      </c>
      <c r="F188" s="226">
        <v>43092.798125000001</v>
      </c>
      <c r="G188" s="225">
        <v>79</v>
      </c>
      <c r="H188" s="227" t="s">
        <v>641</v>
      </c>
      <c r="I188" s="226">
        <v>43092.809039351851</v>
      </c>
      <c r="J188" s="225">
        <v>0</v>
      </c>
      <c r="K188" s="237" t="str">
        <f t="shared" si="99"/>
        <v>4031/4032</v>
      </c>
      <c r="L188" s="245" t="str">
        <f>VLOOKUP(A188,'Trips&amp;Operators'!$C$1:$G$99911,5,FALSE)</f>
        <v>SMITH MICHAEL</v>
      </c>
      <c r="M188" s="224">
        <f t="shared" si="100"/>
        <v>1.0914351849351078E-2</v>
      </c>
      <c r="N188" s="225">
        <f t="shared" si="142"/>
        <v>15.716666663065553</v>
      </c>
      <c r="O188" s="225"/>
      <c r="P188" s="225"/>
      <c r="Q188" s="228"/>
      <c r="R188" s="242"/>
      <c r="S188" s="249">
        <f t="shared" si="143"/>
        <v>1</v>
      </c>
      <c r="T188" s="242" t="str">
        <f t="shared" si="101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102"/>
        <v>https://d0f6bd738d7f1b3e5a7ca70fe4ff75f0.us-east-1.aws.found.io/app/kibana#/discover/Steve-Slow-Train-Analysis-(2080s-and-2083s)?_g=(refreshInterval:(display:Off,pause:!f,section:0,value:0),time:(from:'2017-12-23T17:59:23-0700',mode:absolute,to:'2017-12-23T20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4.3700000000000003E-2</v>
      </c>
      <c r="Z188" s="247">
        <f>RIGHT(H188,LEN(H188)-4)/10000</f>
        <v>5.8914</v>
      </c>
      <c r="AA188" s="247">
        <f t="shared" si="103"/>
        <v>5.8476999999999997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104"/>
        <v>1827</v>
      </c>
      <c r="AE188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88" s="234" t="str">
        <f t="shared" si="106"/>
        <v>"C:\Program Files (x86)\AstroGrep\AstroGrep.exe" /e /r /s /spath="%USERPROFILE%\AppData\Local\Temp\OnboardLogs" /stypes="app*4032*20171224*" /stext=" 02:.+((SYSTEM_STATE.+slice.+state.+changed )|(ment ac)|(multiple cpu faults)|(system.+state.+changed )|(\[timeout)|(PRM\|1\|D)|(kpr)|(kdp)|(train st.+moving)|(\|lc)|(penalty))"</v>
      </c>
      <c r="AG188" s="244" t="str">
        <f t="shared" si="107"/>
        <v>NW</v>
      </c>
      <c r="AH188" s="236" t="str">
        <f t="shared" si="117"/>
        <v>"%USERPROFILE%\Documents\GitHub\eaglep3\Utilities\RefineRTDCRunTimes.py" --tripid 1827-23 --locoid 4032 --swversion DE.1.0.9.0 --startMP 204:437 --initTime 2017-12-23T18:59:23 --startdatetime 2017-12-23T19:09:18 --delay 79 --endMP 300:58914 --enddatetime 2017-12-23T19:25:01 --enforcementcount 0 &gt;&gt;%USERPROFILE%\Documents\GitHub\eaglep3-reporting\EC\2017-12-23-refined-times.txt</v>
      </c>
      <c r="AI188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{"issue":{"subject":"","project_id":79,"tracker_id":40,"status_id":1,"priority_id":2,"assigned_to_id":338,"start_date":"2017-12-23","description":"","custom_fields":[{"id":1,"name":"Subdivision","value":"NW"},{"id":4,"name":"Milepost","value":"5.8914"},{"id":17,"name":"Train ID","value":"1827-23"},{"id":16,"name":"Locomotive ID","value":"4032"},{"id":130,"name":"Impact","value":""},{"id":150,"name":"Time of Event (Mountain Time)","value":"19:25:01"},{"id":151,"name":"Denver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119"/>
        <v>start /low /b %USERPROFILE%\Documents\GitHub\eaglep3\Utilities\DownloadLogsFromS3.py --loco 4032 --day 2017-12-23</v>
      </c>
      <c r="AN18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121"/>
        <v>https://d0f6bd738d7f1b3e5a7ca70fe4ff75f0.us-east-1.aws.found.io/app/kibana#/discover/Steve-Slow-Train-Analysis-(2080s-and-2083s)?_g=(refreshInterval:(display:Off,pause:!f,section:0,value:0),time:(from:'2017-12-23T17:59:23-0700',mode:absolute,to:'2017-12-23T20:25:01-0700'))&amp;_a=(columns:!('Message%20ID',Summary),filters:!(),index:'emp_*',interval:auto,query:(query_string:(analyze_wildcard:!t,query:'%22rtdc.l.rtdc.4032%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25">
      <c r="A189" s="229" t="s">
        <v>855</v>
      </c>
      <c r="B189" s="225">
        <v>4031</v>
      </c>
      <c r="C189" s="227" t="s">
        <v>192</v>
      </c>
      <c r="D189" s="227" t="s">
        <v>644</v>
      </c>
      <c r="E189" s="226">
        <v>43092.810254629629</v>
      </c>
      <c r="F189" s="226">
        <v>43092.821435185186</v>
      </c>
      <c r="G189" s="225">
        <v>67</v>
      </c>
      <c r="H189" s="227" t="s">
        <v>652</v>
      </c>
      <c r="I189" s="226">
        <v>43092.831550925926</v>
      </c>
      <c r="J189" s="225">
        <v>0</v>
      </c>
      <c r="K189" s="237" t="str">
        <f t="shared" si="99"/>
        <v>4031/4032</v>
      </c>
      <c r="L189" s="245" t="str">
        <f>VLOOKUP(A189,'Trips&amp;Operators'!$C$1:$G$99911,5,FALSE)</f>
        <v>SMITH MICHAEL</v>
      </c>
      <c r="M189" s="224">
        <f t="shared" si="100"/>
        <v>1.0115740740729962E-2</v>
      </c>
      <c r="N189" s="225">
        <f t="shared" si="142"/>
        <v>14.566666666651145</v>
      </c>
      <c r="O189" s="225"/>
      <c r="P189" s="225"/>
      <c r="Q189" s="228"/>
      <c r="R189" s="242"/>
      <c r="S189" s="249">
        <f t="shared" si="143"/>
        <v>1</v>
      </c>
      <c r="T189" s="242" t="str">
        <f t="shared" si="101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102"/>
        <v>https://d0f6bd738d7f1b3e5a7ca70fe4ff75f0.us-east-1.aws.found.io/app/kibana#/discover/Steve-Slow-Train-Analysis-(2080s-and-2083s)?_g=(refreshInterval:(display:Off,pause:!f,section:0,value:0),time:(from:'2017-12-23T18:26:46-0700',mode:absolute,to:'2017-12-23T20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5.8608000000000002</v>
      </c>
      <c r="Z189" s="247">
        <f>RIGHT(H189,LEN(H189)-4)/10000</f>
        <v>1.5299999999999999E-2</v>
      </c>
      <c r="AA189" s="247">
        <f t="shared" si="103"/>
        <v>5.8455000000000004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104"/>
        <v>1828</v>
      </c>
      <c r="AE189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89" s="234" t="str">
        <f t="shared" si="106"/>
        <v>"C:\Program Files (x86)\AstroGrep\AstroGrep.exe" /e /r /s /spath="%USERPROFILE%\AppData\Local\Temp\OnboardLogs" /stypes="app*4031*20171224*" /stext=" 02:.+((SYSTEM_STATE.+slice.+state.+changed )|(ment ac)|(multiple cpu faults)|(system.+state.+changed )|(\[timeout)|(PRM\|1\|D)|(kpr)|(kdp)|(train st.+moving)|(\|lc)|(penalty))"</v>
      </c>
      <c r="AG189" s="244" t="str">
        <f t="shared" si="107"/>
        <v>NW</v>
      </c>
      <c r="AH189" s="236" t="str">
        <f t="shared" si="117"/>
        <v>"%USERPROFILE%\Documents\GitHub\eaglep3\Utilities\RefineRTDCRunTimes.py" --tripid 1828-23 --locoid 4031 --swversion DE.1.0.9.0 --startMP 300:58608 --initTime 2017-12-23T19:26:46 --startdatetime 2017-12-23T19:42:52 --delay 67 --endMP 204:153 --enddatetime 2017-12-23T19:57:26 --enforcementcount 0 &gt;&gt;%USERPROFILE%\Documents\GitHub\eaglep3-reporting\EC\2017-12-23-refined-times.txt</v>
      </c>
      <c r="AI189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{"issue":{"subject":"","project_id":79,"tracker_id":40,"status_id":1,"priority_id":2,"assigned_to_id":338,"start_date":"2017-12-23","description":"","custom_fields":[{"id":1,"name":"Subdivision","value":"NW"},{"id":4,"name":"Milepost","value":"0.0153"},{"id":17,"name":"Train ID","value":"1828-23"},{"id":16,"name":"Locomotive ID","value":"4031"},{"id":130,"name":"Impact","value":""},{"id":150,"name":"Time of Event (Mountain Time)","value":"19:57:26"},{"id":151,"name":"Denver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119"/>
        <v>start /low /b %USERPROFILE%\Documents\GitHub\eaglep3\Utilities\DownloadLogsFromS3.py --loco 4031 --day 2017-12-23</v>
      </c>
      <c r="AN189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121"/>
        <v>https://d0f6bd738d7f1b3e5a7ca70fe4ff75f0.us-east-1.aws.found.io/app/kibana#/discover/Steve-Slow-Train-Analysis-(2080s-and-2083s)?_g=(refreshInterval:(display:Off,pause:!f,section:0,value:0),time:(from:'2017-12-23T18:26:46-0700',mode:absolute,to:'2017-12-23T20:57:26-0700'))&amp;_a=(columns:!('Message%20ID',Summary),filters:!(),index:'emp_*',interval:auto,query:(query_string:(analyze_wildcard:!t,query:'%22rtdc.l.rtdc.4031%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25">
      <c r="A190" s="229" t="s">
        <v>859</v>
      </c>
      <c r="B190" s="225">
        <v>4032</v>
      </c>
      <c r="C190" s="227" t="s">
        <v>192</v>
      </c>
      <c r="D190" s="227" t="s">
        <v>644</v>
      </c>
      <c r="E190" s="226">
        <v>43092.810254629629</v>
      </c>
      <c r="F190" s="226">
        <v>43092.839814814812</v>
      </c>
      <c r="G190" s="225">
        <v>67</v>
      </c>
      <c r="H190" s="227" t="s">
        <v>652</v>
      </c>
      <c r="I190" s="226">
        <v>43092.850358796299</v>
      </c>
      <c r="J190" s="225">
        <v>0</v>
      </c>
      <c r="K190" s="237" t="str">
        <f t="shared" si="99"/>
        <v>4031/4032</v>
      </c>
      <c r="L190" s="245" t="str">
        <f>VLOOKUP(A190,'Trips&amp;Operators'!$C$1:$G$99911,5,FALSE)</f>
        <v>SMITH MICHAEL</v>
      </c>
      <c r="M190" s="224">
        <f t="shared" si="100"/>
        <v>1.0543981486989651E-2</v>
      </c>
      <c r="N190" s="225">
        <f t="shared" si="142"/>
        <v>15.183333341265097</v>
      </c>
      <c r="O190" s="225"/>
      <c r="P190" s="225"/>
      <c r="Q190" s="228"/>
      <c r="R190" s="242"/>
      <c r="S190" s="249">
        <f t="shared" si="143"/>
        <v>1</v>
      </c>
      <c r="T190" s="242" t="str">
        <f t="shared" si="101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102"/>
        <v>https://d0f6bd738d7f1b3e5a7ca70fe4ff75f0.us-east-1.aws.found.io/app/kibana#/discover/Steve-Slow-Train-Analysis-(2080s-and-2083s)?_g=(refreshInterval:(display:Off,pause:!f,section:0,value:0),time:(from:'2017-12-23T18:26:46-0700',mode:absolute,to:'2017-12-23T21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247" t="str">
        <f>IF(AA190&lt;VLOOKUP(AG190,Variables!$AC$3:$AD$8,2,FALSE),"Y","N")</f>
        <v>N</v>
      </c>
      <c r="X190" s="247">
        <f t="shared" ref="X190:X197" si="156">VALUE(LEFT(AD190,4))-VALUE(LEFT(AD189,4))</f>
        <v>1</v>
      </c>
      <c r="Y190" s="247">
        <v>6.0499999999999998E-2</v>
      </c>
      <c r="Z190" s="247">
        <v>5.8929</v>
      </c>
      <c r="AA190" s="247">
        <f t="shared" si="103"/>
        <v>5.8323999999999998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104"/>
        <v>1829</v>
      </c>
      <c r="AE190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0" s="234" t="str">
        <f t="shared" si="106"/>
        <v>"C:\Program Files (x86)\AstroGrep\AstroGrep.exe" /e /r /s /spath="%USERPROFILE%\AppData\Local\Temp\OnboardLogs" /stypes="app*4032*20171224*" /stext=" 03:.+((SYSTEM_STATE.+slice.+state.+changed )|(ment ac)|(multiple cpu faults)|(system.+state.+changed )|(\[timeout)|(PRM\|1\|D)|(kpr)|(kdp)|(train st.+moving)|(\|lc)|(penalty))"</v>
      </c>
      <c r="AG190" s="244" t="str">
        <f t="shared" si="107"/>
        <v>NW</v>
      </c>
      <c r="AH190" s="236" t="str">
        <f t="shared" ref="AH190" si="157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1829-23 --locoid 4032 --swversion DE.1.0.9.0 --startMP 300:58608 --initTime 2017-12-23T19:26:46 --startdatetime 2017-12-23T20:09:20 --delay 67 --endMP 204:153 --enddatetime 2017-12-23T20:24:31 --enforcementcount 0 &gt;&gt;%USERPROFILE%\Documents\GitHub\eaglep3-reporting\EC\2017-12-23-refined-times.txt</v>
      </c>
      <c r="AI190" s="238" t="str">
        <f t="shared" ref="AI190" si="158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{"issue":{"subject":"","project_id":79,"tracker_id":40,"status_id":1,"priority_id":2,"assigned_to_id":338,"start_date":"2017-12-23","description":"","custom_fields":[{"id":1,"name":"Subdivision","value":"NW"},{"id":4,"name":"Milepost","value":"5.8929"},{"id":17,"name":"Train ID","value":"1829-23"},{"id":16,"name":"Locomotive ID","value":"4032"},{"id":130,"name":"Impact","value":""},{"id":150,"name":"Time of Event (Mountain Time)","value":"20:24:31"},{"id":151,"name":"Denver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ref="AM190" si="159">"start /low /b "&amp;dls3logs&amp;" --loco "&amp;B190&amp;" --day "&amp;TEXT(F190,"YYYY-MM-DD")</f>
        <v>start /low /b %USERPROFILE%\Documents\GitHub\eaglep3\Utilities\DownloadLogsFromS3.py --loco 4032 --day 2017-12-23</v>
      </c>
      <c r="AN190" s="241" t="str">
        <f t="shared" ref="AN190" si="160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ref="AO190" si="161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-23T18:26:46-0700',mode:absolute,to:'2017-12-23T21:24:31-0700'))&amp;_a=(columns:!('Message%20ID',Summary),filters:!(),index:'emp_*',interval:auto,query:(query_string:(analyze_wildcard:!t,query:'%22rtdc.l.rtdc.4032%22')),sort:!(Time.ISO8601,asc))</v>
      </c>
    </row>
    <row r="191" spans="1:91" s="20" customFormat="1" x14ac:dyDescent="0.25">
      <c r="A191" s="229" t="s">
        <v>862</v>
      </c>
      <c r="B191" s="225">
        <v>4031</v>
      </c>
      <c r="C191" s="227" t="s">
        <v>192</v>
      </c>
      <c r="D191" s="227" t="s">
        <v>646</v>
      </c>
      <c r="E191" s="226">
        <v>43092.851493055554</v>
      </c>
      <c r="F191" s="226">
        <v>43092.862638888888</v>
      </c>
      <c r="G191" s="225">
        <v>64</v>
      </c>
      <c r="H191" s="227" t="s">
        <v>652</v>
      </c>
      <c r="I191" s="226">
        <v>43092.871446759258</v>
      </c>
      <c r="J191" s="225">
        <v>0</v>
      </c>
      <c r="K191" s="237" t="str">
        <f t="shared" si="99"/>
        <v>4031/4032</v>
      </c>
      <c r="L191" s="245" t="str">
        <f>VLOOKUP(A191,'Trips&amp;Operators'!$C$1:$G$99911,5,FALSE)</f>
        <v>SMITH MICHAEL</v>
      </c>
      <c r="M191" s="224">
        <f t="shared" si="100"/>
        <v>8.8078703702194616E-3</v>
      </c>
      <c r="N191" s="225">
        <f t="shared" si="142"/>
        <v>12.683333333116025</v>
      </c>
      <c r="O191" s="225"/>
      <c r="P191" s="225"/>
      <c r="Q191" s="228"/>
      <c r="R191" s="242"/>
      <c r="S191" s="249">
        <f t="shared" si="143"/>
        <v>1</v>
      </c>
      <c r="T191" s="242" t="str">
        <f t="shared" si="101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102"/>
        <v>https://d0f6bd738d7f1b3e5a7ca70fe4ff75f0.us-east-1.aws.found.io/app/kibana#/discover/Steve-Slow-Train-Analysis-(2080s-and-2083s)?_g=(refreshInterval:(display:Off,pause:!f,section:0,value:0),time:(from:'2017-12-23T19:26:09-0700',mode:absolute,to:'2017-12-23T21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1" s="247" t="str">
        <f>IF(AA191&lt;VLOOKUP(AG191,Variables!$AC$3:$AD$8,2,FALSE),"Y","N")</f>
        <v>N</v>
      </c>
      <c r="X191" s="247">
        <f t="shared" si="156"/>
        <v>1</v>
      </c>
      <c r="Y191" s="247">
        <v>5.851</v>
      </c>
      <c r="Z191" s="247">
        <v>1.5100000000000001E-2</v>
      </c>
      <c r="AA191" s="247">
        <f t="shared" si="103"/>
        <v>5.8358999999999996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104"/>
        <v>1830</v>
      </c>
      <c r="AE191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1" s="234" t="str">
        <f t="shared" si="106"/>
        <v>"C:\Program Files (x86)\AstroGrep\AstroGrep.exe" /e /r /s /spath="%USERPROFILE%\AppData\Local\Temp\OnboardLogs" /stypes="app*4031*20171224*" /stext=" 03:.+((SYSTEM_STATE.+slice.+state.+changed )|(ment ac)|(multiple cpu faults)|(system.+state.+changed )|(\[timeout)|(PRM\|1\|D)|(kpr)|(kdp)|(train st.+moving)|(\|lc)|(penalty))"</v>
      </c>
      <c r="AG191" s="244" t="str">
        <f t="shared" si="107"/>
        <v>NW</v>
      </c>
      <c r="AH191" s="236" t="str">
        <f t="shared" si="117"/>
        <v>"%USERPROFILE%\Documents\GitHub\eaglep3\Utilities\RefineRTDCRunTimes.py" --tripid 1830-23 --locoid 4031 --swversion DE.1.0.9.0 --startMP 300:58621 --initTime 2017-12-23T20:26:09 --startdatetime 2017-12-23T20:42:12 --delay 64 --endMP 204:153 --enddatetime 2017-12-23T20:54:53 --enforcementcount 0 &gt;&gt;%USERPROFILE%\Documents\GitHub\eaglep3-reporting\EC\2017-12-23-refined-times.txt</v>
      </c>
      <c r="AI191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{"issue":{"subject":"","project_id":79,"tracker_id":40,"status_id":1,"priority_id":2,"assigned_to_id":338,"start_date":"2017-12-23","description":"","custom_fields":[{"id":1,"name":"Subdivision","value":"NW"},{"id":4,"name":"Milepost","value":"0.0151"},{"id":17,"name":"Train ID","value":"1830-23"},{"id":16,"name":"Locomotive ID","value":"4031"},{"id":130,"name":"Impact","value":""},{"id":150,"name":"Time of Event (Mountain Time)","value":"20:54:53"},{"id":151,"name":"Denver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119"/>
        <v>start /low /b %USERPROFILE%\Documents\GitHub\eaglep3\Utilities\DownloadLogsFromS3.py --loco 4031 --day 2017-12-23</v>
      </c>
      <c r="AN191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121"/>
        <v>https://d0f6bd738d7f1b3e5a7ca70fe4ff75f0.us-east-1.aws.found.io/app/kibana#/discover/Steve-Slow-Train-Analysis-(2080s-and-2083s)?_g=(refreshInterval:(display:Off,pause:!f,section:0,value:0),time:(from:'2017-12-23T19:26:09-0700',mode:absolute,to:'2017-12-23T21:54:53-0700'))&amp;_a=(columns:!('Message%20ID',Summary),filters:!(),index:'emp_*',interval:auto,query:(query_string:(analyze_wildcard:!t,query:'%22rtdc.l.rtdc.4031%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864</v>
      </c>
      <c r="B192" s="225">
        <v>4032</v>
      </c>
      <c r="C192" s="227" t="s">
        <v>192</v>
      </c>
      <c r="D192" s="227" t="s">
        <v>995</v>
      </c>
      <c r="E192" s="226">
        <v>43092.875983796293</v>
      </c>
      <c r="F192" s="226">
        <v>43092.881458333337</v>
      </c>
      <c r="G192" s="225">
        <v>76</v>
      </c>
      <c r="H192" s="227" t="s">
        <v>996</v>
      </c>
      <c r="I192" s="226">
        <v>43092.89099537037</v>
      </c>
      <c r="J192" s="225">
        <v>0</v>
      </c>
      <c r="K192" s="237" t="str">
        <f t="shared" si="99"/>
        <v>4031/4032</v>
      </c>
      <c r="L192" s="245" t="str">
        <f>VLOOKUP(A192,'Trips&amp;Operators'!$C$1:$G$99911,5,FALSE)</f>
        <v>SMITH MICHAEL</v>
      </c>
      <c r="M192" s="224">
        <f t="shared" si="100"/>
        <v>9.5370370327145793E-3</v>
      </c>
      <c r="N192" s="225">
        <f t="shared" si="142"/>
        <v>13.733333327108994</v>
      </c>
      <c r="O192" s="225"/>
      <c r="P192" s="225"/>
      <c r="Q192" s="228"/>
      <c r="R192" s="242"/>
      <c r="S192" s="249">
        <f t="shared" si="143"/>
        <v>1</v>
      </c>
      <c r="T192" s="242" t="str">
        <f t="shared" si="101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102"/>
        <v>https://d0f6bd738d7f1b3e5a7ca70fe4ff75f0.us-east-1.aws.found.io/app/kibana#/discover/Steve-Slow-Train-Analysis-(2080s-and-2083s)?_g=(refreshInterval:(display:Off,pause:!f,section:0,value:0),time:(from:'2017-12-23T20:01:25-0700',mode:absolute,to:'2017-12-23T22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247" t="str">
        <f>IF(AA192&lt;VLOOKUP(AG192,Variables!$AC$3:$AD$8,2,FALSE),"Y","N")</f>
        <v>N</v>
      </c>
      <c r="X192" s="247">
        <f t="shared" si="156"/>
        <v>1</v>
      </c>
      <c r="Y192" s="247">
        <f>RIGHT(D192,LEN(D192)-4)/10000</f>
        <v>4.3900000000000002E-2</v>
      </c>
      <c r="Z192" s="247">
        <f>RIGHT(H192,LEN(H192)-4)/10000</f>
        <v>5.8921999999999999</v>
      </c>
      <c r="AA192" s="247">
        <f t="shared" si="103"/>
        <v>5.8483000000000001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104"/>
        <v>1831</v>
      </c>
      <c r="AE192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2" s="234" t="str">
        <f t="shared" si="106"/>
        <v>"C:\Program Files (x86)\AstroGrep\AstroGrep.exe" /e /r /s /spath="%USERPROFILE%\AppData\Local\Temp\OnboardLogs" /stypes="app*4032*20171224*" /stext=" 04:.+((SYSTEM_STATE.+slice.+state.+changed )|(ment ac)|(multiple cpu faults)|(system.+state.+changed )|(\[timeout)|(PRM\|1\|D)|(kpr)|(kdp)|(train st.+moving)|(\|lc)|(penalty))"</v>
      </c>
      <c r="AG192" s="244" t="str">
        <f t="shared" si="107"/>
        <v>NW</v>
      </c>
      <c r="AH192" s="236" t="str">
        <f t="shared" si="117"/>
        <v>"%USERPROFILE%\Documents\GitHub\eaglep3\Utilities\RefineRTDCRunTimes.py" --tripid 1831-23 --locoid 4032 --swversion DE.1.0.9.0 --startMP 204:439 --initTime 2017-12-23T21:01:25 --startdatetime 2017-12-23T21:09:18 --delay 76 --endMP 300:58922 --enddatetime 2017-12-23T21:23:02 --enforcementcount 0 &gt;&gt;%USERPROFILE%\Documents\GitHub\eaglep3-reporting\EC\2017-12-23-refined-times.txt</v>
      </c>
      <c r="AI192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{"issue":{"subject":"","project_id":79,"tracker_id":40,"status_id":1,"priority_id":2,"assigned_to_id":338,"start_date":"2017-12-23","description":"","custom_fields":[{"id":1,"name":"Subdivision","value":"NW"},{"id":4,"name":"Milepost","value":"5.8922"},{"id":17,"name":"Train ID","value":"1831-23"},{"id":16,"name":"Locomotive ID","value":"4032"},{"id":130,"name":"Impact","value":""},{"id":150,"name":"Time of Event (Mountain Time)","value":"21:23:02"},{"id":151,"name":"Denver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119"/>
        <v>start /low /b %USERPROFILE%\Documents\GitHub\eaglep3\Utilities\DownloadLogsFromS3.py --loco 4032 --day 2017-12-23</v>
      </c>
      <c r="AN19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121"/>
        <v>https://d0f6bd738d7f1b3e5a7ca70fe4ff75f0.us-east-1.aws.found.io/app/kibana#/discover/Steve-Slow-Train-Analysis-(2080s-and-2083s)?_g=(refreshInterval:(display:Off,pause:!f,section:0,value:0),time:(from:'2017-12-23T20:01:25-0700',mode:absolute,to:'2017-12-23T22:23:02-0700'))&amp;_a=(columns:!('Message%20ID',Summary),filters:!(),index:'emp_*',interval:auto,query:(query_string:(analyze_wildcard:!t,query:'%22rtdc.l.rtdc.4032%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25">
      <c r="A193" s="229" t="s">
        <v>685</v>
      </c>
      <c r="B193" s="225">
        <v>4031</v>
      </c>
      <c r="C193" s="227" t="s">
        <v>192</v>
      </c>
      <c r="D193" s="227" t="s">
        <v>642</v>
      </c>
      <c r="E193" s="226">
        <v>43092.892152777778</v>
      </c>
      <c r="F193" s="226">
        <v>43092.90425925926</v>
      </c>
      <c r="G193" s="225">
        <v>62</v>
      </c>
      <c r="H193" s="227" t="s">
        <v>997</v>
      </c>
      <c r="I193" s="226">
        <v>43092.912048611113</v>
      </c>
      <c r="J193" s="225">
        <v>0</v>
      </c>
      <c r="K193" s="237" t="str">
        <f t="shared" si="99"/>
        <v>4031/4032</v>
      </c>
      <c r="L193" s="245" t="str">
        <f>VLOOKUP(A193,'Trips&amp;Operators'!$C$1:$G$99911,5,FALSE)</f>
        <v>SMITH MICHAEL</v>
      </c>
      <c r="M193" s="224">
        <f t="shared" si="100"/>
        <v>7.7893518537166528E-3</v>
      </c>
      <c r="N193" s="225">
        <f t="shared" ref="N193:N222" si="162">24*60*SUM($M193:$M193)</f>
        <v>11.21666666935198</v>
      </c>
      <c r="O193" s="225"/>
      <c r="P193" s="225"/>
      <c r="Q193" s="228"/>
      <c r="R193" s="242"/>
      <c r="S193" s="249">
        <f t="shared" ref="S193:S222" si="163">1/IF(AG193="EC",12,1)*SUM(U193:U193)</f>
        <v>1</v>
      </c>
      <c r="T193" s="242" t="str">
        <f t="shared" si="101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102"/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247" t="str">
        <f>IF(AA193&lt;VLOOKUP(AG193,Variables!$AC$3:$AD$8,2,FALSE),"Y","N")</f>
        <v>Y</v>
      </c>
      <c r="X193" s="247">
        <f t="shared" si="156"/>
        <v>1</v>
      </c>
      <c r="Y193" s="247">
        <f>RIGHT(D193,LEN(D193)-4)/10000</f>
        <v>5.8609</v>
      </c>
      <c r="Z193" s="247">
        <f>RIGHT(H193,LEN(H193)-4)/10000</f>
        <v>0.46189999999999998</v>
      </c>
      <c r="AA193" s="247">
        <f t="shared" si="103"/>
        <v>5.399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104"/>
        <v>1832</v>
      </c>
      <c r="AE193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3" s="234" t="str">
        <f t="shared" si="106"/>
        <v>"C:\Program Files (x86)\AstroGrep\AstroGrep.exe" /e /r /s /spath="%USERPROFILE%\AppData\Local\Temp\OnboardLogs" /stypes="app*4031*20171224*" /stext=" 04:.+((SYSTEM_STATE.+slice.+state.+changed )|(ment ac)|(multiple cpu faults)|(system.+state.+changed )|(\[timeout)|(PRM\|1\|D)|(kpr)|(kdp)|(train st.+moving)|(\|lc)|(penalty))"</v>
      </c>
      <c r="AG193" s="244" t="str">
        <f t="shared" si="107"/>
        <v>NW</v>
      </c>
      <c r="AH193" s="236" t="str">
        <f t="shared" si="117"/>
        <v>"%USERPROFILE%\Documents\GitHub\eaglep3\Utilities\RefineRTDCRunTimes.py" --tripid 1832-23 --locoid 4031 --swversion DE.1.0.9.0 --startMP 300:58609 --initTime 2017-12-23T21:24:42 --startdatetime 2017-12-23T21:42:08 --delay 62 --endMP 204:4619 --enddatetime 2017-12-23T21:53:21 --enforcementcount 0 &gt;&gt;%USERPROFILE%\Documents\GitHub\eaglep3-reporting\EC\2017-12-23-refined-times.txt</v>
      </c>
      <c r="AI193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{"issue":{"subject":"","project_id":79,"tracker_id":40,"status_id":1,"priority_id":2,"assigned_to_id":338,"start_date":"2017-12-23","description":"","custom_fields":[{"id":1,"name":"Subdivision","value":"NW"},{"id":4,"name":"Milepost","value":"0.4619"},{"id":17,"name":"Train ID","value":"1832-23"},{"id":16,"name":"Locomotive ID","value":"4031"},{"id":130,"name":"Impact","value":""},{"id":150,"name":"Time of Event (Mountain Time)","value":"21:53:21"},{"id":151,"name":"Denver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119"/>
        <v>start /low /b %USERPROFILE%\Documents\GitHub\eaglep3\Utilities\DownloadLogsFromS3.py --loco 4031 --day 2017-12-23</v>
      </c>
      <c r="AN193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04:53:21"},{"id":29,"name":"Sharepoint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121"/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Message%20ID',Summary),filters:!(),index:'emp_*',interval:auto,query:(query_string:(analyze_wildcard:!t,query:'%22rtdc.l.rtdc.4031%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25">
      <c r="A194" s="229" t="s">
        <v>869</v>
      </c>
      <c r="B194" s="225">
        <v>4032</v>
      </c>
      <c r="C194" s="227" t="s">
        <v>192</v>
      </c>
      <c r="D194" s="227" t="s">
        <v>642</v>
      </c>
      <c r="E194" s="226">
        <v>43092.892152777778</v>
      </c>
      <c r="F194" s="226">
        <v>43092.923136574071</v>
      </c>
      <c r="G194" s="225">
        <v>62</v>
      </c>
      <c r="H194" s="227" t="s">
        <v>997</v>
      </c>
      <c r="I194" s="226">
        <v>43092.933391203704</v>
      </c>
      <c r="J194" s="225">
        <v>0</v>
      </c>
      <c r="K194" s="237" t="str">
        <f t="shared" si="99"/>
        <v>4031/4032</v>
      </c>
      <c r="L194" s="245" t="str">
        <f>VLOOKUP(A194,'Trips&amp;Operators'!$C$1:$G$99911,5,FALSE)</f>
        <v>SMITH MICHAEL</v>
      </c>
      <c r="M194" s="224">
        <f t="shared" si="100"/>
        <v>1.025462963298196E-2</v>
      </c>
      <c r="N194" s="225">
        <f t="shared" si="162"/>
        <v>14.766666671494022</v>
      </c>
      <c r="O194" s="225"/>
      <c r="P194" s="225"/>
      <c r="Q194" s="228"/>
      <c r="R194" s="242"/>
      <c r="S194" s="249">
        <f t="shared" si="163"/>
        <v>1</v>
      </c>
      <c r="T194" s="242" t="str">
        <f t="shared" si="101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102"/>
        <v>https://d0f6bd738d7f1b3e5a7ca70fe4ff75f0.us-east-1.aws.found.io/app/kibana#/discover/Steve-Slow-Train-Analysis-(2080s-and-2083s)?_g=(refreshInterval:(display:Off,pause:!f,section:0,value:0),time:(from:'2017-12-23T20:24:42-0700',mode:absolute,to:'2017-12-23T23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247" t="str">
        <f>IF(AA194&lt;VLOOKUP(AG194,Variables!$AC$3:$AD$8,2,FALSE),"Y","N")</f>
        <v>N</v>
      </c>
      <c r="X194" s="247">
        <f t="shared" ref="X194:X195" si="164">VALUE(LEFT(AD194,4))-VALUE(LEFT(AD193,4))</f>
        <v>1</v>
      </c>
      <c r="Y194" s="247">
        <v>5.9299999999999999E-2</v>
      </c>
      <c r="Z194" s="247">
        <v>5.8949999999999996</v>
      </c>
      <c r="AA194" s="247">
        <f t="shared" si="103"/>
        <v>5.8356999999999992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104"/>
        <v>1833</v>
      </c>
      <c r="AE194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4" s="234" t="str">
        <f t="shared" si="106"/>
        <v>"C:\Program Files (x86)\AstroGrep\AstroGrep.exe" /e /r /s /spath="%USERPROFILE%\AppData\Local\Temp\OnboardLogs" /stypes="app*4032*20171224*" /stext=" 05:.+((SYSTEM_STATE.+slice.+state.+changed )|(ment ac)|(multiple cpu faults)|(system.+state.+changed )|(\[timeout)|(PRM\|1\|D)|(kpr)|(kdp)|(train st.+moving)|(\|lc)|(penalty))"</v>
      </c>
      <c r="AG194" s="244" t="str">
        <f t="shared" si="107"/>
        <v>NW</v>
      </c>
      <c r="AH194" s="236" t="str">
        <f t="shared" ref="AH194" si="165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1833-23 --locoid 4032 --swversion DE.1.0.9.0 --startMP 300:58609 --initTime 2017-12-23T21:24:42 --startdatetime 2017-12-23T22:09:19 --delay 62 --endMP 204:4619 --enddatetime 2017-12-23T22:24:05 --enforcementcount 0 &gt;&gt;%USERPROFILE%\Documents\GitHub\eaglep3-reporting\EC\2017-12-23-refined-times.txt</v>
      </c>
      <c r="AI194" s="238" t="str">
        <f t="shared" ref="AI194" si="166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{"issue":{"subject":"","project_id":79,"tracker_id":40,"status_id":1,"priority_id":2,"assigned_to_id":338,"start_date":"2017-12-23","description":"","custom_fields":[{"id":1,"name":"Subdivision","value":"NW"},{"id":4,"name":"Milepost","value":"5.895"},{"id":17,"name":"Train ID","value":"1833-23"},{"id":16,"name":"Locomotive ID","value":"4032"},{"id":130,"name":"Impact","value":""},{"id":150,"name":"Time of Event (Mountain Time)","value":"22:24:05"},{"id":151,"name":"Denver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ref="AM194" si="167">"start /low /b "&amp;dls3logs&amp;" --loco "&amp;B194&amp;" --day "&amp;TEXT(F194,"YYYY-MM-DD")</f>
        <v>start /low /b %USERPROFILE%\Documents\GitHub\eaglep3\Utilities\DownloadLogsFromS3.py --loco 4032 --day 2017-12-23</v>
      </c>
      <c r="AN194" s="241" t="str">
        <f t="shared" ref="AN194" si="168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ref="AO194" si="169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-23T20:24:42-0700',mode:absolute,to:'2017-12-23T23:24:05-0700'))&amp;_a=(columns:!('Message%20ID',Summary),filters:!(),index:'emp_*',interval:auto,query:(query_string:(analyze_wildcard:!t,query:'%22rtdc.l.rtdc.4032%22')),sort:!(Time.ISO8601,asc))</v>
      </c>
    </row>
    <row r="195" spans="1:91" s="20" customFormat="1" x14ac:dyDescent="0.25">
      <c r="A195" s="229" t="s">
        <v>687</v>
      </c>
      <c r="B195" s="225">
        <v>4031</v>
      </c>
      <c r="C195" s="227" t="s">
        <v>192</v>
      </c>
      <c r="D195" s="227" t="s">
        <v>998</v>
      </c>
      <c r="E195" s="226">
        <v>43092.936863425923</v>
      </c>
      <c r="F195" s="226">
        <v>43092.946608796294</v>
      </c>
      <c r="G195" s="225">
        <v>69</v>
      </c>
      <c r="H195" s="227" t="s">
        <v>516</v>
      </c>
      <c r="I195" s="226">
        <v>43092.95590277778</v>
      </c>
      <c r="J195" s="225">
        <v>0</v>
      </c>
      <c r="K195" s="237" t="str">
        <f t="shared" si="99"/>
        <v>4031/4032</v>
      </c>
      <c r="L195" s="245" t="str">
        <f>VLOOKUP(A195,'Trips&amp;Operators'!$C$1:$G$99911,5,FALSE)</f>
        <v>SMITH MICHAEL</v>
      </c>
      <c r="M195" s="224">
        <f t="shared" si="100"/>
        <v>9.2939814858254977E-3</v>
      </c>
      <c r="N195" s="225">
        <f t="shared" si="162"/>
        <v>13.383333339588717</v>
      </c>
      <c r="O195" s="225"/>
      <c r="P195" s="225"/>
      <c r="Q195" s="228"/>
      <c r="R195" s="242"/>
      <c r="S195" s="249">
        <f t="shared" si="163"/>
        <v>1</v>
      </c>
      <c r="T195" s="242" t="str">
        <f t="shared" si="101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102"/>
        <v>https://d0f6bd738d7f1b3e5a7ca70fe4ff75f0.us-east-1.aws.found.io/app/kibana#/discover/Steve-Slow-Train-Analysis-(2080s-and-2083s)?_g=(refreshInterval:(display:Off,pause:!f,section:0,value:0),time:(from:'2017-12-23T21:29:05-0700',mode:absolute,to:'2017-12-23T23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5" s="247" t="str">
        <f>IF(AA195&lt;VLOOKUP(AG195,Variables!$AC$3:$AD$8,2,FALSE),"Y","N")</f>
        <v>N</v>
      </c>
      <c r="X195" s="247">
        <f t="shared" si="164"/>
        <v>1</v>
      </c>
      <c r="Y195" s="247">
        <f t="shared" ref="Y195:Y222" si="170">RIGHT(D195,LEN(D195)-4)/10000</f>
        <v>5.8635999999999999</v>
      </c>
      <c r="Z195" s="247">
        <f t="shared" ref="Z195:Z222" si="171">RIGHT(H195,LEN(H195)-4)/10000</f>
        <v>1.49E-2</v>
      </c>
      <c r="AA195" s="247">
        <f t="shared" si="103"/>
        <v>5.8487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104"/>
        <v>1834</v>
      </c>
      <c r="AE195" s="235" t="str">
        <f t="shared" si="105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195" s="234" t="str">
        <f t="shared" si="106"/>
        <v>"C:\Program Files (x86)\AstroGrep\AstroGrep.exe" /e /r /s /spath="%USERPROFILE%\AppData\Local\Temp\OnboardLogs" /stypes="app*4031*20171224*" /stext=" 05:.+((SYSTEM_STATE.+slice.+state.+changed )|(ment ac)|(multiple cpu faults)|(system.+state.+changed )|(\[timeout)|(PRM\|1\|D)|(kpr)|(kdp)|(train st.+moving)|(\|lc)|(penalty))"</v>
      </c>
      <c r="AG195" s="244" t="str">
        <f t="shared" si="107"/>
        <v>NW</v>
      </c>
      <c r="AH195" s="236" t="str">
        <f t="shared" si="117"/>
        <v>"%USERPROFILE%\Documents\GitHub\eaglep3\Utilities\RefineRTDCRunTimes.py" --tripid 1834-23 --locoid 4031 --swversion DE.1.0.9.0 --startMP 300:58636 --initTime 2017-12-23T22:29:05 --startdatetime 2017-12-23T22:43:07 --delay 69 --endMP 204:149 --enddatetime 2017-12-23T22:56:30 --enforcementcount 0 &gt;&gt;%USERPROFILE%\Documents\GitHub\eaglep3-reporting\EC\2017-12-23-refined-times.txt</v>
      </c>
      <c r="AI195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{"issue":{"subject":"","project_id":79,"tracker_id":40,"status_id":1,"priority_id":2,"assigned_to_id":338,"start_date":"2017-12-23","description":"","custom_fields":[{"id":1,"name":"Subdivision","value":"NW"},{"id":4,"name":"Milepost","value":"0.0149"},{"id":17,"name":"Train ID","value":"1834-23"},{"id":16,"name":"Locomotive ID","value":"4031"},{"id":130,"name":"Impact","value":""},{"id":150,"name":"Time of Event (Mountain Time)","value":"22:56:30"},{"id":151,"name":"Denver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119"/>
        <v>start /low /b %USERPROFILE%\Documents\GitHub\eaglep3\Utilities\DownloadLogsFromS3.py --loco 4031 --day 2017-12-23</v>
      </c>
      <c r="AN195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05:56:30"},{"id":29,"name":"Sharepoint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121"/>
        <v>https://d0f6bd738d7f1b3e5a7ca70fe4ff75f0.us-east-1.aws.found.io/app/kibana#/discover/Steve-Slow-Train-Analysis-(2080s-and-2083s)?_g=(refreshInterval:(display:Off,pause:!f,section:0,value:0),time:(from:'2017-12-23T21:29:05-0700',mode:absolute,to:'2017-12-23T23:56:30-0700'))&amp;_a=(columns:!('Message%20ID',Summary),filters:!(),index:'emp_*',interval:auto,query:(query_string:(analyze_wildcard:!t,query:'%22rtdc.l.rtdc.4031%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872</v>
      </c>
      <c r="B196" s="225">
        <v>4032</v>
      </c>
      <c r="C196" s="227" t="s">
        <v>192</v>
      </c>
      <c r="D196" s="227" t="s">
        <v>894</v>
      </c>
      <c r="E196" s="226">
        <v>43092.961956018517</v>
      </c>
      <c r="F196" s="226">
        <v>43092.967187499999</v>
      </c>
      <c r="G196" s="225">
        <v>67</v>
      </c>
      <c r="H196" s="227" t="s">
        <v>999</v>
      </c>
      <c r="I196" s="226">
        <v>43092.977731481478</v>
      </c>
      <c r="J196" s="225">
        <v>0</v>
      </c>
      <c r="K196" s="237" t="str">
        <f t="shared" si="99"/>
        <v>4031/4032</v>
      </c>
      <c r="L196" s="245" t="str">
        <f>VLOOKUP(A196,'Trips&amp;Operators'!$C$1:$G$99911,5,FALSE)</f>
        <v>SMITH MICHAEL</v>
      </c>
      <c r="M196" s="224">
        <f t="shared" si="100"/>
        <v>1.0543981479713693E-2</v>
      </c>
      <c r="N196" s="225">
        <f t="shared" si="162"/>
        <v>15.183333330787718</v>
      </c>
      <c r="O196" s="225"/>
      <c r="P196" s="225"/>
      <c r="Q196" s="228"/>
      <c r="R196" s="242"/>
      <c r="S196" s="249">
        <f t="shared" si="163"/>
        <v>1</v>
      </c>
      <c r="T196" s="242" t="str">
        <f t="shared" si="101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102"/>
        <v>https://d0f6bd738d7f1b3e5a7ca70fe4ff75f0.us-east-1.aws.found.io/app/kibana#/discover/Steve-Slow-Train-Analysis-(2080s-and-2083s)?_g=(refreshInterval:(display:Off,pause:!f,section:0,value:0),time:(from:'2017-12-23T22:05:13-0700',mode:absolute,to:'2017-12-24T00:27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247" t="str">
        <f>IF(AA196&lt;VLOOKUP(AG196,Variables!$AC$3:$AD$8,2,FALSE),"Y","N")</f>
        <v>N</v>
      </c>
      <c r="X196" s="247">
        <f t="shared" si="156"/>
        <v>1</v>
      </c>
      <c r="Y196" s="247">
        <f t="shared" si="170"/>
        <v>4.7100000000000003E-2</v>
      </c>
      <c r="Z196" s="247">
        <f t="shared" si="171"/>
        <v>5.8928000000000003</v>
      </c>
      <c r="AA196" s="247">
        <f t="shared" si="103"/>
        <v>5.8456999999999999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104"/>
        <v>1835</v>
      </c>
      <c r="AE196" s="235" t="str">
        <f t="shared" si="105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196" s="234" t="str">
        <f t="shared" si="106"/>
        <v>"C:\Program Files (x86)\AstroGrep\AstroGrep.exe" /e /r /s /spath="%USERPROFILE%\AppData\Local\Temp\OnboardLogs" /stypes="app*4032*20171224*" /stext=" 06:.+((SYSTEM_STATE.+slice.+state.+changed )|(ment ac)|(multiple cpu faults)|(system.+state.+changed )|(\[timeout)|(PRM\|1\|D)|(kpr)|(kdp)|(train st.+moving)|(\|lc)|(penalty))"</v>
      </c>
      <c r="AG196" s="244" t="str">
        <f t="shared" si="107"/>
        <v>NW</v>
      </c>
      <c r="AH196" s="236" t="str">
        <f t="shared" si="117"/>
        <v>"%USERPROFILE%\Documents\GitHub\eaglep3\Utilities\RefineRTDCRunTimes.py" --tripid 1835-23 --locoid 4032 --swversion DE.1.0.9.0 --startMP 204:471 --initTime 2017-12-23T23:05:13 --startdatetime 2017-12-23T23:12:45 --delay 67 --endMP 300:58928 --enddatetime 2017-12-23T23:27:56 --enforcementcount 0 &gt;&gt;%USERPROFILE%\Documents\GitHub\eaglep3-reporting\EC\2017-12-23-refined-times.txt</v>
      </c>
      <c r="AI196" s="238" t="str">
        <f t="shared" si="118"/>
        <v>echo {"issue":{"subject":"","project_id":79,"tracker_id":40,"status_id":1,"priority_id":2,"assigned_to_id":338,"start_date":"2017-12-23","description":"","custom_fields":[{"id":1,"name":"Subdivision","value":"NW"},{"id":4,"name":"Milepost","value":"5.8928"},{"id":17,"name":"Train ID","value":"1835-23"},{"id":16,"name":"Locomotive ID","value":"4032"},{"id":130,"name":"Impact","value":""},{"id":150,"name":"Time of Event (Mountain Time)","value":"23:27:56"},{"id":151,"name":"Denver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119"/>
        <v>start /low /b %USERPROFILE%\Documents\GitHub\eaglep3\Utilities\DownloadLogsFromS3.py --loco 4032 --day 2017-12-23</v>
      </c>
      <c r="AN196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06:27:56"},{"id":29,"name":"Sharepoint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121"/>
        <v>https://d0f6bd738d7f1b3e5a7ca70fe4ff75f0.us-east-1.aws.found.io/app/kibana#/discover/Steve-Slow-Train-Analysis-(2080s-and-2083s)?_g=(refreshInterval:(display:Off,pause:!f,section:0,value:0),time:(from:'2017-12-23T22:05:13-0700',mode:absolute,to:'2017-12-24T00:27:56-0700'))&amp;_a=(columns:!('Message%20ID',Summary),filters:!(),index:'emp_*',interval:auto,query:(query_string:(analyze_wildcard:!t,query:'%22rtdc.l.rtdc.4032%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25">
      <c r="A197" s="229" t="s">
        <v>691</v>
      </c>
      <c r="B197" s="225">
        <v>4001</v>
      </c>
      <c r="C197" s="227" t="s">
        <v>192</v>
      </c>
      <c r="D197" s="227" t="s">
        <v>1041</v>
      </c>
      <c r="E197" s="226">
        <v>43092.117847222224</v>
      </c>
      <c r="F197" s="226">
        <v>43092.123252314814</v>
      </c>
      <c r="G197" s="225">
        <v>98</v>
      </c>
      <c r="H197" s="227" t="s">
        <v>539</v>
      </c>
      <c r="I197" s="226">
        <v>43092.128993055558</v>
      </c>
      <c r="J197" s="225">
        <v>0</v>
      </c>
      <c r="K197" s="237" t="str">
        <f t="shared" si="99"/>
        <v>4001/4002</v>
      </c>
      <c r="L197" s="245" t="str">
        <f>VLOOKUP(A197,'Trips&amp;Operators'!$C$1:$G$99911,5,FALSE)</f>
        <v>THOMPSON LESTER</v>
      </c>
      <c r="M197" s="224">
        <f t="shared" si="100"/>
        <v>5.7407407439313829E-3</v>
      </c>
      <c r="N197" s="225">
        <f t="shared" si="162"/>
        <v>8.2666666712611914</v>
      </c>
      <c r="O197" s="225"/>
      <c r="P197" s="225"/>
      <c r="Q197" s="228"/>
      <c r="R197" s="242"/>
      <c r="S197" s="249">
        <f t="shared" si="163"/>
        <v>1</v>
      </c>
      <c r="T197" s="242" t="str">
        <f t="shared" si="101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102"/>
        <v>https://d0f6bd738d7f1b3e5a7ca70fe4ff75f0.us-east-1.aws.found.io/app/kibana#/discover/Steve-Slow-Train-Analysis-(2080s-and-2083s)?_g=(refreshInterval:(display:Off,pause:!f,section:0,value:0),time:(from:'2017-12-23T01:49:42-0700',mode:absolute,to:'2017-12-23T04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247" t="str">
        <f>IF(AA197&lt;VLOOKUP(AG197,Variables!$AC$3:$AD$8,2,FALSE),"Y","N")</f>
        <v>Y</v>
      </c>
      <c r="X197" s="247">
        <f t="shared" si="156"/>
        <v>-1535</v>
      </c>
      <c r="Y197" s="247">
        <f t="shared" si="170"/>
        <v>2.3283</v>
      </c>
      <c r="Z197" s="247">
        <f t="shared" si="171"/>
        <v>1.6E-2</v>
      </c>
      <c r="AA197" s="247">
        <f t="shared" si="103"/>
        <v>2.3123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104"/>
        <v>300</v>
      </c>
      <c r="AE197" s="235" t="str">
        <f t="shared" si="105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197" s="234" t="str">
        <f t="shared" si="106"/>
        <v>"C:\Program Files (x86)\AstroGrep\AstroGrep.exe" /e /r /s /spath="%USERPROFILE%\AppData\Local\Temp\OnboardLogs" /stypes="app*4001*20171223*" /stext=" 10:.+((SYSTEM_STATE.+slice.+state.+changed )|(ment ac)|(multiple cpu faults)|(system.+state.+changed )|(\[timeout)|(PRM\|1\|D)|(kpr)|(kdp)|(train st.+moving)|(\|lc)|(penalty))"</v>
      </c>
      <c r="AG197" s="244" t="str">
        <f t="shared" si="107"/>
        <v>Other</v>
      </c>
      <c r="AH197" s="236" t="str">
        <f t="shared" si="117"/>
        <v>"%USERPROFILE%\Documents\GitHub\eaglep3\Utilities\RefineRTDCRunTimes.py" --tripid 300-23 --locoid 4001 --swversion DE.1.0.9.0 --startMP 300:23283 --initTime 2017-12-23T02:49:42 --startdatetime 2017-12-23T02:57:29 --delay 98 --endMP 204:160 --enddatetime 2017-12-23T03:05:45 --enforcementcount 0 &gt;&gt;%USERPROFILE%\Documents\GitHub\eaglep3-reporting\EC\2017-12-23-refined-times.txt</v>
      </c>
      <c r="AI197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{"issue":{"subject":"","project_id":79,"tracker_id":40,"status_id":1,"priority_id":2,"assigned_to_id":338,"start_date":"2017-12-23","description":"","custom_fields":[{"id":1,"name":"Subdivision","value":"Other"},{"id":4,"name":"Milepost","value":"0.016"},{"id":17,"name":"Train ID","value":"300-23"},{"id":16,"name":"Locomotive ID","value":"4001"},{"id":130,"name":"Impact","value":""},{"id":150,"name":"Time of Event (Mountain Time)","value":"03:05:45"},{"id":151,"name":"Denver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119"/>
        <v>start /low /b %USERPROFILE%\Documents\GitHub\eaglep3\Utilities\DownloadLogsFromS3.py --loco 4001 --day 2017-12-23</v>
      </c>
      <c r="AN197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121"/>
        <v>https://d0f6bd738d7f1b3e5a7ca70fe4ff75f0.us-east-1.aws.found.io/app/kibana#/discover/Steve-Slow-Train-Analysis-(2080s-and-2083s)?_g=(refreshInterval:(display:Off,pause:!f,section:0,value:0),time:(from:'2017-12-23T01:49:42-0700',mode:absolute,to:'2017-12-23T04:05:45-0700'))&amp;_a=(columns:!('Message%20ID',Summary),filters:!(),index:'emp_*',interval:auto,query:(query_string:(analyze_wildcard:!t,query:'%22rtdc.l.rtdc.4001%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25">
      <c r="A198" s="229" t="s">
        <v>850</v>
      </c>
      <c r="B198" s="225">
        <v>4030</v>
      </c>
      <c r="C198" s="227" t="s">
        <v>192</v>
      </c>
      <c r="D198" s="227" t="s">
        <v>515</v>
      </c>
      <c r="E198" s="226">
        <v>43092.776828703703</v>
      </c>
      <c r="F198" s="226">
        <v>43092.779074074075</v>
      </c>
      <c r="G198" s="225">
        <v>85</v>
      </c>
      <c r="H198" s="227" t="s">
        <v>1042</v>
      </c>
      <c r="I198" s="226">
        <v>43092.786377314813</v>
      </c>
      <c r="J198" s="225">
        <v>0</v>
      </c>
      <c r="K198" s="237" t="str">
        <f t="shared" si="99"/>
        <v>4029/4030</v>
      </c>
      <c r="L198" s="245" t="str">
        <f>VLOOKUP(A198,'Trips&amp;Operators'!$C$1:$G$99911,5,FALSE)</f>
        <v>SAFIEF AEIMEN</v>
      </c>
      <c r="M198" s="224">
        <f t="shared" si="100"/>
        <v>7.3032407381106168E-3</v>
      </c>
      <c r="N198" s="225">
        <f t="shared" si="162"/>
        <v>10.516666662879288</v>
      </c>
      <c r="O198" s="225"/>
      <c r="P198" s="225"/>
      <c r="Q198" s="228"/>
      <c r="R198" s="242"/>
      <c r="S198" s="249">
        <f t="shared" si="163"/>
        <v>1</v>
      </c>
      <c r="T198" s="242" t="str">
        <f t="shared" si="101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102"/>
        <v>https://d0f6bd738d7f1b3e5a7ca70fe4ff75f0.us-east-1.aws.found.io/app/kibana#/discover/Steve-Slow-Train-Analysis-(2080s-and-2083s)?_g=(refreshInterval:(display:Off,pause:!f,section:0,value:0),time:(from:'2017-12-23T17:38:38-0700',mode:absolute,to:'2017-12-23T19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47" t="str">
        <f>IF(AA198&lt;VLOOKUP(AG198,Variables!$AC$3:$AD$8,2,FALSE),"Y","N")</f>
        <v>Y</v>
      </c>
      <c r="X198" s="247">
        <f t="shared" ref="X198:X222" si="172">VALUE(LEFT(AD198,4))-VALUE(LEFT(AD197,4))</f>
        <v>1</v>
      </c>
      <c r="Y198" s="247">
        <f t="shared" si="170"/>
        <v>4.6600000000000003E-2</v>
      </c>
      <c r="Z198" s="247">
        <f t="shared" si="171"/>
        <v>2.3292999999999999</v>
      </c>
      <c r="AA198" s="247">
        <f t="shared" si="103"/>
        <v>2.2826999999999997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104"/>
        <v>301</v>
      </c>
      <c r="AE198" s="235" t="str">
        <f t="shared" si="105"/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AF198" s="234" t="str">
        <f t="shared" si="106"/>
        <v>"C:\Program Files (x86)\AstroGrep\AstroGrep.exe" /e /r /s /spath="%USERPROFILE%\AppData\Local\Temp\OnboardLogs" /stypes="app*4030*20171224*" /stext=" 01:.+((SYSTEM_STATE.+slice.+state.+changed )|(ment ac)|(multiple cpu faults)|(system.+state.+changed )|(\[timeout)|(PRM\|1\|D)|(kpr)|(kdp)|(train st.+moving)|(\|lc)|(penalty))"</v>
      </c>
      <c r="AG198" s="244" t="str">
        <f t="shared" si="107"/>
        <v>Other</v>
      </c>
      <c r="AH198" s="236" t="str">
        <f t="shared" si="117"/>
        <v>"%USERPROFILE%\Documents\GitHub\eaglep3\Utilities\RefineRTDCRunTimes.py" --tripid 301-23 --locoid 4030 --swversion DE.1.0.9.0 --startMP 204:466 --initTime 2017-12-23T18:38:38 --startdatetime 2017-12-23T18:41:52 --delay 85 --endMP 300:23293 --enddatetime 2017-12-23T18:52:23 --enforcementcount 0 &gt;&gt;%USERPROFILE%\Documents\GitHub\eaglep3-reporting\EC\2017-12-23-refined-times.txt</v>
      </c>
      <c r="AI198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{"issue":{"subject":"","project_id":79,"tracker_id":40,"status_id":1,"priority_id":2,"assigned_to_id":338,"start_date":"2017-12-23","description":"","custom_fields":[{"id":1,"name":"Subdivision","value":"Other"},{"id":4,"name":"Milepost","value":"2.3293"},{"id":17,"name":"Train ID","value":"301-23"},{"id":16,"name":"Locomotive ID","value":"4030"},{"id":130,"name":"Impact","value":""},{"id":150,"name":"Time of Event (Mountain Time)","value":"18:52:23"},{"id":151,"name":"Denver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119"/>
        <v>start /low /b %USERPROFILE%\Documents\GitHub\eaglep3\Utilities\DownloadLogsFromS3.py --loco 4030 --day 2017-12-23</v>
      </c>
      <c r="AN198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01:52:23"},{"id":29,"name":"Sharepoint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121"/>
        <v>https://d0f6bd738d7f1b3e5a7ca70fe4ff75f0.us-east-1.aws.found.io/app/kibana#/discover/Steve-Slow-Train-Analysis-(2080s-and-2083s)?_g=(refreshInterval:(display:Off,pause:!f,section:0,value:0),time:(from:'2017-12-23T17:38:38-0700',mode:absolute,to:'2017-12-23T19:52:23-0700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25">
      <c r="A199" s="229" t="s">
        <v>696</v>
      </c>
      <c r="B199" s="225">
        <v>4015</v>
      </c>
      <c r="C199" s="227" t="s">
        <v>192</v>
      </c>
      <c r="D199" s="227" t="s">
        <v>1043</v>
      </c>
      <c r="E199" s="226">
        <v>43092.137060185189</v>
      </c>
      <c r="F199" s="226">
        <v>43092.144224537034</v>
      </c>
      <c r="G199" s="225">
        <v>192</v>
      </c>
      <c r="H199" s="227" t="s">
        <v>555</v>
      </c>
      <c r="I199" s="226">
        <v>43092.148831018516</v>
      </c>
      <c r="J199" s="225">
        <v>0</v>
      </c>
      <c r="K199" s="237" t="str">
        <f t="shared" si="99"/>
        <v>4015/4016</v>
      </c>
      <c r="L199" s="245" t="str">
        <f>VLOOKUP(A199,'Trips&amp;Operators'!$C$1:$G$99911,5,FALSE)</f>
        <v>MAELZER KURT</v>
      </c>
      <c r="M199" s="224">
        <f t="shared" si="100"/>
        <v>4.6064814814599231E-3</v>
      </c>
      <c r="N199" s="225">
        <f t="shared" si="162"/>
        <v>6.6333333333022892</v>
      </c>
      <c r="O199" s="225"/>
      <c r="P199" s="225"/>
      <c r="Q199" s="228"/>
      <c r="R199" s="242"/>
      <c r="S199" s="249">
        <f t="shared" si="163"/>
        <v>1</v>
      </c>
      <c r="T199" s="242" t="str">
        <f t="shared" si="101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102"/>
        <v>https://d0f6bd738d7f1b3e5a7ca70fe4ff75f0.us-east-1.aws.found.io/app/kibana#/discover/Steve-Slow-Train-Analysis-(2080s-and-2083s)?_g=(refreshInterval:(display:Off,pause:!f,section:0,value:0),time:(from:'2017-12-23T02:17:22-0700',mode:absolute,to:'2017-12-23T04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47" t="str">
        <f>IF(AA199&lt;VLOOKUP(AG199,Variables!$AC$3:$AD$8,2,FALSE),"Y","N")</f>
        <v>Y</v>
      </c>
      <c r="X199" s="247">
        <f t="shared" si="172"/>
        <v>1</v>
      </c>
      <c r="Y199" s="247">
        <f t="shared" si="170"/>
        <v>1.9936</v>
      </c>
      <c r="Z199" s="247">
        <f t="shared" si="171"/>
        <v>0.02</v>
      </c>
      <c r="AA199" s="247">
        <f t="shared" si="103"/>
        <v>1.9736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104"/>
        <v>302</v>
      </c>
      <c r="AE199" s="235" t="str">
        <f t="shared" si="105"/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AF199" s="234" t="str">
        <f t="shared" si="106"/>
        <v>"C:\Program Files (x86)\AstroGrep\AstroGrep.exe" /e /r /s /spath="%USERPROFILE%\AppData\Local\Temp\OnboardLogs" /stypes="app*4015*20171223*" /stext=" 10:.+((SYSTEM_STATE.+slice.+state.+changed )|(ment ac)|(multiple cpu faults)|(system.+state.+changed )|(\[timeout)|(PRM\|1\|D)|(kpr)|(kdp)|(train st.+moving)|(\|lc)|(penalty))"</v>
      </c>
      <c r="AG199" s="244" t="str">
        <f t="shared" si="107"/>
        <v>Other</v>
      </c>
      <c r="AH199" s="236" t="str">
        <f t="shared" si="117"/>
        <v>"%USERPROFILE%\Documents\GitHub\eaglep3\Utilities\RefineRTDCRunTimes.py" --tripid 302-23 --locoid 4015 --swversion DE.1.0.9.0 --startMP 300:19936 --initTime 2017-12-23T03:17:22 --startdatetime 2017-12-23T03:27:41 --delay 192 --endMP 204:200 --enddatetime 2017-12-23T03:34:19 --enforcementcount 0 &gt;&gt;%USERPROFILE%\Documents\GitHub\eaglep3-reporting\EC\2017-12-23-refined-times.txt</v>
      </c>
      <c r="AI199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{"issue":{"subject":"","project_id":79,"tracker_id":40,"status_id":1,"priority_id":2,"assigned_to_id":338,"start_date":"2017-12-23","description":"","custom_fields":[{"id":1,"name":"Subdivision","value":"Other"},{"id":4,"name":"Milepost","value":"0.02"},{"id":17,"name":"Train ID","value":"302-23"},{"id":16,"name":"Locomotive ID","value":"4015"},{"id":130,"name":"Impact","value":""},{"id":150,"name":"Time of Event (Mountain Time)","value":"03:34:19"},{"id":151,"name":"Denver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119"/>
        <v>start /low /b %USERPROFILE%\Documents\GitHub\eaglep3\Utilities\DownloadLogsFromS3.py --loco 4015 --day 2017-12-23</v>
      </c>
      <c r="AN19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121"/>
        <v>https://d0f6bd738d7f1b3e5a7ca70fe4ff75f0.us-east-1.aws.found.io/app/kibana#/discover/Steve-Slow-Train-Analysis-(2080s-and-2083s)?_g=(refreshInterval:(display:Off,pause:!f,section:0,value:0),time:(from:'2017-12-23T02:17:22-0700',mode:absolute,to:'2017-12-23T04:34:19-0700'))&amp;_a=(columns:!('Message%20ID',Summary),filters:!(),index:'emp_*',interval:auto,query:(query_string:(analyze_wildcard:!t,query:'%22rtdc.l.rtdc.4015%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853</v>
      </c>
      <c r="B200" s="225">
        <v>4052</v>
      </c>
      <c r="C200" s="227" t="s">
        <v>192</v>
      </c>
      <c r="D200" s="227" t="s">
        <v>921</v>
      </c>
      <c r="E200" s="226">
        <v>43092.798159722224</v>
      </c>
      <c r="F200" s="226">
        <v>43092.79959490741</v>
      </c>
      <c r="G200" s="225">
        <v>53</v>
      </c>
      <c r="H200" s="227" t="s">
        <v>541</v>
      </c>
      <c r="I200" s="226">
        <v>43092.806168981479</v>
      </c>
      <c r="J200" s="225">
        <v>0</v>
      </c>
      <c r="K200" s="237" t="str">
        <f t="shared" si="99"/>
        <v>4051/4052</v>
      </c>
      <c r="L200" s="245" t="str">
        <f>VLOOKUP(A200,'Trips&amp;Operators'!$C$1:$G$99911,5,FALSE)</f>
        <v>GONZALEZ ARMANDO</v>
      </c>
      <c r="M200" s="224">
        <f t="shared" si="100"/>
        <v>6.5740740683395416E-3</v>
      </c>
      <c r="N200" s="225">
        <f t="shared" si="162"/>
        <v>9.4666666584089398</v>
      </c>
      <c r="O200" s="225"/>
      <c r="P200" s="225"/>
      <c r="Q200" s="228"/>
      <c r="R200" s="242"/>
      <c r="S200" s="249">
        <f t="shared" si="163"/>
        <v>1</v>
      </c>
      <c r="T200" s="242" t="str">
        <f t="shared" si="101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102"/>
        <v>https://d0f6bd738d7f1b3e5a7ca70fe4ff75f0.us-east-1.aws.found.io/app/kibana#/discover/Steve-Slow-Train-Analysis-(2080s-and-2083s)?_g=(refreshInterval:(display:Off,pause:!f,section:0,value:0),time:(from:'2017-12-23T18:09:21-0700',mode:absolute,to:'2017-12-23T20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247" t="str">
        <f>IF(AA200&lt;VLOOKUP(AG200,Variables!$AC$3:$AD$8,2,FALSE),"Y","N")</f>
        <v>Y</v>
      </c>
      <c r="X200" s="247">
        <f t="shared" si="172"/>
        <v>1</v>
      </c>
      <c r="Y200" s="247">
        <f t="shared" si="170"/>
        <v>5.1299999999999998E-2</v>
      </c>
      <c r="Z200" s="247">
        <f t="shared" si="171"/>
        <v>2.3311999999999999</v>
      </c>
      <c r="AA200" s="247">
        <f t="shared" si="103"/>
        <v>2.2799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104"/>
        <v>303</v>
      </c>
      <c r="AE200" s="235" t="str">
        <f t="shared" si="105"/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AF200" s="234" t="str">
        <f t="shared" si="106"/>
        <v>"C:\Program Files (x86)\AstroGrep\AstroGrep.exe" /e /r /s /spath="%USERPROFILE%\AppData\Local\Temp\OnboardLogs" /stypes="app*4052*20171224*" /stext=" 02:.+((SYSTEM_STATE.+slice.+state.+changed )|(ment ac)|(multiple cpu faults)|(system.+state.+changed )|(\[timeout)|(PRM\|1\|D)|(kpr)|(kdp)|(train st.+moving)|(\|lc)|(penalty))"</v>
      </c>
      <c r="AG200" s="244" t="str">
        <f t="shared" si="107"/>
        <v>Other</v>
      </c>
      <c r="AH200" s="236" t="str">
        <f t="shared" si="117"/>
        <v>"%USERPROFILE%\Documents\GitHub\eaglep3\Utilities\RefineRTDCRunTimes.py" --tripid 303-23 --locoid 4052 --swversion DE.1.0.9.0 --startMP 204:513 --initTime 2017-12-23T19:09:21 --startdatetime 2017-12-23T19:11:25 --delay 53 --endMP 300:23312 --enddatetime 2017-12-23T19:20:53 --enforcementcount 0 &gt;&gt;%USERPROFILE%\Documents\GitHub\eaglep3-reporting\EC\2017-12-23-refined-times.txt</v>
      </c>
      <c r="AI200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{"issue":{"subject":"","project_id":79,"tracker_id":40,"status_id":1,"priority_id":2,"assigned_to_id":338,"start_date":"2017-12-23","description":"","custom_fields":[{"id":1,"name":"Subdivision","value":"Other"},{"id":4,"name":"Milepost","value":"2.3312"},{"id":17,"name":"Train ID","value":"303-23"},{"id":16,"name":"Locomotive ID","value":"4052"},{"id":130,"name":"Impact","value":""},{"id":150,"name":"Time of Event (Mountain Time)","value":"19:20:53"},{"id":151,"name":"Denver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119"/>
        <v>start /low /b %USERPROFILE%\Documents\GitHub\eaglep3\Utilities\DownloadLogsFromS3.py --loco 4052 --day 2017-12-23</v>
      </c>
      <c r="AN20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121"/>
        <v>https://d0f6bd738d7f1b3e5a7ca70fe4ff75f0.us-east-1.aws.found.io/app/kibana#/discover/Steve-Slow-Train-Analysis-(2080s-and-2083s)?_g=(refreshInterval:(display:Off,pause:!f,section:0,value:0),time:(from:'2017-12-23T18:09:21-0700',mode:absolute,to:'2017-12-23T20:20:53-0700'))&amp;_a=(columns:!('Message%20ID',Summary),filters:!(),index:'emp_*',interval:auto,query:(query_string:(analyze_wildcard:!t,query:'%22rtdc.l.rtdc.4052%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25">
      <c r="A201" s="229" t="s">
        <v>699</v>
      </c>
      <c r="B201" s="225">
        <v>4035</v>
      </c>
      <c r="C201" s="227" t="s">
        <v>192</v>
      </c>
      <c r="D201" s="227" t="s">
        <v>1044</v>
      </c>
      <c r="E201" s="226">
        <v>43092.156736111108</v>
      </c>
      <c r="F201" s="226">
        <v>43092.161099537036</v>
      </c>
      <c r="G201" s="225">
        <v>95</v>
      </c>
      <c r="H201" s="227" t="s">
        <v>533</v>
      </c>
      <c r="I201" s="226">
        <v>43092.166562500002</v>
      </c>
      <c r="J201" s="225">
        <v>0</v>
      </c>
      <c r="K201" s="237" t="str">
        <f t="shared" si="99"/>
        <v>4035/4036</v>
      </c>
      <c r="L201" s="245" t="str">
        <f>VLOOKUP(A201,'Trips&amp;Operators'!$C$1:$G$99911,5,FALSE)</f>
        <v>LOPES KIMBERLY</v>
      </c>
      <c r="M201" s="224">
        <f t="shared" si="100"/>
        <v>5.4629629667033441E-3</v>
      </c>
      <c r="N201" s="225">
        <f t="shared" si="162"/>
        <v>7.8666666720528156</v>
      </c>
      <c r="O201" s="225"/>
      <c r="P201" s="225"/>
      <c r="Q201" s="228"/>
      <c r="R201" s="242"/>
      <c r="S201" s="249">
        <f t="shared" si="163"/>
        <v>1</v>
      </c>
      <c r="T201" s="242" t="str">
        <f t="shared" si="101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102"/>
        <v>https://d0f6bd738d7f1b3e5a7ca70fe4ff75f0.us-east-1.aws.found.io/app/kibana#/discover/Steve-Slow-Train-Analysis-(2080s-and-2083s)?_g=(refreshInterval:(display:Off,pause:!f,section:0,value:0),time:(from:'2017-12-23T02:45:42-0700',mode:absolute,to:'2017-12-23T04:59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1" s="247" t="str">
        <f>IF(AA201&lt;VLOOKUP(AG201,Variables!$AC$3:$AD$8,2,FALSE),"Y","N")</f>
        <v>Y</v>
      </c>
      <c r="X201" s="247">
        <f t="shared" si="172"/>
        <v>1</v>
      </c>
      <c r="Y201" s="247">
        <f t="shared" si="170"/>
        <v>2.3439999999999999</v>
      </c>
      <c r="Z201" s="247">
        <f t="shared" si="171"/>
        <v>1.9199999999999998E-2</v>
      </c>
      <c r="AA201" s="247">
        <f t="shared" si="103"/>
        <v>2.3247999999999998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104"/>
        <v>304</v>
      </c>
      <c r="AE201" s="235" t="str">
        <f t="shared" si="105"/>
        <v>aws s3 cp s3://rtdc.mdm.uploadarchive.raw/RTDC4035/ "%USERPROFILE%\AppData\Local\Temp\OnboardLogs"\RTDC4035\2017-12-23 --exclude "*" --recursive --include "*20171223*" &amp; "%USERPROFILE%\Documents\GitHub\mrs-test-scripts\Headless Mode &amp; Sideloading\WalkAndUnGZ.bat" "%USERPROFILE%\AppData\Local\Temp\OnboardLogs"\RTDC4035\2017-12-23 &amp; aws s3 cp s3://rtdc.mdm.uploadarchive.raw/RTDC4035/ "%USERPROFILE%\AppData\Local\Temp\OnboardLogs"\RTDC4035\2017-12-24 --exclude "*" --recursive --include "*20171224*" &amp; "%USERPROFILE%\Documents\GitHub\mrs-test-scripts\Headless Mode &amp; Sideloading\WalkAndUnGZ.bat" "%USERPROFILE%\AppData\Local\Temp\OnboardLogs"\RTDC4035\2017-12-24</v>
      </c>
      <c r="AF201" s="234" t="str">
        <f t="shared" si="106"/>
        <v>"C:\Program Files (x86)\AstroGrep\AstroGrep.exe" /e /r /s /spath="%USERPROFILE%\AppData\Local\Temp\OnboardLogs" /stypes="app*4035*20171223*" /stext=" 10:.+((SYSTEM_STATE.+slice.+state.+changed )|(ment ac)|(multiple cpu faults)|(system.+state.+changed )|(\[timeout)|(PRM\|1\|D)|(kpr)|(kdp)|(train st.+moving)|(\|lc)|(penalty))"</v>
      </c>
      <c r="AG201" s="244" t="str">
        <f t="shared" si="107"/>
        <v>Other</v>
      </c>
      <c r="AH201" s="236" t="str">
        <f t="shared" si="117"/>
        <v>"%USERPROFILE%\Documents\GitHub\eaglep3\Utilities\RefineRTDCRunTimes.py" --tripid 304-23 --locoid 4035 --swversion DE.1.0.9.0 --startMP 300:23440 --initTime 2017-12-23T03:45:42 --startdatetime 2017-12-23T03:51:59 --delay 95 --endMP 204:192 --enddatetime 2017-12-23T03:59:51 --enforcementcount 0 &gt;&gt;%USERPROFILE%\Documents\GitHub\eaglep3-reporting\EC\2017-12-23-refined-times.txt</v>
      </c>
      <c r="AI201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{"issue":{"subject":"","project_id":79,"tracker_id":40,"status_id":1,"priority_id":2,"assigned_to_id":338,"start_date":"2017-12-23","description":"","custom_fields":[{"id":1,"name":"Subdivision","value":"Other"},{"id":4,"name":"Milepost","value":"0.0192"},{"id":17,"name":"Train ID","value":"304-23"},{"id":16,"name":"Locomotive ID","value":"4035"},{"id":130,"name":"Impact","value":""},{"id":150,"name":"Time of Event (Mountain Time)","value":"03:59:51"},{"id":151,"name":"Denver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119"/>
        <v>start /low /b %USERPROFILE%\Documents\GitHub\eaglep3\Utilities\DownloadLogsFromS3.py --loco 4035 --day 2017-12-23</v>
      </c>
      <c r="AN20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10:59:51"},{"id":29,"name":"Sharepoint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121"/>
        <v>https://d0f6bd738d7f1b3e5a7ca70fe4ff75f0.us-east-1.aws.found.io/app/kibana#/discover/Steve-Slow-Train-Analysis-(2080s-and-2083s)?_g=(refreshInterval:(display:Off,pause:!f,section:0,value:0),time:(from:'2017-12-23T02:45:42-0700',mode:absolute,to:'2017-12-23T04:59:51-0700'))&amp;_a=(columns:!('Message%20ID',Summary),filters:!(),index:'emp_*',interval:auto,query:(query_string:(analyze_wildcard:!t,query:'%22rtdc.l.rtdc.4035%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856</v>
      </c>
      <c r="B202" s="225">
        <v>4016</v>
      </c>
      <c r="C202" s="227" t="s">
        <v>192</v>
      </c>
      <c r="D202" s="227" t="s">
        <v>1033</v>
      </c>
      <c r="E202" s="226">
        <v>43092.825995370367</v>
      </c>
      <c r="F202" s="226">
        <v>43092.829108796293</v>
      </c>
      <c r="G202" s="225">
        <v>70</v>
      </c>
      <c r="H202" s="227" t="s">
        <v>1045</v>
      </c>
      <c r="I202" s="226">
        <v>43092.858958333331</v>
      </c>
      <c r="J202" s="225">
        <v>0</v>
      </c>
      <c r="K202" s="237" t="str">
        <f t="shared" si="99"/>
        <v>4015/4016</v>
      </c>
      <c r="L202" s="245" t="str">
        <f>VLOOKUP(A202,'Trips&amp;Operators'!$C$1:$G$99911,5,FALSE)</f>
        <v>WEST BRYAN</v>
      </c>
      <c r="M202" s="224">
        <f t="shared" si="100"/>
        <v>2.9849537037080154E-2</v>
      </c>
      <c r="N202" s="225">
        <f t="shared" si="162"/>
        <v>42.983333333395422</v>
      </c>
      <c r="O202" s="225"/>
      <c r="P202" s="225"/>
      <c r="Q202" s="228"/>
      <c r="R202" s="242"/>
      <c r="S202" s="249">
        <f t="shared" si="163"/>
        <v>1</v>
      </c>
      <c r="T202" s="242" t="str">
        <f t="shared" si="101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102"/>
        <v>https://d0f6bd738d7f1b3e5a7ca70fe4ff75f0.us-east-1.aws.found.io/app/kibana#/discover/Steve-Slow-Train-Analysis-(2080s-and-2083s)?_g=(refreshInterval:(display:Off,pause:!f,section:0,value:0),time:(from:'2017-12-23T18:49:26-0700',mode:absolute,to:'2017-12-23T21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47" t="str">
        <f>IF(AA202&lt;VLOOKUP(AG202,Variables!$AC$3:$AD$8,2,FALSE),"Y","N")</f>
        <v>Y</v>
      </c>
      <c r="X202" s="247">
        <f t="shared" si="172"/>
        <v>1</v>
      </c>
      <c r="Y202" s="247">
        <f t="shared" si="170"/>
        <v>5.7000000000000002E-2</v>
      </c>
      <c r="Z202" s="247">
        <f t="shared" si="171"/>
        <v>2.3346</v>
      </c>
      <c r="AA202" s="247">
        <f t="shared" si="103"/>
        <v>2.2776000000000001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104"/>
        <v>305</v>
      </c>
      <c r="AE202" s="235" t="str">
        <f t="shared" si="105"/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AF202" s="234" t="str">
        <f t="shared" si="106"/>
        <v>"C:\Program Files (x86)\AstroGrep\AstroGrep.exe" /e /r /s /spath="%USERPROFILE%\AppData\Local\Temp\OnboardLogs" /stypes="app*4016*20171224*" /stext=" 03:.+((SYSTEM_STATE.+slice.+state.+changed )|(ment ac)|(multiple cpu faults)|(system.+state.+changed )|(\[timeout)|(PRM\|1\|D)|(kpr)|(kdp)|(train st.+moving)|(\|lc)|(penalty))"</v>
      </c>
      <c r="AG202" s="244" t="str">
        <f t="shared" si="107"/>
        <v>Other</v>
      </c>
      <c r="AH202" s="236" t="str">
        <f t="shared" si="117"/>
        <v>"%USERPROFILE%\Documents\GitHub\eaglep3\Utilities\RefineRTDCRunTimes.py" --tripid 305-23 --locoid 4016 --swversion DE.1.0.9.0 --startMP 204:570 --initTime 2017-12-23T19:49:26 --startdatetime 2017-12-23T19:53:55 --delay 70 --endMP 300:23346 --enddatetime 2017-12-23T20:36:54 --enforcementcount 0 &gt;&gt;%USERPROFILE%\Documents\GitHub\eaglep3-reporting\EC\2017-12-23-refined-times.txt</v>
      </c>
      <c r="AI202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{"issue":{"subject":"","project_id":79,"tracker_id":40,"status_id":1,"priority_id":2,"assigned_to_id":338,"start_date":"2017-12-23","description":"","custom_fields":[{"id":1,"name":"Subdivision","value":"Other"},{"id":4,"name":"Milepost","value":"2.3346"},{"id":17,"name":"Train ID","value":"305-23"},{"id":16,"name":"Locomotive ID","value":"4016"},{"id":130,"name":"Impact","value":""},{"id":150,"name":"Time of Event (Mountain Time)","value":"20:36:54"},{"id":151,"name":"Denver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119"/>
        <v>start /low /b %USERPROFILE%\Documents\GitHub\eaglep3\Utilities\DownloadLogsFromS3.py --loco 4016 --day 2017-12-23</v>
      </c>
      <c r="AN202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121"/>
        <v>https://d0f6bd738d7f1b3e5a7ca70fe4ff75f0.us-east-1.aws.found.io/app/kibana#/discover/Steve-Slow-Train-Analysis-(2080s-and-2083s)?_g=(refreshInterval:(display:Off,pause:!f,section:0,value:0),time:(from:'2017-12-23T18:49:26-0700',mode:absolute,to:'2017-12-23T21:36:54-0700'))&amp;_a=(columns:!('Message%20ID',Summary),filters:!(),index:'emp_*',interval:auto,query:(query_string:(analyze_wildcard:!t,query:'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700</v>
      </c>
      <c r="B203" s="225">
        <v>4029</v>
      </c>
      <c r="C203" s="227" t="s">
        <v>192</v>
      </c>
      <c r="D203" s="227" t="s">
        <v>1046</v>
      </c>
      <c r="E203" s="226">
        <v>43092.16783564815</v>
      </c>
      <c r="F203" s="226">
        <v>43092.173842592594</v>
      </c>
      <c r="G203" s="225">
        <v>83</v>
      </c>
      <c r="H203" s="227" t="s">
        <v>1047</v>
      </c>
      <c r="I203" s="226">
        <v>43092.179606481484</v>
      </c>
      <c r="J203" s="225">
        <v>0</v>
      </c>
      <c r="K203" s="237" t="str">
        <f t="shared" si="99"/>
        <v>4029/4030</v>
      </c>
      <c r="L203" s="245" t="str">
        <f>VLOOKUP(A203,'Trips&amp;Operators'!$C$1:$G$99911,5,FALSE)</f>
        <v>GEBRETEKLE DAGNEW</v>
      </c>
      <c r="M203" s="224">
        <f t="shared" si="100"/>
        <v>5.7638888902147301E-3</v>
      </c>
      <c r="N203" s="225">
        <f t="shared" si="162"/>
        <v>8.3000000019092113</v>
      </c>
      <c r="O203" s="225"/>
      <c r="P203" s="225"/>
      <c r="Q203" s="228"/>
      <c r="R203" s="242"/>
      <c r="S203" s="249">
        <f t="shared" si="163"/>
        <v>1</v>
      </c>
      <c r="T203" s="242" t="str">
        <f t="shared" si="101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102"/>
        <v>https://d0f6bd738d7f1b3e5a7ca70fe4ff75f0.us-east-1.aws.found.io/app/kibana#/discover/Steve-Slow-Train-Analysis-(2080s-and-2083s)?_g=(refreshInterval:(display:Off,pause:!f,section:0,value:0),time:(from:'2017-12-23T03:01:41-0700',mode:absolute,to:'2017-12-23T05:18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247" t="str">
        <f>IF(AA203&lt;VLOOKUP(AG203,Variables!$AC$3:$AD$8,2,FALSE),"Y","N")</f>
        <v>Y</v>
      </c>
      <c r="X203" s="247">
        <f t="shared" si="172"/>
        <v>1</v>
      </c>
      <c r="Y203" s="247">
        <f t="shared" si="170"/>
        <v>2.3529</v>
      </c>
      <c r="Z203" s="247">
        <f t="shared" si="171"/>
        <v>1.61E-2</v>
      </c>
      <c r="AA203" s="247">
        <f t="shared" si="103"/>
        <v>2.3368000000000002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104"/>
        <v>306</v>
      </c>
      <c r="AE203" s="235" t="str">
        <f t="shared" si="105"/>
        <v>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 &amp; 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</v>
      </c>
      <c r="AF203" s="234" t="str">
        <f t="shared" si="106"/>
        <v>"C:\Program Files (x86)\AstroGrep\AstroGrep.exe" /e /r /s /spath="%USERPROFILE%\AppData\Local\Temp\OnboardLogs" /stypes="app*4029*20171223*" /stext=" 11:.+((SYSTEM_STATE.+slice.+state.+changed )|(ment ac)|(multiple cpu faults)|(system.+state.+changed )|(\[timeout)|(PRM\|1\|D)|(kpr)|(kdp)|(train st.+moving)|(\|lc)|(penalty))"</v>
      </c>
      <c r="AG203" s="244" t="str">
        <f t="shared" si="107"/>
        <v>Other</v>
      </c>
      <c r="AH203" s="236" t="str">
        <f t="shared" si="117"/>
        <v>"%USERPROFILE%\Documents\GitHub\eaglep3\Utilities\RefineRTDCRunTimes.py" --tripid 306-23 --locoid 4029 --swversion DE.1.0.9.0 --startMP 300:23529 --initTime 2017-12-23T04:01:41 --startdatetime 2017-12-23T04:10:20 --delay 83 --endMP 204:161 --enddatetime 2017-12-23T04:18:38 --enforcementcount 0 &gt;&gt;%USERPROFILE%\Documents\GitHub\eaglep3-reporting\EC\2017-12-23-refined-times.txt</v>
      </c>
      <c r="AI203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{"issue":{"subject":"","project_id":79,"tracker_id":40,"status_id":1,"priority_id":2,"assigned_to_id":338,"start_date":"2017-12-23","description":"","custom_fields":[{"id":1,"name":"Subdivision","value":"Other"},{"id":4,"name":"Milepost","value":"0.0161"},{"id":17,"name":"Train ID","value":"306-23"},{"id":16,"name":"Locomotive ID","value":"4029"},{"id":130,"name":"Impact","value":""},{"id":150,"name":"Time of Event (Mountain Time)","value":"04:18:38"},{"id":151,"name":"Denver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119"/>
        <v>start /low /b %USERPROFILE%\Documents\GitHub\eaglep3\Utilities\DownloadLogsFromS3.py --loco 4029 --day 2017-12-23</v>
      </c>
      <c r="AN20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121"/>
        <v>https://d0f6bd738d7f1b3e5a7ca70fe4ff75f0.us-east-1.aws.found.io/app/kibana#/discover/Steve-Slow-Train-Analysis-(2080s-and-2083s)?_g=(refreshInterval:(display:Off,pause:!f,section:0,value:0),time:(from:'2017-12-23T03:01:41-0700',mode:absolute,to:'2017-12-23T05:18:38-0700'))&amp;_a=(columns:!('Message%20ID',Summary),filters:!(),index:'emp_*',interval:auto,query:(query_string:(analyze_wildcard:!t,query:'%22rtdc.l.rtdc.4029%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25">
      <c r="A204" s="229" t="s">
        <v>705</v>
      </c>
      <c r="B204" s="225">
        <v>4033</v>
      </c>
      <c r="C204" s="227" t="s">
        <v>192</v>
      </c>
      <c r="D204" s="227" t="s">
        <v>1048</v>
      </c>
      <c r="E204" s="226">
        <v>43092.178067129629</v>
      </c>
      <c r="F204" s="226">
        <v>43092.182280092595</v>
      </c>
      <c r="G204" s="225">
        <v>145</v>
      </c>
      <c r="H204" s="227" t="s">
        <v>1049</v>
      </c>
      <c r="I204" s="226">
        <v>43092.190300925926</v>
      </c>
      <c r="J204" s="225">
        <v>0</v>
      </c>
      <c r="K204" s="237" t="str">
        <f t="shared" si="99"/>
        <v>4033/4034</v>
      </c>
      <c r="L204" s="245" t="str">
        <f>VLOOKUP(A204,'Trips&amp;Operators'!$C$1:$G$99911,5,FALSE)</f>
        <v>DELGADO DIANAH</v>
      </c>
      <c r="M204" s="224">
        <f t="shared" si="100"/>
        <v>8.0208333311020397E-3</v>
      </c>
      <c r="N204" s="225">
        <f t="shared" si="162"/>
        <v>11.549999996786937</v>
      </c>
      <c r="O204" s="225"/>
      <c r="P204" s="225"/>
      <c r="Q204" s="228"/>
      <c r="R204" s="242"/>
      <c r="S204" s="249">
        <f t="shared" si="163"/>
        <v>1</v>
      </c>
      <c r="T204" s="242" t="str">
        <f t="shared" si="101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102"/>
        <v>https://d0f6bd738d7f1b3e5a7ca70fe4ff75f0.us-east-1.aws.found.io/app/kibana#/discover/Steve-Slow-Train-Analysis-(2080s-and-2083s)?_g=(refreshInterval:(display:Off,pause:!f,section:0,value:0),time:(from:'2017-12-23T03:16:25-0700',mode:absolute,to:'2017-12-23T05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4" s="247" t="str">
        <f>IF(AA204&lt;VLOOKUP(AG204,Variables!$AC$3:$AD$8,2,FALSE),"Y","N")</f>
        <v>Y</v>
      </c>
      <c r="X204" s="247">
        <f t="shared" si="172"/>
        <v>2</v>
      </c>
      <c r="Y204" s="247">
        <f t="shared" si="170"/>
        <v>2.2004999999999999</v>
      </c>
      <c r="Z204" s="247">
        <f t="shared" si="171"/>
        <v>1.54E-2</v>
      </c>
      <c r="AA204" s="247">
        <f t="shared" si="103"/>
        <v>2.1850999999999998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104"/>
        <v>308</v>
      </c>
      <c r="AE204" s="235" t="str">
        <f t="shared" si="105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04" s="234" t="str">
        <f t="shared" si="106"/>
        <v>"C:\Program Files (x86)\AstroGrep\AstroGrep.exe" /e /r /s /spath="%USERPROFILE%\AppData\Local\Temp\OnboardLogs" /stypes="app*4033*20171223*" /stext=" 11:.+((SYSTEM_STATE.+slice.+state.+changed )|(ment ac)|(multiple cpu faults)|(system.+state.+changed )|(\[timeout)|(PRM\|1\|D)|(kpr)|(kdp)|(train st.+moving)|(\|lc)|(penalty))"</v>
      </c>
      <c r="AG204" s="244" t="str">
        <f t="shared" si="107"/>
        <v>Other</v>
      </c>
      <c r="AH204" s="236" t="str">
        <f t="shared" si="117"/>
        <v>"%USERPROFILE%\Documents\GitHub\eaglep3\Utilities\RefineRTDCRunTimes.py" --tripid 308-23 --locoid 4033 --swversion DE.1.0.9.0 --startMP 300:22005 --initTime 2017-12-23T04:16:25 --startdatetime 2017-12-23T04:22:29 --delay 145 --endMP 204:154 --enddatetime 2017-12-23T04:34:02 --enforcementcount 0 &gt;&gt;%USERPROFILE%\Documents\GitHub\eaglep3-reporting\EC\2017-12-23-refined-times.txt</v>
      </c>
      <c r="AI204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{"issue":{"subject":"","project_id":79,"tracker_id":40,"status_id":1,"priority_id":2,"assigned_to_id":338,"start_date":"2017-12-23","description":"","custom_fields":[{"id":1,"name":"Subdivision","value":"Other"},{"id":4,"name":"Milepost","value":"0.0154"},{"id":17,"name":"Train ID","value":"308-23"},{"id":16,"name":"Locomotive ID","value":"4033"},{"id":130,"name":"Impact","value":""},{"id":150,"name":"Time of Event (Mountain Time)","value":"04:34:02"},{"id":151,"name":"Denver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119"/>
        <v>start /low /b %USERPROFILE%\Documents\GitHub\eaglep3\Utilities\DownloadLogsFromS3.py --loco 4033 --day 2017-12-23</v>
      </c>
      <c r="AN20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121"/>
        <v>https://d0f6bd738d7f1b3e5a7ca70fe4ff75f0.us-east-1.aws.found.io/app/kibana#/discover/Steve-Slow-Train-Analysis-(2080s-and-2083s)?_g=(refreshInterval:(display:Off,pause:!f,section:0,value:0),time:(from:'2017-12-23T03:16:25-0700',mode:absolute,to:'2017-12-23T05:34:02-0700'))&amp;_a=(columns:!('Message%20ID',Summary),filters:!(),index:'emp_*',interval:auto,query:(query_string:(analyze_wildcard:!t,query:'%22rtdc.l.rtdc.4033%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882</v>
      </c>
      <c r="B205" s="225">
        <v>4026</v>
      </c>
      <c r="C205" s="227" t="s">
        <v>192</v>
      </c>
      <c r="D205" s="227" t="s">
        <v>571</v>
      </c>
      <c r="E205" s="226">
        <v>43093.068391203706</v>
      </c>
      <c r="F205" s="226">
        <v>43093.070081018515</v>
      </c>
      <c r="G205" s="225">
        <v>72</v>
      </c>
      <c r="H205" s="227" t="s">
        <v>573</v>
      </c>
      <c r="I205" s="226">
        <v>25568.708333333332</v>
      </c>
      <c r="J205" s="225">
        <v>0</v>
      </c>
      <c r="K205" s="237" t="str">
        <f t="shared" ref="K205:K222" si="173">IF(ISEVEN(B205),(B205-1)&amp;"/"&amp;B205,B205&amp;"/"&amp;(B205+1))</f>
        <v>4025/4026</v>
      </c>
      <c r="L205" s="245" t="str">
        <f>VLOOKUP(A205,'Trips&amp;Operators'!$C$1:$G$99911,5,FALSE)</f>
        <v>ELBAUM MIKE</v>
      </c>
      <c r="M205" s="224">
        <f t="shared" ref="M205:M222" si="174">I205-F205</f>
        <v>-17524.361747685183</v>
      </c>
      <c r="N205" s="225">
        <f t="shared" si="162"/>
        <v>-25235080.916666664</v>
      </c>
      <c r="O205" s="225"/>
      <c r="P205" s="225"/>
      <c r="Q205" s="228"/>
      <c r="R205" s="242"/>
      <c r="S205" s="249">
        <f t="shared" si="163"/>
        <v>1</v>
      </c>
      <c r="T205" s="242" t="str">
        <f t="shared" ref="T205:T222" si="175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22" si="1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-24T00:38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5" s="247" t="str">
        <f>IF(AA205&lt;VLOOKUP(AG205,Variables!$AC$3:$AD$8,2,FALSE),"Y","N")</f>
        <v>Y</v>
      </c>
      <c r="X205" s="247">
        <f t="shared" si="172"/>
        <v>1</v>
      </c>
      <c r="Y205" s="247">
        <f t="shared" si="170"/>
        <v>5.6800000000000003E-2</v>
      </c>
      <c r="Z205" s="247">
        <f t="shared" si="171"/>
        <v>2.3306</v>
      </c>
      <c r="AA205" s="247">
        <f t="shared" ref="AA205:AA222" si="177">ABS(Z205-Y205)</f>
        <v>2.2738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22" si="178">VALUE(LEFT(A205,LEN(A205)-3))</f>
        <v>309</v>
      </c>
      <c r="AE205" s="235" t="str">
        <f t="shared" ref="AE205:AE222" si="1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 &amp; 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</v>
      </c>
      <c r="AF205" s="234" t="str">
        <f t="shared" ref="AF205:AF222" si="1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/stypes="app*4026*19700101*" /stext=" 00:.+((SYSTEM_STATE.+slice.+state.+changed )|(ment ac)|(multiple cpu faults)|(system.+state.+changed )|(\[timeout)|(PRM\|1\|D)|(kpr)|(kdp)|(train st.+moving)|(\|lc)|(penalty))"</v>
      </c>
      <c r="AG205" s="244" t="str">
        <f t="shared" ref="AG205:AG222" si="181">DetSubdiv(A205)</f>
        <v>Other</v>
      </c>
      <c r="AH205" s="236" t="str">
        <f t="shared" si="117"/>
        <v>"%USERPROFILE%\Documents\GitHub\eaglep3\Utilities\RefineRTDCRunTimes.py" --tripid 309-23 --locoid 4026 --swversion DE.1.0.9.0 --startMP 204:568 --initTime 2017-12-24T01:38:29 --startdatetime 2017-12-24T01:40:55 --delay 72 --endMP 300:23306 --enddatetime 1969-12-31T17:00:00 --enforcementcount 0 &gt;&gt;%USERPROFILE%\Documents\GitHub\eaglep3-reporting\EC\2017-12-23-refined-times.txt</v>
      </c>
      <c r="AI205" s="238" t="str">
        <f t="shared" si="118"/>
        <v>echo {"issue":{"subject":"","project_id":79,"tracker_id":40,"status_id":1,"priority_id":2,"assigned_to_id":338,"start_date":"1969-12-31","description":"","custom_fields":[{"id":1,"name":"Subdivision","value":"Other"},{"id":4,"name":"Milepost","value":"2.3306"},{"id":17,"name":"Train ID","value":"309-23"},{"id":16,"name":"Locomotive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119"/>
        <v>start /low /b %USERPROFILE%\Documents\GitHub\eaglep3\Utilities\DownloadLogsFromS3.py --loco 4026 --day 2017-12-24</v>
      </c>
      <c r="AN205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121"/>
        <v>https://d0f6bd738d7f1b3e5a7ca70fe4ff75f0.us-east-1.aws.found.io/app/kibana#/discover/Steve-Slow-Train-Analysis-(2080s-and-2083s)?_g=(refreshInterval:(display:Off,pause:!f,section:0,value:0),time:(from:'2017-12-24T00:38:29-0700',mode:absolute,to:'1969-12-31T18:00:00-0700'))&amp;_a=(columns:!('Message%20ID',Summary),filters:!(),index:'emp_*',interval:auto,query:(query_string:(analyze_wildcard:!t,query:'%22rtdc.l.rtdc.4026%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25">
      <c r="A206" s="229" t="s">
        <v>711</v>
      </c>
      <c r="B206" s="225">
        <v>4051</v>
      </c>
      <c r="C206" s="227" t="s">
        <v>192</v>
      </c>
      <c r="D206" s="227" t="s">
        <v>1050</v>
      </c>
      <c r="E206" s="226">
        <v>43092.201249999998</v>
      </c>
      <c r="F206" s="226">
        <v>43092.206250000003</v>
      </c>
      <c r="G206" s="225">
        <v>95</v>
      </c>
      <c r="H206" s="227" t="s">
        <v>526</v>
      </c>
      <c r="I206" s="226">
        <v>43092.212685185186</v>
      </c>
      <c r="J206" s="225">
        <v>0</v>
      </c>
      <c r="K206" s="237" t="str">
        <f t="shared" si="173"/>
        <v>4051/4052</v>
      </c>
      <c r="L206" s="245" t="str">
        <f>VLOOKUP(A206,'Trips&amp;Operators'!$C$1:$G$99911,5,FALSE)</f>
        <v>MACDONALD THOMAS</v>
      </c>
      <c r="M206" s="224">
        <f t="shared" si="174"/>
        <v>6.435185183363501E-3</v>
      </c>
      <c r="N206" s="225">
        <f t="shared" si="162"/>
        <v>9.2666666640434414</v>
      </c>
      <c r="O206" s="225"/>
      <c r="P206" s="225"/>
      <c r="Q206" s="228"/>
      <c r="R206" s="242"/>
      <c r="S206" s="249">
        <f t="shared" si="163"/>
        <v>1</v>
      </c>
      <c r="T206" s="242" t="str">
        <f t="shared" si="175"/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76"/>
        <v>https://d0f6bd738d7f1b3e5a7ca70fe4ff75f0.us-east-1.aws.found.io/app/kibana#/discover/Steve-Slow-Train-Analysis-(2080s-and-2083s)?_g=(refreshInterval:(display:Off,pause:!f,section:0,value:0),time:(from:'2017-12-23T03:49:48-0700',mode:absolute,to:'2017-12-23T06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247" t="str">
        <f>IF(AA206&lt;VLOOKUP(AG206,Variables!$AC$3:$AD$8,2,FALSE),"Y","N")</f>
        <v>Y</v>
      </c>
      <c r="X206" s="247">
        <f t="shared" si="172"/>
        <v>1</v>
      </c>
      <c r="Y206" s="247">
        <f t="shared" si="170"/>
        <v>2.3694999999999999</v>
      </c>
      <c r="Z206" s="247">
        <f t="shared" si="171"/>
        <v>2.3599999999999999E-2</v>
      </c>
      <c r="AA206" s="247">
        <f t="shared" si="177"/>
        <v>2.3458999999999999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78"/>
        <v>310</v>
      </c>
      <c r="AE206" s="235" t="str">
        <f t="shared" si="179"/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AF206" s="234" t="str">
        <f t="shared" si="180"/>
        <v>"C:\Program Files (x86)\AstroGrep\AstroGrep.exe" /e /r /s /spath="%USERPROFILE%\AppData\Local\Temp\OnboardLogs" /stypes="app*4051*20171223*" /stext=" 12:.+((SYSTEM_STATE.+slice.+state.+changed )|(ment ac)|(multiple cpu faults)|(system.+state.+changed )|(\[timeout)|(PRM\|1\|D)|(kpr)|(kdp)|(train st.+moving)|(\|lc)|(penalty))"</v>
      </c>
      <c r="AG206" s="244" t="str">
        <f t="shared" si="181"/>
        <v>Other</v>
      </c>
      <c r="AH206" s="236" t="str">
        <f t="shared" si="117"/>
        <v>"%USERPROFILE%\Documents\GitHub\eaglep3\Utilities\RefineRTDCRunTimes.py" --tripid 310-23 --locoid 4051 --swversion DE.1.0.9.0 --startMP 300:23695 --initTime 2017-12-23T04:49:48 --startdatetime 2017-12-23T04:57:00 --delay 95 --endMP 204:236 --enddatetime 2017-12-23T05:06:16 --enforcementcount 0 &gt;&gt;%USERPROFILE%\Documents\GitHub\eaglep3-reporting\EC\2017-12-23-refined-times.txt</v>
      </c>
      <c r="AI206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{"issue":{"subject":"","project_id":79,"tracker_id":40,"status_id":1,"priority_id":2,"assigned_to_id":338,"start_date":"2017-12-23","description":"","custom_fields":[{"id":1,"name":"Subdivision","value":"Other"},{"id":4,"name":"Milepost","value":"0.0236"},{"id":17,"name":"Train ID","value":"310-23"},{"id":16,"name":"Locomotive ID","value":"4051"},{"id":130,"name":"Impact","value":""},{"id":150,"name":"Time of Event (Mountain Time)","value":"05:06:16"},{"id":151,"name":"Denver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119"/>
        <v>start /low /b %USERPROFILE%\Documents\GitHub\eaglep3\Utilities\DownloadLogsFromS3.py --loco 4051 --day 2017-12-23</v>
      </c>
      <c r="AN206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121"/>
        <v>https://d0f6bd738d7f1b3e5a7ca70fe4ff75f0.us-east-1.aws.found.io/app/kibana#/discover/Steve-Slow-Train-Analysis-(2080s-and-2083s)?_g=(refreshInterval:(display:Off,pause:!f,section:0,value:0),time:(from:'2017-12-23T03:49:48-0700',mode:absolute,to:'2017-12-23T06:06:16-0700'))&amp;_a=(columns:!('Message%20ID',Summary),filters:!(),index:'emp_*',interval:auto,query:(query_string:(analyze_wildcard:!t,query:'%22rtdc.l.rtdc.4051%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884</v>
      </c>
      <c r="B207" s="225">
        <v>4036</v>
      </c>
      <c r="C207" s="227" t="s">
        <v>192</v>
      </c>
      <c r="D207" s="227" t="s">
        <v>448</v>
      </c>
      <c r="E207" s="226">
        <v>43093.092002314814</v>
      </c>
      <c r="F207" s="226">
        <v>43093.093368055554</v>
      </c>
      <c r="G207" s="225">
        <v>50</v>
      </c>
      <c r="H207" s="227" t="s">
        <v>572</v>
      </c>
      <c r="I207" s="226">
        <v>43093.103298611109</v>
      </c>
      <c r="J207" s="225">
        <v>0</v>
      </c>
      <c r="K207" s="237" t="str">
        <f t="shared" si="173"/>
        <v>4035/4036</v>
      </c>
      <c r="L207" s="245" t="str">
        <f>VLOOKUP(A207,'Trips&amp;Operators'!$C$1:$G$99911,5,FALSE)</f>
        <v>NICHOLSON WESLEY</v>
      </c>
      <c r="M207" s="224">
        <f t="shared" si="174"/>
        <v>9.930555555911269E-3</v>
      </c>
      <c r="N207" s="225">
        <f t="shared" si="162"/>
        <v>14.300000000512227</v>
      </c>
      <c r="O207" s="225"/>
      <c r="P207" s="225"/>
      <c r="Q207" s="228"/>
      <c r="R207" s="242"/>
      <c r="S207" s="249">
        <f t="shared" si="163"/>
        <v>1</v>
      </c>
      <c r="T207" s="242" t="str">
        <f t="shared" si="175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76"/>
        <v>https://d0f6bd738d7f1b3e5a7ca70fe4ff75f0.us-east-1.aws.found.io/app/kibana#/discover/Steve-Slow-Train-Analysis-(2080s-and-2083s)?_g=(refreshInterval:(display:Off,pause:!f,section:0,value:0),time:(from:'2017-12-24T01:12:29-0700',mode:absolute,to:'2017-12-24T03:28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7" s="247" t="str">
        <f>IF(AA207&lt;VLOOKUP(AG207,Variables!$AC$3:$AD$8,2,FALSE),"Y","N")</f>
        <v>Y</v>
      </c>
      <c r="X207" s="247">
        <f t="shared" si="172"/>
        <v>1</v>
      </c>
      <c r="Y207" s="247">
        <f t="shared" si="170"/>
        <v>5.33E-2</v>
      </c>
      <c r="Z207" s="247">
        <f t="shared" si="171"/>
        <v>2.3302</v>
      </c>
      <c r="AA207" s="247">
        <f t="shared" si="177"/>
        <v>2.2768999999999999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78"/>
        <v>311</v>
      </c>
      <c r="AE207" s="235" t="str">
        <f t="shared" si="179"/>
        <v>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 &amp; aws s3 cp s3://rtdc.mdm.uploadarchive.raw/RTDC4036/ "%USERPROFILE%\AppData\Local\Temp\OnboardLogs"\RTDC4036\2017-12-25 --exclude "*" --recursive --include "*20171225*" &amp; "%USERPROFILE%\Documents\GitHub\mrs-test-scripts\Headless Mode &amp; Sideloading\WalkAndUnGZ.bat" "%USERPROFILE%\AppData\Local\Temp\OnboardLogs"\RTDC4036\2017-12-25</v>
      </c>
      <c r="AF207" s="234" t="str">
        <f t="shared" si="180"/>
        <v>"C:\Program Files (x86)\AstroGrep\AstroGrep.exe" /e /r /s /spath="%USERPROFILE%\AppData\Local\Temp\OnboardLogs" /stypes="app*4036*20171224*" /stext=" 09:.+((SYSTEM_STATE.+slice.+state.+changed )|(ment ac)|(multiple cpu faults)|(system.+state.+changed )|(\[timeout)|(PRM\|1\|D)|(kpr)|(kdp)|(train st.+moving)|(\|lc)|(penalty))"</v>
      </c>
      <c r="AG207" s="244" t="str">
        <f t="shared" si="181"/>
        <v>Other</v>
      </c>
      <c r="AH207" s="236" t="str">
        <f t="shared" si="117"/>
        <v>"%USERPROFILE%\Documents\GitHub\eaglep3\Utilities\RefineRTDCRunTimes.py" --tripid 311-23 --locoid 4036 --swversion DE.1.0.9.0 --startMP 204:533 --initTime 2017-12-24T02:12:29 --startdatetime 2017-12-24T02:14:27 --delay 50 --endMP 300:23302 --enddatetime 2017-12-24T02:28:45 --enforcementcount 0 &gt;&gt;%USERPROFILE%\Documents\GitHub\eaglep3-reporting\EC\2017-12-23-refined-times.txt</v>
      </c>
      <c r="AI207" s="238" t="str">
        <f t="shared" si="118"/>
        <v>echo {"issue":{"subject":"","project_id":79,"tracker_id":40,"status_id":1,"priority_id":2,"assigned_to_id":338,"start_date":"2017-12-24","description":"","custom_fields":[{"id":1,"name":"Subdivision","value":"Other"},{"id":4,"name":"Milepost","value":"2.3302"},{"id":17,"name":"Train ID","value":"311-23"},{"id":16,"name":"Locomotive ID","value":"4036"},{"id":130,"name":"Impact","value":""},{"id":150,"name":"Time of Event (Mountain Time)","value":"02:28:45"},{"id":151,"name":"Denver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119"/>
        <v>start /low /b %USERPROFILE%\Documents\GitHub\eaglep3\Utilities\DownloadLogsFromS3.py --loco 4036 --day 2017-12-24</v>
      </c>
      <c r="AN20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09:28:45"},{"id":29,"name":"Sharepoint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121"/>
        <v>https://d0f6bd738d7f1b3e5a7ca70fe4ff75f0.us-east-1.aws.found.io/app/kibana#/discover/Steve-Slow-Train-Analysis-(2080s-and-2083s)?_g=(refreshInterval:(display:Off,pause:!f,section:0,value:0),time:(from:'2017-12-24T01:12:29-0700',mode:absolute,to:'2017-12-24T03:28:45-0700'))&amp;_a=(columns:!('Message%20ID',Summary),filters:!(),index:'emp_*',interval:auto,query:(query_string:(analyze_wildcard:!t,query:'%22rtdc.l.rtdc.4036%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715</v>
      </c>
      <c r="B208" s="225">
        <v>4025</v>
      </c>
      <c r="C208" s="227" t="s">
        <v>192</v>
      </c>
      <c r="D208" s="227" t="s">
        <v>1051</v>
      </c>
      <c r="E208" s="226">
        <v>43092.219849537039</v>
      </c>
      <c r="F208" s="226">
        <v>43092.224039351851</v>
      </c>
      <c r="G208" s="225">
        <v>83</v>
      </c>
      <c r="H208" s="227" t="s">
        <v>895</v>
      </c>
      <c r="I208" s="226">
        <v>43092.23232638889</v>
      </c>
      <c r="J208" s="225">
        <v>0</v>
      </c>
      <c r="K208" s="237" t="str">
        <f t="shared" si="173"/>
        <v>4025/4026</v>
      </c>
      <c r="L208" s="245" t="str">
        <f>VLOOKUP(A208,'Trips&amp;Operators'!$C$1:$G$99911,5,FALSE)</f>
        <v>WILLIAMS DONTE</v>
      </c>
      <c r="M208" s="224">
        <f t="shared" si="174"/>
        <v>8.2870370388263837E-3</v>
      </c>
      <c r="N208" s="225">
        <f t="shared" si="162"/>
        <v>11.933333335909992</v>
      </c>
      <c r="O208" s="225"/>
      <c r="P208" s="225"/>
      <c r="Q208" s="228"/>
      <c r="R208" s="242"/>
      <c r="S208" s="249">
        <f t="shared" si="163"/>
        <v>1</v>
      </c>
      <c r="T208" s="242" t="str">
        <f t="shared" si="175"/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76"/>
        <v>https://d0f6bd738d7f1b3e5a7ca70fe4ff75f0.us-east-1.aws.found.io/app/kibana#/discover/Steve-Slow-Train-Analysis-(2080s-and-2083s)?_g=(refreshInterval:(display:Off,pause:!f,section:0,value:0),time:(from:'2017-12-23T04:16:35-0700',mode:absolute,to:'2017-12-23T06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247" t="str">
        <f>IF(AA208&lt;VLOOKUP(AG208,Variables!$AC$3:$AD$8,2,FALSE),"Y","N")</f>
        <v>Y</v>
      </c>
      <c r="X208" s="247">
        <f t="shared" si="172"/>
        <v>1</v>
      </c>
      <c r="Y208" s="247">
        <f t="shared" si="170"/>
        <v>2.3588</v>
      </c>
      <c r="Z208" s="247">
        <f t="shared" si="171"/>
        <v>1.7999999999999999E-2</v>
      </c>
      <c r="AA208" s="247">
        <f t="shared" si="177"/>
        <v>2.3408000000000002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78"/>
        <v>312</v>
      </c>
      <c r="AE208" s="235" t="str">
        <f t="shared" si="179"/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AF208" s="234" t="str">
        <f t="shared" si="180"/>
        <v>"C:\Program Files (x86)\AstroGrep\AstroGrep.exe" /e /r /s /spath="%USERPROFILE%\AppData\Local\Temp\OnboardLogs" /stypes="app*4025*20171223*" /stext=" 12:.+((SYSTEM_STATE.+slice.+state.+changed )|(ment ac)|(multiple cpu faults)|(system.+state.+changed )|(\[timeout)|(PRM\|1\|D)|(kpr)|(kdp)|(train st.+moving)|(\|lc)|(penalty))"</v>
      </c>
      <c r="AG208" s="244" t="str">
        <f t="shared" si="181"/>
        <v>Other</v>
      </c>
      <c r="AH208" s="236" t="str">
        <f t="shared" si="117"/>
        <v>"%USERPROFILE%\Documents\GitHub\eaglep3\Utilities\RefineRTDCRunTimes.py" --tripid 312-23 --locoid 4025 --swversion DE.1.0.9.0 --startMP 300:23588 --initTime 2017-12-23T05:16:35 --startdatetime 2017-12-23T05:22:37 --delay 83 --endMP 204:180 --enddatetime 2017-12-23T05:34:33 --enforcementcount 0 &gt;&gt;%USERPROFILE%\Documents\GitHub\eaglep3-reporting\EC\2017-12-23-refined-times.txt</v>
      </c>
      <c r="AI208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{"issue":{"subject":"","project_id":79,"tracker_id":40,"status_id":1,"priority_id":2,"assigned_to_id":338,"start_date":"2017-12-23","description":"","custom_fields":[{"id":1,"name":"Subdivision","value":"Other"},{"id":4,"name":"Milepost","value":"0.018"},{"id":17,"name":"Train ID","value":"312-23"},{"id":16,"name":"Locomotive ID","value":"4025"},{"id":130,"name":"Impact","value":""},{"id":150,"name":"Time of Event (Mountain Time)","value":"05:34:33"},{"id":151,"name":"Denver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119"/>
        <v>start /low /b %USERPROFILE%\Documents\GitHub\eaglep3\Utilities\DownloadLogsFromS3.py --loco 4025 --day 2017-12-23</v>
      </c>
      <c r="AN20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121"/>
        <v>https://d0f6bd738d7f1b3e5a7ca70fe4ff75f0.us-east-1.aws.found.io/app/kibana#/discover/Steve-Slow-Train-Analysis-(2080s-and-2083s)?_g=(refreshInterval:(display:Off,pause:!f,section:0,value:0),time:(from:'2017-12-23T04:16:35-0700',mode:absolute,to:'2017-12-23T06:34:33-0700'))&amp;_a=(columns:!('Message%20ID',Summary),filters:!(),index:'emp_*',interval:auto,query:(query_string:(analyze_wildcard:!t,query:'%22rtdc.l.rtdc.4025%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25">
      <c r="A209" s="229" t="s">
        <v>717</v>
      </c>
      <c r="B209" s="225">
        <v>4032</v>
      </c>
      <c r="C209" s="227" t="s">
        <v>192</v>
      </c>
      <c r="D209" s="227" t="s">
        <v>1004</v>
      </c>
      <c r="E209" s="226">
        <v>43092.222314814811</v>
      </c>
      <c r="F209" s="226">
        <v>43092.226273148146</v>
      </c>
      <c r="G209" s="225">
        <v>58</v>
      </c>
      <c r="H209" s="227" t="s">
        <v>968</v>
      </c>
      <c r="I209" s="226">
        <v>43092.231388888889</v>
      </c>
      <c r="J209" s="225">
        <v>0</v>
      </c>
      <c r="K209" s="237" t="str">
        <f t="shared" si="173"/>
        <v>4031/4032</v>
      </c>
      <c r="L209" s="245" t="str">
        <f>VLOOKUP(A209,'Trips&amp;Operators'!$C$1:$G$99911,5,FALSE)</f>
        <v>LAMAR NEKESHA</v>
      </c>
      <c r="M209" s="224">
        <f t="shared" si="174"/>
        <v>5.1157407433493063E-3</v>
      </c>
      <c r="N209" s="225">
        <f t="shared" si="162"/>
        <v>7.3666666704230011</v>
      </c>
      <c r="O209" s="225"/>
      <c r="P209" s="225"/>
      <c r="Q209" s="228"/>
      <c r="R209" s="242"/>
      <c r="S209" s="249">
        <f t="shared" si="163"/>
        <v>0</v>
      </c>
      <c r="T209" s="242" t="str">
        <f t="shared" si="175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 t="shared" si="176"/>
        <v>https://d0f6bd738d7f1b3e5a7ca70fe4ff75f0.us-east-1.aws.found.io/app/kibana#/discover/Steve-Slow-Train-Analysis-(2080s-and-2083s)?_g=(refreshInterval:(display:Off,pause:!f,section:0,value:0),time:(from:'2017-12-23T04:20:08-0700',mode:absolute,to:'2017-12-23T06:33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247" t="str">
        <f>IF(AA209&lt;VLOOKUP(AG209,Variables!$AC$3:$AD$8,2,FALSE),"Y","N")</f>
        <v>Y</v>
      </c>
      <c r="X209" s="247">
        <f t="shared" si="172"/>
        <v>1589</v>
      </c>
      <c r="Y209" s="247">
        <f t="shared" si="170"/>
        <v>3.0068999999999999</v>
      </c>
      <c r="Z209" s="247">
        <f t="shared" si="171"/>
        <v>5.8986000000000001</v>
      </c>
      <c r="AA209" s="247">
        <f t="shared" si="177"/>
        <v>2.8917000000000002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78"/>
        <v>1901</v>
      </c>
      <c r="AE209" s="235" t="str">
        <f t="shared" si="179"/>
        <v>aws s3 cp s3://rtdc.mdm.uploadarchive.raw/RTDC4032/ "%USERPROFILE%\AppData\Local\Temp\OnboardLogs"\RTDC4032\2017-12-23 --exclude "*" --recursive --include "*20171223*" &amp; "%USERPROFILE%\Documents\GitHub\mrs-test-scripts\Headless Mode &amp; Sideloading\WalkAndUnGZ.bat" "%USERPROFILE%\AppData\Local\Temp\OnboardLogs"\RTDC4032\2017-12-23 &amp; 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</v>
      </c>
      <c r="AF209" s="234" t="str">
        <f t="shared" si="180"/>
        <v>"C:\Program Files (x86)\AstroGrep\AstroGrep.exe" /e /r /s /spath="%USERPROFILE%\AppData\Local\Temp\OnboardLogs" /stypes="app*4032*20171223*" /stext=" 12:.+((SYSTEM_STATE.+slice.+state.+changed )|(ment ac)|(multiple cpu faults)|(system.+state.+changed )|(\[timeout)|(PRM\|1\|D)|(kpr)|(kdp)|(train st.+moving)|(\|lc)|(penalty))"</v>
      </c>
      <c r="AG209" s="244" t="str">
        <f t="shared" si="181"/>
        <v>Other</v>
      </c>
      <c r="AH209" s="236" t="str">
        <f t="shared" si="117"/>
        <v>"%USERPROFILE%\Documents\GitHub\eaglep3\Utilities\RefineRTDCRunTimes.py" --tripid 1901-23 --locoid 4032 --swversion DE.1.0.9.0 --startMP 300:30069 --initTime 2017-12-23T05:20:08 --startdatetime 2017-12-23T05:25:50 --delay 58 --endMP 300:58986 --enddatetime 2017-12-23T05:33:12 --enforcementcount 0 &gt;&gt;%USERPROFILE%\Documents\GitHub\eaglep3-reporting\EC\2017-12-23-refined-times.txt</v>
      </c>
      <c r="AI209" s="238" t="str">
        <f t="shared" si="118"/>
        <v>echo {"issue":{"subject":"","project_id":79,"tracker_id":40,"status_id":1,"priority_id":2,"assigned_to_id":338,"start_date":"2017-12-23","description":"","custom_fields":[{"id":1,"name":"Subdivision","value":"Other"},{"id":4,"name":"Milepost","value":"5.8986"},{"id":17,"name":"Train ID","value":"1901-23"},{"id":16,"name":"Locomotive ID","value":"4032"},{"id":130,"name":"Impact","value":""},{"id":150,"name":"Time of Event (Mountain Time)","value":"05:33:12"},{"id":151,"name":"Denver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119"/>
        <v>start /low /b %USERPROFILE%\Documents\GitHub\eaglep3\Utilities\DownloadLogsFromS3.py --loco 4032 --day 2017-12-23</v>
      </c>
      <c r="AN20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12:33:12"},{"id":29,"name":"Sharepoint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121"/>
        <v>https://d0f6bd738d7f1b3e5a7ca70fe4ff75f0.us-east-1.aws.found.io/app/kibana#/discover/Steve-Slow-Train-Analysis-(2080s-and-2083s)?_g=(refreshInterval:(display:Off,pause:!f,section:0,value:0),time:(from:'2017-12-23T04:20:08-0700',mode:absolute,to:'2017-12-23T06:33:12-0700'))&amp;_a=(columns:!('Message%20ID',Summary),filters:!(),index:'emp_*',interval:auto,query:(query_string:(analyze_wildcard:!t,query:'%22rtdc.l.rtdc.4032%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875</v>
      </c>
      <c r="B210" s="225">
        <v>4031</v>
      </c>
      <c r="C210" s="227" t="s">
        <v>192</v>
      </c>
      <c r="D210" s="227" t="s">
        <v>646</v>
      </c>
      <c r="E210" s="226">
        <v>43092.98060185185</v>
      </c>
      <c r="F210" s="226">
        <v>43092.982210648152</v>
      </c>
      <c r="G210" s="225">
        <v>56</v>
      </c>
      <c r="H210" s="227" t="s">
        <v>1005</v>
      </c>
      <c r="I210" s="226">
        <v>43093.00273148148</v>
      </c>
      <c r="J210" s="225">
        <v>0</v>
      </c>
      <c r="K210" s="237" t="str">
        <f t="shared" si="173"/>
        <v>4031/4032</v>
      </c>
      <c r="L210" s="245" t="str">
        <f>VLOOKUP(A210,'Trips&amp;Operators'!$C$1:$G$99911,5,FALSE)</f>
        <v>SMITH MICHAEL</v>
      </c>
      <c r="M210" s="224">
        <f t="shared" si="174"/>
        <v>2.0520833328191657E-2</v>
      </c>
      <c r="N210" s="225">
        <f t="shared" si="162"/>
        <v>29.549999992595986</v>
      </c>
      <c r="O210" s="225"/>
      <c r="P210" s="225"/>
      <c r="Q210" s="228"/>
      <c r="R210" s="242"/>
      <c r="S210" s="249">
        <f t="shared" si="163"/>
        <v>0</v>
      </c>
      <c r="T210" s="242" t="str">
        <f t="shared" si="175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176"/>
        <v>https://d0f6bd738d7f1b3e5a7ca70fe4ff75f0.us-east-1.aws.found.io/app/kibana#/discover/Steve-Slow-Train-Analysis-(2080s-and-2083s)?_g=(refreshInterval:(display:Off,pause:!f,section:0,value:0),time:(from:'2017-12-23T22:32:04-0700',mode:absolute,to:'2017-12-24T01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0" s="247" t="str">
        <f>IF(AA210&lt;VLOOKUP(AG210,Variables!$AC$3:$AD$8,2,FALSE),"Y","N")</f>
        <v>Y</v>
      </c>
      <c r="X210" s="247">
        <f t="shared" si="172"/>
        <v>1</v>
      </c>
      <c r="Y210" s="247">
        <f t="shared" si="170"/>
        <v>5.8620999999999999</v>
      </c>
      <c r="Z210" s="247">
        <f t="shared" si="171"/>
        <v>2.8797000000000001</v>
      </c>
      <c r="AA210" s="247">
        <f t="shared" si="177"/>
        <v>2.9823999999999997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78"/>
        <v>1902</v>
      </c>
      <c r="AE210" s="235" t="str">
        <f t="shared" si="179"/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AF210" s="234" t="str">
        <f t="shared" si="180"/>
        <v>"C:\Program Files (x86)\AstroGrep\AstroGrep.exe" /e /r /s /spath="%USERPROFILE%\AppData\Local\Temp\OnboardLogs" /stypes="app*4031*20171224*" /stext=" 07:.+((SYSTEM_STATE.+slice.+state.+changed )|(ment ac)|(multiple cpu faults)|(system.+state.+changed )|(\[timeout)|(PRM\|1\|D)|(kpr)|(kdp)|(train st.+moving)|(\|lc)|(penalty))"</v>
      </c>
      <c r="AG210" s="244" t="str">
        <f t="shared" si="181"/>
        <v>Other</v>
      </c>
      <c r="AH210" s="236" t="str">
        <f t="shared" si="117"/>
        <v>"%USERPROFILE%\Documents\GitHub\eaglep3\Utilities\RefineRTDCRunTimes.py" --tripid 1902-23 --locoid 4031 --swversion DE.1.0.9.0 --startMP 300:58621 --initTime 2017-12-23T23:32:04 --startdatetime 2017-12-23T23:34:23 --delay 56 --endMP 300:28797 --enddatetime 2017-12-24T00:03:56 --enforcementcount 0 &gt;&gt;%USERPROFILE%\Documents\GitHub\eaglep3-reporting\EC\2017-12-23-refined-times.txt</v>
      </c>
      <c r="AI210" s="238" t="str">
        <f t="shared" si="118"/>
        <v>echo {"issue":{"subject":"","project_id":79,"tracker_id":40,"status_id":1,"priority_id":2,"assigned_to_id":338,"start_date":"2017-12-24","description":"","custom_fields":[{"id":1,"name":"Subdivision","value":"Other"},{"id":4,"name":"Milepost","value":"2.8797"},{"id":17,"name":"Train ID","value":"1902-23"},{"id":16,"name":"Locomotive ID","value":"4031"},{"id":130,"name":"Impact","value":""},{"id":150,"name":"Time of Event (Mountain Time)","value":"00:03:56"},{"id":151,"name":"Denver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119"/>
        <v>start /low /b %USERPROFILE%\Documents\GitHub\eaglep3\Utilities\DownloadLogsFromS3.py --loco 4031 --day 2017-12-23</v>
      </c>
      <c r="AN210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07:03:56"},{"id":29,"name":"Sharepoint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121"/>
        <v>https://d0f6bd738d7f1b3e5a7ca70fe4ff75f0.us-east-1.aws.found.io/app/kibana#/discover/Steve-Slow-Train-Analysis-(2080s-and-2083s)?_g=(refreshInterval:(display:Off,pause:!f,section:0,value:0),time:(from:'2017-12-23T22:32:04-0700',mode:absolute,to:'2017-12-24T01:03:56-0700'))&amp;_a=(columns:!('Message%20ID',Summary),filters:!(),index:'emp_*',interval:auto,query:(query_string:(analyze_wildcard:!t,query:'%22rtdc.l.rtdc.4031%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693</v>
      </c>
      <c r="B211" s="225">
        <v>4002</v>
      </c>
      <c r="C211" s="227" t="s">
        <v>192</v>
      </c>
      <c r="D211" s="227" t="s">
        <v>1009</v>
      </c>
      <c r="E211" s="226">
        <v>43092.134016203701</v>
      </c>
      <c r="F211" s="226">
        <v>43092.137800925928</v>
      </c>
      <c r="G211" s="225">
        <v>61</v>
      </c>
      <c r="H211" s="227" t="s">
        <v>1052</v>
      </c>
      <c r="I211" s="226">
        <v>43092.139548611114</v>
      </c>
      <c r="J211" s="225">
        <v>0</v>
      </c>
      <c r="K211" s="237" t="str">
        <f t="shared" si="173"/>
        <v>4001/4002</v>
      </c>
      <c r="L211" s="245" t="str">
        <f>VLOOKUP(A211,'Trips&amp;Operators'!$C$1:$G$99911,5,FALSE)</f>
        <v>DE LA ROSA ALEX</v>
      </c>
      <c r="M211" s="224">
        <f t="shared" si="174"/>
        <v>1.747685186273884E-3</v>
      </c>
      <c r="N211" s="225">
        <f t="shared" si="162"/>
        <v>2.516666668234393</v>
      </c>
      <c r="O211" s="225"/>
      <c r="P211" s="225"/>
      <c r="Q211" s="228"/>
      <c r="R211" s="242"/>
      <c r="S211" s="249">
        <f t="shared" si="163"/>
        <v>0</v>
      </c>
      <c r="T211" s="242" t="str">
        <f t="shared" si="175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176"/>
        <v>https://d0f6bd738d7f1b3e5a7ca70fe4ff75f0.us-east-1.aws.found.io/app/kibana#/discover/Steve-Slow-Train-Analysis-(2080s-and-2083s)?_g=(refreshInterval:(display:Off,pause:!f,section:0,value:0),time:(from:'2017-12-23T02:12:59-0700',mode:absolute,to:'2017-12-23T04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247" t="str">
        <f>IF(AA211&lt;VLOOKUP(AG211,Variables!$AC$3:$AD$8,2,FALSE),"Y","N")</f>
        <v>Y</v>
      </c>
      <c r="X211" s="247">
        <f t="shared" si="172"/>
        <v>-1851</v>
      </c>
      <c r="Y211" s="247">
        <f t="shared" si="170"/>
        <v>4.4900000000000002E-2</v>
      </c>
      <c r="Z211" s="247">
        <f t="shared" si="171"/>
        <v>0.35320000000000001</v>
      </c>
      <c r="AA211" s="247">
        <f t="shared" si="177"/>
        <v>0.30830000000000002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78"/>
        <v>51</v>
      </c>
      <c r="AE211" s="235" t="str">
        <f t="shared" si="179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11" s="234" t="str">
        <f t="shared" si="180"/>
        <v>"C:\Program Files (x86)\AstroGrep\AstroGrep.exe" /e /r /s /spath="%USERPROFILE%\AppData\Local\Temp\OnboardLogs" /stypes="app*4002*20171223*" /stext=" 10:.+((SYSTEM_STATE.+slice.+state.+changed )|(ment ac)|(multiple cpu faults)|(system.+state.+changed )|(\[timeout)|(PRM\|1\|D)|(kpr)|(kdp)|(train st.+moving)|(\|lc)|(penalty))"</v>
      </c>
      <c r="AG211" s="244" t="str">
        <f t="shared" si="181"/>
        <v>Shuttle/Test</v>
      </c>
      <c r="AH211" s="236" t="str">
        <f t="shared" si="117"/>
        <v>"%USERPROFILE%\Documents\GitHub\eaglep3\Utilities\RefineRTDCRunTimes.py" --tripid 51-23 --locoid 4002 --swversion DE.1.0.9.0 --startMP 204:449 --initTime 2017-12-23T03:12:59 --startdatetime 2017-12-23T03:18:26 --delay 61 --endMP 204:3532 --enddatetime 2017-12-23T03:20:57 --enforcementcount 0 &gt;&gt;%USERPROFILE%\Documents\GitHub\eaglep3-reporting\EC\2017-12-23-refined-times.txt</v>
      </c>
      <c r="AI211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0.3532"},{"id":17,"name":"Train ID","value":"51-23"},{"id":16,"name":"Locomotive ID","value":"4002"},{"id":130,"name":"Impact","value":""},{"id":150,"name":"Time of Event (Mountain Time)","value":"03:20:57"},{"id":151,"name":"Denver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19"/>
        <v>start /low /b %USERPROFILE%\Documents\GitHub\eaglep3\Utilities\DownloadLogsFromS3.py --loco 4002 --day 2017-12-23</v>
      </c>
      <c r="AN211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21"/>
        <v>https://d0f6bd738d7f1b3e5a7ca70fe4ff75f0.us-east-1.aws.found.io/app/kibana#/discover/Steve-Slow-Train-Analysis-(2080s-and-2083s)?_g=(refreshInterval:(display:Off,pause:!f,section:0,value:0),time:(from:'2017-12-23T02:12:59-0700',mode:absolute,to:'2017-12-23T04:20:57-0700'))&amp;_a=(columns:!('Message%20ID',Summary),filters:!(),index:'emp_*',interval:auto,query:(query_string:(analyze_wildcard:!t,query:'%22rtdc.l.rtdc.4002%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697</v>
      </c>
      <c r="B212" s="225">
        <v>4001</v>
      </c>
      <c r="C212" s="227" t="s">
        <v>192</v>
      </c>
      <c r="D212" s="227" t="s">
        <v>1053</v>
      </c>
      <c r="E212" s="226">
        <v>43092.140196759261</v>
      </c>
      <c r="F212" s="226">
        <v>43092.14203703704</v>
      </c>
      <c r="G212" s="225">
        <v>70</v>
      </c>
      <c r="H212" s="227" t="s">
        <v>1054</v>
      </c>
      <c r="I212" s="226">
        <v>43092.143321759257</v>
      </c>
      <c r="J212" s="225">
        <v>0</v>
      </c>
      <c r="K212" s="237" t="str">
        <f t="shared" si="173"/>
        <v>4001/4002</v>
      </c>
      <c r="L212" s="245" t="str">
        <f>VLOOKUP(A212,'Trips&amp;Operators'!$C$1:$G$99911,5,FALSE)</f>
        <v>DE LA ROSA ALEX</v>
      </c>
      <c r="M212" s="224">
        <f t="shared" si="174"/>
        <v>1.2847222169511952E-3</v>
      </c>
      <c r="N212" s="225">
        <f t="shared" si="162"/>
        <v>1.849999992409721</v>
      </c>
      <c r="O212" s="225"/>
      <c r="P212" s="225"/>
      <c r="Q212" s="228"/>
      <c r="R212" s="242"/>
      <c r="S212" s="249">
        <f t="shared" si="163"/>
        <v>0</v>
      </c>
      <c r="T212" s="242" t="str">
        <f t="shared" si="175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176"/>
        <v>https://d0f6bd738d7f1b3e5a7ca70fe4ff75f0.us-east-1.aws.found.io/app/kibana#/discover/Steve-Slow-Train-Analysis-(2080s-and-2083s)?_g=(refreshInterval:(display:Off,pause:!f,section:0,value:0),time:(from:'2017-12-23T02:21:53-0700',mode:absolute,to:'2017-12-23T04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247" t="str">
        <f>IF(AA212&lt;VLOOKUP(AG212,Variables!$AC$3:$AD$8,2,FALSE),"Y","N")</f>
        <v>Y</v>
      </c>
      <c r="X212" s="247">
        <f t="shared" si="172"/>
        <v>1</v>
      </c>
      <c r="Y212" s="247">
        <f t="shared" si="170"/>
        <v>0.3201</v>
      </c>
      <c r="Z212" s="247">
        <f t="shared" si="171"/>
        <v>0.1169</v>
      </c>
      <c r="AA212" s="247">
        <f t="shared" si="177"/>
        <v>0.20319999999999999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78"/>
        <v>52</v>
      </c>
      <c r="AE212" s="235" t="str">
        <f t="shared" si="179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12" s="234" t="str">
        <f t="shared" si="180"/>
        <v>"C:\Program Files (x86)\AstroGrep\AstroGrep.exe" /e /r /s /spath="%USERPROFILE%\AppData\Local\Temp\OnboardLogs" /stypes="app*4001*20171223*" /stext=" 10:.+((SYSTEM_STATE.+slice.+state.+changed )|(ment ac)|(multiple cpu faults)|(system.+state.+changed )|(\[timeout)|(PRM\|1\|D)|(kpr)|(kdp)|(train st.+moving)|(\|lc)|(penalty))"</v>
      </c>
      <c r="AG212" s="244" t="str">
        <f t="shared" si="181"/>
        <v>Shuttle/Test</v>
      </c>
      <c r="AH212" s="236" t="str">
        <f t="shared" si="117"/>
        <v>"%USERPROFILE%\Documents\GitHub\eaglep3\Utilities\RefineRTDCRunTimes.py" --tripid 52-23 --locoid 4001 --swversion DE.1.0.9.0 --startMP 204:3201 --initTime 2017-12-23T03:21:53 --startdatetime 2017-12-23T03:24:32 --delay 70 --endMP 204:1169 --enddatetime 2017-12-23T03:26:23 --enforcementcount 0 &gt;&gt;%USERPROFILE%\Documents\GitHub\eaglep3-reporting\EC\2017-12-23-refined-times.txt</v>
      </c>
      <c r="AI212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0.1169"},{"id":17,"name":"Train ID","value":"52-23"},{"id":16,"name":"Locomotive ID","value":"4001"},{"id":130,"name":"Impact","value":""},{"id":150,"name":"Time of Event (Mountain Time)","value":"03:26:23"},{"id":151,"name":"Denver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19"/>
        <v>start /low /b %USERPROFILE%\Documents\GitHub\eaglep3\Utilities\DownloadLogsFromS3.py --loco 4001 --day 2017-12-23</v>
      </c>
      <c r="AN212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10:26:23"},{"id":29,"name":"Sharepoint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21"/>
        <v>https://d0f6bd738d7f1b3e5a7ca70fe4ff75f0.us-east-1.aws.found.io/app/kibana#/discover/Steve-Slow-Train-Analysis-(2080s-and-2083s)?_g=(refreshInterval:(display:Off,pause:!f,section:0,value:0),time:(from:'2017-12-23T02:21:53-0700',mode:absolute,to:'2017-12-23T04:26:23-0700'))&amp;_a=(columns:!('Message%20ID',Summary),filters:!(),index:'emp_*',interval:auto,query:(query_string:(analyze_wildcard:!t,query:'%22rtdc.l.rtdc.4001%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703</v>
      </c>
      <c r="B213" s="225">
        <v>4002</v>
      </c>
      <c r="C213" s="227" t="s">
        <v>192</v>
      </c>
      <c r="D213" s="227" t="s">
        <v>1055</v>
      </c>
      <c r="E213" s="226">
        <v>43092.178946759261</v>
      </c>
      <c r="F213" s="226">
        <v>43092.190081018518</v>
      </c>
      <c r="G213" s="225">
        <v>64</v>
      </c>
      <c r="H213" s="227" t="s">
        <v>1056</v>
      </c>
      <c r="I213" s="226">
        <v>43092.191111111111</v>
      </c>
      <c r="J213" s="225">
        <v>0</v>
      </c>
      <c r="K213" s="237" t="str">
        <f t="shared" si="173"/>
        <v>4001/4002</v>
      </c>
      <c r="L213" s="245" t="str">
        <f>VLOOKUP(A213,'Trips&amp;Operators'!$C$1:$G$99911,5,FALSE)</f>
        <v>DE LA ROSA ALEX</v>
      </c>
      <c r="M213" s="224">
        <f t="shared" si="174"/>
        <v>1.0300925932824612E-3</v>
      </c>
      <c r="N213" s="225">
        <f t="shared" si="162"/>
        <v>1.4833333343267441</v>
      </c>
      <c r="O213" s="225"/>
      <c r="P213" s="225"/>
      <c r="Q213" s="228"/>
      <c r="R213" s="242"/>
      <c r="S213" s="249">
        <f t="shared" si="163"/>
        <v>0</v>
      </c>
      <c r="T213" s="242" t="str">
        <f t="shared" si="175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176"/>
        <v>https://d0f6bd738d7f1b3e5a7ca70fe4ff75f0.us-east-1.aws.found.io/app/kibana#/discover/Steve-Slow-Train-Analysis-(2080s-and-2083s)?_g=(refreshInterval:(display:Off,pause:!f,section:0,value:0),time:(from:'2017-12-23T03:17:41-0700',mode:absolute,to:'2017-12-23T05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247" t="str">
        <f>IF(AA213&lt;VLOOKUP(AG213,Variables!$AC$3:$AD$8,2,FALSE),"Y","N")</f>
        <v>Y</v>
      </c>
      <c r="X213" s="247">
        <f t="shared" si="172"/>
        <v>3</v>
      </c>
      <c r="Y213" s="247">
        <f t="shared" si="170"/>
        <v>0.14829999999999999</v>
      </c>
      <c r="Z213" s="247">
        <f t="shared" si="171"/>
        <v>0.36049999999999999</v>
      </c>
      <c r="AA213" s="247">
        <f t="shared" si="177"/>
        <v>0.2122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78"/>
        <v>55</v>
      </c>
      <c r="AE213" s="235" t="str">
        <f t="shared" si="179"/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AF213" s="234" t="str">
        <f t="shared" si="180"/>
        <v>"C:\Program Files (x86)\AstroGrep\AstroGrep.exe" /e /r /s /spath="%USERPROFILE%\AppData\Local\Temp\OnboardLogs" /stypes="app*4002*20171223*" /stext=" 11:.+((SYSTEM_STATE.+slice.+state.+changed )|(ment ac)|(multiple cpu faults)|(system.+state.+changed )|(\[timeout)|(PRM\|1\|D)|(kpr)|(kdp)|(train st.+moving)|(\|lc)|(penalty))"</v>
      </c>
      <c r="AG213" s="244" t="str">
        <f t="shared" si="181"/>
        <v>Shuttle/Test</v>
      </c>
      <c r="AH213" s="236" t="str">
        <f t="shared" si="117"/>
        <v>"%USERPROFILE%\Documents\GitHub\eaglep3\Utilities\RefineRTDCRunTimes.py" --tripid 55-23 --locoid 4002 --swversion DE.1.0.9.0 --startMP 204:1483 --initTime 2017-12-23T04:17:41 --startdatetime 2017-12-23T04:33:43 --delay 64 --endMP 204:3605 --enddatetime 2017-12-23T04:35:12 --enforcementcount 0 &gt;&gt;%USERPROFILE%\Documents\GitHub\eaglep3-reporting\EC\2017-12-23-refined-times.txt</v>
      </c>
      <c r="AI213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0.3605"},{"id":17,"name":"Train ID","value":"55-23"},{"id":16,"name":"Locomotive ID","value":"4002"},{"id":130,"name":"Impact","value":""},{"id":150,"name":"Time of Event (Mountain Time)","value":"04:35:12"},{"id":151,"name":"Denver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9"/>
        <v>start /low /b %USERPROFILE%\Documents\GitHub\eaglep3\Utilities\DownloadLogsFromS3.py --loco 4002 --day 2017-12-23</v>
      </c>
      <c r="AN213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21"/>
        <v>https://d0f6bd738d7f1b3e5a7ca70fe4ff75f0.us-east-1.aws.found.io/app/kibana#/discover/Steve-Slow-Train-Analysis-(2080s-and-2083s)?_g=(refreshInterval:(display:Off,pause:!f,section:0,value:0),time:(from:'2017-12-23T03:17:41-0700',mode:absolute,to:'2017-12-23T05:35:12-0700'))&amp;_a=(columns:!('Message%20ID',Summary),filters:!(),index:'emp_*',interval:auto,query:(query_string:(analyze_wildcard:!t,query:'%22rtdc.l.rtdc.4002%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25">
      <c r="A214" s="229" t="s">
        <v>708</v>
      </c>
      <c r="B214" s="225">
        <v>4001</v>
      </c>
      <c r="C214" s="227" t="s">
        <v>192</v>
      </c>
      <c r="D214" s="227" t="s">
        <v>1057</v>
      </c>
      <c r="E214" s="226">
        <v>43092.191701388889</v>
      </c>
      <c r="F214" s="226">
        <v>43092.193680555552</v>
      </c>
      <c r="G214" s="225">
        <v>69</v>
      </c>
      <c r="H214" s="227" t="s">
        <v>1049</v>
      </c>
      <c r="I214" s="226">
        <v>43092.195243055554</v>
      </c>
      <c r="J214" s="225">
        <v>0</v>
      </c>
      <c r="K214" s="237" t="str">
        <f t="shared" si="173"/>
        <v>4001/4002</v>
      </c>
      <c r="L214" s="245" t="str">
        <f>VLOOKUP(A214,'Trips&amp;Operators'!$C$1:$G$99911,5,FALSE)</f>
        <v>DE LA ROSA ALEX</v>
      </c>
      <c r="M214" s="224">
        <f t="shared" si="174"/>
        <v>1.5625000014551915E-3</v>
      </c>
      <c r="N214" s="225">
        <f t="shared" si="162"/>
        <v>2.2500000020954758</v>
      </c>
      <c r="O214" s="225"/>
      <c r="P214" s="225"/>
      <c r="Q214" s="228"/>
      <c r="R214" s="242"/>
      <c r="S214" s="249">
        <f t="shared" si="163"/>
        <v>0</v>
      </c>
      <c r="T214" s="242" t="str">
        <f t="shared" si="175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176"/>
        <v>https://d0f6bd738d7f1b3e5a7ca70fe4ff75f0.us-east-1.aws.found.io/app/kibana#/discover/Steve-Slow-Train-Analysis-(2080s-and-2083s)?_g=(refreshInterval:(display:Off,pause:!f,section:0,value:0),time:(from:'2017-12-23T03:36:03-0700',mode:absolute,to:'2017-12-23T05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4" s="247" t="str">
        <f>IF(AA214&lt;VLOOKUP(AG214,Variables!$AC$3:$AD$8,2,FALSE),"Y","N")</f>
        <v>Y</v>
      </c>
      <c r="X214" s="247">
        <f t="shared" si="172"/>
        <v>1</v>
      </c>
      <c r="Y214" s="247">
        <f t="shared" si="170"/>
        <v>0.33050000000000002</v>
      </c>
      <c r="Z214" s="247">
        <f t="shared" si="171"/>
        <v>1.54E-2</v>
      </c>
      <c r="AA214" s="247">
        <f t="shared" si="177"/>
        <v>0.31509999999999999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78"/>
        <v>56</v>
      </c>
      <c r="AE214" s="235" t="str">
        <f t="shared" si="179"/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AF214" s="234" t="str">
        <f t="shared" si="180"/>
        <v>"C:\Program Files (x86)\AstroGrep\AstroGrep.exe" /e /r /s /spath="%USERPROFILE%\AppData\Local\Temp\OnboardLogs" /stypes="app*4001*20171223*" /stext=" 11:.+((SYSTEM_STATE.+slice.+state.+changed )|(ment ac)|(multiple cpu faults)|(system.+state.+changed )|(\[timeout)|(PRM\|1\|D)|(kpr)|(kdp)|(train st.+moving)|(\|lc)|(penalty))"</v>
      </c>
      <c r="AG214" s="244" t="str">
        <f t="shared" si="181"/>
        <v>Shuttle/Test</v>
      </c>
      <c r="AH214" s="236" t="str">
        <f t="shared" si="117"/>
        <v>"%USERPROFILE%\Documents\GitHub\eaglep3\Utilities\RefineRTDCRunTimes.py" --tripid 56-23 --locoid 4001 --swversion DE.1.0.9.0 --startMP 204:3305 --initTime 2017-12-23T04:36:03 --startdatetime 2017-12-23T04:38:54 --delay 69 --endMP 204:154 --enddatetime 2017-12-23T04:41:09 --enforcementcount 0 &gt;&gt;%USERPROFILE%\Documents\GitHub\eaglep3-reporting\EC\2017-12-23-refined-times.txt</v>
      </c>
      <c r="AI214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0.0154"},{"id":17,"name":"Train ID","value":"56-23"},{"id":16,"name":"Locomotive ID","value":"4001"},{"id":130,"name":"Impact","value":""},{"id":150,"name":"Time of Event (Mountain Time)","value":"04:41:09"},{"id":151,"name":"Denver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119"/>
        <v>start /low /b %USERPROFILE%\Documents\GitHub\eaglep3\Utilities\DownloadLogsFromS3.py --loco 4001 --day 2017-12-23</v>
      </c>
      <c r="AN214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11:41:09"},{"id":29,"name":"Sharepoint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21"/>
        <v>https://d0f6bd738d7f1b3e5a7ca70fe4ff75f0.us-east-1.aws.found.io/app/kibana#/discover/Steve-Slow-Train-Analysis-(2080s-and-2083s)?_g=(refreshInterval:(display:Off,pause:!f,section:0,value:0),time:(from:'2017-12-23T03:36:03-0700',mode:absolute,to:'2017-12-23T05:41:09-0700'))&amp;_a=(columns:!('Message%20ID',Summary),filters:!(),index:'emp_*',interval:auto,query:(query_string:(analyze_wildcard:!t,query:'%22rtdc.l.rtdc.4001%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735</v>
      </c>
      <c r="B215" s="225">
        <v>4011</v>
      </c>
      <c r="C215" s="227" t="s">
        <v>192</v>
      </c>
      <c r="D215" s="227" t="s">
        <v>1058</v>
      </c>
      <c r="E215" s="226">
        <v>43092.291458333333</v>
      </c>
      <c r="F215" s="226">
        <v>25568.708333333332</v>
      </c>
      <c r="G215" s="225">
        <v>62</v>
      </c>
      <c r="H215" s="227" t="s">
        <v>1058</v>
      </c>
      <c r="I215" s="226">
        <v>25568.708333333332</v>
      </c>
      <c r="J215" s="225">
        <v>0</v>
      </c>
      <c r="K215" s="237" t="str">
        <f t="shared" si="173"/>
        <v>4011/4012</v>
      </c>
      <c r="L215" s="245" t="str">
        <f>VLOOKUP(A215,'Trips&amp;Operators'!$C$1:$G$99911,5,FALSE)</f>
        <v>DE LA ROSA ALEX</v>
      </c>
      <c r="M215" s="224">
        <f t="shared" si="174"/>
        <v>0</v>
      </c>
      <c r="N215" s="225">
        <f t="shared" si="162"/>
        <v>0</v>
      </c>
      <c r="O215" s="225"/>
      <c r="P215" s="225"/>
      <c r="Q215" s="228"/>
      <c r="R215" s="242"/>
      <c r="S215" s="249">
        <f t="shared" si="163"/>
        <v>0</v>
      </c>
      <c r="T215" s="242" t="str">
        <f t="shared" si="175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176"/>
        <v>https://d0f6bd738d7f1b3e5a7ca70fe4ff75f0.us-east-1.aws.found.io/app/kibana#/discover/Steve-Slow-Train-Analysis-(2080s-and-2083s)?_g=(refreshInterval:(display:Off,pause:!f,section:0,value:0),time:(from:'2017-12-23T05:59:42-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247" t="str">
        <f>IF(AA215&lt;VLOOKUP(AG215,Variables!$AC$3:$AD$8,2,FALSE),"Y","N")</f>
        <v>Y</v>
      </c>
      <c r="X215" s="247">
        <f t="shared" si="172"/>
        <v>6</v>
      </c>
      <c r="Y215" s="247">
        <f t="shared" si="170"/>
        <v>8.6099999999999996E-2</v>
      </c>
      <c r="Z215" s="247">
        <f t="shared" si="171"/>
        <v>8.6099999999999996E-2</v>
      </c>
      <c r="AA215" s="247">
        <f t="shared" si="177"/>
        <v>0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78"/>
        <v>62</v>
      </c>
      <c r="AE215" s="235" t="str">
        <f t="shared" si="17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5" s="234" t="str">
        <f t="shared" si="180"/>
        <v>"C:\Program Files (x86)\AstroGrep\AstroGrep.exe" /e /r /s /spath="%USERPROFILE%\AppData\Local\Temp\OnboardLogs" /stypes="app*4011*19700101*" /stext=" 00:.+((SYSTEM_STATE.+slice.+state.+changed )|(ment ac)|(multiple cpu faults)|(system.+state.+changed )|(\[timeout)|(PRM\|1\|D)|(kpr)|(kdp)|(train st.+moving)|(\|lc)|(penalty))"</v>
      </c>
      <c r="AG215" s="244" t="str">
        <f t="shared" si="181"/>
        <v>Shuttle/Test</v>
      </c>
      <c r="AH215" s="236" t="str">
        <f t="shared" si="117"/>
        <v>"%USERPROFILE%\Documents\GitHub\eaglep3\Utilities\RefineRTDCRunTimes.py" --tripid 62-23 --locoid 4011 --swversion DE.1.0.9.0 --startMP 204:861 --initTime 2017-12-23T06:59:42 --startdatetime 1969-12-31T17:00:00 --delay 62 --endMP 204:861 --enddatetime 1969-12-31T17:00:00 --enforcementcount 0 &gt;&gt;%USERPROFILE%\Documents\GitHub\eaglep3-reporting\EC\2017-12-23-refined-times.txt</v>
      </c>
      <c r="AI215" s="238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0.0861"},{"id":17,"name":"Train ID","value":"62-23"},{"id":16,"name":"Locomotive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19"/>
        <v>start /low /b %USERPROFILE%\Documents\GitHub\eaglep3\Utilities\DownloadLogsFromS3.py --loco 4011 --day 1969-12-31</v>
      </c>
      <c r="AN215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21"/>
        <v>https://d0f6bd738d7f1b3e5a7ca70fe4ff75f0.us-east-1.aws.found.io/app/kibana#/discover/Steve-Slow-Train-Analysis-(2080s-and-2083s)?_g=(refreshInterval:(display:Off,pause:!f,section:0,value:0),time:(from:'2017-12-23T05:59:42-0700',mode:absolute,to:'1969-12-31T18:00:00-0700'))&amp;_a=(columns:!('Message%20ID',Summary),filters:!(),index:'emp_*',interval:auto,query:(query_string:(analyze_wildcard:!t,query:'%22rtdc.l.rtdc.4011%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735</v>
      </c>
      <c r="B216" s="225">
        <v>4012</v>
      </c>
      <c r="C216" s="227" t="s">
        <v>192</v>
      </c>
      <c r="D216" s="227" t="s">
        <v>1059</v>
      </c>
      <c r="E216" s="226">
        <v>43092.293020833335</v>
      </c>
      <c r="F216" s="226">
        <v>25568.708333333332</v>
      </c>
      <c r="G216" s="225">
        <v>57</v>
      </c>
      <c r="H216" s="227" t="s">
        <v>1059</v>
      </c>
      <c r="I216" s="226">
        <v>25568.708333333332</v>
      </c>
      <c r="J216" s="225">
        <v>0</v>
      </c>
      <c r="K216" s="237" t="str">
        <f t="shared" si="173"/>
        <v>4011/4012</v>
      </c>
      <c r="L216" s="245" t="str">
        <f>VLOOKUP(A216,'Trips&amp;Operators'!$C$1:$G$99911,5,FALSE)</f>
        <v>DE LA ROSA ALEX</v>
      </c>
      <c r="M216" s="224">
        <f t="shared" si="174"/>
        <v>0</v>
      </c>
      <c r="N216" s="225">
        <f t="shared" si="162"/>
        <v>0</v>
      </c>
      <c r="O216" s="225"/>
      <c r="P216" s="225"/>
      <c r="Q216" s="228"/>
      <c r="R216" s="242"/>
      <c r="S216" s="249">
        <f t="shared" si="163"/>
        <v>0</v>
      </c>
      <c r="T216" s="242" t="str">
        <f t="shared" si="175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 t="shared" si="176"/>
        <v>https://d0f6bd738d7f1b3e5a7ca70fe4ff75f0.us-east-1.aws.found.io/app/kibana#/discover/Steve-Slow-Train-Analysis-(2080s-and-2083s)?_g=(refreshInterval:(display:Off,pause:!f,section:0,value:0),time:(from:'2017-12-23T06:01:57-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47" t="str">
        <f>IF(AA216&lt;VLOOKUP(AG216,Variables!$AC$3:$AD$8,2,FALSE),"Y","N")</f>
        <v>Y</v>
      </c>
      <c r="X216" s="247">
        <f t="shared" si="172"/>
        <v>0</v>
      </c>
      <c r="Y216" s="247">
        <f t="shared" si="170"/>
        <v>0.1166</v>
      </c>
      <c r="Z216" s="247">
        <f t="shared" si="171"/>
        <v>0.1166</v>
      </c>
      <c r="AA216" s="247">
        <f t="shared" si="177"/>
        <v>0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78"/>
        <v>62</v>
      </c>
      <c r="AE216" s="235" t="str">
        <f t="shared" si="179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16" s="234" t="str">
        <f t="shared" si="180"/>
        <v>"C:\Program Files (x86)\AstroGrep\AstroGrep.exe" /e /r /s /spath="%USERPROFILE%\AppData\Local\Temp\OnboardLogs" /stypes="app*4012*19700101*" /stext=" 00:.+((SYSTEM_STATE.+slice.+state.+changed )|(ment ac)|(multiple cpu faults)|(system.+state.+changed )|(\[timeout)|(PRM\|1\|D)|(kpr)|(kdp)|(train st.+moving)|(\|lc)|(penalty))"</v>
      </c>
      <c r="AG216" s="244" t="str">
        <f t="shared" si="181"/>
        <v>Shuttle/Test</v>
      </c>
      <c r="AH216" s="236" t="str">
        <f t="shared" si="117"/>
        <v>"%USERPROFILE%\Documents\GitHub\eaglep3\Utilities\RefineRTDCRunTimes.py" --tripid 62-23 --locoid 4012 --swversion DE.1.0.9.0 --startMP 204:1166 --initTime 2017-12-23T07:01:57 --startdatetime 1969-12-31T17:00:00 --delay 57 --endMP 204:1166 --enddatetime 1969-12-31T17:00:00 --enforcementcount 0 &gt;&gt;%USERPROFILE%\Documents\GitHub\eaglep3-reporting\EC\2017-12-23-refined-times.txt</v>
      </c>
      <c r="AI216" s="238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0.1166"},{"id":17,"name":"Train ID","value":"62-23"},{"id":16,"name":"Locomotive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19"/>
        <v>start /low /b %USERPROFILE%\Documents\GitHub\eaglep3\Utilities\DownloadLogsFromS3.py --loco 4012 --day 1969-12-31</v>
      </c>
      <c r="AN216" s="241" t="str">
        <f t="shared" si="120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21"/>
        <v>https://d0f6bd738d7f1b3e5a7ca70fe4ff75f0.us-east-1.aws.found.io/app/kibana#/discover/Steve-Slow-Train-Analysis-(2080s-and-2083s)?_g=(refreshInterval:(display:Off,pause:!f,section:0,value:0),time:(from:'2017-12-23T06:01:57-0700',mode:absolute,to:'1969-12-31T18:00:00-0700'))&amp;_a=(columns:!('Message%20ID',Summary),filters:!(),index:'emp_*',interval:auto,query:(query_string:(analyze_wildcard:!t,query:'%22rtdc.l.rtdc.4012%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841</v>
      </c>
      <c r="B217" s="225">
        <v>4041</v>
      </c>
      <c r="C217" s="227" t="s">
        <v>192</v>
      </c>
      <c r="D217" s="227" t="s">
        <v>1060</v>
      </c>
      <c r="E217" s="226">
        <v>43092.739722222221</v>
      </c>
      <c r="F217" s="226">
        <v>43092.744062500002</v>
      </c>
      <c r="G217" s="225">
        <v>136</v>
      </c>
      <c r="H217" s="227" t="s">
        <v>1061</v>
      </c>
      <c r="I217" s="226">
        <v>43092.748738425929</v>
      </c>
      <c r="J217" s="225">
        <v>0</v>
      </c>
      <c r="K217" s="237" t="str">
        <f t="shared" si="173"/>
        <v>4041/4042</v>
      </c>
      <c r="L217" s="245" t="str">
        <f>VLOOKUP(A217,'Trips&amp;Operators'!$C$1:$G$99911,5,FALSE)</f>
        <v>HAMMOND JUSTYNN</v>
      </c>
      <c r="M217" s="224">
        <f t="shared" si="174"/>
        <v>4.6759259275859222E-3</v>
      </c>
      <c r="N217" s="225">
        <f t="shared" si="162"/>
        <v>6.7333333357237279</v>
      </c>
      <c r="O217" s="225"/>
      <c r="P217" s="225"/>
      <c r="Q217" s="228"/>
      <c r="R217" s="242"/>
      <c r="S217" s="249">
        <f t="shared" si="163"/>
        <v>1</v>
      </c>
      <c r="T217" s="242" t="str">
        <f t="shared" si="175"/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76"/>
        <v>https://d0f6bd738d7f1b3e5a7ca70fe4ff75f0.us-east-1.aws.found.io/app/kibana#/discover/Steve-Slow-Train-Analysis-(2080s-and-2083s)?_g=(refreshInterval:(display:Off,pause:!f,section:0,value:0),time:(from:'2017-12-23T16:45:12-0700',mode:absolute,to:'2017-12-23T18:58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47" t="str">
        <f>IF(AA217&lt;VLOOKUP(AG217,Variables!$AC$3:$AD$8,2,FALSE),"Y","N")</f>
        <v>Y</v>
      </c>
      <c r="X217" s="247">
        <f t="shared" si="172"/>
        <v>4</v>
      </c>
      <c r="Y217" s="247">
        <f t="shared" si="170"/>
        <v>2.3489</v>
      </c>
      <c r="Z217" s="247">
        <f t="shared" si="171"/>
        <v>0.1734</v>
      </c>
      <c r="AA217" s="247">
        <f t="shared" si="177"/>
        <v>2.1755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78"/>
        <v>66</v>
      </c>
      <c r="AE217" s="235" t="str">
        <f t="shared" si="179"/>
        <v>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 &amp; aws s3 cp s3://rtdc.mdm.uploadarchive.raw/RTDC4041/ "%USERPROFILE%\AppData\Local\Temp\OnboardLogs"\RTDC4041\2017-12-24 --exclude "*" --recursive --include "*20171224*" &amp; "%USERPROFILE%\Documents\GitHub\mrs-test-scripts\Headless Mode &amp; Sideloading\WalkAndUnGZ.bat" "%USERPROFILE%\AppData\Local\Temp\OnboardLogs"\RTDC4041\2017-12-24</v>
      </c>
      <c r="AF217" s="234" t="str">
        <f t="shared" si="180"/>
        <v>"C:\Program Files (x86)\AstroGrep\AstroGrep.exe" /e /r /s /spath="%USERPROFILE%\AppData\Local\Temp\OnboardLogs" /stypes="app*4041*20171224*" /stext=" 00:.+((SYSTEM_STATE.+slice.+state.+changed )|(ment ac)|(multiple cpu faults)|(system.+state.+changed )|(\[timeout)|(PRM\|1\|D)|(kpr)|(kdp)|(train st.+moving)|(\|lc)|(penalty))"</v>
      </c>
      <c r="AG217" s="244" t="str">
        <f t="shared" si="181"/>
        <v>Shuttle/Test</v>
      </c>
      <c r="AH217" s="236" t="str">
        <f t="shared" si="117"/>
        <v>"%USERPROFILE%\Documents\GitHub\eaglep3\Utilities\RefineRTDCRunTimes.py" --tripid 66-23 --locoid 4041 --swversion DE.1.0.9.0 --startMP 300:23489 --initTime 2017-12-23T17:45:12 --startdatetime 2017-12-23T17:51:27 --delay 136 --endMP 204:1734 --enddatetime 2017-12-23T17:58:11 --enforcementcount 0 &gt;&gt;%USERPROFILE%\Documents\GitHub\eaglep3-reporting\EC\2017-12-23-refined-times.txt</v>
      </c>
      <c r="AI217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0.1734"},{"id":17,"name":"Train ID","value":"66-23"},{"id":16,"name":"Locomotive ID","value":"4041"},{"id":130,"name":"Impact","value":""},{"id":150,"name":"Time of Event (Mountain Time)","value":"17:58:11"},{"id":151,"name":"Denver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19"/>
        <v>start /low /b %USERPROFILE%\Documents\GitHub\eaglep3\Utilities\DownloadLogsFromS3.py --loco 4041 --day 2017-12-23</v>
      </c>
      <c r="AN217" s="241" t="str">
        <f t="shared" si="120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21"/>
        <v>https://d0f6bd738d7f1b3e5a7ca70fe4ff75f0.us-east-1.aws.found.io/app/kibana#/discover/Steve-Slow-Train-Analysis-(2080s-and-2083s)?_g=(refreshInterval:(display:Off,pause:!f,section:0,value:0),time:(from:'2017-12-23T16:45:12-0700',mode:absolute,to:'2017-12-23T18:58:11-0700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25">
      <c r="A218" s="229" t="s">
        <v>812</v>
      </c>
      <c r="B218" s="225">
        <v>4033</v>
      </c>
      <c r="C218" s="227" t="s">
        <v>192</v>
      </c>
      <c r="D218" s="227" t="s">
        <v>1062</v>
      </c>
      <c r="E218" s="226">
        <v>43092.623773148145</v>
      </c>
      <c r="F218" s="226">
        <v>43092.63790509259</v>
      </c>
      <c r="G218" s="225">
        <v>85</v>
      </c>
      <c r="H218" s="227" t="s">
        <v>1063</v>
      </c>
      <c r="I218" s="226">
        <v>43092.662974537037</v>
      </c>
      <c r="J218" s="225">
        <v>0</v>
      </c>
      <c r="K218" s="237" t="str">
        <f t="shared" si="173"/>
        <v>4033/4034</v>
      </c>
      <c r="L218" s="245" t="str">
        <f>VLOOKUP(A218,'Trips&amp;Operators'!$C$1:$G$99911,5,FALSE)</f>
        <v>BROWN JACOB</v>
      </c>
      <c r="M218" s="224">
        <f t="shared" si="174"/>
        <v>2.5069444447581191E-2</v>
      </c>
      <c r="N218" s="225">
        <f t="shared" si="162"/>
        <v>36.100000004516914</v>
      </c>
      <c r="O218" s="225"/>
      <c r="P218" s="225"/>
      <c r="Q218" s="228"/>
      <c r="R218" s="242"/>
      <c r="S218" s="249">
        <f t="shared" si="163"/>
        <v>1</v>
      </c>
      <c r="T218" s="242" t="str">
        <f t="shared" si="175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76"/>
        <v>https://d0f6bd738d7f1b3e5a7ca70fe4ff75f0.us-east-1.aws.found.io/app/kibana#/discover/Steve-Slow-Train-Analysis-(2080s-and-2083s)?_g=(refreshInterval:(display:Off,pause:!f,section:0,value:0),time:(from:'2017-12-23T13:58:14-0700',mode:absolute,to:'2017-12-23T16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8" s="247" t="str">
        <f>IF(AA218&lt;VLOOKUP(AG218,Variables!$AC$3:$AD$8,2,FALSE),"Y","N")</f>
        <v>Y</v>
      </c>
      <c r="X218" s="247">
        <f t="shared" si="172"/>
        <v>8</v>
      </c>
      <c r="Y218" s="247">
        <f t="shared" si="170"/>
        <v>6.9610000000000003</v>
      </c>
      <c r="Z218" s="247">
        <f t="shared" si="171"/>
        <v>9.2100000000000001E-2</v>
      </c>
      <c r="AA218" s="247">
        <f t="shared" si="177"/>
        <v>6.8689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78"/>
        <v>74</v>
      </c>
      <c r="AE218" s="235" t="str">
        <f t="shared" si="179"/>
        <v>aws s3 cp s3://rtdc.mdm.uploadarchive.raw/RTDC4033/ "%USERPROFILE%\AppData\Local\Temp\OnboardLogs"\RTDC4033\2017-12-23 --exclude "*" --recursive --include "*20171223*" &amp; "%USERPROFILE%\Documents\GitHub\mrs-test-scripts\Headless Mode &amp; Sideloading\WalkAndUnGZ.bat" "%USERPROFILE%\AppData\Local\Temp\OnboardLogs"\RTDC4033\2017-12-23 &amp; aws s3 cp s3://rtdc.mdm.uploadarchive.raw/RTDC4033/ "%USERPROFILE%\AppData\Local\Temp\OnboardLogs"\RTDC4033\2017-12-24 --exclude "*" --recursive --include "*20171224*" &amp; "%USERPROFILE%\Documents\GitHub\mrs-test-scripts\Headless Mode &amp; Sideloading\WalkAndUnGZ.bat" "%USERPROFILE%\AppData\Local\Temp\OnboardLogs"\RTDC4033\2017-12-24</v>
      </c>
      <c r="AF218" s="234" t="str">
        <f t="shared" si="180"/>
        <v>"C:\Program Files (x86)\AstroGrep\AstroGrep.exe" /e /r /s /spath="%USERPROFILE%\AppData\Local\Temp\OnboardLogs" /stypes="app*4033*20171223*" /stext=" 22:.+((SYSTEM_STATE.+slice.+state.+changed )|(ment ac)|(multiple cpu faults)|(system.+state.+changed )|(\[timeout)|(PRM\|1\|D)|(kpr)|(kdp)|(train st.+moving)|(\|lc)|(penalty))"</v>
      </c>
      <c r="AG218" s="244" t="str">
        <f t="shared" si="181"/>
        <v>Shuttle/Test</v>
      </c>
      <c r="AH218" s="236" t="str">
        <f t="shared" si="117"/>
        <v>"%USERPROFILE%\Documents\GitHub\eaglep3\Utilities\RefineRTDCRunTimes.py" --tripid 74-23 --locoid 4033 --swversion DE.1.0.9.0 --startMP 204:69610 --initTime 2017-12-23T14:58:14 --startdatetime 2017-12-23T15:18:35 --delay 85 --endMP 204:921 --enddatetime 2017-12-23T15:54:41 --enforcementcount 0 &gt;&gt;%USERPROFILE%\Documents\GitHub\eaglep3-reporting\EC\2017-12-23-refined-times.txt</v>
      </c>
      <c r="AI218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0.0921"},{"id":17,"name":"Train ID","value":"74-23"},{"id":16,"name":"Locomotive ID","value":"4033"},{"id":130,"name":"Impact","value":""},{"id":150,"name":"Time of Event (Mountain Time)","value":"15:54:41"},{"id":151,"name":"Denver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119"/>
        <v>start /low /b %USERPROFILE%\Documents\GitHub\eaglep3\Utilities\DownloadLogsFromS3.py --loco 4033 --day 2017-12-23</v>
      </c>
      <c r="AN218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21"/>
        <v>https://d0f6bd738d7f1b3e5a7ca70fe4ff75f0.us-east-1.aws.found.io/app/kibana#/discover/Steve-Slow-Train-Analysis-(2080s-and-2083s)?_g=(refreshInterval:(display:Off,pause:!f,section:0,value:0),time:(from:'2017-12-23T13:58:14-0700',mode:absolute,to:'2017-12-23T16:54:41-0700'))&amp;_a=(columns:!('Message%20ID',Summary),filters:!(),index:'emp_*',interval:auto,query:(query_string:(analyze_wildcard:!t,query:'%22rtdc.l.rtdc.4033%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812</v>
      </c>
      <c r="B219" s="225">
        <v>4034</v>
      </c>
      <c r="C219" s="227" t="s">
        <v>192</v>
      </c>
      <c r="D219" s="227" t="s">
        <v>1064</v>
      </c>
      <c r="E219" s="226">
        <v>43092.636562500003</v>
      </c>
      <c r="F219" s="226">
        <v>43092.63790509259</v>
      </c>
      <c r="G219" s="225">
        <v>69</v>
      </c>
      <c r="H219" s="227" t="s">
        <v>572</v>
      </c>
      <c r="I219" s="226">
        <v>43092.662974537037</v>
      </c>
      <c r="J219" s="225">
        <v>0</v>
      </c>
      <c r="K219" s="237" t="str">
        <f t="shared" si="173"/>
        <v>4033/4034</v>
      </c>
      <c r="L219" s="245" t="str">
        <f>VLOOKUP(A219,'Trips&amp;Operators'!$C$1:$G$99911,5,FALSE)</f>
        <v>BROWN JACOB</v>
      </c>
      <c r="M219" s="224">
        <f t="shared" si="174"/>
        <v>2.5069444447581191E-2</v>
      </c>
      <c r="N219" s="225">
        <f t="shared" si="162"/>
        <v>36.100000004516914</v>
      </c>
      <c r="O219" s="225"/>
      <c r="P219" s="225"/>
      <c r="Q219" s="228"/>
      <c r="R219" s="242"/>
      <c r="S219" s="249">
        <f t="shared" si="163"/>
        <v>0</v>
      </c>
      <c r="T219" s="242" t="str">
        <f t="shared" si="175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176"/>
        <v>https://d0f6bd738d7f1b3e5a7ca70fe4ff75f0.us-east-1.aws.found.io/app/kibana#/discover/Steve-Slow-Train-Analysis-(2080s-and-2083s)?_g=(refreshInterval:(display:Off,pause:!f,section:0,value:0),time:(from:'2017-12-23T14:16:39-0700',mode:absolute,to:'2017-12-23T16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9" s="247" t="str">
        <f>IF(AA219&lt;VLOOKUP(AG219,Variables!$AC$3:$AD$8,2,FALSE),"Y","N")</f>
        <v>Y</v>
      </c>
      <c r="X219" s="247">
        <f t="shared" si="172"/>
        <v>0</v>
      </c>
      <c r="Y219" s="247">
        <f t="shared" si="170"/>
        <v>0.1242</v>
      </c>
      <c r="Z219" s="247">
        <f t="shared" si="171"/>
        <v>2.3302</v>
      </c>
      <c r="AA219" s="247">
        <f t="shared" si="177"/>
        <v>2.206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78"/>
        <v>74</v>
      </c>
      <c r="AE219" s="235" t="str">
        <f t="shared" si="179"/>
        <v>aws s3 cp s3://rtdc.mdm.uploadarchive.raw/RTDC4034/ "%USERPROFILE%\AppData\Local\Temp\OnboardLogs"\RTDC4034\2017-12-23 --exclude "*" --recursive --include "*20171223*" &amp; "%USERPROFILE%\Documents\GitHub\mrs-test-scripts\Headless Mode &amp; Sideloading\WalkAndUnGZ.bat" "%USERPROFILE%\AppData\Local\Temp\OnboardLogs"\RTDC4034\2017-12-23 &amp; aws s3 cp s3://rtdc.mdm.uploadarchive.raw/RTDC4034/ "%USERPROFILE%\AppData\Local\Temp\OnboardLogs"\RTDC4034\2017-12-24 --exclude "*" --recursive --include "*20171224*" &amp; "%USERPROFILE%\Documents\GitHub\mrs-test-scripts\Headless Mode &amp; Sideloading\WalkAndUnGZ.bat" "%USERPROFILE%\AppData\Local\Temp\OnboardLogs"\RTDC4034\2017-12-24</v>
      </c>
      <c r="AF219" s="234" t="str">
        <f t="shared" si="180"/>
        <v>"C:\Program Files (x86)\AstroGrep\AstroGrep.exe" /e /r /s /spath="%USERPROFILE%\AppData\Local\Temp\OnboardLogs" /stypes="app*4034*20171223*" /stext=" 22:.+((SYSTEM_STATE.+slice.+state.+changed )|(ment ac)|(multiple cpu faults)|(system.+state.+changed )|(\[timeout)|(PRM\|1\|D)|(kpr)|(kdp)|(train st.+moving)|(\|lc)|(penalty))"</v>
      </c>
      <c r="AG219" s="244" t="str">
        <f t="shared" si="181"/>
        <v>Shuttle/Test</v>
      </c>
      <c r="AH219" s="236" t="str">
        <f t="shared" si="117"/>
        <v>"%USERPROFILE%\Documents\GitHub\eaglep3\Utilities\RefineRTDCRunTimes.py" --tripid 74-23 --locoid 4034 --swversion DE.1.0.9.0 --startMP 204:1242 --initTime 2017-12-23T15:16:39 --startdatetime 2017-12-23T15:18:35 --delay 69 --endMP 300:23302 --enddatetime 2017-12-23T15:54:41 --enforcementcount 0 &gt;&gt;%USERPROFILE%\Documents\GitHub\eaglep3-reporting\EC\2017-12-23-refined-times.txt</v>
      </c>
      <c r="AI219" s="238" t="str">
        <f t="shared" si="118"/>
        <v>echo {"issue":{"subject":"","project_id":79,"tracker_id":40,"status_id":1,"priority_id":2,"assigned_to_id":338,"start_date":"2017-12-23","description":"","custom_fields":[{"id":1,"name":"Subdivision","value":"Shuttle/Test"},{"id":4,"name":"Milepost","value":"2.3302"},{"id":17,"name":"Train ID","value":"74-23"},{"id":16,"name":"Locomotive ID","value":"4034"},{"id":130,"name":"Impact","value":""},{"id":150,"name":"Time of Event (Mountain Time)","value":"15:54:41"},{"id":151,"name":"Denver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19"/>
        <v>start /low /b %USERPROFILE%\Documents\GitHub\eaglep3\Utilities\DownloadLogsFromS3.py --loco 4034 --day 2017-12-23</v>
      </c>
      <c r="AN219" s="241" t="str">
        <f t="shared" si="120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21"/>
        <v>https://d0f6bd738d7f1b3e5a7ca70fe4ff75f0.us-east-1.aws.found.io/app/kibana#/discover/Steve-Slow-Train-Analysis-(2080s-and-2083s)?_g=(refreshInterval:(display:Off,pause:!f,section:0,value:0),time:(from:'2017-12-23T14:16:39-0700',mode:absolute,to:'2017-12-23T16:54:41-0700'))&amp;_a=(columns:!('Message%20ID',Summary),filters:!(),index:'emp_*',interval:auto,query:(query_string:(analyze_wildcard:!t,query:'%22rtdc.l.rtdc.4034%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835</v>
      </c>
      <c r="B220" s="225">
        <v>4012</v>
      </c>
      <c r="C220" s="227" t="s">
        <v>192</v>
      </c>
      <c r="D220" s="227" t="s">
        <v>1065</v>
      </c>
      <c r="E220" s="226">
        <v>43092.718240740738</v>
      </c>
      <c r="F220" s="226">
        <v>43092.721284722225</v>
      </c>
      <c r="G220" s="225">
        <v>56</v>
      </c>
      <c r="H220" s="227" t="s">
        <v>541</v>
      </c>
      <c r="I220" s="226">
        <v>43092.727372685185</v>
      </c>
      <c r="J220" s="225">
        <v>0</v>
      </c>
      <c r="K220" s="237" t="str">
        <f t="shared" si="173"/>
        <v>4011/4012</v>
      </c>
      <c r="L220" s="245" t="str">
        <f>VLOOKUP(A220,'Trips&amp;Operators'!$C$1:$G$99911,5,FALSE)</f>
        <v>BIRENBAUM THOMAS</v>
      </c>
      <c r="M220" s="224">
        <f t="shared" si="174"/>
        <v>6.0879629600094631E-3</v>
      </c>
      <c r="N220" s="225">
        <f t="shared" si="162"/>
        <v>8.7666666624136269</v>
      </c>
      <c r="O220" s="225"/>
      <c r="P220" s="225"/>
      <c r="Q220" s="228"/>
      <c r="R220" s="242"/>
      <c r="S220" s="249">
        <f t="shared" si="163"/>
        <v>1</v>
      </c>
      <c r="T220" s="242" t="str">
        <f t="shared" si="175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76"/>
        <v>https://d0f6bd738d7f1b3e5a7ca70fe4ff75f0.us-east-1.aws.found.io/app/kibana#/discover/Steve-Slow-Train-Analysis-(2080s-and-2083s)?_g=(refreshInterval:(display:Off,pause:!f,section:0,value:0),time:(from:'2017-12-23T16:14:16-0700',mode:absolute,to:'2017-12-23T18:27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247" t="str">
        <f>IF(AA220&lt;VLOOKUP(AG220,Variables!$AC$3:$AD$8,2,FALSE),"Y","N")</f>
        <v>Y</v>
      </c>
      <c r="X220" s="247">
        <f t="shared" si="172"/>
        <v>1</v>
      </c>
      <c r="Y220" s="247">
        <f t="shared" si="170"/>
        <v>0.1147</v>
      </c>
      <c r="Z220" s="247">
        <f t="shared" si="171"/>
        <v>2.3311999999999999</v>
      </c>
      <c r="AA220" s="247">
        <f t="shared" si="177"/>
        <v>2.2164999999999999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78"/>
        <v>75</v>
      </c>
      <c r="AE220" s="235" t="str">
        <f t="shared" si="179"/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220" s="234" t="str">
        <f t="shared" si="180"/>
        <v>"C:\Program Files (x86)\AstroGrep\AstroGrep.exe" /e /r /s /spath="%USERPROFILE%\AppData\Local\Temp\OnboardLogs" /stypes="app*4012*20171224*" /stext=" 00:.+((SYSTEM_STATE.+slice.+state.+changed )|(ment ac)|(multiple cpu faults)|(system.+state.+changed )|(\[timeout)|(PRM\|1\|D)|(kpr)|(kdp)|(train st.+moving)|(\|lc)|(penalty))"</v>
      </c>
      <c r="AG220" s="244" t="str">
        <f t="shared" si="181"/>
        <v>Shuttle/Test</v>
      </c>
      <c r="AH220" s="236" t="str">
        <f t="shared" ref="AH220:AH222" si="182"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75-23 --locoid 4012 --swversion DE.1.0.9.0 --startMP 204:1147 --initTime 2017-12-23T17:14:16 --startdatetime 2017-12-23T17:18:39 --delay 56 --endMP 300:23312 --enddatetime 2017-12-23T17:27:25 --enforcementcount 0 &gt;&gt;%USERPROFILE%\Documents\GitHub\eaglep3-reporting\EC\2017-12-23-refined-times.txt</v>
      </c>
      <c r="AI220" s="238" t="str">
        <f t="shared" ref="AI220:AI222" si="183"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Shuttle/Test"},{"id":4,"name":"Milepost","value":"2.3312"},{"id":17,"name":"Train ID","value":"75-23"},{"id":16,"name":"Locomotive ID","value":"4012"},{"id":130,"name":"Impact","value":""},{"id":150,"name":"Time of Event (Mountain Time)","value":"17:27:25"},{"id":151,"name":"Denver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ref="AM220:AM222" si="184">"start /low /b "&amp;dls3logs&amp;" --loco "&amp;B220&amp;" --day "&amp;TEXT(F220,"YYYY-MM-DD")</f>
        <v>start /low /b %USERPROFILE%\Documents\GitHub\eaglep3\Utilities\DownloadLogsFromS3.py --loco 4012 --day 2017-12-23</v>
      </c>
      <c r="AN220" s="241" t="str">
        <f t="shared" ref="AN220:AN222" si="185">"echo {""issue"":{""subject"":"""&amp;R220&amp;""",""project_id"":30,""tracker_id"":4,""status_id"":"&amp;redmine_status_wcr&amp;",""priority_id"":"&amp;redmine_priority_wcr&amp;",""assigned_to_id"":"&amp;redmine_assignee_wcr&amp;",""start_date"":"""&amp;TEXT(I220-utc_offset/24,"YYYY-mm-dd")&amp;""",""description"":"""&amp;AJ220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00:27:25"},{"id":29,"name":"Sharepoint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ref="AO220:AO222" si="186"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Message%20ID',Summary),filters:!(),index:'emp_*',interval:auto,query:"&amp;"(query_string:(analyze_wildcard:!t,query:'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-23T16:14:16-0700',mode:absolute,to:'2017-12-23T18:27:25-0700'))&amp;_a=(columns:!('Message%20ID',Summary),filters:!(),index:'emp_*',interval:auto,query:(query_string:(analyze_wildcard:!t,query:'%22rtdc.l.rtdc.4012%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25">
      <c r="A221" s="229" t="s">
        <v>805</v>
      </c>
      <c r="B221" s="225">
        <v>4011</v>
      </c>
      <c r="C221" s="227" t="s">
        <v>192</v>
      </c>
      <c r="D221" s="227" t="s">
        <v>1066</v>
      </c>
      <c r="E221" s="226">
        <v>43092.595057870371</v>
      </c>
      <c r="F221" s="226">
        <v>43092.597280092596</v>
      </c>
      <c r="G221" s="225">
        <v>54</v>
      </c>
      <c r="H221" s="227" t="s">
        <v>1067</v>
      </c>
      <c r="I221" s="226">
        <v>43092.598287037035</v>
      </c>
      <c r="J221" s="225">
        <v>0</v>
      </c>
      <c r="K221" s="237" t="str">
        <f t="shared" si="173"/>
        <v>4011/4012</v>
      </c>
      <c r="L221" s="245" t="str">
        <f>VLOOKUP(A221,'Trips&amp;Operators'!$C$1:$G$99911,5,FALSE)</f>
        <v>BIRENBAUM THOMAS</v>
      </c>
      <c r="M221" s="224">
        <f t="shared" si="174"/>
        <v>1.0069444397231564E-3</v>
      </c>
      <c r="N221" s="225">
        <f t="shared" si="162"/>
        <v>1.4499999932013452</v>
      </c>
      <c r="O221" s="225"/>
      <c r="P221" s="225"/>
      <c r="Q221" s="228"/>
      <c r="R221" s="242"/>
      <c r="S221" s="249">
        <f t="shared" si="163"/>
        <v>0</v>
      </c>
      <c r="T221" s="242" t="str">
        <f t="shared" si="175"/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8" t="str">
        <f t="shared" si="176"/>
        <v>https://d0f6bd738d7f1b3e5a7ca70fe4ff75f0.us-east-1.aws.found.io/app/kibana#/discover/Steve-Slow-Train-Analysis-(2080s-and-2083s)?_g=(refreshInterval:(display:Off,pause:!f,section:0,value:0),time:(from:'2017-12-23T13:16:53-0700',mode:absolute,to:'2017-12-23T15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1" s="247" t="str">
        <f>IF(AA221&lt;VLOOKUP(AG221,Variables!$AC$3:$AD$8,2,FALSE),"Y","N")</f>
        <v>Y</v>
      </c>
      <c r="X221" s="247">
        <f t="shared" si="172"/>
        <v>5</v>
      </c>
      <c r="Y221" s="247">
        <f t="shared" si="170"/>
        <v>0.50829999999999997</v>
      </c>
      <c r="Z221" s="247">
        <f t="shared" si="171"/>
        <v>0.1875</v>
      </c>
      <c r="AA221" s="247">
        <f t="shared" si="177"/>
        <v>0.32079999999999997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78"/>
        <v>80</v>
      </c>
      <c r="AE221" s="235" t="str">
        <f t="shared" si="179"/>
        <v>aws s3 cp s3://rtdc.mdm.uploadarchive.raw/RTDC4011/ "%USERPROFILE%\AppData\Local\Temp\OnboardLogs"\RTDC4011\2017-12-23 --exclude "*" --recursive --include "*20171223*" &amp; "%USERPROFILE%\Documents\GitHub\mrs-test-scripts\Headless Mode &amp; Sideloading\WalkAndUnGZ.bat" "%USERPROFILE%\AppData\Local\Temp\OnboardLogs"\RTDC4011\2017-12-23 &amp; 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</v>
      </c>
      <c r="AF221" s="234" t="str">
        <f t="shared" si="180"/>
        <v>"C:\Program Files (x86)\AstroGrep\AstroGrep.exe" /e /r /s /spath="%USERPROFILE%\AppData\Local\Temp\OnboardLogs" /stypes="app*4011*20171223*" /stext=" 21:.+((SYSTEM_STATE.+slice.+state.+changed )|(ment ac)|(multiple cpu faults)|(system.+state.+changed )|(\[timeout)|(PRM\|1\|D)|(kpr)|(kdp)|(train st.+moving)|(\|lc)|(penalty))"</v>
      </c>
      <c r="AG221" s="244" t="str">
        <f t="shared" si="181"/>
        <v>Shuttle/Test</v>
      </c>
      <c r="AH221" s="236" t="str">
        <f t="shared" si="182"/>
        <v>"%USERPROFILE%\Documents\GitHub\eaglep3\Utilities\RefineRTDCRunTimes.py" --tripid 80-23 --locoid 4011 --swversion DE.1.0.9.0 --startMP 300:5083 --initTime 2017-12-23T14:16:53 --startdatetime 2017-12-23T14:20:05 --delay 54 --endMP 204:1875 --enddatetime 2017-12-23T14:21:32 --enforcementcount 0 &gt;&gt;%USERPROFILE%\Documents\GitHub\eaglep3-reporting\EC\2017-12-23-refined-times.txt</v>
      </c>
      <c r="AI221" s="238" t="str">
        <f t="shared" si="183"/>
        <v>echo {"issue":{"subject":"","project_id":79,"tracker_id":40,"status_id":1,"priority_id":2,"assigned_to_id":338,"start_date":"2017-12-23","description":"","custom_fields":[{"id":1,"name":"Subdivision","value":"Shuttle/Test"},{"id":4,"name":"Milepost","value":"0.1875"},{"id":17,"name":"Train ID","value":"80-23"},{"id":16,"name":"Locomotive ID","value":"4011"},{"id":130,"name":"Impact","value":""},{"id":150,"name":"Time of Event (Mountain Time)","value":"14:21:32"},{"id":151,"name":"Denver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184"/>
        <v>start /low /b %USERPROFILE%\Documents\GitHub\eaglep3\Utilities\DownloadLogsFromS3.py --loco 4011 --day 2017-12-23</v>
      </c>
      <c r="AN221" s="241" t="str">
        <f t="shared" si="18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86"/>
        <v>https://d0f6bd738d7f1b3e5a7ca70fe4ff75f0.us-east-1.aws.found.io/app/kibana#/discover/Steve-Slow-Train-Analysis-(2080s-and-2083s)?_g=(refreshInterval:(display:Off,pause:!f,section:0,value:0),time:(from:'2017-12-23T13:16:53-0700',mode:absolute,to:'2017-12-23T15:21:32-0700'))&amp;_a=(columns:!('Message%20ID',Summary),filters:!(),index:'emp_*',interval:auto,query:(query_string:(analyze_wildcard:!t,query:'%22rtdc.l.rtdc.4011%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9" t="s">
        <v>803</v>
      </c>
      <c r="B222" s="225">
        <v>4012</v>
      </c>
      <c r="C222" s="227" t="s">
        <v>192</v>
      </c>
      <c r="D222" s="227" t="s">
        <v>1068</v>
      </c>
      <c r="E222" s="226">
        <v>43092.59065972222</v>
      </c>
      <c r="F222" s="226">
        <v>43092.592662037037</v>
      </c>
      <c r="G222" s="225">
        <v>69</v>
      </c>
      <c r="H222" s="227" t="s">
        <v>1069</v>
      </c>
      <c r="I222" s="226">
        <v>43092.593842592592</v>
      </c>
      <c r="J222" s="225">
        <v>0</v>
      </c>
      <c r="K222" s="237" t="str">
        <f t="shared" si="173"/>
        <v>4011/4012</v>
      </c>
      <c r="L222" s="245" t="str">
        <f>VLOOKUP(A222,'Trips&amp;Operators'!$C$1:$G$99911,5,FALSE)</f>
        <v>BIRENBAUM THOMAS</v>
      </c>
      <c r="M222" s="224">
        <f t="shared" si="174"/>
        <v>1.1805555550381541E-3</v>
      </c>
      <c r="N222" s="225">
        <f t="shared" si="162"/>
        <v>1.6999999992549419</v>
      </c>
      <c r="O222" s="225"/>
      <c r="P222" s="225"/>
      <c r="Q222" s="228"/>
      <c r="R222" s="242"/>
      <c r="S222" s="249">
        <f t="shared" si="163"/>
        <v>0</v>
      </c>
      <c r="T222" s="242" t="str">
        <f t="shared" si="175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176"/>
        <v>https://d0f6bd738d7f1b3e5a7ca70fe4ff75f0.us-east-1.aws.found.io/app/kibana#/discover/Steve-Slow-Train-Analysis-(2080s-and-2083s)?_g=(refreshInterval:(display:Off,pause:!f,section:0,value:0),time:(from:'2017-12-23T13:10:33-0700',mode:absolute,to:'2017-12-23T15:15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2" s="247" t="str">
        <f>IF(AA222&lt;VLOOKUP(AG222,Variables!$AC$3:$AD$8,2,FALSE),"Y","N")</f>
        <v>Y</v>
      </c>
      <c r="X222" s="247">
        <f t="shared" si="172"/>
        <v>1</v>
      </c>
      <c r="Y222" s="247">
        <f t="shared" si="170"/>
        <v>0.11700000000000001</v>
      </c>
      <c r="Z222" s="247">
        <f t="shared" si="171"/>
        <v>0.53600000000000003</v>
      </c>
      <c r="AA222" s="247">
        <f t="shared" si="177"/>
        <v>0.41900000000000004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78"/>
        <v>81</v>
      </c>
      <c r="AE222" s="235" t="str">
        <f t="shared" si="179"/>
        <v>aws s3 cp s3://rtdc.mdm.uploadarchive.raw/RTDC4012/ "%USERPROFILE%\AppData\Local\Temp\OnboardLogs"\RTDC4012\2017-12-23 --exclude "*" --recursive --include "*20171223*" &amp; "%USERPROFILE%\Documents\GitHub\mrs-test-scripts\Headless Mode &amp; Sideloading\WalkAndUnGZ.bat" "%USERPROFILE%\AppData\Local\Temp\OnboardLogs"\RTDC4012\2017-12-23 &amp; 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</v>
      </c>
      <c r="AF222" s="234" t="str">
        <f t="shared" si="180"/>
        <v>"C:\Program Files (x86)\AstroGrep\AstroGrep.exe" /e /r /s /spath="%USERPROFILE%\AppData\Local\Temp\OnboardLogs" /stypes="app*4012*20171223*" /stext=" 21:.+((SYSTEM_STATE.+slice.+state.+changed )|(ment ac)|(multiple cpu faults)|(system.+state.+changed )|(\[timeout)|(PRM\|1\|D)|(kpr)|(kdp)|(train st.+moving)|(\|lc)|(penalty))"</v>
      </c>
      <c r="AG222" s="244" t="str">
        <f t="shared" si="181"/>
        <v>Shuttle/Test</v>
      </c>
      <c r="AH222" s="236" t="str">
        <f t="shared" si="182"/>
        <v>"%USERPROFILE%\Documents\GitHub\eaglep3\Utilities\RefineRTDCRunTimes.py" --tripid 81-23 --locoid 4012 --swversion DE.1.0.9.0 --startMP 204:1170 --initTime 2017-12-23T14:10:33 --startdatetime 2017-12-23T14:13:26 --delay 69 --endMP 300:5360 --enddatetime 2017-12-23T14:15:08 --enforcementcount 0 &gt;&gt;%USERPROFILE%\Documents\GitHub\eaglep3-reporting\EC\2017-12-23-refined-times.txt</v>
      </c>
      <c r="AI222" s="238" t="str">
        <f t="shared" si="183"/>
        <v>echo {"issue":{"subject":"","project_id":79,"tracker_id":40,"status_id":1,"priority_id":2,"assigned_to_id":338,"start_date":"2017-12-23","description":"","custom_fields":[{"id":1,"name":"Subdivision","value":"Shuttle/Test"},{"id":4,"name":"Milepost","value":"0.536"},{"id":17,"name":"Train ID","value":"81-23"},{"id":16,"name":"Locomotive ID","value":"4012"},{"id":130,"name":"Impact","value":""},{"id":150,"name":"Time of Event (Mountain Time)","value":"14:15:08"},{"id":151,"name":"Denver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84"/>
        <v>start /low /b %USERPROFILE%\Documents\GitHub\eaglep3\Utilities\DownloadLogsFromS3.py --loco 4012 --day 2017-12-23</v>
      </c>
      <c r="AN222" s="241" t="str">
        <f t="shared" si="18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21:15:08"},{"id":29,"name":"Sharepoint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86"/>
        <v>https://d0f6bd738d7f1b3e5a7ca70fe4ff75f0.us-east-1.aws.found.io/app/kibana#/discover/Steve-Slow-Train-Analysis-(2080s-and-2083s)?_g=(refreshInterval:(display:Off,pause:!f,section:0,value:0),time:(from:'2017-12-23T13:10:33-0700',mode:absolute,to:'2017-12-23T15:15:08-0700'))&amp;_a=(columns:!('Message%20ID',Summary),filters:!(),index:'emp_*',interval:auto,query:(query_string:(analyze_wildcard:!t,query:'%22rtdc.l.rtdc.4012%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23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3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s="20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s="20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</sheetData>
  <autoFilter ref="A12:AG537">
    <sortState ref="A13:AG537">
      <sortCondition ref="AG13:AG222"/>
      <sortCondition ref="AD13:AD222"/>
    </sortState>
  </autoFilter>
  <sortState ref="A13:AN442">
    <sortCondition ref="AG13:AG442"/>
    <sortCondition ref="AD13:AD442"/>
  </sortState>
  <mergeCells count="1">
    <mergeCell ref="A11:P11"/>
  </mergeCells>
  <conditionalFormatting sqref="W11:W12 W543:X1048576 W13:X13 W16:W17 W18:X222">
    <cfRule type="cellIs" dxfId="24" priority="486" operator="equal">
      <formula>"Y"</formula>
    </cfRule>
  </conditionalFormatting>
  <conditionalFormatting sqref="X543:X1048576 X13 X18:X222">
    <cfRule type="cellIs" dxfId="23" priority="469" operator="greaterThan">
      <formula>1</formula>
    </cfRule>
  </conditionalFormatting>
  <conditionalFormatting sqref="X543:X1048576 X12:X13 X18:X222">
    <cfRule type="cellIs" dxfId="22" priority="466" operator="equal">
      <formula>0</formula>
    </cfRule>
  </conditionalFormatting>
  <conditionalFormatting sqref="A13:S13 A16:S222">
    <cfRule type="expression" dxfId="21" priority="460" stopIfTrue="1">
      <formula>$P13&gt;0</formula>
    </cfRule>
    <cfRule type="expression" dxfId="20" priority="461" stopIfTrue="1">
      <formula>$O13&gt;0</formula>
    </cfRule>
  </conditionalFormatting>
  <conditionalFormatting sqref="W15 X17">
    <cfRule type="cellIs" dxfId="19" priority="14" operator="equal">
      <formula>"Y"</formula>
    </cfRule>
  </conditionalFormatting>
  <conditionalFormatting sqref="X17">
    <cfRule type="cellIs" dxfId="18" priority="13" operator="greaterThan">
      <formula>1</formula>
    </cfRule>
  </conditionalFormatting>
  <conditionalFormatting sqref="X17">
    <cfRule type="cellIs" dxfId="17" priority="12" operator="equal">
      <formula>0</formula>
    </cfRule>
  </conditionalFormatting>
  <conditionalFormatting sqref="A15:S15">
    <cfRule type="expression" dxfId="16" priority="9" stopIfTrue="1">
      <formula>$P15&gt;0</formula>
    </cfRule>
    <cfRule type="expression" dxfId="15" priority="10" stopIfTrue="1">
      <formula>$O15&gt;0</formula>
    </cfRule>
  </conditionalFormatting>
  <conditionalFormatting sqref="W14:X14 X15:X16">
    <cfRule type="cellIs" dxfId="14" priority="7" operator="equal">
      <formula>"Y"</formula>
    </cfRule>
  </conditionalFormatting>
  <conditionalFormatting sqref="X14:X16">
    <cfRule type="cellIs" dxfId="13" priority="6" operator="greaterThan">
      <formula>1</formula>
    </cfRule>
  </conditionalFormatting>
  <conditionalFormatting sqref="X14:X16">
    <cfRule type="cellIs" dxfId="12" priority="5" operator="equal">
      <formula>0</formula>
    </cfRule>
  </conditionalFormatting>
  <conditionalFormatting sqref="A14:S14">
    <cfRule type="expression" dxfId="11" priority="2" stopIfTrue="1">
      <formula>$P14&gt;0</formula>
    </cfRule>
    <cfRule type="expression" dxfId="10" priority="3" stopIfTrue="1">
      <formula>$O14&gt;0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A13:S13 A16:S222</xm:sqref>
        </x14:conditionalFormatting>
        <x14:conditionalFormatting xmlns:xm="http://schemas.microsoft.com/office/excel/2006/main">
          <x14:cfRule type="expression" priority="14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A13:S13 A16:S222</xm:sqref>
        </x14:conditionalFormatting>
        <x14:conditionalFormatting xmlns:xm="http://schemas.microsoft.com/office/excel/2006/main">
          <x14:cfRule type="expression" priority="11" stopIfTrue="1" id="{A57D3AB3-3FC3-4367-AF69-3F3979A35A46}">
            <xm:f>IF($AG15="EC",OR($N15&gt;Variables!$C$2,$N15&lt;Variables!$C$5),OR($N15&gt;Variables!$D$2,$N15&lt;Variables!$D$5))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A15:S15</xm:sqref>
        </x14:conditionalFormatting>
        <x14:conditionalFormatting xmlns:xm="http://schemas.microsoft.com/office/excel/2006/main">
          <x14:cfRule type="expression" priority="8" stopIfTrue="1" id="{FD281B97-42A8-4ADC-9CA7-15C199178E70}">
            <xm:f>IF($AG15="EC",OR($N15&gt;Variables!#REF!,$N15&lt;Variables!#REF!),OR($N15&gt;Variables!#REF!,$N15&lt;Variables!#REF!))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A15:S15</xm:sqref>
        </x14:conditionalFormatting>
        <x14:conditionalFormatting xmlns:xm="http://schemas.microsoft.com/office/excel/2006/main">
          <x14:cfRule type="expression" priority="4" stopIfTrue="1" id="{C1B650AA-412C-47D1-B245-8ED32458993A}">
            <xm:f>IF($AG14="EC",OR($N14&gt;Variables!$C$2,$N14&lt;Variables!$C$5),OR($N14&gt;Variables!$D$2,$N14&lt;Variables!$D$5))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A14:S14</xm:sqref>
        </x14:conditionalFormatting>
        <x14:conditionalFormatting xmlns:xm="http://schemas.microsoft.com/office/excel/2006/main">
          <x14:cfRule type="expression" priority="1" stopIfTrue="1" id="{05A5A743-5EF9-4F41-B575-EF8C71F3C461}">
            <xm:f>IF($AG14="EC",OR($N14&gt;Variables!#REF!,$N14&lt;Variables!#REF!),OR($N14&gt;Variables!#REF!,$N14&lt;Variables!#REF!))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A14:S14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opLeftCell="A2" zoomScaleNormal="100" workbookViewId="0">
      <selection activeCell="M13" sqref="M1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COUNTIF($O$7:$O$154,"=Y")</f>
        <v>7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COUNTA($O$7:$O$154)-O2</f>
        <v>21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- 2017-12-23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43092.894502314812</v>
      </c>
      <c r="B7" s="30" t="s">
        <v>669</v>
      </c>
      <c r="C7" s="30" t="s">
        <v>684</v>
      </c>
      <c r="D7" s="30" t="s">
        <v>49</v>
      </c>
      <c r="E7" s="30" t="s">
        <v>183</v>
      </c>
      <c r="F7" s="42">
        <v>0</v>
      </c>
      <c r="G7" s="42">
        <v>213</v>
      </c>
      <c r="H7" s="42">
        <v>31036</v>
      </c>
      <c r="I7" s="42">
        <v>30833</v>
      </c>
      <c r="J7" s="30" t="s">
        <v>184</v>
      </c>
      <c r="K7" s="42">
        <v>30970</v>
      </c>
      <c r="L7" s="131" t="s">
        <v>51</v>
      </c>
      <c r="M7" s="132">
        <f t="shared" ref="M7:M34" si="0">CONVERT((I7-K7)/10000,"mi","ft")*IF(L7="Increasing Mileposts (1)",-1,1)</f>
        <v>-72.335999999999999</v>
      </c>
      <c r="N7" s="133" t="str">
        <f>VLOOKUP(C7,'Trips&amp;Operators'!$C$1:$G$99911,5,FALSE)</f>
        <v>ELBAUM MIKE</v>
      </c>
      <c r="O7" s="175" t="s">
        <v>178</v>
      </c>
      <c r="P7" s="239" t="s">
        <v>518</v>
      </c>
      <c r="Q7" s="30"/>
      <c r="R7" s="81" t="str">
        <f>VLOOKUP(C7,'Train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7" s="84" t="str">
        <f>VLOOKUP(C7,'Train Runs'!$A$13:$AE$10196,22,0)</f>
        <v>https://d0f6bd738d7f1b3e5a7ca70fe4ff75f0.us-east-1.aws.found.io/app/kibana#/discover/Steve-Slow-Train-Analysis-(2080s-and-2083s)?_g=(refreshInterval:(display:Off,pause:!f,section:0,value:0),time:(from:'2017-12-23T19:42:38-0700',mode:absolute,to:'2017-12-23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86" t="str">
        <f t="shared" ref="T7:T3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/stypes="*4025*201712240*" /stext=" 04:.+((SYSTEM_STATE.+slice.+state.+changed )|(ment ac)|(multiple cpu faults)|(system.+state.+changed )|(\[timeout)|(PRM\|1\|D)|(kpr)|(kdp)|(train st.+moving)|(\|lc)|(penalty))"</v>
      </c>
      <c r="U7" s="9" t="str">
        <f t="shared" ref="U7:U34" si="2">MID(B7,13,4)</f>
        <v>4025</v>
      </c>
      <c r="V7" s="31">
        <f t="shared" ref="V7:V34" si="3">A7-utc_offset/24</f>
        <v>43093.186168981476</v>
      </c>
      <c r="W7" s="45" t="str">
        <f t="shared" ref="W7:W34" si="4">DetSubdiv(C7)</f>
        <v>EC</v>
      </c>
      <c r="X7" s="22">
        <f t="shared" ref="X7:X34" si="5">VALUE(LEFT(C7,LEN(C7)-3))</f>
        <v>226</v>
      </c>
      <c r="Y7" s="96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Arrival","project_id":79,"tracker_id":40,"status_id":1,"priority_id":2,"assigned_to_id":338,"start_date":"2017-12-23","description":"","custom_fields":[{"id":1,"name":"Subdivision","value":"EC"},{"id":4,"name":"Milepost","value":"3.097"},{"id":17,"name":"Train ID","value":"226-23"},{"id":16,"name":"Locomotive ID","value":"4025"},{"id":130,"name":"Impact","value":""},{"id":150,"name":"Time of Event (Mountain Time)","value":"21:28:05"},{"id":151,"name":"Denver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/c/Users/stu/AppData/Local/Temp/OnboardLogs/RTDC4025 --include="*4025*201712240*"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4025 --day 2017-12-24</v>
      </c>
    </row>
    <row r="8" spans="1:32" s="1" customFormat="1" x14ac:dyDescent="0.25">
      <c r="A8" s="31">
        <v>43092.623344907406</v>
      </c>
      <c r="B8" s="30" t="s">
        <v>660</v>
      </c>
      <c r="C8" s="30" t="s">
        <v>671</v>
      </c>
      <c r="D8" s="30" t="s">
        <v>49</v>
      </c>
      <c r="E8" s="30" t="s">
        <v>183</v>
      </c>
      <c r="F8" s="42">
        <v>410</v>
      </c>
      <c r="G8" s="42">
        <v>480</v>
      </c>
      <c r="H8" s="42">
        <v>46920</v>
      </c>
      <c r="I8" s="42">
        <v>48264</v>
      </c>
      <c r="J8" s="30" t="s">
        <v>184</v>
      </c>
      <c r="K8" s="42">
        <v>47866</v>
      </c>
      <c r="L8" s="131" t="s">
        <v>50</v>
      </c>
      <c r="M8" s="132">
        <f t="shared" si="0"/>
        <v>-210.14400000000001</v>
      </c>
      <c r="N8" s="133" t="str">
        <f>VLOOKUP(C8,'Trips&amp;Operators'!$C$1:$G$99911,5,FALSE)</f>
        <v>BARTLETT KIANDRA</v>
      </c>
      <c r="O8" s="175" t="s">
        <v>178</v>
      </c>
      <c r="P8" s="239" t="s">
        <v>518</v>
      </c>
      <c r="Q8" s="30"/>
      <c r="R8" s="81" t="str">
        <f>VLOOKUP(C8,'Train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8" s="84" t="str">
        <f>VLOOKUP(C8,'Train Runs'!$A$13:$AE$10196,22,0)</f>
        <v>https://d0f6bd738d7f1b3e5a7ca70fe4ff75f0.us-east-1.aws.found.io/app/kibana#/discover/Steve-Slow-Train-Analysis-(2080s-and-2083s)?_g=(refreshInterval:(display:Off,pause:!f,section:0,value:0),time:(from:'2017-12-23T13:39:07-0700',mode:absolute,to:'2017-12-23T16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86" t="str">
        <f t="shared" si="1"/>
        <v>"C:\Program Files (x86)\AstroGrep\AstroGrep.exe" /e /r /s /spath="%USERPROFILE%\AppData\Local\Temp\OnboardLogs" /stypes="*4026*201712232*"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4026</v>
      </c>
      <c r="V8" s="31">
        <f t="shared" si="3"/>
        <v>43092.91501157407</v>
      </c>
      <c r="W8" s="45" t="str">
        <f t="shared" si="4"/>
        <v>EC</v>
      </c>
      <c r="X8" s="228">
        <f t="shared" si="5"/>
        <v>189</v>
      </c>
      <c r="Y8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Arrival","project_id":79,"tracker_id":40,"status_id":1,"priority_id":2,"assigned_to_id":338,"start_date":"2017-12-23","description":"","custom_fields":[{"id":1,"name":"Subdivision","value":"EC"},{"id":4,"name":"Milepost","value":"4.7866"},{"id":17,"name":"Train ID","value":"189-23"},{"id":16,"name":"Locomotive ID","value":"4026"},{"id":130,"name":"Impact","value":""},{"id":150,"name":"Time of Event (Mountain Time)","value":"14:57:37"},{"id":151,"name":"Denver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/c/Users/stu/AppData/Local/Temp/OnboardLogs/RTDC4026 --include="*4026*201712232*"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"%USERPROFILE%\AppData\Local\Temp\OnboardLogs"\RTDC4026\*4026*201712232* &gt;&gt; 2017-12-23-SliceDisagreementCheck.txt</v>
      </c>
      <c r="AE8" s="144" t="str">
        <f t="shared" ref="AE8:AE34" si="9">"start /low /b "&amp;dls3logs&amp;" --loco "&amp;U8&amp;" --day "&amp;TEXT(V8,"YYYY-MM-DD")</f>
        <v>start /low /b %USERPROFILE%\Documents\GitHub\eaglep3\Utilities\DownloadLogsFromS3.py --loco 4026 --day 2017-12-23</v>
      </c>
    </row>
    <row r="9" spans="1:32" s="1" customFormat="1" x14ac:dyDescent="0.25">
      <c r="A9" s="31">
        <v>43092.778043981481</v>
      </c>
      <c r="B9" s="30" t="s">
        <v>676</v>
      </c>
      <c r="C9" s="30" t="s">
        <v>677</v>
      </c>
      <c r="D9" s="30" t="s">
        <v>49</v>
      </c>
      <c r="E9" s="30" t="s">
        <v>183</v>
      </c>
      <c r="F9" s="42">
        <v>0</v>
      </c>
      <c r="G9" s="42">
        <v>539</v>
      </c>
      <c r="H9" s="42">
        <v>48842</v>
      </c>
      <c r="I9" s="42">
        <v>46644</v>
      </c>
      <c r="J9" s="30" t="s">
        <v>184</v>
      </c>
      <c r="K9" s="42">
        <v>48048</v>
      </c>
      <c r="L9" s="131" t="s">
        <v>51</v>
      </c>
      <c r="M9" s="132">
        <f t="shared" si="0"/>
        <v>-741.31200000000001</v>
      </c>
      <c r="N9" s="133" t="str">
        <f>VLOOKUP(C9,'Trips&amp;Operators'!$C$1:$G$99911,5,FALSE)</f>
        <v>BADERTSCHER DIANE</v>
      </c>
      <c r="O9" s="175" t="s">
        <v>178</v>
      </c>
      <c r="P9" s="239" t="s">
        <v>518</v>
      </c>
      <c r="Q9" s="30"/>
      <c r="R9" s="81" t="str">
        <f>VLOOKUP(C9,'Train Runs'!$A$13:$AE$10196,31,0)</f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S9" s="84" t="str">
        <f>VLOOKUP(C9,'Train Runs'!$A$13:$AE$10196,22,0)</f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/stypes="*4001*201712240*"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43093.069710648146</v>
      </c>
      <c r="W9" s="45" t="str">
        <f t="shared" si="4"/>
        <v>EC</v>
      </c>
      <c r="X9" s="228">
        <f t="shared" si="5"/>
        <v>210</v>
      </c>
      <c r="Y9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Arrival","project_id":79,"tracker_id":40,"status_id":1,"priority_id":2,"assigned_to_id":338,"start_date":"2017-12-23","description":"","custom_fields":[{"id":1,"name":"Subdivision","value":"EC"},{"id":4,"name":"Milepost","value":"4.8048"},{"id":17,"name":"Train ID","value":"210-23"},{"id":16,"name":"Locomotive ID","value":"4001"},{"id":130,"name":"Impact","value":""},{"id":150,"name":"Time of Event (Mountain Time)","value":"18:40:23"},{"id":151,"name":"Denver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/c/Users/stu/AppData/Local/Temp/OnboardLogs/RTDC4001 --include="*4001*201712240*"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"%USERPROFILE%\AppData\Local\Temp\OnboardLogs"\RTDC4001\*4001*201712240* &gt;&gt; 2017-12-23-SliceDisagreementCheck.txt</v>
      </c>
      <c r="AE9" s="144" t="str">
        <f t="shared" si="9"/>
        <v>start /low /b %USERPROFILE%\Documents\GitHub\eaglep3\Utilities\DownloadLogsFromS3.py --loco 4001 --day 2017-12-24</v>
      </c>
    </row>
    <row r="10" spans="1:32" x14ac:dyDescent="0.25">
      <c r="A10" s="31">
        <v>43092.970393518517</v>
      </c>
      <c r="B10" s="30" t="s">
        <v>669</v>
      </c>
      <c r="C10" s="30" t="s">
        <v>688</v>
      </c>
      <c r="D10" s="30" t="s">
        <v>49</v>
      </c>
      <c r="E10" s="30" t="s">
        <v>183</v>
      </c>
      <c r="F10" s="42">
        <v>40</v>
      </c>
      <c r="G10" s="42">
        <v>91</v>
      </c>
      <c r="H10" s="42">
        <v>104127</v>
      </c>
      <c r="I10" s="42">
        <v>103985</v>
      </c>
      <c r="J10" s="30" t="s">
        <v>184</v>
      </c>
      <c r="K10" s="42">
        <v>103800</v>
      </c>
      <c r="L10" s="131" t="s">
        <v>51</v>
      </c>
      <c r="M10" s="132">
        <f t="shared" si="0"/>
        <v>97.68</v>
      </c>
      <c r="N10" s="133" t="str">
        <f>VLOOKUP(C10,'Trips&amp;Operators'!$C$1:$G$99911,5,FALSE)</f>
        <v>ELBAUM MIKE</v>
      </c>
      <c r="O10" s="175" t="s">
        <v>178</v>
      </c>
      <c r="P10" s="239" t="s">
        <v>518</v>
      </c>
      <c r="Q10" s="30"/>
      <c r="R10" s="81" t="str">
        <f>VLOOKUP(C10,'Train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10" s="84" t="str">
        <f>VLOOKUP(C10,'Train Runs'!$A$13:$AE$10196,22,0)</f>
        <v>https://d0f6bd738d7f1b3e5a7ca70fe4ff75f0.us-east-1.aws.found.io/app/kibana#/discover/Steve-Slow-Train-Analysis-(2080s-and-2083s)?_g=(refreshInterval:(display:Off,pause:!f,section:0,value:0),time:(from:'2017-12-23T21:40:05-0700',mode:absolute,to:'2017-12-24T00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 t="shared" si="1"/>
        <v>"C:\Program Files (x86)\AstroGrep\AstroGrep.exe" /e /r /s /spath="%USERPROFILE%\AppData\Local\Temp\OnboardLogs" /stypes="*4025*201712240*"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4025</v>
      </c>
      <c r="V10" s="31">
        <f t="shared" si="3"/>
        <v>43093.262060185181</v>
      </c>
      <c r="W10" s="45" t="str">
        <f t="shared" si="4"/>
        <v>EC</v>
      </c>
      <c r="X10" s="228">
        <f t="shared" si="5"/>
        <v>234</v>
      </c>
      <c r="Y10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Arrival","project_id":79,"tracker_id":40,"status_id":1,"priority_id":2,"assigned_to_id":338,"start_date":"2017-12-23","description":"","custom_fields":[{"id":1,"name":"Subdivision","value":"EC"},{"id":4,"name":"Milepost","value":"10.38"},{"id":17,"name":"Train ID","value":"234-23"},{"id":16,"name":"Locomotive ID","value":"4025"},{"id":130,"name":"Impact","value":""},{"id":150,"name":"Time of Event (Mountain Time)","value":"23:17:22"},{"id":151,"name":"Denver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/c/Users/stu/AppData/Local/Temp/OnboardLogs/RTDC4025 --include="*4025*201712240*"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10" s="144" t="str">
        <f t="shared" si="9"/>
        <v>start /low /b %USERPROFILE%\Documents\GitHub\eaglep3\Utilities\DownloadLogsFromS3.py --loco 4025 --day 2017-12-24</v>
      </c>
      <c r="AF10" s="1"/>
    </row>
    <row r="11" spans="1:32" x14ac:dyDescent="0.25">
      <c r="A11" s="31">
        <v>43092.236041666663</v>
      </c>
      <c r="B11" s="30" t="s">
        <v>449</v>
      </c>
      <c r="C11" s="30" t="s">
        <v>655</v>
      </c>
      <c r="D11" s="30" t="s">
        <v>49</v>
      </c>
      <c r="E11" s="30" t="s">
        <v>183</v>
      </c>
      <c r="F11" s="42">
        <v>610</v>
      </c>
      <c r="G11" s="42">
        <v>755</v>
      </c>
      <c r="H11" s="42">
        <v>107282</v>
      </c>
      <c r="I11" s="42">
        <v>0</v>
      </c>
      <c r="J11" s="30" t="s">
        <v>184</v>
      </c>
      <c r="K11" s="42">
        <v>108954</v>
      </c>
      <c r="L11" s="131" t="s">
        <v>50</v>
      </c>
      <c r="M11" s="132">
        <f t="shared" si="0"/>
        <v>57527.712</v>
      </c>
      <c r="N11" s="133" t="str">
        <f>VLOOKUP(C11,'Trips&amp;Operators'!$C$1:$G$99911,5,FALSE)</f>
        <v>MACDONALD THOMAS</v>
      </c>
      <c r="O11" s="175" t="s">
        <v>178</v>
      </c>
      <c r="P11" s="239" t="s">
        <v>518</v>
      </c>
      <c r="Q11" s="30"/>
      <c r="R11" s="81" t="str">
        <f>VLOOKUP(C11,'Train Runs'!$A$13:$AE$10196,31,0)</f>
        <v>aws s3 cp s3://rtdc.mdm.uploadarchive.raw/RTDC4052/ "%USERPROFILE%\AppData\Local\Temp\OnboardLogs"\RTDC4052\2017-12-23 --exclude "*" --recursive --include "*20171223*" &amp; "%USERPROFILE%\Documents\GitHub\mrs-test-scripts\Headless Mode &amp; Sideloading\WalkAndUnGZ.bat" "%USERPROFILE%\AppData\Local\Temp\OnboardLogs"\RTDC4052\2017-12-23 &amp; aws s3 cp s3://rtdc.mdm.uploadarchive.raw/RTDC4052/ "%USERPROFILE%\AppData\Local\Temp\OnboardLogs"\RTDC4052\2017-12-24 --exclude "*" --recursive --include "*20171224*" &amp; "%USERPROFILE%\Documents\GitHub\mrs-test-scripts\Headless Mode &amp; Sideloading\WalkAndUnGZ.bat" "%USERPROFILE%\AppData\Local\Temp\OnboardLogs"\RTDC4052\2017-12-24</v>
      </c>
      <c r="S11" s="84" t="str">
        <f>VLOOKUP(C11,'Train Runs'!$A$13:$AE$10196,22,0)</f>
        <v>https://d0f6bd738d7f1b3e5a7ca70fe4ff75f0.us-east-1.aws.found.io/app/kibana#/discover/Steve-Slow-Train-Analysis-(2080s-and-2083s)?_g=(refreshInterval:(display:Off,pause:!f,section:0,value:0),time:(from:'2017-12-23T04:08:39-0700',mode:absolute,to:'2017-12-23T07:01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1" s="86" t="str">
        <f t="shared" si="1"/>
        <v>"C:\Program Files (x86)\AstroGrep\AstroGrep.exe" /e /r /s /spath="%USERPROFILE%\AppData\Local\Temp\OnboardLogs" /stypes="*4052*201712231*"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4052</v>
      </c>
      <c r="V11" s="31">
        <f t="shared" si="3"/>
        <v>43092.527708333328</v>
      </c>
      <c r="W11" s="45" t="str">
        <f t="shared" si="4"/>
        <v>EC</v>
      </c>
      <c r="X11" s="228">
        <f t="shared" si="5"/>
        <v>113</v>
      </c>
      <c r="Y11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Arrival","project_id":79,"tracker_id":40,"status_id":1,"priority_id":2,"assigned_to_id":338,"start_date":"2017-12-23","description":"","custom_fields":[{"id":1,"name":"Subdivision","value":"EC"},{"id":4,"name":"Milepost","value":"10.8954"},{"id":17,"name":"Train ID","value":"113-23"},{"id":16,"name":"Locomotive ID","value":"4052"},{"id":130,"name":"Impact","value":""},{"id":150,"name":"Time of Event (Mountain Time)","value":"05:39:54"},{"id":151,"name":"Denver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/c/Users/stu/AppData/Local/Temp/OnboardLogs/RTDC4052 --include="*4052*201712231*"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"%USERPROFILE%\AppData\Local\Temp\OnboardLogs"\RTDC4052\*4052*201712231* &gt;&gt; 2017-12-23-SliceDisagreementCheck.txt</v>
      </c>
      <c r="AE11" s="144" t="str">
        <f t="shared" si="9"/>
        <v>start /low /b %USERPROFILE%\Documents\GitHub\eaglep3\Utilities\DownloadLogsFromS3.py --loco 4052 --day 2017-12-23</v>
      </c>
      <c r="AF11" s="1"/>
    </row>
    <row r="12" spans="1:32" x14ac:dyDescent="0.25">
      <c r="A12" s="31">
        <v>43092.574687499997</v>
      </c>
      <c r="B12" s="30" t="s">
        <v>475</v>
      </c>
      <c r="C12" s="30" t="s">
        <v>668</v>
      </c>
      <c r="D12" s="30" t="s">
        <v>49</v>
      </c>
      <c r="E12" s="30" t="s">
        <v>183</v>
      </c>
      <c r="F12" s="42">
        <v>0</v>
      </c>
      <c r="G12" s="42">
        <v>429</v>
      </c>
      <c r="H12" s="42">
        <v>109577</v>
      </c>
      <c r="I12" s="42">
        <v>108476</v>
      </c>
      <c r="J12" s="30" t="s">
        <v>184</v>
      </c>
      <c r="K12" s="42">
        <v>109135</v>
      </c>
      <c r="L12" s="131" t="s">
        <v>51</v>
      </c>
      <c r="M12" s="132">
        <f t="shared" si="0"/>
        <v>-347.952</v>
      </c>
      <c r="N12" s="133" t="str">
        <f>VLOOKUP(C12,'Trips&amp;Operators'!$C$1:$G$99911,5,FALSE)</f>
        <v>ROMERO CHAD</v>
      </c>
      <c r="O12" s="175" t="s">
        <v>178</v>
      </c>
      <c r="P12" s="239" t="s">
        <v>518</v>
      </c>
      <c r="Q12" s="30"/>
      <c r="R12" s="81" t="str">
        <f>VLOOKUP(C12,'Train Runs'!$A$13:$AE$10196,31,0)</f>
        <v>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 &amp; aws s3 cp s3://rtdc.mdm.uploadarchive.raw/RTDC4015/ "%USERPROFILE%\AppData\Local\Temp\OnboardLogs"\RTDC4015\2017-12-24 --exclude "*" --recursive --include "*20171224*" &amp; "%USERPROFILE%\Documents\GitHub\mrs-test-scripts\Headless Mode &amp; Sideloading\WalkAndUnGZ.bat" "%USERPROFILE%\AppData\Local\Temp\OnboardLogs"\RTDC4015\2017-12-24</v>
      </c>
      <c r="S12" s="84" t="str">
        <f>VLOOKUP(C12,'Train Runs'!$A$13:$AE$10196,22,0)</f>
        <v>https://d0f6bd738d7f1b3e5a7ca70fe4ff75f0.us-east-1.aws.found.io/app/kibana#/discover/Steve-Slow-Train-Analysis-(2080s-and-2083s)?_g=(refreshInterval:(display:Off,pause:!f,section:0,value:0),time:(from:'2017-12-23T12:07:33-0700',mode:absolute,to:'2017-12-23T15:17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86" t="str">
        <f t="shared" si="1"/>
        <v>"C:\Program Files (x86)\AstroGrep\AstroGrep.exe" /e /r /s /spath="%USERPROFILE%\AppData\Local\Temp\OnboardLogs" /stypes="*4015*201712232*"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4015</v>
      </c>
      <c r="V12" s="31">
        <f t="shared" si="3"/>
        <v>43092.866354166661</v>
      </c>
      <c r="W12" s="45" t="str">
        <f t="shared" si="4"/>
        <v>EC</v>
      </c>
      <c r="X12" s="228">
        <f t="shared" si="5"/>
        <v>172</v>
      </c>
      <c r="Y12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Arrival","project_id":79,"tracker_id":40,"status_id":1,"priority_id":2,"assigned_to_id":338,"start_date":"2017-12-23","description":"","custom_fields":[{"id":1,"name":"Subdivision","value":"EC"},{"id":4,"name":"Milepost","value":"10.9135"},{"id":17,"name":"Train ID","value":"172-23"},{"id":16,"name":"Locomotive ID","value":"4015"},{"id":130,"name":"Impact","value":""},{"id":150,"name":"Time of Event (Mountain Time)","value":"13:47:33"},{"id":151,"name":"Denver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/c/Users/stu/AppData/Local/Temp/OnboardLogs/RTDC4015 --include="*4015*201712232*"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"%USERPROFILE%\AppData\Local\Temp\OnboardLogs"\RTDC4015\*4015*201712232* &gt;&gt; 2017-12-23-SliceDisagreementCheck.txt</v>
      </c>
      <c r="AE12" s="144" t="str">
        <f t="shared" si="9"/>
        <v>start /low /b %USERPROFILE%\Documents\GitHub\eaglep3\Utilities\DownloadLogsFromS3.py --loco 4015 --day 2017-12-23</v>
      </c>
      <c r="AF12" s="1"/>
    </row>
    <row r="13" spans="1:32" x14ac:dyDescent="0.25">
      <c r="A13" s="31">
        <v>43092.665706018517</v>
      </c>
      <c r="B13" s="30" t="s">
        <v>669</v>
      </c>
      <c r="C13" s="30" t="s">
        <v>673</v>
      </c>
      <c r="D13" s="30" t="s">
        <v>49</v>
      </c>
      <c r="E13" s="30" t="s">
        <v>183</v>
      </c>
      <c r="F13" s="42">
        <v>350</v>
      </c>
      <c r="G13" s="42">
        <v>400</v>
      </c>
      <c r="H13" s="42">
        <v>110173</v>
      </c>
      <c r="I13" s="42">
        <v>109063</v>
      </c>
      <c r="J13" s="30" t="s">
        <v>184</v>
      </c>
      <c r="K13" s="42">
        <v>109135</v>
      </c>
      <c r="L13" s="131" t="s">
        <v>51</v>
      </c>
      <c r="M13" s="132">
        <f t="shared" si="0"/>
        <v>-38.015999999999998</v>
      </c>
      <c r="N13" s="133" t="str">
        <f>VLOOKUP(C13,'Trips&amp;Operators'!$C$1:$G$99911,5,FALSE)</f>
        <v>BARTLETT KIANDRA</v>
      </c>
      <c r="O13" s="175" t="s">
        <v>178</v>
      </c>
      <c r="P13" s="239" t="s">
        <v>518</v>
      </c>
      <c r="Q13" s="30"/>
      <c r="R13" s="81" t="str">
        <f>VLOOKUP(C13,'Train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13" s="84" t="str">
        <f>VLOOKUP(C13,'Train Runs'!$A$13:$AE$10196,22,0)</f>
        <v>https://d0f6bd738d7f1b3e5a7ca70fe4ff75f0.us-east-1.aws.found.io/app/kibana#/discover/Steve-Slow-Train-Analysis-(2080s-and-2083s)?_g=(refreshInterval:(display:Off,pause:!f,section:0,value:0),time:(from:'2017-12-23T14:34:41-0700',mode:absolute,to:'2017-12-23T17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6" t="str">
        <f t="shared" si="1"/>
        <v>"C:\Program Files (x86)\AstroGrep\AstroGrep.exe" /e /r /s /spath="%USERPROFILE%\AppData\Local\Temp\OnboardLogs" /stypes="*4025*201712232*"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43092.957372685181</v>
      </c>
      <c r="W13" s="45" t="str">
        <f t="shared" si="4"/>
        <v>EC</v>
      </c>
      <c r="X13" s="228">
        <f t="shared" si="5"/>
        <v>190</v>
      </c>
      <c r="Y13" s="238" t="str">
        <f t="shared" si="6"/>
        <v>echo {"issue":{"subject":"Early Arrival","project_id":79,"tracker_id":40,"status_id":1,"priority_id":2,"assigned_to_id":338,"start_date":"2017-12-23","description":"","custom_fields":[{"id":1,"name":"Subdivision","value":"EC"},{"id":4,"name":"Milepost","value":"10.9135"},{"id":17,"name":"Train ID","value":"190-23"},{"id":16,"name":"Locomotive ID","value":"4025"},{"id":130,"name":"Impact","value":""},{"id":150,"name":"Time of Event (Mountain Time)","value":"15:58:37"},{"id":151,"name":"Denver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/c/Users/stu/AppData/Local/Temp/OnboardLogs/RTDC4025 --include="*4025*201712232*"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"%USERPROFILE%\AppData\Local\Temp\OnboardLogs"\RTDC4025\*4025*201712232* &gt;&gt; 2017-12-23-SliceDisagreementCheck.txt</v>
      </c>
      <c r="AE13" s="144" t="str">
        <f t="shared" si="9"/>
        <v>start /low /b %USERPROFILE%\Documents\GitHub\eaglep3\Utilities\DownloadLogsFromS3.py --loco 4025 --day 2017-12-23</v>
      </c>
      <c r="AF13" s="1"/>
    </row>
    <row r="14" spans="1:32" x14ac:dyDescent="0.25">
      <c r="A14" s="31">
        <v>43093.052743055552</v>
      </c>
      <c r="B14" s="30" t="s">
        <v>669</v>
      </c>
      <c r="C14" s="30" t="s">
        <v>689</v>
      </c>
      <c r="D14" s="30" t="s">
        <v>49</v>
      </c>
      <c r="E14" s="30" t="s">
        <v>183</v>
      </c>
      <c r="F14" s="42">
        <v>360</v>
      </c>
      <c r="G14" s="42">
        <v>426</v>
      </c>
      <c r="H14" s="42">
        <v>110059</v>
      </c>
      <c r="I14" s="42">
        <v>108590</v>
      </c>
      <c r="J14" s="30" t="s">
        <v>184</v>
      </c>
      <c r="K14" s="42">
        <v>109135</v>
      </c>
      <c r="L14" s="131" t="s">
        <v>51</v>
      </c>
      <c r="M14" s="132">
        <f t="shared" si="0"/>
        <v>-287.76</v>
      </c>
      <c r="N14" s="133" t="str">
        <f>VLOOKUP(C14,'Trips&amp;Operators'!$C$1:$G$99911,5,FALSE)</f>
        <v>ELBAUM MIKE</v>
      </c>
      <c r="O14" s="175" t="s">
        <v>178</v>
      </c>
      <c r="P14" s="239" t="s">
        <v>518</v>
      </c>
      <c r="Q14" s="30"/>
      <c r="R14" s="81" t="str">
        <f>VLOOKUP(C14,'Train Runs'!$A$13:$AE$10196,31,0)</f>
        <v>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 &amp; 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</v>
      </c>
      <c r="S14" s="84" t="str">
        <f>VLOOKUP(C14,'Train Runs'!$A$13:$AE$10196,22,0)</f>
        <v>https://d0f6bd738d7f1b3e5a7ca70fe4ff75f0.us-east-1.aws.found.io/app/kibana#/discover/Steve-Slow-Train-Analysis-(2080s-and-2083s)?_g=(refreshInterval:(display:Off,pause:!f,section:0,value:0),time:(from:'2017-12-23T23:37:57-0700',mode:absolute,to:'2017-12-24T02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4" s="86" t="str">
        <f t="shared" si="1"/>
        <v>"C:\Program Files (x86)\AstroGrep\AstroGrep.exe" /e /r /s /spath="%USERPROFILE%\AppData\Local\Temp\OnboardLogs" /stypes="*4025*201712240*" /stext=" 08:.+((SYSTEM_STATE.+slice.+state.+changed )|(ment ac)|(multiple cpu faults)|(system.+state.+changed )|(\[timeout)|(PRM\|1\|D)|(kpr)|(kdp)|(train st.+moving)|(\|lc)|(penalty))"</v>
      </c>
      <c r="U14" s="9" t="str">
        <f t="shared" si="2"/>
        <v>4025</v>
      </c>
      <c r="V14" s="31">
        <f t="shared" si="3"/>
        <v>43093.344409722216</v>
      </c>
      <c r="W14" s="45" t="str">
        <f t="shared" si="4"/>
        <v>EC</v>
      </c>
      <c r="X14" s="228">
        <f t="shared" si="5"/>
        <v>242</v>
      </c>
      <c r="Y14" s="238" t="str">
        <f t="shared" si="6"/>
        <v>echo {"issue":{"subject":"Early Arrival","project_id":79,"tracker_id":40,"status_id":1,"priority_id":2,"assigned_to_id":338,"start_date":"2017-12-24","description":"","custom_fields":[{"id":1,"name":"Subdivision","value":"EC"},{"id":4,"name":"Milepost","value":"10.9135"},{"id":17,"name":"Train ID","value":"242-23"},{"id":16,"name":"Locomotive ID","value":"4025"},{"id":130,"name":"Impact","value":""},{"id":150,"name":"Time of Event (Mountain Time)","value":"01:15:57"},{"id":151,"name":"Denver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/c/Users/stu/AppData/Local/Temp/OnboardLogs/RTDC4025 --include="*4025*201712240*"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14" s="144" t="str">
        <f t="shared" si="9"/>
        <v>start /low /b %USERPROFILE%\Documents\GitHub\eaglep3\Utilities\DownloadLogsFromS3.py --loco 4025 --day 2017-12-24</v>
      </c>
      <c r="AF14" s="1"/>
    </row>
    <row r="15" spans="1:32" x14ac:dyDescent="0.25">
      <c r="A15" s="31">
        <v>43092.769629629627</v>
      </c>
      <c r="B15" s="30" t="s">
        <v>676</v>
      </c>
      <c r="C15" s="30" t="s">
        <v>677</v>
      </c>
      <c r="D15" s="30" t="s">
        <v>49</v>
      </c>
      <c r="E15" s="30" t="s">
        <v>190</v>
      </c>
      <c r="F15" s="42">
        <v>400</v>
      </c>
      <c r="G15" s="42">
        <v>482</v>
      </c>
      <c r="H15" s="42">
        <v>120810</v>
      </c>
      <c r="I15" s="42">
        <v>119164</v>
      </c>
      <c r="J15" s="30" t="s">
        <v>191</v>
      </c>
      <c r="K15" s="42">
        <v>119716</v>
      </c>
      <c r="L15" s="131" t="s">
        <v>51</v>
      </c>
      <c r="M15" s="132">
        <f t="shared" si="0"/>
        <v>-291.45600000000002</v>
      </c>
      <c r="N15" s="133" t="str">
        <f>VLOOKUP(C15,'Trips&amp;Operators'!$C$1:$G$99911,5,FALSE)</f>
        <v>BADERTSCHER DIANE</v>
      </c>
      <c r="O15" s="175" t="s">
        <v>178</v>
      </c>
      <c r="P15" s="239"/>
      <c r="Q15" s="30"/>
      <c r="R15" s="81" t="str">
        <f>VLOOKUP(C15,'Train Runs'!$A$13:$AE$10196,31,0)</f>
        <v>aws s3 cp s3://rtdc.mdm.uploadarchive.raw/RTDC4001/ "%USERPROFILE%\AppData\Local\Temp\OnboardLogs"\RTDC4001\2017-12-23 --exclude "*" --recursive --include "*20171223*" &amp; "%USERPROFILE%\Documents\GitHub\mrs-test-scripts\Headless Mode &amp; Sideloading\WalkAndUnGZ.bat" "%USERPROFILE%\AppData\Local\Temp\OnboardLogs"\RTDC4001\2017-12-23 &amp; aws s3 cp s3://rtdc.mdm.uploadarchive.raw/RTDC4001/ "%USERPROFILE%\AppData\Local\Temp\OnboardLogs"\RTDC4001\2017-12-24 --exclude "*" --recursive --include "*20171224*" &amp; "%USERPROFILE%\Documents\GitHub\mrs-test-scripts\Headless Mode &amp; Sideloading\WalkAndUnGZ.bat" "%USERPROFILE%\AppData\Local\Temp\OnboardLogs"\RTDC4001\2017-12-24</v>
      </c>
      <c r="S15" s="84" t="str">
        <f>VLOOKUP(C15,'Train Runs'!$A$13:$AE$10196,22,0)</f>
        <v>https://d0f6bd738d7f1b3e5a7ca70fe4ff75f0.us-east-1.aws.found.io/app/kibana#/discover/Steve-Slow-Train-Analysis-(2080s-and-2083s)?_g=(refreshInterval:(display:Off,pause:!f,section:0,value:0),time:(from:'2017-12-23T17:05:19-0700',mode:absolute,to:'2017-12-23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86" t="str">
        <f t="shared" si="1"/>
        <v>"C:\Program Files (x86)\AstroGrep\AstroGrep.exe" /e /r /s /spath="%USERPROFILE%\AppData\Local\Temp\OnboardLogs" /stypes="*4001*201712240*"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4001</v>
      </c>
      <c r="V15" s="31">
        <f t="shared" si="3"/>
        <v>43093.061296296291</v>
      </c>
      <c r="W15" s="45" t="str">
        <f t="shared" si="4"/>
        <v>EC</v>
      </c>
      <c r="X15" s="228">
        <f t="shared" si="5"/>
        <v>210</v>
      </c>
      <c r="Y15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{"issue":{"subject":"","project_id":79,"tracker_id":40,"status_id":1,"priority_id":2,"assigned_to_id":338,"start_date":"2017-12-23","description":"","custom_fields":[{"id":1,"name":"Subdivision","value":"EC"},{"id":4,"name":"Milepost","value":"11.9716"},{"id":17,"name":"Train ID","value":"210-23"},{"id":16,"name":"Locomotive ID","value":"4001"},{"id":130,"name":"Impact","value":""},{"id":150,"name":"Time of Event (Mountain Time)","value":"18:28:16"},{"id":151,"name":"Denver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/c/Users/stu/AppData/Local/Temp/OnboardLogs/RTDC4001 --include="*4001*201712240*"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"%USERPROFILE%\AppData\Local\Temp\OnboardLogs"\RTDC4001\*4001*201712240* &gt;&gt; 2017-12-23-SliceDisagreementCheck.txt</v>
      </c>
      <c r="AE15" s="144" t="str">
        <f t="shared" si="9"/>
        <v>start /low /b %USERPROFILE%\Documents\GitHub\eaglep3\Utilities\DownloadLogsFromS3.py --loco 4001 --day 2017-12-24</v>
      </c>
      <c r="AF15" s="1"/>
    </row>
    <row r="16" spans="1:32" x14ac:dyDescent="0.25">
      <c r="A16" s="31">
        <v>43092.947060185186</v>
      </c>
      <c r="B16" s="30" t="s">
        <v>584</v>
      </c>
      <c r="C16" s="30" t="s">
        <v>686</v>
      </c>
      <c r="D16" s="30" t="s">
        <v>49</v>
      </c>
      <c r="E16" s="30" t="s">
        <v>190</v>
      </c>
      <c r="F16" s="42">
        <v>400</v>
      </c>
      <c r="G16" s="42">
        <v>563</v>
      </c>
      <c r="H16" s="42">
        <v>122277</v>
      </c>
      <c r="I16" s="42">
        <v>119473</v>
      </c>
      <c r="J16" s="30" t="s">
        <v>191</v>
      </c>
      <c r="K16" s="42">
        <v>119716</v>
      </c>
      <c r="L16" s="131" t="s">
        <v>51</v>
      </c>
      <c r="M16" s="132">
        <f t="shared" si="0"/>
        <v>-128.304</v>
      </c>
      <c r="N16" s="133" t="str">
        <f>VLOOKUP(C16,'Trips&amp;Operators'!$C$1:$G$99911,5,FALSE)</f>
        <v>FORTUNATO FRANK</v>
      </c>
      <c r="O16" s="175" t="s">
        <v>178</v>
      </c>
      <c r="P16" s="239"/>
      <c r="Q16" s="30"/>
      <c r="R16" s="81" t="str">
        <f>VLOOKUP(C16,'Train Runs'!$A$13:$AE$10196,31,0)</f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S16" s="84" t="str">
        <f>VLOOKUP(C16,'Train Runs'!$A$13:$AE$10196,22,0)</f>
        <v>https://d0f6bd738d7f1b3e5a7ca70fe4ff75f0.us-east-1.aws.found.io/app/kibana#/discover/Steve-Slow-Train-Analysis-(2080s-and-2083s)?_g=(refreshInterval:(display:Off,pause:!f,section:0,value:0),time:(from:'2017-12-23T21:16:06-0700',mode:absolute,to:'2017-12-24T00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6" t="str">
        <f t="shared" si="1"/>
        <v>"C:\Program Files (x86)\AstroGrep\AstroGrep.exe" /e /r /s /spath="%USERPROFILE%\AppData\Local\Temp\OnboardLogs" /stypes="*4045*201712240*" /stext=" 05:.+((SYSTEM_STATE.+slice.+state.+changed )|(ment ac)|(multiple cpu faults)|(system.+state.+changed )|(\[timeout)|(PRM\|1\|D)|(kpr)|(kdp)|(train st.+moving)|(\|lc)|(penalty))"</v>
      </c>
      <c r="U16" s="9" t="str">
        <f t="shared" si="2"/>
        <v>4045</v>
      </c>
      <c r="V16" s="31">
        <f t="shared" si="3"/>
        <v>43093.238726851851</v>
      </c>
      <c r="W16" s="45" t="str">
        <f t="shared" si="4"/>
        <v>EC</v>
      </c>
      <c r="X16" s="228">
        <f t="shared" si="5"/>
        <v>232</v>
      </c>
      <c r="Y16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{"issue":{"subject":"","project_id":79,"tracker_id":40,"status_id":1,"priority_id":2,"assigned_to_id":338,"start_date":"2017-12-23","description":"","custom_fields":[{"id":1,"name":"Subdivision","value":"EC"},{"id":4,"name":"Milepost","value":"11.9716"},{"id":17,"name":"Train ID","value":"232-23"},{"id":16,"name":"Locomotive ID","value":"4045"},{"id":130,"name":"Impact","value":""},{"id":150,"name":"Time of Event (Mountain Time)","value":"22:43:46"},{"id":151,"name":"Denver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/c/Users/stu/AppData/Local/Temp/OnboardLogs/RTDC4045 --include="*4045*201712240*"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"%USERPROFILE%\AppData\Local\Temp\OnboardLogs"\RTDC4045\*4045*201712240* &gt;&gt; 2017-12-23-SliceDisagreementCheck.txt</v>
      </c>
      <c r="AE16" s="144" t="str">
        <f t="shared" si="9"/>
        <v>start /low /b %USERPROFILE%\Documents\GitHub\eaglep3\Utilities\DownloadLogsFromS3.py --loco 4045 --day 2017-12-24</v>
      </c>
      <c r="AF16" s="1"/>
    </row>
    <row r="17" spans="1:32" x14ac:dyDescent="0.25">
      <c r="A17" s="31">
        <v>43092.304803240739</v>
      </c>
      <c r="B17" s="30" t="s">
        <v>658</v>
      </c>
      <c r="C17" s="30" t="s">
        <v>659</v>
      </c>
      <c r="D17" s="30" t="s">
        <v>49</v>
      </c>
      <c r="E17" s="30" t="s">
        <v>190</v>
      </c>
      <c r="F17" s="42">
        <v>550</v>
      </c>
      <c r="G17" s="42">
        <v>601</v>
      </c>
      <c r="H17" s="42">
        <v>221404</v>
      </c>
      <c r="I17" s="42">
        <v>223653</v>
      </c>
      <c r="J17" s="30" t="s">
        <v>191</v>
      </c>
      <c r="K17" s="42">
        <v>222090</v>
      </c>
      <c r="L17" s="131" t="s">
        <v>50</v>
      </c>
      <c r="M17" s="132">
        <f t="shared" si="0"/>
        <v>-825.26400000000001</v>
      </c>
      <c r="N17" s="133" t="str">
        <f>VLOOKUP(C17,'Trips&amp;Operators'!$C$1:$G$99911,5,FALSE)</f>
        <v>THOMPSON LESTER</v>
      </c>
      <c r="O17" s="175" t="s">
        <v>178</v>
      </c>
      <c r="P17" s="239"/>
      <c r="Q17" s="30"/>
      <c r="R17" s="81" t="str">
        <f>VLOOKUP(C17,'Train Runs'!$A$13:$AE$10196,31,0)</f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S17" s="84" t="str">
        <f>VLOOKUP(C17,'Train Runs'!$A$13:$AE$10196,22,0)</f>
        <v>https://d0f6bd738d7f1b3e5a7ca70fe4ff75f0.us-east-1.aws.found.io/app/kibana#/discover/Steve-Slow-Train-Analysis-(2080s-and-2083s)?_g=(refreshInterval:(display:Off,pause:!f,section:0,value:0),time:(from:'2017-12-23T05:42:14-0700',mode:absolute,to:'2017-12-23T08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7" s="86" t="str">
        <f t="shared" si="1"/>
        <v>"C:\Program Files (x86)\AstroGrep\AstroGrep.exe" /e /r /s /spath="%USERPROFILE%\AppData\Local\Temp\OnboardLogs" /stypes="*4002*201712231*"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4002</v>
      </c>
      <c r="V17" s="31">
        <f t="shared" si="3"/>
        <v>43092.596469907403</v>
      </c>
      <c r="W17" s="45" t="str">
        <f t="shared" si="4"/>
        <v>EC</v>
      </c>
      <c r="X17" s="228">
        <f t="shared" si="5"/>
        <v>125</v>
      </c>
      <c r="Y17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{"issue":{"subject":"","project_id":79,"tracker_id":40,"status_id":1,"priority_id":2,"assigned_to_id":338,"start_date":"2017-12-23","description":"","custom_fields":[{"id":1,"name":"Subdivision","value":"EC"},{"id":4,"name":"Milepost","value":"22.209"},{"id":17,"name":"Train ID","value":"125-23"},{"id":16,"name":"Locomotive ID","value":"4002"},{"id":130,"name":"Impact","value":""},{"id":150,"name":"Time of Event (Mountain Time)","value":"07:18:55"},{"id":151,"name":"Denver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/c/Users/stu/AppData/Local/Temp/OnboardLogs/RTDC4002 --include="*4002*201712231*"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"%USERPROFILE%\AppData\Local\Temp\OnboardLogs"\RTDC4002\*4002*201712231* &gt;&gt; 2017-12-23-SliceDisagreementCheck.txt</v>
      </c>
      <c r="AE17" s="144" t="str">
        <f t="shared" si="9"/>
        <v>start /low /b %USERPROFILE%\Documents\GitHub\eaglep3\Utilities\DownloadLogsFromS3.py --loco 4002 --day 2017-12-23</v>
      </c>
      <c r="AF17" s="1"/>
    </row>
    <row r="18" spans="1:32" x14ac:dyDescent="0.25">
      <c r="A18" s="31">
        <v>43092.554178240738</v>
      </c>
      <c r="B18" s="30" t="s">
        <v>660</v>
      </c>
      <c r="C18" s="30" t="s">
        <v>667</v>
      </c>
      <c r="D18" s="30" t="s">
        <v>49</v>
      </c>
      <c r="E18" s="30" t="s">
        <v>190</v>
      </c>
      <c r="F18" s="42">
        <v>150</v>
      </c>
      <c r="G18" s="42">
        <v>388</v>
      </c>
      <c r="H18" s="42">
        <v>229406</v>
      </c>
      <c r="I18" s="42">
        <v>230477</v>
      </c>
      <c r="J18" s="30" t="s">
        <v>191</v>
      </c>
      <c r="K18" s="42">
        <v>232080</v>
      </c>
      <c r="L18" s="131" t="s">
        <v>50</v>
      </c>
      <c r="M18" s="132">
        <f t="shared" si="0"/>
        <v>846.38400000000001</v>
      </c>
      <c r="N18" s="133" t="str">
        <f>VLOOKUP(C18,'Trips&amp;Operators'!$C$1:$G$99911,5,FALSE)</f>
        <v>HOLCOMB KAMDEN</v>
      </c>
      <c r="O18" s="175" t="s">
        <v>178</v>
      </c>
      <c r="P18" s="239"/>
      <c r="Q18" s="30"/>
      <c r="R18" s="81" t="str">
        <f>VLOOKUP(C18,'Train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18" s="84" t="str">
        <f>VLOOKUP(C18,'Train Runs'!$A$13:$AE$10196,22,0)</f>
        <v>https://d0f6bd738d7f1b3e5a7ca70fe4ff75f0.us-east-1.aws.found.io/app/kibana#/discover/Steve-Slow-Train-Analysis-(2080s-and-2083s)?_g=(refreshInterval:(display:Off,pause:!f,section:0,value:0),time:(from:'2017-12-23T11:39:51-0700',mode:absolute,to:'2017-12-23T14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 t="shared" si="1"/>
        <v>"C:\Program Files (x86)\AstroGrep\AstroGrep.exe" /e /r /s /spath="%USERPROFILE%\AppData\Local\Temp\OnboardLogs" /stypes="*4026*201712232*"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4026</v>
      </c>
      <c r="V18" s="31">
        <f t="shared" si="3"/>
        <v>43092.845844907402</v>
      </c>
      <c r="W18" s="45" t="str">
        <f t="shared" si="4"/>
        <v>EC</v>
      </c>
      <c r="X18" s="228">
        <f t="shared" si="5"/>
        <v>173</v>
      </c>
      <c r="Y18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{"issue":{"subject":"","project_id":79,"tracker_id":40,"status_id":1,"priority_id":2,"assigned_to_id":338,"start_date":"2017-12-23","description":"","custom_fields":[{"id":1,"name":"Subdivision","value":"EC"},{"id":4,"name":"Milepost","value":"23.208"},{"id":17,"name":"Train ID","value":"173-23"},{"id":16,"name":"Locomotive ID","value":"4026"},{"id":130,"name":"Impact","value":""},{"id":150,"name":"Time of Event (Mountain Time)","value":"13:18:01"},{"id":151,"name":"Denver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/c/Users/stu/AppData/Local/Temp/OnboardLogs/RTDC4026 --include="*4026*201712232*"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"%USERPROFILE%\AppData\Local\Temp\OnboardLogs"\RTDC4026\*4026*201712232* &gt;&gt; 2017-12-23-SliceDisagreementCheck.txt</v>
      </c>
      <c r="AE18" s="144" t="str">
        <f t="shared" si="9"/>
        <v>start /low /b %USERPROFILE%\Documents\GitHub\eaglep3\Utilities\DownloadLogsFromS3.py --loco 4026 --day 2017-12-23</v>
      </c>
      <c r="AF18" s="1"/>
    </row>
    <row r="19" spans="1:32" x14ac:dyDescent="0.25">
      <c r="A19" s="31">
        <v>43092.812384259261</v>
      </c>
      <c r="B19" s="30" t="s">
        <v>679</v>
      </c>
      <c r="C19" s="30" t="s">
        <v>680</v>
      </c>
      <c r="D19" s="30" t="s">
        <v>49</v>
      </c>
      <c r="E19" s="30" t="s">
        <v>354</v>
      </c>
      <c r="F19" s="42">
        <v>0</v>
      </c>
      <c r="G19" s="42">
        <v>59</v>
      </c>
      <c r="H19" s="42">
        <v>1005</v>
      </c>
      <c r="I19" s="42">
        <v>1040</v>
      </c>
      <c r="J19" s="30" t="s">
        <v>355</v>
      </c>
      <c r="K19" s="42">
        <v>1692</v>
      </c>
      <c r="L19" s="131" t="s">
        <v>50</v>
      </c>
      <c r="M19" s="132">
        <f t="shared" si="0"/>
        <v>344.25599999999997</v>
      </c>
      <c r="N19" s="133" t="str">
        <f>VLOOKUP(C19,'Trips&amp;Operators'!$C$1:$G$99911,5,FALSE)</f>
        <v>FORTUNATO FRANK</v>
      </c>
      <c r="O19" s="175" t="s">
        <v>178</v>
      </c>
      <c r="P19" s="239" t="s">
        <v>1095</v>
      </c>
      <c r="Q19" s="30"/>
      <c r="R19" s="81" t="str">
        <f>VLOOKUP(C19,'Train Runs'!$A$13:$AE$10196,31,0)</f>
        <v>aws s3 cp s3://rtdc.mdm.uploadarchive.raw/RTDC4046/ "%USERPROFILE%\AppData\Local\Temp\OnboardLogs"\RTDC4046\2017-12-23 --exclude "*" --recursive --include "*20171223*" &amp; "%USERPROFILE%\Documents\GitHub\mrs-test-scripts\Headless Mode &amp; Sideloading\WalkAndUnGZ.bat" "%USERPROFILE%\AppData\Local\Temp\OnboardLogs"\RTDC4046\2017-12-23 &amp; aws s3 cp s3://rtdc.mdm.uploadarchive.raw/RTDC4046/ "%USERPROFILE%\AppData\Local\Temp\OnboardLogs"\RTDC4046\2017-12-24 --exclude "*" --recursive --include "*20171224*" &amp; "%USERPROFILE%\Documents\GitHub\mrs-test-scripts\Headless Mode &amp; Sideloading\WalkAndUnGZ.bat" "%USERPROFILE%\AppData\Local\Temp\OnboardLogs"\RTDC4046\2017-12-24</v>
      </c>
      <c r="S19" s="84" t="str">
        <f>VLOOKUP(C19,'Train Runs'!$A$13:$AE$10196,22,0)</f>
        <v>https://d0f6bd738d7f1b3e5a7ca70fe4ff75f0.us-east-1.aws.found.io/app/kibana#/discover/Steve-Slow-Train-Analysis-(2080s-and-2083s)?_g=(refreshInterval:(display:Off,pause:!f,section:0,value:0),time:(from:'2017-12-23T18:34:34-0700',mode:absolute,to:'2017-12-23T21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9" s="86" t="str">
        <f t="shared" si="1"/>
        <v>"C:\Program Files (x86)\AstroGrep\AstroGrep.exe" /e /r /s /spath="%USERPROFILE%\AppData\Local\Temp\OnboardLogs" /stypes="*4046*201712240*" /stext=" 02:.+((SYSTEM_STATE.+slice.+state.+changed )|(ment ac)|(multiple cpu faults)|(system.+state.+changed )|(\[timeout)|(PRM\|1\|D)|(kpr)|(kdp)|(train st.+moving)|(\|lc)|(penalty))"</v>
      </c>
      <c r="U19" s="9" t="str">
        <f t="shared" si="2"/>
        <v>4046</v>
      </c>
      <c r="V19" s="31">
        <f t="shared" si="3"/>
        <v>43093.104050925926</v>
      </c>
      <c r="W19" s="45" t="str">
        <f t="shared" si="4"/>
        <v>EC</v>
      </c>
      <c r="X19" s="228">
        <f t="shared" si="5"/>
        <v>223</v>
      </c>
      <c r="Y19" s="238" t="str">
        <f t="shared" si="6"/>
        <v>echo {"issue":{"subject":"Operator selected wrong track","project_id":79,"tracker_id":40,"status_id":1,"priority_id":2,"assigned_to_id":338,"start_date":"2017-12-23","description":"","custom_fields":[{"id":1,"name":"Subdivision","value":"EC"},{"id":4,"name":"Milepost","value":"0.1692"},{"id":17,"name":"Train ID","value":"223-23"},{"id":16,"name":"Locomotive ID","value":"4046"},{"id":130,"name":"Impact","value":""},{"id":150,"name":"Time of Event (Mountain Time)","value":"19:29:50"},{"id":151,"name":"Denver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/c/Users/stu/AppData/Local/Temp/OnboardLogs/RTDC4046 --include="*4046*201712240*"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"%USERPROFILE%\AppData\Local\Temp\OnboardLogs"\RTDC4046\*4046*201712240* &gt;&gt; 2017-12-23-SliceDisagreementCheck.txt</v>
      </c>
      <c r="AE19" s="144" t="str">
        <f t="shared" si="9"/>
        <v>start /low /b %USERPROFILE%\Documents\GitHub\eaglep3\Utilities\DownloadLogsFromS3.py --loco 4046 --day 2017-12-24</v>
      </c>
      <c r="AF19" s="1"/>
    </row>
    <row r="20" spans="1:32" x14ac:dyDescent="0.25">
      <c r="A20" s="31">
        <v>43092.72861111111</v>
      </c>
      <c r="B20" s="30" t="s">
        <v>584</v>
      </c>
      <c r="C20" s="30" t="s">
        <v>675</v>
      </c>
      <c r="D20" s="30" t="s">
        <v>49</v>
      </c>
      <c r="E20" s="30" t="s">
        <v>354</v>
      </c>
      <c r="F20" s="42">
        <v>0</v>
      </c>
      <c r="G20" s="42">
        <v>301</v>
      </c>
      <c r="H20" s="42">
        <v>21082</v>
      </c>
      <c r="I20" s="42">
        <v>20354</v>
      </c>
      <c r="J20" s="30" t="s">
        <v>355</v>
      </c>
      <c r="K20" s="42">
        <v>20632</v>
      </c>
      <c r="L20" s="131" t="s">
        <v>51</v>
      </c>
      <c r="M20" s="132">
        <f t="shared" si="0"/>
        <v>-146.78399999999999</v>
      </c>
      <c r="N20" s="133" t="str">
        <f>VLOOKUP(C20,'Trips&amp;Operators'!$C$1:$G$99911,5,FALSE)</f>
        <v>MOSES BRADLEY</v>
      </c>
      <c r="O20" s="175" t="s">
        <v>348</v>
      </c>
      <c r="P20" s="239" t="s">
        <v>468</v>
      </c>
      <c r="Q20" s="30"/>
      <c r="R20" s="81" t="str">
        <f>VLOOKUP(C20,'Train Runs'!$A$13:$AE$10196,31,0)</f>
        <v>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 &amp; aws s3 cp s3://rtdc.mdm.uploadarchive.raw/RTDC4045/ "%USERPROFILE%\AppData\Local\Temp\OnboardLogs"\RTDC4045\2017-12-24 --exclude "*" --recursive --include "*20171224*" &amp; "%USERPROFILE%\Documents\GitHub\mrs-test-scripts\Headless Mode &amp; Sideloading\WalkAndUnGZ.bat" "%USERPROFILE%\AppData\Local\Temp\OnboardLogs"\RTDC4045\2017-12-24</v>
      </c>
      <c r="S20" s="84" t="str">
        <f>VLOOKUP(C20,'Train Runs'!$A$13:$AE$10196,22,0)</f>
        <v>https://d0f6bd738d7f1b3e5a7ca70fe4ff75f0.us-east-1.aws.found.io/app/kibana#/discover/Steve-Slow-Train-Analysis-(2080s-and-2083s)?_g=(refreshInterval:(display:Off,pause:!f,section:0,value:0),time:(from:'2017-12-23T15:35:53-0700',mode:absolute,to:'2017-12-23T18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0" s="86" t="str">
        <f t="shared" si="1"/>
        <v>"C:\Program Files (x86)\AstroGrep\AstroGrep.exe" /e /r /s /spath="%USERPROFILE%\AppData\Local\Temp\OnboardLogs" /stypes="*4045*201712240*"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4045</v>
      </c>
      <c r="V20" s="31">
        <f t="shared" si="3"/>
        <v>43093.020277777774</v>
      </c>
      <c r="W20" s="45" t="str">
        <f t="shared" si="4"/>
        <v>EC</v>
      </c>
      <c r="X20" s="228">
        <f t="shared" si="5"/>
        <v>200</v>
      </c>
      <c r="Y20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drop","project_id":79,"tracker_id":40,"status_id":1,"priority_id":2,"assigned_to_id":338,"start_date":"2017-12-23","description":"","custom_fields":[{"id":1,"name":"Subdivision","value":"EC"},{"id":4,"name":"Milepost","value":"2.0632"},{"id":17,"name":"Train ID","value":"200-23"},{"id":16,"name":"Locomotive ID","value":"4045"},{"id":130,"name":"Impact","value":""},{"id":150,"name":"Time of Event (Mountain Time)","value":"17:29:12"},{"id":151,"name":"Denver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/c/Users/stu/AppData/Local/Temp/OnboardLogs/RTDC4045 --include="*4045*201712240*"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"%USERPROFILE%\AppData\Local\Temp\OnboardLogs"\RTDC4045\*4045*201712240* &gt;&gt; 2017-12-23-SliceDisagreementCheck.txt</v>
      </c>
      <c r="AE20" s="144" t="str">
        <f t="shared" si="9"/>
        <v>start /low /b %USERPROFILE%\Documents\GitHub\eaglep3\Utilities\DownloadLogsFromS3.py --loco 4045 --day 2017-12-24</v>
      </c>
      <c r="AF20" s="1"/>
    </row>
    <row r="21" spans="1:32" x14ac:dyDescent="0.25">
      <c r="A21" s="31">
        <v>43092.495717592596</v>
      </c>
      <c r="B21" s="30" t="s">
        <v>451</v>
      </c>
      <c r="C21" s="30" t="s">
        <v>666</v>
      </c>
      <c r="D21" s="30" t="s">
        <v>95</v>
      </c>
      <c r="E21" s="30" t="s">
        <v>354</v>
      </c>
      <c r="F21" s="42">
        <v>0</v>
      </c>
      <c r="G21" s="42">
        <v>360</v>
      </c>
      <c r="H21" s="42">
        <v>37978</v>
      </c>
      <c r="I21" s="42">
        <v>37164</v>
      </c>
      <c r="J21" s="30" t="s">
        <v>355</v>
      </c>
      <c r="K21" s="42">
        <v>38656</v>
      </c>
      <c r="L21" s="131" t="s">
        <v>51</v>
      </c>
      <c r="M21" s="132">
        <f t="shared" si="0"/>
        <v>-787.77599999999995</v>
      </c>
      <c r="N21" s="133" t="str">
        <f>VLOOKUP(C21,'Trips&amp;Operators'!$C$1:$G$99911,5,FALSE)</f>
        <v>MACDONALD THOMAS</v>
      </c>
      <c r="O21" s="175" t="s">
        <v>348</v>
      </c>
      <c r="P21" s="239" t="s">
        <v>1105</v>
      </c>
      <c r="Q21" s="30"/>
      <c r="R21" s="81" t="str">
        <f>VLOOKUP(C21,'Train Runs'!$A$13:$AE$10196,31,0)</f>
        <v>aws s3 cp s3://rtdc.mdm.uploadarchive.raw/RTDC4051/ "%USERPROFILE%\AppData\Local\Temp\OnboardLogs"\RTDC4051\2017-12-23 --exclude "*" --recursive --include "*20171223*" &amp; "%USERPROFILE%\Documents\GitHub\mrs-test-scripts\Headless Mode &amp; Sideloading\WalkAndUnGZ.bat" "%USERPROFILE%\AppData\Local\Temp\OnboardLogs"\RTDC4051\2017-12-23 &amp; aws s3 cp s3://rtdc.mdm.uploadarchive.raw/RTDC4051/ "%USERPROFILE%\AppData\Local\Temp\OnboardLogs"\RTDC4051\2017-12-24 --exclude "*" --recursive --include "*20171224*" &amp; "%USERPROFILE%\Documents\GitHub\mrs-test-scripts\Headless Mode &amp; Sideloading\WalkAndUnGZ.bat" "%USERPROFILE%\AppData\Local\Temp\OnboardLogs"\RTDC4051\2017-12-24</v>
      </c>
      <c r="S21" s="84" t="str">
        <f>VLOOKUP(C21,'Train Runs'!$A$13:$AE$10196,22,0)</f>
        <v>https://d0f6bd738d7f1b3e5a7ca70fe4ff75f0.us-east-1.aws.found.io/app/kibana#/discover/Steve-Slow-Train-Analysis-(2080s-and-2083s)?_g=(refreshInterval:(display:Off,pause:!f,section:0,value:0),time:(from:'2017-12-23T10:54:40-0700',mode:absolute,to:'2017-12-23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1" s="86" t="str">
        <f t="shared" si="1"/>
        <v>"C:\Program Files (x86)\AstroGrep\AstroGrep.exe" /e /r /s /spath="%USERPROFILE%\AppData\Local\Temp\OnboardLogs" /stypes="*4051*201712231*"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4051</v>
      </c>
      <c r="V21" s="31">
        <f t="shared" si="3"/>
        <v>43092.78738425926</v>
      </c>
      <c r="W21" s="45" t="str">
        <f t="shared" si="4"/>
        <v>EC</v>
      </c>
      <c r="X21" s="228">
        <f t="shared" si="5"/>
        <v>156</v>
      </c>
      <c r="Y21" s="238" t="str">
        <f t="shared" si="6"/>
        <v>echo {"issue":{"subject":"Premature downgrade EC0386RH 44-2T 2S","project_id":79,"tracker_id":40,"status_id":1,"priority_id":2,"assigned_to_id":338,"start_date":"2017-12-23","description":"","custom_fields":[{"id":1,"name":"Subdivision","value":"EC"},{"id":4,"name":"Milepost","value":"3.8656"},{"id":17,"name":"Train ID","value":"156-23"},{"id":16,"name":"Locomotive ID","value":"4051"},{"id":130,"name":"Impact","value":""},{"id":150,"name":"Time of Event (Mountain Time)","value":"11:53:50"},{"id":151,"name":"Denver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/c/Users/stu/AppData/Local/Temp/OnboardLogs/RTDC4051 --include="*4051*201712231*"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"%USERPROFILE%\AppData\Local\Temp\OnboardLogs"\RTDC4051\*4051*201712231* &gt;&gt; 2017-12-23-SliceDisagreementCheck.txt</v>
      </c>
      <c r="AE21" s="144" t="str">
        <f t="shared" si="9"/>
        <v>start /low /b %USERPROFILE%\Documents\GitHub\eaglep3\Utilities\DownloadLogsFromS3.py --loco 4051 --day 2017-12-23</v>
      </c>
      <c r="AF21" s="1"/>
    </row>
    <row r="22" spans="1:32" x14ac:dyDescent="0.25">
      <c r="A22" s="31">
        <v>43092.383958333332</v>
      </c>
      <c r="B22" s="30" t="s">
        <v>477</v>
      </c>
      <c r="C22" s="30" t="s">
        <v>663</v>
      </c>
      <c r="D22" s="30" t="s">
        <v>95</v>
      </c>
      <c r="E22" s="30" t="s">
        <v>354</v>
      </c>
      <c r="F22" s="42">
        <v>0</v>
      </c>
      <c r="G22" s="42">
        <v>10</v>
      </c>
      <c r="H22" s="42">
        <v>58747</v>
      </c>
      <c r="I22" s="42">
        <v>58744</v>
      </c>
      <c r="J22" s="30" t="s">
        <v>355</v>
      </c>
      <c r="K22" s="42">
        <v>56883</v>
      </c>
      <c r="L22" s="131" t="s">
        <v>50</v>
      </c>
      <c r="M22" s="132">
        <f t="shared" si="0"/>
        <v>-982.60799999999995</v>
      </c>
      <c r="N22" s="133" t="str">
        <f>VLOOKUP(C22,'Trips&amp;Operators'!$C$1:$G$99911,5,FALSE)</f>
        <v>MAELZER KURT</v>
      </c>
      <c r="O22" s="175" t="s">
        <v>348</v>
      </c>
      <c r="P22" s="239" t="s">
        <v>468</v>
      </c>
      <c r="Q22" s="30"/>
      <c r="R22" s="81" t="str">
        <f>VLOOKUP(C22,'Train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22" s="84" t="str">
        <f>VLOOKUP(C22,'Train Runs'!$A$13:$AE$10196,22,0)</f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86" t="str">
        <f t="shared" si="1"/>
        <v>"C:\Program Files (x86)\AstroGrep\AstroGrep.exe" /e /r /s /spath="%USERPROFILE%\AppData\Local\Temp\OnboardLogs" /stypes="*4016*201712231*"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4016</v>
      </c>
      <c r="V22" s="31">
        <f t="shared" si="3"/>
        <v>43092.675624999996</v>
      </c>
      <c r="W22" s="45" t="str">
        <f t="shared" si="4"/>
        <v>EC</v>
      </c>
      <c r="X22" s="228">
        <f t="shared" si="5"/>
        <v>143</v>
      </c>
      <c r="Y22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drop","project_id":79,"tracker_id":40,"status_id":1,"priority_id":2,"assigned_to_id":338,"start_date":"2017-12-23","description":"","custom_fields":[{"id":1,"name":"Subdivision","value":"EC"},{"id":4,"name":"Milepost","value":"5.6883"},{"id":17,"name":"Train ID","value":"143-23"},{"id":16,"name":"Locomotive ID","value":"4016"},{"id":130,"name":"Impact","value":""},{"id":150,"name":"Time of Event (Mountain Time)","value":"09:12:54"},{"id":151,"name":"Denver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/c/Users/stu/AppData/Local/Temp/OnboardLogs/RTDC4016 --include="*4016*201712231*"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"%USERPROFILE%\AppData\Local\Temp\OnboardLogs"\RTDC4016\*4016*201712231* &gt;&gt; 2017-12-23-SliceDisagreementCheck.txt</v>
      </c>
      <c r="AE22" s="144" t="str">
        <f t="shared" si="9"/>
        <v>start /low /b %USERPROFILE%\Documents\GitHub\eaglep3\Utilities\DownloadLogsFromS3.py --loco 4016 --day 2017-12-23</v>
      </c>
      <c r="AF22" s="1"/>
    </row>
    <row r="23" spans="1:32" x14ac:dyDescent="0.25">
      <c r="A23" s="31">
        <v>43092.344918981478</v>
      </c>
      <c r="B23" s="30" t="s">
        <v>392</v>
      </c>
      <c r="C23" s="30" t="s">
        <v>662</v>
      </c>
      <c r="D23" s="30" t="s">
        <v>49</v>
      </c>
      <c r="E23" s="30" t="s">
        <v>354</v>
      </c>
      <c r="F23" s="42">
        <v>0</v>
      </c>
      <c r="G23" s="42">
        <v>791</v>
      </c>
      <c r="H23" s="42">
        <v>80879</v>
      </c>
      <c r="I23" s="42">
        <v>84605</v>
      </c>
      <c r="J23" s="30" t="s">
        <v>355</v>
      </c>
      <c r="K23" s="42">
        <v>81738</v>
      </c>
      <c r="L23" s="131" t="s">
        <v>50</v>
      </c>
      <c r="M23" s="132">
        <f t="shared" si="0"/>
        <v>-1513.7760000000001</v>
      </c>
      <c r="N23" s="133" t="str">
        <f>VLOOKUP(C23,'Trips&amp;Operators'!$C$1:$G$99911,5,FALSE)</f>
        <v>GEBRETEKLE DAGNEW</v>
      </c>
      <c r="O23" s="175" t="s">
        <v>348</v>
      </c>
      <c r="P23" s="239" t="s">
        <v>468</v>
      </c>
      <c r="Q23" s="30"/>
      <c r="R23" s="81" t="str">
        <f>VLOOKUP(C23,'Train Runs'!$A$13:$AE$10196,31,0)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S23" s="84" t="str">
        <f>VLOOKUP(C23,'Train Runs'!$A$13:$AE$10196,22,0)</f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 t="shared" si="1"/>
        <v>"C:\Program Files (x86)\AstroGrep\AstroGrep.exe" /e /r /s /spath="%USERPROFILE%\AppData\Local\Temp\OnboardLogs" /stypes="*4030*201712231*"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4030</v>
      </c>
      <c r="V23" s="31">
        <f t="shared" si="3"/>
        <v>43092.636585648142</v>
      </c>
      <c r="W23" s="45" t="str">
        <f t="shared" si="4"/>
        <v>EC</v>
      </c>
      <c r="X23" s="228">
        <f t="shared" si="5"/>
        <v>135</v>
      </c>
      <c r="Y23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drop","project_id":79,"tracker_id":40,"status_id":1,"priority_id":2,"assigned_to_id":338,"start_date":"2017-12-23","description":"","custom_fields":[{"id":1,"name":"Subdivision","value":"EC"},{"id":4,"name":"Milepost","value":"8.1738"},{"id":17,"name":"Train ID","value":"135-23"},{"id":16,"name":"Locomotive ID","value":"4030"},{"id":130,"name":"Impact","value":""},{"id":150,"name":"Time of Event (Mountain Time)","value":"08:16:41"},{"id":151,"name":"Denver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/c/Users/stu/AppData/Local/Temp/OnboardLogs/RTDC4030 --include="*4030*201712231*"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"%USERPROFILE%\AppData\Local\Temp\OnboardLogs"\RTDC4030\*4030*201712231* &gt;&gt; 2017-12-23-SliceDisagreementCheck.txt</v>
      </c>
      <c r="AE23" s="144" t="str">
        <f t="shared" si="9"/>
        <v>start /low /b %USERPROFILE%\Documents\GitHub\eaglep3\Utilities\DownloadLogsFromS3.py --loco 4030 --day 2017-12-23</v>
      </c>
      <c r="AF23" s="1"/>
    </row>
    <row r="24" spans="1:32" x14ac:dyDescent="0.25">
      <c r="A24" s="31">
        <v>43092.346863425926</v>
      </c>
      <c r="B24" s="30" t="s">
        <v>392</v>
      </c>
      <c r="C24" s="30" t="s">
        <v>662</v>
      </c>
      <c r="D24" s="30" t="s">
        <v>95</v>
      </c>
      <c r="E24" s="30" t="s">
        <v>354</v>
      </c>
      <c r="F24" s="42">
        <v>200</v>
      </c>
      <c r="G24" s="42">
        <v>257</v>
      </c>
      <c r="H24" s="42">
        <v>87039</v>
      </c>
      <c r="I24" s="42">
        <v>88227</v>
      </c>
      <c r="J24" s="30" t="s">
        <v>355</v>
      </c>
      <c r="K24" s="42">
        <v>81738</v>
      </c>
      <c r="L24" s="131" t="s">
        <v>50</v>
      </c>
      <c r="M24" s="132">
        <f t="shared" si="0"/>
        <v>-3426.192</v>
      </c>
      <c r="N24" s="133" t="str">
        <f>VLOOKUP(C24,'Trips&amp;Operators'!$C$1:$G$99911,5,FALSE)</f>
        <v>GEBRETEKLE DAGNEW</v>
      </c>
      <c r="O24" s="175" t="s">
        <v>178</v>
      </c>
      <c r="P24" s="239" t="s">
        <v>1097</v>
      </c>
      <c r="Q24" s="30"/>
      <c r="R24" s="81" t="str">
        <f>VLOOKUP(C24,'Train Runs'!$A$13:$AE$10196,31,0)</f>
        <v>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 &amp; aws s3 cp s3://rtdc.mdm.uploadarchive.raw/RTDC4030/ "%USERPROFILE%\AppData\Local\Temp\OnboardLogs"\RTDC4030\2017-12-24 --exclude "*" --recursive --include "*20171224*" &amp; "%USERPROFILE%\Documents\GitHub\mrs-test-scripts\Headless Mode &amp; Sideloading\WalkAndUnGZ.bat" "%USERPROFILE%\AppData\Local\Temp\OnboardLogs"\RTDC4030\2017-12-24</v>
      </c>
      <c r="S24" s="84" t="str">
        <f>VLOOKUP(C24,'Train Runs'!$A$13:$AE$10196,22,0)</f>
        <v>https://d0f6bd738d7f1b3e5a7ca70fe4ff75f0.us-east-1.aws.found.io/app/kibana#/discover/Steve-Slow-Train-Analysis-(2080s-and-2083s)?_g=(refreshInterval:(display:Off,pause:!f,section:0,value:0),time:(from:'2017-12-23T06:54:02-0700',mode:absolute,to:'2017-12-23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6" t="str">
        <f t="shared" si="1"/>
        <v>"C:\Program Files (x86)\AstroGrep\AstroGrep.exe" /e /r /s /spath="%USERPROFILE%\AppData\Local\Temp\OnboardLogs" /stypes="*4030*201712231*"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4030</v>
      </c>
      <c r="V24" s="31">
        <f t="shared" si="3"/>
        <v>43092.63853009259</v>
      </c>
      <c r="W24" s="45" t="str">
        <f t="shared" si="4"/>
        <v>EC</v>
      </c>
      <c r="X24" s="228">
        <f t="shared" si="5"/>
        <v>135</v>
      </c>
      <c r="Y24" s="238" t="str">
        <f t="shared" si="6"/>
        <v>echo {"issue":{"subject":"Restricted aspect","project_id":79,"tracker_id":40,"status_id":1,"priority_id":2,"assigned_to_id":338,"start_date":"2017-12-23","description":"","custom_fields":[{"id":1,"name":"Subdivision","value":"EC"},{"id":4,"name":"Milepost","value":"8.1738"},{"id":17,"name":"Train ID","value":"135-23"},{"id":16,"name":"Locomotive ID","value":"4030"},{"id":130,"name":"Impact","value":""},{"id":150,"name":"Time of Event (Mountain Time)","value":"08:19:29"},{"id":151,"name":"Denver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/c/Users/stu/AppData/Local/Temp/OnboardLogs/RTDC4030 --include="*4030*201712231*"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"%USERPROFILE%\AppData\Local\Temp\OnboardLogs"\RTDC4030\*4030*201712231* &gt;&gt; 2017-12-23-SliceDisagreementCheck.txt</v>
      </c>
      <c r="AE24" s="144" t="str">
        <f t="shared" si="9"/>
        <v>start /low /b %USERPROFILE%\Documents\GitHub\eaglep3\Utilities\DownloadLogsFromS3.py --loco 4030 --day 2017-12-23</v>
      </c>
      <c r="AF24" s="1"/>
    </row>
    <row r="25" spans="1:32" x14ac:dyDescent="0.25">
      <c r="A25" s="31">
        <v>43092.624131944445</v>
      </c>
      <c r="B25" s="30" t="s">
        <v>477</v>
      </c>
      <c r="C25" s="30" t="s">
        <v>672</v>
      </c>
      <c r="D25" s="30" t="s">
        <v>49</v>
      </c>
      <c r="E25" s="30" t="s">
        <v>354</v>
      </c>
      <c r="F25" s="42">
        <v>0</v>
      </c>
      <c r="G25" s="42">
        <v>30</v>
      </c>
      <c r="H25" s="42">
        <v>107856</v>
      </c>
      <c r="I25" s="42">
        <v>107875</v>
      </c>
      <c r="J25" s="30" t="s">
        <v>355</v>
      </c>
      <c r="K25" s="42">
        <v>107939</v>
      </c>
      <c r="L25" s="131" t="s">
        <v>50</v>
      </c>
      <c r="M25" s="132">
        <f t="shared" si="0"/>
        <v>33.792000000000002</v>
      </c>
      <c r="N25" s="133" t="str">
        <f>VLOOKUP(C25,'Trips&amp;Operators'!$C$1:$G$99911,5,FALSE)</f>
        <v>ROMERO CHAD</v>
      </c>
      <c r="O25" s="175" t="s">
        <v>178</v>
      </c>
      <c r="P25" s="239" t="s">
        <v>1098</v>
      </c>
      <c r="Q25" s="30"/>
      <c r="R25" s="81" t="str">
        <f>VLOOKUP(C25,'Train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25" s="84" t="str">
        <f>VLOOKUP(C25,'Train Runs'!$A$13:$AE$10196,22,0)</f>
        <v>https://d0f6bd738d7f1b3e5a7ca70fe4ff75f0.us-east-1.aws.found.io/app/kibana#/discover/Steve-Slow-Train-Analysis-(2080s-and-2083s)?_g=(refreshInterval:(display:Off,pause:!f,section:0,value:0),time:(from:'2017-12-23T13:20:01-0700',mode:absolute,to:'2017-12-23T16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5" s="86" t="str">
        <f t="shared" si="1"/>
        <v>"C:\Program Files (x86)\AstroGrep\AstroGrep.exe" /e /r /s /spath="%USERPROFILE%\AppData\Local\Temp\OnboardLogs" /stypes="*4016*201712232*"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4016</v>
      </c>
      <c r="V25" s="31">
        <f t="shared" si="3"/>
        <v>43092.915798611109</v>
      </c>
      <c r="W25" s="45" t="str">
        <f t="shared" si="4"/>
        <v>EC</v>
      </c>
      <c r="X25" s="228">
        <f t="shared" si="5"/>
        <v>187</v>
      </c>
      <c r="Y25" s="238" t="str">
        <f t="shared" si="6"/>
        <v>echo {"issue":{"subject":"Stop Chambers 2N","project_id":79,"tracker_id":40,"status_id":1,"priority_id":2,"assigned_to_id":338,"start_date":"2017-12-23","description":"","custom_fields":[{"id":1,"name":"Subdivision","value":"EC"},{"id":4,"name":"Milepost","value":"10.7939"},{"id":17,"name":"Train ID","value":"187-23"},{"id":16,"name":"Locomotive ID","value":"4016"},{"id":130,"name":"Impact","value":""},{"id":150,"name":"Time of Event (Mountain Time)","value":"14:58:45"},{"id":151,"name":"Denver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/c/Users/stu/AppData/Local/Temp/OnboardLogs/RTDC4016 --include="*4016*201712232*"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"%USERPROFILE%\AppData\Local\Temp\OnboardLogs"\RTDC4016\*4016*201712232* &gt;&gt; 2017-12-23-SliceDisagreementCheck.txt</v>
      </c>
      <c r="AE25" s="144" t="str">
        <f t="shared" si="9"/>
        <v>start /low /b %USERPROFILE%\Documents\GitHub\eaglep3\Utilities\DownloadLogsFromS3.py --loco 4016 --day 2017-12-23</v>
      </c>
      <c r="AF25" s="1"/>
    </row>
    <row r="26" spans="1:32" x14ac:dyDescent="0.25">
      <c r="A26" s="31">
        <v>43092.581354166665</v>
      </c>
      <c r="B26" s="30" t="s">
        <v>669</v>
      </c>
      <c r="C26" s="30" t="s">
        <v>670</v>
      </c>
      <c r="D26" s="30" t="s">
        <v>49</v>
      </c>
      <c r="E26" s="30" t="s">
        <v>354</v>
      </c>
      <c r="F26" s="42">
        <v>0</v>
      </c>
      <c r="G26" s="42">
        <v>110</v>
      </c>
      <c r="H26" s="42">
        <v>127948</v>
      </c>
      <c r="I26" s="42">
        <v>127852</v>
      </c>
      <c r="J26" s="30" t="s">
        <v>355</v>
      </c>
      <c r="K26" s="42">
        <v>127587</v>
      </c>
      <c r="L26" s="131" t="s">
        <v>51</v>
      </c>
      <c r="M26" s="132">
        <f t="shared" si="0"/>
        <v>139.91999999999999</v>
      </c>
      <c r="N26" s="133" t="str">
        <f>VLOOKUP(C26,'Trips&amp;Operators'!$C$1:$G$99911,5,FALSE)</f>
        <v>HOLCOMB KAMDEN</v>
      </c>
      <c r="O26" s="175" t="s">
        <v>178</v>
      </c>
      <c r="P26" s="239" t="s">
        <v>1099</v>
      </c>
      <c r="Q26" s="30"/>
      <c r="R26" s="81" t="str">
        <f>VLOOKUP(C26,'Train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26" s="84" t="str">
        <f>VLOOKUP(C26,'Train Runs'!$A$13:$AE$10196,22,0)</f>
        <v>https://d0f6bd738d7f1b3e5a7ca70fe4ff75f0.us-east-1.aws.found.io/app/kibana#/discover/Steve-Slow-Train-Analysis-(2080s-and-2083s)?_g=(refreshInterval:(display:Off,pause:!f,section:0,value:0),time:(from:'2017-12-23T12:35:29-0700',mode:absolute,to:'2017-12-23T15:32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6" s="86" t="str">
        <f t="shared" si="1"/>
        <v>"C:\Program Files (x86)\AstroGrep\AstroGrep.exe" /e /r /s /spath="%USERPROFILE%\AppData\Local\Temp\OnboardLogs" /stypes="*4025*201712232*"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4025</v>
      </c>
      <c r="V26" s="31">
        <f t="shared" si="3"/>
        <v>43092.873020833329</v>
      </c>
      <c r="W26" s="45" t="str">
        <f t="shared" si="4"/>
        <v>EC</v>
      </c>
      <c r="X26" s="228">
        <f t="shared" si="5"/>
        <v>174</v>
      </c>
      <c r="Y26" s="238" t="str">
        <f t="shared" si="6"/>
        <v>echo {"issue":{"subject":"Stop CP 40th 4S","project_id":79,"tracker_id":40,"status_id":1,"priority_id":2,"assigned_to_id":338,"start_date":"2017-12-23","description":"","custom_fields":[{"id":1,"name":"Subdivision","value":"EC"},{"id":4,"name":"Milepost","value":"12.7587"},{"id":17,"name":"Train ID","value":"174-23"},{"id":16,"name":"Locomotive ID","value":"4025"},{"id":130,"name":"Impact","value":""},{"id":150,"name":"Time of Event (Mountain Time)","value":"13:57:09"},{"id":151,"name":"Denver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/c/Users/stu/AppData/Local/Temp/OnboardLogs/RTDC4025 --include="*4025*201712232*"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"%USERPROFILE%\AppData\Local\Temp\OnboardLogs"\RTDC4025\*4025*201712232* &gt;&gt; 2017-12-23-SliceDisagreementCheck.txt</v>
      </c>
      <c r="AE26" s="144" t="str">
        <f t="shared" si="9"/>
        <v>start /low /b %USERPROFILE%\Documents\GitHub\eaglep3\Utilities\DownloadLogsFromS3.py --loco 4025 --day 2017-12-23</v>
      </c>
      <c r="AF26" s="1"/>
    </row>
    <row r="27" spans="1:32" x14ac:dyDescent="0.25">
      <c r="A27" s="31">
        <v>43092.809120370373</v>
      </c>
      <c r="B27" s="30" t="s">
        <v>669</v>
      </c>
      <c r="C27" s="30" t="s">
        <v>678</v>
      </c>
      <c r="D27" s="30" t="s">
        <v>49</v>
      </c>
      <c r="E27" s="30" t="s">
        <v>354</v>
      </c>
      <c r="F27" s="42">
        <v>0</v>
      </c>
      <c r="G27" s="42">
        <v>150</v>
      </c>
      <c r="H27" s="42">
        <v>128145</v>
      </c>
      <c r="I27" s="42">
        <v>127918</v>
      </c>
      <c r="J27" s="30" t="s">
        <v>355</v>
      </c>
      <c r="K27" s="42">
        <v>127587</v>
      </c>
      <c r="L27" s="131" t="s">
        <v>51</v>
      </c>
      <c r="M27" s="132">
        <f t="shared" si="0"/>
        <v>174.76799999999997</v>
      </c>
      <c r="N27" s="133" t="str">
        <f>VLOOKUP(C27,'Trips&amp;Operators'!$C$1:$G$99911,5,FALSE)</f>
        <v>ELBAUM MIKE</v>
      </c>
      <c r="O27" s="175" t="s">
        <v>178</v>
      </c>
      <c r="P27" s="239" t="s">
        <v>1099</v>
      </c>
      <c r="Q27" s="30"/>
      <c r="R27" s="81" t="str">
        <f>VLOOKUP(C27,'Train Runs'!$A$13:$AE$10196,31,0)</f>
        <v>aws s3 cp s3://rtdc.mdm.uploadarchive.raw/RTDC4025/ "%USERPROFILE%\AppData\Local\Temp\OnboardLogs"\RTDC4025\2017-12-23 --exclude "*" --recursive --include "*20171223*" &amp; "%USERPROFILE%\Documents\GitHub\mrs-test-scripts\Headless Mode &amp; Sideloading\WalkAndUnGZ.bat" "%USERPROFILE%\AppData\Local\Temp\OnboardLogs"\RTDC4025\2017-12-23 &amp; aws s3 cp s3://rtdc.mdm.uploadarchive.raw/RTDC4025/ "%USERPROFILE%\AppData\Local\Temp\OnboardLogs"\RTDC4025\2017-12-24 --exclude "*" --recursive --include "*20171224*" &amp; "%USERPROFILE%\Documents\GitHub\mrs-test-scripts\Headless Mode &amp; Sideloading\WalkAndUnGZ.bat" "%USERPROFILE%\AppData\Local\Temp\OnboardLogs"\RTDC4025\2017-12-24</v>
      </c>
      <c r="S27" s="84" t="str">
        <f>VLOOKUP(C27,'Train Runs'!$A$13:$AE$10196,22,0)</f>
        <v>https://d0f6bd738d7f1b3e5a7ca70fe4ff75f0.us-east-1.aws.found.io/app/kibana#/discover/Steve-Slow-Train-Analysis-(2080s-and-2083s)?_g=(refreshInterval:(display:Off,pause:!f,section:0,value:0),time:(from:'2017-12-23T17:53:08-0700',mode:absolute,to:'2017-12-23T20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6" t="str">
        <f t="shared" si="1"/>
        <v>"C:\Program Files (x86)\AstroGrep\AstroGrep.exe" /e /r /s /spath="%USERPROFILE%\AppData\Local\Temp\OnboardLogs" /stypes="*4025*201712240*"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4025</v>
      </c>
      <c r="V27" s="31">
        <f t="shared" si="3"/>
        <v>43093.100787037038</v>
      </c>
      <c r="W27" s="45" t="str">
        <f t="shared" si="4"/>
        <v>EC</v>
      </c>
      <c r="X27" s="228">
        <f t="shared" si="5"/>
        <v>218</v>
      </c>
      <c r="Y27" s="238" t="str">
        <f t="shared" si="6"/>
        <v>echo {"issue":{"subject":"Stop CP 40th 4S","project_id":79,"tracker_id":40,"status_id":1,"priority_id":2,"assigned_to_id":338,"start_date":"2017-12-23","description":"","custom_fields":[{"id":1,"name":"Subdivision","value":"EC"},{"id":4,"name":"Milepost","value":"12.7587"},{"id":17,"name":"Train ID","value":"218-23"},{"id":16,"name":"Locomotive ID","value":"4025"},{"id":130,"name":"Impact","value":""},{"id":150,"name":"Time of Event (Mountain Time)","value":"19:25:08"},{"id":151,"name":"Denver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/c/Users/stu/AppData/Local/Temp/OnboardLogs/RTDC4025 --include="*4025*201712240*"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"%USERPROFILE%\AppData\Local\Temp\OnboardLogs"\RTDC4025\*4025*201712240* &gt;&gt; 2017-12-23-SliceDisagreementCheck.txt</v>
      </c>
      <c r="AE27" s="144" t="str">
        <f t="shared" si="9"/>
        <v>start /low /b %USERPROFILE%\Documents\GitHub\eaglep3\Utilities\DownloadLogsFromS3.py --loco 4025 --day 2017-12-24</v>
      </c>
      <c r="AF27" s="1"/>
    </row>
    <row r="28" spans="1:32" x14ac:dyDescent="0.25">
      <c r="A28" s="31">
        <v>43092.715069444443</v>
      </c>
      <c r="B28" s="30" t="s">
        <v>366</v>
      </c>
      <c r="C28" s="30" t="s">
        <v>674</v>
      </c>
      <c r="D28" s="30" t="s">
        <v>49</v>
      </c>
      <c r="E28" s="30" t="s">
        <v>354</v>
      </c>
      <c r="F28" s="42">
        <v>0</v>
      </c>
      <c r="G28" s="42">
        <v>785</v>
      </c>
      <c r="H28" s="42">
        <v>144668</v>
      </c>
      <c r="I28" s="42">
        <v>148367</v>
      </c>
      <c r="J28" s="30" t="s">
        <v>355</v>
      </c>
      <c r="K28" s="42">
        <v>149694</v>
      </c>
      <c r="L28" s="131" t="s">
        <v>50</v>
      </c>
      <c r="M28" s="132">
        <f t="shared" si="0"/>
        <v>700.65600000000006</v>
      </c>
      <c r="N28" s="133" t="str">
        <f>VLOOKUP(C28,'Trips&amp;Operators'!$C$1:$G$99911,5,FALSE)</f>
        <v>MCREYNOLDS KYLE</v>
      </c>
      <c r="O28" s="175" t="s">
        <v>348</v>
      </c>
      <c r="P28" s="239" t="s">
        <v>468</v>
      </c>
      <c r="Q28" s="30"/>
      <c r="R28" s="81" t="str">
        <f>VLOOKUP(C28,'Train Runs'!$A$13:$AE$10196,31,0)</f>
        <v>aws s3 cp s3://rtdc.mdm.uploadarchive.raw/RTDC4036/ "%USERPROFILE%\AppData\Local\Temp\OnboardLogs"\RTDC4036\2017-12-23 --exclude "*" --recursive --include "*20171223*" &amp; "%USERPROFILE%\Documents\GitHub\mrs-test-scripts\Headless Mode &amp; Sideloading\WalkAndUnGZ.bat" "%USERPROFILE%\AppData\Local\Temp\OnboardLogs"\RTDC4036\2017-12-23 &amp; aws s3 cp s3://rtdc.mdm.uploadarchive.raw/RTDC4036/ "%USERPROFILE%\AppData\Local\Temp\OnboardLogs"\RTDC4036\2017-12-24 --exclude "*" --recursive --include "*20171224*" &amp; "%USERPROFILE%\Documents\GitHub\mrs-test-scripts\Headless Mode &amp; Sideloading\WalkAndUnGZ.bat" "%USERPROFILE%\AppData\Local\Temp\OnboardLogs"\RTDC4036\2017-12-24</v>
      </c>
      <c r="S28" s="84" t="str">
        <f>VLOOKUP(C28,'Train Runs'!$A$13:$AE$10196,22,0)</f>
        <v>https://d0f6bd738d7f1b3e5a7ca70fe4ff75f0.us-east-1.aws.found.io/app/kibana#/discover/Steve-Slow-Train-Analysis-(2080s-and-2083s)?_g=(refreshInterval:(display:Off,pause:!f,section:0,value:0),time:(from:'2017-12-23T15:38:35-0700',mode:absolute,to:'2017-12-23T18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8" s="86" t="str">
        <f t="shared" si="1"/>
        <v>"C:\Program Files (x86)\AstroGrep\AstroGrep.exe" /e /r /s /spath="%USERPROFILE%\AppData\Local\Temp\OnboardLogs" /stypes="*4036*201712240*"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4036</v>
      </c>
      <c r="V28" s="31">
        <f t="shared" si="3"/>
        <v>43093.006736111107</v>
      </c>
      <c r="W28" s="45" t="str">
        <f t="shared" si="4"/>
        <v>EC</v>
      </c>
      <c r="X28" s="228">
        <f t="shared" si="5"/>
        <v>205</v>
      </c>
      <c r="Y28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drop","project_id":79,"tracker_id":40,"status_id":1,"priority_id":2,"assigned_to_id":338,"start_date":"2017-12-23","description":"","custom_fields":[{"id":1,"name":"Subdivision","value":"EC"},{"id":4,"name":"Milepost","value":"14.9694"},{"id":17,"name":"Train ID","value":"205-23"},{"id":16,"name":"Locomotive ID","value":"4036"},{"id":130,"name":"Impact","value":""},{"id":150,"name":"Time of Event (Mountain Time)","value":"17:09:42"},{"id":151,"name":"Denver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/c/Users/stu/AppData/Local/Temp/OnboardLogs/RTDC4036 --include="*4036*201712240*"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"%USERPROFILE%\AppData\Local\Temp\OnboardLogs"\RTDC4036\*4036*201712240* &gt;&gt; 2017-12-23-SliceDisagreementCheck.txt</v>
      </c>
      <c r="AE28" s="144" t="str">
        <f t="shared" si="9"/>
        <v>start /low /b %USERPROFILE%\Documents\GitHub\eaglep3\Utilities\DownloadLogsFromS3.py --loco 4036 --day 2017-12-24</v>
      </c>
      <c r="AF28" s="1"/>
    </row>
    <row r="29" spans="1:32" x14ac:dyDescent="0.25">
      <c r="A29" s="31">
        <v>43092.331562500003</v>
      </c>
      <c r="B29" s="30" t="s">
        <v>660</v>
      </c>
      <c r="C29" s="30" t="s">
        <v>661</v>
      </c>
      <c r="D29" s="30" t="s">
        <v>95</v>
      </c>
      <c r="E29" s="30" t="s">
        <v>354</v>
      </c>
      <c r="F29" s="42">
        <v>200</v>
      </c>
      <c r="G29" s="42">
        <v>298</v>
      </c>
      <c r="H29" s="42">
        <v>151657</v>
      </c>
      <c r="I29" s="42">
        <v>152238</v>
      </c>
      <c r="J29" s="30" t="s">
        <v>355</v>
      </c>
      <c r="K29" s="42">
        <v>149694</v>
      </c>
      <c r="L29" s="131" t="s">
        <v>50</v>
      </c>
      <c r="M29" s="132">
        <f t="shared" si="0"/>
        <v>-1343.232</v>
      </c>
      <c r="N29" s="133" t="str">
        <f>VLOOKUP(C29,'Trips&amp;Operators'!$C$1:$G$99911,5,FALSE)</f>
        <v>WILLIAMS DONTE</v>
      </c>
      <c r="O29" s="175" t="s">
        <v>178</v>
      </c>
      <c r="P29" s="239" t="s">
        <v>1097</v>
      </c>
      <c r="Q29" s="30"/>
      <c r="R29" s="81" t="str">
        <f>VLOOKUP(C29,'Train Runs'!$A$13:$AE$10196,31,0)</f>
        <v>aws s3 cp s3://rtdc.mdm.uploadarchive.raw/RTDC4026/ "%USERPROFILE%\AppData\Local\Temp\OnboardLogs"\RTDC4026\2017-12-23 --exclude "*" --recursive --include "*20171223*" &amp; "%USERPROFILE%\Documents\GitHub\mrs-test-scripts\Headless Mode &amp; Sideloading\WalkAndUnGZ.bat" "%USERPROFILE%\AppData\Local\Temp\OnboardLogs"\RTDC4026\2017-12-23 &amp; aws s3 cp s3://rtdc.mdm.uploadarchive.raw/RTDC4026/ "%USERPROFILE%\AppData\Local\Temp\OnboardLogs"\RTDC4026\2017-12-24 --exclude "*" --recursive --include "*20171224*" &amp; "%USERPROFILE%\Documents\GitHub\mrs-test-scripts\Headless Mode &amp; Sideloading\WalkAndUnGZ.bat" "%USERPROFILE%\AppData\Local\Temp\OnboardLogs"\RTDC4026\2017-12-24</v>
      </c>
      <c r="S29" s="84" t="str">
        <f>VLOOKUP(C29,'Train Runs'!$A$13:$AE$10196,22,0)</f>
        <v>https://d0f6bd738d7f1b3e5a7ca70fe4ff75f0.us-east-1.aws.found.io/app/kibana#/discover/Steve-Slow-Train-Analysis-(2080s-and-2083s)?_g=(refreshInterval:(display:Off,pause:!f,section:0,value:0),time:(from:'2017-12-23T06:25:07-0700',mode:absolute,to:'2017-12-23T08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86" t="str">
        <f t="shared" si="1"/>
        <v>"C:\Program Files (x86)\AstroGrep\AstroGrep.exe" /e /r /s /spath="%USERPROFILE%\AppData\Local\Temp\OnboardLogs" /stypes="*4026*201712231*" /stext=" 14:.+((SYSTEM_STATE.+slice.+state.+changed )|(ment ac)|(multiple cpu faults)|(system.+state.+changed )|(\[timeout)|(PRM\|1\|D)|(kpr)|(kdp)|(train st.+moving)|(\|lc)|(penalty))"</v>
      </c>
      <c r="U29" s="9" t="str">
        <f t="shared" si="2"/>
        <v>4026</v>
      </c>
      <c r="V29" s="31">
        <f t="shared" si="3"/>
        <v>43092.623229166667</v>
      </c>
      <c r="W29" s="45" t="str">
        <f t="shared" si="4"/>
        <v>EC</v>
      </c>
      <c r="X29" s="228">
        <f t="shared" si="5"/>
        <v>131</v>
      </c>
      <c r="Y29" s="238" t="str">
        <f t="shared" si="6"/>
        <v>echo {"issue":{"subject":"Restricted aspect","project_id":79,"tracker_id":40,"status_id":1,"priority_id":2,"assigned_to_id":338,"start_date":"2017-12-23","description":"","custom_fields":[{"id":1,"name":"Subdivision","value":"EC"},{"id":4,"name":"Milepost","value":"14.9694"},{"id":17,"name":"Train ID","value":"131-23"},{"id":16,"name":"Locomotive ID","value":"4026"},{"id":130,"name":"Impact","value":""},{"id":150,"name":"Time of Event (Mountain Time)","value":"07:57:27"},{"id":151,"name":"Denver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/c/Users/stu/AppData/Local/Temp/OnboardLogs/RTDC4026 --include="*4026*201712231*"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"%USERPROFILE%\AppData\Local\Temp\OnboardLogs"\RTDC4026\*4026*201712231* &gt;&gt; 2017-12-23-SliceDisagreementCheck.txt</v>
      </c>
      <c r="AE29" s="144" t="str">
        <f t="shared" si="9"/>
        <v>start /low /b %USERPROFILE%\Documents\GitHub\eaglep3\Utilities\DownloadLogsFromS3.py --loco 4026 --day 2017-12-23</v>
      </c>
      <c r="AF29" s="1"/>
    </row>
    <row r="30" spans="1:32" x14ac:dyDescent="0.25">
      <c r="A30" s="31">
        <v>43092.383599537039</v>
      </c>
      <c r="B30" s="30" t="s">
        <v>477</v>
      </c>
      <c r="C30" s="30" t="s">
        <v>663</v>
      </c>
      <c r="D30" s="30" t="s">
        <v>49</v>
      </c>
      <c r="E30" s="30" t="s">
        <v>664</v>
      </c>
      <c r="F30" s="42">
        <v>0</v>
      </c>
      <c r="G30" s="42">
        <v>573</v>
      </c>
      <c r="H30" s="42">
        <v>56490</v>
      </c>
      <c r="I30" s="42">
        <v>58733</v>
      </c>
      <c r="J30" s="30" t="s">
        <v>665</v>
      </c>
      <c r="K30" s="42">
        <v>56976</v>
      </c>
      <c r="L30" s="131" t="s">
        <v>50</v>
      </c>
      <c r="M30" s="132">
        <f t="shared" si="0"/>
        <v>-927.69600000000003</v>
      </c>
      <c r="N30" s="133" t="str">
        <f>VLOOKUP(C30,'Trips&amp;Operators'!$C$1:$G$99911,5,FALSE)</f>
        <v>MAELZER KURT</v>
      </c>
      <c r="O30" s="175" t="s">
        <v>348</v>
      </c>
      <c r="P30" s="239" t="s">
        <v>468</v>
      </c>
      <c r="Q30" s="30"/>
      <c r="R30" s="81" t="str">
        <f>VLOOKUP(C30,'Train Runs'!$A$13:$AE$10196,31,0)</f>
        <v>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 &amp; aws s3 cp s3://rtdc.mdm.uploadarchive.raw/RTDC4016/ "%USERPROFILE%\AppData\Local\Temp\OnboardLogs"\RTDC4016\2017-12-24 --exclude "*" --recursive --include "*20171224*" &amp; "%USERPROFILE%\Documents\GitHub\mrs-test-scripts\Headless Mode &amp; Sideloading\WalkAndUnGZ.bat" "%USERPROFILE%\AppData\Local\Temp\OnboardLogs"\RTDC4016\2017-12-24</v>
      </c>
      <c r="S30" s="84" t="str">
        <f>VLOOKUP(C30,'Train Runs'!$A$13:$AE$10196,22,0)</f>
        <v>https://d0f6bd738d7f1b3e5a7ca70fe4ff75f0.us-east-1.aws.found.io/app/kibana#/discover/Steve-Slow-Train-Analysis-(2080s-and-2083s)?_g=(refreshInterval:(display:Off,pause:!f,section:0,value:0),time:(from:'2017-12-23T07:53:49-0700',mode:absolute,to:'2017-12-23T10:42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 t="shared" si="1"/>
        <v>"C:\Program Files (x86)\AstroGrep\AstroGrep.exe" /e /r /s /spath="%USERPROFILE%\AppData\Local\Temp\OnboardLogs" /stypes="*4016*201712231*"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4016</v>
      </c>
      <c r="V30" s="31">
        <f t="shared" si="3"/>
        <v>43092.675266203703</v>
      </c>
      <c r="W30" s="45" t="str">
        <f t="shared" si="4"/>
        <v>EC</v>
      </c>
      <c r="X30" s="228">
        <f t="shared" si="5"/>
        <v>143</v>
      </c>
      <c r="Y30" s="238" t="str">
        <f t="shared" si="6"/>
        <v>echo {"issue":{"subject":"Wi-MAX data drop","project_id":79,"tracker_id":40,"status_id":1,"priority_id":2,"assigned_to_id":338,"start_date":"2017-12-23","description":"","custom_fields":[{"id":1,"name":"Subdivision","value":"EC"},{"id":4,"name":"Milepost","value":"5.6976"},{"id":17,"name":"Train ID","value":"143-23"},{"id":16,"name":"Locomotive ID","value":"4016"},{"id":130,"name":"Impact","value":""},{"id":150,"name":"Time of Event (Mountain Time)","value":"09:12:23"},{"id":151,"name":"Denver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/c/Users/stu/AppData/Local/Temp/OnboardLogs/RTDC4016 --include="*4016*201712231*"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"%USERPROFILE%\AppData\Local\Temp\OnboardLogs"\RTDC4016\*4016*201712231* &gt;&gt; 2017-12-23-SliceDisagreementCheck.txt</v>
      </c>
      <c r="AE30" s="144" t="str">
        <f t="shared" si="9"/>
        <v>start /low /b %USERPROFILE%\Documents\GitHub\eaglep3\Utilities\DownloadLogsFromS3.py --loco 4016 --day 2017-12-23</v>
      </c>
      <c r="AF30" s="1"/>
    </row>
    <row r="31" spans="1:32" x14ac:dyDescent="0.25">
      <c r="A31" s="31">
        <v>43092.818055555559</v>
      </c>
      <c r="B31" s="30" t="s">
        <v>658</v>
      </c>
      <c r="C31" s="30" t="s">
        <v>681</v>
      </c>
      <c r="D31" s="30" t="s">
        <v>49</v>
      </c>
      <c r="E31" s="30" t="s">
        <v>682</v>
      </c>
      <c r="F31" s="42">
        <v>0</v>
      </c>
      <c r="G31" s="42">
        <v>115</v>
      </c>
      <c r="H31" s="42">
        <v>232967</v>
      </c>
      <c r="I31" s="42">
        <v>233117</v>
      </c>
      <c r="J31" s="30" t="s">
        <v>683</v>
      </c>
      <c r="K31" s="42">
        <v>233491</v>
      </c>
      <c r="L31" s="131" t="s">
        <v>50</v>
      </c>
      <c r="M31" s="132">
        <f t="shared" si="0"/>
        <v>197.47200000000001</v>
      </c>
      <c r="N31" s="133" t="str">
        <f>VLOOKUP(C31,'Trips&amp;Operators'!$C$1:$G$99911,5,FALSE)</f>
        <v>AUSTIN THOMPSON</v>
      </c>
      <c r="O31" s="175" t="s">
        <v>178</v>
      </c>
      <c r="P31" s="239"/>
      <c r="Q31" s="30"/>
      <c r="R31" s="81" t="str">
        <f>VLOOKUP(C31,'Train Runs'!$A$13:$AE$10196,31,0)</f>
        <v>aws s3 cp s3://rtdc.mdm.uploadarchive.raw/RTDC4002/ "%USERPROFILE%\AppData\Local\Temp\OnboardLogs"\RTDC4002\2017-12-23 --exclude "*" --recursive --include "*20171223*" &amp; "%USERPROFILE%\Documents\GitHub\mrs-test-scripts\Headless Mode &amp; Sideloading\WalkAndUnGZ.bat" "%USERPROFILE%\AppData\Local\Temp\OnboardLogs"\RTDC4002\2017-12-23 &amp; aws s3 cp s3://rtdc.mdm.uploadarchive.raw/RTDC4002/ "%USERPROFILE%\AppData\Local\Temp\OnboardLogs"\RTDC4002\2017-12-24 --exclude "*" --recursive --include "*20171224*" &amp; "%USERPROFILE%\Documents\GitHub\mrs-test-scripts\Headless Mode &amp; Sideloading\WalkAndUnGZ.bat" "%USERPROFILE%\AppData\Local\Temp\OnboardLogs"\RTDC4002\2017-12-24</v>
      </c>
      <c r="S31" s="84" t="str">
        <f>VLOOKUP(C31,'Train Runs'!$A$13:$AE$10196,22,0)</f>
        <v>https://d0f6bd738d7f1b3e5a7ca70fe4ff75f0.us-east-1.aws.found.io/app/kibana#/discover/Steve-Slow-Train-Analysis-(2080s-and-2083s)?_g=(refreshInterval:(display:Off,pause:!f,section:0,value:0),time:(from:'2017-12-23T17:57:42-0700',mode:absolute,to:'2017-12-23T20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1" s="86" t="str">
        <f t="shared" si="1"/>
        <v>"C:\Program Files (x86)\AstroGrep\AstroGrep.exe" /e /r /s /spath="%USERPROFILE%\AppData\Local\Temp\OnboardLogs" /stypes="*4002*201712240*" /stext=" 02:.+((SYSTEM_STATE.+slice.+state.+changed )|(ment ac)|(multiple cpu faults)|(system.+state.+changed )|(\[timeout)|(PRM\|1\|D)|(kpr)|(kdp)|(train st.+moving)|(\|lc)|(penalty))"</v>
      </c>
      <c r="U31" s="9" t="str">
        <f t="shared" si="2"/>
        <v>4002</v>
      </c>
      <c r="V31" s="31">
        <f t="shared" si="3"/>
        <v>43093.109722222223</v>
      </c>
      <c r="W31" s="45" t="str">
        <f t="shared" si="4"/>
        <v>EC</v>
      </c>
      <c r="X31" s="228">
        <f t="shared" si="5"/>
        <v>221</v>
      </c>
      <c r="Y31" s="238" t="str">
        <f t="shared" si="6"/>
        <v>echo {"issue":{"subject":"","project_id":79,"tracker_id":40,"status_id":1,"priority_id":2,"assigned_to_id":338,"start_date":"2017-12-23","description":"","custom_fields":[{"id":1,"name":"Subdivision","value":"EC"},{"id":4,"name":"Milepost","value":"23.3491"},{"id":17,"name":"Train ID","value":"221-23"},{"id":16,"name":"Locomotive ID","value":"4002"},{"id":130,"name":"Impact","value":""},{"id":150,"name":"Time of Event (Mountain Time)","value":"19:38:00"},{"id":151,"name":"Denver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/c/Users/stu/AppData/Local/Temp/OnboardLogs/RTDC4002 --include="*4002*201712240*"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"%USERPROFILE%\AppData\Local\Temp\OnboardLogs"\RTDC4002\*4002*201712240* &gt;&gt; 2017-12-23-SliceDisagreementCheck.txt</v>
      </c>
      <c r="AE31" s="144" t="str">
        <f t="shared" si="9"/>
        <v>start /low /b %USERPROFILE%\Documents\GitHub\eaglep3\Utilities\DownloadLogsFromS3.py --loco 4002 --day 2017-12-24</v>
      </c>
      <c r="AF31" s="1"/>
    </row>
    <row r="32" spans="1:32" x14ac:dyDescent="0.25">
      <c r="A32" s="31">
        <v>43092.281261574077</v>
      </c>
      <c r="B32" s="30" t="s">
        <v>656</v>
      </c>
      <c r="C32" s="30" t="s">
        <v>657</v>
      </c>
      <c r="D32" s="30" t="s">
        <v>95</v>
      </c>
      <c r="E32" s="30" t="s">
        <v>190</v>
      </c>
      <c r="F32" s="42">
        <v>400</v>
      </c>
      <c r="G32" s="42">
        <v>455</v>
      </c>
      <c r="H32" s="42">
        <v>48339</v>
      </c>
      <c r="I32" s="42">
        <v>46785</v>
      </c>
      <c r="J32" s="30" t="s">
        <v>191</v>
      </c>
      <c r="K32" s="42">
        <v>49775</v>
      </c>
      <c r="L32" s="131" t="s">
        <v>51</v>
      </c>
      <c r="M32" s="132">
        <f t="shared" si="0"/>
        <v>-1578.72</v>
      </c>
      <c r="N32" s="133" t="str">
        <f>VLOOKUP(C32,'Trips&amp;Operators'!$C$1:$G$99911,5,FALSE)</f>
        <v>LAMAR NEKESHA</v>
      </c>
      <c r="O32" s="175" t="s">
        <v>178</v>
      </c>
      <c r="P32" s="239"/>
      <c r="Q32" s="30"/>
      <c r="R32" s="81" t="str">
        <f>VLOOKUP(C32,'Train Runs'!$A$13:$AE$10196,31,0)</f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S32" s="84" t="str">
        <f>VLOOKUP(C32,'Train Runs'!$A$13:$AE$10196,22,0)</f>
        <v>https://d0f6bd738d7f1b3e5a7ca70fe4ff75f0.us-east-1.aws.found.io/app/kibana#/discover/Steve-Slow-Train-Analysis-(2080s-and-2083s)?_g=(refreshInterval:(display:Off,pause:!f,section:0,value:0),time:(from:'2017-12-23T05:24:56-0700',mode:absolute,to:'2017-12-23T07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2" s="86" t="str">
        <f t="shared" si="1"/>
        <v>"C:\Program Files (x86)\AstroGrep\AstroGrep.exe" /e /r /s /spath="%USERPROFILE%\AppData\Local\Temp\OnboardLogs" /stypes="*4031*201712231*"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4031</v>
      </c>
      <c r="V32" s="31">
        <f t="shared" si="3"/>
        <v>43092.572928240741</v>
      </c>
      <c r="W32" s="45" t="str">
        <f t="shared" si="4"/>
        <v>NW</v>
      </c>
      <c r="X32" s="228">
        <f t="shared" si="5"/>
        <v>1802</v>
      </c>
      <c r="Y32" s="238" t="str">
        <f t="shared" si="6"/>
        <v>echo {"issue":{"subject":"","project_id":79,"tracker_id":40,"status_id":1,"priority_id":2,"assigned_to_id":338,"start_date":"2017-12-23","description":"","custom_fields":[{"id":1,"name":"Subdivision","value":"NW"},{"id":4,"name":"Milepost","value":"4.9775"},{"id":17,"name":"Train ID","value":"1802-23"},{"id":16,"name":"Locomotive ID","value":"4031"},{"id":130,"name":"Impact","value":""},{"id":150,"name":"Time of Event (Mountain Time)","value":"06:45:01"},{"id":151,"name":"Denver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 t="shared" si="7"/>
        <v>grep -hrE -A400 "Enforcement Action" /c/Users/stu/AppData/Local/Temp/OnboardLogs/RTDC4031 --include="*4031*201712231*"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"%USERPROFILE%\AppData\Local\Temp\OnboardLogs"\RTDC4031\*4031*201712231* &gt;&gt; 2017-12-23-SliceDisagreementCheck.txt</v>
      </c>
      <c r="AE32" s="144" t="str">
        <f t="shared" si="9"/>
        <v>start /low /b %USERPROFILE%\Documents\GitHub\eaglep3\Utilities\DownloadLogsFromS3.py --loco 4031 --day 2017-12-23</v>
      </c>
      <c r="AF32" s="1"/>
    </row>
    <row r="33" spans="1:32" x14ac:dyDescent="0.25">
      <c r="A33" s="31">
        <v>43092.912060185183</v>
      </c>
      <c r="B33" s="30" t="s">
        <v>656</v>
      </c>
      <c r="C33" s="30" t="s">
        <v>685</v>
      </c>
      <c r="D33" s="30" t="s">
        <v>49</v>
      </c>
      <c r="E33" s="30" t="s">
        <v>354</v>
      </c>
      <c r="F33" s="42">
        <v>0</v>
      </c>
      <c r="G33" s="42">
        <v>53</v>
      </c>
      <c r="H33" s="42">
        <v>4809</v>
      </c>
      <c r="I33" s="42">
        <v>4714</v>
      </c>
      <c r="J33" s="30" t="s">
        <v>355</v>
      </c>
      <c r="K33" s="42">
        <v>4798</v>
      </c>
      <c r="L33" s="131" t="s">
        <v>51</v>
      </c>
      <c r="M33" s="132">
        <f t="shared" si="0"/>
        <v>-44.351999999999997</v>
      </c>
      <c r="N33" s="133" t="str">
        <f>VLOOKUP(C33,'Trips&amp;Operators'!$C$1:$G$99911,5,FALSE)</f>
        <v>SMITH MICHAEL</v>
      </c>
      <c r="O33" s="175" t="s">
        <v>348</v>
      </c>
      <c r="P33" s="239" t="s">
        <v>654</v>
      </c>
      <c r="Q33" s="30"/>
      <c r="R33" s="81" t="str">
        <f>VLOOKUP(C33,'Train Runs'!$A$13:$AE$10196,31,0)</f>
        <v>aws s3 cp s3://rtdc.mdm.uploadarchive.raw/RTDC4031/ "%USERPROFILE%\AppData\Local\Temp\OnboardLogs"\RTDC4031\2017-12-23 --exclude "*" --recursive --include "*20171223*" &amp; "%USERPROFILE%\Documents\GitHub\mrs-test-scripts\Headless Mode &amp; Sideloading\WalkAndUnGZ.bat" "%USERPROFILE%\AppData\Local\Temp\OnboardLogs"\RTDC4031\2017-12-23 &amp; 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</v>
      </c>
      <c r="S33" s="84" t="str">
        <f>VLOOKUP(C33,'Train Runs'!$A$13:$AE$10196,22,0)</f>
        <v>https://d0f6bd738d7f1b3e5a7ca70fe4ff75f0.us-east-1.aws.found.io/app/kibana#/discover/Steve-Slow-Train-Analysis-(2080s-and-2083s)?_g=(refreshInterval:(display:Off,pause:!f,section:0,value:0),time:(from:'2017-12-23T20:24:42-0700',mode:absolute,to:'2017-12-23T22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86" t="str">
        <f t="shared" si="1"/>
        <v>"C:\Program Files (x86)\AstroGrep\AstroGrep.exe" /e /r /s /spath="%USERPROFILE%\AppData\Local\Temp\OnboardLogs" /stypes="*4031*201712240*" /stext=" 04:.+((SYSTEM_STATE.+slice.+state.+changed )|(ment ac)|(multiple cpu faults)|(system.+state.+changed )|(\[timeout)|(PRM\|1\|D)|(kpr)|(kdp)|(train st.+moving)|(\|lc)|(penalty))"</v>
      </c>
      <c r="U33" s="9" t="str">
        <f t="shared" si="2"/>
        <v>4031</v>
      </c>
      <c r="V33" s="31">
        <f t="shared" si="3"/>
        <v>43093.203726851847</v>
      </c>
      <c r="W33" s="45" t="str">
        <f t="shared" si="4"/>
        <v>NW</v>
      </c>
      <c r="X33" s="228">
        <f t="shared" si="5"/>
        <v>1832</v>
      </c>
      <c r="Y33" s="238" t="str">
        <f t="shared" si="6"/>
        <v>echo {"issue":{"subject":"Poor GPS under Wewatta St. overpass","project_id":79,"tracker_id":40,"status_id":1,"priority_id":2,"assigned_to_id":338,"start_date":"2017-12-23","description":"","custom_fields":[{"id":1,"name":"Subdivision","value":"NW"},{"id":4,"name":"Milepost","value":"0.4798"},{"id":17,"name":"Train ID","value":"1832-23"},{"id":16,"name":"Locomotive ID","value":"4031"},{"id":130,"name":"Impact","value":""},{"id":150,"name":"Time of Event (Mountain Time)","value":"21:53:22"},{"id":151,"name":"Denver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 t="shared" si="7"/>
        <v>grep -hrE -A400 "Enforcement Action" /c/Users/stu/AppData/Local/Temp/OnboardLogs/RTDC4031 --include="*4031*201712240*"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"%USERPROFILE%\AppData\Local\Temp\OnboardLogs"\RTDC4031\*4031*201712240* &gt;&gt; 2017-12-23-SliceDisagreementCheck.txt</v>
      </c>
      <c r="AE33" s="144" t="str">
        <f t="shared" si="9"/>
        <v>start /low /b %USERPROFILE%\Documents\GitHub\eaglep3\Utilities\DownloadLogsFromS3.py --loco 4031 --day 2017-12-24</v>
      </c>
      <c r="AF33" s="1"/>
    </row>
    <row r="34" spans="1:32" x14ac:dyDescent="0.25">
      <c r="A34" s="31">
        <v>43093.059537037036</v>
      </c>
      <c r="B34" s="30" t="s">
        <v>679</v>
      </c>
      <c r="C34" s="30" t="s">
        <v>690</v>
      </c>
      <c r="D34" s="30" t="s">
        <v>49</v>
      </c>
      <c r="E34" s="30" t="s">
        <v>354</v>
      </c>
      <c r="F34" s="42">
        <v>0</v>
      </c>
      <c r="G34" s="42">
        <v>131</v>
      </c>
      <c r="H34" s="42">
        <v>22278</v>
      </c>
      <c r="I34" s="42">
        <v>22695</v>
      </c>
      <c r="J34" s="30" t="s">
        <v>355</v>
      </c>
      <c r="K34" s="42">
        <v>22314</v>
      </c>
      <c r="L34" s="131" t="s">
        <v>50</v>
      </c>
      <c r="M34" s="132">
        <f t="shared" si="0"/>
        <v>-201.16800000000001</v>
      </c>
      <c r="N34" s="133" t="str">
        <f>VLOOKUP(C34,'Trips&amp;Operators'!$C$1:$G$99911,5,FALSE)</f>
        <v>FORTUNATO FRANK</v>
      </c>
      <c r="O34" s="175" t="s">
        <v>178</v>
      </c>
      <c r="P34" s="239"/>
      <c r="Q34" s="30"/>
      <c r="R34" s="81" t="e">
        <f>VLOOKUP(C34,'Train Runs'!$A$13:$AE$10196,31,0)</f>
        <v>#N/A</v>
      </c>
      <c r="S34" s="84" t="e">
        <f>VLOOKUP(C34,'Train Runs'!$A$13:$AE$10196,22,0)</f>
        <v>#N/A</v>
      </c>
      <c r="T34" s="86" t="str">
        <f t="shared" si="1"/>
        <v>"C:\Program Files (x86)\AstroGrep\AstroGrep.exe" /e /r /s /spath="%USERPROFILE%\AppData\Local\Temp\OnboardLogs" /stypes="*4046*201712240*" /stext=" 08:.+((SYSTEM_STATE.+slice.+state.+changed )|(ment ac)|(multiple cpu faults)|(system.+state.+changed )|(\[timeout)|(PRM\|1\|D)|(kpr)|(kdp)|(train st.+moving)|(\|lc)|(penalty))"</v>
      </c>
      <c r="U34" s="9" t="str">
        <f t="shared" si="2"/>
        <v>4046</v>
      </c>
      <c r="V34" s="31">
        <f t="shared" si="3"/>
        <v>43093.3512037037</v>
      </c>
      <c r="W34" s="45" t="str">
        <f t="shared" si="4"/>
        <v>Other</v>
      </c>
      <c r="X34" s="228">
        <f t="shared" si="5"/>
        <v>307</v>
      </c>
      <c r="Y34" s="238" t="str">
        <f t="shared" si="6"/>
        <v>echo {"issue":{"subject":"","project_id":79,"tracker_id":40,"status_id":1,"priority_id":2,"assigned_to_id":338,"start_date":"2017-12-24","description":"","custom_fields":[{"id":1,"name":"Subdivision","value":"Other"},{"id":4,"name":"Milepost","value":"2.2314"},{"id":17,"name":"Train ID","value":"307-23"},{"id":16,"name":"Locomotive ID","value":"4046"},{"id":130,"name":"Impact","value":""},{"id":150,"name":"Time of Event (Mountain Time)","value":"01:25:44"},{"id":151,"name":"Denver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 t="shared" si="7"/>
        <v>grep -hrE -A400 "Enforcement Action" /c/Users/stu/AppData/Local/Temp/OnboardLogs/RTDC4046 --include="*4046*201712240*"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"%USERPROFILE%\AppData\Local\Temp\OnboardLogs"\RTDC4046\*4046*201712240* &gt;&gt; 2017-12-23-SliceDisagreementCheck.txt</v>
      </c>
      <c r="AE34" s="144" t="str">
        <f t="shared" si="9"/>
        <v>start /low /b %USERPROFILE%\Documents\GitHub\eaglep3\Utilities\DownloadLogsFromS3.py --loco 4046 --day 2017-12-24</v>
      </c>
      <c r="AF34" s="1"/>
    </row>
  </sheetData>
  <autoFilter ref="A6:AC15">
    <sortState ref="A7:AC34">
      <sortCondition ref="W7:W34"/>
      <sortCondition ref="E7:E34"/>
      <sortCondition ref="K7:K34"/>
      <sortCondition ref="F7:F34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4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2017-12-23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>
        <v>180</v>
      </c>
      <c r="B3" s="42" t="str">
        <f>A3&amp;"-"&amp;IF(DAY(Variables!$A$2)&lt;10,0,"")&amp;DAY(Variables!$A$2)</f>
        <v>180-23</v>
      </c>
      <c r="C3" s="134"/>
      <c r="D3" s="152" t="e">
        <f>VLOOKUP(B3,'Trips&amp;Operators'!$C$1:$H$1072,6,FALSE)</f>
        <v>#N/A</v>
      </c>
      <c r="E3" s="30" t="s">
        <v>1092</v>
      </c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22180-23%22)),sort:!(Time.ISO8601,asc))</v>
      </c>
      <c r="J3" s="30" t="e">
        <f>VLOOKUP(B3,'Train Runs'!$A$13:$A$100193,1,FALSE)</f>
        <v>#N/A</v>
      </c>
    </row>
    <row r="4" spans="1:10" x14ac:dyDescent="0.25">
      <c r="A4" s="197"/>
      <c r="B4" s="42" t="str">
        <f>A4&amp;"-"&amp;IF(DAY(Variables!$A$2)&lt;10,0,"")&amp;DAY(Variables!$A$2)</f>
        <v>-23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Runs'!$A$13:$A$100193,1,FALSE)</f>
        <v>#N/A</v>
      </c>
    </row>
    <row r="5" spans="1:10" x14ac:dyDescent="0.25">
      <c r="A5" s="197"/>
      <c r="B5" s="42" t="str">
        <f>A5&amp;"-"&amp;IF(DAY(Variables!$A$2)&lt;10,0,"")&amp;DAY(Variables!$A$2)</f>
        <v>-23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Runs'!$A$13:$A$100193,1,FALSE)</f>
        <v>#N/A</v>
      </c>
    </row>
    <row r="6" spans="1:10" x14ac:dyDescent="0.25">
      <c r="A6" s="197"/>
      <c r="B6" s="42" t="str">
        <f>A6&amp;"-"&amp;IF(DAY(Variables!$A$2)&lt;10,0,"")&amp;DAY(Variables!$A$2)</f>
        <v>-23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Runs'!$A$13:$A$100193,1,FALSE)</f>
        <v>#N/A</v>
      </c>
    </row>
    <row r="7" spans="1:10" x14ac:dyDescent="0.25">
      <c r="A7" s="197"/>
      <c r="B7" s="42" t="str">
        <f>A7&amp;"-"&amp;IF(DAY(Variables!$A$2)&lt;10,0,"")&amp;DAY(Variables!$A$2)</f>
        <v>-23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Runs'!$A$13:$A$100193,1,FALSE)</f>
        <v>#N/A</v>
      </c>
    </row>
    <row r="8" spans="1:10" x14ac:dyDescent="0.25">
      <c r="A8" s="197"/>
      <c r="B8" s="42" t="str">
        <f>A8&amp;"-"&amp;IF(DAY(Variables!$A$2)&lt;10,0,"")&amp;DAY(Variables!$A$2)</f>
        <v>-23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Runs'!$A$13:$A$100193,1,FALSE)</f>
        <v>#N/A</v>
      </c>
    </row>
    <row r="9" spans="1:10" x14ac:dyDescent="0.25">
      <c r="A9" s="197"/>
      <c r="B9" s="42" t="str">
        <f>A9&amp;"-"&amp;IF(DAY(Variables!$A$2)&lt;10,0,"")&amp;DAY(Variables!$A$2)</f>
        <v>-23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Runs'!$A$13:$A$100193,1,FALSE)</f>
        <v>#N/A</v>
      </c>
    </row>
    <row r="10" spans="1:10" x14ac:dyDescent="0.25">
      <c r="A10" s="197"/>
      <c r="B10" s="42" t="str">
        <f>A10&amp;"-"&amp;IF(DAY(Variables!$A$2)&lt;10,0,"")&amp;DAY(Variables!$A$2)</f>
        <v>-23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Runs'!$A$13:$A$100193,1,FALSE)</f>
        <v>#N/A</v>
      </c>
    </row>
    <row r="11" spans="1:10" x14ac:dyDescent="0.25">
      <c r="A11" s="197"/>
      <c r="B11" s="42" t="str">
        <f>A11&amp;"-"&amp;IF(DAY(Variables!$A$2)&lt;10,0,"")&amp;DAY(Variables!$A$2)</f>
        <v>-23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Runs'!$A$13:$A$100193,1,FALSE)</f>
        <v>#N/A</v>
      </c>
    </row>
    <row r="12" spans="1:10" x14ac:dyDescent="0.25">
      <c r="A12" s="197"/>
      <c r="B12" s="42" t="str">
        <f>A12&amp;"-"&amp;IF(DAY(Variables!$A$2)&lt;10,0,"")&amp;DAY(Variables!$A$2)</f>
        <v>-23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Runs'!$A$13:$A$100193,1,FALSE)</f>
        <v>#N/A</v>
      </c>
    </row>
    <row r="13" spans="1:10" x14ac:dyDescent="0.25">
      <c r="A13" s="197"/>
      <c r="B13" s="42" t="str">
        <f>A13&amp;"-"&amp;IF(DAY(Variables!$A$2)&lt;10,0,"")&amp;DAY(Variables!$A$2)</f>
        <v>-23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Runs'!$A$13:$A$100193,1,FALSE)</f>
        <v>#N/A</v>
      </c>
    </row>
    <row r="14" spans="1:10" x14ac:dyDescent="0.25">
      <c r="A14" s="197"/>
      <c r="B14" s="42" t="str">
        <f>A14&amp;"-"&amp;IF(DAY(Variables!$A$2)&lt;10,0,"")&amp;DAY(Variables!$A$2)</f>
        <v>-23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Runs'!$A$13:$A$100193,1,FALSE)</f>
        <v>#N/A</v>
      </c>
    </row>
    <row r="15" spans="1:10" x14ac:dyDescent="0.25">
      <c r="A15" s="197"/>
      <c r="B15" s="42" t="str">
        <f>A15&amp;"-"&amp;IF(DAY(Variables!$A$2)&lt;10,0,"")&amp;DAY(Variables!$A$2)</f>
        <v>-23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Runs'!$A$13:$A$100193,1,FALSE)</f>
        <v>#N/A</v>
      </c>
    </row>
    <row r="16" spans="1:10" x14ac:dyDescent="0.25">
      <c r="A16" s="197"/>
      <c r="B16" s="42" t="str">
        <f>A16&amp;"-"&amp;IF(DAY(Variables!$A$2)&lt;10,0,"")&amp;DAY(Variables!$A$2)</f>
        <v>-23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Runs'!$A$13:$A$100193,1,FALSE)</f>
        <v>#N/A</v>
      </c>
    </row>
    <row r="17" spans="1:10" x14ac:dyDescent="0.25">
      <c r="A17" s="197"/>
      <c r="B17" s="42" t="str">
        <f>A17&amp;"-"&amp;IF(DAY(Variables!$A$2)&lt;10,0,"")&amp;DAY(Variables!$A$2)</f>
        <v>-23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Runs'!$A$13:$A$100193,1,FALSE)</f>
        <v>#N/A</v>
      </c>
    </row>
    <row r="18" spans="1:10" x14ac:dyDescent="0.25">
      <c r="A18" s="197"/>
      <c r="B18" s="42" t="str">
        <f>A18&amp;"-"&amp;IF(DAY(Variables!$A$2)&lt;10,0,"")&amp;DAY(Variables!$A$2)</f>
        <v>-23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Runs'!$A$13:$A$100193,1,FALSE)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43092.036180555559</v>
      </c>
      <c r="B2" s="20" t="s">
        <v>580</v>
      </c>
      <c r="C2" s="20" t="s">
        <v>483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4019</v>
      </c>
    </row>
    <row r="3" spans="1:8" x14ac:dyDescent="0.25">
      <c r="A3" s="8">
        <v>43092.040810185186</v>
      </c>
      <c r="B3" s="20" t="s">
        <v>443</v>
      </c>
      <c r="C3" s="20" t="s">
        <v>601</v>
      </c>
      <c r="D3" s="137">
        <v>3310000</v>
      </c>
      <c r="E3" s="20" t="s">
        <v>494</v>
      </c>
      <c r="F3" s="20" t="s">
        <v>495</v>
      </c>
      <c r="G3" s="8" t="str">
        <f t="shared" ref="G3:G66" si="0">E3&amp;" "&amp;F3</f>
        <v>ANDERS STEVEN</v>
      </c>
      <c r="H3" s="20" t="str">
        <f t="shared" ref="H3:H66" si="1">MID(B3,13,4)</f>
        <v>4010</v>
      </c>
    </row>
    <row r="4" spans="1:8" x14ac:dyDescent="0.25">
      <c r="A4" s="8">
        <v>43092.047118055554</v>
      </c>
      <c r="B4" s="20" t="s">
        <v>479</v>
      </c>
      <c r="C4" s="20" t="s">
        <v>485</v>
      </c>
      <c r="D4" s="137">
        <v>3340000</v>
      </c>
      <c r="E4" s="20" t="s">
        <v>465</v>
      </c>
      <c r="F4" s="20" t="s">
        <v>466</v>
      </c>
      <c r="G4" s="8" t="str">
        <f t="shared" si="0"/>
        <v>ELBAUM MIKE</v>
      </c>
      <c r="H4" s="20" t="str">
        <f t="shared" si="1"/>
        <v>4005</v>
      </c>
    </row>
    <row r="5" spans="1:8" x14ac:dyDescent="0.25">
      <c r="A5" s="8">
        <v>43092.048067129632</v>
      </c>
      <c r="B5" s="20" t="s">
        <v>508</v>
      </c>
      <c r="C5" s="20" t="s">
        <v>484</v>
      </c>
      <c r="D5" s="137">
        <v>2600000</v>
      </c>
      <c r="E5" s="20" t="s">
        <v>585</v>
      </c>
      <c r="F5" s="20" t="s">
        <v>542</v>
      </c>
      <c r="G5" s="8" t="str">
        <f t="shared" si="0"/>
        <v>DAVIDSON DAVID</v>
      </c>
      <c r="H5" s="20" t="str">
        <f t="shared" si="1"/>
        <v>4044</v>
      </c>
    </row>
    <row r="6" spans="1:8" x14ac:dyDescent="0.25">
      <c r="A6" s="8">
        <v>43092.069814814815</v>
      </c>
      <c r="B6" s="20" t="s">
        <v>581</v>
      </c>
      <c r="C6" s="20" t="s">
        <v>486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4020</v>
      </c>
    </row>
    <row r="7" spans="1:8" x14ac:dyDescent="0.25">
      <c r="A7" s="8">
        <v>43092.071180555555</v>
      </c>
      <c r="B7" s="20" t="s">
        <v>497</v>
      </c>
      <c r="C7" s="20" t="s">
        <v>602</v>
      </c>
      <c r="D7" s="137">
        <v>3310000</v>
      </c>
      <c r="E7" s="20" t="s">
        <v>494</v>
      </c>
      <c r="F7" s="20" t="s">
        <v>495</v>
      </c>
      <c r="G7" s="8" t="str">
        <f t="shared" si="0"/>
        <v>ANDERS STEVEN</v>
      </c>
      <c r="H7" s="20" t="str">
        <f t="shared" si="1"/>
        <v>4009</v>
      </c>
    </row>
    <row r="8" spans="1:8" x14ac:dyDescent="0.25">
      <c r="A8" s="8">
        <v>43092.086921296293</v>
      </c>
      <c r="B8" s="20" t="s">
        <v>476</v>
      </c>
      <c r="C8" s="20" t="s">
        <v>487</v>
      </c>
      <c r="D8" s="137">
        <v>3340000</v>
      </c>
      <c r="E8" s="20" t="s">
        <v>465</v>
      </c>
      <c r="F8" s="20" t="s">
        <v>466</v>
      </c>
      <c r="G8" s="8" t="str">
        <f t="shared" si="0"/>
        <v>ELBAUM MIKE</v>
      </c>
      <c r="H8" s="20" t="str">
        <f t="shared" si="1"/>
        <v>4006</v>
      </c>
    </row>
    <row r="9" spans="1:8" ht="15.75" thickBot="1" x14ac:dyDescent="0.3">
      <c r="A9" s="24">
        <v>43092.109120370369</v>
      </c>
      <c r="B9" s="20" t="s">
        <v>443</v>
      </c>
      <c r="C9" s="20" t="s">
        <v>482</v>
      </c>
      <c r="D9" s="137">
        <v>3310000</v>
      </c>
      <c r="E9" s="20" t="s">
        <v>494</v>
      </c>
      <c r="F9" s="20" t="s">
        <v>495</v>
      </c>
      <c r="G9" s="8" t="str">
        <f t="shared" si="0"/>
        <v>ANDERS STEVEN</v>
      </c>
      <c r="H9" s="20" t="str">
        <f t="shared" si="1"/>
        <v>4010</v>
      </c>
    </row>
    <row r="10" spans="1:8" x14ac:dyDescent="0.25">
      <c r="A10" s="8">
        <v>43092.118761574071</v>
      </c>
      <c r="B10" s="20" t="s">
        <v>676</v>
      </c>
      <c r="C10" s="20" t="s">
        <v>691</v>
      </c>
      <c r="D10" s="137">
        <v>3120000</v>
      </c>
      <c r="E10" s="20" t="s">
        <v>369</v>
      </c>
      <c r="F10" s="20" t="s">
        <v>692</v>
      </c>
      <c r="G10" s="8" t="str">
        <f t="shared" si="0"/>
        <v>THOMPSON LESTER</v>
      </c>
      <c r="H10" s="20" t="str">
        <f t="shared" si="1"/>
        <v>4001</v>
      </c>
    </row>
    <row r="11" spans="1:8" x14ac:dyDescent="0.25">
      <c r="A11" s="8">
        <v>43092.121423611112</v>
      </c>
      <c r="B11" s="20" t="s">
        <v>497</v>
      </c>
      <c r="C11" s="20" t="s">
        <v>482</v>
      </c>
      <c r="D11" s="137">
        <v>3310000</v>
      </c>
      <c r="E11" s="20" t="s">
        <v>494</v>
      </c>
      <c r="F11" s="20" t="s">
        <v>495</v>
      </c>
      <c r="G11" s="8" t="str">
        <f t="shared" si="0"/>
        <v>ANDERS STEVEN</v>
      </c>
      <c r="H11" s="20" t="str">
        <f t="shared" si="1"/>
        <v>4009</v>
      </c>
    </row>
    <row r="12" spans="1:8" x14ac:dyDescent="0.25">
      <c r="A12" s="8">
        <v>43092.134502314817</v>
      </c>
      <c r="B12" s="20" t="s">
        <v>658</v>
      </c>
      <c r="C12" s="20" t="s">
        <v>693</v>
      </c>
      <c r="D12" s="137">
        <v>1780000</v>
      </c>
      <c r="E12" s="20" t="s">
        <v>694</v>
      </c>
      <c r="F12" s="20" t="s">
        <v>695</v>
      </c>
      <c r="G12" s="8" t="str">
        <f t="shared" si="0"/>
        <v>DE LA ROSA ALEX</v>
      </c>
      <c r="H12" s="20" t="str">
        <f t="shared" si="1"/>
        <v>4002</v>
      </c>
    </row>
    <row r="13" spans="1:8" x14ac:dyDescent="0.25">
      <c r="A13" s="8">
        <v>43092.139050925929</v>
      </c>
      <c r="B13" s="20" t="s">
        <v>475</v>
      </c>
      <c r="C13" s="20" t="s">
        <v>696</v>
      </c>
      <c r="D13" s="137">
        <v>2010000</v>
      </c>
      <c r="E13" s="20" t="s">
        <v>489</v>
      </c>
      <c r="F13" s="20" t="s">
        <v>490</v>
      </c>
      <c r="G13" s="8" t="str">
        <f t="shared" si="0"/>
        <v>MAELZER KURT</v>
      </c>
      <c r="H13" s="20" t="str">
        <f t="shared" si="1"/>
        <v>4015</v>
      </c>
    </row>
    <row r="14" spans="1:8" x14ac:dyDescent="0.25">
      <c r="A14" s="8">
        <v>43092.140798611108</v>
      </c>
      <c r="B14" s="20" t="s">
        <v>676</v>
      </c>
      <c r="C14" s="20" t="s">
        <v>697</v>
      </c>
      <c r="D14" s="137">
        <v>1780000</v>
      </c>
      <c r="E14" s="20" t="s">
        <v>694</v>
      </c>
      <c r="F14" s="20" t="s">
        <v>695</v>
      </c>
      <c r="G14" s="8" t="str">
        <f t="shared" si="0"/>
        <v>DE LA ROSA ALEX</v>
      </c>
      <c r="H14" s="20" t="str">
        <f t="shared" si="1"/>
        <v>4001</v>
      </c>
    </row>
    <row r="15" spans="1:8" x14ac:dyDescent="0.25">
      <c r="A15" s="8">
        <v>43092.151331018518</v>
      </c>
      <c r="B15" s="20" t="s">
        <v>477</v>
      </c>
      <c r="C15" s="20" t="s">
        <v>698</v>
      </c>
      <c r="D15" s="137">
        <v>2010000</v>
      </c>
      <c r="E15" s="20" t="s">
        <v>489</v>
      </c>
      <c r="F15" s="20" t="s">
        <v>490</v>
      </c>
      <c r="G15" s="8" t="str">
        <f t="shared" si="0"/>
        <v>MAELZER KURT</v>
      </c>
      <c r="H15" s="20" t="str">
        <f t="shared" si="1"/>
        <v>4016</v>
      </c>
    </row>
    <row r="16" spans="1:8" x14ac:dyDescent="0.25">
      <c r="A16" s="8">
        <v>43092.157581018517</v>
      </c>
      <c r="B16" s="20" t="s">
        <v>367</v>
      </c>
      <c r="C16" s="20" t="s">
        <v>699</v>
      </c>
      <c r="D16" s="137">
        <v>2440000</v>
      </c>
      <c r="E16" s="20" t="s">
        <v>452</v>
      </c>
      <c r="F16" s="20" t="s">
        <v>453</v>
      </c>
      <c r="G16" s="8" t="str">
        <f t="shared" si="0"/>
        <v>LOPES KIMBERLY</v>
      </c>
      <c r="H16" s="20" t="str">
        <f t="shared" si="1"/>
        <v>4035</v>
      </c>
    </row>
    <row r="17" spans="1:8" x14ac:dyDescent="0.25">
      <c r="A17" s="8">
        <v>43092.168576388889</v>
      </c>
      <c r="B17" s="20" t="s">
        <v>386</v>
      </c>
      <c r="C17" s="20" t="s">
        <v>700</v>
      </c>
      <c r="D17" s="137">
        <v>1100000</v>
      </c>
      <c r="E17" s="20" t="s">
        <v>498</v>
      </c>
      <c r="F17" s="20" t="s">
        <v>499</v>
      </c>
      <c r="G17" s="8" t="str">
        <f t="shared" si="0"/>
        <v>GEBRETEKLE DAGNEW</v>
      </c>
      <c r="H17" s="20" t="str">
        <f t="shared" si="1"/>
        <v>4029</v>
      </c>
    </row>
    <row r="18" spans="1:8" x14ac:dyDescent="0.25">
      <c r="A18" s="8">
        <v>43092.170393518521</v>
      </c>
      <c r="B18" s="20" t="s">
        <v>366</v>
      </c>
      <c r="C18" s="20" t="s">
        <v>701</v>
      </c>
      <c r="D18" s="137">
        <v>2440000</v>
      </c>
      <c r="E18" s="20" t="s">
        <v>452</v>
      </c>
      <c r="F18" s="20" t="s">
        <v>453</v>
      </c>
      <c r="G18" s="8" t="str">
        <f t="shared" si="0"/>
        <v>LOPES KIMBERLY</v>
      </c>
      <c r="H18" s="20" t="str">
        <f t="shared" si="1"/>
        <v>4036</v>
      </c>
    </row>
    <row r="19" spans="1:8" x14ac:dyDescent="0.25">
      <c r="A19" s="8">
        <v>43092.171180555553</v>
      </c>
      <c r="B19" s="20" t="s">
        <v>371</v>
      </c>
      <c r="C19" s="20" t="s">
        <v>702</v>
      </c>
      <c r="D19" s="137">
        <v>3120000</v>
      </c>
      <c r="E19" s="20" t="s">
        <v>369</v>
      </c>
      <c r="F19" s="20" t="s">
        <v>692</v>
      </c>
      <c r="G19" s="8" t="str">
        <f t="shared" si="0"/>
        <v>THOMPSON LESTER</v>
      </c>
      <c r="H19" s="20" t="str">
        <f t="shared" si="1"/>
        <v>4011</v>
      </c>
    </row>
    <row r="20" spans="1:8" x14ac:dyDescent="0.25">
      <c r="A20" s="8">
        <v>43092.179467592592</v>
      </c>
      <c r="B20" s="20" t="s">
        <v>658</v>
      </c>
      <c r="C20" s="20" t="s">
        <v>703</v>
      </c>
      <c r="D20" s="137">
        <v>1780000</v>
      </c>
      <c r="E20" s="20" t="s">
        <v>694</v>
      </c>
      <c r="F20" s="20" t="s">
        <v>695</v>
      </c>
      <c r="G20" s="8" t="str">
        <f t="shared" si="0"/>
        <v>DE LA ROSA ALEX</v>
      </c>
      <c r="H20" s="20" t="str">
        <f t="shared" si="1"/>
        <v>4002</v>
      </c>
    </row>
    <row r="21" spans="1:8" x14ac:dyDescent="0.25">
      <c r="A21" s="8">
        <v>43092.179525462961</v>
      </c>
      <c r="B21" s="20" t="s">
        <v>704</v>
      </c>
      <c r="C21" s="20" t="s">
        <v>705</v>
      </c>
      <c r="D21" s="137">
        <v>2370000</v>
      </c>
      <c r="E21" s="20" t="s">
        <v>502</v>
      </c>
      <c r="F21" s="20" t="s">
        <v>503</v>
      </c>
      <c r="G21" s="8" t="str">
        <f t="shared" si="0"/>
        <v>DELGADO DIANAH</v>
      </c>
      <c r="H21" s="20" t="str">
        <f t="shared" si="1"/>
        <v>4033</v>
      </c>
    </row>
    <row r="22" spans="1:8" x14ac:dyDescent="0.25">
      <c r="A22" s="26">
        <v>43092.183217592596</v>
      </c>
      <c r="B22" s="20" t="s">
        <v>392</v>
      </c>
      <c r="C22" s="20" t="s">
        <v>706</v>
      </c>
      <c r="D22" s="137">
        <v>1100000</v>
      </c>
      <c r="E22" s="20" t="s">
        <v>498</v>
      </c>
      <c r="F22" s="20" t="s">
        <v>499</v>
      </c>
      <c r="G22" s="8" t="str">
        <f t="shared" si="0"/>
        <v>GEBRETEKLE DAGNEW</v>
      </c>
      <c r="H22" s="20" t="str">
        <f t="shared" si="1"/>
        <v>4030</v>
      </c>
    </row>
    <row r="23" spans="1:8" x14ac:dyDescent="0.25">
      <c r="A23" s="8">
        <v>43092.186145833337</v>
      </c>
      <c r="B23" s="20" t="s">
        <v>475</v>
      </c>
      <c r="C23" s="20" t="s">
        <v>707</v>
      </c>
      <c r="D23" s="137">
        <v>2010000</v>
      </c>
      <c r="E23" s="20" t="s">
        <v>489</v>
      </c>
      <c r="F23" s="20" t="s">
        <v>490</v>
      </c>
      <c r="G23" s="8" t="str">
        <f t="shared" si="0"/>
        <v>MAELZER KURT</v>
      </c>
      <c r="H23" s="20" t="str">
        <f t="shared" si="1"/>
        <v>4015</v>
      </c>
    </row>
    <row r="24" spans="1:8" x14ac:dyDescent="0.25">
      <c r="A24" s="8">
        <v>43092.192280092589</v>
      </c>
      <c r="B24" s="20" t="s">
        <v>676</v>
      </c>
      <c r="C24" s="20" t="s">
        <v>708</v>
      </c>
      <c r="D24" s="137">
        <v>1780000</v>
      </c>
      <c r="E24" s="20" t="s">
        <v>694</v>
      </c>
      <c r="F24" s="20" t="s">
        <v>695</v>
      </c>
      <c r="G24" s="8" t="str">
        <f t="shared" si="0"/>
        <v>DE LA ROSA ALEX</v>
      </c>
      <c r="H24" s="20" t="str">
        <f t="shared" si="1"/>
        <v>4001</v>
      </c>
    </row>
    <row r="25" spans="1:8" x14ac:dyDescent="0.25">
      <c r="A25" s="8">
        <v>43092.193043981482</v>
      </c>
      <c r="B25" s="20" t="s">
        <v>709</v>
      </c>
      <c r="C25" s="20" t="s">
        <v>710</v>
      </c>
      <c r="D25" s="137">
        <v>2370000</v>
      </c>
      <c r="E25" s="20" t="s">
        <v>502</v>
      </c>
      <c r="F25" s="20" t="s">
        <v>503</v>
      </c>
      <c r="G25" s="8" t="str">
        <f t="shared" si="0"/>
        <v>DELGADO DIANAH</v>
      </c>
      <c r="H25" s="20" t="str">
        <f t="shared" si="1"/>
        <v>4034</v>
      </c>
    </row>
    <row r="26" spans="1:8" x14ac:dyDescent="0.25">
      <c r="A26" s="8">
        <v>43092.202106481483</v>
      </c>
      <c r="B26" s="20" t="s">
        <v>451</v>
      </c>
      <c r="C26" s="20" t="s">
        <v>711</v>
      </c>
      <c r="D26" s="137">
        <v>2560000</v>
      </c>
      <c r="E26" s="20" t="s">
        <v>582</v>
      </c>
      <c r="F26" s="20" t="s">
        <v>583</v>
      </c>
      <c r="G26" s="8" t="str">
        <f t="shared" si="0"/>
        <v>MACDONALD THOMAS</v>
      </c>
      <c r="H26" s="20" t="str">
        <f t="shared" si="1"/>
        <v>4051</v>
      </c>
    </row>
    <row r="27" spans="1:8" x14ac:dyDescent="0.25">
      <c r="A27" s="8">
        <v>43092.206701388888</v>
      </c>
      <c r="B27" s="20" t="s">
        <v>658</v>
      </c>
      <c r="C27" s="20" t="s">
        <v>712</v>
      </c>
      <c r="D27" s="137">
        <v>3120000</v>
      </c>
      <c r="E27" s="20" t="s">
        <v>369</v>
      </c>
      <c r="F27" s="20" t="s">
        <v>692</v>
      </c>
      <c r="G27" s="8" t="str">
        <f t="shared" si="0"/>
        <v>THOMPSON LESTER</v>
      </c>
      <c r="H27" s="20" t="str">
        <f t="shared" si="1"/>
        <v>4002</v>
      </c>
    </row>
    <row r="28" spans="1:8" x14ac:dyDescent="0.25">
      <c r="A28" s="8">
        <v>43092.208495370367</v>
      </c>
      <c r="B28" s="20" t="s">
        <v>658</v>
      </c>
      <c r="C28" s="20" t="s">
        <v>712</v>
      </c>
      <c r="D28" s="137">
        <v>3120000</v>
      </c>
      <c r="E28" s="20" t="s">
        <v>369</v>
      </c>
      <c r="F28" s="20" t="s">
        <v>692</v>
      </c>
      <c r="G28" s="8" t="str">
        <f t="shared" si="0"/>
        <v>THOMPSON LESTER</v>
      </c>
      <c r="H28" s="20" t="str">
        <f t="shared" si="1"/>
        <v>4002</v>
      </c>
    </row>
    <row r="29" spans="1:8" x14ac:dyDescent="0.25">
      <c r="A29" s="8">
        <v>43092.210949074077</v>
      </c>
      <c r="B29" s="20" t="s">
        <v>367</v>
      </c>
      <c r="C29" s="20" t="s">
        <v>713</v>
      </c>
      <c r="D29" s="137">
        <v>2440000</v>
      </c>
      <c r="E29" s="20" t="s">
        <v>452</v>
      </c>
      <c r="F29" s="20" t="s">
        <v>453</v>
      </c>
      <c r="G29" s="8" t="str">
        <f t="shared" si="0"/>
        <v>LOPES KIMBERLY</v>
      </c>
      <c r="H29" s="20" t="str">
        <f t="shared" si="1"/>
        <v>4035</v>
      </c>
    </row>
    <row r="30" spans="1:8" x14ac:dyDescent="0.25">
      <c r="A30" s="8">
        <v>43092.213564814818</v>
      </c>
      <c r="B30" s="20" t="s">
        <v>386</v>
      </c>
      <c r="C30" s="20" t="s">
        <v>714</v>
      </c>
      <c r="D30" s="137">
        <v>1100000</v>
      </c>
      <c r="E30" s="20" t="s">
        <v>498</v>
      </c>
      <c r="F30" s="20" t="s">
        <v>499</v>
      </c>
      <c r="G30" s="8" t="str">
        <f t="shared" si="0"/>
        <v>GEBRETEKLE DAGNEW</v>
      </c>
      <c r="H30" s="20" t="str">
        <f t="shared" si="1"/>
        <v>4029</v>
      </c>
    </row>
    <row r="31" spans="1:8" x14ac:dyDescent="0.25">
      <c r="A31" s="8">
        <v>43092.214861111112</v>
      </c>
      <c r="B31" s="20" t="s">
        <v>449</v>
      </c>
      <c r="C31" s="20" t="s">
        <v>655</v>
      </c>
      <c r="D31" s="137">
        <v>2560000</v>
      </c>
      <c r="E31" s="20" t="s">
        <v>582</v>
      </c>
      <c r="F31" s="20" t="s">
        <v>583</v>
      </c>
      <c r="G31" s="8" t="str">
        <f t="shared" si="0"/>
        <v>MACDONALD THOMAS</v>
      </c>
      <c r="H31" s="20" t="str">
        <f t="shared" si="1"/>
        <v>4052</v>
      </c>
    </row>
    <row r="32" spans="1:8" x14ac:dyDescent="0.25">
      <c r="A32" s="8">
        <v>43092.220555555556</v>
      </c>
      <c r="B32" s="20" t="s">
        <v>669</v>
      </c>
      <c r="C32" s="20" t="s">
        <v>715</v>
      </c>
      <c r="D32" s="137">
        <v>3040000</v>
      </c>
      <c r="E32" s="20" t="s">
        <v>368</v>
      </c>
      <c r="F32" s="20" t="s">
        <v>491</v>
      </c>
      <c r="G32" s="8" t="str">
        <f t="shared" si="0"/>
        <v>WILLIAMS DONTE</v>
      </c>
      <c r="H32" s="20" t="str">
        <f t="shared" si="1"/>
        <v>4025</v>
      </c>
    </row>
    <row r="33" spans="1:8" x14ac:dyDescent="0.25">
      <c r="A33" s="8">
        <v>43092.222766203704</v>
      </c>
      <c r="B33" s="20" t="s">
        <v>716</v>
      </c>
      <c r="C33" s="20" t="s">
        <v>717</v>
      </c>
      <c r="D33" s="137">
        <v>3090000</v>
      </c>
      <c r="E33" s="20" t="s">
        <v>718</v>
      </c>
      <c r="F33" s="20" t="s">
        <v>719</v>
      </c>
      <c r="G33" s="8" t="str">
        <f t="shared" si="0"/>
        <v>LAMAR NEKESHA</v>
      </c>
      <c r="H33" s="20" t="str">
        <f t="shared" si="1"/>
        <v>4032</v>
      </c>
    </row>
    <row r="34" spans="1:8" x14ac:dyDescent="0.25">
      <c r="A34" s="8">
        <v>43092.224814814814</v>
      </c>
      <c r="B34" s="20" t="s">
        <v>477</v>
      </c>
      <c r="C34" s="20" t="s">
        <v>720</v>
      </c>
      <c r="D34" s="137">
        <v>2010000</v>
      </c>
      <c r="E34" s="20" t="s">
        <v>489</v>
      </c>
      <c r="F34" s="20" t="s">
        <v>490</v>
      </c>
      <c r="G34" s="8" t="str">
        <f t="shared" si="0"/>
        <v>MAELZER KURT</v>
      </c>
      <c r="H34" s="20" t="str">
        <f t="shared" si="1"/>
        <v>4016</v>
      </c>
    </row>
    <row r="35" spans="1:8" x14ac:dyDescent="0.25">
      <c r="A35" s="8">
        <v>43092.227106481485</v>
      </c>
      <c r="B35" s="20" t="s">
        <v>704</v>
      </c>
      <c r="C35" s="20" t="s">
        <v>721</v>
      </c>
      <c r="D35" s="137">
        <v>2370000</v>
      </c>
      <c r="E35" s="20" t="s">
        <v>502</v>
      </c>
      <c r="F35" s="20" t="s">
        <v>503</v>
      </c>
      <c r="G35" s="8" t="str">
        <f t="shared" si="0"/>
        <v>DELGADO DIANAH</v>
      </c>
      <c r="H35" s="20" t="str">
        <f t="shared" si="1"/>
        <v>4033</v>
      </c>
    </row>
    <row r="36" spans="1:8" x14ac:dyDescent="0.25">
      <c r="A36" s="8">
        <v>43092.233263888891</v>
      </c>
      <c r="B36" s="20" t="s">
        <v>656</v>
      </c>
      <c r="C36" s="20" t="s">
        <v>722</v>
      </c>
      <c r="D36" s="137">
        <v>3090000</v>
      </c>
      <c r="E36" s="20" t="s">
        <v>718</v>
      </c>
      <c r="F36" s="20" t="s">
        <v>719</v>
      </c>
      <c r="G36" s="8" t="str">
        <f t="shared" si="0"/>
        <v>LAMAR NEKESHA</v>
      </c>
      <c r="H36" s="20" t="str">
        <f t="shared" si="1"/>
        <v>4031</v>
      </c>
    </row>
    <row r="37" spans="1:8" x14ac:dyDescent="0.25">
      <c r="A37" s="8">
        <v>43092.235972222225</v>
      </c>
      <c r="B37" s="20" t="s">
        <v>656</v>
      </c>
      <c r="C37" s="20" t="s">
        <v>722</v>
      </c>
      <c r="D37" s="137">
        <v>3090000</v>
      </c>
      <c r="E37" s="20" t="s">
        <v>718</v>
      </c>
      <c r="F37" s="20" t="s">
        <v>719</v>
      </c>
      <c r="G37" s="8" t="str">
        <f t="shared" si="0"/>
        <v>LAMAR NEKESHA</v>
      </c>
      <c r="H37" s="20" t="str">
        <f t="shared" si="1"/>
        <v>4031</v>
      </c>
    </row>
    <row r="38" spans="1:8" x14ac:dyDescent="0.25">
      <c r="A38" s="8">
        <v>43092.237453703703</v>
      </c>
      <c r="B38" s="20" t="s">
        <v>660</v>
      </c>
      <c r="C38" s="20" t="s">
        <v>723</v>
      </c>
      <c r="D38" s="137">
        <v>3040000</v>
      </c>
      <c r="E38" s="20" t="s">
        <v>368</v>
      </c>
      <c r="F38" s="20" t="s">
        <v>491</v>
      </c>
      <c r="G38" s="8" t="str">
        <f t="shared" si="0"/>
        <v>WILLIAMS DONTE</v>
      </c>
      <c r="H38" s="20" t="str">
        <f t="shared" si="1"/>
        <v>4026</v>
      </c>
    </row>
    <row r="39" spans="1:8" x14ac:dyDescent="0.25">
      <c r="A39" s="8">
        <v>43092.245219907411</v>
      </c>
      <c r="B39" s="20" t="s">
        <v>366</v>
      </c>
      <c r="C39" s="20" t="s">
        <v>724</v>
      </c>
      <c r="D39" s="137">
        <v>2440000</v>
      </c>
      <c r="E39" s="20" t="s">
        <v>452</v>
      </c>
      <c r="F39" s="20" t="s">
        <v>453</v>
      </c>
      <c r="G39" s="8" t="str">
        <f t="shared" si="0"/>
        <v>LOPES KIMBERLY</v>
      </c>
      <c r="H39" s="20" t="str">
        <f t="shared" si="1"/>
        <v>4036</v>
      </c>
    </row>
    <row r="40" spans="1:8" x14ac:dyDescent="0.25">
      <c r="A40" s="8">
        <v>43092.246851851851</v>
      </c>
      <c r="B40" s="25" t="s">
        <v>676</v>
      </c>
      <c r="C40" s="20" t="s">
        <v>725</v>
      </c>
      <c r="D40" s="137">
        <v>3120000</v>
      </c>
      <c r="E40" s="20" t="s">
        <v>369</v>
      </c>
      <c r="F40" s="20" t="s">
        <v>692</v>
      </c>
      <c r="G40" s="8" t="str">
        <f t="shared" si="0"/>
        <v>THOMPSON LESTER</v>
      </c>
      <c r="H40" s="20" t="str">
        <f t="shared" si="1"/>
        <v>4001</v>
      </c>
    </row>
    <row r="41" spans="1:8" x14ac:dyDescent="0.25">
      <c r="A41" s="8">
        <v>43092.254432870373</v>
      </c>
      <c r="B41" s="20" t="s">
        <v>716</v>
      </c>
      <c r="C41" s="20" t="s">
        <v>726</v>
      </c>
      <c r="D41" s="137">
        <v>3090000</v>
      </c>
      <c r="E41" s="20" t="s">
        <v>718</v>
      </c>
      <c r="F41" s="20" t="s">
        <v>719</v>
      </c>
      <c r="G41" s="8" t="str">
        <f t="shared" si="0"/>
        <v>LAMAR NEKESHA</v>
      </c>
      <c r="H41" s="20" t="str">
        <f t="shared" si="1"/>
        <v>4032</v>
      </c>
    </row>
    <row r="42" spans="1:8" x14ac:dyDescent="0.25">
      <c r="A42" s="8">
        <v>43092.255694444444</v>
      </c>
      <c r="B42" s="20" t="s">
        <v>451</v>
      </c>
      <c r="C42" s="20" t="s">
        <v>727</v>
      </c>
      <c r="D42" s="137">
        <v>2560000</v>
      </c>
      <c r="E42" s="20" t="s">
        <v>582</v>
      </c>
      <c r="F42" s="20" t="s">
        <v>583</v>
      </c>
      <c r="G42" s="8" t="str">
        <f t="shared" si="0"/>
        <v>MACDONALD THOMAS</v>
      </c>
      <c r="H42" s="20" t="str">
        <f t="shared" si="1"/>
        <v>4051</v>
      </c>
    </row>
    <row r="43" spans="1:8" x14ac:dyDescent="0.25">
      <c r="A43" s="8">
        <v>43092.258831018517</v>
      </c>
      <c r="B43" s="20" t="s">
        <v>392</v>
      </c>
      <c r="C43" s="20" t="s">
        <v>728</v>
      </c>
      <c r="D43" s="137">
        <v>1100000</v>
      </c>
      <c r="E43" s="20" t="s">
        <v>498</v>
      </c>
      <c r="F43" s="20" t="s">
        <v>499</v>
      </c>
      <c r="G43" s="8" t="str">
        <f t="shared" si="0"/>
        <v>GEBRETEKLE DAGNEW</v>
      </c>
      <c r="H43" s="20" t="str">
        <f t="shared" si="1"/>
        <v>4030</v>
      </c>
    </row>
    <row r="44" spans="1:8" x14ac:dyDescent="0.25">
      <c r="A44" s="8">
        <v>43092.264513888891</v>
      </c>
      <c r="B44" s="20" t="s">
        <v>475</v>
      </c>
      <c r="C44" s="20" t="s">
        <v>729</v>
      </c>
      <c r="D44" s="137">
        <v>2010000</v>
      </c>
      <c r="E44" s="20" t="s">
        <v>489</v>
      </c>
      <c r="F44" s="20" t="s">
        <v>490</v>
      </c>
      <c r="G44" s="8" t="str">
        <f t="shared" si="0"/>
        <v>MAELZER KURT</v>
      </c>
      <c r="H44" s="20" t="str">
        <f t="shared" si="1"/>
        <v>4015</v>
      </c>
    </row>
    <row r="45" spans="1:8" x14ac:dyDescent="0.25">
      <c r="A45" s="8">
        <v>43092.266805555555</v>
      </c>
      <c r="B45" s="20" t="s">
        <v>709</v>
      </c>
      <c r="C45" s="20" t="s">
        <v>730</v>
      </c>
      <c r="D45" s="137">
        <v>2370000</v>
      </c>
      <c r="E45" s="20" t="s">
        <v>502</v>
      </c>
      <c r="F45" s="20" t="s">
        <v>503</v>
      </c>
      <c r="G45" s="8" t="str">
        <f t="shared" si="0"/>
        <v>DELGADO DIANAH</v>
      </c>
      <c r="H45" s="20" t="str">
        <f t="shared" si="1"/>
        <v>4034</v>
      </c>
    </row>
    <row r="46" spans="1:8" x14ac:dyDescent="0.25">
      <c r="A46" s="8">
        <v>43092.267696759256</v>
      </c>
      <c r="B46" s="20" t="s">
        <v>656</v>
      </c>
      <c r="C46" s="20" t="s">
        <v>657</v>
      </c>
      <c r="D46" s="137">
        <v>3090000</v>
      </c>
      <c r="E46" s="20" t="s">
        <v>718</v>
      </c>
      <c r="F46" s="20" t="s">
        <v>719</v>
      </c>
      <c r="G46" s="8" t="str">
        <f t="shared" si="0"/>
        <v>LAMAR NEKESHA</v>
      </c>
      <c r="H46" s="20" t="str">
        <f t="shared" si="1"/>
        <v>4031</v>
      </c>
    </row>
    <row r="47" spans="1:8" x14ac:dyDescent="0.25">
      <c r="A47" s="8">
        <v>43092.277465277781</v>
      </c>
      <c r="B47" s="20" t="s">
        <v>669</v>
      </c>
      <c r="C47" s="20" t="s">
        <v>731</v>
      </c>
      <c r="D47" s="137">
        <v>3040000</v>
      </c>
      <c r="E47" s="20" t="s">
        <v>368</v>
      </c>
      <c r="F47" s="20" t="s">
        <v>491</v>
      </c>
      <c r="G47" s="8" t="str">
        <f t="shared" si="0"/>
        <v>WILLIAMS DONTE</v>
      </c>
      <c r="H47" s="20" t="str">
        <f t="shared" si="1"/>
        <v>4025</v>
      </c>
    </row>
    <row r="48" spans="1:8" x14ac:dyDescent="0.25">
      <c r="A48" s="8">
        <v>43092.279664351852</v>
      </c>
      <c r="B48" s="20" t="s">
        <v>658</v>
      </c>
      <c r="C48" s="20" t="s">
        <v>659</v>
      </c>
      <c r="D48" s="137">
        <v>3120000</v>
      </c>
      <c r="E48" s="20" t="s">
        <v>369</v>
      </c>
      <c r="F48" s="20" t="s">
        <v>692</v>
      </c>
      <c r="G48" s="8" t="str">
        <f t="shared" si="0"/>
        <v>THOMPSON LESTER</v>
      </c>
      <c r="H48" s="20" t="str">
        <f t="shared" si="1"/>
        <v>4002</v>
      </c>
    </row>
    <row r="49" spans="1:8" x14ac:dyDescent="0.25">
      <c r="A49" s="8">
        <v>43092.285925925928</v>
      </c>
      <c r="B49" s="20" t="s">
        <v>386</v>
      </c>
      <c r="C49" s="20" t="s">
        <v>732</v>
      </c>
      <c r="D49" s="137">
        <v>1100000</v>
      </c>
      <c r="E49" s="20" t="s">
        <v>498</v>
      </c>
      <c r="F49" s="20" t="s">
        <v>499</v>
      </c>
      <c r="G49" s="8" t="str">
        <f t="shared" si="0"/>
        <v>GEBRETEKLE DAGNEW</v>
      </c>
      <c r="H49" s="20" t="str">
        <f t="shared" si="1"/>
        <v>4029</v>
      </c>
    </row>
    <row r="50" spans="1:8" x14ac:dyDescent="0.25">
      <c r="A50" s="8">
        <v>43092.287430555552</v>
      </c>
      <c r="B50" s="20" t="s">
        <v>367</v>
      </c>
      <c r="C50" s="20" t="s">
        <v>733</v>
      </c>
      <c r="D50" s="137">
        <v>2440000</v>
      </c>
      <c r="E50" s="20" t="s">
        <v>452</v>
      </c>
      <c r="F50" s="20" t="s">
        <v>453</v>
      </c>
      <c r="G50" s="8" t="str">
        <f t="shared" si="0"/>
        <v>LOPES KIMBERLY</v>
      </c>
      <c r="H50" s="20" t="str">
        <f t="shared" si="1"/>
        <v>4035</v>
      </c>
    </row>
    <row r="51" spans="1:8" x14ac:dyDescent="0.25">
      <c r="A51" s="8">
        <v>43092.289930555555</v>
      </c>
      <c r="B51" s="20" t="s">
        <v>449</v>
      </c>
      <c r="C51" s="20" t="s">
        <v>734</v>
      </c>
      <c r="D51" s="137">
        <v>2560000</v>
      </c>
      <c r="E51" s="20" t="s">
        <v>582</v>
      </c>
      <c r="F51" s="20" t="s">
        <v>583</v>
      </c>
      <c r="G51" s="8" t="str">
        <f t="shared" si="0"/>
        <v>MACDONALD THOMAS</v>
      </c>
      <c r="H51" s="20" t="str">
        <f t="shared" si="1"/>
        <v>4052</v>
      </c>
    </row>
    <row r="52" spans="1:8" x14ac:dyDescent="0.25">
      <c r="A52" s="8">
        <v>43092.291979166665</v>
      </c>
      <c r="B52" s="20" t="s">
        <v>371</v>
      </c>
      <c r="C52" s="20" t="s">
        <v>735</v>
      </c>
      <c r="D52" s="137">
        <v>1780000</v>
      </c>
      <c r="E52" s="20" t="s">
        <v>694</v>
      </c>
      <c r="F52" s="20" t="s">
        <v>695</v>
      </c>
      <c r="G52" s="8" t="str">
        <f t="shared" si="0"/>
        <v>DE LA ROSA ALEX</v>
      </c>
      <c r="H52" s="20" t="str">
        <f t="shared" si="1"/>
        <v>4011</v>
      </c>
    </row>
    <row r="53" spans="1:8" x14ac:dyDescent="0.25">
      <c r="A53" s="8">
        <v>43092.293449074074</v>
      </c>
      <c r="B53" s="20" t="s">
        <v>370</v>
      </c>
      <c r="C53" s="20" t="s">
        <v>735</v>
      </c>
      <c r="D53" s="137">
        <v>1780000</v>
      </c>
      <c r="E53" s="20" t="s">
        <v>694</v>
      </c>
      <c r="F53" s="20" t="s">
        <v>695</v>
      </c>
      <c r="G53" s="8" t="str">
        <f t="shared" si="0"/>
        <v>DE LA ROSA ALEX</v>
      </c>
      <c r="H53" s="20" t="str">
        <f t="shared" si="1"/>
        <v>4012</v>
      </c>
    </row>
    <row r="54" spans="1:8" x14ac:dyDescent="0.25">
      <c r="A54" s="8">
        <v>43092.294907407406</v>
      </c>
      <c r="B54" s="20" t="s">
        <v>716</v>
      </c>
      <c r="C54" s="20" t="s">
        <v>736</v>
      </c>
      <c r="D54" s="137">
        <v>3090000</v>
      </c>
      <c r="E54" s="20" t="s">
        <v>718</v>
      </c>
      <c r="F54" s="20" t="s">
        <v>719</v>
      </c>
      <c r="G54" s="8" t="str">
        <f t="shared" si="0"/>
        <v>LAMAR NEKESHA</v>
      </c>
      <c r="H54" s="20" t="str">
        <f t="shared" si="1"/>
        <v>4032</v>
      </c>
    </row>
    <row r="55" spans="1:8" x14ac:dyDescent="0.25">
      <c r="A55" s="8">
        <v>43092.298136574071</v>
      </c>
      <c r="B55" s="20" t="s">
        <v>704</v>
      </c>
      <c r="C55" s="20" t="s">
        <v>737</v>
      </c>
      <c r="D55" s="137">
        <v>2370000</v>
      </c>
      <c r="E55" s="20" t="s">
        <v>502</v>
      </c>
      <c r="F55" s="20" t="s">
        <v>503</v>
      </c>
      <c r="G55" s="8" t="str">
        <f t="shared" si="0"/>
        <v>DELGADO DIANAH</v>
      </c>
      <c r="H55" s="20" t="str">
        <f t="shared" si="1"/>
        <v>4033</v>
      </c>
    </row>
    <row r="56" spans="1:8" x14ac:dyDescent="0.25">
      <c r="A56" s="8">
        <v>43092.299178240741</v>
      </c>
      <c r="B56" s="20" t="s">
        <v>477</v>
      </c>
      <c r="C56" s="20" t="s">
        <v>738</v>
      </c>
      <c r="D56" s="137">
        <v>2010000</v>
      </c>
      <c r="E56" s="20" t="s">
        <v>489</v>
      </c>
      <c r="F56" s="20" t="s">
        <v>490</v>
      </c>
      <c r="G56" s="8" t="str">
        <f t="shared" si="0"/>
        <v>MAELZER KURT</v>
      </c>
      <c r="H56" s="20" t="str">
        <f t="shared" si="1"/>
        <v>4016</v>
      </c>
    </row>
    <row r="57" spans="1:8" x14ac:dyDescent="0.25">
      <c r="A57" s="8">
        <v>43092.309467592589</v>
      </c>
      <c r="B57" s="20" t="s">
        <v>656</v>
      </c>
      <c r="C57" s="20" t="s">
        <v>739</v>
      </c>
      <c r="D57" s="137">
        <v>3090000</v>
      </c>
      <c r="E57" s="20" t="s">
        <v>718</v>
      </c>
      <c r="F57" s="20" t="s">
        <v>719</v>
      </c>
      <c r="G57" s="8" t="str">
        <f t="shared" si="0"/>
        <v>LAMAR NEKESHA</v>
      </c>
      <c r="H57" s="20" t="str">
        <f t="shared" si="1"/>
        <v>4031</v>
      </c>
    </row>
    <row r="58" spans="1:8" x14ac:dyDescent="0.25">
      <c r="A58" s="8">
        <v>43092.309594907405</v>
      </c>
      <c r="B58" s="20" t="s">
        <v>660</v>
      </c>
      <c r="C58" s="20" t="s">
        <v>661</v>
      </c>
      <c r="D58" s="137">
        <v>3040000</v>
      </c>
      <c r="E58" s="20" t="s">
        <v>368</v>
      </c>
      <c r="F58" s="20" t="s">
        <v>491</v>
      </c>
      <c r="G58" s="8" t="str">
        <f t="shared" si="0"/>
        <v>WILLIAMS DONTE</v>
      </c>
      <c r="H58" s="20" t="str">
        <f t="shared" si="1"/>
        <v>4026</v>
      </c>
    </row>
    <row r="59" spans="1:8" x14ac:dyDescent="0.25">
      <c r="A59" s="8">
        <v>43092.316886574074</v>
      </c>
      <c r="B59" s="20" t="s">
        <v>366</v>
      </c>
      <c r="C59" s="20" t="s">
        <v>740</v>
      </c>
      <c r="D59" s="137">
        <v>2440000</v>
      </c>
      <c r="E59" s="20" t="s">
        <v>452</v>
      </c>
      <c r="F59" s="20" t="s">
        <v>453</v>
      </c>
      <c r="G59" s="8" t="str">
        <f t="shared" si="0"/>
        <v>LOPES KIMBERLY</v>
      </c>
      <c r="H59" s="20" t="str">
        <f t="shared" si="1"/>
        <v>4036</v>
      </c>
    </row>
    <row r="60" spans="1:8" x14ac:dyDescent="0.25">
      <c r="A60" s="8">
        <v>43092.320150462961</v>
      </c>
      <c r="B60" s="20" t="s">
        <v>676</v>
      </c>
      <c r="C60" s="20" t="s">
        <v>741</v>
      </c>
      <c r="D60" s="137">
        <v>3120000</v>
      </c>
      <c r="E60" s="20" t="s">
        <v>369</v>
      </c>
      <c r="F60" s="20" t="s">
        <v>692</v>
      </c>
      <c r="G60" s="8" t="str">
        <f t="shared" si="0"/>
        <v>THOMPSON LESTER</v>
      </c>
      <c r="H60" s="20" t="str">
        <f t="shared" si="1"/>
        <v>4001</v>
      </c>
    </row>
    <row r="61" spans="1:8" x14ac:dyDescent="0.25">
      <c r="A61" s="8">
        <v>43092.322233796294</v>
      </c>
      <c r="B61" s="20" t="s">
        <v>451</v>
      </c>
      <c r="C61" s="20" t="s">
        <v>742</v>
      </c>
      <c r="D61" s="137">
        <v>2560000</v>
      </c>
      <c r="E61" s="20" t="s">
        <v>582</v>
      </c>
      <c r="F61" s="20" t="s">
        <v>583</v>
      </c>
      <c r="G61" s="8" t="str">
        <f t="shared" si="0"/>
        <v>MACDONALD THOMAS</v>
      </c>
      <c r="H61" s="20" t="str">
        <f t="shared" si="1"/>
        <v>4051</v>
      </c>
    </row>
    <row r="62" spans="1:8" x14ac:dyDescent="0.25">
      <c r="A62" s="8">
        <v>43092.329583333332</v>
      </c>
      <c r="B62" s="20" t="s">
        <v>392</v>
      </c>
      <c r="C62" s="20" t="s">
        <v>662</v>
      </c>
      <c r="D62" s="137">
        <v>1100000</v>
      </c>
      <c r="E62" s="20" t="s">
        <v>498</v>
      </c>
      <c r="F62" s="20" t="s">
        <v>499</v>
      </c>
      <c r="G62" s="8" t="str">
        <f t="shared" si="0"/>
        <v>GEBRETEKLE DAGNEW</v>
      </c>
      <c r="H62" s="20" t="str">
        <f t="shared" si="1"/>
        <v>4030</v>
      </c>
    </row>
    <row r="63" spans="1:8" x14ac:dyDescent="0.25">
      <c r="A63" s="8">
        <v>43092.332048611112</v>
      </c>
      <c r="B63" s="20" t="s">
        <v>716</v>
      </c>
      <c r="C63" s="20" t="s">
        <v>743</v>
      </c>
      <c r="D63" s="137">
        <v>3090000</v>
      </c>
      <c r="E63" s="20" t="s">
        <v>718</v>
      </c>
      <c r="F63" s="20" t="s">
        <v>719</v>
      </c>
      <c r="G63" s="8" t="str">
        <f t="shared" si="0"/>
        <v>LAMAR NEKESHA</v>
      </c>
      <c r="H63" s="20" t="str">
        <f t="shared" si="1"/>
        <v>4032</v>
      </c>
    </row>
    <row r="64" spans="1:8" x14ac:dyDescent="0.25">
      <c r="A64" s="26">
        <v>43092.332268518519</v>
      </c>
      <c r="B64" s="20" t="s">
        <v>475</v>
      </c>
      <c r="C64" s="20" t="s">
        <v>744</v>
      </c>
      <c r="D64" s="137">
        <v>2010000</v>
      </c>
      <c r="E64" s="20" t="s">
        <v>489</v>
      </c>
      <c r="F64" s="20" t="s">
        <v>490</v>
      </c>
      <c r="G64" s="8" t="str">
        <f t="shared" si="0"/>
        <v>MAELZER KURT</v>
      </c>
      <c r="H64" s="20" t="str">
        <f t="shared" si="1"/>
        <v>4015</v>
      </c>
    </row>
    <row r="65" spans="1:8" x14ac:dyDescent="0.25">
      <c r="A65" s="8">
        <v>43092.338935185187</v>
      </c>
      <c r="B65" s="20" t="s">
        <v>709</v>
      </c>
      <c r="C65" s="20" t="s">
        <v>745</v>
      </c>
      <c r="D65" s="137">
        <v>2370000</v>
      </c>
      <c r="E65" s="20" t="s">
        <v>502</v>
      </c>
      <c r="F65" s="20" t="s">
        <v>503</v>
      </c>
      <c r="G65" s="8" t="str">
        <f t="shared" si="0"/>
        <v>DELGADO DIANAH</v>
      </c>
      <c r="H65" s="20" t="str">
        <f t="shared" si="1"/>
        <v>4034</v>
      </c>
    </row>
    <row r="66" spans="1:8" x14ac:dyDescent="0.25">
      <c r="A66" s="8">
        <v>43092.348043981481</v>
      </c>
      <c r="B66" s="20" t="s">
        <v>669</v>
      </c>
      <c r="C66" s="20" t="s">
        <v>746</v>
      </c>
      <c r="D66" s="137">
        <v>3040000</v>
      </c>
      <c r="E66" s="20" t="s">
        <v>368</v>
      </c>
      <c r="F66" s="20" t="s">
        <v>491</v>
      </c>
      <c r="G66" s="8" t="str">
        <f t="shared" si="0"/>
        <v>WILLIAMS DONTE</v>
      </c>
      <c r="H66" s="20" t="str">
        <f t="shared" si="1"/>
        <v>4025</v>
      </c>
    </row>
    <row r="67" spans="1:8" x14ac:dyDescent="0.25">
      <c r="A67" s="8">
        <v>43092.350763888891</v>
      </c>
      <c r="B67" s="20" t="s">
        <v>656</v>
      </c>
      <c r="C67" s="20" t="s">
        <v>747</v>
      </c>
      <c r="D67" s="137">
        <v>3090000</v>
      </c>
      <c r="E67" s="20" t="s">
        <v>718</v>
      </c>
      <c r="F67" s="20" t="s">
        <v>719</v>
      </c>
      <c r="G67" s="8" t="str">
        <f t="shared" ref="G67:G130" si="2">E67&amp;" "&amp;F67</f>
        <v>LAMAR NEKESHA</v>
      </c>
      <c r="H67" s="20" t="str">
        <f t="shared" ref="H67:H130" si="3">MID(B67,13,4)</f>
        <v>4031</v>
      </c>
    </row>
    <row r="68" spans="1:8" x14ac:dyDescent="0.25">
      <c r="A68" s="8">
        <v>43092.351956018516</v>
      </c>
      <c r="B68" s="20" t="s">
        <v>367</v>
      </c>
      <c r="C68" s="20" t="s">
        <v>748</v>
      </c>
      <c r="D68" s="137">
        <v>2440000</v>
      </c>
      <c r="E68" s="20" t="s">
        <v>452</v>
      </c>
      <c r="F68" s="20" t="s">
        <v>453</v>
      </c>
      <c r="G68" s="8" t="str">
        <f t="shared" si="2"/>
        <v>LOPES KIMBERLY</v>
      </c>
      <c r="H68" s="20" t="str">
        <f t="shared" si="3"/>
        <v>4035</v>
      </c>
    </row>
    <row r="69" spans="1:8" x14ac:dyDescent="0.25">
      <c r="A69" s="8">
        <v>43092.352592592593</v>
      </c>
      <c r="B69" s="20" t="s">
        <v>658</v>
      </c>
      <c r="C69" s="20" t="s">
        <v>749</v>
      </c>
      <c r="D69" s="137">
        <v>3120000</v>
      </c>
      <c r="E69" s="20" t="s">
        <v>369</v>
      </c>
      <c r="F69" s="20" t="s">
        <v>692</v>
      </c>
      <c r="G69" s="8" t="str">
        <f t="shared" si="2"/>
        <v>THOMPSON LESTER</v>
      </c>
      <c r="H69" s="20" t="str">
        <f t="shared" si="3"/>
        <v>4002</v>
      </c>
    </row>
    <row r="70" spans="1:8" x14ac:dyDescent="0.25">
      <c r="A70" s="8">
        <v>43092.362662037034</v>
      </c>
      <c r="B70" s="20" t="s">
        <v>386</v>
      </c>
      <c r="C70" s="20" t="s">
        <v>750</v>
      </c>
      <c r="D70" s="137">
        <v>1100000</v>
      </c>
      <c r="E70" s="20" t="s">
        <v>498</v>
      </c>
      <c r="F70" s="20" t="s">
        <v>499</v>
      </c>
      <c r="G70" s="8" t="str">
        <f t="shared" si="2"/>
        <v>GEBRETEKLE DAGNEW</v>
      </c>
      <c r="H70" s="20" t="str">
        <f t="shared" si="3"/>
        <v>4029</v>
      </c>
    </row>
    <row r="71" spans="1:8" x14ac:dyDescent="0.25">
      <c r="A71" s="8">
        <v>43092.364236111112</v>
      </c>
      <c r="B71" s="20" t="s">
        <v>449</v>
      </c>
      <c r="C71" s="20" t="s">
        <v>751</v>
      </c>
      <c r="D71" s="137">
        <v>2560000</v>
      </c>
      <c r="E71" s="20" t="s">
        <v>582</v>
      </c>
      <c r="F71" s="20" t="s">
        <v>583</v>
      </c>
      <c r="G71" s="8" t="str">
        <f t="shared" si="2"/>
        <v>MACDONALD THOMAS</v>
      </c>
      <c r="H71" s="20" t="str">
        <f t="shared" si="3"/>
        <v>4052</v>
      </c>
    </row>
    <row r="72" spans="1:8" x14ac:dyDescent="0.25">
      <c r="A72" s="8">
        <v>43092.371006944442</v>
      </c>
      <c r="B72" s="20" t="s">
        <v>477</v>
      </c>
      <c r="C72" s="20" t="s">
        <v>663</v>
      </c>
      <c r="D72" s="137">
        <v>2010000</v>
      </c>
      <c r="E72" s="20" t="s">
        <v>489</v>
      </c>
      <c r="F72" s="20" t="s">
        <v>490</v>
      </c>
      <c r="G72" s="8" t="str">
        <f t="shared" si="2"/>
        <v>MAELZER KURT</v>
      </c>
      <c r="H72" s="20" t="str">
        <f t="shared" si="3"/>
        <v>4016</v>
      </c>
    </row>
    <row r="73" spans="1:8" x14ac:dyDescent="0.25">
      <c r="A73" s="8">
        <v>43092.373298611114</v>
      </c>
      <c r="B73" s="20" t="s">
        <v>716</v>
      </c>
      <c r="C73" s="20" t="s">
        <v>752</v>
      </c>
      <c r="D73" s="137">
        <v>3090000</v>
      </c>
      <c r="E73" s="20" t="s">
        <v>718</v>
      </c>
      <c r="F73" s="20" t="s">
        <v>719</v>
      </c>
      <c r="G73" s="8" t="str">
        <f t="shared" si="2"/>
        <v>LAMAR NEKESHA</v>
      </c>
      <c r="H73" s="20" t="str">
        <f t="shared" si="3"/>
        <v>4032</v>
      </c>
    </row>
    <row r="74" spans="1:8" x14ac:dyDescent="0.25">
      <c r="A74" s="8">
        <v>43092.37972222222</v>
      </c>
      <c r="B74" s="20" t="s">
        <v>704</v>
      </c>
      <c r="C74" s="20" t="s">
        <v>753</v>
      </c>
      <c r="D74" s="137">
        <v>2370000</v>
      </c>
      <c r="E74" s="20" t="s">
        <v>502</v>
      </c>
      <c r="F74" s="20" t="s">
        <v>503</v>
      </c>
      <c r="G74" s="8" t="str">
        <f t="shared" si="2"/>
        <v>DELGADO DIANAH</v>
      </c>
      <c r="H74" s="20" t="str">
        <f t="shared" si="3"/>
        <v>4033</v>
      </c>
    </row>
    <row r="75" spans="1:8" x14ac:dyDescent="0.25">
      <c r="A75" s="8">
        <v>43092.382222222222</v>
      </c>
      <c r="B75" s="20" t="s">
        <v>660</v>
      </c>
      <c r="C75" s="20" t="s">
        <v>754</v>
      </c>
      <c r="D75" s="137">
        <v>3040000</v>
      </c>
      <c r="E75" s="20" t="s">
        <v>368</v>
      </c>
      <c r="F75" s="20" t="s">
        <v>491</v>
      </c>
      <c r="G75" s="8" t="str">
        <f t="shared" si="2"/>
        <v>WILLIAMS DONTE</v>
      </c>
      <c r="H75" s="20" t="str">
        <f t="shared" si="3"/>
        <v>4026</v>
      </c>
    </row>
    <row r="76" spans="1:8" x14ac:dyDescent="0.25">
      <c r="A76" s="8">
        <v>43092.387916666667</v>
      </c>
      <c r="B76" s="20" t="s">
        <v>477</v>
      </c>
      <c r="C76" s="20" t="s">
        <v>663</v>
      </c>
      <c r="D76" s="137">
        <v>2010000</v>
      </c>
      <c r="E76" s="20" t="s">
        <v>489</v>
      </c>
      <c r="F76" s="20" t="s">
        <v>490</v>
      </c>
      <c r="G76" s="8" t="str">
        <f t="shared" si="2"/>
        <v>MAELZER KURT</v>
      </c>
      <c r="H76" s="20" t="str">
        <f t="shared" si="3"/>
        <v>4016</v>
      </c>
    </row>
    <row r="77" spans="1:8" x14ac:dyDescent="0.25">
      <c r="A77" s="8">
        <v>43092.390694444446</v>
      </c>
      <c r="B77" s="20" t="s">
        <v>366</v>
      </c>
      <c r="C77" s="20" t="s">
        <v>755</v>
      </c>
      <c r="D77" s="137">
        <v>2440000</v>
      </c>
      <c r="E77" s="20" t="s">
        <v>452</v>
      </c>
      <c r="F77" s="20" t="s">
        <v>453</v>
      </c>
      <c r="G77" s="8" t="str">
        <f t="shared" si="2"/>
        <v>LOPES KIMBERLY</v>
      </c>
      <c r="H77" s="20" t="str">
        <f t="shared" si="3"/>
        <v>4036</v>
      </c>
    </row>
    <row r="78" spans="1:8" x14ac:dyDescent="0.25">
      <c r="A78" s="8">
        <v>43092.392442129632</v>
      </c>
      <c r="B78" s="20" t="s">
        <v>656</v>
      </c>
      <c r="C78" s="20" t="s">
        <v>756</v>
      </c>
      <c r="D78" s="137">
        <v>3090000</v>
      </c>
      <c r="E78" s="20" t="s">
        <v>718</v>
      </c>
      <c r="F78" s="20" t="s">
        <v>719</v>
      </c>
      <c r="G78" s="8" t="str">
        <f t="shared" si="2"/>
        <v>LAMAR NEKESHA</v>
      </c>
      <c r="H78" s="20" t="str">
        <f t="shared" si="3"/>
        <v>4031</v>
      </c>
    </row>
    <row r="79" spans="1:8" x14ac:dyDescent="0.25">
      <c r="A79" s="8">
        <v>43092.39266203704</v>
      </c>
      <c r="B79" s="20" t="s">
        <v>676</v>
      </c>
      <c r="C79" s="20" t="s">
        <v>757</v>
      </c>
      <c r="D79" s="137">
        <v>3120000</v>
      </c>
      <c r="E79" s="20" t="s">
        <v>369</v>
      </c>
      <c r="F79" s="20" t="s">
        <v>692</v>
      </c>
      <c r="G79" s="8" t="str">
        <f t="shared" si="2"/>
        <v>THOMPSON LESTER</v>
      </c>
      <c r="H79" s="20" t="str">
        <f t="shared" si="3"/>
        <v>4001</v>
      </c>
    </row>
    <row r="80" spans="1:8" x14ac:dyDescent="0.25">
      <c r="A80" s="8">
        <v>43092.394490740742</v>
      </c>
      <c r="B80" s="20" t="s">
        <v>451</v>
      </c>
      <c r="C80" s="20" t="s">
        <v>758</v>
      </c>
      <c r="D80" s="137">
        <v>2560000</v>
      </c>
      <c r="E80" s="20" t="s">
        <v>582</v>
      </c>
      <c r="F80" s="20" t="s">
        <v>583</v>
      </c>
      <c r="G80" s="8" t="str">
        <f t="shared" si="2"/>
        <v>MACDONALD THOMAS</v>
      </c>
      <c r="H80" s="20" t="str">
        <f t="shared" si="3"/>
        <v>4051</v>
      </c>
    </row>
    <row r="81" spans="1:8" x14ac:dyDescent="0.25">
      <c r="A81" s="8">
        <v>43092.400567129633</v>
      </c>
      <c r="B81" s="20" t="s">
        <v>392</v>
      </c>
      <c r="C81" s="20" t="s">
        <v>759</v>
      </c>
      <c r="D81" s="137">
        <v>1100000</v>
      </c>
      <c r="E81" s="20" t="s">
        <v>498</v>
      </c>
      <c r="F81" s="20" t="s">
        <v>499</v>
      </c>
      <c r="G81" s="8" t="str">
        <f t="shared" si="2"/>
        <v>GEBRETEKLE DAGNEW</v>
      </c>
      <c r="H81" s="20" t="str">
        <f t="shared" si="3"/>
        <v>4030</v>
      </c>
    </row>
    <row r="82" spans="1:8" x14ac:dyDescent="0.25">
      <c r="A82" s="8">
        <v>43092.410578703704</v>
      </c>
      <c r="B82" s="20" t="s">
        <v>475</v>
      </c>
      <c r="C82" s="20" t="s">
        <v>760</v>
      </c>
      <c r="D82" s="137">
        <v>2010000</v>
      </c>
      <c r="E82" s="20" t="s">
        <v>489</v>
      </c>
      <c r="F82" s="20" t="s">
        <v>490</v>
      </c>
      <c r="G82" s="8" t="str">
        <f t="shared" si="2"/>
        <v>MAELZER KURT</v>
      </c>
      <c r="H82" s="20" t="str">
        <f t="shared" si="3"/>
        <v>4015</v>
      </c>
    </row>
    <row r="83" spans="1:8" x14ac:dyDescent="0.25">
      <c r="A83" s="8">
        <v>43092.413854166669</v>
      </c>
      <c r="B83" s="20" t="s">
        <v>709</v>
      </c>
      <c r="C83" s="20" t="s">
        <v>761</v>
      </c>
      <c r="D83" s="137">
        <v>2370000</v>
      </c>
      <c r="E83" s="20" t="s">
        <v>502</v>
      </c>
      <c r="F83" s="20" t="s">
        <v>503</v>
      </c>
      <c r="G83" s="8" t="str">
        <f t="shared" si="2"/>
        <v>DELGADO DIANAH</v>
      </c>
      <c r="H83" s="20" t="str">
        <f t="shared" si="3"/>
        <v>4034</v>
      </c>
    </row>
    <row r="84" spans="1:8" x14ac:dyDescent="0.25">
      <c r="A84" s="8">
        <v>43092.415266203701</v>
      </c>
      <c r="B84" s="20" t="s">
        <v>716</v>
      </c>
      <c r="C84" s="20" t="s">
        <v>762</v>
      </c>
      <c r="D84" s="137">
        <v>3090000</v>
      </c>
      <c r="E84" s="20" t="s">
        <v>718</v>
      </c>
      <c r="F84" s="20" t="s">
        <v>719</v>
      </c>
      <c r="G84" s="8" t="str">
        <f t="shared" si="2"/>
        <v>LAMAR NEKESHA</v>
      </c>
      <c r="H84" s="20" t="str">
        <f t="shared" si="3"/>
        <v>4032</v>
      </c>
    </row>
    <row r="85" spans="1:8" x14ac:dyDescent="0.25">
      <c r="A85" s="8">
        <v>43092.421516203707</v>
      </c>
      <c r="B85" s="20" t="s">
        <v>669</v>
      </c>
      <c r="C85" s="20" t="s">
        <v>763</v>
      </c>
      <c r="D85" s="137">
        <v>3040000</v>
      </c>
      <c r="E85" s="20" t="s">
        <v>368</v>
      </c>
      <c r="F85" s="20" t="s">
        <v>491</v>
      </c>
      <c r="G85" s="8" t="str">
        <f t="shared" si="2"/>
        <v>WILLIAMS DONTE</v>
      </c>
      <c r="H85" s="20" t="str">
        <f t="shared" si="3"/>
        <v>4025</v>
      </c>
    </row>
    <row r="86" spans="1:8" x14ac:dyDescent="0.25">
      <c r="A86" s="8">
        <v>43092.42596064815</v>
      </c>
      <c r="B86" s="20" t="s">
        <v>658</v>
      </c>
      <c r="C86" s="20" t="s">
        <v>764</v>
      </c>
      <c r="D86" s="137">
        <v>2550000</v>
      </c>
      <c r="E86" s="20" t="s">
        <v>492</v>
      </c>
      <c r="F86" s="20" t="s">
        <v>493</v>
      </c>
      <c r="G86" s="8" t="str">
        <f t="shared" si="2"/>
        <v>BADERTSCHER DIANE</v>
      </c>
      <c r="H86" s="20" t="str">
        <f t="shared" si="3"/>
        <v>4002</v>
      </c>
    </row>
    <row r="87" spans="1:8" x14ac:dyDescent="0.25">
      <c r="A87" s="8">
        <v>43092.426261574074</v>
      </c>
      <c r="B87" s="20" t="s">
        <v>367</v>
      </c>
      <c r="C87" s="20" t="s">
        <v>765</v>
      </c>
      <c r="D87" s="137">
        <v>2440000</v>
      </c>
      <c r="E87" s="20" t="s">
        <v>452</v>
      </c>
      <c r="F87" s="20" t="s">
        <v>453</v>
      </c>
      <c r="G87" s="8" t="str">
        <f t="shared" si="2"/>
        <v>LOPES KIMBERLY</v>
      </c>
      <c r="H87" s="20" t="str">
        <f t="shared" si="3"/>
        <v>4035</v>
      </c>
    </row>
    <row r="88" spans="1:8" x14ac:dyDescent="0.25">
      <c r="A88" s="8">
        <v>43092.432604166665</v>
      </c>
      <c r="B88" s="20" t="s">
        <v>386</v>
      </c>
      <c r="C88" s="20" t="s">
        <v>766</v>
      </c>
      <c r="D88" s="137">
        <v>1100000</v>
      </c>
      <c r="E88" s="20" t="s">
        <v>498</v>
      </c>
      <c r="F88" s="20" t="s">
        <v>499</v>
      </c>
      <c r="G88" s="8" t="str">
        <f t="shared" si="2"/>
        <v>GEBRETEKLE DAGNEW</v>
      </c>
      <c r="H88" s="20" t="str">
        <f t="shared" si="3"/>
        <v>4029</v>
      </c>
    </row>
    <row r="89" spans="1:8" x14ac:dyDescent="0.25">
      <c r="A89" s="8">
        <v>43092.433993055558</v>
      </c>
      <c r="B89" s="20" t="s">
        <v>656</v>
      </c>
      <c r="C89" s="20" t="s">
        <v>767</v>
      </c>
      <c r="D89" s="137">
        <v>3090000</v>
      </c>
      <c r="E89" s="20" t="s">
        <v>718</v>
      </c>
      <c r="F89" s="20" t="s">
        <v>719</v>
      </c>
      <c r="G89" s="8" t="str">
        <f t="shared" si="2"/>
        <v>LAMAR NEKESHA</v>
      </c>
      <c r="H89" s="20" t="str">
        <f t="shared" si="3"/>
        <v>4031</v>
      </c>
    </row>
    <row r="90" spans="1:8" x14ac:dyDescent="0.25">
      <c r="A90" s="8">
        <v>43092.43613425926</v>
      </c>
      <c r="B90" s="20" t="s">
        <v>449</v>
      </c>
      <c r="C90" s="20" t="s">
        <v>768</v>
      </c>
      <c r="D90" s="137">
        <v>2560000</v>
      </c>
      <c r="E90" s="20" t="s">
        <v>582</v>
      </c>
      <c r="F90" s="20" t="s">
        <v>583</v>
      </c>
      <c r="G90" s="8" t="str">
        <f t="shared" si="2"/>
        <v>MACDONALD THOMAS</v>
      </c>
      <c r="H90" s="20" t="str">
        <f t="shared" si="3"/>
        <v>4052</v>
      </c>
    </row>
    <row r="91" spans="1:8" x14ac:dyDescent="0.25">
      <c r="A91" s="8">
        <v>43092.443599537037</v>
      </c>
      <c r="B91" s="20" t="s">
        <v>477</v>
      </c>
      <c r="C91" s="20" t="s">
        <v>769</v>
      </c>
      <c r="D91" s="137">
        <v>2470000</v>
      </c>
      <c r="E91" s="20" t="s">
        <v>770</v>
      </c>
      <c r="F91" s="20" t="s">
        <v>771</v>
      </c>
      <c r="G91" s="8" t="str">
        <f t="shared" si="2"/>
        <v>ROMERO CHAD</v>
      </c>
      <c r="H91" s="20" t="str">
        <f t="shared" si="3"/>
        <v>4016</v>
      </c>
    </row>
    <row r="92" spans="1:8" x14ac:dyDescent="0.25">
      <c r="A92" s="8">
        <v>43092.44363425926</v>
      </c>
      <c r="B92" s="20" t="s">
        <v>704</v>
      </c>
      <c r="C92" s="20" t="s">
        <v>772</v>
      </c>
      <c r="D92" s="137">
        <v>2370000</v>
      </c>
      <c r="E92" s="20" t="s">
        <v>502</v>
      </c>
      <c r="F92" s="20" t="s">
        <v>503</v>
      </c>
      <c r="G92" s="8" t="str">
        <f t="shared" si="2"/>
        <v>DELGADO DIANAH</v>
      </c>
      <c r="H92" s="20" t="str">
        <f t="shared" si="3"/>
        <v>4033</v>
      </c>
    </row>
    <row r="93" spans="1:8" x14ac:dyDescent="0.25">
      <c r="A93" s="8">
        <v>43092.454444444447</v>
      </c>
      <c r="B93" s="20" t="s">
        <v>660</v>
      </c>
      <c r="C93" s="20" t="s">
        <v>773</v>
      </c>
      <c r="D93" s="137">
        <v>3040000</v>
      </c>
      <c r="E93" s="20" t="s">
        <v>368</v>
      </c>
      <c r="F93" s="20" t="s">
        <v>491</v>
      </c>
      <c r="G93" s="8" t="str">
        <f t="shared" si="2"/>
        <v>WILLIAMS DONTE</v>
      </c>
      <c r="H93" s="20" t="str">
        <f t="shared" si="3"/>
        <v>4026</v>
      </c>
    </row>
    <row r="94" spans="1:8" x14ac:dyDescent="0.25">
      <c r="A94" s="8">
        <v>43092.457442129627</v>
      </c>
      <c r="B94" s="20" t="s">
        <v>716</v>
      </c>
      <c r="C94" s="20" t="s">
        <v>774</v>
      </c>
      <c r="D94" s="137">
        <v>3090000</v>
      </c>
      <c r="E94" s="20" t="s">
        <v>718</v>
      </c>
      <c r="F94" s="20" t="s">
        <v>719</v>
      </c>
      <c r="G94" s="8" t="str">
        <f t="shared" si="2"/>
        <v>LAMAR NEKESHA</v>
      </c>
      <c r="H94" s="20" t="str">
        <f t="shared" si="3"/>
        <v>4032</v>
      </c>
    </row>
    <row r="95" spans="1:8" x14ac:dyDescent="0.25">
      <c r="A95" s="8">
        <v>43092.463518518518</v>
      </c>
      <c r="B95" s="20" t="s">
        <v>676</v>
      </c>
      <c r="C95" s="20" t="s">
        <v>775</v>
      </c>
      <c r="D95" s="137">
        <v>2550000</v>
      </c>
      <c r="E95" s="20" t="s">
        <v>492</v>
      </c>
      <c r="F95" s="20" t="s">
        <v>493</v>
      </c>
      <c r="G95" s="8" t="str">
        <f t="shared" si="2"/>
        <v>BADERTSCHER DIANE</v>
      </c>
      <c r="H95" s="20" t="str">
        <f t="shared" si="3"/>
        <v>4001</v>
      </c>
    </row>
    <row r="96" spans="1:8" x14ac:dyDescent="0.25">
      <c r="A96" s="8">
        <v>43092.464467592596</v>
      </c>
      <c r="B96" s="20" t="s">
        <v>366</v>
      </c>
      <c r="C96" s="20" t="s">
        <v>776</v>
      </c>
      <c r="D96" s="137">
        <v>2540000</v>
      </c>
      <c r="E96" s="20" t="s">
        <v>454</v>
      </c>
      <c r="F96" s="20" t="s">
        <v>455</v>
      </c>
      <c r="G96" s="8" t="str">
        <f t="shared" si="2"/>
        <v>MCREYNOLDS KYLE</v>
      </c>
      <c r="H96" s="20" t="str">
        <f t="shared" si="3"/>
        <v>4036</v>
      </c>
    </row>
    <row r="97" spans="1:8" x14ac:dyDescent="0.25">
      <c r="A97" s="8">
        <v>43092.467523148145</v>
      </c>
      <c r="B97" s="20" t="s">
        <v>451</v>
      </c>
      <c r="C97" s="20" t="s">
        <v>666</v>
      </c>
      <c r="D97" s="137">
        <v>2560000</v>
      </c>
      <c r="E97" s="20" t="s">
        <v>582</v>
      </c>
      <c r="F97" s="20" t="s">
        <v>583</v>
      </c>
      <c r="G97" s="8" t="str">
        <f t="shared" si="2"/>
        <v>MACDONALD THOMAS</v>
      </c>
      <c r="H97" s="20" t="str">
        <f t="shared" si="3"/>
        <v>4051</v>
      </c>
    </row>
    <row r="98" spans="1:8" x14ac:dyDescent="0.25">
      <c r="A98" s="8">
        <v>43092.473240740743</v>
      </c>
      <c r="B98" s="20" t="s">
        <v>475</v>
      </c>
      <c r="C98" s="20" t="s">
        <v>777</v>
      </c>
      <c r="D98" s="137">
        <v>2470000</v>
      </c>
      <c r="E98" s="20" t="s">
        <v>770</v>
      </c>
      <c r="F98" s="20" t="s">
        <v>771</v>
      </c>
      <c r="G98" s="8" t="str">
        <f t="shared" si="2"/>
        <v>ROMERO CHAD</v>
      </c>
      <c r="H98" s="20" t="str">
        <f t="shared" si="3"/>
        <v>4015</v>
      </c>
    </row>
    <row r="99" spans="1:8" x14ac:dyDescent="0.25">
      <c r="A99" s="8">
        <v>43092.475462962961</v>
      </c>
      <c r="B99" s="20" t="s">
        <v>392</v>
      </c>
      <c r="C99" s="20" t="s">
        <v>778</v>
      </c>
      <c r="D99" s="137">
        <v>2630000</v>
      </c>
      <c r="E99" s="20" t="s">
        <v>372</v>
      </c>
      <c r="F99" s="20" t="s">
        <v>373</v>
      </c>
      <c r="G99" s="8" t="str">
        <f t="shared" si="2"/>
        <v>SAFIEF AEIMEN</v>
      </c>
      <c r="H99" s="20" t="str">
        <f t="shared" si="3"/>
        <v>4030</v>
      </c>
    </row>
    <row r="100" spans="1:8" x14ac:dyDescent="0.25">
      <c r="A100" s="8">
        <v>43092.476006944446</v>
      </c>
      <c r="B100" s="20" t="s">
        <v>656</v>
      </c>
      <c r="C100" s="20" t="s">
        <v>779</v>
      </c>
      <c r="D100" s="137">
        <v>3090000</v>
      </c>
      <c r="E100" s="20" t="s">
        <v>718</v>
      </c>
      <c r="F100" s="20" t="s">
        <v>719</v>
      </c>
      <c r="G100" s="8" t="str">
        <f t="shared" si="2"/>
        <v>LAMAR NEKESHA</v>
      </c>
      <c r="H100" s="20" t="str">
        <f t="shared" si="3"/>
        <v>4031</v>
      </c>
    </row>
    <row r="101" spans="1:8" x14ac:dyDescent="0.25">
      <c r="A101" s="8">
        <v>43092.483888888892</v>
      </c>
      <c r="B101" s="20" t="s">
        <v>709</v>
      </c>
      <c r="C101" s="20" t="s">
        <v>780</v>
      </c>
      <c r="D101" s="137">
        <v>2970000</v>
      </c>
      <c r="E101" s="20" t="s">
        <v>374</v>
      </c>
      <c r="F101" s="20" t="s">
        <v>375</v>
      </c>
      <c r="G101" s="8" t="str">
        <f t="shared" si="2"/>
        <v>GUZMAN DANNY</v>
      </c>
      <c r="H101" s="20" t="str">
        <f t="shared" si="3"/>
        <v>4034</v>
      </c>
    </row>
    <row r="102" spans="1:8" x14ac:dyDescent="0.25">
      <c r="A102" s="8">
        <v>43092.493750000001</v>
      </c>
      <c r="B102" s="20" t="s">
        <v>669</v>
      </c>
      <c r="C102" s="20" t="s">
        <v>781</v>
      </c>
      <c r="D102" s="137">
        <v>3040000</v>
      </c>
      <c r="E102" s="20" t="s">
        <v>368</v>
      </c>
      <c r="F102" s="20" t="s">
        <v>491</v>
      </c>
      <c r="G102" s="8" t="str">
        <f t="shared" si="2"/>
        <v>WILLIAMS DONTE</v>
      </c>
      <c r="H102" s="20" t="str">
        <f t="shared" si="3"/>
        <v>4025</v>
      </c>
    </row>
    <row r="103" spans="1:8" x14ac:dyDescent="0.25">
      <c r="A103" s="8">
        <v>43092.496550925927</v>
      </c>
      <c r="B103" s="20" t="s">
        <v>451</v>
      </c>
      <c r="C103" s="20" t="s">
        <v>666</v>
      </c>
      <c r="D103" s="137">
        <v>2560000</v>
      </c>
      <c r="E103" s="20" t="s">
        <v>582</v>
      </c>
      <c r="F103" s="20" t="s">
        <v>583</v>
      </c>
      <c r="G103" s="8" t="str">
        <f t="shared" si="2"/>
        <v>MACDONALD THOMAS</v>
      </c>
      <c r="H103" s="20" t="str">
        <f t="shared" si="3"/>
        <v>4051</v>
      </c>
    </row>
    <row r="104" spans="1:8" x14ac:dyDescent="0.25">
      <c r="A104" s="8">
        <v>43092.496770833335</v>
      </c>
      <c r="B104" s="20" t="s">
        <v>658</v>
      </c>
      <c r="C104" s="20" t="s">
        <v>782</v>
      </c>
      <c r="D104" s="137">
        <v>2550000</v>
      </c>
      <c r="E104" s="20" t="s">
        <v>492</v>
      </c>
      <c r="F104" s="20" t="s">
        <v>493</v>
      </c>
      <c r="G104" s="8" t="str">
        <f t="shared" si="2"/>
        <v>BADERTSCHER DIANE</v>
      </c>
      <c r="H104" s="20" t="str">
        <f t="shared" si="3"/>
        <v>4002</v>
      </c>
    </row>
    <row r="105" spans="1:8" x14ac:dyDescent="0.25">
      <c r="A105" s="8">
        <v>43092.498865740738</v>
      </c>
      <c r="B105" s="20" t="s">
        <v>716</v>
      </c>
      <c r="C105" s="20" t="s">
        <v>783</v>
      </c>
      <c r="D105" s="137">
        <v>3090000</v>
      </c>
      <c r="E105" s="20" t="s">
        <v>718</v>
      </c>
      <c r="F105" s="20" t="s">
        <v>719</v>
      </c>
      <c r="G105" s="8" t="str">
        <f t="shared" si="2"/>
        <v>LAMAR NEKESHA</v>
      </c>
      <c r="H105" s="20" t="str">
        <f t="shared" si="3"/>
        <v>4032</v>
      </c>
    </row>
    <row r="106" spans="1:8" x14ac:dyDescent="0.25">
      <c r="A106" s="8">
        <v>43092.50037037037</v>
      </c>
      <c r="B106" s="20" t="s">
        <v>367</v>
      </c>
      <c r="C106" s="20" t="s">
        <v>784</v>
      </c>
      <c r="D106" s="137">
        <v>2540000</v>
      </c>
      <c r="E106" s="20" t="s">
        <v>454</v>
      </c>
      <c r="F106" s="20" t="s">
        <v>455</v>
      </c>
      <c r="G106" s="8" t="str">
        <f t="shared" si="2"/>
        <v>MCREYNOLDS KYLE</v>
      </c>
      <c r="H106" s="20" t="str">
        <f t="shared" si="3"/>
        <v>4035</v>
      </c>
    </row>
    <row r="107" spans="1:8" x14ac:dyDescent="0.25">
      <c r="A107" s="8">
        <v>43092.506574074076</v>
      </c>
      <c r="B107" s="20" t="s">
        <v>449</v>
      </c>
      <c r="C107" s="20" t="s">
        <v>785</v>
      </c>
      <c r="D107" s="137">
        <v>3330000</v>
      </c>
      <c r="E107" s="20" t="s">
        <v>510</v>
      </c>
      <c r="F107" s="20" t="s">
        <v>511</v>
      </c>
      <c r="G107" s="8" t="str">
        <f t="shared" si="2"/>
        <v>GONZALEZ ARMANDO</v>
      </c>
      <c r="H107" s="20" t="str">
        <f t="shared" si="3"/>
        <v>4052</v>
      </c>
    </row>
    <row r="108" spans="1:8" x14ac:dyDescent="0.25">
      <c r="A108" s="8">
        <v>43092.508773148147</v>
      </c>
      <c r="B108" s="20" t="s">
        <v>386</v>
      </c>
      <c r="C108" s="20" t="s">
        <v>786</v>
      </c>
      <c r="D108" s="137">
        <v>2630000</v>
      </c>
      <c r="E108" s="20" t="s">
        <v>372</v>
      </c>
      <c r="F108" s="20" t="s">
        <v>373</v>
      </c>
      <c r="G108" s="8" t="str">
        <f t="shared" si="2"/>
        <v>SAFIEF AEIMEN</v>
      </c>
      <c r="H108" s="20" t="str">
        <f t="shared" si="3"/>
        <v>4029</v>
      </c>
    </row>
    <row r="109" spans="1:8" x14ac:dyDescent="0.25">
      <c r="A109" s="8">
        <v>43092.514849537038</v>
      </c>
      <c r="B109" s="20" t="s">
        <v>477</v>
      </c>
      <c r="C109" s="20" t="s">
        <v>787</v>
      </c>
      <c r="D109" s="137">
        <v>2470000</v>
      </c>
      <c r="E109" s="20" t="s">
        <v>770</v>
      </c>
      <c r="F109" s="20" t="s">
        <v>771</v>
      </c>
      <c r="G109" s="8" t="str">
        <f t="shared" si="2"/>
        <v>ROMERO CHAD</v>
      </c>
      <c r="H109" s="20" t="str">
        <f t="shared" si="3"/>
        <v>4016</v>
      </c>
    </row>
    <row r="110" spans="1:8" x14ac:dyDescent="0.25">
      <c r="A110" s="8">
        <v>43092.517696759256</v>
      </c>
      <c r="B110" s="20" t="s">
        <v>656</v>
      </c>
      <c r="C110" s="20" t="s">
        <v>788</v>
      </c>
      <c r="D110" s="137">
        <v>3090000</v>
      </c>
      <c r="E110" s="20" t="s">
        <v>718</v>
      </c>
      <c r="F110" s="20" t="s">
        <v>719</v>
      </c>
      <c r="G110" s="8" t="str">
        <f t="shared" si="2"/>
        <v>LAMAR NEKESHA</v>
      </c>
      <c r="H110" s="20" t="str">
        <f t="shared" si="3"/>
        <v>4031</v>
      </c>
    </row>
    <row r="111" spans="1:8" x14ac:dyDescent="0.25">
      <c r="A111" s="8">
        <v>43092.519780092596</v>
      </c>
      <c r="B111" s="20" t="s">
        <v>704</v>
      </c>
      <c r="C111" s="20" t="s">
        <v>789</v>
      </c>
      <c r="D111" s="137">
        <v>2970000</v>
      </c>
      <c r="E111" s="20" t="s">
        <v>374</v>
      </c>
      <c r="F111" s="20" t="s">
        <v>375</v>
      </c>
      <c r="G111" s="8" t="str">
        <f t="shared" si="2"/>
        <v>GUZMAN DANNY</v>
      </c>
      <c r="H111" s="20" t="str">
        <f t="shared" si="3"/>
        <v>4033</v>
      </c>
    </row>
    <row r="112" spans="1:8" x14ac:dyDescent="0.25">
      <c r="A112" s="8">
        <v>43092.528344907405</v>
      </c>
      <c r="B112" s="20" t="s">
        <v>660</v>
      </c>
      <c r="C112" s="20" t="s">
        <v>667</v>
      </c>
      <c r="D112" s="137">
        <v>2420000</v>
      </c>
      <c r="E112" s="20" t="s">
        <v>500</v>
      </c>
      <c r="F112" s="20" t="s">
        <v>501</v>
      </c>
      <c r="G112" s="8" t="str">
        <f t="shared" si="2"/>
        <v>HOLCOMB KAMDEN</v>
      </c>
      <c r="H112" s="20" t="str">
        <f t="shared" si="3"/>
        <v>4026</v>
      </c>
    </row>
    <row r="113" spans="1:8" x14ac:dyDescent="0.25">
      <c r="A113" s="8">
        <v>43092.534722222219</v>
      </c>
      <c r="B113" s="20" t="s">
        <v>676</v>
      </c>
      <c r="C113" s="20" t="s">
        <v>790</v>
      </c>
      <c r="D113" s="137">
        <v>2550000</v>
      </c>
      <c r="E113" s="20" t="s">
        <v>492</v>
      </c>
      <c r="F113" s="20" t="s">
        <v>493</v>
      </c>
      <c r="G113" s="8" t="str">
        <f t="shared" si="2"/>
        <v>BADERTSCHER DIANE</v>
      </c>
      <c r="H113" s="20" t="str">
        <f t="shared" si="3"/>
        <v>4001</v>
      </c>
    </row>
    <row r="114" spans="1:8" x14ac:dyDescent="0.25">
      <c r="A114" s="8">
        <v>43092.536608796298</v>
      </c>
      <c r="B114" s="20" t="s">
        <v>366</v>
      </c>
      <c r="C114" s="20" t="s">
        <v>791</v>
      </c>
      <c r="D114" s="137">
        <v>2540000</v>
      </c>
      <c r="E114" s="20" t="s">
        <v>454</v>
      </c>
      <c r="F114" s="20" t="s">
        <v>455</v>
      </c>
      <c r="G114" s="8" t="str">
        <f t="shared" si="2"/>
        <v>MCREYNOLDS KYLE</v>
      </c>
      <c r="H114" s="20" t="str">
        <f t="shared" si="3"/>
        <v>4036</v>
      </c>
    </row>
    <row r="115" spans="1:8" x14ac:dyDescent="0.25">
      <c r="A115" s="8">
        <v>43092.546898148146</v>
      </c>
      <c r="B115" s="20" t="s">
        <v>451</v>
      </c>
      <c r="C115" s="20" t="s">
        <v>792</v>
      </c>
      <c r="D115" s="137">
        <v>3330000</v>
      </c>
      <c r="E115" s="20" t="s">
        <v>510</v>
      </c>
      <c r="F115" s="20" t="s">
        <v>511</v>
      </c>
      <c r="G115" s="8" t="str">
        <f t="shared" si="2"/>
        <v>GONZALEZ ARMANDO</v>
      </c>
      <c r="H115" s="20" t="str">
        <f t="shared" si="3"/>
        <v>4051</v>
      </c>
    </row>
    <row r="116" spans="1:8" x14ac:dyDescent="0.25">
      <c r="A116" s="8">
        <v>43092.546898148146</v>
      </c>
      <c r="B116" s="20" t="s">
        <v>716</v>
      </c>
      <c r="C116" s="20" t="s">
        <v>793</v>
      </c>
      <c r="D116" s="137">
        <v>3090000</v>
      </c>
      <c r="E116" s="20" t="s">
        <v>718</v>
      </c>
      <c r="F116" s="20" t="s">
        <v>719</v>
      </c>
      <c r="G116" s="8" t="str">
        <f t="shared" si="2"/>
        <v>LAMAR NEKESHA</v>
      </c>
      <c r="H116" s="20" t="str">
        <f t="shared" si="3"/>
        <v>4032</v>
      </c>
    </row>
    <row r="117" spans="1:8" x14ac:dyDescent="0.25">
      <c r="A117" s="8">
        <v>43092.547407407408</v>
      </c>
      <c r="B117" s="20" t="s">
        <v>475</v>
      </c>
      <c r="C117" s="20" t="s">
        <v>668</v>
      </c>
      <c r="D117" s="137">
        <v>2470000</v>
      </c>
      <c r="E117" s="20" t="s">
        <v>770</v>
      </c>
      <c r="F117" s="20" t="s">
        <v>771</v>
      </c>
      <c r="G117" s="8" t="str">
        <f t="shared" si="2"/>
        <v>ROMERO CHAD</v>
      </c>
      <c r="H117" s="20" t="str">
        <f t="shared" si="3"/>
        <v>4015</v>
      </c>
    </row>
    <row r="118" spans="1:8" x14ac:dyDescent="0.25">
      <c r="A118" s="8">
        <v>43092.548506944448</v>
      </c>
      <c r="B118" s="20" t="s">
        <v>392</v>
      </c>
      <c r="C118" s="20" t="s">
        <v>794</v>
      </c>
      <c r="D118" s="137">
        <v>2630000</v>
      </c>
      <c r="E118" s="20" t="s">
        <v>372</v>
      </c>
      <c r="F118" s="20" t="s">
        <v>373</v>
      </c>
      <c r="G118" s="8" t="str">
        <f t="shared" si="2"/>
        <v>SAFIEF AEIMEN</v>
      </c>
      <c r="H118" s="20" t="str">
        <f t="shared" si="3"/>
        <v>4030</v>
      </c>
    </row>
    <row r="119" spans="1:8" x14ac:dyDescent="0.25">
      <c r="A119" s="8">
        <v>43092.558969907404</v>
      </c>
      <c r="B119" s="20" t="s">
        <v>709</v>
      </c>
      <c r="C119" s="20" t="s">
        <v>795</v>
      </c>
      <c r="D119" s="137">
        <v>2970000</v>
      </c>
      <c r="E119" s="20" t="s">
        <v>374</v>
      </c>
      <c r="F119" s="20" t="s">
        <v>375</v>
      </c>
      <c r="G119" s="8" t="str">
        <f t="shared" si="2"/>
        <v>GUZMAN DANNY</v>
      </c>
      <c r="H119" s="20" t="str">
        <f t="shared" si="3"/>
        <v>4034</v>
      </c>
    </row>
    <row r="120" spans="1:8" x14ac:dyDescent="0.25">
      <c r="A120" s="8">
        <v>43092.56050925926</v>
      </c>
      <c r="B120" s="20" t="s">
        <v>656</v>
      </c>
      <c r="C120" s="20" t="s">
        <v>796</v>
      </c>
      <c r="D120" s="137">
        <v>3090000</v>
      </c>
      <c r="E120" s="20" t="s">
        <v>718</v>
      </c>
      <c r="F120" s="20" t="s">
        <v>719</v>
      </c>
      <c r="G120" s="8" t="str">
        <f t="shared" si="2"/>
        <v>LAMAR NEKESHA</v>
      </c>
      <c r="H120" s="20" t="str">
        <f t="shared" si="3"/>
        <v>4031</v>
      </c>
    </row>
    <row r="121" spans="1:8" x14ac:dyDescent="0.25">
      <c r="A121" s="8">
        <v>43092.567129629628</v>
      </c>
      <c r="B121" s="20" t="s">
        <v>669</v>
      </c>
      <c r="C121" s="20" t="s">
        <v>670</v>
      </c>
      <c r="D121" s="137">
        <v>2420000</v>
      </c>
      <c r="E121" s="20" t="s">
        <v>500</v>
      </c>
      <c r="F121" s="20" t="s">
        <v>501</v>
      </c>
      <c r="G121" s="8" t="str">
        <f t="shared" si="2"/>
        <v>HOLCOMB KAMDEN</v>
      </c>
      <c r="H121" s="20" t="str">
        <f t="shared" si="3"/>
        <v>4025</v>
      </c>
    </row>
    <row r="122" spans="1:8" x14ac:dyDescent="0.25">
      <c r="A122" s="8">
        <v>43092.569062499999</v>
      </c>
      <c r="B122" s="25" t="s">
        <v>658</v>
      </c>
      <c r="C122" s="20" t="s">
        <v>797</v>
      </c>
      <c r="D122" s="137">
        <v>2550000</v>
      </c>
      <c r="E122" s="20" t="s">
        <v>492</v>
      </c>
      <c r="F122" s="20" t="s">
        <v>493</v>
      </c>
      <c r="G122" s="8" t="str">
        <f t="shared" si="2"/>
        <v>BADERTSCHER DIANE</v>
      </c>
      <c r="H122" s="20" t="str">
        <f t="shared" si="3"/>
        <v>4002</v>
      </c>
    </row>
    <row r="123" spans="1:8" x14ac:dyDescent="0.25">
      <c r="A123" s="8">
        <v>43092.576956018522</v>
      </c>
      <c r="B123" s="20" t="s">
        <v>367</v>
      </c>
      <c r="C123" s="20" t="s">
        <v>798</v>
      </c>
      <c r="D123" s="137">
        <v>2540000</v>
      </c>
      <c r="E123" s="20" t="s">
        <v>454</v>
      </c>
      <c r="F123" s="20" t="s">
        <v>455</v>
      </c>
      <c r="G123" s="8" t="str">
        <f t="shared" si="2"/>
        <v>MCREYNOLDS KYLE</v>
      </c>
      <c r="H123" s="20" t="str">
        <f t="shared" si="3"/>
        <v>4035</v>
      </c>
    </row>
    <row r="124" spans="1:8" x14ac:dyDescent="0.25">
      <c r="A124" s="8">
        <v>43092.581620370373</v>
      </c>
      <c r="B124" s="20" t="s">
        <v>449</v>
      </c>
      <c r="C124" s="20" t="s">
        <v>799</v>
      </c>
      <c r="D124" s="137">
        <v>3330000</v>
      </c>
      <c r="E124" s="20" t="s">
        <v>510</v>
      </c>
      <c r="F124" s="20" t="s">
        <v>511</v>
      </c>
      <c r="G124" s="8" t="str">
        <f t="shared" si="2"/>
        <v>GONZALEZ ARMANDO</v>
      </c>
      <c r="H124" s="20" t="str">
        <f t="shared" si="3"/>
        <v>4052</v>
      </c>
    </row>
    <row r="125" spans="1:8" x14ac:dyDescent="0.25">
      <c r="A125" s="8">
        <v>43092.583680555559</v>
      </c>
      <c r="B125" s="20" t="s">
        <v>716</v>
      </c>
      <c r="C125" s="20" t="s">
        <v>800</v>
      </c>
      <c r="D125" s="137">
        <v>2230000</v>
      </c>
      <c r="E125" s="20" t="s">
        <v>393</v>
      </c>
      <c r="F125" s="20" t="s">
        <v>352</v>
      </c>
      <c r="G125" s="8" t="str">
        <f t="shared" si="2"/>
        <v>SMITH MICHAEL</v>
      </c>
      <c r="H125" s="20" t="str">
        <f t="shared" si="3"/>
        <v>4032</v>
      </c>
    </row>
    <row r="126" spans="1:8" x14ac:dyDescent="0.25">
      <c r="A126" s="8">
        <v>43092.588900462964</v>
      </c>
      <c r="B126" s="20" t="s">
        <v>386</v>
      </c>
      <c r="C126" s="20" t="s">
        <v>801</v>
      </c>
      <c r="D126" s="137">
        <v>2630000</v>
      </c>
      <c r="E126" s="20" t="s">
        <v>372</v>
      </c>
      <c r="F126" s="20" t="s">
        <v>373</v>
      </c>
      <c r="G126" s="8" t="str">
        <f t="shared" si="2"/>
        <v>SAFIEF AEIMEN</v>
      </c>
      <c r="H126" s="20" t="str">
        <f t="shared" si="3"/>
        <v>4029</v>
      </c>
    </row>
    <row r="127" spans="1:8" x14ac:dyDescent="0.25">
      <c r="A127" s="8">
        <v>43092.589849537035</v>
      </c>
      <c r="B127" s="20" t="s">
        <v>679</v>
      </c>
      <c r="C127" s="20" t="s">
        <v>802</v>
      </c>
      <c r="D127" s="137">
        <v>2040000</v>
      </c>
      <c r="E127" s="20" t="s">
        <v>396</v>
      </c>
      <c r="F127" s="20" t="s">
        <v>397</v>
      </c>
      <c r="G127" s="8" t="str">
        <f t="shared" si="2"/>
        <v>MOSES BRADLEY</v>
      </c>
      <c r="H127" s="20" t="str">
        <f t="shared" si="3"/>
        <v>4046</v>
      </c>
    </row>
    <row r="128" spans="1:8" x14ac:dyDescent="0.25">
      <c r="A128" s="8">
        <v>43092.591238425928</v>
      </c>
      <c r="B128" s="20" t="s">
        <v>370</v>
      </c>
      <c r="C128" s="20" t="s">
        <v>803</v>
      </c>
      <c r="D128" s="137">
        <v>3030000</v>
      </c>
      <c r="E128" s="20" t="s">
        <v>804</v>
      </c>
      <c r="F128" s="20" t="s">
        <v>583</v>
      </c>
      <c r="G128" s="8" t="str">
        <f t="shared" si="2"/>
        <v>BIRENBAUM THOMAS</v>
      </c>
      <c r="H128" s="20" t="str">
        <f t="shared" si="3"/>
        <v>4012</v>
      </c>
    </row>
    <row r="129" spans="1:8" x14ac:dyDescent="0.25">
      <c r="A129" s="8">
        <v>43092.59547453704</v>
      </c>
      <c r="B129" s="20" t="s">
        <v>371</v>
      </c>
      <c r="C129" s="20" t="s">
        <v>805</v>
      </c>
      <c r="D129" s="137">
        <v>3030000</v>
      </c>
      <c r="E129" s="20" t="s">
        <v>804</v>
      </c>
      <c r="F129" s="20" t="s">
        <v>583</v>
      </c>
      <c r="G129" s="8" t="str">
        <f t="shared" si="2"/>
        <v>BIRENBAUM THOMAS</v>
      </c>
      <c r="H129" s="20" t="str">
        <f t="shared" si="3"/>
        <v>4011</v>
      </c>
    </row>
    <row r="130" spans="1:8" x14ac:dyDescent="0.25">
      <c r="A130" s="8">
        <v>43092.598298611112</v>
      </c>
      <c r="B130" s="20" t="s">
        <v>477</v>
      </c>
      <c r="C130" s="20" t="s">
        <v>672</v>
      </c>
      <c r="D130" s="137">
        <v>2470000</v>
      </c>
      <c r="E130" s="20" t="s">
        <v>770</v>
      </c>
      <c r="F130" s="20" t="s">
        <v>771</v>
      </c>
      <c r="G130" s="8" t="str">
        <f t="shared" si="2"/>
        <v>ROMERO CHAD</v>
      </c>
      <c r="H130" s="20" t="str">
        <f t="shared" si="3"/>
        <v>4016</v>
      </c>
    </row>
    <row r="131" spans="1:8" x14ac:dyDescent="0.25">
      <c r="A131" s="8">
        <v>43092.601921296293</v>
      </c>
      <c r="B131" s="20" t="s">
        <v>656</v>
      </c>
      <c r="C131" s="20" t="s">
        <v>806</v>
      </c>
      <c r="D131" s="137">
        <v>2230000</v>
      </c>
      <c r="E131" s="20" t="s">
        <v>393</v>
      </c>
      <c r="F131" s="20" t="s">
        <v>352</v>
      </c>
      <c r="G131" s="8" t="str">
        <f t="shared" ref="G131:G194" si="4">E131&amp;" "&amp;F131</f>
        <v>SMITH MICHAEL</v>
      </c>
      <c r="H131" s="20" t="str">
        <f t="shared" ref="H131:H194" si="5">MID(B131,13,4)</f>
        <v>4031</v>
      </c>
    </row>
    <row r="132" spans="1:8" x14ac:dyDescent="0.25">
      <c r="A132" s="8">
        <v>43092.610694444447</v>
      </c>
      <c r="B132" s="20" t="s">
        <v>676</v>
      </c>
      <c r="C132" s="20" t="s">
        <v>807</v>
      </c>
      <c r="D132" s="137">
        <v>2550000</v>
      </c>
      <c r="E132" s="20" t="s">
        <v>492</v>
      </c>
      <c r="F132" s="20" t="s">
        <v>493</v>
      </c>
      <c r="G132" s="8" t="str">
        <f t="shared" si="4"/>
        <v>BADERTSCHER DIANE</v>
      </c>
      <c r="H132" s="20" t="str">
        <f t="shared" si="5"/>
        <v>4001</v>
      </c>
    </row>
    <row r="133" spans="1:8" x14ac:dyDescent="0.25">
      <c r="A133" s="8">
        <v>43092.611145833333</v>
      </c>
      <c r="B133" s="20" t="s">
        <v>660</v>
      </c>
      <c r="C133" s="20" t="s">
        <v>671</v>
      </c>
      <c r="D133" s="137">
        <v>1280000</v>
      </c>
      <c r="E133" s="20" t="s">
        <v>808</v>
      </c>
      <c r="F133" s="20" t="s">
        <v>809</v>
      </c>
      <c r="G133" s="8" t="str">
        <f t="shared" si="4"/>
        <v>BARTLETT KIANDRA</v>
      </c>
      <c r="H133" s="20" t="str">
        <f t="shared" si="5"/>
        <v>4026</v>
      </c>
    </row>
    <row r="134" spans="1:8" x14ac:dyDescent="0.25">
      <c r="A134" s="8">
        <v>43092.620775462965</v>
      </c>
      <c r="B134" s="20" t="s">
        <v>366</v>
      </c>
      <c r="C134" s="20" t="s">
        <v>810</v>
      </c>
      <c r="D134" s="137">
        <v>2540000</v>
      </c>
      <c r="E134" s="20" t="s">
        <v>454</v>
      </c>
      <c r="F134" s="20" t="s">
        <v>455</v>
      </c>
      <c r="G134" s="8" t="str">
        <f t="shared" si="4"/>
        <v>MCREYNOLDS KYLE</v>
      </c>
      <c r="H134" s="20" t="str">
        <f t="shared" si="5"/>
        <v>4036</v>
      </c>
    </row>
    <row r="135" spans="1:8" x14ac:dyDescent="0.25">
      <c r="A135" s="8">
        <v>43092.621805555558</v>
      </c>
      <c r="B135" s="20" t="s">
        <v>451</v>
      </c>
      <c r="C135" s="20" t="s">
        <v>811</v>
      </c>
      <c r="D135" s="137">
        <v>3330000</v>
      </c>
      <c r="E135" s="20" t="s">
        <v>510</v>
      </c>
      <c r="F135" s="20" t="s">
        <v>511</v>
      </c>
      <c r="G135" s="8" t="str">
        <f t="shared" si="4"/>
        <v>GONZALEZ ARMANDO</v>
      </c>
      <c r="H135" s="20" t="str">
        <f t="shared" si="5"/>
        <v>4051</v>
      </c>
    </row>
    <row r="136" spans="1:8" x14ac:dyDescent="0.25">
      <c r="A136" s="8">
        <v>43092.624548611115</v>
      </c>
      <c r="B136" s="20" t="s">
        <v>704</v>
      </c>
      <c r="C136" s="20" t="s">
        <v>812</v>
      </c>
      <c r="D136" s="137">
        <v>2270000</v>
      </c>
      <c r="E136" s="20" t="s">
        <v>813</v>
      </c>
      <c r="F136" s="20" t="s">
        <v>814</v>
      </c>
      <c r="G136" s="8" t="str">
        <f t="shared" si="4"/>
        <v>BROWN JACOB</v>
      </c>
      <c r="H136" s="20" t="str">
        <f t="shared" si="5"/>
        <v>4033</v>
      </c>
    </row>
    <row r="137" spans="1:8" x14ac:dyDescent="0.25">
      <c r="A137" s="8">
        <v>43092.625300925924</v>
      </c>
      <c r="B137" s="20" t="s">
        <v>716</v>
      </c>
      <c r="C137" s="20" t="s">
        <v>806</v>
      </c>
      <c r="D137" s="137">
        <v>2230000</v>
      </c>
      <c r="E137" s="20" t="s">
        <v>393</v>
      </c>
      <c r="F137" s="20" t="s">
        <v>352</v>
      </c>
      <c r="G137" s="8" t="str">
        <f t="shared" si="4"/>
        <v>SMITH MICHAEL</v>
      </c>
      <c r="H137" s="20" t="str">
        <f t="shared" si="5"/>
        <v>4032</v>
      </c>
    </row>
    <row r="138" spans="1:8" x14ac:dyDescent="0.25">
      <c r="A138" s="8">
        <v>43092.625949074078</v>
      </c>
      <c r="B138" s="20" t="s">
        <v>716</v>
      </c>
      <c r="C138" s="20" t="s">
        <v>815</v>
      </c>
      <c r="D138" s="137">
        <v>2230000</v>
      </c>
      <c r="E138" s="20" t="s">
        <v>393</v>
      </c>
      <c r="F138" s="20" t="s">
        <v>352</v>
      </c>
      <c r="G138" s="8" t="str">
        <f t="shared" si="4"/>
        <v>SMITH MICHAEL</v>
      </c>
      <c r="H138" s="20" t="str">
        <f t="shared" si="5"/>
        <v>4032</v>
      </c>
    </row>
    <row r="139" spans="1:8" x14ac:dyDescent="0.25">
      <c r="A139" s="8">
        <v>43092.631886574076</v>
      </c>
      <c r="B139" s="20" t="s">
        <v>584</v>
      </c>
      <c r="C139" s="20" t="s">
        <v>816</v>
      </c>
      <c r="D139" s="137">
        <v>2040000</v>
      </c>
      <c r="E139" s="20" t="s">
        <v>396</v>
      </c>
      <c r="F139" s="20" t="s">
        <v>397</v>
      </c>
      <c r="G139" s="8" t="str">
        <f t="shared" si="4"/>
        <v>MOSES BRADLEY</v>
      </c>
      <c r="H139" s="20" t="str">
        <f t="shared" si="5"/>
        <v>4045</v>
      </c>
    </row>
    <row r="140" spans="1:8" x14ac:dyDescent="0.25">
      <c r="A140" s="8">
        <v>43092.633483796293</v>
      </c>
      <c r="B140" s="20" t="s">
        <v>392</v>
      </c>
      <c r="C140" s="20" t="s">
        <v>817</v>
      </c>
      <c r="D140" s="137">
        <v>2630000</v>
      </c>
      <c r="E140" s="20" t="s">
        <v>372</v>
      </c>
      <c r="F140" s="20" t="s">
        <v>373</v>
      </c>
      <c r="G140" s="8" t="str">
        <f t="shared" si="4"/>
        <v>SAFIEF AEIMEN</v>
      </c>
      <c r="H140" s="20" t="str">
        <f t="shared" si="5"/>
        <v>4030</v>
      </c>
    </row>
    <row r="141" spans="1:8" x14ac:dyDescent="0.25">
      <c r="A141" s="8">
        <v>43092.637071759258</v>
      </c>
      <c r="B141" s="20" t="s">
        <v>709</v>
      </c>
      <c r="C141" s="20" t="s">
        <v>812</v>
      </c>
      <c r="D141" s="137">
        <v>2270000</v>
      </c>
      <c r="E141" s="20" t="s">
        <v>813</v>
      </c>
      <c r="F141" s="20" t="s">
        <v>814</v>
      </c>
      <c r="G141" s="8" t="str">
        <f t="shared" si="4"/>
        <v>BROWN JACOB</v>
      </c>
      <c r="H141" s="20" t="str">
        <f t="shared" si="5"/>
        <v>4034</v>
      </c>
    </row>
    <row r="142" spans="1:8" x14ac:dyDescent="0.25">
      <c r="A142" s="8">
        <v>43092.639444444445</v>
      </c>
      <c r="B142" s="20" t="s">
        <v>475</v>
      </c>
      <c r="C142" s="20" t="s">
        <v>818</v>
      </c>
      <c r="D142" s="137">
        <v>2470000</v>
      </c>
      <c r="E142" s="20" t="s">
        <v>770</v>
      </c>
      <c r="F142" s="20" t="s">
        <v>771</v>
      </c>
      <c r="G142" s="8" t="str">
        <f t="shared" si="4"/>
        <v>ROMERO CHAD</v>
      </c>
      <c r="H142" s="20" t="str">
        <f t="shared" si="5"/>
        <v>4015</v>
      </c>
    </row>
    <row r="143" spans="1:8" x14ac:dyDescent="0.25">
      <c r="A143" s="8">
        <v>43092.643854166665</v>
      </c>
      <c r="B143" s="20" t="s">
        <v>658</v>
      </c>
      <c r="C143" s="20" t="s">
        <v>819</v>
      </c>
      <c r="D143" s="137">
        <v>2550000</v>
      </c>
      <c r="E143" s="20" t="s">
        <v>492</v>
      </c>
      <c r="F143" s="20" t="s">
        <v>493</v>
      </c>
      <c r="G143" s="8" t="str">
        <f t="shared" si="4"/>
        <v>BADERTSCHER DIANE</v>
      </c>
      <c r="H143" s="20" t="str">
        <f t="shared" si="5"/>
        <v>4002</v>
      </c>
    </row>
    <row r="144" spans="1:8" x14ac:dyDescent="0.25">
      <c r="A144" s="8">
        <v>43092.643958333334</v>
      </c>
      <c r="B144" s="20" t="s">
        <v>656</v>
      </c>
      <c r="C144" s="20" t="s">
        <v>820</v>
      </c>
      <c r="D144" s="137">
        <v>2230000</v>
      </c>
      <c r="E144" s="20" t="s">
        <v>393</v>
      </c>
      <c r="F144" s="20" t="s">
        <v>352</v>
      </c>
      <c r="G144" s="8" t="str">
        <f t="shared" si="4"/>
        <v>SMITH MICHAEL</v>
      </c>
      <c r="H144" s="20" t="str">
        <f t="shared" si="5"/>
        <v>4031</v>
      </c>
    </row>
    <row r="145" spans="1:8" x14ac:dyDescent="0.25">
      <c r="A145" s="8">
        <v>43092.649942129632</v>
      </c>
      <c r="B145" s="20" t="s">
        <v>669</v>
      </c>
      <c r="C145" s="20" t="s">
        <v>673</v>
      </c>
      <c r="D145" s="137">
        <v>1280000</v>
      </c>
      <c r="E145" s="20" t="s">
        <v>808</v>
      </c>
      <c r="F145" s="20" t="s">
        <v>809</v>
      </c>
      <c r="G145" s="8" t="str">
        <f t="shared" si="4"/>
        <v>BARTLETT KIANDRA</v>
      </c>
      <c r="H145" s="20" t="str">
        <f t="shared" si="5"/>
        <v>4025</v>
      </c>
    </row>
    <row r="146" spans="1:8" x14ac:dyDescent="0.25">
      <c r="A146" s="8">
        <v>43092.652384259258</v>
      </c>
      <c r="B146" s="20" t="s">
        <v>449</v>
      </c>
      <c r="C146" s="20" t="s">
        <v>821</v>
      </c>
      <c r="D146" s="137">
        <v>3330000</v>
      </c>
      <c r="E146" s="20" t="s">
        <v>510</v>
      </c>
      <c r="F146" s="20" t="s">
        <v>511</v>
      </c>
      <c r="G146" s="8" t="str">
        <f t="shared" si="4"/>
        <v>GONZALEZ ARMANDO</v>
      </c>
      <c r="H146" s="20" t="str">
        <f t="shared" si="5"/>
        <v>4052</v>
      </c>
    </row>
    <row r="147" spans="1:8" x14ac:dyDescent="0.25">
      <c r="A147" s="8">
        <v>43092.659837962965</v>
      </c>
      <c r="B147" s="20" t="s">
        <v>367</v>
      </c>
      <c r="C147" s="20" t="s">
        <v>822</v>
      </c>
      <c r="D147" s="137">
        <v>2540000</v>
      </c>
      <c r="E147" s="20" t="s">
        <v>454</v>
      </c>
      <c r="F147" s="20" t="s">
        <v>455</v>
      </c>
      <c r="G147" s="8" t="str">
        <f t="shared" si="4"/>
        <v>MCREYNOLDS KYLE</v>
      </c>
      <c r="H147" s="20" t="str">
        <f t="shared" si="5"/>
        <v>4035</v>
      </c>
    </row>
    <row r="148" spans="1:8" x14ac:dyDescent="0.25">
      <c r="A148" s="8">
        <v>43092.663912037038</v>
      </c>
      <c r="B148" s="20" t="s">
        <v>386</v>
      </c>
      <c r="C148" s="20" t="s">
        <v>823</v>
      </c>
      <c r="D148" s="137">
        <v>2630000</v>
      </c>
      <c r="E148" s="20" t="s">
        <v>372</v>
      </c>
      <c r="F148" s="20" t="s">
        <v>373</v>
      </c>
      <c r="G148" s="8" t="str">
        <f t="shared" si="4"/>
        <v>SAFIEF AEIMEN</v>
      </c>
      <c r="H148" s="20" t="str">
        <f t="shared" si="5"/>
        <v>4029</v>
      </c>
    </row>
    <row r="149" spans="1:8" x14ac:dyDescent="0.25">
      <c r="A149" s="8">
        <v>43092.664814814816</v>
      </c>
      <c r="B149" s="20" t="s">
        <v>679</v>
      </c>
      <c r="C149" s="20" t="s">
        <v>824</v>
      </c>
      <c r="D149" s="137">
        <v>2040000</v>
      </c>
      <c r="E149" s="20" t="s">
        <v>396</v>
      </c>
      <c r="F149" s="20" t="s">
        <v>397</v>
      </c>
      <c r="G149" s="8" t="str">
        <f t="shared" si="4"/>
        <v>MOSES BRADLEY</v>
      </c>
      <c r="H149" s="20" t="str">
        <f t="shared" si="5"/>
        <v>4046</v>
      </c>
    </row>
    <row r="150" spans="1:8" x14ac:dyDescent="0.25">
      <c r="A150" s="8">
        <v>43092.670590277776</v>
      </c>
      <c r="B150" s="20" t="s">
        <v>716</v>
      </c>
      <c r="C150" s="20" t="s">
        <v>825</v>
      </c>
      <c r="D150" s="137">
        <v>2230000</v>
      </c>
      <c r="E150" s="20" t="s">
        <v>393</v>
      </c>
      <c r="F150" s="20" t="s">
        <v>352</v>
      </c>
      <c r="G150" s="8" t="str">
        <f t="shared" si="4"/>
        <v>SMITH MICHAEL</v>
      </c>
      <c r="H150" s="20" t="str">
        <f t="shared" si="5"/>
        <v>4032</v>
      </c>
    </row>
    <row r="151" spans="1:8" x14ac:dyDescent="0.25">
      <c r="A151" s="8">
        <v>43092.670972222222</v>
      </c>
      <c r="B151" s="20" t="s">
        <v>477</v>
      </c>
      <c r="C151" s="20" t="s">
        <v>826</v>
      </c>
      <c r="D151" s="137">
        <v>2470000</v>
      </c>
      <c r="E151" s="20" t="s">
        <v>770</v>
      </c>
      <c r="F151" s="20" t="s">
        <v>771</v>
      </c>
      <c r="G151" s="8" t="str">
        <f t="shared" si="4"/>
        <v>ROMERO CHAD</v>
      </c>
      <c r="H151" s="20" t="str">
        <f t="shared" si="5"/>
        <v>4016</v>
      </c>
    </row>
    <row r="152" spans="1:8" x14ac:dyDescent="0.25">
      <c r="A152" s="8">
        <v>43092.680717592593</v>
      </c>
      <c r="B152" s="20" t="s">
        <v>676</v>
      </c>
      <c r="C152" s="20" t="s">
        <v>827</v>
      </c>
      <c r="D152" s="137">
        <v>2550000</v>
      </c>
      <c r="E152" s="20" t="s">
        <v>492</v>
      </c>
      <c r="F152" s="20" t="s">
        <v>493</v>
      </c>
      <c r="G152" s="8" t="str">
        <f t="shared" si="4"/>
        <v>BADERTSCHER DIANE</v>
      </c>
      <c r="H152" s="20" t="str">
        <f t="shared" si="5"/>
        <v>4001</v>
      </c>
    </row>
    <row r="153" spans="1:8" x14ac:dyDescent="0.25">
      <c r="A153" s="8">
        <v>43092.685891203706</v>
      </c>
      <c r="B153" s="20" t="s">
        <v>656</v>
      </c>
      <c r="C153" s="20" t="s">
        <v>828</v>
      </c>
      <c r="D153" s="137">
        <v>2230000</v>
      </c>
      <c r="E153" s="20" t="s">
        <v>393</v>
      </c>
      <c r="F153" s="20" t="s">
        <v>352</v>
      </c>
      <c r="G153" s="8" t="str">
        <f t="shared" si="4"/>
        <v>SMITH MICHAEL</v>
      </c>
      <c r="H153" s="20" t="str">
        <f t="shared" si="5"/>
        <v>4031</v>
      </c>
    </row>
    <row r="154" spans="1:8" x14ac:dyDescent="0.25">
      <c r="A154" s="8">
        <v>43092.686238425929</v>
      </c>
      <c r="B154" s="20" t="s">
        <v>660</v>
      </c>
      <c r="C154" s="20" t="s">
        <v>829</v>
      </c>
      <c r="D154" s="137">
        <v>2420000</v>
      </c>
      <c r="E154" s="20" t="s">
        <v>500</v>
      </c>
      <c r="F154" s="20" t="s">
        <v>501</v>
      </c>
      <c r="G154" s="8" t="str">
        <f t="shared" si="4"/>
        <v>HOLCOMB KAMDEN</v>
      </c>
      <c r="H154" s="20" t="str">
        <f t="shared" si="5"/>
        <v>4026</v>
      </c>
    </row>
    <row r="155" spans="1:8" x14ac:dyDescent="0.25">
      <c r="A155" s="8">
        <v>43092.691354166665</v>
      </c>
      <c r="B155" s="20" t="s">
        <v>451</v>
      </c>
      <c r="C155" s="20" t="s">
        <v>821</v>
      </c>
      <c r="D155" s="137">
        <v>3330000</v>
      </c>
      <c r="E155" s="20" t="s">
        <v>510</v>
      </c>
      <c r="F155" s="20" t="s">
        <v>511</v>
      </c>
      <c r="G155" s="8" t="str">
        <f t="shared" si="4"/>
        <v>GONZALEZ ARMANDO</v>
      </c>
      <c r="H155" s="20" t="str">
        <f t="shared" si="5"/>
        <v>4051</v>
      </c>
    </row>
    <row r="156" spans="1:8" x14ac:dyDescent="0.25">
      <c r="A156" s="8">
        <v>43092.691944444443</v>
      </c>
      <c r="B156" s="20" t="s">
        <v>451</v>
      </c>
      <c r="C156" s="20" t="s">
        <v>830</v>
      </c>
      <c r="D156" s="137">
        <v>3330000</v>
      </c>
      <c r="E156" s="20" t="s">
        <v>510</v>
      </c>
      <c r="F156" s="20" t="s">
        <v>511</v>
      </c>
      <c r="G156" s="8" t="str">
        <f t="shared" si="4"/>
        <v>GONZALEZ ARMANDO</v>
      </c>
      <c r="H156" s="20" t="str">
        <f t="shared" si="5"/>
        <v>4051</v>
      </c>
    </row>
    <row r="157" spans="1:8" x14ac:dyDescent="0.25">
      <c r="A157" s="8">
        <v>43092.694976851853</v>
      </c>
      <c r="B157" s="20" t="s">
        <v>366</v>
      </c>
      <c r="C157" s="20" t="s">
        <v>674</v>
      </c>
      <c r="D157" s="137">
        <v>2540000</v>
      </c>
      <c r="E157" s="20" t="s">
        <v>454</v>
      </c>
      <c r="F157" s="20" t="s">
        <v>455</v>
      </c>
      <c r="G157" s="8" t="str">
        <f t="shared" si="4"/>
        <v>MCREYNOLDS KYLE</v>
      </c>
      <c r="H157" s="20" t="str">
        <f t="shared" si="5"/>
        <v>4036</v>
      </c>
    </row>
    <row r="158" spans="1:8" x14ac:dyDescent="0.25">
      <c r="A158" s="8">
        <v>43092.703912037039</v>
      </c>
      <c r="B158" s="20" t="s">
        <v>584</v>
      </c>
      <c r="C158" s="20" t="s">
        <v>675</v>
      </c>
      <c r="D158" s="137">
        <v>2040000</v>
      </c>
      <c r="E158" s="20" t="s">
        <v>396</v>
      </c>
      <c r="F158" s="20" t="s">
        <v>397</v>
      </c>
      <c r="G158" s="8" t="str">
        <f t="shared" si="4"/>
        <v>MOSES BRADLEY</v>
      </c>
      <c r="H158" s="20" t="str">
        <f t="shared" si="5"/>
        <v>4045</v>
      </c>
    </row>
    <row r="159" spans="1:8" x14ac:dyDescent="0.25">
      <c r="A159" s="8">
        <v>43092.704629629632</v>
      </c>
      <c r="B159" s="20" t="s">
        <v>475</v>
      </c>
      <c r="C159" s="20" t="s">
        <v>831</v>
      </c>
      <c r="D159" s="137">
        <v>2470000</v>
      </c>
      <c r="E159" s="20" t="s">
        <v>770</v>
      </c>
      <c r="F159" s="20" t="s">
        <v>771</v>
      </c>
      <c r="G159" s="8" t="str">
        <f t="shared" si="4"/>
        <v>ROMERO CHAD</v>
      </c>
      <c r="H159" s="20" t="str">
        <f t="shared" si="5"/>
        <v>4015</v>
      </c>
    </row>
    <row r="160" spans="1:8" x14ac:dyDescent="0.25">
      <c r="A160" s="8">
        <v>43092.705879629626</v>
      </c>
      <c r="B160" s="20" t="s">
        <v>392</v>
      </c>
      <c r="C160" s="20" t="s">
        <v>832</v>
      </c>
      <c r="D160" s="137">
        <v>2630000</v>
      </c>
      <c r="E160" s="20" t="s">
        <v>372</v>
      </c>
      <c r="F160" s="20" t="s">
        <v>373</v>
      </c>
      <c r="G160" s="8" t="str">
        <f t="shared" si="4"/>
        <v>SAFIEF AEIMEN</v>
      </c>
      <c r="H160" s="20" t="str">
        <f t="shared" si="5"/>
        <v>4030</v>
      </c>
    </row>
    <row r="161" spans="1:8" x14ac:dyDescent="0.25">
      <c r="A161" s="8">
        <v>43092.708090277774</v>
      </c>
      <c r="B161" s="20" t="s">
        <v>716</v>
      </c>
      <c r="C161" s="20" t="s">
        <v>833</v>
      </c>
      <c r="D161" s="137">
        <v>2230000</v>
      </c>
      <c r="E161" s="20" t="s">
        <v>393</v>
      </c>
      <c r="F161" s="20" t="s">
        <v>352</v>
      </c>
      <c r="G161" s="8" t="str">
        <f t="shared" si="4"/>
        <v>SMITH MICHAEL</v>
      </c>
      <c r="H161" s="20" t="str">
        <f t="shared" si="5"/>
        <v>4032</v>
      </c>
    </row>
    <row r="162" spans="1:8" x14ac:dyDescent="0.25">
      <c r="A162" s="8">
        <v>43092.714999999997</v>
      </c>
      <c r="B162" s="20" t="s">
        <v>658</v>
      </c>
      <c r="C162" s="20" t="s">
        <v>834</v>
      </c>
      <c r="D162" s="137">
        <v>2550000</v>
      </c>
      <c r="E162" s="20" t="s">
        <v>492</v>
      </c>
      <c r="F162" s="20" t="s">
        <v>493</v>
      </c>
      <c r="G162" s="8" t="str">
        <f t="shared" si="4"/>
        <v>BADERTSCHER DIANE</v>
      </c>
      <c r="H162" s="20" t="str">
        <f t="shared" si="5"/>
        <v>4002</v>
      </c>
    </row>
    <row r="163" spans="1:8" x14ac:dyDescent="0.25">
      <c r="A163" s="8">
        <v>43092.718657407408</v>
      </c>
      <c r="B163" s="20" t="s">
        <v>370</v>
      </c>
      <c r="C163" s="20" t="s">
        <v>835</v>
      </c>
      <c r="D163" s="137">
        <v>3030000</v>
      </c>
      <c r="E163" s="20" t="s">
        <v>804</v>
      </c>
      <c r="F163" s="20" t="s">
        <v>583</v>
      </c>
      <c r="G163" s="8" t="str">
        <f t="shared" si="4"/>
        <v>BIRENBAUM THOMAS</v>
      </c>
      <c r="H163" s="20" t="str">
        <f t="shared" si="5"/>
        <v>4012</v>
      </c>
    </row>
    <row r="164" spans="1:8" x14ac:dyDescent="0.25">
      <c r="A164" s="8">
        <v>43092.722384259258</v>
      </c>
      <c r="B164" s="20" t="s">
        <v>669</v>
      </c>
      <c r="C164" s="20" t="s">
        <v>836</v>
      </c>
      <c r="D164" s="137">
        <v>2420000</v>
      </c>
      <c r="E164" s="20" t="s">
        <v>500</v>
      </c>
      <c r="F164" s="20" t="s">
        <v>501</v>
      </c>
      <c r="G164" s="8" t="str">
        <f t="shared" si="4"/>
        <v>HOLCOMB KAMDEN</v>
      </c>
      <c r="H164" s="20" t="str">
        <f t="shared" si="5"/>
        <v>4025</v>
      </c>
    </row>
    <row r="165" spans="1:8" x14ac:dyDescent="0.25">
      <c r="A165" s="8">
        <v>43092.724351851852</v>
      </c>
      <c r="B165" s="20" t="s">
        <v>449</v>
      </c>
      <c r="C165" s="20" t="s">
        <v>837</v>
      </c>
      <c r="D165" s="137">
        <v>3330000</v>
      </c>
      <c r="E165" s="20" t="s">
        <v>510</v>
      </c>
      <c r="F165" s="20" t="s">
        <v>511</v>
      </c>
      <c r="G165" s="8" t="str">
        <f t="shared" si="4"/>
        <v>GONZALEZ ARMANDO</v>
      </c>
      <c r="H165" s="20" t="str">
        <f t="shared" si="5"/>
        <v>4052</v>
      </c>
    </row>
    <row r="166" spans="1:8" x14ac:dyDescent="0.25">
      <c r="A166" s="8">
        <v>43092.725740740738</v>
      </c>
      <c r="B166" s="20" t="s">
        <v>656</v>
      </c>
      <c r="C166" s="20" t="s">
        <v>838</v>
      </c>
      <c r="D166" s="137">
        <v>2230000</v>
      </c>
      <c r="E166" s="20" t="s">
        <v>393</v>
      </c>
      <c r="F166" s="20" t="s">
        <v>352</v>
      </c>
      <c r="G166" s="8" t="str">
        <f t="shared" si="4"/>
        <v>SMITH MICHAEL</v>
      </c>
      <c r="H166" s="20" t="str">
        <f t="shared" si="5"/>
        <v>4031</v>
      </c>
    </row>
    <row r="167" spans="1:8" x14ac:dyDescent="0.25">
      <c r="A167" s="8">
        <v>43092.729930555557</v>
      </c>
      <c r="B167" s="20" t="s">
        <v>367</v>
      </c>
      <c r="C167" s="20" t="s">
        <v>839</v>
      </c>
      <c r="D167" s="137">
        <v>2540000</v>
      </c>
      <c r="E167" s="20" t="s">
        <v>454</v>
      </c>
      <c r="F167" s="20" t="s">
        <v>455</v>
      </c>
      <c r="G167" s="8" t="str">
        <f t="shared" si="4"/>
        <v>MCREYNOLDS KYLE</v>
      </c>
      <c r="H167" s="20" t="str">
        <f t="shared" si="5"/>
        <v>4035</v>
      </c>
    </row>
    <row r="168" spans="1:8" x14ac:dyDescent="0.25">
      <c r="A168" s="8">
        <v>43092.736354166664</v>
      </c>
      <c r="B168" s="20" t="s">
        <v>679</v>
      </c>
      <c r="C168" s="20" t="s">
        <v>840</v>
      </c>
      <c r="D168" s="137">
        <v>3000000</v>
      </c>
      <c r="E168" s="20" t="s">
        <v>469</v>
      </c>
      <c r="F168" s="20" t="s">
        <v>470</v>
      </c>
      <c r="G168" s="8" t="str">
        <f t="shared" si="4"/>
        <v>FORTUNATO FRANK</v>
      </c>
      <c r="H168" s="20" t="str">
        <f t="shared" si="5"/>
        <v>4046</v>
      </c>
    </row>
    <row r="169" spans="1:8" x14ac:dyDescent="0.25">
      <c r="A169" s="8">
        <v>43092.741041666668</v>
      </c>
      <c r="B169" s="20" t="s">
        <v>576</v>
      </c>
      <c r="C169" s="20" t="s">
        <v>841</v>
      </c>
      <c r="D169" s="137">
        <v>3680000</v>
      </c>
      <c r="E169" s="20" t="s">
        <v>471</v>
      </c>
      <c r="F169" s="20" t="s">
        <v>472</v>
      </c>
      <c r="G169" s="8" t="str">
        <f t="shared" si="4"/>
        <v>HAMMOND JUSTYNN</v>
      </c>
      <c r="H169" s="20" t="str">
        <f t="shared" si="5"/>
        <v>4041</v>
      </c>
    </row>
    <row r="170" spans="1:8" x14ac:dyDescent="0.25">
      <c r="A170" s="8">
        <v>43092.742962962962</v>
      </c>
      <c r="B170" s="20" t="s">
        <v>386</v>
      </c>
      <c r="C170" s="20" t="s">
        <v>842</v>
      </c>
      <c r="D170" s="137">
        <v>1280000</v>
      </c>
      <c r="E170" s="20" t="s">
        <v>808</v>
      </c>
      <c r="F170" s="20" t="s">
        <v>809</v>
      </c>
      <c r="G170" s="8" t="str">
        <f t="shared" si="4"/>
        <v>BARTLETT KIANDRA</v>
      </c>
      <c r="H170" s="20" t="str">
        <f t="shared" si="5"/>
        <v>4029</v>
      </c>
    </row>
    <row r="171" spans="1:8" x14ac:dyDescent="0.25">
      <c r="A171" s="8">
        <v>43092.745057870372</v>
      </c>
      <c r="B171" s="20" t="s">
        <v>477</v>
      </c>
      <c r="C171" s="20" t="s">
        <v>843</v>
      </c>
      <c r="D171" s="137">
        <v>3490000</v>
      </c>
      <c r="E171" s="20" t="s">
        <v>578</v>
      </c>
      <c r="F171" s="20" t="s">
        <v>579</v>
      </c>
      <c r="G171" s="8" t="str">
        <f t="shared" si="4"/>
        <v>WEST BRYAN</v>
      </c>
      <c r="H171" s="20" t="str">
        <f t="shared" si="5"/>
        <v>4016</v>
      </c>
    </row>
    <row r="172" spans="1:8" x14ac:dyDescent="0.25">
      <c r="A172" s="8">
        <v>43092.749421296299</v>
      </c>
      <c r="B172" s="20" t="s">
        <v>716</v>
      </c>
      <c r="C172" s="20" t="s">
        <v>844</v>
      </c>
      <c r="D172" s="137">
        <v>2230000</v>
      </c>
      <c r="E172" s="20" t="s">
        <v>393</v>
      </c>
      <c r="F172" s="20" t="s">
        <v>352</v>
      </c>
      <c r="G172" s="8" t="str">
        <f t="shared" si="4"/>
        <v>SMITH MICHAEL</v>
      </c>
      <c r="H172" s="20" t="str">
        <f t="shared" si="5"/>
        <v>4032</v>
      </c>
    </row>
    <row r="173" spans="1:8" x14ac:dyDescent="0.25">
      <c r="A173" s="8">
        <v>43092.754189814812</v>
      </c>
      <c r="B173" s="20" t="s">
        <v>676</v>
      </c>
      <c r="C173" s="20" t="s">
        <v>677</v>
      </c>
      <c r="D173" s="137">
        <v>2550000</v>
      </c>
      <c r="E173" s="20" t="s">
        <v>492</v>
      </c>
      <c r="F173" s="20" t="s">
        <v>493</v>
      </c>
      <c r="G173" s="8" t="str">
        <f t="shared" si="4"/>
        <v>BADERTSCHER DIANE</v>
      </c>
      <c r="H173" s="20" t="str">
        <f t="shared" si="5"/>
        <v>4001</v>
      </c>
    </row>
    <row r="174" spans="1:8" x14ac:dyDescent="0.25">
      <c r="A174" s="8">
        <v>43092.754490740743</v>
      </c>
      <c r="B174" s="20" t="s">
        <v>660</v>
      </c>
      <c r="C174" s="20" t="s">
        <v>845</v>
      </c>
      <c r="D174" s="137">
        <v>3340000</v>
      </c>
      <c r="E174" s="20" t="s">
        <v>465</v>
      </c>
      <c r="F174" s="20" t="s">
        <v>466</v>
      </c>
      <c r="G174" s="8" t="str">
        <f t="shared" si="4"/>
        <v>ELBAUM MIKE</v>
      </c>
      <c r="H174" s="20" t="str">
        <f t="shared" si="5"/>
        <v>4026</v>
      </c>
    </row>
    <row r="175" spans="1:8" x14ac:dyDescent="0.25">
      <c r="A175" s="8">
        <v>43092.763483796298</v>
      </c>
      <c r="B175" s="20" t="s">
        <v>451</v>
      </c>
      <c r="C175" s="20" t="s">
        <v>846</v>
      </c>
      <c r="D175" s="137">
        <v>3330000</v>
      </c>
      <c r="E175" s="20" t="s">
        <v>510</v>
      </c>
      <c r="F175" s="20" t="s">
        <v>511</v>
      </c>
      <c r="G175" s="8" t="str">
        <f t="shared" si="4"/>
        <v>GONZALEZ ARMANDO</v>
      </c>
      <c r="H175" s="20" t="str">
        <f t="shared" si="5"/>
        <v>4051</v>
      </c>
    </row>
    <row r="176" spans="1:8" x14ac:dyDescent="0.25">
      <c r="A176" s="8">
        <v>43092.767129629632</v>
      </c>
      <c r="B176" s="20" t="s">
        <v>366</v>
      </c>
      <c r="C176" s="20" t="s">
        <v>847</v>
      </c>
      <c r="D176" s="137">
        <v>3320000</v>
      </c>
      <c r="E176" s="20" t="s">
        <v>363</v>
      </c>
      <c r="F176" s="20" t="s">
        <v>364</v>
      </c>
      <c r="G176" s="8" t="str">
        <f t="shared" si="4"/>
        <v>NICHOLSON WESLEY</v>
      </c>
      <c r="H176" s="20" t="str">
        <f t="shared" si="5"/>
        <v>4036</v>
      </c>
    </row>
    <row r="177" spans="1:8" x14ac:dyDescent="0.25">
      <c r="A177" s="8">
        <v>43092.769490740742</v>
      </c>
      <c r="B177" s="20" t="s">
        <v>656</v>
      </c>
      <c r="C177" s="20" t="s">
        <v>848</v>
      </c>
      <c r="D177" s="137">
        <v>2230000</v>
      </c>
      <c r="E177" s="20" t="s">
        <v>393</v>
      </c>
      <c r="F177" s="20" t="s">
        <v>352</v>
      </c>
      <c r="G177" s="8" t="str">
        <f t="shared" si="4"/>
        <v>SMITH MICHAEL</v>
      </c>
      <c r="H177" s="20" t="str">
        <f t="shared" si="5"/>
        <v>4031</v>
      </c>
    </row>
    <row r="178" spans="1:8" x14ac:dyDescent="0.25">
      <c r="A178" s="8">
        <v>43092.770844907405</v>
      </c>
      <c r="B178" s="20" t="s">
        <v>584</v>
      </c>
      <c r="C178" s="20" t="s">
        <v>849</v>
      </c>
      <c r="D178" s="137">
        <v>3000000</v>
      </c>
      <c r="E178" s="20" t="s">
        <v>469</v>
      </c>
      <c r="F178" s="20" t="s">
        <v>470</v>
      </c>
      <c r="G178" s="8" t="str">
        <f t="shared" si="4"/>
        <v>FORTUNATO FRANK</v>
      </c>
      <c r="H178" s="20" t="str">
        <f t="shared" si="5"/>
        <v>4045</v>
      </c>
    </row>
    <row r="179" spans="1:8" x14ac:dyDescent="0.25">
      <c r="A179" s="8">
        <v>43092.777557870373</v>
      </c>
      <c r="B179" s="20" t="s">
        <v>392</v>
      </c>
      <c r="C179" s="20" t="s">
        <v>850</v>
      </c>
      <c r="D179" s="137">
        <v>2630000</v>
      </c>
      <c r="E179" s="20" t="s">
        <v>372</v>
      </c>
      <c r="F179" s="20" t="s">
        <v>373</v>
      </c>
      <c r="G179" s="8" t="str">
        <f t="shared" si="4"/>
        <v>SAFIEF AEIMEN</v>
      </c>
      <c r="H179" s="20" t="str">
        <f t="shared" si="5"/>
        <v>4030</v>
      </c>
    </row>
    <row r="180" spans="1:8" x14ac:dyDescent="0.25">
      <c r="A180" s="8">
        <v>43092.780277777776</v>
      </c>
      <c r="B180" s="20" t="s">
        <v>475</v>
      </c>
      <c r="C180" s="20" t="s">
        <v>851</v>
      </c>
      <c r="D180" s="137">
        <v>3490000</v>
      </c>
      <c r="E180" s="20" t="s">
        <v>578</v>
      </c>
      <c r="F180" s="20" t="s">
        <v>579</v>
      </c>
      <c r="G180" s="8" t="str">
        <f t="shared" si="4"/>
        <v>WEST BRYAN</v>
      </c>
      <c r="H180" s="20" t="str">
        <f t="shared" si="5"/>
        <v>4015</v>
      </c>
    </row>
    <row r="181" spans="1:8" x14ac:dyDescent="0.25">
      <c r="A181" s="8">
        <v>43092.787418981483</v>
      </c>
      <c r="B181" s="20" t="s">
        <v>669</v>
      </c>
      <c r="C181" s="20" t="s">
        <v>678</v>
      </c>
      <c r="D181" s="137">
        <v>3340000</v>
      </c>
      <c r="E181" s="20" t="s">
        <v>465</v>
      </c>
      <c r="F181" s="20" t="s">
        <v>466</v>
      </c>
      <c r="G181" s="8" t="str">
        <f t="shared" si="4"/>
        <v>ELBAUM MIKE</v>
      </c>
      <c r="H181" s="20" t="str">
        <f t="shared" si="5"/>
        <v>4025</v>
      </c>
    </row>
    <row r="182" spans="1:8" x14ac:dyDescent="0.25">
      <c r="A182" s="8">
        <v>43092.790509259263</v>
      </c>
      <c r="B182" s="20" t="s">
        <v>658</v>
      </c>
      <c r="C182" s="20" t="s">
        <v>681</v>
      </c>
      <c r="D182" s="137">
        <v>3700000</v>
      </c>
      <c r="E182" s="20" t="s">
        <v>446</v>
      </c>
      <c r="F182" s="20" t="s">
        <v>369</v>
      </c>
      <c r="G182" s="8" t="str">
        <f t="shared" si="4"/>
        <v>AUSTIN THOMPSON</v>
      </c>
      <c r="H182" s="20" t="str">
        <f t="shared" si="5"/>
        <v>4002</v>
      </c>
    </row>
    <row r="183" spans="1:8" x14ac:dyDescent="0.25">
      <c r="A183" s="8">
        <v>43092.79184027778</v>
      </c>
      <c r="B183" s="20" t="s">
        <v>716</v>
      </c>
      <c r="C183" s="20" t="s">
        <v>852</v>
      </c>
      <c r="D183" s="137">
        <v>2230000</v>
      </c>
      <c r="E183" s="20" t="s">
        <v>393</v>
      </c>
      <c r="F183" s="20" t="s">
        <v>352</v>
      </c>
      <c r="G183" s="8" t="str">
        <f t="shared" si="4"/>
        <v>SMITH MICHAEL</v>
      </c>
      <c r="H183" s="20" t="str">
        <f t="shared" si="5"/>
        <v>4032</v>
      </c>
    </row>
    <row r="184" spans="1:8" x14ac:dyDescent="0.25">
      <c r="A184" s="8">
        <v>43092.798564814817</v>
      </c>
      <c r="B184" s="20" t="s">
        <v>449</v>
      </c>
      <c r="C184" s="20" t="s">
        <v>853</v>
      </c>
      <c r="D184" s="137">
        <v>3330000</v>
      </c>
      <c r="E184" s="20" t="s">
        <v>510</v>
      </c>
      <c r="F184" s="20" t="s">
        <v>511</v>
      </c>
      <c r="G184" s="8" t="str">
        <f t="shared" si="4"/>
        <v>GONZALEZ ARMANDO</v>
      </c>
      <c r="H184" s="20" t="str">
        <f t="shared" si="5"/>
        <v>4052</v>
      </c>
    </row>
    <row r="185" spans="1:8" x14ac:dyDescent="0.25">
      <c r="A185" s="8">
        <v>43092.806203703702</v>
      </c>
      <c r="B185" s="20" t="s">
        <v>367</v>
      </c>
      <c r="C185" s="20" t="s">
        <v>854</v>
      </c>
      <c r="D185" s="137">
        <v>3320000</v>
      </c>
      <c r="E185" s="20" t="s">
        <v>363</v>
      </c>
      <c r="F185" s="20" t="s">
        <v>364</v>
      </c>
      <c r="G185" s="8" t="str">
        <f t="shared" si="4"/>
        <v>NICHOLSON WESLEY</v>
      </c>
      <c r="H185" s="20" t="str">
        <f t="shared" si="5"/>
        <v>4035</v>
      </c>
    </row>
    <row r="186" spans="1:8" x14ac:dyDescent="0.25">
      <c r="A186" s="8">
        <v>43092.81077546296</v>
      </c>
      <c r="B186" s="20" t="s">
        <v>656</v>
      </c>
      <c r="C186" s="20" t="s">
        <v>855</v>
      </c>
      <c r="D186" s="137">
        <v>2230000</v>
      </c>
      <c r="E186" s="20" t="s">
        <v>393</v>
      </c>
      <c r="F186" s="20" t="s">
        <v>352</v>
      </c>
      <c r="G186" s="8" t="str">
        <f t="shared" si="4"/>
        <v>SMITH MICHAEL</v>
      </c>
      <c r="H186" s="20" t="str">
        <f t="shared" si="5"/>
        <v>4031</v>
      </c>
    </row>
    <row r="187" spans="1:8" x14ac:dyDescent="0.25">
      <c r="A187" s="8">
        <v>43092.810914351852</v>
      </c>
      <c r="B187" s="20" t="s">
        <v>679</v>
      </c>
      <c r="C187" s="20" t="s">
        <v>680</v>
      </c>
      <c r="D187" s="137">
        <v>3000000</v>
      </c>
      <c r="E187" s="20" t="s">
        <v>469</v>
      </c>
      <c r="F187" s="20" t="s">
        <v>470</v>
      </c>
      <c r="G187" s="8" t="str">
        <f t="shared" si="4"/>
        <v>FORTUNATO FRANK</v>
      </c>
      <c r="H187" s="20" t="str">
        <f t="shared" si="5"/>
        <v>4046</v>
      </c>
    </row>
    <row r="188" spans="1:8" x14ac:dyDescent="0.25">
      <c r="A188" s="8">
        <v>43092.815891203703</v>
      </c>
      <c r="B188" s="20" t="s">
        <v>679</v>
      </c>
      <c r="C188" s="20" t="s">
        <v>680</v>
      </c>
      <c r="D188" s="137">
        <v>3000000</v>
      </c>
      <c r="E188" s="20" t="s">
        <v>469</v>
      </c>
      <c r="F188" s="20" t="s">
        <v>470</v>
      </c>
      <c r="G188" s="8" t="str">
        <f t="shared" si="4"/>
        <v>FORTUNATO FRANK</v>
      </c>
      <c r="H188" s="20" t="str">
        <f t="shared" si="5"/>
        <v>4046</v>
      </c>
    </row>
    <row r="189" spans="1:8" x14ac:dyDescent="0.25">
      <c r="A189" s="8">
        <v>43092.826597222222</v>
      </c>
      <c r="B189" s="20" t="s">
        <v>477</v>
      </c>
      <c r="C189" s="20" t="s">
        <v>856</v>
      </c>
      <c r="D189" s="137">
        <v>3490000</v>
      </c>
      <c r="E189" s="20" t="s">
        <v>578</v>
      </c>
      <c r="F189" s="20" t="s">
        <v>579</v>
      </c>
      <c r="G189" s="8" t="str">
        <f t="shared" si="4"/>
        <v>WEST BRYAN</v>
      </c>
      <c r="H189" s="20" t="str">
        <f t="shared" si="5"/>
        <v>4016</v>
      </c>
    </row>
    <row r="190" spans="1:8" x14ac:dyDescent="0.25">
      <c r="A190" s="8">
        <v>43092.829467592594</v>
      </c>
      <c r="B190" s="20" t="s">
        <v>676</v>
      </c>
      <c r="C190" s="20" t="s">
        <v>857</v>
      </c>
      <c r="D190" s="137">
        <v>3700000</v>
      </c>
      <c r="E190" s="20" t="s">
        <v>446</v>
      </c>
      <c r="F190" s="20" t="s">
        <v>369</v>
      </c>
      <c r="G190" s="8" t="str">
        <f t="shared" si="4"/>
        <v>AUSTIN THOMPSON</v>
      </c>
      <c r="H190" s="20" t="str">
        <f t="shared" si="5"/>
        <v>4001</v>
      </c>
    </row>
    <row r="191" spans="1:8" x14ac:dyDescent="0.25">
      <c r="A191" s="8">
        <v>43092.829606481479</v>
      </c>
      <c r="B191" s="20" t="s">
        <v>660</v>
      </c>
      <c r="C191" s="20" t="s">
        <v>858</v>
      </c>
      <c r="D191" s="137">
        <v>3340000</v>
      </c>
      <c r="E191" s="20" t="s">
        <v>465</v>
      </c>
      <c r="F191" s="20" t="s">
        <v>466</v>
      </c>
      <c r="G191" s="8" t="str">
        <f t="shared" si="4"/>
        <v>ELBAUM MIKE</v>
      </c>
      <c r="H191" s="20" t="str">
        <f t="shared" si="5"/>
        <v>4026</v>
      </c>
    </row>
    <row r="192" spans="1:8" x14ac:dyDescent="0.25">
      <c r="A192" s="8">
        <v>43092.833796296298</v>
      </c>
      <c r="B192" s="20" t="s">
        <v>716</v>
      </c>
      <c r="C192" s="20" t="s">
        <v>859</v>
      </c>
      <c r="D192" s="137">
        <v>2230000</v>
      </c>
      <c r="E192" s="20" t="s">
        <v>393</v>
      </c>
      <c r="F192" s="20" t="s">
        <v>352</v>
      </c>
      <c r="G192" s="8" t="str">
        <f t="shared" si="4"/>
        <v>SMITH MICHAEL</v>
      </c>
      <c r="H192" s="20" t="str">
        <f t="shared" si="5"/>
        <v>4032</v>
      </c>
    </row>
    <row r="193" spans="1:8" x14ac:dyDescent="0.25">
      <c r="A193" s="8">
        <v>43092.841909722221</v>
      </c>
      <c r="B193" s="20" t="s">
        <v>584</v>
      </c>
      <c r="C193" s="20" t="s">
        <v>860</v>
      </c>
      <c r="D193" s="137">
        <v>3000000</v>
      </c>
      <c r="E193" s="20" t="s">
        <v>469</v>
      </c>
      <c r="F193" s="20" t="s">
        <v>470</v>
      </c>
      <c r="G193" s="8" t="str">
        <f t="shared" si="4"/>
        <v>FORTUNATO FRANK</v>
      </c>
      <c r="H193" s="20" t="str">
        <f t="shared" si="5"/>
        <v>4045</v>
      </c>
    </row>
    <row r="194" spans="1:8" x14ac:dyDescent="0.25">
      <c r="A194" s="8">
        <v>43092.843321759261</v>
      </c>
      <c r="B194" s="20" t="s">
        <v>366</v>
      </c>
      <c r="C194" s="20" t="s">
        <v>861</v>
      </c>
      <c r="D194" s="137">
        <v>3320000</v>
      </c>
      <c r="E194" s="20" t="s">
        <v>363</v>
      </c>
      <c r="F194" s="20" t="s">
        <v>364</v>
      </c>
      <c r="G194" s="8" t="str">
        <f t="shared" si="4"/>
        <v>NICHOLSON WESLEY</v>
      </c>
      <c r="H194" s="20" t="str">
        <f t="shared" si="5"/>
        <v>4036</v>
      </c>
    </row>
    <row r="195" spans="1:8" x14ac:dyDescent="0.25">
      <c r="A195" s="8">
        <v>43092.852025462962</v>
      </c>
      <c r="B195" s="20" t="s">
        <v>656</v>
      </c>
      <c r="C195" s="20" t="s">
        <v>862</v>
      </c>
      <c r="D195" s="137">
        <v>2230000</v>
      </c>
      <c r="E195" s="20" t="s">
        <v>393</v>
      </c>
      <c r="F195" s="20" t="s">
        <v>352</v>
      </c>
      <c r="G195" s="8" t="str">
        <f t="shared" ref="G195:G258" si="6">E195&amp;" "&amp;F195</f>
        <v>SMITH MICHAEL</v>
      </c>
      <c r="H195" s="20" t="str">
        <f t="shared" ref="H195:H258" si="7">MID(B195,13,4)</f>
        <v>4031</v>
      </c>
    </row>
    <row r="196" spans="1:8" x14ac:dyDescent="0.25">
      <c r="A196" s="8">
        <v>43092.863310185188</v>
      </c>
      <c r="B196" s="20" t="s">
        <v>669</v>
      </c>
      <c r="C196" s="20" t="s">
        <v>684</v>
      </c>
      <c r="D196" s="137">
        <v>3340000</v>
      </c>
      <c r="E196" s="20" t="s">
        <v>465</v>
      </c>
      <c r="F196" s="20" t="s">
        <v>466</v>
      </c>
      <c r="G196" s="8" t="str">
        <f t="shared" si="6"/>
        <v>ELBAUM MIKE</v>
      </c>
      <c r="H196" s="20" t="str">
        <f t="shared" si="7"/>
        <v>4025</v>
      </c>
    </row>
    <row r="197" spans="1:8" x14ac:dyDescent="0.25">
      <c r="A197" s="8">
        <v>43092.872627314813</v>
      </c>
      <c r="B197" s="20" t="s">
        <v>658</v>
      </c>
      <c r="C197" s="20" t="s">
        <v>863</v>
      </c>
      <c r="D197" s="137">
        <v>3700000</v>
      </c>
      <c r="E197" s="20" t="s">
        <v>446</v>
      </c>
      <c r="F197" s="20" t="s">
        <v>369</v>
      </c>
      <c r="G197" s="8" t="str">
        <f t="shared" si="6"/>
        <v>AUSTIN THOMPSON</v>
      </c>
      <c r="H197" s="20" t="str">
        <f t="shared" si="7"/>
        <v>4002</v>
      </c>
    </row>
    <row r="198" spans="1:8" x14ac:dyDescent="0.25">
      <c r="A198" s="8">
        <v>43092.876655092594</v>
      </c>
      <c r="B198" s="20" t="s">
        <v>716</v>
      </c>
      <c r="C198" s="20" t="s">
        <v>864</v>
      </c>
      <c r="D198" s="137">
        <v>2230000</v>
      </c>
      <c r="E198" s="20" t="s">
        <v>393</v>
      </c>
      <c r="F198" s="20" t="s">
        <v>352</v>
      </c>
      <c r="G198" s="8" t="str">
        <f t="shared" si="6"/>
        <v>SMITH MICHAEL</v>
      </c>
      <c r="H198" s="20" t="str">
        <f t="shared" si="7"/>
        <v>4032</v>
      </c>
    </row>
    <row r="199" spans="1:8" x14ac:dyDescent="0.25">
      <c r="A199" s="8">
        <v>43092.882905092592</v>
      </c>
      <c r="B199" s="20" t="s">
        <v>679</v>
      </c>
      <c r="C199" s="20" t="s">
        <v>865</v>
      </c>
      <c r="D199" s="137">
        <v>3000000</v>
      </c>
      <c r="E199" s="20" t="s">
        <v>469</v>
      </c>
      <c r="F199" s="20" t="s">
        <v>470</v>
      </c>
      <c r="G199" s="8" t="str">
        <f t="shared" si="6"/>
        <v>FORTUNATO FRANK</v>
      </c>
      <c r="H199" s="20" t="str">
        <f t="shared" si="7"/>
        <v>4046</v>
      </c>
    </row>
    <row r="200" spans="1:8" x14ac:dyDescent="0.25">
      <c r="A200" s="8">
        <v>43092.888564814813</v>
      </c>
      <c r="B200" s="20" t="s">
        <v>367</v>
      </c>
      <c r="C200" s="20" t="s">
        <v>866</v>
      </c>
      <c r="D200" s="137">
        <v>3320000</v>
      </c>
      <c r="E200" s="20" t="s">
        <v>363</v>
      </c>
      <c r="F200" s="20" t="s">
        <v>364</v>
      </c>
      <c r="G200" s="8" t="str">
        <f t="shared" si="6"/>
        <v>NICHOLSON WESLEY</v>
      </c>
      <c r="H200" s="20" t="str">
        <f t="shared" si="7"/>
        <v>4035</v>
      </c>
    </row>
    <row r="201" spans="1:8" x14ac:dyDescent="0.25">
      <c r="A201" s="8">
        <v>43092.892638888887</v>
      </c>
      <c r="B201" s="20" t="s">
        <v>656</v>
      </c>
      <c r="C201" s="20" t="s">
        <v>685</v>
      </c>
      <c r="D201" s="137">
        <v>2230000</v>
      </c>
      <c r="E201" s="20" t="s">
        <v>393</v>
      </c>
      <c r="F201" s="20" t="s">
        <v>352</v>
      </c>
      <c r="G201" s="8" t="str">
        <f t="shared" si="6"/>
        <v>SMITH MICHAEL</v>
      </c>
      <c r="H201" s="20" t="str">
        <f t="shared" si="7"/>
        <v>4031</v>
      </c>
    </row>
    <row r="202" spans="1:8" x14ac:dyDescent="0.25">
      <c r="A202" s="26">
        <v>43092.905405092592</v>
      </c>
      <c r="B202" s="20" t="s">
        <v>660</v>
      </c>
      <c r="C202" s="20" t="s">
        <v>867</v>
      </c>
      <c r="D202" s="137">
        <v>3340000</v>
      </c>
      <c r="E202" s="20" t="s">
        <v>465</v>
      </c>
      <c r="F202" s="20" t="s">
        <v>466</v>
      </c>
      <c r="G202" s="8" t="str">
        <f t="shared" si="6"/>
        <v>ELBAUM MIKE</v>
      </c>
      <c r="H202" s="20" t="str">
        <f t="shared" si="7"/>
        <v>4026</v>
      </c>
    </row>
    <row r="203" spans="1:8" x14ac:dyDescent="0.25">
      <c r="A203" s="8">
        <v>43092.912638888891</v>
      </c>
      <c r="B203" s="20" t="s">
        <v>676</v>
      </c>
      <c r="C203" s="20" t="s">
        <v>868</v>
      </c>
      <c r="D203" s="137">
        <v>3700000</v>
      </c>
      <c r="E203" s="20" t="s">
        <v>446</v>
      </c>
      <c r="F203" s="20" t="s">
        <v>369</v>
      </c>
      <c r="G203" s="8" t="str">
        <f t="shared" si="6"/>
        <v>AUSTIN THOMPSON</v>
      </c>
      <c r="H203" s="20" t="str">
        <f t="shared" si="7"/>
        <v>4001</v>
      </c>
    </row>
    <row r="204" spans="1:8" x14ac:dyDescent="0.25">
      <c r="A204" s="8">
        <v>43092.918958333335</v>
      </c>
      <c r="B204" s="20" t="s">
        <v>716</v>
      </c>
      <c r="C204" s="20" t="s">
        <v>869</v>
      </c>
      <c r="D204" s="137">
        <v>2230000</v>
      </c>
      <c r="E204" s="20" t="s">
        <v>393</v>
      </c>
      <c r="F204" s="20" t="s">
        <v>352</v>
      </c>
      <c r="G204" s="8" t="str">
        <f t="shared" si="6"/>
        <v>SMITH MICHAEL</v>
      </c>
      <c r="H204" s="20" t="str">
        <f t="shared" si="7"/>
        <v>4032</v>
      </c>
    </row>
    <row r="205" spans="1:8" x14ac:dyDescent="0.25">
      <c r="A205" s="8">
        <v>43092.928229166668</v>
      </c>
      <c r="B205" s="20" t="s">
        <v>584</v>
      </c>
      <c r="C205" s="20" t="s">
        <v>686</v>
      </c>
      <c r="D205" s="137">
        <v>3000000</v>
      </c>
      <c r="E205" s="20" t="s">
        <v>469</v>
      </c>
      <c r="F205" s="20" t="s">
        <v>470</v>
      </c>
      <c r="G205" s="8" t="str">
        <f t="shared" si="6"/>
        <v>FORTUNATO FRANK</v>
      </c>
      <c r="H205" s="20" t="str">
        <f t="shared" si="7"/>
        <v>4045</v>
      </c>
    </row>
    <row r="206" spans="1:8" x14ac:dyDescent="0.25">
      <c r="A206" s="8">
        <v>43092.93277777778</v>
      </c>
      <c r="B206" s="20" t="s">
        <v>366</v>
      </c>
      <c r="C206" s="20" t="s">
        <v>870</v>
      </c>
      <c r="D206" s="137">
        <v>3320000</v>
      </c>
      <c r="E206" s="20" t="s">
        <v>363</v>
      </c>
      <c r="F206" s="20" t="s">
        <v>364</v>
      </c>
      <c r="G206" s="8" t="str">
        <f t="shared" si="6"/>
        <v>NICHOLSON WESLEY</v>
      </c>
      <c r="H206" s="20" t="str">
        <f t="shared" si="7"/>
        <v>4036</v>
      </c>
    </row>
    <row r="207" spans="1:8" x14ac:dyDescent="0.25">
      <c r="A207" s="8">
        <v>43092.937395833331</v>
      </c>
      <c r="B207" s="20" t="s">
        <v>656</v>
      </c>
      <c r="C207" s="20" t="s">
        <v>687</v>
      </c>
      <c r="D207" s="137">
        <v>2230000</v>
      </c>
      <c r="E207" s="20" t="s">
        <v>393</v>
      </c>
      <c r="F207" s="20" t="s">
        <v>352</v>
      </c>
      <c r="G207" s="8" t="str">
        <f t="shared" si="6"/>
        <v>SMITH MICHAEL</v>
      </c>
      <c r="H207" s="20" t="str">
        <f t="shared" si="7"/>
        <v>4031</v>
      </c>
    </row>
    <row r="208" spans="1:8" x14ac:dyDescent="0.25">
      <c r="A208" s="8">
        <v>43092.94494212963</v>
      </c>
      <c r="B208" s="20" t="s">
        <v>669</v>
      </c>
      <c r="C208" s="20" t="s">
        <v>688</v>
      </c>
      <c r="D208" s="137">
        <v>3340000</v>
      </c>
      <c r="E208" s="20" t="s">
        <v>465</v>
      </c>
      <c r="F208" s="20" t="s">
        <v>466</v>
      </c>
      <c r="G208" s="8" t="str">
        <f t="shared" si="6"/>
        <v>ELBAUM MIKE</v>
      </c>
      <c r="H208" s="20" t="str">
        <f t="shared" si="7"/>
        <v>4025</v>
      </c>
    </row>
    <row r="209" spans="1:8" x14ac:dyDescent="0.25">
      <c r="A209" s="8">
        <v>43092.95621527778</v>
      </c>
      <c r="B209" s="20" t="s">
        <v>658</v>
      </c>
      <c r="C209" s="20" t="s">
        <v>871</v>
      </c>
      <c r="D209" s="137">
        <v>3700000</v>
      </c>
      <c r="E209" s="20" t="s">
        <v>446</v>
      </c>
      <c r="F209" s="20" t="s">
        <v>369</v>
      </c>
      <c r="G209" s="8" t="str">
        <f t="shared" si="6"/>
        <v>AUSTIN THOMPSON</v>
      </c>
      <c r="H209" s="20" t="str">
        <f t="shared" si="7"/>
        <v>4002</v>
      </c>
    </row>
    <row r="210" spans="1:8" x14ac:dyDescent="0.25">
      <c r="A210" s="8">
        <v>43092.962511574071</v>
      </c>
      <c r="B210" s="20" t="s">
        <v>716</v>
      </c>
      <c r="C210" s="20" t="s">
        <v>872</v>
      </c>
      <c r="D210" s="137">
        <v>2230000</v>
      </c>
      <c r="E210" s="20" t="s">
        <v>393</v>
      </c>
      <c r="F210" s="20" t="s">
        <v>352</v>
      </c>
      <c r="G210" s="8" t="str">
        <f t="shared" si="6"/>
        <v>SMITH MICHAEL</v>
      </c>
      <c r="H210" s="20" t="str">
        <f t="shared" si="7"/>
        <v>4032</v>
      </c>
    </row>
    <row r="211" spans="1:8" x14ac:dyDescent="0.25">
      <c r="A211" s="8">
        <v>43092.971354166664</v>
      </c>
      <c r="B211" s="20" t="s">
        <v>679</v>
      </c>
      <c r="C211" s="20" t="s">
        <v>873</v>
      </c>
      <c r="D211" s="137">
        <v>3000000</v>
      </c>
      <c r="E211" s="20" t="s">
        <v>469</v>
      </c>
      <c r="F211" s="20" t="s">
        <v>470</v>
      </c>
      <c r="G211" s="8" t="str">
        <f t="shared" si="6"/>
        <v>FORTUNATO FRANK</v>
      </c>
      <c r="H211" s="20" t="str">
        <f t="shared" si="7"/>
        <v>4046</v>
      </c>
    </row>
    <row r="212" spans="1:8" x14ac:dyDescent="0.25">
      <c r="A212" s="8">
        <v>43092.975231481483</v>
      </c>
      <c r="B212" s="20" t="s">
        <v>367</v>
      </c>
      <c r="C212" s="20" t="s">
        <v>874</v>
      </c>
      <c r="D212" s="137">
        <v>3320000</v>
      </c>
      <c r="E212" s="20" t="s">
        <v>363</v>
      </c>
      <c r="F212" s="20" t="s">
        <v>364</v>
      </c>
      <c r="G212" s="8" t="str">
        <f t="shared" si="6"/>
        <v>NICHOLSON WESLEY</v>
      </c>
      <c r="H212" s="20" t="str">
        <f t="shared" si="7"/>
        <v>4035</v>
      </c>
    </row>
    <row r="213" spans="1:8" x14ac:dyDescent="0.25">
      <c r="A213" s="8">
        <v>43092.981041666666</v>
      </c>
      <c r="B213" s="20" t="s">
        <v>656</v>
      </c>
      <c r="C213" s="20" t="s">
        <v>875</v>
      </c>
      <c r="D213" s="137">
        <v>2230000</v>
      </c>
      <c r="E213" s="20" t="s">
        <v>393</v>
      </c>
      <c r="F213" s="20" t="s">
        <v>352</v>
      </c>
      <c r="G213" s="8" t="str">
        <f t="shared" si="6"/>
        <v>SMITH MICHAEL</v>
      </c>
      <c r="H213" s="20" t="str">
        <f t="shared" si="7"/>
        <v>4031</v>
      </c>
    </row>
    <row r="214" spans="1:8" x14ac:dyDescent="0.25">
      <c r="A214" s="8">
        <v>43092.991655092592</v>
      </c>
      <c r="B214" s="20" t="s">
        <v>660</v>
      </c>
      <c r="C214" s="20" t="s">
        <v>876</v>
      </c>
      <c r="D214" s="137">
        <v>3340000</v>
      </c>
      <c r="E214" s="20" t="s">
        <v>465</v>
      </c>
      <c r="F214" s="20" t="s">
        <v>466</v>
      </c>
      <c r="G214" s="8" t="str">
        <f t="shared" si="6"/>
        <v>ELBAUM MIKE</v>
      </c>
      <c r="H214" s="20" t="str">
        <f t="shared" si="7"/>
        <v>4026</v>
      </c>
    </row>
    <row r="215" spans="1:8" x14ac:dyDescent="0.25">
      <c r="A215" s="8">
        <v>43092.996064814812</v>
      </c>
      <c r="B215" s="20" t="s">
        <v>676</v>
      </c>
      <c r="C215" s="20" t="s">
        <v>877</v>
      </c>
      <c r="D215" s="137">
        <v>3700000</v>
      </c>
      <c r="E215" s="20" t="s">
        <v>446</v>
      </c>
      <c r="F215" s="20" t="s">
        <v>369</v>
      </c>
      <c r="G215" s="8" t="str">
        <f t="shared" si="6"/>
        <v>AUSTIN THOMPSON</v>
      </c>
      <c r="H215" s="20" t="str">
        <f t="shared" si="7"/>
        <v>4001</v>
      </c>
    </row>
    <row r="216" spans="1:8" x14ac:dyDescent="0.25">
      <c r="A216" s="8">
        <v>43093.012442129628</v>
      </c>
      <c r="B216" s="20" t="s">
        <v>366</v>
      </c>
      <c r="C216" s="20" t="s">
        <v>878</v>
      </c>
      <c r="D216" s="137">
        <v>3320000</v>
      </c>
      <c r="E216" s="20" t="s">
        <v>363</v>
      </c>
      <c r="F216" s="20" t="s">
        <v>364</v>
      </c>
      <c r="G216" s="8" t="str">
        <f t="shared" si="6"/>
        <v>NICHOLSON WESLEY</v>
      </c>
      <c r="H216" s="20" t="str">
        <f t="shared" si="7"/>
        <v>4036</v>
      </c>
    </row>
    <row r="217" spans="1:8" x14ac:dyDescent="0.25">
      <c r="A217" s="8">
        <v>43093.015682870369</v>
      </c>
      <c r="B217" s="20" t="s">
        <v>584</v>
      </c>
      <c r="C217" s="20" t="s">
        <v>879</v>
      </c>
      <c r="D217" s="137">
        <v>3000000</v>
      </c>
      <c r="E217" s="20" t="s">
        <v>469</v>
      </c>
      <c r="F217" s="20" t="s">
        <v>470</v>
      </c>
      <c r="G217" s="8" t="str">
        <f t="shared" si="6"/>
        <v>FORTUNATO FRANK</v>
      </c>
      <c r="H217" s="20" t="str">
        <f t="shared" si="7"/>
        <v>4045</v>
      </c>
    </row>
    <row r="218" spans="1:8" x14ac:dyDescent="0.25">
      <c r="A218" s="8">
        <v>43093.026944444442</v>
      </c>
      <c r="B218" s="20" t="s">
        <v>669</v>
      </c>
      <c r="C218" s="20" t="s">
        <v>689</v>
      </c>
      <c r="D218" s="137">
        <v>3340000</v>
      </c>
      <c r="E218" s="20" t="s">
        <v>465</v>
      </c>
      <c r="F218" s="20" t="s">
        <v>466</v>
      </c>
      <c r="G218" s="8" t="str">
        <f t="shared" si="6"/>
        <v>ELBAUM MIKE</v>
      </c>
      <c r="H218" s="20" t="str">
        <f t="shared" si="7"/>
        <v>4025</v>
      </c>
    </row>
    <row r="219" spans="1:8" x14ac:dyDescent="0.25">
      <c r="A219" s="8">
        <v>43093.039050925923</v>
      </c>
      <c r="B219" s="20" t="s">
        <v>658</v>
      </c>
      <c r="C219" s="20" t="s">
        <v>880</v>
      </c>
      <c r="D219" s="137">
        <v>3700000</v>
      </c>
      <c r="E219" s="20" t="s">
        <v>446</v>
      </c>
      <c r="F219" s="20" t="s">
        <v>369</v>
      </c>
      <c r="G219" s="8" t="str">
        <f t="shared" si="6"/>
        <v>AUSTIN THOMPSON</v>
      </c>
      <c r="H219" s="20" t="str">
        <f t="shared" si="7"/>
        <v>4002</v>
      </c>
    </row>
    <row r="220" spans="1:8" x14ac:dyDescent="0.25">
      <c r="A220" s="8">
        <v>43093.052442129629</v>
      </c>
      <c r="B220" s="20" t="s">
        <v>679</v>
      </c>
      <c r="C220" s="20" t="s">
        <v>690</v>
      </c>
      <c r="D220" s="137">
        <v>3000000</v>
      </c>
      <c r="E220" s="20" t="s">
        <v>469</v>
      </c>
      <c r="F220" s="20" t="s">
        <v>470</v>
      </c>
      <c r="G220" s="8" t="str">
        <f t="shared" si="6"/>
        <v>FORTUNATO FRANK</v>
      </c>
      <c r="H220" s="20" t="str">
        <f t="shared" si="7"/>
        <v>4046</v>
      </c>
    </row>
    <row r="221" spans="1:8" x14ac:dyDescent="0.25">
      <c r="A221" s="8">
        <v>43093.057256944441</v>
      </c>
      <c r="B221" s="20" t="s">
        <v>367</v>
      </c>
      <c r="C221" s="20" t="s">
        <v>881</v>
      </c>
      <c r="D221" s="137">
        <v>3320000</v>
      </c>
      <c r="E221" s="20" t="s">
        <v>363</v>
      </c>
      <c r="F221" s="20" t="s">
        <v>364</v>
      </c>
      <c r="G221" s="8" t="str">
        <f t="shared" si="6"/>
        <v>NICHOLSON WESLEY</v>
      </c>
      <c r="H221" s="20" t="str">
        <f t="shared" si="7"/>
        <v>4035</v>
      </c>
    </row>
    <row r="222" spans="1:8" x14ac:dyDescent="0.25">
      <c r="A222" s="8">
        <v>43093.069004629629</v>
      </c>
      <c r="B222" s="20" t="s">
        <v>660</v>
      </c>
      <c r="C222" s="20" t="s">
        <v>882</v>
      </c>
      <c r="D222" s="137">
        <v>3340000</v>
      </c>
      <c r="E222" s="20" t="s">
        <v>465</v>
      </c>
      <c r="F222" s="20" t="s">
        <v>466</v>
      </c>
      <c r="G222" s="8" t="str">
        <f t="shared" si="6"/>
        <v>ELBAUM MIKE</v>
      </c>
      <c r="H222" s="20" t="str">
        <f t="shared" si="7"/>
        <v>4026</v>
      </c>
    </row>
    <row r="223" spans="1:8" x14ac:dyDescent="0.25">
      <c r="A223" s="8">
        <v>43093.079687500001</v>
      </c>
      <c r="B223" s="20" t="s">
        <v>676</v>
      </c>
      <c r="C223" s="20" t="s">
        <v>883</v>
      </c>
      <c r="D223" s="137">
        <v>3700000</v>
      </c>
      <c r="E223" s="20" t="s">
        <v>446</v>
      </c>
      <c r="F223" s="20" t="s">
        <v>369</v>
      </c>
      <c r="G223" s="8" t="str">
        <f t="shared" si="6"/>
        <v>AUSTIN THOMPSON</v>
      </c>
      <c r="H223" s="20" t="str">
        <f t="shared" si="7"/>
        <v>4001</v>
      </c>
    </row>
    <row r="224" spans="1:8" x14ac:dyDescent="0.25">
      <c r="A224" s="8">
        <v>43093.092361111114</v>
      </c>
      <c r="B224" t="s">
        <v>366</v>
      </c>
      <c r="C224" t="s">
        <v>884</v>
      </c>
      <c r="D224" s="137">
        <v>3320000</v>
      </c>
      <c r="E224" t="s">
        <v>363</v>
      </c>
      <c r="F224" s="20" t="s">
        <v>364</v>
      </c>
      <c r="G224" s="8" t="str">
        <f t="shared" si="6"/>
        <v>NICHOLSON WESLEY</v>
      </c>
      <c r="H224" s="20" t="str">
        <f t="shared" si="7"/>
        <v>4036</v>
      </c>
    </row>
    <row r="225" spans="1:8" x14ac:dyDescent="0.25">
      <c r="A225" s="8">
        <v>43093.107638888891</v>
      </c>
      <c r="B225" t="s">
        <v>509</v>
      </c>
      <c r="C225" t="s">
        <v>885</v>
      </c>
      <c r="D225" s="137">
        <v>3300000</v>
      </c>
      <c r="E225" t="s">
        <v>886</v>
      </c>
      <c r="F225" s="20" t="s">
        <v>887</v>
      </c>
      <c r="G225" s="8" t="str">
        <f t="shared" si="6"/>
        <v>LANGERAK WILLIAM</v>
      </c>
      <c r="H225" s="20" t="str">
        <f t="shared" si="7"/>
        <v>4043</v>
      </c>
    </row>
    <row r="226" spans="1:8" x14ac:dyDescent="0.25">
      <c r="A226" s="8">
        <v>43093.109548611108</v>
      </c>
      <c r="B226" t="s">
        <v>658</v>
      </c>
      <c r="C226" t="s">
        <v>888</v>
      </c>
      <c r="D226" s="137">
        <v>3700000</v>
      </c>
      <c r="E226" t="s">
        <v>446</v>
      </c>
      <c r="F226" s="20" t="s">
        <v>369</v>
      </c>
      <c r="G226" s="8" t="str">
        <f t="shared" si="6"/>
        <v>AUSTIN THOMPSON</v>
      </c>
      <c r="H226" s="20" t="str">
        <f t="shared" si="7"/>
        <v>4002</v>
      </c>
    </row>
    <row r="227" spans="1:8" x14ac:dyDescent="0.25">
      <c r="A227" s="8">
        <v>43093.114548611113</v>
      </c>
      <c r="B227" t="s">
        <v>509</v>
      </c>
      <c r="C227" t="s">
        <v>885</v>
      </c>
      <c r="D227" s="137">
        <v>3300000</v>
      </c>
      <c r="E227" t="s">
        <v>886</v>
      </c>
      <c r="F227" s="20" t="s">
        <v>887</v>
      </c>
      <c r="G227" s="8" t="str">
        <f t="shared" si="6"/>
        <v>LANGERAK WILLIAM</v>
      </c>
      <c r="H227" s="20" t="str">
        <f t="shared" si="7"/>
        <v>4043</v>
      </c>
    </row>
    <row r="228" spans="1:8" x14ac:dyDescent="0.25">
      <c r="A228" s="8">
        <v>43091.880289351851</v>
      </c>
      <c r="B228" t="s">
        <v>479</v>
      </c>
      <c r="C228" t="s">
        <v>586</v>
      </c>
      <c r="D228" s="137">
        <v>3340000</v>
      </c>
      <c r="E228" t="s">
        <v>465</v>
      </c>
      <c r="F228" s="20" t="s">
        <v>466</v>
      </c>
      <c r="G228" s="8" t="str">
        <f t="shared" si="6"/>
        <v>ELBAUM MIKE</v>
      </c>
      <c r="H228" s="20" t="str">
        <f t="shared" si="7"/>
        <v>4005</v>
      </c>
    </row>
    <row r="229" spans="1:8" x14ac:dyDescent="0.25">
      <c r="A229" s="8">
        <v>43091.881898148145</v>
      </c>
      <c r="B229" t="s">
        <v>508</v>
      </c>
      <c r="C229" t="s">
        <v>587</v>
      </c>
      <c r="D229" s="137">
        <v>2600000</v>
      </c>
      <c r="E229" t="s">
        <v>585</v>
      </c>
      <c r="F229" s="20" t="s">
        <v>542</v>
      </c>
      <c r="G229" s="8" t="str">
        <f t="shared" si="6"/>
        <v>DAVIDSON DAVID</v>
      </c>
      <c r="H229" s="20" t="str">
        <f t="shared" si="7"/>
        <v>4044</v>
      </c>
    </row>
    <row r="230" spans="1:8" x14ac:dyDescent="0.25">
      <c r="A230" s="8">
        <v>43091.894293981481</v>
      </c>
      <c r="B230" t="s">
        <v>475</v>
      </c>
      <c r="C230" t="s">
        <v>588</v>
      </c>
      <c r="D230" s="137">
        <v>2230000</v>
      </c>
      <c r="E230" t="s">
        <v>393</v>
      </c>
      <c r="F230" s="20" t="s">
        <v>352</v>
      </c>
      <c r="G230" s="8" t="str">
        <f t="shared" si="6"/>
        <v>SMITH MICHAEL</v>
      </c>
      <c r="H230" s="20" t="str">
        <f t="shared" si="7"/>
        <v>4015</v>
      </c>
    </row>
    <row r="231" spans="1:8" x14ac:dyDescent="0.25">
      <c r="A231" s="8">
        <v>43091.910416666666</v>
      </c>
      <c r="B231" t="s">
        <v>581</v>
      </c>
      <c r="C231" t="s">
        <v>589</v>
      </c>
      <c r="D231" s="137">
        <v>3320000</v>
      </c>
      <c r="E231" t="s">
        <v>363</v>
      </c>
      <c r="F231" s="20" t="s">
        <v>364</v>
      </c>
      <c r="G231" s="8" t="str">
        <f t="shared" si="6"/>
        <v>NICHOLSON WESLEY</v>
      </c>
      <c r="H231" s="20" t="str">
        <f t="shared" si="7"/>
        <v>4020</v>
      </c>
    </row>
    <row r="232" spans="1:8" x14ac:dyDescent="0.25">
      <c r="A232" s="8">
        <v>43091.912476851852</v>
      </c>
      <c r="B232" t="s">
        <v>497</v>
      </c>
      <c r="C232" t="s">
        <v>577</v>
      </c>
      <c r="D232" s="137">
        <v>3700000</v>
      </c>
      <c r="E232" t="s">
        <v>446</v>
      </c>
      <c r="F232" s="20" t="s">
        <v>369</v>
      </c>
      <c r="G232" s="8" t="str">
        <f t="shared" si="6"/>
        <v>AUSTIN THOMPSON</v>
      </c>
      <c r="H232" s="20" t="str">
        <f t="shared" si="7"/>
        <v>4009</v>
      </c>
    </row>
    <row r="233" spans="1:8" x14ac:dyDescent="0.25">
      <c r="A233" s="8">
        <v>43091.916250000002</v>
      </c>
      <c r="B233" t="s">
        <v>477</v>
      </c>
      <c r="C233" t="s">
        <v>590</v>
      </c>
      <c r="D233" s="137">
        <v>2230000</v>
      </c>
      <c r="E233" t="s">
        <v>393</v>
      </c>
      <c r="F233" s="20" t="s">
        <v>352</v>
      </c>
      <c r="G233" s="8" t="str">
        <f t="shared" si="6"/>
        <v>SMITH MICHAEL</v>
      </c>
      <c r="H233" s="20" t="str">
        <f t="shared" si="7"/>
        <v>4016</v>
      </c>
    </row>
    <row r="234" spans="1:8" x14ac:dyDescent="0.25">
      <c r="A234" s="8">
        <v>43091.920706018522</v>
      </c>
      <c r="B234" t="s">
        <v>476</v>
      </c>
      <c r="C234" t="s">
        <v>591</v>
      </c>
      <c r="D234" s="137">
        <v>3340000</v>
      </c>
      <c r="E234" t="s">
        <v>465</v>
      </c>
      <c r="F234" s="20" t="s">
        <v>466</v>
      </c>
      <c r="G234" s="8" t="str">
        <f t="shared" si="6"/>
        <v>ELBAUM MIKE</v>
      </c>
      <c r="H234" s="20" t="str">
        <f t="shared" si="7"/>
        <v>4006</v>
      </c>
    </row>
    <row r="235" spans="1:8" x14ac:dyDescent="0.25">
      <c r="A235" s="8">
        <v>43091.925208333334</v>
      </c>
      <c r="B235" t="s">
        <v>509</v>
      </c>
      <c r="C235" t="s">
        <v>592</v>
      </c>
      <c r="D235" s="137">
        <v>2600000</v>
      </c>
      <c r="E235" t="s">
        <v>585</v>
      </c>
      <c r="F235" s="20" t="s">
        <v>542</v>
      </c>
      <c r="G235" s="8" t="str">
        <f t="shared" si="6"/>
        <v>DAVIDSON DAVID</v>
      </c>
      <c r="H235" s="20" t="str">
        <f t="shared" si="7"/>
        <v>4043</v>
      </c>
    </row>
    <row r="236" spans="1:8" x14ac:dyDescent="0.25">
      <c r="A236" s="8">
        <v>43091.935162037036</v>
      </c>
      <c r="B236" t="s">
        <v>475</v>
      </c>
      <c r="C236" t="s">
        <v>593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25">
      <c r="A237" s="8">
        <v>43091.948634259257</v>
      </c>
      <c r="B237" t="s">
        <v>580</v>
      </c>
      <c r="C237" t="s">
        <v>594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25">
      <c r="A238" s="8">
        <v>43091.956342592595</v>
      </c>
      <c r="B238" t="s">
        <v>443</v>
      </c>
      <c r="C238" t="s">
        <v>595</v>
      </c>
      <c r="D238" s="137">
        <v>3310000</v>
      </c>
      <c r="E238" t="s">
        <v>494</v>
      </c>
      <c r="F238" s="20" t="s">
        <v>495</v>
      </c>
      <c r="G238" s="8" t="str">
        <f t="shared" si="6"/>
        <v>ANDERS STEVEN</v>
      </c>
      <c r="H238" s="20" t="str">
        <f t="shared" si="7"/>
        <v>4010</v>
      </c>
    </row>
    <row r="239" spans="1:8" x14ac:dyDescent="0.25">
      <c r="A239" s="8">
        <v>43091.957974537036</v>
      </c>
      <c r="B239" t="s">
        <v>477</v>
      </c>
      <c r="C239" t="s">
        <v>596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25">
      <c r="A240" s="8">
        <v>43091.966365740744</v>
      </c>
      <c r="B240" t="s">
        <v>479</v>
      </c>
      <c r="C240" t="s">
        <v>597</v>
      </c>
      <c r="D240" s="137">
        <v>3340000</v>
      </c>
      <c r="E240" t="s">
        <v>465</v>
      </c>
      <c r="F240" s="20" t="s">
        <v>466</v>
      </c>
      <c r="G240" s="8" t="str">
        <f t="shared" si="6"/>
        <v>ELBAUM MIKE</v>
      </c>
      <c r="H240" s="20" t="str">
        <f t="shared" si="7"/>
        <v>4005</v>
      </c>
    </row>
    <row r="241" spans="1:8" x14ac:dyDescent="0.25">
      <c r="A241" s="8">
        <v>43091.968842592592</v>
      </c>
      <c r="B241" t="s">
        <v>508</v>
      </c>
      <c r="C241" t="s">
        <v>598</v>
      </c>
      <c r="D241" s="137">
        <v>2600000</v>
      </c>
      <c r="E241" t="s">
        <v>585</v>
      </c>
      <c r="F241" s="20" t="s">
        <v>542</v>
      </c>
      <c r="G241" s="8" t="str">
        <f t="shared" si="6"/>
        <v>DAVIDSON DAVID</v>
      </c>
      <c r="H241" s="20" t="str">
        <f t="shared" si="7"/>
        <v>4044</v>
      </c>
    </row>
    <row r="242" spans="1:8" x14ac:dyDescent="0.25">
      <c r="A242" s="8">
        <v>43091.976944444446</v>
      </c>
      <c r="B242" t="s">
        <v>475</v>
      </c>
      <c r="C242" t="s">
        <v>599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25">
      <c r="A243" s="8">
        <v>43091.986886574072</v>
      </c>
      <c r="B243" t="s">
        <v>497</v>
      </c>
      <c r="C243" t="s">
        <v>480</v>
      </c>
      <c r="D243" s="137">
        <v>3310000</v>
      </c>
      <c r="E243" t="s">
        <v>494</v>
      </c>
      <c r="F243" s="20" t="s">
        <v>495</v>
      </c>
      <c r="G243" s="8" t="str">
        <f t="shared" si="6"/>
        <v>ANDERS STEVEN</v>
      </c>
      <c r="H243" s="20" t="str">
        <f t="shared" si="7"/>
        <v>4009</v>
      </c>
    </row>
    <row r="244" spans="1:8" x14ac:dyDescent="0.25">
      <c r="A244" s="8">
        <v>43091.991770833331</v>
      </c>
      <c r="B244" t="s">
        <v>581</v>
      </c>
      <c r="C244" t="s">
        <v>600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25">
      <c r="A245" s="8">
        <v>43092.006620370368</v>
      </c>
      <c r="B245" t="s">
        <v>509</v>
      </c>
      <c r="C245" t="s">
        <v>478</v>
      </c>
      <c r="D245" s="137">
        <v>2600000</v>
      </c>
      <c r="E245" t="s">
        <v>585</v>
      </c>
      <c r="F245" s="20" t="s">
        <v>542</v>
      </c>
      <c r="G245" s="8" t="str">
        <f t="shared" si="6"/>
        <v>DAVIDSON DAVID</v>
      </c>
      <c r="H245" s="20" t="str">
        <f t="shared" si="7"/>
        <v>4043</v>
      </c>
    </row>
    <row r="246" spans="1:8" x14ac:dyDescent="0.25">
      <c r="A246" s="8">
        <v>43092.007326388892</v>
      </c>
      <c r="B246" t="s">
        <v>476</v>
      </c>
      <c r="C246" t="s">
        <v>481</v>
      </c>
      <c r="D246" s="137">
        <v>3340000</v>
      </c>
      <c r="E246" t="s">
        <v>465</v>
      </c>
      <c r="F246" s="20" t="s">
        <v>466</v>
      </c>
      <c r="G246" s="8" t="str">
        <f t="shared" si="6"/>
        <v>ELBAUM MIKE</v>
      </c>
      <c r="H246" s="20" t="str">
        <f t="shared" si="7"/>
        <v>4006</v>
      </c>
    </row>
    <row r="247" spans="1:8" x14ac:dyDescent="0.25">
      <c r="A247" s="8">
        <v>43092.036180555559</v>
      </c>
      <c r="B247" t="s">
        <v>580</v>
      </c>
      <c r="C247" t="s">
        <v>483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25">
      <c r="A248" s="8">
        <v>43092.040810185186</v>
      </c>
      <c r="B248" t="s">
        <v>443</v>
      </c>
      <c r="C248" t="s">
        <v>601</v>
      </c>
      <c r="D248" s="137">
        <v>3310000</v>
      </c>
      <c r="E248" t="s">
        <v>494</v>
      </c>
      <c r="F248" s="20" t="s">
        <v>495</v>
      </c>
      <c r="G248" s="8" t="str">
        <f t="shared" si="6"/>
        <v>ANDERS STEVEN</v>
      </c>
      <c r="H248" s="20" t="str">
        <f t="shared" si="7"/>
        <v>4010</v>
      </c>
    </row>
    <row r="249" spans="1:8" x14ac:dyDescent="0.25">
      <c r="A249" s="8">
        <v>43092.047118055554</v>
      </c>
      <c r="B249" t="s">
        <v>479</v>
      </c>
      <c r="C249" t="s">
        <v>485</v>
      </c>
      <c r="D249" s="137">
        <v>3340000</v>
      </c>
      <c r="E249" t="s">
        <v>465</v>
      </c>
      <c r="F249" s="20" t="s">
        <v>466</v>
      </c>
      <c r="G249" s="8" t="str">
        <f t="shared" si="6"/>
        <v>ELBAUM MIKE</v>
      </c>
      <c r="H249" s="20" t="str">
        <f t="shared" si="7"/>
        <v>4005</v>
      </c>
    </row>
    <row r="250" spans="1:8" x14ac:dyDescent="0.25">
      <c r="A250" s="8">
        <v>43092.048067129632</v>
      </c>
      <c r="B250" t="s">
        <v>508</v>
      </c>
      <c r="C250" t="s">
        <v>484</v>
      </c>
      <c r="D250" s="137">
        <v>2600000</v>
      </c>
      <c r="E250" t="s">
        <v>585</v>
      </c>
      <c r="F250" s="20" t="s">
        <v>542</v>
      </c>
      <c r="G250" s="8" t="str">
        <f t="shared" si="6"/>
        <v>DAVIDSON DAVID</v>
      </c>
      <c r="H250" s="20" t="str">
        <f t="shared" si="7"/>
        <v>4044</v>
      </c>
    </row>
    <row r="251" spans="1:8" x14ac:dyDescent="0.25">
      <c r="A251" s="8">
        <v>43092.069814814815</v>
      </c>
      <c r="B251" t="s">
        <v>581</v>
      </c>
      <c r="C251" t="s">
        <v>486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25">
      <c r="A252" s="8">
        <v>43092.071180555555</v>
      </c>
      <c r="B252" t="s">
        <v>497</v>
      </c>
      <c r="C252" t="s">
        <v>602</v>
      </c>
      <c r="D252" s="137">
        <v>3310000</v>
      </c>
      <c r="E252" t="s">
        <v>494</v>
      </c>
      <c r="F252" s="20" t="s">
        <v>495</v>
      </c>
      <c r="G252" s="8" t="str">
        <f t="shared" si="6"/>
        <v>ANDERS STEVEN</v>
      </c>
      <c r="H252" s="20" t="str">
        <f t="shared" si="7"/>
        <v>4009</v>
      </c>
    </row>
    <row r="253" spans="1:8" x14ac:dyDescent="0.25">
      <c r="A253" s="8">
        <v>43092.086921296293</v>
      </c>
      <c r="B253" t="s">
        <v>476</v>
      </c>
      <c r="C253" t="s">
        <v>487</v>
      </c>
      <c r="D253" s="137">
        <v>3340000</v>
      </c>
      <c r="E253" t="s">
        <v>465</v>
      </c>
      <c r="F253" s="20" t="s">
        <v>466</v>
      </c>
      <c r="G253" s="8" t="str">
        <f t="shared" si="6"/>
        <v>ELBAUM MIKE</v>
      </c>
      <c r="H253" s="20" t="str">
        <f t="shared" si="7"/>
        <v>4006</v>
      </c>
    </row>
    <row r="254" spans="1:8" x14ac:dyDescent="0.25">
      <c r="A254" s="8">
        <v>43092.109120370369</v>
      </c>
      <c r="B254" t="s">
        <v>443</v>
      </c>
      <c r="C254" t="s">
        <v>482</v>
      </c>
      <c r="D254" s="137">
        <v>3310000</v>
      </c>
      <c r="E254" t="s">
        <v>494</v>
      </c>
      <c r="F254" s="20" t="s">
        <v>495</v>
      </c>
      <c r="G254" s="8" t="str">
        <f t="shared" si="6"/>
        <v>ANDERS STEVEN</v>
      </c>
      <c r="H254" s="20" t="str">
        <f t="shared" si="7"/>
        <v>4010</v>
      </c>
    </row>
    <row r="255" spans="1:8" x14ac:dyDescent="0.25">
      <c r="A255" s="8">
        <v>43057.086678240739</v>
      </c>
      <c r="B255" t="s">
        <v>447</v>
      </c>
      <c r="C255" t="s">
        <v>473</v>
      </c>
      <c r="D255" s="137">
        <v>3340000</v>
      </c>
      <c r="E255" t="s">
        <v>465</v>
      </c>
      <c r="F255" s="20" t="s">
        <v>466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443</v>
      </c>
      <c r="C256" t="s">
        <v>474</v>
      </c>
      <c r="D256" s="137">
        <v>3680000</v>
      </c>
      <c r="E256" t="s">
        <v>471</v>
      </c>
      <c r="F256" s="20" t="s">
        <v>472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444</v>
      </c>
      <c r="C257" t="s">
        <v>456</v>
      </c>
      <c r="D257" s="137">
        <v>2540000</v>
      </c>
      <c r="E257" t="s">
        <v>454</v>
      </c>
      <c r="F257" s="20" t="s">
        <v>455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450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443</v>
      </c>
      <c r="C259" t="s">
        <v>457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451</v>
      </c>
      <c r="C260" t="s">
        <v>458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445</v>
      </c>
      <c r="C261" t="s">
        <v>459</v>
      </c>
      <c r="D261" s="137">
        <v>2440000</v>
      </c>
      <c r="E261" t="s">
        <v>452</v>
      </c>
      <c r="F261" s="20" t="s">
        <v>453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460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449</v>
      </c>
      <c r="C263" t="s">
        <v>461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462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543</v>
      </c>
      <c r="I1" s="217" t="s">
        <v>162</v>
      </c>
      <c r="J1" s="217" t="s">
        <v>163</v>
      </c>
      <c r="K1" s="217" t="s">
        <v>544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25">
      <c r="A2" s="195">
        <v>21.42</v>
      </c>
      <c r="B2" s="195">
        <v>0.04</v>
      </c>
      <c r="C2" s="195">
        <v>15.6</v>
      </c>
      <c r="D2" s="8">
        <v>43092.083333333336</v>
      </c>
      <c r="E2" s="195">
        <v>0.78</v>
      </c>
      <c r="F2" s="195" t="s">
        <v>464</v>
      </c>
      <c r="G2" s="195">
        <v>320.04000000000002</v>
      </c>
      <c r="H2" s="195"/>
      <c r="I2" s="195">
        <v>0</v>
      </c>
      <c r="J2" s="195">
        <v>0</v>
      </c>
      <c r="K2" s="195"/>
      <c r="L2" s="195">
        <v>1018.29</v>
      </c>
      <c r="M2" s="195" t="s">
        <v>463</v>
      </c>
      <c r="N2" s="195">
        <v>21.42</v>
      </c>
      <c r="O2" s="195">
        <v>1514012400</v>
      </c>
      <c r="P2" s="195">
        <v>0</v>
      </c>
      <c r="Q2" s="195">
        <v>4.01</v>
      </c>
      <c r="R2" s="195">
        <v>328</v>
      </c>
      <c r="S2" s="195">
        <v>4.13</v>
      </c>
      <c r="T2" s="195">
        <v>0.85</v>
      </c>
    </row>
    <row r="3" spans="1:20" x14ac:dyDescent="0.25">
      <c r="A3" s="195">
        <v>20.43</v>
      </c>
      <c r="B3" s="195">
        <v>0.04</v>
      </c>
      <c r="C3" s="195">
        <v>14.75</v>
      </c>
      <c r="D3" s="8">
        <v>43092.125</v>
      </c>
      <c r="E3" s="195">
        <v>0.78</v>
      </c>
      <c r="F3" s="195" t="s">
        <v>464</v>
      </c>
      <c r="G3" s="195">
        <v>319.83999999999997</v>
      </c>
      <c r="H3" s="195"/>
      <c r="I3" s="195">
        <v>0</v>
      </c>
      <c r="J3" s="195">
        <v>0</v>
      </c>
      <c r="K3" s="195"/>
      <c r="L3" s="195">
        <v>1017.63</v>
      </c>
      <c r="M3" s="195" t="s">
        <v>463</v>
      </c>
      <c r="N3" s="195">
        <v>20.43</v>
      </c>
      <c r="O3" s="195">
        <v>1514016000</v>
      </c>
      <c r="P3" s="195">
        <v>0</v>
      </c>
      <c r="Q3" s="195">
        <v>4.25</v>
      </c>
      <c r="R3" s="195">
        <v>330</v>
      </c>
      <c r="S3" s="195">
        <v>5.05</v>
      </c>
      <c r="T3" s="195">
        <v>1.42</v>
      </c>
    </row>
    <row r="4" spans="1:20" x14ac:dyDescent="0.25">
      <c r="A4" s="195">
        <v>19.989999999999998</v>
      </c>
      <c r="B4" s="195">
        <v>0.04</v>
      </c>
      <c r="C4" s="195">
        <v>14.27</v>
      </c>
      <c r="D4" s="8">
        <v>43092.166666666664</v>
      </c>
      <c r="E4" s="195">
        <v>0.78</v>
      </c>
      <c r="F4" s="195" t="s">
        <v>464</v>
      </c>
      <c r="G4" s="195">
        <v>319.52999999999997</v>
      </c>
      <c r="H4" s="195"/>
      <c r="I4" s="195">
        <v>0</v>
      </c>
      <c r="J4" s="195">
        <v>0</v>
      </c>
      <c r="K4" s="195"/>
      <c r="L4" s="195">
        <v>1018.3</v>
      </c>
      <c r="M4" s="195" t="s">
        <v>463</v>
      </c>
      <c r="N4" s="195">
        <v>19.989999999999998</v>
      </c>
      <c r="O4" s="195">
        <v>1514019600</v>
      </c>
      <c r="P4" s="195">
        <v>0</v>
      </c>
      <c r="Q4" s="195">
        <v>4.16</v>
      </c>
      <c r="R4" s="195">
        <v>345</v>
      </c>
      <c r="S4" s="195">
        <v>3.79</v>
      </c>
      <c r="T4" s="195">
        <v>0.94</v>
      </c>
    </row>
    <row r="5" spans="1:20" x14ac:dyDescent="0.25">
      <c r="A5" s="195">
        <v>18.64</v>
      </c>
      <c r="B5" s="195">
        <v>0.04</v>
      </c>
      <c r="C5" s="195">
        <v>13.59</v>
      </c>
      <c r="D5" s="8">
        <v>43092.208333333336</v>
      </c>
      <c r="E5" s="195">
        <v>0.8</v>
      </c>
      <c r="F5" s="195" t="s">
        <v>464</v>
      </c>
      <c r="G5" s="195">
        <v>319.12</v>
      </c>
      <c r="H5" s="195"/>
      <c r="I5" s="195">
        <v>0</v>
      </c>
      <c r="J5" s="195">
        <v>0</v>
      </c>
      <c r="K5" s="195"/>
      <c r="L5" s="195">
        <v>1019.11</v>
      </c>
      <c r="M5" s="195" t="s">
        <v>463</v>
      </c>
      <c r="N5" s="195">
        <v>18.64</v>
      </c>
      <c r="O5" s="195">
        <v>1514023200</v>
      </c>
      <c r="P5" s="195">
        <v>0</v>
      </c>
      <c r="Q5" s="195">
        <v>3.93</v>
      </c>
      <c r="R5" s="195">
        <v>306</v>
      </c>
      <c r="S5" s="195">
        <v>3.11</v>
      </c>
      <c r="T5" s="195">
        <v>0.55000000000000004</v>
      </c>
    </row>
    <row r="6" spans="1:20" x14ac:dyDescent="0.25">
      <c r="A6" s="195">
        <v>17.8</v>
      </c>
      <c r="B6" s="195">
        <v>0.05</v>
      </c>
      <c r="C6" s="195">
        <v>13.12</v>
      </c>
      <c r="D6" s="8">
        <v>43092.25</v>
      </c>
      <c r="E6" s="195">
        <v>0.82</v>
      </c>
      <c r="F6" s="195" t="s">
        <v>464</v>
      </c>
      <c r="G6" s="195">
        <v>318.60000000000002</v>
      </c>
      <c r="H6" s="195"/>
      <c r="I6" s="195">
        <v>0</v>
      </c>
      <c r="J6" s="195">
        <v>0</v>
      </c>
      <c r="K6" s="195"/>
      <c r="L6" s="195">
        <v>1017.72</v>
      </c>
      <c r="M6" s="195" t="s">
        <v>463</v>
      </c>
      <c r="N6" s="195">
        <v>17.8</v>
      </c>
      <c r="O6" s="195">
        <v>1514026800</v>
      </c>
      <c r="P6" s="195">
        <v>0</v>
      </c>
      <c r="Q6" s="195">
        <v>4.21</v>
      </c>
      <c r="R6" s="195">
        <v>298</v>
      </c>
      <c r="S6" s="195">
        <v>2.81</v>
      </c>
      <c r="T6" s="195">
        <v>0.32</v>
      </c>
    </row>
    <row r="7" spans="1:20" x14ac:dyDescent="0.25">
      <c r="A7" s="195">
        <v>16.82</v>
      </c>
      <c r="B7" s="195">
        <v>0.04</v>
      </c>
      <c r="C7" s="195">
        <v>12.46</v>
      </c>
      <c r="D7" s="8">
        <v>43092.291666666664</v>
      </c>
      <c r="E7" s="195">
        <v>0.83</v>
      </c>
      <c r="F7" s="195" t="s">
        <v>464</v>
      </c>
      <c r="G7" s="195">
        <v>317.55</v>
      </c>
      <c r="H7" s="195"/>
      <c r="I7" s="195">
        <v>0</v>
      </c>
      <c r="J7" s="195">
        <v>0</v>
      </c>
      <c r="K7" s="195"/>
      <c r="L7" s="195">
        <v>1017.92</v>
      </c>
      <c r="M7" s="195" t="s">
        <v>463</v>
      </c>
      <c r="N7" s="195">
        <v>16.82</v>
      </c>
      <c r="O7" s="195">
        <v>1514030400</v>
      </c>
      <c r="P7" s="195">
        <v>0</v>
      </c>
      <c r="Q7" s="195">
        <v>4.16</v>
      </c>
      <c r="R7" s="195">
        <v>303</v>
      </c>
      <c r="S7" s="195">
        <v>3.35</v>
      </c>
      <c r="T7" s="195">
        <v>0.61</v>
      </c>
    </row>
    <row r="8" spans="1:20" x14ac:dyDescent="0.25">
      <c r="A8" s="195">
        <v>16.02</v>
      </c>
      <c r="B8" s="195">
        <v>0.06</v>
      </c>
      <c r="C8" s="195">
        <v>11.87</v>
      </c>
      <c r="D8" s="8">
        <v>43092.333333333336</v>
      </c>
      <c r="E8" s="195">
        <v>0.83</v>
      </c>
      <c r="F8" s="195" t="s">
        <v>464</v>
      </c>
      <c r="G8" s="195">
        <v>317.97000000000003</v>
      </c>
      <c r="H8" s="195"/>
      <c r="I8" s="195">
        <v>0</v>
      </c>
      <c r="J8" s="195">
        <v>0</v>
      </c>
      <c r="K8" s="195"/>
      <c r="L8" s="195">
        <v>1018.01</v>
      </c>
      <c r="M8" s="195" t="s">
        <v>463</v>
      </c>
      <c r="N8" s="195">
        <v>16.02</v>
      </c>
      <c r="O8" s="195">
        <v>1514034000</v>
      </c>
      <c r="P8" s="195">
        <v>0</v>
      </c>
      <c r="Q8" s="195">
        <v>5.04</v>
      </c>
      <c r="R8" s="195">
        <v>341</v>
      </c>
      <c r="S8" s="195">
        <v>3.71</v>
      </c>
      <c r="T8" s="195">
        <v>0.32</v>
      </c>
    </row>
    <row r="9" spans="1:20" x14ac:dyDescent="0.25">
      <c r="A9" s="195">
        <v>15.71</v>
      </c>
      <c r="B9" s="195">
        <v>7.0000000000000007E-2</v>
      </c>
      <c r="C9" s="195">
        <v>11.77</v>
      </c>
      <c r="D9" s="8">
        <v>43092.375</v>
      </c>
      <c r="E9" s="195">
        <v>0.84</v>
      </c>
      <c r="F9" s="195" t="s">
        <v>464</v>
      </c>
      <c r="G9" s="195">
        <v>318.81</v>
      </c>
      <c r="H9" s="195"/>
      <c r="I9" s="195">
        <v>0</v>
      </c>
      <c r="J9" s="195">
        <v>0</v>
      </c>
      <c r="K9" s="195"/>
      <c r="L9" s="195">
        <v>1018.63</v>
      </c>
      <c r="M9" s="195" t="s">
        <v>463</v>
      </c>
      <c r="N9" s="195">
        <v>15.71</v>
      </c>
      <c r="O9" s="195">
        <v>1514037600</v>
      </c>
      <c r="P9" s="195">
        <v>0</v>
      </c>
      <c r="Q9" s="195">
        <v>4.8600000000000003</v>
      </c>
      <c r="R9" s="195">
        <v>310</v>
      </c>
      <c r="S9" s="195">
        <v>3.97</v>
      </c>
      <c r="T9" s="195">
        <v>0.26</v>
      </c>
    </row>
    <row r="10" spans="1:20" x14ac:dyDescent="0.25">
      <c r="A10" s="195">
        <v>15.75</v>
      </c>
      <c r="B10" s="195">
        <v>7.0000000000000007E-2</v>
      </c>
      <c r="C10" s="195">
        <v>11.72</v>
      </c>
      <c r="D10" s="8">
        <v>43092.416666666664</v>
      </c>
      <c r="E10" s="195">
        <v>0.84</v>
      </c>
      <c r="F10" s="195" t="s">
        <v>488</v>
      </c>
      <c r="G10" s="195">
        <v>319.83999999999997</v>
      </c>
      <c r="H10" s="195"/>
      <c r="I10" s="195">
        <v>0</v>
      </c>
      <c r="J10" s="195">
        <v>0</v>
      </c>
      <c r="K10" s="195"/>
      <c r="L10" s="195">
        <v>1019.83</v>
      </c>
      <c r="M10" s="195" t="s">
        <v>463</v>
      </c>
      <c r="N10" s="195">
        <v>15.75</v>
      </c>
      <c r="O10" s="195">
        <v>1514041200</v>
      </c>
      <c r="P10" s="195">
        <v>0</v>
      </c>
      <c r="Q10" s="195">
        <v>4.53</v>
      </c>
      <c r="R10" s="195">
        <v>317</v>
      </c>
      <c r="S10" s="195">
        <v>2.82</v>
      </c>
      <c r="T10" s="195">
        <v>0.47</v>
      </c>
    </row>
    <row r="11" spans="1:20" x14ac:dyDescent="0.25">
      <c r="A11" s="195">
        <v>19.25</v>
      </c>
      <c r="B11" s="195">
        <v>0.09</v>
      </c>
      <c r="C11" s="195">
        <v>14.92</v>
      </c>
      <c r="D11" s="8">
        <v>43092.458333333336</v>
      </c>
      <c r="E11" s="195">
        <v>0.83</v>
      </c>
      <c r="F11" s="195" t="s">
        <v>488</v>
      </c>
      <c r="G11" s="195">
        <v>320.98</v>
      </c>
      <c r="H11" s="195"/>
      <c r="I11" s="195">
        <v>0</v>
      </c>
      <c r="J11" s="195">
        <v>0</v>
      </c>
      <c r="K11" s="195"/>
      <c r="L11" s="195">
        <v>1018.6</v>
      </c>
      <c r="M11" s="195" t="s">
        <v>463</v>
      </c>
      <c r="N11" s="195">
        <v>19.25</v>
      </c>
      <c r="O11" s="195">
        <v>1514044800</v>
      </c>
      <c r="P11" s="195">
        <v>1</v>
      </c>
      <c r="Q11" s="195">
        <v>4.17</v>
      </c>
      <c r="R11" s="195">
        <v>256</v>
      </c>
      <c r="S11" s="195">
        <v>4.71</v>
      </c>
      <c r="T11" s="195">
        <v>0.08</v>
      </c>
    </row>
    <row r="12" spans="1:20" x14ac:dyDescent="0.25">
      <c r="A12" s="195">
        <v>24.4</v>
      </c>
      <c r="B12" s="195">
        <v>0.09</v>
      </c>
      <c r="C12" s="195">
        <v>17.84</v>
      </c>
      <c r="D12" s="8">
        <v>43092.5</v>
      </c>
      <c r="E12" s="195">
        <v>0.76</v>
      </c>
      <c r="F12" s="195" t="s">
        <v>488</v>
      </c>
      <c r="G12" s="195">
        <v>322.22000000000003</v>
      </c>
      <c r="H12" s="195"/>
      <c r="I12" s="195">
        <v>0</v>
      </c>
      <c r="J12" s="195">
        <v>0</v>
      </c>
      <c r="K12" s="195"/>
      <c r="L12" s="195">
        <v>1017.67</v>
      </c>
      <c r="M12" s="195" t="s">
        <v>463</v>
      </c>
      <c r="N12" s="195">
        <v>24.4</v>
      </c>
      <c r="O12" s="195">
        <v>1514048400</v>
      </c>
      <c r="P12" s="195">
        <v>1</v>
      </c>
      <c r="Q12" s="195">
        <v>3.42</v>
      </c>
      <c r="R12" s="195">
        <v>133</v>
      </c>
      <c r="S12" s="195">
        <v>5.66</v>
      </c>
      <c r="T12" s="195">
        <v>0.59</v>
      </c>
    </row>
    <row r="13" spans="1:20" x14ac:dyDescent="0.25">
      <c r="A13" s="195">
        <v>31.84</v>
      </c>
      <c r="B13" s="195">
        <v>0.04</v>
      </c>
      <c r="C13" s="195">
        <v>19.64</v>
      </c>
      <c r="D13" s="8">
        <v>43092.541666666664</v>
      </c>
      <c r="E13" s="195">
        <v>0.6</v>
      </c>
      <c r="F13" s="195" t="s">
        <v>488</v>
      </c>
      <c r="G13" s="195">
        <v>327.86</v>
      </c>
      <c r="H13" s="195"/>
      <c r="I13" s="195">
        <v>0</v>
      </c>
      <c r="J13" s="195">
        <v>0</v>
      </c>
      <c r="K13" s="195"/>
      <c r="L13" s="195">
        <v>1015.23</v>
      </c>
      <c r="M13" s="195" t="s">
        <v>463</v>
      </c>
      <c r="N13" s="195">
        <v>31.84</v>
      </c>
      <c r="O13" s="195">
        <v>1514052000</v>
      </c>
      <c r="P13" s="195">
        <v>2</v>
      </c>
      <c r="Q13" s="195">
        <v>3.77</v>
      </c>
      <c r="R13" s="195">
        <v>182</v>
      </c>
      <c r="S13" s="195">
        <v>6.5</v>
      </c>
      <c r="T13" s="195">
        <v>1.3</v>
      </c>
    </row>
    <row r="14" spans="1:20" x14ac:dyDescent="0.25">
      <c r="A14" s="195">
        <v>38.479999999999997</v>
      </c>
      <c r="B14" s="195">
        <v>0.14000000000000001</v>
      </c>
      <c r="C14" s="195">
        <v>19.45</v>
      </c>
      <c r="D14" s="8">
        <v>43092.583333333336</v>
      </c>
      <c r="E14" s="195">
        <v>0.46</v>
      </c>
      <c r="F14" s="195" t="s">
        <v>488</v>
      </c>
      <c r="G14" s="195">
        <v>328.16</v>
      </c>
      <c r="H14" s="195"/>
      <c r="I14" s="195">
        <v>2.0000000000000001E-4</v>
      </c>
      <c r="J14" s="195">
        <v>0.02</v>
      </c>
      <c r="K14" s="195" t="s">
        <v>603</v>
      </c>
      <c r="L14" s="195">
        <v>1012.79</v>
      </c>
      <c r="M14" s="195" t="s">
        <v>463</v>
      </c>
      <c r="N14" s="195">
        <v>38.479999999999997</v>
      </c>
      <c r="O14" s="195">
        <v>1514055600</v>
      </c>
      <c r="P14" s="195">
        <v>2</v>
      </c>
      <c r="Q14" s="195">
        <v>3.97</v>
      </c>
      <c r="R14" s="195">
        <v>147</v>
      </c>
      <c r="S14" s="195">
        <v>7.24</v>
      </c>
      <c r="T14" s="195">
        <v>1.39</v>
      </c>
    </row>
    <row r="15" spans="1:20" x14ac:dyDescent="0.25">
      <c r="A15" s="195">
        <v>40.51</v>
      </c>
      <c r="B15" s="195">
        <v>0.12</v>
      </c>
      <c r="C15" s="195">
        <v>19.54</v>
      </c>
      <c r="D15" s="8">
        <v>43092.625</v>
      </c>
      <c r="E15" s="195">
        <v>0.43</v>
      </c>
      <c r="F15" s="195" t="s">
        <v>488</v>
      </c>
      <c r="G15" s="195">
        <v>327.33999999999997</v>
      </c>
      <c r="H15" s="195"/>
      <c r="I15" s="195">
        <v>2.0000000000000001E-4</v>
      </c>
      <c r="J15" s="195">
        <v>0.04</v>
      </c>
      <c r="K15" s="195" t="s">
        <v>603</v>
      </c>
      <c r="L15" s="195">
        <v>1010.79</v>
      </c>
      <c r="M15" s="195" t="s">
        <v>463</v>
      </c>
      <c r="N15" s="195">
        <v>40.51</v>
      </c>
      <c r="O15" s="195">
        <v>1514059200</v>
      </c>
      <c r="P15" s="195">
        <v>2</v>
      </c>
      <c r="Q15" s="195">
        <v>4.18</v>
      </c>
      <c r="R15" s="195">
        <v>64</v>
      </c>
      <c r="S15" s="195">
        <v>6.73</v>
      </c>
      <c r="T15" s="195">
        <v>1.1599999999999999</v>
      </c>
    </row>
    <row r="16" spans="1:20" x14ac:dyDescent="0.25">
      <c r="A16" s="195">
        <v>40.61</v>
      </c>
      <c r="B16" s="195">
        <v>0.14000000000000001</v>
      </c>
      <c r="C16" s="195">
        <v>20.34</v>
      </c>
      <c r="D16" s="8">
        <v>43092.666666666664</v>
      </c>
      <c r="E16" s="195">
        <v>0.44</v>
      </c>
      <c r="F16" s="195" t="s">
        <v>488</v>
      </c>
      <c r="G16" s="195">
        <v>326.63</v>
      </c>
      <c r="H16" s="195"/>
      <c r="I16" s="195">
        <v>4.0000000000000002E-4</v>
      </c>
      <c r="J16" s="195">
        <v>0.05</v>
      </c>
      <c r="K16" s="195" t="s">
        <v>603</v>
      </c>
      <c r="L16" s="195">
        <v>1010.37</v>
      </c>
      <c r="M16" s="195" t="s">
        <v>463</v>
      </c>
      <c r="N16" s="195">
        <v>40.61</v>
      </c>
      <c r="O16" s="195">
        <v>1514062800</v>
      </c>
      <c r="P16" s="195">
        <v>1</v>
      </c>
      <c r="Q16" s="195">
        <v>4.18</v>
      </c>
      <c r="R16" s="195">
        <v>29</v>
      </c>
      <c r="S16" s="195">
        <v>8.4700000000000006</v>
      </c>
      <c r="T16" s="195">
        <v>2.84</v>
      </c>
    </row>
    <row r="17" spans="1:20" x14ac:dyDescent="0.25">
      <c r="A17" s="195">
        <v>35.47</v>
      </c>
      <c r="B17" s="195">
        <v>0.26</v>
      </c>
      <c r="C17" s="195">
        <v>21.78</v>
      </c>
      <c r="D17" s="8">
        <v>43092.708333333336</v>
      </c>
      <c r="E17" s="195">
        <v>0.52</v>
      </c>
      <c r="F17" s="195" t="s">
        <v>889</v>
      </c>
      <c r="G17" s="195">
        <v>325.73</v>
      </c>
      <c r="H17" s="195"/>
      <c r="I17" s="195">
        <v>2.9999999999999997E-4</v>
      </c>
      <c r="J17" s="195">
        <v>0.03</v>
      </c>
      <c r="K17" s="195" t="s">
        <v>603</v>
      </c>
      <c r="L17" s="195">
        <v>1010.87</v>
      </c>
      <c r="M17" s="195" t="s">
        <v>528</v>
      </c>
      <c r="N17" s="195">
        <v>38.01</v>
      </c>
      <c r="O17" s="195">
        <v>1514066400</v>
      </c>
      <c r="P17" s="195">
        <v>1</v>
      </c>
      <c r="Q17" s="195">
        <v>3.98</v>
      </c>
      <c r="R17" s="195">
        <v>30</v>
      </c>
      <c r="S17" s="195">
        <v>8.89</v>
      </c>
      <c r="T17" s="195">
        <v>3.57</v>
      </c>
    </row>
    <row r="18" spans="1:20" x14ac:dyDescent="0.25">
      <c r="A18" s="195">
        <v>31.67</v>
      </c>
      <c r="B18" s="195">
        <v>0.31</v>
      </c>
      <c r="C18" s="195">
        <v>21.62</v>
      </c>
      <c r="D18" s="8">
        <v>43092.75</v>
      </c>
      <c r="E18" s="195">
        <v>0.59</v>
      </c>
      <c r="F18" s="195" t="s">
        <v>889</v>
      </c>
      <c r="G18" s="195">
        <v>324.83999999999997</v>
      </c>
      <c r="H18" s="195"/>
      <c r="I18" s="195">
        <v>2.0000000000000001E-4</v>
      </c>
      <c r="J18" s="195">
        <v>0.02</v>
      </c>
      <c r="K18" s="195" t="s">
        <v>603</v>
      </c>
      <c r="L18" s="195">
        <v>1010.45</v>
      </c>
      <c r="M18" s="195" t="s">
        <v>528</v>
      </c>
      <c r="N18" s="195">
        <v>34.229999999999997</v>
      </c>
      <c r="O18" s="195">
        <v>1514070000</v>
      </c>
      <c r="P18" s="195">
        <v>0</v>
      </c>
      <c r="Q18" s="195">
        <v>3.95</v>
      </c>
      <c r="R18" s="195">
        <v>34</v>
      </c>
      <c r="S18" s="195">
        <v>6.77</v>
      </c>
      <c r="T18" s="195">
        <v>3.13</v>
      </c>
    </row>
    <row r="19" spans="1:20" x14ac:dyDescent="0.25">
      <c r="A19" s="195">
        <v>25.79</v>
      </c>
      <c r="B19" s="195">
        <v>0.44</v>
      </c>
      <c r="C19" s="195">
        <v>20.32</v>
      </c>
      <c r="D19" s="8">
        <v>43092.791666666664</v>
      </c>
      <c r="E19" s="195">
        <v>0.68</v>
      </c>
      <c r="F19" s="195" t="s">
        <v>527</v>
      </c>
      <c r="G19" s="195">
        <v>325.91000000000003</v>
      </c>
      <c r="H19" s="195">
        <v>0</v>
      </c>
      <c r="I19" s="195">
        <v>1E-4</v>
      </c>
      <c r="J19" s="195">
        <v>0.02</v>
      </c>
      <c r="K19" s="195" t="s">
        <v>545</v>
      </c>
      <c r="L19" s="195">
        <v>1012.46</v>
      </c>
      <c r="M19" s="195" t="s">
        <v>528</v>
      </c>
      <c r="N19" s="195">
        <v>29.55</v>
      </c>
      <c r="O19" s="195">
        <v>1514073600</v>
      </c>
      <c r="P19" s="195">
        <v>0</v>
      </c>
      <c r="Q19" s="195">
        <v>4.04</v>
      </c>
      <c r="R19" s="195">
        <v>352</v>
      </c>
      <c r="S19" s="195">
        <v>9.4600000000000009</v>
      </c>
      <c r="T19" s="195">
        <v>3.55</v>
      </c>
    </row>
    <row r="20" spans="1:20" x14ac:dyDescent="0.25">
      <c r="A20" s="195">
        <v>19.18</v>
      </c>
      <c r="B20" s="195">
        <v>0.52</v>
      </c>
      <c r="C20" s="195">
        <v>19.170000000000002</v>
      </c>
      <c r="D20" s="8">
        <v>43092.833333333336</v>
      </c>
      <c r="E20" s="195">
        <v>0.74</v>
      </c>
      <c r="F20" s="195" t="s">
        <v>527</v>
      </c>
      <c r="G20" s="195">
        <v>329.08</v>
      </c>
      <c r="H20" s="195"/>
      <c r="I20" s="195">
        <v>0</v>
      </c>
      <c r="J20" s="195">
        <v>0</v>
      </c>
      <c r="K20" s="195"/>
      <c r="L20" s="195">
        <v>1015.01</v>
      </c>
      <c r="M20" s="195" t="s">
        <v>528</v>
      </c>
      <c r="N20" s="195">
        <v>26.16</v>
      </c>
      <c r="O20" s="195">
        <v>1514077200</v>
      </c>
      <c r="P20" s="195">
        <v>0</v>
      </c>
      <c r="Q20" s="195">
        <v>3.07</v>
      </c>
      <c r="R20" s="195">
        <v>2</v>
      </c>
      <c r="S20" s="195">
        <v>13.59</v>
      </c>
      <c r="T20" s="195">
        <v>6.12</v>
      </c>
    </row>
    <row r="21" spans="1:20" x14ac:dyDescent="0.25">
      <c r="A21" s="195">
        <v>10.47</v>
      </c>
      <c r="B21" s="195">
        <v>0.82</v>
      </c>
      <c r="C21" s="195">
        <v>15.47</v>
      </c>
      <c r="D21" s="8">
        <v>43092.875</v>
      </c>
      <c r="E21" s="195">
        <v>0.83</v>
      </c>
      <c r="F21" s="195" t="s">
        <v>890</v>
      </c>
      <c r="G21" s="195">
        <v>333.63</v>
      </c>
      <c r="H21" s="195">
        <v>3.3000000000000002E-2</v>
      </c>
      <c r="I21" s="195">
        <v>2.0999999999999999E-3</v>
      </c>
      <c r="J21" s="195">
        <v>0.11</v>
      </c>
      <c r="K21" s="195" t="s">
        <v>545</v>
      </c>
      <c r="L21" s="195">
        <v>1020.07</v>
      </c>
      <c r="M21" s="195" t="s">
        <v>891</v>
      </c>
      <c r="N21" s="195">
        <v>19.8</v>
      </c>
      <c r="O21" s="195">
        <v>1514080800</v>
      </c>
      <c r="P21" s="195">
        <v>0</v>
      </c>
      <c r="Q21" s="195">
        <v>0.52</v>
      </c>
      <c r="R21" s="195">
        <v>3</v>
      </c>
      <c r="S21" s="195">
        <v>17.829999999999998</v>
      </c>
      <c r="T21" s="195">
        <v>7.38</v>
      </c>
    </row>
    <row r="22" spans="1:20" x14ac:dyDescent="0.25">
      <c r="A22" s="195">
        <v>6.02</v>
      </c>
      <c r="B22" s="195">
        <v>0.94</v>
      </c>
      <c r="C22" s="195">
        <v>11.5</v>
      </c>
      <c r="D22" s="8">
        <v>43092.916666666664</v>
      </c>
      <c r="E22" s="195">
        <v>0.85</v>
      </c>
      <c r="F22" s="195" t="s">
        <v>545</v>
      </c>
      <c r="G22" s="195">
        <v>336.95</v>
      </c>
      <c r="H22" s="195">
        <v>8.5999999999999993E-2</v>
      </c>
      <c r="I22" s="195">
        <v>4.4999999999999997E-3</v>
      </c>
      <c r="J22" s="195">
        <v>0.15</v>
      </c>
      <c r="K22" s="195" t="s">
        <v>545</v>
      </c>
      <c r="L22" s="195">
        <v>1023.82</v>
      </c>
      <c r="M22" s="195" t="s">
        <v>892</v>
      </c>
      <c r="N22" s="195">
        <v>15.12</v>
      </c>
      <c r="O22" s="195">
        <v>1514084400</v>
      </c>
      <c r="P22" s="195">
        <v>0</v>
      </c>
      <c r="Q22" s="195">
        <v>1.1200000000000001</v>
      </c>
      <c r="R22" s="195">
        <v>10</v>
      </c>
      <c r="S22" s="195">
        <v>14.98</v>
      </c>
      <c r="T22" s="195">
        <v>6.11</v>
      </c>
    </row>
    <row r="23" spans="1:20" x14ac:dyDescent="0.25">
      <c r="A23" s="195">
        <v>5.22</v>
      </c>
      <c r="B23" s="195">
        <v>0.87</v>
      </c>
      <c r="C23" s="195">
        <v>8.7200000000000006</v>
      </c>
      <c r="D23" s="8">
        <v>43092.958333333336</v>
      </c>
      <c r="E23" s="195">
        <v>0.83</v>
      </c>
      <c r="F23" s="195" t="s">
        <v>890</v>
      </c>
      <c r="G23" s="195">
        <v>337.85</v>
      </c>
      <c r="H23" s="195">
        <v>3.3000000000000002E-2</v>
      </c>
      <c r="I23" s="195">
        <v>1.6999999999999999E-3</v>
      </c>
      <c r="J23" s="195">
        <v>7.0000000000000007E-2</v>
      </c>
      <c r="K23" s="195" t="s">
        <v>545</v>
      </c>
      <c r="L23" s="195">
        <v>1026.23</v>
      </c>
      <c r="M23" s="195" t="s">
        <v>891</v>
      </c>
      <c r="N23" s="195">
        <v>12.77</v>
      </c>
      <c r="O23" s="195">
        <v>1514088000</v>
      </c>
      <c r="P23" s="195">
        <v>0</v>
      </c>
      <c r="Q23" s="195">
        <v>1.1399999999999999</v>
      </c>
      <c r="R23" s="195">
        <v>10</v>
      </c>
      <c r="S23" s="195">
        <v>9.61</v>
      </c>
      <c r="T23" s="195">
        <v>4.4400000000000004</v>
      </c>
    </row>
    <row r="24" spans="1:20" x14ac:dyDescent="0.25">
      <c r="A24" s="195">
        <v>5.25</v>
      </c>
      <c r="B24" s="195">
        <v>0.86</v>
      </c>
      <c r="C24" s="195">
        <v>7.54</v>
      </c>
      <c r="D24" s="8">
        <v>43093</v>
      </c>
      <c r="E24" s="195">
        <v>0.84</v>
      </c>
      <c r="F24" s="195" t="s">
        <v>890</v>
      </c>
      <c r="G24" s="195">
        <v>337.54</v>
      </c>
      <c r="H24" s="195">
        <v>2.7E-2</v>
      </c>
      <c r="I24" s="195">
        <v>1.4E-3</v>
      </c>
      <c r="J24" s="195">
        <v>0.1</v>
      </c>
      <c r="K24" s="195" t="s">
        <v>545</v>
      </c>
      <c r="L24" s="195">
        <v>1027.8900000000001</v>
      </c>
      <c r="M24" s="195" t="s">
        <v>891</v>
      </c>
      <c r="N24" s="195">
        <v>11.36</v>
      </c>
      <c r="O24" s="195">
        <v>1514091600</v>
      </c>
      <c r="P24" s="195">
        <v>0</v>
      </c>
      <c r="Q24" s="195">
        <v>0.5</v>
      </c>
      <c r="R24" s="195">
        <v>7</v>
      </c>
      <c r="S24" s="195">
        <v>7.93</v>
      </c>
      <c r="T24" s="195">
        <v>3.38</v>
      </c>
    </row>
    <row r="25" spans="1:20" x14ac:dyDescent="0.25">
      <c r="A25" s="195">
        <v>10.43</v>
      </c>
      <c r="B25" s="195">
        <v>0.76</v>
      </c>
      <c r="C25" s="195">
        <v>6.61</v>
      </c>
      <c r="D25" s="8">
        <v>43093.041666666664</v>
      </c>
      <c r="E25" s="195">
        <v>0.84</v>
      </c>
      <c r="F25" s="195" t="s">
        <v>890</v>
      </c>
      <c r="G25" s="195">
        <v>337.13</v>
      </c>
      <c r="H25" s="195">
        <v>2.8000000000000001E-2</v>
      </c>
      <c r="I25" s="195">
        <v>1.5E-3</v>
      </c>
      <c r="J25" s="195">
        <v>0.09</v>
      </c>
      <c r="K25" s="195" t="s">
        <v>545</v>
      </c>
      <c r="L25" s="195">
        <v>1029</v>
      </c>
      <c r="M25" s="195" t="s">
        <v>891</v>
      </c>
      <c r="N25" s="195">
        <v>10.43</v>
      </c>
      <c r="O25" s="195">
        <v>1514095200</v>
      </c>
      <c r="P25" s="195">
        <v>0</v>
      </c>
      <c r="Q25" s="195">
        <v>1.68</v>
      </c>
      <c r="R25" s="195">
        <v>22</v>
      </c>
      <c r="S25" s="195">
        <v>4.28</v>
      </c>
      <c r="T25" s="195">
        <v>1.59</v>
      </c>
    </row>
    <row r="26" spans="1:20" x14ac:dyDescent="0.25">
      <c r="A26" s="195">
        <v>9.74</v>
      </c>
      <c r="B26" s="195">
        <v>0.67</v>
      </c>
      <c r="C26" s="195">
        <v>5.98</v>
      </c>
      <c r="D26" s="8">
        <v>43093.083333333336</v>
      </c>
      <c r="E26" s="195">
        <v>0.84</v>
      </c>
      <c r="F26" s="195" t="s">
        <v>527</v>
      </c>
      <c r="G26" s="195">
        <v>336.62</v>
      </c>
      <c r="H26" s="195">
        <v>1.7000000000000001E-2</v>
      </c>
      <c r="I26" s="195">
        <v>8.9999999999999998E-4</v>
      </c>
      <c r="J26" s="195">
        <v>0.08</v>
      </c>
      <c r="K26" s="195" t="s">
        <v>545</v>
      </c>
      <c r="L26" s="195">
        <v>1029.1199999999999</v>
      </c>
      <c r="M26" s="195" t="s">
        <v>893</v>
      </c>
      <c r="N26" s="195">
        <v>9.74</v>
      </c>
      <c r="O26" s="195">
        <v>1514098800</v>
      </c>
      <c r="P26" s="195">
        <v>0</v>
      </c>
      <c r="Q26" s="195">
        <v>2.21</v>
      </c>
      <c r="R26" s="195">
        <v>27</v>
      </c>
      <c r="S26" s="195">
        <v>2.15</v>
      </c>
      <c r="T26" s="195">
        <v>0.62</v>
      </c>
    </row>
    <row r="27" spans="1:20" x14ac:dyDescent="0.25">
      <c r="A27" s="195">
        <v>8.42</v>
      </c>
      <c r="B27" s="195">
        <v>0.48</v>
      </c>
      <c r="C27" s="195">
        <v>4.5199999999999996</v>
      </c>
      <c r="D27" s="8">
        <v>43093.125</v>
      </c>
      <c r="E27" s="195">
        <v>0.84</v>
      </c>
      <c r="F27" s="195" t="s">
        <v>527</v>
      </c>
      <c r="G27" s="195">
        <v>335.72</v>
      </c>
      <c r="H27" s="195">
        <v>7.0000000000000001E-3</v>
      </c>
      <c r="I27" s="195">
        <v>4.0000000000000002E-4</v>
      </c>
      <c r="J27" s="195">
        <v>0.05</v>
      </c>
      <c r="K27" s="195" t="s">
        <v>545</v>
      </c>
      <c r="L27" s="195">
        <v>1027.3900000000001</v>
      </c>
      <c r="M27" s="195" t="s">
        <v>528</v>
      </c>
      <c r="N27" s="195">
        <v>8.42</v>
      </c>
      <c r="O27" s="195">
        <v>1514102400</v>
      </c>
      <c r="P27" s="195">
        <v>0</v>
      </c>
      <c r="Q27" s="195">
        <v>3.11</v>
      </c>
      <c r="R27" s="195">
        <v>183</v>
      </c>
      <c r="S27" s="195">
        <v>2.57</v>
      </c>
      <c r="T27" s="195">
        <v>0.6</v>
      </c>
    </row>
    <row r="28" spans="1:20" x14ac:dyDescent="0.25">
      <c r="A28" s="195">
        <v>7.42</v>
      </c>
      <c r="B28" s="195">
        <v>0.22</v>
      </c>
      <c r="C28" s="195">
        <v>2.99</v>
      </c>
      <c r="D28" s="8">
        <v>43093.166666666664</v>
      </c>
      <c r="E28" s="195">
        <v>0.82</v>
      </c>
      <c r="F28" s="195" t="s">
        <v>464</v>
      </c>
      <c r="G28" s="195">
        <v>335.01</v>
      </c>
      <c r="H28" s="195">
        <v>0</v>
      </c>
      <c r="I28" s="195">
        <v>1E-4</v>
      </c>
      <c r="J28" s="195">
        <v>0.02</v>
      </c>
      <c r="K28" s="195" t="s">
        <v>545</v>
      </c>
      <c r="L28" s="195">
        <v>1028.42</v>
      </c>
      <c r="M28" s="195" t="s">
        <v>463</v>
      </c>
      <c r="N28" s="195">
        <v>7.42</v>
      </c>
      <c r="O28" s="195">
        <v>1514106000</v>
      </c>
      <c r="P28" s="195">
        <v>0</v>
      </c>
      <c r="Q28" s="195">
        <v>3.47</v>
      </c>
      <c r="R28" s="195">
        <v>158</v>
      </c>
      <c r="S28" s="195">
        <v>3.29</v>
      </c>
      <c r="T28" s="195">
        <v>1.05</v>
      </c>
    </row>
    <row r="29" spans="1:20" x14ac:dyDescent="0.25">
      <c r="A29" s="195">
        <v>2.63</v>
      </c>
      <c r="B29" s="195">
        <v>0.12</v>
      </c>
      <c r="C29" s="195">
        <v>2.68</v>
      </c>
      <c r="D29" s="8">
        <v>43093.208333333336</v>
      </c>
      <c r="E29" s="195">
        <v>0.76</v>
      </c>
      <c r="F29" s="195" t="s">
        <v>464</v>
      </c>
      <c r="G29" s="195">
        <v>334.61</v>
      </c>
      <c r="H29" s="195"/>
      <c r="I29" s="195">
        <v>0</v>
      </c>
      <c r="J29" s="195">
        <v>0</v>
      </c>
      <c r="K29" s="195"/>
      <c r="L29" s="195">
        <v>1029.56</v>
      </c>
      <c r="M29" s="195" t="s">
        <v>463</v>
      </c>
      <c r="N29" s="195">
        <v>8.7799999999999994</v>
      </c>
      <c r="O29" s="195">
        <v>1514109600</v>
      </c>
      <c r="P29" s="195">
        <v>0</v>
      </c>
      <c r="Q29" s="195">
        <v>5.99</v>
      </c>
      <c r="R29" s="195">
        <v>191</v>
      </c>
      <c r="S29" s="195">
        <v>3.89</v>
      </c>
      <c r="T29" s="195">
        <v>3.21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5" sqref="A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43092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1070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1071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1072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1073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1074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1075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1076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1077</v>
      </c>
      <c r="J25" s="139" t="s">
        <v>144</v>
      </c>
      <c r="M25" s="153" t="b">
        <v>1</v>
      </c>
    </row>
    <row r="26" spans="3:24" x14ac:dyDescent="0.25">
      <c r="C26" t="s">
        <v>1078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%USERPROFILE%\Documents\GitHub\eaglep3-reporting\EC\2017-12-23-refined-times.txt</v>
      </c>
    </row>
    <row r="27" spans="3:24" x14ac:dyDescent="0.25">
      <c r="C27" t="s">
        <v>653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%USERPROFILE%\Documents\GitHub\eaglep3-reporting\EC\2017-12-23-Enforcements.txt</v>
      </c>
    </row>
    <row r="28" spans="3:24" x14ac:dyDescent="0.25">
      <c r="C28" t="s">
        <v>1079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%USERPROFILE%\Documents\GitHub\eaglep3-reporting\EC\2017-12-23-Runs-refined.txt</v>
      </c>
    </row>
    <row r="29" spans="3:24" x14ac:dyDescent="0.25">
      <c r="C29" t="s">
        <v>1080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%USERPROFILE%\Documents\GitHub\eaglep3-reporting\EC\2017-12-23-Trips.txt</v>
      </c>
    </row>
    <row r="30" spans="3:24" x14ac:dyDescent="0.25">
      <c r="C30" t="s">
        <v>1081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%USERPROFILE%\Documents\GitHub\eaglep3-reporting\EC\2017-12-23-Weather.txt</v>
      </c>
    </row>
    <row r="31" spans="3:24" x14ac:dyDescent="0.25">
      <c r="C31" t="s">
        <v>1082</v>
      </c>
      <c r="J31" s="139" t="s">
        <v>188</v>
      </c>
      <c r="M31" s="153" t="s">
        <v>189</v>
      </c>
    </row>
    <row r="32" spans="3:24" x14ac:dyDescent="0.25">
      <c r="C32" t="s">
        <v>1083</v>
      </c>
    </row>
    <row r="33" spans="3:3" x14ac:dyDescent="0.25">
      <c r="C33" t="s">
        <v>1084</v>
      </c>
    </row>
    <row r="34" spans="3:3" x14ac:dyDescent="0.25">
      <c r="C34" t="s">
        <v>1085</v>
      </c>
    </row>
    <row r="35" spans="3:3" x14ac:dyDescent="0.25">
      <c r="C35" t="s">
        <v>1086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2017-12-27T16:47:03Z</dcterms:modified>
</cp:coreProperties>
</file>