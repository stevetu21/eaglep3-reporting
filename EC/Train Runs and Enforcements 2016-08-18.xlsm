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externalReferences>
    <externalReference r:id="rId6"/>
  </externalReferences>
  <definedNames>
    <definedName name="_xlnm._FilterDatabase" localSheetId="1" hidden="1">Enforcements!$A$6:$V$73</definedName>
    <definedName name="_xlnm._FilterDatabase" localSheetId="2" hidden="1">'Missing Trips'!$A$2:$H$2</definedName>
    <definedName name="_xlnm._FilterDatabase" localSheetId="0" hidden="1">'Train Runs'!$A$12:$AG$222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8" i="1" l="1"/>
  <c r="X159" i="1"/>
  <c r="X160" i="1"/>
  <c r="P157" i="1"/>
  <c r="K157" i="1"/>
  <c r="L157" i="1"/>
  <c r="M157" i="1"/>
  <c r="V157" i="1"/>
  <c r="Y157" i="1"/>
  <c r="Z157" i="1"/>
  <c r="AA157" i="1" s="1"/>
  <c r="AB157" i="1"/>
  <c r="AC157" i="1"/>
  <c r="AD157" i="1"/>
  <c r="T157" i="1" s="1"/>
  <c r="AE157" i="1"/>
  <c r="AF157" i="1"/>
  <c r="AH157" i="1"/>
  <c r="X67" i="1"/>
  <c r="X68" i="1"/>
  <c r="X69" i="1"/>
  <c r="X70" i="1"/>
  <c r="X71" i="1"/>
  <c r="X72" i="1"/>
  <c r="P14" i="1"/>
  <c r="K14" i="1"/>
  <c r="L14" i="1"/>
  <c r="M14" i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G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P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A60" i="1" s="1"/>
  <c r="W60" i="1" s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AA100" i="1" s="1"/>
  <c r="Z100" i="1"/>
  <c r="AB100" i="1"/>
  <c r="AC100" i="1"/>
  <c r="AD100" i="1"/>
  <c r="AG100" i="1" s="1"/>
  <c r="AE100" i="1"/>
  <c r="AF100" i="1"/>
  <c r="AH100" i="1"/>
  <c r="K101" i="1"/>
  <c r="L101" i="1"/>
  <c r="M101" i="1"/>
  <c r="P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P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K152" i="1"/>
  <c r="L152" i="1"/>
  <c r="M152" i="1"/>
  <c r="N152" i="1"/>
  <c r="V152" i="1"/>
  <c r="Y152" i="1"/>
  <c r="Z152" i="1"/>
  <c r="AB152" i="1"/>
  <c r="AC152" i="1"/>
  <c r="AD152" i="1"/>
  <c r="X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8" i="1"/>
  <c r="K158" i="1"/>
  <c r="L158" i="1"/>
  <c r="M158" i="1"/>
  <c r="N158" i="1" s="1"/>
  <c r="T158" i="1"/>
  <c r="V158" i="1"/>
  <c r="Y158" i="1"/>
  <c r="Z158" i="1"/>
  <c r="AB158" i="1"/>
  <c r="AC158" i="1"/>
  <c r="AD158" i="1"/>
  <c r="AG158" i="1" s="1"/>
  <c r="AE158" i="1"/>
  <c r="AF158" i="1"/>
  <c r="AH169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0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1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2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73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77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78" i="1"/>
  <c r="K168" i="1"/>
  <c r="L168" i="1"/>
  <c r="M168" i="1"/>
  <c r="N168" i="1"/>
  <c r="V168" i="1"/>
  <c r="Y168" i="1"/>
  <c r="Z168" i="1"/>
  <c r="AB168" i="1"/>
  <c r="AC168" i="1"/>
  <c r="AD168" i="1"/>
  <c r="AE168" i="1"/>
  <c r="AF168" i="1"/>
  <c r="AH179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1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3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84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85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86" i="1"/>
  <c r="K176" i="1"/>
  <c r="L176" i="1"/>
  <c r="M176" i="1"/>
  <c r="N176" i="1" s="1"/>
  <c r="V176" i="1"/>
  <c r="Y176" i="1"/>
  <c r="Z176" i="1"/>
  <c r="AA176" i="1" s="1"/>
  <c r="AB176" i="1"/>
  <c r="AC176" i="1"/>
  <c r="AD176" i="1"/>
  <c r="AG176" i="1" s="1"/>
  <c r="AE176" i="1"/>
  <c r="AF176" i="1"/>
  <c r="AH187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88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89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0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3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4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95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96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97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98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99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0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1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2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03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05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06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07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0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9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0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1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2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3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4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15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6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7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8" i="1"/>
  <c r="L28" i="3"/>
  <c r="S28" i="3"/>
  <c r="R28" i="3" s="1"/>
  <c r="T28" i="3"/>
  <c r="U28" i="3"/>
  <c r="V28" i="3"/>
  <c r="L17" i="3"/>
  <c r="S17" i="3"/>
  <c r="R17" i="3" s="1"/>
  <c r="T17" i="3"/>
  <c r="U17" i="3"/>
  <c r="V17" i="3"/>
  <c r="L20" i="3"/>
  <c r="S20" i="3"/>
  <c r="R20" i="3" s="1"/>
  <c r="T20" i="3"/>
  <c r="U20" i="3"/>
  <c r="V20" i="3"/>
  <c r="L40" i="3"/>
  <c r="S40" i="3"/>
  <c r="R40" i="3" s="1"/>
  <c r="T40" i="3"/>
  <c r="U40" i="3"/>
  <c r="V40" i="3"/>
  <c r="L18" i="3"/>
  <c r="S18" i="3"/>
  <c r="R18" i="3" s="1"/>
  <c r="T18" i="3"/>
  <c r="U18" i="3"/>
  <c r="V18" i="3"/>
  <c r="L12" i="3"/>
  <c r="S12" i="3"/>
  <c r="R12" i="3" s="1"/>
  <c r="T12" i="3"/>
  <c r="U12" i="3"/>
  <c r="V12" i="3"/>
  <c r="L11" i="3"/>
  <c r="S11" i="3"/>
  <c r="R11" i="3" s="1"/>
  <c r="T11" i="3"/>
  <c r="U11" i="3"/>
  <c r="V11" i="3"/>
  <c r="L14" i="3"/>
  <c r="S14" i="3"/>
  <c r="R14" i="3" s="1"/>
  <c r="T14" i="3"/>
  <c r="U14" i="3"/>
  <c r="V14" i="3"/>
  <c r="L23" i="3"/>
  <c r="S23" i="3"/>
  <c r="R23" i="3" s="1"/>
  <c r="T23" i="3"/>
  <c r="U23" i="3"/>
  <c r="V23" i="3"/>
  <c r="L22" i="3"/>
  <c r="S22" i="3"/>
  <c r="R22" i="3" s="1"/>
  <c r="T22" i="3"/>
  <c r="U22" i="3"/>
  <c r="V22" i="3"/>
  <c r="L47" i="3"/>
  <c r="S47" i="3"/>
  <c r="R47" i="3" s="1"/>
  <c r="T47" i="3"/>
  <c r="U47" i="3"/>
  <c r="V47" i="3"/>
  <c r="L44" i="3"/>
  <c r="S44" i="3"/>
  <c r="R44" i="3" s="1"/>
  <c r="T44" i="3"/>
  <c r="U44" i="3"/>
  <c r="V44" i="3"/>
  <c r="L13" i="3"/>
  <c r="S13" i="3"/>
  <c r="R13" i="3" s="1"/>
  <c r="T13" i="3"/>
  <c r="U13" i="3"/>
  <c r="V13" i="3"/>
  <c r="L48" i="3"/>
  <c r="S48" i="3"/>
  <c r="R48" i="3" s="1"/>
  <c r="T48" i="3"/>
  <c r="U48" i="3"/>
  <c r="V48" i="3"/>
  <c r="L10" i="3"/>
  <c r="S10" i="3"/>
  <c r="R10" i="3" s="1"/>
  <c r="T10" i="3"/>
  <c r="U10" i="3"/>
  <c r="V10" i="3"/>
  <c r="L16" i="3"/>
  <c r="S16" i="3"/>
  <c r="R16" i="3" s="1"/>
  <c r="T16" i="3"/>
  <c r="U16" i="3"/>
  <c r="V16" i="3"/>
  <c r="L52" i="3"/>
  <c r="S52" i="3"/>
  <c r="R52" i="3" s="1"/>
  <c r="T52" i="3"/>
  <c r="U52" i="3"/>
  <c r="V52" i="3"/>
  <c r="L27" i="3"/>
  <c r="S27" i="3"/>
  <c r="R27" i="3" s="1"/>
  <c r="T27" i="3"/>
  <c r="U27" i="3"/>
  <c r="V27" i="3"/>
  <c r="L25" i="3"/>
  <c r="S25" i="3"/>
  <c r="R25" i="3" s="1"/>
  <c r="T25" i="3"/>
  <c r="U25" i="3"/>
  <c r="V25" i="3"/>
  <c r="L41" i="3"/>
  <c r="S41" i="3"/>
  <c r="R41" i="3" s="1"/>
  <c r="T41" i="3"/>
  <c r="U41" i="3"/>
  <c r="V41" i="3"/>
  <c r="L19" i="3"/>
  <c r="S19" i="3"/>
  <c r="R19" i="3" s="1"/>
  <c r="T19" i="3"/>
  <c r="U19" i="3"/>
  <c r="V19" i="3"/>
  <c r="L24" i="3"/>
  <c r="S24" i="3"/>
  <c r="R24" i="3" s="1"/>
  <c r="T24" i="3"/>
  <c r="U24" i="3"/>
  <c r="V24" i="3"/>
  <c r="L7" i="3"/>
  <c r="S7" i="3"/>
  <c r="R7" i="3" s="1"/>
  <c r="T7" i="3"/>
  <c r="U7" i="3"/>
  <c r="V7" i="3"/>
  <c r="L45" i="3"/>
  <c r="S45" i="3"/>
  <c r="R45" i="3" s="1"/>
  <c r="T45" i="3"/>
  <c r="U45" i="3"/>
  <c r="V45" i="3"/>
  <c r="L53" i="3"/>
  <c r="S53" i="3"/>
  <c r="R53" i="3" s="1"/>
  <c r="T53" i="3"/>
  <c r="U53" i="3"/>
  <c r="V53" i="3"/>
  <c r="L49" i="3"/>
  <c r="S49" i="3"/>
  <c r="R49" i="3" s="1"/>
  <c r="T49" i="3"/>
  <c r="U49" i="3"/>
  <c r="V49" i="3"/>
  <c r="L42" i="3"/>
  <c r="S42" i="3"/>
  <c r="R42" i="3" s="1"/>
  <c r="T42" i="3"/>
  <c r="U42" i="3"/>
  <c r="V42" i="3"/>
  <c r="L33" i="3"/>
  <c r="S33" i="3"/>
  <c r="R33" i="3" s="1"/>
  <c r="T33" i="3"/>
  <c r="U33" i="3"/>
  <c r="V33" i="3"/>
  <c r="L34" i="3"/>
  <c r="S34" i="3"/>
  <c r="R34" i="3" s="1"/>
  <c r="T34" i="3"/>
  <c r="U34" i="3"/>
  <c r="V34" i="3"/>
  <c r="L32" i="3"/>
  <c r="S32" i="3"/>
  <c r="R32" i="3" s="1"/>
  <c r="T32" i="3"/>
  <c r="U32" i="3"/>
  <c r="V32" i="3"/>
  <c r="L50" i="3"/>
  <c r="S50" i="3"/>
  <c r="R50" i="3" s="1"/>
  <c r="T50" i="3"/>
  <c r="U50" i="3"/>
  <c r="V50" i="3"/>
  <c r="L21" i="3"/>
  <c r="S21" i="3"/>
  <c r="R21" i="3" s="1"/>
  <c r="T21" i="3"/>
  <c r="U21" i="3"/>
  <c r="V21" i="3"/>
  <c r="L35" i="3"/>
  <c r="S35" i="3"/>
  <c r="R35" i="3" s="1"/>
  <c r="T35" i="3"/>
  <c r="U35" i="3"/>
  <c r="V35" i="3"/>
  <c r="L8" i="3"/>
  <c r="S8" i="3"/>
  <c r="R8" i="3" s="1"/>
  <c r="T8" i="3"/>
  <c r="U8" i="3"/>
  <c r="V8" i="3"/>
  <c r="L15" i="3"/>
  <c r="S15" i="3"/>
  <c r="R15" i="3" s="1"/>
  <c r="T15" i="3"/>
  <c r="U15" i="3"/>
  <c r="V15" i="3"/>
  <c r="L36" i="3"/>
  <c r="S36" i="3"/>
  <c r="R36" i="3" s="1"/>
  <c r="T36" i="3"/>
  <c r="U36" i="3"/>
  <c r="V36" i="3"/>
  <c r="L46" i="3"/>
  <c r="S46" i="3"/>
  <c r="R46" i="3" s="1"/>
  <c r="T46" i="3"/>
  <c r="U46" i="3"/>
  <c r="V46" i="3"/>
  <c r="L26" i="3"/>
  <c r="S26" i="3"/>
  <c r="R26" i="3" s="1"/>
  <c r="T26" i="3"/>
  <c r="U26" i="3"/>
  <c r="V26" i="3"/>
  <c r="L43" i="3"/>
  <c r="S43" i="3"/>
  <c r="R43" i="3" s="1"/>
  <c r="T43" i="3"/>
  <c r="U43" i="3"/>
  <c r="V43" i="3"/>
  <c r="L51" i="3"/>
  <c r="S51" i="3"/>
  <c r="R51" i="3" s="1"/>
  <c r="T51" i="3"/>
  <c r="U51" i="3"/>
  <c r="V51" i="3"/>
  <c r="L29" i="3"/>
  <c r="S29" i="3"/>
  <c r="R29" i="3" s="1"/>
  <c r="T29" i="3"/>
  <c r="U29" i="3"/>
  <c r="V29" i="3"/>
  <c r="L37" i="3"/>
  <c r="S37" i="3"/>
  <c r="R37" i="3" s="1"/>
  <c r="T37" i="3"/>
  <c r="U37" i="3"/>
  <c r="V37" i="3"/>
  <c r="L55" i="3"/>
  <c r="S55" i="3"/>
  <c r="R55" i="3" s="1"/>
  <c r="T55" i="3"/>
  <c r="U55" i="3"/>
  <c r="V55" i="3"/>
  <c r="L38" i="3"/>
  <c r="S38" i="3"/>
  <c r="R38" i="3" s="1"/>
  <c r="T38" i="3"/>
  <c r="U38" i="3"/>
  <c r="V38" i="3"/>
  <c r="L54" i="3"/>
  <c r="S54" i="3"/>
  <c r="R54" i="3" s="1"/>
  <c r="T54" i="3"/>
  <c r="U54" i="3"/>
  <c r="V54" i="3"/>
  <c r="L39" i="3"/>
  <c r="S39" i="3"/>
  <c r="R39" i="3" s="1"/>
  <c r="T39" i="3"/>
  <c r="U39" i="3"/>
  <c r="V39" i="3"/>
  <c r="L31" i="3"/>
  <c r="S31" i="3"/>
  <c r="R31" i="3" s="1"/>
  <c r="T31" i="3"/>
  <c r="U31" i="3"/>
  <c r="V31" i="3"/>
  <c r="L30" i="3"/>
  <c r="S30" i="3"/>
  <c r="R30" i="3" s="1"/>
  <c r="T30" i="3"/>
  <c r="U30" i="3"/>
  <c r="V30" i="3"/>
  <c r="AG157" i="1" l="1"/>
  <c r="W157" i="1" s="1"/>
  <c r="X157" i="1"/>
  <c r="AA199" i="1"/>
  <c r="AA160" i="1"/>
  <c r="W160" i="1" s="1"/>
  <c r="P73" i="1"/>
  <c r="X154" i="1"/>
  <c r="AA110" i="1"/>
  <c r="AA107" i="1"/>
  <c r="W107" i="1" s="1"/>
  <c r="AA95" i="1"/>
  <c r="W95" i="1" s="1"/>
  <c r="X155" i="1"/>
  <c r="AA161" i="1"/>
  <c r="W161" i="1" s="1"/>
  <c r="AA209" i="1"/>
  <c r="AA151" i="1"/>
  <c r="AA129" i="1"/>
  <c r="AA201" i="1"/>
  <c r="X116" i="1"/>
  <c r="AA112" i="1"/>
  <c r="W112" i="1" s="1"/>
  <c r="X98" i="1"/>
  <c r="AA82" i="1"/>
  <c r="W82" i="1" s="1"/>
  <c r="AA81" i="1"/>
  <c r="W81" i="1" s="1"/>
  <c r="AA80" i="1"/>
  <c r="W80" i="1" s="1"/>
  <c r="AA76" i="1"/>
  <c r="W76" i="1" s="1"/>
  <c r="AA37" i="1"/>
  <c r="AG29" i="1"/>
  <c r="W110" i="1"/>
  <c r="AA179" i="1"/>
  <c r="W179" i="1" s="1"/>
  <c r="AA158" i="1"/>
  <c r="W158" i="1" s="1"/>
  <c r="AA142" i="1"/>
  <c r="AA116" i="1"/>
  <c r="W116" i="1" s="1"/>
  <c r="AA102" i="1"/>
  <c r="W102" i="1" s="1"/>
  <c r="AA99" i="1"/>
  <c r="W99" i="1" s="1"/>
  <c r="AA98" i="1"/>
  <c r="W98" i="1" s="1"/>
  <c r="X76" i="1"/>
  <c r="AA68" i="1"/>
  <c r="W68" i="1" s="1"/>
  <c r="AA214" i="1"/>
  <c r="AA204" i="1"/>
  <c r="AA202" i="1"/>
  <c r="AA166" i="1"/>
  <c r="AA207" i="1"/>
  <c r="W207" i="1" s="1"/>
  <c r="AA206" i="1"/>
  <c r="W206" i="1" s="1"/>
  <c r="AA205" i="1"/>
  <c r="W205" i="1" s="1"/>
  <c r="AA156" i="1"/>
  <c r="W156" i="1" s="1"/>
  <c r="AA155" i="1"/>
  <c r="W155" i="1" s="1"/>
  <c r="AA141" i="1"/>
  <c r="AG128" i="1"/>
  <c r="AA125" i="1"/>
  <c r="W125" i="1" s="1"/>
  <c r="AA115" i="1"/>
  <c r="W115" i="1" s="1"/>
  <c r="AA114" i="1"/>
  <c r="W114" i="1" s="1"/>
  <c r="AA109" i="1"/>
  <c r="AA97" i="1"/>
  <c r="AA96" i="1"/>
  <c r="W96" i="1" s="1"/>
  <c r="AA61" i="1"/>
  <c r="W61" i="1" s="1"/>
  <c r="AG31" i="1"/>
  <c r="U31" i="1" s="1"/>
  <c r="S31" i="1" s="1"/>
  <c r="AA23" i="1"/>
  <c r="AG14" i="1"/>
  <c r="U14" i="1" s="1"/>
  <c r="S14" i="1" s="1"/>
  <c r="AA198" i="1"/>
  <c r="W198" i="1" s="1"/>
  <c r="AA197" i="1"/>
  <c r="W197" i="1" s="1"/>
  <c r="AA196" i="1"/>
  <c r="AA195" i="1"/>
  <c r="W195" i="1" s="1"/>
  <c r="AA194" i="1"/>
  <c r="W194" i="1" s="1"/>
  <c r="AA193" i="1"/>
  <c r="W193" i="1" s="1"/>
  <c r="AA192" i="1"/>
  <c r="W192" i="1" s="1"/>
  <c r="AA191" i="1"/>
  <c r="W191" i="1" s="1"/>
  <c r="AA190" i="1"/>
  <c r="W190" i="1" s="1"/>
  <c r="AA189" i="1"/>
  <c r="AA188" i="1"/>
  <c r="W188" i="1" s="1"/>
  <c r="AA187" i="1"/>
  <c r="W187" i="1" s="1"/>
  <c r="AA186" i="1"/>
  <c r="W186" i="1" s="1"/>
  <c r="AA185" i="1"/>
  <c r="W185" i="1" s="1"/>
  <c r="AA184" i="1"/>
  <c r="W184" i="1" s="1"/>
  <c r="AA183" i="1"/>
  <c r="W183" i="1" s="1"/>
  <c r="AA182" i="1"/>
  <c r="W182" i="1" s="1"/>
  <c r="AA154" i="1"/>
  <c r="AA147" i="1"/>
  <c r="AG137" i="1"/>
  <c r="X86" i="1"/>
  <c r="AA75" i="1"/>
  <c r="W75" i="1" s="1"/>
  <c r="AA74" i="1"/>
  <c r="W74" i="1" s="1"/>
  <c r="AA73" i="1"/>
  <c r="W73" i="1" s="1"/>
  <c r="AA67" i="1"/>
  <c r="W67" i="1" s="1"/>
  <c r="AA58" i="1"/>
  <c r="AA55" i="1"/>
  <c r="W55" i="1" s="1"/>
  <c r="AA52" i="1"/>
  <c r="AA50" i="1"/>
  <c r="AA31" i="1"/>
  <c r="AG23" i="1"/>
  <c r="U23" i="1" s="1"/>
  <c r="S23" i="1" s="1"/>
  <c r="W176" i="1"/>
  <c r="W109" i="1"/>
  <c r="AA203" i="1"/>
  <c r="AA200" i="1"/>
  <c r="AA177" i="1"/>
  <c r="AA159" i="1"/>
  <c r="W159" i="1" s="1"/>
  <c r="W154" i="1"/>
  <c r="AA105" i="1"/>
  <c r="W105" i="1" s="1"/>
  <c r="X102" i="1"/>
  <c r="AA101" i="1"/>
  <c r="W101" i="1" s="1"/>
  <c r="AA91" i="1"/>
  <c r="W91" i="1" s="1"/>
  <c r="AA90" i="1"/>
  <c r="W90" i="1" s="1"/>
  <c r="AA85" i="1"/>
  <c r="W85" i="1" s="1"/>
  <c r="AA84" i="1"/>
  <c r="W84" i="1" s="1"/>
  <c r="AA83" i="1"/>
  <c r="W83" i="1" s="1"/>
  <c r="X78" i="1"/>
  <c r="AA70" i="1"/>
  <c r="W70" i="1" s="1"/>
  <c r="X60" i="1"/>
  <c r="AA27" i="1"/>
  <c r="AA208" i="1"/>
  <c r="AA153" i="1"/>
  <c r="AA150" i="1"/>
  <c r="AG136" i="1"/>
  <c r="U136" i="1" s="1"/>
  <c r="S136" i="1" s="1"/>
  <c r="AA130" i="1"/>
  <c r="AA111" i="1"/>
  <c r="W111" i="1" s="1"/>
  <c r="AA103" i="1"/>
  <c r="X100" i="1"/>
  <c r="AG58" i="1"/>
  <c r="AG27" i="1"/>
  <c r="U27" i="1" s="1"/>
  <c r="S27" i="1" s="1"/>
  <c r="AG17" i="1"/>
  <c r="W100" i="1"/>
  <c r="AA216" i="1"/>
  <c r="AA215" i="1"/>
  <c r="W215" i="1" s="1"/>
  <c r="AA171" i="1"/>
  <c r="AA169" i="1"/>
  <c r="X161" i="1"/>
  <c r="AA152" i="1"/>
  <c r="AA149" i="1"/>
  <c r="AA139" i="1"/>
  <c r="AA127" i="1"/>
  <c r="AA123" i="1"/>
  <c r="W123" i="1" s="1"/>
  <c r="AA122" i="1"/>
  <c r="AA119" i="1"/>
  <c r="X114" i="1"/>
  <c r="T109" i="1"/>
  <c r="U109" i="1" s="1"/>
  <c r="S109" i="1" s="1"/>
  <c r="AA94" i="1"/>
  <c r="W94" i="1" s="1"/>
  <c r="AA93" i="1"/>
  <c r="W93" i="1" s="1"/>
  <c r="AA88" i="1"/>
  <c r="AA77" i="1"/>
  <c r="W77" i="1" s="1"/>
  <c r="AA66" i="1"/>
  <c r="W66" i="1" s="1"/>
  <c r="AA59" i="1"/>
  <c r="W59" i="1" s="1"/>
  <c r="AA47" i="1"/>
  <c r="W47" i="1" s="1"/>
  <c r="AA42" i="1"/>
  <c r="AG33" i="1"/>
  <c r="U33" i="1" s="1"/>
  <c r="S33" i="1" s="1"/>
  <c r="AG26" i="1"/>
  <c r="U26" i="1" s="1"/>
  <c r="AG15" i="1"/>
  <c r="U15" i="1" s="1"/>
  <c r="S15" i="1" s="1"/>
  <c r="AG165" i="1"/>
  <c r="AA211" i="1"/>
  <c r="W211" i="1" s="1"/>
  <c r="AA143" i="1"/>
  <c r="AG138" i="1"/>
  <c r="W138" i="1" s="1"/>
  <c r="AG135" i="1"/>
  <c r="AA134" i="1"/>
  <c r="AG130" i="1"/>
  <c r="AA120" i="1"/>
  <c r="W120" i="1" s="1"/>
  <c r="X118" i="1"/>
  <c r="AA108" i="1"/>
  <c r="W108" i="1" s="1"/>
  <c r="X88" i="1"/>
  <c r="AA51" i="1"/>
  <c r="W51" i="1" s="1"/>
  <c r="AG30" i="1"/>
  <c r="U30" i="1" s="1"/>
  <c r="S30" i="1" s="1"/>
  <c r="AG25" i="1"/>
  <c r="AG19" i="1"/>
  <c r="U19" i="1" s="1"/>
  <c r="S19" i="1" s="1"/>
  <c r="AA167" i="1"/>
  <c r="W167" i="1" s="1"/>
  <c r="AG162" i="1"/>
  <c r="AA210" i="1"/>
  <c r="W210" i="1" s="1"/>
  <c r="T208" i="1"/>
  <c r="U208" i="1" s="1"/>
  <c r="S208" i="1" s="1"/>
  <c r="X207" i="1"/>
  <c r="AA145" i="1"/>
  <c r="AA137" i="1"/>
  <c r="W137" i="1" s="1"/>
  <c r="AA136" i="1"/>
  <c r="AG134" i="1"/>
  <c r="U134" i="1" s="1"/>
  <c r="S134" i="1" s="1"/>
  <c r="X134" i="1"/>
  <c r="AA132" i="1"/>
  <c r="AA131" i="1"/>
  <c r="X127" i="1"/>
  <c r="X126" i="1"/>
  <c r="AA124" i="1"/>
  <c r="X120" i="1"/>
  <c r="AA104" i="1"/>
  <c r="W104" i="1" s="1"/>
  <c r="AA89" i="1"/>
  <c r="W89" i="1" s="1"/>
  <c r="AA87" i="1"/>
  <c r="W87" i="1" s="1"/>
  <c r="AA86" i="1"/>
  <c r="W86" i="1" s="1"/>
  <c r="T83" i="1"/>
  <c r="U83" i="1" s="1"/>
  <c r="S83" i="1" s="1"/>
  <c r="T81" i="1"/>
  <c r="AA79" i="1"/>
  <c r="W79" i="1" s="1"/>
  <c r="AA72" i="1"/>
  <c r="W72" i="1" s="1"/>
  <c r="AA69" i="1"/>
  <c r="W69" i="1" s="1"/>
  <c r="AA63" i="1"/>
  <c r="W63" i="1" s="1"/>
  <c r="X61" i="1"/>
  <c r="X59" i="1"/>
  <c r="AA57" i="1"/>
  <c r="AA56" i="1"/>
  <c r="AA43" i="1"/>
  <c r="W31" i="1"/>
  <c r="AG18" i="1"/>
  <c r="U18" i="1" s="1"/>
  <c r="AA15" i="1"/>
  <c r="AA173" i="1"/>
  <c r="W173" i="1" s="1"/>
  <c r="AA164" i="1"/>
  <c r="AA163" i="1"/>
  <c r="AA218" i="1"/>
  <c r="W218" i="1" s="1"/>
  <c r="AA217" i="1"/>
  <c r="W217" i="1" s="1"/>
  <c r="AA213" i="1"/>
  <c r="W213" i="1" s="1"/>
  <c r="AA212" i="1"/>
  <c r="W212" i="1" s="1"/>
  <c r="W209" i="1"/>
  <c r="U128" i="1"/>
  <c r="S128" i="1" s="1"/>
  <c r="X128" i="1"/>
  <c r="T125" i="1"/>
  <c r="U125" i="1" s="1"/>
  <c r="S125" i="1" s="1"/>
  <c r="AA121" i="1"/>
  <c r="W119" i="1"/>
  <c r="AA113" i="1"/>
  <c r="W113" i="1" s="1"/>
  <c r="AA106" i="1"/>
  <c r="W106" i="1" s="1"/>
  <c r="X104" i="1"/>
  <c r="AA92" i="1"/>
  <c r="W92" i="1" s="1"/>
  <c r="X84" i="1"/>
  <c r="AA78" i="1"/>
  <c r="W78" i="1" s="1"/>
  <c r="T75" i="1"/>
  <c r="T73" i="1"/>
  <c r="U73" i="1" s="1"/>
  <c r="S73" i="1" s="1"/>
  <c r="AA71" i="1"/>
  <c r="W71" i="1" s="1"/>
  <c r="AA65" i="1"/>
  <c r="W65" i="1" s="1"/>
  <c r="X63" i="1"/>
  <c r="AA62" i="1"/>
  <c r="W62" i="1" s="1"/>
  <c r="W58" i="1"/>
  <c r="AA54" i="1"/>
  <c r="AA46" i="1"/>
  <c r="AA39" i="1"/>
  <c r="W39" i="1" s="1"/>
  <c r="AG22" i="1"/>
  <c r="U22" i="1" s="1"/>
  <c r="AA19" i="1"/>
  <c r="W19" i="1" s="1"/>
  <c r="W208" i="1"/>
  <c r="W103" i="1"/>
  <c r="T93" i="1"/>
  <c r="W88" i="1"/>
  <c r="T68" i="1"/>
  <c r="T66" i="1"/>
  <c r="U66" i="1" s="1"/>
  <c r="S66" i="1" s="1"/>
  <c r="AA64" i="1"/>
  <c r="W64" i="1" s="1"/>
  <c r="AA181" i="1"/>
  <c r="AA174" i="1"/>
  <c r="W174" i="1" s="1"/>
  <c r="AA170" i="1"/>
  <c r="AG164" i="1"/>
  <c r="W164" i="1" s="1"/>
  <c r="AA162" i="1"/>
  <c r="T212" i="1"/>
  <c r="T211" i="1"/>
  <c r="U211" i="1" s="1"/>
  <c r="S211" i="1" s="1"/>
  <c r="T210" i="1"/>
  <c r="T209" i="1"/>
  <c r="U209" i="1" s="1"/>
  <c r="S209" i="1" s="1"/>
  <c r="AA117" i="1"/>
  <c r="W117" i="1" s="1"/>
  <c r="T218" i="1"/>
  <c r="U218" i="1" s="1"/>
  <c r="S218" i="1" s="1"/>
  <c r="T217" i="1"/>
  <c r="T213" i="1"/>
  <c r="U213" i="1" s="1"/>
  <c r="S213" i="1" s="1"/>
  <c r="X205" i="1"/>
  <c r="AG124" i="1"/>
  <c r="U124" i="1" s="1"/>
  <c r="S124" i="1" s="1"/>
  <c r="X124" i="1"/>
  <c r="T123" i="1"/>
  <c r="AG122" i="1"/>
  <c r="W122" i="1" s="1"/>
  <c r="X122" i="1"/>
  <c r="AA180" i="1"/>
  <c r="W180" i="1" s="1"/>
  <c r="AA178" i="1"/>
  <c r="W178" i="1" s="1"/>
  <c r="AA175" i="1"/>
  <c r="W175" i="1" s="1"/>
  <c r="AA172" i="1"/>
  <c r="AA168" i="1"/>
  <c r="AG166" i="1"/>
  <c r="W166" i="1" s="1"/>
  <c r="U165" i="1"/>
  <c r="S165" i="1" s="1"/>
  <c r="AA165" i="1"/>
  <c r="W165" i="1" s="1"/>
  <c r="AG163" i="1"/>
  <c r="T162" i="1"/>
  <c r="T161" i="1"/>
  <c r="T160" i="1"/>
  <c r="U160" i="1" s="1"/>
  <c r="S160" i="1" s="1"/>
  <c r="T159" i="1"/>
  <c r="X211" i="1"/>
  <c r="X209" i="1"/>
  <c r="T156" i="1"/>
  <c r="U156" i="1" s="1"/>
  <c r="S156" i="1" s="1"/>
  <c r="T155" i="1"/>
  <c r="T154" i="1"/>
  <c r="U154" i="1" s="1"/>
  <c r="S154" i="1" s="1"/>
  <c r="U130" i="1"/>
  <c r="S130" i="1" s="1"/>
  <c r="W130" i="1"/>
  <c r="AA118" i="1"/>
  <c r="W118" i="1" s="1"/>
  <c r="X218" i="1"/>
  <c r="X213" i="1"/>
  <c r="T207" i="1"/>
  <c r="U207" i="1" s="1"/>
  <c r="S207" i="1" s="1"/>
  <c r="T206" i="1"/>
  <c r="T205" i="1"/>
  <c r="U205" i="1" s="1"/>
  <c r="S205" i="1" s="1"/>
  <c r="AG121" i="1"/>
  <c r="W121" i="1" s="1"/>
  <c r="T121" i="1"/>
  <c r="T108" i="1"/>
  <c r="T107" i="1"/>
  <c r="U107" i="1" s="1"/>
  <c r="S107" i="1" s="1"/>
  <c r="T106" i="1"/>
  <c r="U106" i="1" s="1"/>
  <c r="S106" i="1" s="1"/>
  <c r="T92" i="1"/>
  <c r="T91" i="1"/>
  <c r="T90" i="1"/>
  <c r="U90" i="1" s="1"/>
  <c r="S90" i="1" s="1"/>
  <c r="T80" i="1"/>
  <c r="U80" i="1" s="1"/>
  <c r="S80" i="1" s="1"/>
  <c r="T72" i="1"/>
  <c r="U72" i="1" s="1"/>
  <c r="S72" i="1" s="1"/>
  <c r="T65" i="1"/>
  <c r="U58" i="1"/>
  <c r="S58" i="1" s="1"/>
  <c r="T57" i="1"/>
  <c r="T56" i="1"/>
  <c r="W43" i="1"/>
  <c r="W37" i="1"/>
  <c r="AA35" i="1"/>
  <c r="W35" i="1" s="1"/>
  <c r="AA32" i="1"/>
  <c r="AA28" i="1"/>
  <c r="AA24" i="1"/>
  <c r="AA20" i="1"/>
  <c r="AA16" i="1"/>
  <c r="W127" i="1"/>
  <c r="T113" i="1"/>
  <c r="T112" i="1"/>
  <c r="U112" i="1" s="1"/>
  <c r="S112" i="1" s="1"/>
  <c r="T111" i="1"/>
  <c r="T110" i="1"/>
  <c r="W97" i="1"/>
  <c r="T97" i="1"/>
  <c r="U97" i="1" s="1"/>
  <c r="S97" i="1" s="1"/>
  <c r="T96" i="1"/>
  <c r="T95" i="1"/>
  <c r="U95" i="1" s="1"/>
  <c r="S95" i="1" s="1"/>
  <c r="T94" i="1"/>
  <c r="T82" i="1"/>
  <c r="T74" i="1"/>
  <c r="T67" i="1"/>
  <c r="X58" i="1"/>
  <c r="AG57" i="1"/>
  <c r="U57" i="1" s="1"/>
  <c r="S57" i="1" s="1"/>
  <c r="AG56" i="1"/>
  <c r="AA135" i="1"/>
  <c r="W135" i="1" s="1"/>
  <c r="AG129" i="1"/>
  <c r="T127" i="1"/>
  <c r="U127" i="1" s="1"/>
  <c r="S127" i="1" s="1"/>
  <c r="AA126" i="1"/>
  <c r="T117" i="1"/>
  <c r="U117" i="1" s="1"/>
  <c r="S117" i="1" s="1"/>
  <c r="T116" i="1"/>
  <c r="T115" i="1"/>
  <c r="U115" i="1" s="1"/>
  <c r="S115" i="1" s="1"/>
  <c r="T114" i="1"/>
  <c r="X108" i="1"/>
  <c r="X106" i="1"/>
  <c r="T101" i="1"/>
  <c r="U101" i="1" s="1"/>
  <c r="S101" i="1" s="1"/>
  <c r="T100" i="1"/>
  <c r="T99" i="1"/>
  <c r="U99" i="1" s="1"/>
  <c r="S99" i="1" s="1"/>
  <c r="T98" i="1"/>
  <c r="X92" i="1"/>
  <c r="X90" i="1"/>
  <c r="T85" i="1"/>
  <c r="U85" i="1" s="1"/>
  <c r="S85" i="1" s="1"/>
  <c r="T84" i="1"/>
  <c r="X80" i="1"/>
  <c r="T77" i="1"/>
  <c r="T76" i="1"/>
  <c r="T69" i="1"/>
  <c r="U69" i="1" s="1"/>
  <c r="S69" i="1" s="1"/>
  <c r="X65" i="1"/>
  <c r="T62" i="1"/>
  <c r="T61" i="1"/>
  <c r="U61" i="1" s="1"/>
  <c r="S61" i="1" s="1"/>
  <c r="T60" i="1"/>
  <c r="T59" i="1"/>
  <c r="U59" i="1" s="1"/>
  <c r="S59" i="1" s="1"/>
  <c r="AA53" i="1"/>
  <c r="W53" i="1" s="1"/>
  <c r="AA49" i="1"/>
  <c r="W49" i="1" s="1"/>
  <c r="AA48" i="1"/>
  <c r="AA45" i="1"/>
  <c r="W45" i="1" s="1"/>
  <c r="AA44" i="1"/>
  <c r="AA41" i="1"/>
  <c r="W41" i="1" s="1"/>
  <c r="AA38" i="1"/>
  <c r="AA36" i="1"/>
  <c r="W36" i="1" s="1"/>
  <c r="AA34" i="1"/>
  <c r="AG32" i="1"/>
  <c r="U32" i="1" s="1"/>
  <c r="S32" i="1" s="1"/>
  <c r="AA30" i="1"/>
  <c r="AG28" i="1"/>
  <c r="U28" i="1" s="1"/>
  <c r="S28" i="1" s="1"/>
  <c r="AA26" i="1"/>
  <c r="AG24" i="1"/>
  <c r="U24" i="1" s="1"/>
  <c r="S24" i="1" s="1"/>
  <c r="AA22" i="1"/>
  <c r="AG20" i="1"/>
  <c r="U20" i="1" s="1"/>
  <c r="S20" i="1" s="1"/>
  <c r="AA18" i="1"/>
  <c r="AG16" i="1"/>
  <c r="U16" i="1" s="1"/>
  <c r="S16" i="1" s="1"/>
  <c r="AA133" i="1"/>
  <c r="AA128" i="1"/>
  <c r="AG126" i="1"/>
  <c r="T120" i="1"/>
  <c r="U120" i="1" s="1"/>
  <c r="S120" i="1" s="1"/>
  <c r="T119" i="1"/>
  <c r="T118" i="1"/>
  <c r="X112" i="1"/>
  <c r="X110" i="1"/>
  <c r="T105" i="1"/>
  <c r="T104" i="1"/>
  <c r="U104" i="1" s="1"/>
  <c r="S104" i="1" s="1"/>
  <c r="T103" i="1"/>
  <c r="T102" i="1"/>
  <c r="U102" i="1" s="1"/>
  <c r="S102" i="1" s="1"/>
  <c r="X96" i="1"/>
  <c r="X94" i="1"/>
  <c r="T89" i="1"/>
  <c r="U89" i="1" s="1"/>
  <c r="S89" i="1" s="1"/>
  <c r="T88" i="1"/>
  <c r="U88" i="1" s="1"/>
  <c r="S88" i="1" s="1"/>
  <c r="T87" i="1"/>
  <c r="T86" i="1"/>
  <c r="U86" i="1" s="1"/>
  <c r="S86" i="1" s="1"/>
  <c r="X82" i="1"/>
  <c r="T79" i="1"/>
  <c r="U79" i="1" s="1"/>
  <c r="S79" i="1" s="1"/>
  <c r="T78" i="1"/>
  <c r="X74" i="1"/>
  <c r="T71" i="1"/>
  <c r="T70" i="1"/>
  <c r="U70" i="1" s="1"/>
  <c r="S70" i="1" s="1"/>
  <c r="T64" i="1"/>
  <c r="U64" i="1" s="1"/>
  <c r="S64" i="1" s="1"/>
  <c r="T63" i="1"/>
  <c r="U63" i="1" s="1"/>
  <c r="S63" i="1" s="1"/>
  <c r="AA33" i="1"/>
  <c r="AA29" i="1"/>
  <c r="W29" i="1" s="1"/>
  <c r="AA25" i="1"/>
  <c r="W25" i="1" s="1"/>
  <c r="AA21" i="1"/>
  <c r="W21" i="1" s="1"/>
  <c r="AA17" i="1"/>
  <c r="W17" i="1" s="1"/>
  <c r="W216" i="1"/>
  <c r="W214" i="1"/>
  <c r="W203" i="1"/>
  <c r="W201" i="1"/>
  <c r="W199" i="1"/>
  <c r="W189" i="1"/>
  <c r="W169" i="1"/>
  <c r="W204" i="1"/>
  <c r="W202" i="1"/>
  <c r="W200" i="1"/>
  <c r="W196" i="1"/>
  <c r="W177" i="1"/>
  <c r="W171" i="1"/>
  <c r="X216" i="1"/>
  <c r="T216" i="1"/>
  <c r="U216" i="1" s="1"/>
  <c r="S216" i="1" s="1"/>
  <c r="X215" i="1"/>
  <c r="T215" i="1"/>
  <c r="U215" i="1" s="1"/>
  <c r="S215" i="1" s="1"/>
  <c r="X214" i="1"/>
  <c r="T214" i="1"/>
  <c r="U214" i="1" s="1"/>
  <c r="S214" i="1" s="1"/>
  <c r="X204" i="1"/>
  <c r="T204" i="1"/>
  <c r="U204" i="1" s="1"/>
  <c r="S204" i="1" s="1"/>
  <c r="X203" i="1"/>
  <c r="T203" i="1"/>
  <c r="U203" i="1" s="1"/>
  <c r="S203" i="1" s="1"/>
  <c r="X202" i="1"/>
  <c r="T202" i="1"/>
  <c r="U202" i="1" s="1"/>
  <c r="S202" i="1" s="1"/>
  <c r="X201" i="1"/>
  <c r="T201" i="1"/>
  <c r="U201" i="1" s="1"/>
  <c r="S201" i="1" s="1"/>
  <c r="X200" i="1"/>
  <c r="T200" i="1"/>
  <c r="U200" i="1" s="1"/>
  <c r="S200" i="1" s="1"/>
  <c r="X199" i="1"/>
  <c r="T199" i="1"/>
  <c r="U199" i="1" s="1"/>
  <c r="S199" i="1" s="1"/>
  <c r="X198" i="1"/>
  <c r="T198" i="1"/>
  <c r="U198" i="1" s="1"/>
  <c r="S198" i="1" s="1"/>
  <c r="X197" i="1"/>
  <c r="T197" i="1"/>
  <c r="U197" i="1" s="1"/>
  <c r="S197" i="1" s="1"/>
  <c r="X196" i="1"/>
  <c r="T196" i="1"/>
  <c r="U196" i="1" s="1"/>
  <c r="S196" i="1" s="1"/>
  <c r="X195" i="1"/>
  <c r="T195" i="1"/>
  <c r="U195" i="1" s="1"/>
  <c r="S195" i="1" s="1"/>
  <c r="X194" i="1"/>
  <c r="T194" i="1"/>
  <c r="U194" i="1" s="1"/>
  <c r="S194" i="1" s="1"/>
  <c r="X193" i="1"/>
  <c r="T193" i="1"/>
  <c r="U193" i="1" s="1"/>
  <c r="S193" i="1" s="1"/>
  <c r="X192" i="1"/>
  <c r="T192" i="1"/>
  <c r="U192" i="1" s="1"/>
  <c r="S192" i="1" s="1"/>
  <c r="X191" i="1"/>
  <c r="T191" i="1"/>
  <c r="U191" i="1" s="1"/>
  <c r="S191" i="1" s="1"/>
  <c r="X190" i="1"/>
  <c r="T190" i="1"/>
  <c r="U190" i="1" s="1"/>
  <c r="S190" i="1" s="1"/>
  <c r="X189" i="1"/>
  <c r="T189" i="1"/>
  <c r="U189" i="1" s="1"/>
  <c r="S189" i="1" s="1"/>
  <c r="X188" i="1"/>
  <c r="T188" i="1"/>
  <c r="U188" i="1" s="1"/>
  <c r="S188" i="1" s="1"/>
  <c r="X187" i="1"/>
  <c r="T187" i="1"/>
  <c r="U187" i="1" s="1"/>
  <c r="S187" i="1" s="1"/>
  <c r="X186" i="1"/>
  <c r="T186" i="1"/>
  <c r="U186" i="1" s="1"/>
  <c r="S186" i="1" s="1"/>
  <c r="X185" i="1"/>
  <c r="T185" i="1"/>
  <c r="U185" i="1" s="1"/>
  <c r="S185" i="1" s="1"/>
  <c r="X184" i="1"/>
  <c r="T184" i="1"/>
  <c r="U184" i="1" s="1"/>
  <c r="S184" i="1" s="1"/>
  <c r="X183" i="1"/>
  <c r="T183" i="1"/>
  <c r="U183" i="1" s="1"/>
  <c r="S183" i="1" s="1"/>
  <c r="X182" i="1"/>
  <c r="T182" i="1"/>
  <c r="U182" i="1" s="1"/>
  <c r="S182" i="1" s="1"/>
  <c r="X181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X172" i="1"/>
  <c r="T170" i="1"/>
  <c r="X170" i="1"/>
  <c r="T168" i="1"/>
  <c r="X168" i="1"/>
  <c r="AG172" i="1"/>
  <c r="AG170" i="1"/>
  <c r="AG168" i="1"/>
  <c r="U164" i="1"/>
  <c r="S164" i="1" s="1"/>
  <c r="AG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U158" i="1"/>
  <c r="U217" i="1"/>
  <c r="S217" i="1" s="1"/>
  <c r="U212" i="1"/>
  <c r="S212" i="1" s="1"/>
  <c r="U210" i="1"/>
  <c r="S210" i="1" s="1"/>
  <c r="U206" i="1"/>
  <c r="S206" i="1" s="1"/>
  <c r="T153" i="1"/>
  <c r="AG153" i="1"/>
  <c r="T152" i="1"/>
  <c r="AG152" i="1"/>
  <c r="T151" i="1"/>
  <c r="AG151" i="1"/>
  <c r="T150" i="1"/>
  <c r="X150" i="1"/>
  <c r="AG150" i="1"/>
  <c r="W150" i="1" s="1"/>
  <c r="T149" i="1"/>
  <c r="X149" i="1"/>
  <c r="AG149" i="1"/>
  <c r="W149" i="1" s="1"/>
  <c r="T148" i="1"/>
  <c r="X148" i="1"/>
  <c r="AG148" i="1"/>
  <c r="T147" i="1"/>
  <c r="X147" i="1"/>
  <c r="AG147" i="1"/>
  <c r="T146" i="1"/>
  <c r="X146" i="1"/>
  <c r="AG146" i="1"/>
  <c r="T145" i="1"/>
  <c r="X145" i="1"/>
  <c r="AG145" i="1"/>
  <c r="W145" i="1" s="1"/>
  <c r="T144" i="1"/>
  <c r="X144" i="1"/>
  <c r="AG144" i="1"/>
  <c r="T143" i="1"/>
  <c r="X143" i="1"/>
  <c r="AG143" i="1"/>
  <c r="T142" i="1"/>
  <c r="X142" i="1"/>
  <c r="AG142" i="1"/>
  <c r="W142" i="1" s="1"/>
  <c r="T141" i="1"/>
  <c r="X141" i="1"/>
  <c r="AG141" i="1"/>
  <c r="W141" i="1" s="1"/>
  <c r="T140" i="1"/>
  <c r="X140" i="1"/>
  <c r="AG140" i="1"/>
  <c r="U137" i="1"/>
  <c r="S137" i="1" s="1"/>
  <c r="X166" i="1"/>
  <c r="X165" i="1"/>
  <c r="X164" i="1"/>
  <c r="X163" i="1"/>
  <c r="U161" i="1"/>
  <c r="S161" i="1" s="1"/>
  <c r="U159" i="1"/>
  <c r="S159" i="1" s="1"/>
  <c r="S158" i="1"/>
  <c r="X217" i="1"/>
  <c r="X212" i="1"/>
  <c r="X210" i="1"/>
  <c r="X208" i="1"/>
  <c r="X206" i="1"/>
  <c r="X156" i="1"/>
  <c r="U155" i="1"/>
  <c r="S155" i="1" s="1"/>
  <c r="AG139" i="1"/>
  <c r="U135" i="1"/>
  <c r="S135" i="1" s="1"/>
  <c r="T132" i="1"/>
  <c r="X132" i="1"/>
  <c r="X139" i="1"/>
  <c r="X138" i="1"/>
  <c r="X137" i="1"/>
  <c r="X136" i="1"/>
  <c r="X135" i="1"/>
  <c r="AG132" i="1"/>
  <c r="W132" i="1" s="1"/>
  <c r="U129" i="1"/>
  <c r="S129" i="1" s="1"/>
  <c r="U126" i="1"/>
  <c r="S126" i="1" s="1"/>
  <c r="T133" i="1"/>
  <c r="X133" i="1"/>
  <c r="T131" i="1"/>
  <c r="X131" i="1"/>
  <c r="AG133" i="1"/>
  <c r="AG131" i="1"/>
  <c r="X130" i="1"/>
  <c r="X129" i="1"/>
  <c r="U123" i="1"/>
  <c r="S123" i="1" s="1"/>
  <c r="U119" i="1"/>
  <c r="S119" i="1" s="1"/>
  <c r="U113" i="1"/>
  <c r="S113" i="1" s="1"/>
  <c r="U111" i="1"/>
  <c r="S111" i="1" s="1"/>
  <c r="U105" i="1"/>
  <c r="S105" i="1" s="1"/>
  <c r="U103" i="1"/>
  <c r="S103" i="1" s="1"/>
  <c r="U93" i="1"/>
  <c r="S93" i="1" s="1"/>
  <c r="U91" i="1"/>
  <c r="S91" i="1" s="1"/>
  <c r="U87" i="1"/>
  <c r="S87" i="1" s="1"/>
  <c r="U81" i="1"/>
  <c r="S81" i="1" s="1"/>
  <c r="U77" i="1"/>
  <c r="S77" i="1" s="1"/>
  <c r="U75" i="1"/>
  <c r="S75" i="1" s="1"/>
  <c r="U71" i="1"/>
  <c r="S71" i="1" s="1"/>
  <c r="U68" i="1"/>
  <c r="S68" i="1" s="1"/>
  <c r="U62" i="1"/>
  <c r="S62" i="1" s="1"/>
  <c r="U60" i="1"/>
  <c r="X125" i="1"/>
  <c r="X123" i="1"/>
  <c r="U122" i="1"/>
  <c r="S122" i="1" s="1"/>
  <c r="X121" i="1"/>
  <c r="X119" i="1"/>
  <c r="U118" i="1"/>
  <c r="S118" i="1" s="1"/>
  <c r="X117" i="1"/>
  <c r="U116" i="1"/>
  <c r="S116" i="1" s="1"/>
  <c r="X115" i="1"/>
  <c r="U114" i="1"/>
  <c r="S114" i="1" s="1"/>
  <c r="X113" i="1"/>
  <c r="X111" i="1"/>
  <c r="U110" i="1"/>
  <c r="S110" i="1" s="1"/>
  <c r="X109" i="1"/>
  <c r="U108" i="1"/>
  <c r="S108" i="1" s="1"/>
  <c r="X107" i="1"/>
  <c r="X105" i="1"/>
  <c r="X103" i="1"/>
  <c r="X101" i="1"/>
  <c r="U100" i="1"/>
  <c r="S100" i="1" s="1"/>
  <c r="X99" i="1"/>
  <c r="U98" i="1"/>
  <c r="S98" i="1" s="1"/>
  <c r="X97" i="1"/>
  <c r="U96" i="1"/>
  <c r="S96" i="1" s="1"/>
  <c r="X95" i="1"/>
  <c r="U94" i="1"/>
  <c r="S94" i="1" s="1"/>
  <c r="X93" i="1"/>
  <c r="U92" i="1"/>
  <c r="S92" i="1" s="1"/>
  <c r="X91" i="1"/>
  <c r="X89" i="1"/>
  <c r="X87" i="1"/>
  <c r="X85" i="1"/>
  <c r="U84" i="1"/>
  <c r="S84" i="1" s="1"/>
  <c r="X83" i="1"/>
  <c r="U82" i="1"/>
  <c r="S82" i="1" s="1"/>
  <c r="X81" i="1"/>
  <c r="X79" i="1"/>
  <c r="U78" i="1"/>
  <c r="S78" i="1" s="1"/>
  <c r="X77" i="1"/>
  <c r="U76" i="1"/>
  <c r="S76" i="1" s="1"/>
  <c r="X75" i="1"/>
  <c r="U74" i="1"/>
  <c r="X73" i="1"/>
  <c r="U67" i="1"/>
  <c r="S67" i="1" s="1"/>
  <c r="X66" i="1"/>
  <c r="U65" i="1"/>
  <c r="S65" i="1" s="1"/>
  <c r="X64" i="1"/>
  <c r="X62" i="1"/>
  <c r="S60" i="1"/>
  <c r="T54" i="1"/>
  <c r="X54" i="1"/>
  <c r="T52" i="1"/>
  <c r="X52" i="1"/>
  <c r="T50" i="1"/>
  <c r="X50" i="1"/>
  <c r="T48" i="1"/>
  <c r="X48" i="1"/>
  <c r="T46" i="1"/>
  <c r="X46" i="1"/>
  <c r="T44" i="1"/>
  <c r="X44" i="1"/>
  <c r="T42" i="1"/>
  <c r="X42" i="1"/>
  <c r="T40" i="1"/>
  <c r="X40" i="1"/>
  <c r="T36" i="1"/>
  <c r="U36" i="1" s="1"/>
  <c r="S36" i="1" s="1"/>
  <c r="X36" i="1"/>
  <c r="AG54" i="1"/>
  <c r="AG52" i="1"/>
  <c r="AG50" i="1"/>
  <c r="AG48" i="1"/>
  <c r="AG46" i="1"/>
  <c r="AG44" i="1"/>
  <c r="W44" i="1" s="1"/>
  <c r="AG42" i="1"/>
  <c r="W42" i="1" s="1"/>
  <c r="T41" i="1"/>
  <c r="U41" i="1" s="1"/>
  <c r="S41" i="1" s="1"/>
  <c r="X41" i="1"/>
  <c r="AG40" i="1"/>
  <c r="W38" i="1"/>
  <c r="T37" i="1"/>
  <c r="U37" i="1" s="1"/>
  <c r="S37" i="1" s="1"/>
  <c r="X37" i="1"/>
  <c r="W34" i="1"/>
  <c r="W30" i="1"/>
  <c r="W26" i="1"/>
  <c r="W22" i="1"/>
  <c r="W18" i="1"/>
  <c r="AA14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38" i="1"/>
  <c r="U38" i="1" s="1"/>
  <c r="S38" i="1" s="1"/>
  <c r="X38" i="1"/>
  <c r="T34" i="1"/>
  <c r="U34" i="1" s="1"/>
  <c r="S34" i="1" s="1"/>
  <c r="X34" i="1"/>
  <c r="U29" i="1"/>
  <c r="S29" i="1" s="1"/>
  <c r="U25" i="1"/>
  <c r="S25" i="1" s="1"/>
  <c r="U21" i="1"/>
  <c r="S21" i="1" s="1"/>
  <c r="U17" i="1"/>
  <c r="S17" i="1" s="1"/>
  <c r="AA40" i="1"/>
  <c r="W40" i="1" s="1"/>
  <c r="T39" i="1"/>
  <c r="U39" i="1" s="1"/>
  <c r="S39" i="1" s="1"/>
  <c r="X39" i="1"/>
  <c r="T35" i="1"/>
  <c r="U35" i="1" s="1"/>
  <c r="S35" i="1" s="1"/>
  <c r="X35" i="1"/>
  <c r="S26" i="1"/>
  <c r="S22" i="1"/>
  <c r="S18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Q16" i="3"/>
  <c r="P16" i="3"/>
  <c r="Q23" i="3"/>
  <c r="P23" i="3"/>
  <c r="Q28" i="3"/>
  <c r="P28" i="3"/>
  <c r="Q18" i="3"/>
  <c r="P18" i="3"/>
  <c r="Q10" i="3"/>
  <c r="P10" i="3"/>
  <c r="Q14" i="3"/>
  <c r="P14" i="3"/>
  <c r="P9" i="3"/>
  <c r="Q27" i="3"/>
  <c r="P27" i="3"/>
  <c r="Q19" i="3"/>
  <c r="P19" i="3"/>
  <c r="Q24" i="3"/>
  <c r="P24" i="3"/>
  <c r="Q7" i="3"/>
  <c r="P7" i="3"/>
  <c r="Q42" i="3"/>
  <c r="P42" i="3"/>
  <c r="Q32" i="3"/>
  <c r="P32" i="3"/>
  <c r="Q21" i="3"/>
  <c r="P21" i="3"/>
  <c r="Q35" i="3"/>
  <c r="P35" i="3"/>
  <c r="Q36" i="3"/>
  <c r="P36" i="3"/>
  <c r="Q8" i="3"/>
  <c r="P8" i="3"/>
  <c r="Q26" i="3"/>
  <c r="P26" i="3"/>
  <c r="Q15" i="3"/>
  <c r="P15" i="3"/>
  <c r="Q37" i="3"/>
  <c r="P37" i="3"/>
  <c r="Q29" i="3"/>
  <c r="P29" i="3"/>
  <c r="Q38" i="3"/>
  <c r="P38" i="3"/>
  <c r="Q39" i="3"/>
  <c r="P39" i="3"/>
  <c r="Q31" i="3"/>
  <c r="P31" i="3"/>
  <c r="Q30" i="3"/>
  <c r="P30" i="3"/>
  <c r="Q55" i="3"/>
  <c r="P55" i="3"/>
  <c r="Q54" i="3"/>
  <c r="P54" i="3"/>
  <c r="Q47" i="3"/>
  <c r="P47" i="3"/>
  <c r="Q44" i="3"/>
  <c r="P44" i="3"/>
  <c r="Q48" i="3"/>
  <c r="P48" i="3"/>
  <c r="Q52" i="3"/>
  <c r="P52" i="3"/>
  <c r="Q49" i="3"/>
  <c r="P49" i="3"/>
  <c r="Q50" i="3"/>
  <c r="P50" i="3"/>
  <c r="Q46" i="3"/>
  <c r="P46" i="3"/>
  <c r="Q43" i="3"/>
  <c r="P43" i="3"/>
  <c r="Q51" i="3"/>
  <c r="P51" i="3"/>
  <c r="U9" i="3"/>
  <c r="L9" i="3"/>
  <c r="S9" i="3"/>
  <c r="R9" i="3" s="1"/>
  <c r="T9" i="3"/>
  <c r="V9" i="3"/>
  <c r="Q9" i="3"/>
  <c r="U157" i="1" l="1"/>
  <c r="S157" i="1" s="1"/>
  <c r="W32" i="1"/>
  <c r="W170" i="1"/>
  <c r="W129" i="1"/>
  <c r="W24" i="1"/>
  <c r="W128" i="1"/>
  <c r="W28" i="1"/>
  <c r="W15" i="1"/>
  <c r="W16" i="1"/>
  <c r="U121" i="1"/>
  <c r="S121" i="1" s="1"/>
  <c r="W27" i="1"/>
  <c r="W14" i="1"/>
  <c r="U166" i="1"/>
  <c r="S166" i="1" s="1"/>
  <c r="U56" i="1"/>
  <c r="S56" i="1" s="1"/>
  <c r="W163" i="1"/>
  <c r="W23" i="1"/>
  <c r="U138" i="1"/>
  <c r="S138" i="1" s="1"/>
  <c r="W153" i="1"/>
  <c r="W20" i="1"/>
  <c r="W124" i="1"/>
  <c r="U162" i="1"/>
  <c r="S162" i="1" s="1"/>
  <c r="W134" i="1"/>
  <c r="W162" i="1"/>
  <c r="W33" i="1"/>
  <c r="W136" i="1"/>
  <c r="W126" i="1"/>
  <c r="W56" i="1"/>
  <c r="U163" i="1"/>
  <c r="S163" i="1" s="1"/>
  <c r="W57" i="1"/>
  <c r="U46" i="1"/>
  <c r="S46" i="1" s="1"/>
  <c r="U54" i="1"/>
  <c r="S54" i="1" s="1"/>
  <c r="W54" i="1"/>
  <c r="U140" i="1"/>
  <c r="S140" i="1" s="1"/>
  <c r="U144" i="1"/>
  <c r="S144" i="1" s="1"/>
  <c r="U148" i="1"/>
  <c r="S148" i="1" s="1"/>
  <c r="U152" i="1"/>
  <c r="S152" i="1" s="1"/>
  <c r="U181" i="1"/>
  <c r="S181" i="1" s="1"/>
  <c r="U172" i="1"/>
  <c r="S172" i="1" s="1"/>
  <c r="W181" i="1"/>
  <c r="U48" i="1"/>
  <c r="S48" i="1" s="1"/>
  <c r="U131" i="1"/>
  <c r="S131" i="1" s="1"/>
  <c r="U139" i="1"/>
  <c r="S139" i="1" s="1"/>
  <c r="U143" i="1"/>
  <c r="S143" i="1" s="1"/>
  <c r="U147" i="1"/>
  <c r="S147" i="1" s="1"/>
  <c r="U151" i="1"/>
  <c r="S151" i="1" s="1"/>
  <c r="W144" i="1"/>
  <c r="W152" i="1"/>
  <c r="W139" i="1"/>
  <c r="W147" i="1"/>
  <c r="W172" i="1"/>
  <c r="U42" i="1"/>
  <c r="S42" i="1" s="1"/>
  <c r="U50" i="1"/>
  <c r="S50" i="1" s="1"/>
  <c r="W48" i="1"/>
  <c r="W46" i="1"/>
  <c r="U133" i="1"/>
  <c r="S133" i="1" s="1"/>
  <c r="W133" i="1"/>
  <c r="W131" i="1"/>
  <c r="U142" i="1"/>
  <c r="S142" i="1" s="1"/>
  <c r="U146" i="1"/>
  <c r="S146" i="1" s="1"/>
  <c r="U150" i="1"/>
  <c r="S150" i="1" s="1"/>
  <c r="W146" i="1"/>
  <c r="U168" i="1"/>
  <c r="S168" i="1" s="1"/>
  <c r="W168" i="1"/>
  <c r="U40" i="1"/>
  <c r="S40" i="1" s="1"/>
  <c r="U44" i="1"/>
  <c r="S44" i="1" s="1"/>
  <c r="U52" i="1"/>
  <c r="S52" i="1" s="1"/>
  <c r="W52" i="1"/>
  <c r="W50" i="1"/>
  <c r="U132" i="1"/>
  <c r="S132" i="1" s="1"/>
  <c r="U141" i="1"/>
  <c r="S141" i="1" s="1"/>
  <c r="U145" i="1"/>
  <c r="S145" i="1" s="1"/>
  <c r="U149" i="1"/>
  <c r="S149" i="1" s="1"/>
  <c r="U153" i="1"/>
  <c r="S153" i="1" s="1"/>
  <c r="W140" i="1"/>
  <c r="W148" i="1"/>
  <c r="U170" i="1"/>
  <c r="S170" i="1" s="1"/>
  <c r="W143" i="1"/>
  <c r="W151" i="1"/>
  <c r="P53" i="3"/>
  <c r="P45" i="3"/>
  <c r="Q34" i="3"/>
  <c r="Q33" i="3"/>
  <c r="Q25" i="3"/>
  <c r="Q41" i="3"/>
  <c r="Q22" i="3"/>
  <c r="Q13" i="3"/>
  <c r="Q20" i="3"/>
  <c r="Q17" i="3"/>
  <c r="Q40" i="3"/>
  <c r="Q11" i="3"/>
  <c r="Q12" i="3"/>
  <c r="P34" i="3"/>
  <c r="P33" i="3"/>
  <c r="P41" i="3"/>
  <c r="P25" i="3"/>
  <c r="P22" i="3"/>
  <c r="P13" i="3"/>
  <c r="P17" i="3"/>
  <c r="P40" i="3"/>
  <c r="P20" i="3"/>
  <c r="P12" i="3"/>
  <c r="P11" i="3"/>
  <c r="Q53" i="3"/>
  <c r="Q45" i="3"/>
  <c r="V13" i="1"/>
  <c r="K13" i="1" l="1"/>
  <c r="AH13" i="1" l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AF13" i="1" l="1"/>
  <c r="AE13" i="1" l="1"/>
  <c r="M18" i="5" l="1"/>
  <c r="AD13" i="1" l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<sst xmlns="http://schemas.openxmlformats.org/spreadsheetml/2006/main" count="2084" uniqueCount="691">
  <si>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</si>
  <si>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</si>
  <si>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</si>
  <si>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</si>
  <si>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</si>
  <si>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</si>
  <si>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</si>
  <si>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</si>
  <si>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</si>
  <si>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</si>
  <si>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</si>
  <si>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</si>
  <si>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</si>
  <si>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</si>
  <si>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</si>
  <si>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</si>
  <si>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</si>
  <si>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</si>
  <si>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</si>
  <si>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</si>
  <si>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</si>
  <si>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</si>
  <si>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</si>
  <si>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</si>
  <si>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</si>
  <si>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</si>
  <si>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</si>
  <si>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</si>
  <si>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</si>
  <si>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</si>
  <si>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</si>
  <si>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</si>
  <si>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</si>
  <si>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</si>
  <si>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</si>
  <si>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</si>
  <si>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</si>
  <si>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</si>
  <si>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</si>
  <si>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</si>
  <si>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</si>
  <si>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</si>
  <si>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</si>
  <si>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</si>
  <si>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</si>
  <si>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</si>
  <si>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</si>
  <si>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</si>
  <si>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</si>
  <si>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</si>
  <si>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</si>
  <si>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</si>
  <si>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</si>
  <si>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</si>
  <si>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</si>
  <si>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</si>
  <si>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</si>
  <si>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</si>
  <si>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</si>
  <si>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</si>
  <si>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</si>
  <si>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204:460</t>
  </si>
  <si>
    <t>204:232977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</si>
  <si>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</si>
  <si>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</si>
  <si>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</si>
  <si>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</si>
  <si>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</si>
  <si>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</si>
  <si>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</si>
  <si>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</si>
  <si>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</si>
  <si>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</si>
  <si>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</si>
  <si>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</si>
  <si>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</si>
  <si>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</si>
  <si>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</si>
  <si>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</si>
  <si>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</si>
  <si>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</si>
  <si>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</si>
  <si>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</si>
  <si>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</si>
  <si>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</si>
  <si>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</si>
  <si>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</si>
  <si>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</si>
  <si>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</si>
  <si>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</si>
  <si>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</si>
  <si>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</si>
  <si>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</si>
  <si>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</si>
  <si>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</si>
  <si>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</si>
  <si>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</si>
  <si>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</si>
  <si>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</si>
  <si>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</si>
  <si>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</si>
  <si>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</si>
  <si>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</si>
  <si>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</si>
  <si>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</si>
  <si>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</si>
  <si>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</si>
  <si>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</si>
  <si>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</si>
  <si>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</si>
  <si>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</si>
  <si>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rtdc.l.rtdc.4015:itc</t>
  </si>
  <si>
    <t>EC or NWGL</t>
  </si>
  <si>
    <t>204:464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</si>
  <si>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</si>
  <si>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</si>
  <si>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</si>
  <si>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</si>
  <si>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</si>
  <si>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</si>
  <si>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</si>
  <si>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</si>
  <si>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</si>
  <si>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</si>
  <si>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</si>
  <si>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</si>
  <si>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</si>
  <si>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</si>
  <si>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</si>
  <si>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</si>
  <si>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</si>
  <si>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</si>
  <si>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</si>
  <si>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</si>
  <si>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</si>
  <si>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</si>
  <si>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</si>
  <si>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</si>
  <si>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</si>
  <si>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</si>
  <si>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</si>
  <si>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</si>
  <si>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</si>
  <si>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</si>
  <si>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</si>
  <si>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204:232996</t>
  </si>
  <si>
    <t>204:233312</t>
  </si>
  <si>
    <t>ISHMAEL</t>
  </si>
  <si>
    <t>204:232983</t>
  </si>
  <si>
    <t>204:469</t>
  </si>
  <si>
    <t>204:458</t>
  </si>
  <si>
    <t>204:467</t>
  </si>
  <si>
    <t>LEVIN</t>
  </si>
  <si>
    <t>204:163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</si>
  <si>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</si>
  <si>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</si>
  <si>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</si>
  <si>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</si>
  <si>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</si>
  <si>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</si>
  <si>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</si>
  <si>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</si>
  <si>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</si>
  <si>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204:466</t>
  </si>
  <si>
    <t>204:442</t>
  </si>
  <si>
    <t>rtdc.l.rtdc.4028:itc</t>
  </si>
  <si>
    <t>rtdc.l.rtdc.4042:itc</t>
  </si>
  <si>
    <t>rtdc.l.rtdc.4038:itc</t>
  </si>
  <si>
    <t>204:232985</t>
  </si>
  <si>
    <t>204:150</t>
  </si>
  <si>
    <t>204:156</t>
  </si>
  <si>
    <t>204:232981</t>
  </si>
  <si>
    <t>204:451</t>
  </si>
  <si>
    <t>204:233291</t>
  </si>
  <si>
    <t>204:154</t>
  </si>
  <si>
    <t>204:232965</t>
  </si>
  <si>
    <t>230-12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</si>
  <si>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</si>
  <si>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</si>
  <si>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</si>
  <si>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</si>
  <si>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</si>
  <si>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</si>
  <si>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</si>
  <si>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</si>
  <si>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</si>
  <si>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</si>
  <si>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</si>
  <si>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</si>
  <si>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</si>
  <si>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</si>
  <si>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</si>
  <si>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64-12</t>
  </si>
  <si>
    <t>908-12</t>
  </si>
  <si>
    <t>rtdc.l.rtdc.4008:itc</t>
  </si>
  <si>
    <t>rtdc.l.rtdc.4020:itc</t>
  </si>
  <si>
    <t>rtdc.l.rtdc.4019:itc</t>
  </si>
  <si>
    <t>NELSON</t>
  </si>
  <si>
    <t>YANAI</t>
  </si>
  <si>
    <t>rtdc.l.rtdc.4022:itc</t>
  </si>
  <si>
    <t>HOMIK</t>
  </si>
  <si>
    <t>313-12</t>
  </si>
  <si>
    <t>204:233295</t>
  </si>
  <si>
    <t>204:446</t>
  </si>
  <si>
    <t>204:167</t>
  </si>
  <si>
    <t>204:152</t>
  </si>
  <si>
    <t>204:475</t>
  </si>
  <si>
    <t>204:233305</t>
  </si>
  <si>
    <t>rtdc.l.rtdc.4043:itc</t>
  </si>
  <si>
    <t>GRADE CROSSING</t>
  </si>
  <si>
    <t>Bulletin (2)</t>
  </si>
  <si>
    <t>rtdc.l.rtdc.4009:itc</t>
  </si>
  <si>
    <t>STORY</t>
  </si>
  <si>
    <t>rtdc.l.rtdc.4010:itc</t>
  </si>
  <si>
    <t>204:232987</t>
  </si>
  <si>
    <t>204:232989</t>
  </si>
  <si>
    <t>204:141</t>
  </si>
  <si>
    <t>204:161</t>
  </si>
  <si>
    <t>204:482</t>
  </si>
  <si>
    <t>204:473</t>
  </si>
  <si>
    <t>rtdc.l.rtdc.4016:itc</t>
  </si>
  <si>
    <t>STARKS</t>
  </si>
  <si>
    <t>204:232972</t>
  </si>
  <si>
    <t>300:58608</t>
  </si>
  <si>
    <t>300:58914</t>
  </si>
  <si>
    <t>SWANSON</t>
  </si>
  <si>
    <t>SPECTOR</t>
  </si>
  <si>
    <t>ROCHA</t>
  </si>
  <si>
    <t>HELVIE</t>
  </si>
  <si>
    <t>OUN</t>
  </si>
  <si>
    <t>CHANDLER</t>
  </si>
  <si>
    <t>Wi-MAX outage</t>
  </si>
  <si>
    <t>Onboard in-route failure</t>
  </si>
  <si>
    <t>Early arrival</t>
  </si>
  <si>
    <t>204:232991</t>
  </si>
  <si>
    <t>204:232990</t>
  </si>
  <si>
    <t>204:232973</t>
  </si>
  <si>
    <t>204:233281</t>
  </si>
  <si>
    <t>204:440</t>
  </si>
  <si>
    <t>204:233011</t>
  </si>
  <si>
    <t>204:233314</t>
  </si>
  <si>
    <t>204:233299</t>
  </si>
  <si>
    <t>204:233322</t>
  </si>
  <si>
    <t>204:233285</t>
  </si>
  <si>
    <t>204:232980</t>
  </si>
  <si>
    <t>204:437</t>
  </si>
  <si>
    <t>204:471</t>
  </si>
  <si>
    <t>204:232979</t>
  </si>
  <si>
    <t>241-16</t>
  </si>
  <si>
    <t>244-16</t>
  </si>
  <si>
    <t>313-16</t>
  </si>
  <si>
    <t>315-16</t>
  </si>
  <si>
    <t>300:58630</t>
  </si>
  <si>
    <t>300:58596</t>
  </si>
  <si>
    <t>rtdc.l.rtdc.4002:itc</t>
  </si>
  <si>
    <t>rtdc.l.rtdc.4001:itc</t>
  </si>
  <si>
    <t>BRANNON</t>
  </si>
  <si>
    <t>STURGEON</t>
  </si>
  <si>
    <t>240-16</t>
  </si>
  <si>
    <t>243-16</t>
  </si>
  <si>
    <t>CHANDLE</t>
  </si>
  <si>
    <t>:.+((SYSTEM_STATE.+slice.+state.+changed )|(ment ac)|(system.+state.+changed )|(\|lc)|(penalty)|(\[timeout)|(PRM\|1\|D)|(kpr)|(kdp))</t>
  </si>
  <si>
    <t>204:444</t>
  </si>
  <si>
    <t>204:233311</t>
  </si>
  <si>
    <t>204:233304</t>
  </si>
  <si>
    <t>204:478</t>
  </si>
  <si>
    <t>204:145</t>
  </si>
  <si>
    <t>204:138</t>
  </si>
  <si>
    <t>204:232974</t>
  </si>
  <si>
    <t>204:447</t>
  </si>
  <si>
    <t>204:233282</t>
  </si>
  <si>
    <t>204:232961</t>
  </si>
  <si>
    <t>204:232963</t>
  </si>
  <si>
    <t>204:422</t>
  </si>
  <si>
    <t>204:232940</t>
  </si>
  <si>
    <t>204:233306</t>
  </si>
  <si>
    <t>204:232982</t>
  </si>
  <si>
    <t>204:233326</t>
  </si>
  <si>
    <t>204:233315</t>
  </si>
  <si>
    <t>204:232986</t>
  </si>
  <si>
    <t>204:233302</t>
  </si>
  <si>
    <t>204:232992</t>
  </si>
  <si>
    <t>204:232969</t>
  </si>
  <si>
    <t>204:233280</t>
  </si>
  <si>
    <t>204:176</t>
  </si>
  <si>
    <t>204:233013</t>
  </si>
  <si>
    <t>204:233301</t>
  </si>
  <si>
    <t>204:491</t>
  </si>
  <si>
    <t>242-17</t>
  </si>
  <si>
    <t>244-17</t>
  </si>
  <si>
    <t>309-17</t>
  </si>
  <si>
    <t>300:23301</t>
  </si>
  <si>
    <t>311-17</t>
  </si>
  <si>
    <t>313-17</t>
  </si>
  <si>
    <t>204:450</t>
  </si>
  <si>
    <t>204:981</t>
  </si>
  <si>
    <t>300:58920</t>
  </si>
  <si>
    <t>300:58954</t>
  </si>
  <si>
    <t>204:941</t>
  </si>
  <si>
    <t>300:58980</t>
  </si>
  <si>
    <t>300:58662</t>
  </si>
  <si>
    <t>204:972</t>
  </si>
  <si>
    <t>300:58591</t>
  </si>
  <si>
    <t>300:58907</t>
  </si>
  <si>
    <t>300:58975</t>
  </si>
  <si>
    <t>300:58666</t>
  </si>
  <si>
    <t>rtdc.l.rtdc.4026:itc</t>
  </si>
  <si>
    <t>rtdc.l.rtdc.4041:itc</t>
  </si>
  <si>
    <t>rtdc.l.rtdc.4025:itc</t>
  </si>
  <si>
    <t>rtdc.l.rtdc.4007:itc</t>
  </si>
  <si>
    <t>MAELZER</t>
  </si>
  <si>
    <t>STRICKLAND</t>
  </si>
  <si>
    <t>BONDS</t>
  </si>
  <si>
    <t>YORK</t>
  </si>
  <si>
    <t>MOSES</t>
  </si>
  <si>
    <t>DE LA ROSA</t>
  </si>
  <si>
    <t>106-18</t>
  </si>
  <si>
    <t>108-18</t>
  </si>
  <si>
    <t>121-18</t>
  </si>
  <si>
    <t>123-18</t>
  </si>
  <si>
    <t>120-18</t>
  </si>
  <si>
    <t>129-18</t>
  </si>
  <si>
    <t>125-18</t>
  </si>
  <si>
    <t>122-18</t>
  </si>
  <si>
    <t>806-18</t>
  </si>
  <si>
    <t>807-18</t>
  </si>
  <si>
    <t>808-18</t>
  </si>
  <si>
    <t>126-18</t>
  </si>
  <si>
    <t>130-18</t>
  </si>
  <si>
    <t>811-18</t>
  </si>
  <si>
    <t>rtdc.l.rtdc.4044:itc</t>
  </si>
  <si>
    <t>145-18</t>
  </si>
  <si>
    <t>143-18</t>
  </si>
  <si>
    <t>147-18</t>
  </si>
  <si>
    <t>153-18</t>
  </si>
  <si>
    <t>159-18</t>
  </si>
  <si>
    <t>817-18</t>
  </si>
  <si>
    <t>818-18</t>
  </si>
  <si>
    <t>163-18</t>
  </si>
  <si>
    <t>156-18</t>
  </si>
  <si>
    <t>166-18</t>
  </si>
  <si>
    <t>820-18</t>
  </si>
  <si>
    <t>175-18</t>
  </si>
  <si>
    <t>176-18</t>
  </si>
  <si>
    <t>187-18</t>
  </si>
  <si>
    <t>191-18</t>
  </si>
  <si>
    <t>182-18</t>
  </si>
  <si>
    <t>827-18</t>
  </si>
  <si>
    <t>190-18</t>
  </si>
  <si>
    <t>828-18</t>
  </si>
  <si>
    <t>832-18</t>
  </si>
  <si>
    <t>204-18</t>
  </si>
  <si>
    <t>202-18</t>
  </si>
  <si>
    <t>52-18</t>
  </si>
  <si>
    <t>206-18</t>
  </si>
  <si>
    <t>67-18</t>
  </si>
  <si>
    <t>212-18</t>
  </si>
  <si>
    <t>216-18</t>
  </si>
  <si>
    <t>218-18</t>
  </si>
  <si>
    <t>101-18</t>
  </si>
  <si>
    <t>204:744</t>
  </si>
  <si>
    <t>204:233316</t>
  </si>
  <si>
    <t>102-18</t>
  </si>
  <si>
    <t>204:232667</t>
  </si>
  <si>
    <t>204:223456</t>
  </si>
  <si>
    <t>103-18</t>
  </si>
  <si>
    <t>204:732</t>
  </si>
  <si>
    <t>104-18</t>
  </si>
  <si>
    <t>204:232654</t>
  </si>
  <si>
    <t>105-18</t>
  </si>
  <si>
    <t>204:721</t>
  </si>
  <si>
    <t>204:232644</t>
  </si>
  <si>
    <t>107-18</t>
  </si>
  <si>
    <t>109-18</t>
  </si>
  <si>
    <t>110-18</t>
  </si>
  <si>
    <t>204:232988</t>
  </si>
  <si>
    <t>111-18</t>
  </si>
  <si>
    <t>204:19118</t>
  </si>
  <si>
    <t>112-18</t>
  </si>
  <si>
    <t>113-18</t>
  </si>
  <si>
    <t>114-18</t>
  </si>
  <si>
    <t>115-18</t>
  </si>
  <si>
    <t>204:233287</t>
  </si>
  <si>
    <t>116-18</t>
  </si>
  <si>
    <t>117-18</t>
  </si>
  <si>
    <t>204:37193</t>
  </si>
  <si>
    <t>118-18</t>
  </si>
  <si>
    <t>119-18</t>
  </si>
  <si>
    <t>204:757</t>
  </si>
  <si>
    <t>124-18</t>
  </si>
  <si>
    <t>127-18</t>
  </si>
  <si>
    <t>128-18</t>
  </si>
  <si>
    <t>131-18</t>
  </si>
  <si>
    <t>132-18</t>
  </si>
  <si>
    <t>133-18</t>
  </si>
  <si>
    <t>204:233297</t>
  </si>
  <si>
    <t>134-18</t>
  </si>
  <si>
    <t>204:121</t>
  </si>
  <si>
    <t>135-18</t>
  </si>
  <si>
    <t>136-18</t>
  </si>
  <si>
    <t>204:169</t>
  </si>
  <si>
    <t>137-18</t>
  </si>
  <si>
    <t>138-18</t>
  </si>
  <si>
    <t>139-18</t>
  </si>
  <si>
    <t>140-18</t>
  </si>
  <si>
    <t>141-18</t>
  </si>
  <si>
    <t>142-18</t>
  </si>
  <si>
    <t>204:232978</t>
  </si>
  <si>
    <t>144-18</t>
  </si>
  <si>
    <t>204:1164</t>
  </si>
  <si>
    <t>204:233324</t>
  </si>
  <si>
    <t>146-18</t>
  </si>
  <si>
    <t>148-18</t>
  </si>
  <si>
    <t>149-18</t>
  </si>
  <si>
    <t>204:233266</t>
  </si>
  <si>
    <t>150-18</t>
  </si>
  <si>
    <t>151-18</t>
  </si>
  <si>
    <t>152-18</t>
  </si>
  <si>
    <t>154-18</t>
  </si>
  <si>
    <t>155-18</t>
  </si>
  <si>
    <t>204:160</t>
  </si>
  <si>
    <t>157-18</t>
  </si>
  <si>
    <t>204:1481</t>
  </si>
  <si>
    <t>158-18</t>
  </si>
  <si>
    <t>204:233332</t>
  </si>
  <si>
    <t>160-18</t>
  </si>
  <si>
    <t>204:233017</t>
  </si>
  <si>
    <t>161-18</t>
  </si>
  <si>
    <t>204:19133</t>
  </si>
  <si>
    <t>204:1138</t>
  </si>
  <si>
    <t>162-18</t>
  </si>
  <si>
    <t>204:233331</t>
  </si>
  <si>
    <t>164-18</t>
  </si>
  <si>
    <t>165-18</t>
  </si>
  <si>
    <t>204:233000</t>
  </si>
  <si>
    <t>167-18</t>
  </si>
  <si>
    <t>168-18</t>
  </si>
  <si>
    <t>169-18</t>
  </si>
  <si>
    <t>204:233293</t>
  </si>
  <si>
    <t>170-18</t>
  </si>
  <si>
    <t>171-18</t>
  </si>
  <si>
    <t>172-18</t>
  </si>
  <si>
    <t>173-18</t>
  </si>
  <si>
    <t>174-18</t>
  </si>
  <si>
    <t>204:233276</t>
  </si>
  <si>
    <t>204:191</t>
  </si>
  <si>
    <t>177-18</t>
  </si>
  <si>
    <t>178-18</t>
  </si>
  <si>
    <t>179-18</t>
  </si>
  <si>
    <t>204:233355</t>
  </si>
  <si>
    <t>180-18</t>
  </si>
  <si>
    <t>204:233030</t>
  </si>
  <si>
    <t>204:139</t>
  </si>
  <si>
    <t>181-18</t>
  </si>
  <si>
    <t>204:203</t>
  </si>
  <si>
    <t>183-18</t>
  </si>
  <si>
    <t>184-18</t>
  </si>
  <si>
    <t>204:232976</t>
  </si>
  <si>
    <t>185-18</t>
  </si>
  <si>
    <t>204:233284</t>
  </si>
  <si>
    <t>186-18</t>
  </si>
  <si>
    <t>204:232950</t>
  </si>
  <si>
    <t>204:438</t>
  </si>
  <si>
    <t>188-18</t>
  </si>
  <si>
    <t>204:18757</t>
  </si>
  <si>
    <t>189-18</t>
  </si>
  <si>
    <t>204:520</t>
  </si>
  <si>
    <t>204:233336</t>
  </si>
  <si>
    <t>192-18</t>
  </si>
  <si>
    <t>204:233023</t>
  </si>
  <si>
    <t>193-18</t>
  </si>
  <si>
    <t>194-18</t>
  </si>
  <si>
    <t>195-18</t>
  </si>
  <si>
    <t>204:497</t>
  </si>
  <si>
    <t>196-18</t>
  </si>
  <si>
    <t>204:118</t>
  </si>
  <si>
    <t>197-18</t>
  </si>
  <si>
    <t>204:484</t>
  </si>
  <si>
    <t>198-18</t>
  </si>
  <si>
    <t>199-18</t>
  </si>
  <si>
    <t>204:431</t>
  </si>
  <si>
    <t>200-18</t>
  </si>
  <si>
    <t>204:232970</t>
  </si>
  <si>
    <t>201-18</t>
  </si>
  <si>
    <t>204:429</t>
  </si>
  <si>
    <t>204:233003</t>
  </si>
  <si>
    <t>203-18</t>
  </si>
  <si>
    <t>205-18</t>
  </si>
  <si>
    <t>204:420</t>
  </si>
  <si>
    <t>204:178</t>
  </si>
  <si>
    <t>207-18</t>
  </si>
  <si>
    <t>204:233349</t>
  </si>
  <si>
    <t>208-18</t>
  </si>
  <si>
    <t>204:233040</t>
  </si>
  <si>
    <t>209-18</t>
  </si>
  <si>
    <t>204:426</t>
  </si>
  <si>
    <t>210-18</t>
  </si>
  <si>
    <t>204:232938</t>
  </si>
  <si>
    <t>211-18</t>
  </si>
  <si>
    <t>204:233323</t>
  </si>
  <si>
    <t>204:233002</t>
  </si>
  <si>
    <t>204:247</t>
  </si>
  <si>
    <t>213-18</t>
  </si>
  <si>
    <t>214-18</t>
  </si>
  <si>
    <t>215-18</t>
  </si>
  <si>
    <t>204:155065</t>
  </si>
  <si>
    <t>204:130</t>
  </si>
  <si>
    <t>217-18</t>
  </si>
  <si>
    <t>204:233001</t>
  </si>
  <si>
    <t>219-18</t>
  </si>
  <si>
    <t>220-18</t>
  </si>
  <si>
    <t>221-18</t>
  </si>
  <si>
    <t>204:498</t>
  </si>
  <si>
    <t>204:233317</t>
  </si>
  <si>
    <t>222-18</t>
  </si>
  <si>
    <t>204:187</t>
  </si>
  <si>
    <t>223-18</t>
  </si>
  <si>
    <t>224-18</t>
  </si>
  <si>
    <t>225-18</t>
  </si>
  <si>
    <t>226-18</t>
  </si>
  <si>
    <t>227-18</t>
  </si>
  <si>
    <t>204:233283</t>
  </si>
  <si>
    <t>228-18</t>
  </si>
  <si>
    <t>229-18</t>
  </si>
  <si>
    <t>204:233274</t>
  </si>
  <si>
    <t>230-18</t>
  </si>
  <si>
    <t>204:232947</t>
  </si>
  <si>
    <t>231-18</t>
  </si>
  <si>
    <t>232-18</t>
  </si>
  <si>
    <t>233-18</t>
  </si>
  <si>
    <t>234-18</t>
  </si>
  <si>
    <t>235-18</t>
  </si>
  <si>
    <t>204:526</t>
  </si>
  <si>
    <t>236-18</t>
  </si>
  <si>
    <t>204:181</t>
  </si>
  <si>
    <t>237-18</t>
  </si>
  <si>
    <t>238-18</t>
  </si>
  <si>
    <t>239-18</t>
  </si>
  <si>
    <t>240-18</t>
  </si>
  <si>
    <t>204:232955</t>
  </si>
  <si>
    <t>241-18</t>
  </si>
  <si>
    <t>242-18</t>
  </si>
  <si>
    <t>243-18</t>
  </si>
  <si>
    <t>302-18</t>
  </si>
  <si>
    <t>300:22546</t>
  </si>
  <si>
    <t>204:123</t>
  </si>
  <si>
    <t>303-18</t>
  </si>
  <si>
    <t>304-18</t>
  </si>
  <si>
    <t>300:22049</t>
  </si>
  <si>
    <t>307-18</t>
  </si>
  <si>
    <t>309-18</t>
  </si>
  <si>
    <t>300:23108</t>
  </si>
  <si>
    <t>311-18</t>
  </si>
  <si>
    <t>300:23308</t>
  </si>
  <si>
    <t>313-18</t>
  </si>
  <si>
    <t>300:22240</t>
  </si>
  <si>
    <t>315-18</t>
  </si>
  <si>
    <t>300:22644</t>
  </si>
  <si>
    <t>300:22074</t>
  </si>
  <si>
    <t>204:148</t>
  </si>
  <si>
    <t>204:1486</t>
  </si>
  <si>
    <t>300:23299</t>
  </si>
  <si>
    <t>800-18</t>
  </si>
  <si>
    <t>300:58634</t>
  </si>
  <si>
    <t>204:796</t>
  </si>
  <si>
    <t>801-18</t>
  </si>
  <si>
    <t>204:1062</t>
  </si>
  <si>
    <t>300:58943</t>
  </si>
  <si>
    <t>802-18</t>
  </si>
  <si>
    <t>204:764</t>
  </si>
  <si>
    <t>803-18</t>
  </si>
  <si>
    <t>204:399</t>
  </si>
  <si>
    <t>804-18</t>
  </si>
  <si>
    <t>204:656</t>
  </si>
  <si>
    <t>805-18</t>
  </si>
  <si>
    <t>204:1069</t>
  </si>
  <si>
    <t>300:58643</t>
  </si>
  <si>
    <t>204:734</t>
  </si>
  <si>
    <t>204:955</t>
  </si>
  <si>
    <t>300:58911</t>
  </si>
  <si>
    <t>300:58594</t>
  </si>
  <si>
    <t>204:715</t>
  </si>
  <si>
    <t>809-18</t>
  </si>
  <si>
    <t>204:1025</t>
  </si>
  <si>
    <t>300:58950</t>
  </si>
  <si>
    <t>810-18</t>
  </si>
  <si>
    <t>300:58628</t>
  </si>
  <si>
    <t>204:824</t>
  </si>
  <si>
    <t>204:1000</t>
  </si>
  <si>
    <t>300:58897</t>
  </si>
  <si>
    <t>812-18</t>
  </si>
  <si>
    <t>300:58572</t>
  </si>
  <si>
    <t>204:682</t>
  </si>
  <si>
    <t>813-18</t>
  </si>
  <si>
    <t>204:983</t>
  </si>
  <si>
    <t>300:58888</t>
  </si>
  <si>
    <t>814-18</t>
  </si>
  <si>
    <t>204:698</t>
  </si>
  <si>
    <t>815-18</t>
  </si>
  <si>
    <t>300:58965</t>
  </si>
  <si>
    <t>816-18</t>
  </si>
  <si>
    <t>300:58653</t>
  </si>
  <si>
    <t>204:684</t>
  </si>
  <si>
    <t>204:992</t>
  </si>
  <si>
    <t>300:59014</t>
  </si>
  <si>
    <t>300:58696</t>
  </si>
  <si>
    <t>204:713</t>
  </si>
  <si>
    <t>819-18</t>
  </si>
  <si>
    <t>204:1007</t>
  </si>
  <si>
    <t>300:58952</t>
  </si>
  <si>
    <t>204:705</t>
  </si>
  <si>
    <t>821-18</t>
  </si>
  <si>
    <t>204:988</t>
  </si>
  <si>
    <t>300:58992</t>
  </si>
  <si>
    <t>822-18</t>
  </si>
  <si>
    <t>300:58677</t>
  </si>
  <si>
    <t>204:836</t>
  </si>
  <si>
    <t>823-18</t>
  </si>
  <si>
    <t>204:1130</t>
  </si>
  <si>
    <t>824-18</t>
  </si>
  <si>
    <t>825-18</t>
  </si>
  <si>
    <t>204:1028</t>
  </si>
  <si>
    <t>300:58984</t>
  </si>
  <si>
    <t>826-18</t>
  </si>
  <si>
    <t>204:703</t>
  </si>
  <si>
    <t>829-18</t>
  </si>
  <si>
    <t>204:1044</t>
  </si>
  <si>
    <t>830-18</t>
  </si>
  <si>
    <t>204:769</t>
  </si>
  <si>
    <t>831-18</t>
  </si>
  <si>
    <t>300:58912</t>
  </si>
  <si>
    <t>204:740</t>
  </si>
  <si>
    <t>833-18</t>
  </si>
  <si>
    <t>204:1067</t>
  </si>
  <si>
    <t>300:58971</t>
  </si>
  <si>
    <t>834-18</t>
  </si>
  <si>
    <t>300:58656</t>
  </si>
  <si>
    <t>204:761</t>
  </si>
  <si>
    <t>835-18</t>
  </si>
  <si>
    <t>836-18</t>
  </si>
  <si>
    <t>204:691</t>
  </si>
  <si>
    <t>837-18</t>
  </si>
  <si>
    <t>204:1030</t>
  </si>
  <si>
    <t>838-18</t>
  </si>
  <si>
    <t>204:745</t>
  </si>
  <si>
    <t>839-18</t>
  </si>
  <si>
    <t>300:58903</t>
  </si>
  <si>
    <t>840-18</t>
  </si>
  <si>
    <t>300:58655</t>
  </si>
  <si>
    <t>204:733</t>
  </si>
  <si>
    <t>841-18</t>
  </si>
  <si>
    <t>204:1037</t>
  </si>
  <si>
    <t>300:58969</t>
  </si>
  <si>
    <t>842-18</t>
  </si>
  <si>
    <t>204:755</t>
  </si>
  <si>
    <t>843-18</t>
  </si>
  <si>
    <t>204:1034</t>
  </si>
  <si>
    <t>844-18</t>
  </si>
  <si>
    <t>204:701</t>
  </si>
  <si>
    <t>845-18</t>
  </si>
  <si>
    <t>204:1053</t>
  </si>
  <si>
    <t>300:58918</t>
  </si>
  <si>
    <t>847-18</t>
  </si>
  <si>
    <t>904-18</t>
  </si>
  <si>
    <t>300:23525</t>
  </si>
  <si>
    <t>204:650</t>
  </si>
  <si>
    <t>906-18</t>
  </si>
  <si>
    <t>300:58585</t>
  </si>
  <si>
    <t>300:28788</t>
  </si>
  <si>
    <t>908-18</t>
  </si>
  <si>
    <t>300:58583</t>
  </si>
  <si>
    <t>300:21613</t>
  </si>
  <si>
    <t>MALAVE</t>
  </si>
  <si>
    <t>GEBRETEKLE</t>
  </si>
  <si>
    <t>GRASTON</t>
  </si>
  <si>
    <t>SANTIZO</t>
  </si>
  <si>
    <t>HAITHCOX</t>
  </si>
  <si>
    <t>NEWELL</t>
  </si>
  <si>
    <t>305-18</t>
  </si>
  <si>
    <t>GOLIGHTLY</t>
  </si>
  <si>
    <t>244-18</t>
  </si>
  <si>
    <t>78th 4S stuck at STOP</t>
  </si>
  <si>
    <t>TMDS sent repeated consist updates</t>
  </si>
  <si>
    <t>Cut out at 38th? No other issues found</t>
  </si>
  <si>
    <t>DUS 2N - No clear controls sent by dispatcher, signal cleared after cut out</t>
  </si>
  <si>
    <t>40th 4S was stop, signal cleared a minute later</t>
  </si>
  <si>
    <t>Pena 4S was stop, signal cleared a minute later</t>
  </si>
  <si>
    <t>http://stevetu21.github.io/eaglep3/load_kml.html?kml=http://rtdc.gmaps-snips.s3.amazonaws.com/dda9ad0c-0e47-47ed-86bf-3a295e13bff9.kml</t>
  </si>
  <si>
    <t>http://stevetu21.github.io/eaglep3/load_kml.html?kml=http://rtdc.gmaps-snips.s3.amazonaws.com/bc1023fc-16a0-4a03-bc89-8e6d85cdb92a.kml</t>
  </si>
  <si>
    <t>http://stevetu21.github.io/eaglep3/load_kml.html?kml=http://rtdc.gmaps-snips.s3.amazonaws.com/80ad45ce-5bb4-4e18-9eb0-890428840e36.kml</t>
  </si>
  <si>
    <t>Wi-MAX outage at ML1678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</si>
</sst>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2"/>
  <sheetViews>
    <sheetView tabSelected="1" zoomScaleNormal="100" workbookViewId="0">
      <selection activeCell="AF20" sqref="AF20"/>
    </sheetView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3" customWidth="1"/>
    <col min="22" max="22" width="5.7109375" style="109" customWidth="1"/>
    <col min="23" max="23" width="3.85546875" style="23" customWidth="1"/>
    <col min="24" max="24" width="5.28515625" style="127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2" customWidth="1"/>
    <col min="32" max="32" width="6.28515625" style="99" customWidth="1"/>
    <col min="33" max="33" width="5.42578125" customWidth="1"/>
    <col min="34" max="34" width="5" style="105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128</v>
      </c>
      <c r="J1" s="44"/>
      <c r="K1" s="31"/>
      <c r="L1" s="31"/>
      <c r="M1" s="43"/>
      <c r="N1" s="44"/>
      <c r="O1" s="2"/>
      <c r="P1" s="2"/>
      <c r="R1" s="41" t="s">
        <v>129</v>
      </c>
      <c r="S1" s="44"/>
      <c r="T1" s="31"/>
      <c r="U1" s="130"/>
      <c r="V1" s="43"/>
      <c r="W1" s="44"/>
      <c r="X1" s="123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3">
        <f>Variables!$A$2</f>
        <v>42600</v>
      </c>
      <c r="J2" s="84"/>
      <c r="K2" s="85"/>
      <c r="L2" s="85"/>
      <c r="M2" s="86" t="s">
        <v>8</v>
      </c>
      <c r="N2" s="87"/>
      <c r="O2" s="88"/>
      <c r="P2" s="2"/>
      <c r="R2" s="83">
        <f>Variables!$A$2</f>
        <v>42600</v>
      </c>
      <c r="S2" s="84"/>
      <c r="T2" s="85"/>
      <c r="U2" s="131"/>
      <c r="V2" s="107" t="s">
        <v>8</v>
      </c>
      <c r="W2" s="87"/>
      <c r="X2" s="124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9" t="s">
        <v>10</v>
      </c>
      <c r="J3" s="90"/>
      <c r="K3" s="91"/>
      <c r="L3" s="91"/>
      <c r="M3" s="45" t="s">
        <v>11</v>
      </c>
      <c r="N3" s="46" t="s">
        <v>12</v>
      </c>
      <c r="O3" s="3" t="s">
        <v>13</v>
      </c>
      <c r="P3" s="2"/>
      <c r="R3" s="89" t="s">
        <v>10</v>
      </c>
      <c r="S3" s="90"/>
      <c r="T3" s="91"/>
      <c r="U3" s="132"/>
      <c r="V3" s="45" t="s">
        <v>11</v>
      </c>
      <c r="W3" s="46" t="s">
        <v>12</v>
      </c>
      <c r="X3" s="125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2" t="s">
        <v>14</v>
      </c>
      <c r="J4" s="58">
        <f>SUM(J5:J7)</f>
        <v>144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2" t="s">
        <v>14</v>
      </c>
      <c r="S4" s="58">
        <f>SUM(S5:S7)</f>
        <v>47</v>
      </c>
      <c r="T4" s="47"/>
      <c r="U4" s="133"/>
      <c r="V4" s="48" t="s">
        <v>15</v>
      </c>
      <c r="W4" s="46" t="s">
        <v>15</v>
      </c>
      <c r="X4" s="125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2" t="s">
        <v>17</v>
      </c>
      <c r="J5" s="58">
        <f>COUNTIFS($N$13:$N$9377,"&gt;0",$AG$13:$AG$9377,I1)</f>
        <v>137</v>
      </c>
      <c r="K5" s="47"/>
      <c r="L5" s="47"/>
      <c r="M5" s="48">
        <f>AVERAGEIFS($N$13:$N$9377,$AG$13:$AG$9377,I1)</f>
        <v>44.828588807255194</v>
      </c>
      <c r="N5" s="46">
        <f t="array" ref="N5">MIN(IF($AG$13:$AG$9377=I1,IF(ISNUMBER($N$13:$N$9377),IF($N$13:$N$9377&gt;0,$N$13:$N$9377))))</f>
        <v>35.66666666418314</v>
      </c>
      <c r="O5" s="3">
        <f t="array" ref="O5">MAX(IF($AG$13:$AG$9377=I1,IF(ISNUMBER($N$13:$N$9377),IF($N$13:$N$9377&gt;0,$N$13:$N$9377))))</f>
        <v>65.650000007590279</v>
      </c>
      <c r="P5" s="2"/>
      <c r="R5" s="92" t="s">
        <v>17</v>
      </c>
      <c r="S5" s="58">
        <f>COUNTIFS($N$13:$N$9377,"&gt;0",$AG$13:$AG$9377,R1)</f>
        <v>47</v>
      </c>
      <c r="T5" s="47"/>
      <c r="U5" s="133"/>
      <c r="V5" s="48">
        <f>AVERAGEIFS($N$13:$N$9377,$AG$13:$AG$9377,R1)</f>
        <v>20.108865248361365</v>
      </c>
      <c r="W5" s="46">
        <f t="array" ref="W5">MIN(IF($AG$13:$AG$9377=R1,IF(ISNUMBER($N$13:$N$9377),IF($N$13:$N$9377&gt;0,$N$13:$N$9377))))</f>
        <v>14.016666663810611</v>
      </c>
      <c r="X5" s="125">
        <f t="array" ref="X5">MAX(IF($AG$13:$AG$9377=R1,IF(ISNUMBER($N$13:$N$9377),IF($N$13:$N$9377&gt;0,$N$13:$N$9377))))</f>
        <v>38.683333334047347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3" t="s">
        <v>43</v>
      </c>
      <c r="J6" s="58">
        <f>COUNT($O$13:$O$128)</f>
        <v>0</v>
      </c>
      <c r="K6" s="47"/>
      <c r="L6" s="47"/>
      <c r="M6" s="48">
        <f>IFERROR(AVERAGE($O$13:$O$128),0)</f>
        <v>0</v>
      </c>
      <c r="N6" s="46">
        <f>MIN($O$13:$O$128)</f>
        <v>0</v>
      </c>
      <c r="O6" s="3">
        <f>MAX($O$13:$O$128)</f>
        <v>0</v>
      </c>
      <c r="P6" s="2"/>
      <c r="R6" s="93" t="s">
        <v>43</v>
      </c>
      <c r="S6" s="58">
        <f>COUNT($O$13:$O$128)</f>
        <v>0</v>
      </c>
      <c r="T6" s="47"/>
      <c r="U6" s="133"/>
      <c r="V6" s="48">
        <f>IFERROR(AVERAGE($O$13:$O$128),0)</f>
        <v>0</v>
      </c>
      <c r="W6" s="46">
        <f>MIN($O$13:$O$128)</f>
        <v>0</v>
      </c>
      <c r="X6" s="125">
        <f>MAX($O$13:$O$128)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4" t="s">
        <v>9</v>
      </c>
      <c r="J7" s="58">
        <f>COUNTIFS($P$13:$P$9377,"&gt;0",$AG$13:$AG$9377,I1)</f>
        <v>7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4" t="s">
        <v>9</v>
      </c>
      <c r="S7" s="58">
        <f>COUNTIFS($P$13:$P$9377,"&gt;0",$AG$13:$AG$9377,R1)</f>
        <v>0</v>
      </c>
      <c r="T7" s="47"/>
      <c r="U7" s="133"/>
      <c r="V7" s="48" t="s">
        <v>15</v>
      </c>
      <c r="W7" s="46" t="s">
        <v>15</v>
      </c>
      <c r="X7" s="125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2" t="s">
        <v>16</v>
      </c>
      <c r="J8" s="58">
        <f>J5</f>
        <v>137</v>
      </c>
      <c r="K8" s="47"/>
      <c r="L8" s="47"/>
      <c r="M8" s="48">
        <f>M5</f>
        <v>44.828588807255194</v>
      </c>
      <c r="N8" s="46">
        <f>N5</f>
        <v>35.66666666418314</v>
      </c>
      <c r="O8" s="3">
        <f>O5</f>
        <v>65.650000007590279</v>
      </c>
      <c r="P8" s="2"/>
      <c r="R8" s="92" t="s">
        <v>16</v>
      </c>
      <c r="S8" s="58">
        <f>S5</f>
        <v>47</v>
      </c>
      <c r="T8" s="47"/>
      <c r="U8" s="133"/>
      <c r="V8" s="48">
        <f>V5</f>
        <v>20.108865248361365</v>
      </c>
      <c r="W8" s="46">
        <f>W5</f>
        <v>14.016666663810611</v>
      </c>
      <c r="X8" s="125">
        <f>X5</f>
        <v>38.683333334047347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2" t="s">
        <v>19</v>
      </c>
      <c r="J9" s="72">
        <f>J8/J4</f>
        <v>0.95138888888888884</v>
      </c>
      <c r="K9" s="49"/>
      <c r="L9" s="49"/>
      <c r="M9" s="95"/>
      <c r="N9" s="44"/>
      <c r="O9" s="96"/>
      <c r="P9" s="2"/>
      <c r="R9" s="92" t="s">
        <v>19</v>
      </c>
      <c r="S9" s="72">
        <f>S8/S4</f>
        <v>1</v>
      </c>
      <c r="T9" s="49"/>
      <c r="U9" s="130"/>
      <c r="V9" s="95"/>
      <c r="W9" s="44"/>
      <c r="X9" s="126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3"/>
      <c r="V10" s="108"/>
      <c r="W10" s="23"/>
      <c r="X10" s="127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50" t="str">
        <f>"Eagle P3 System Performance - "&amp;TEXT(Variables!A2,"yyyy-mm-dd")</f>
        <v>Eagle P3 System Performance - 2016-08-18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S11" s="76">
        <f>AVERAGE(S13:S86)</f>
        <v>0.97602739726027399</v>
      </c>
      <c r="V11" s="108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8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71</v>
      </c>
      <c r="T12" s="57" t="s">
        <v>72</v>
      </c>
      <c r="U12" s="134" t="s">
        <v>73</v>
      </c>
      <c r="V12" s="110" t="s">
        <v>45</v>
      </c>
      <c r="W12" s="54" t="s">
        <v>23</v>
      </c>
      <c r="X12" s="128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97</v>
      </c>
      <c r="AE12" s="103" t="s">
        <v>104</v>
      </c>
      <c r="AF12" s="100" t="s">
        <v>109</v>
      </c>
      <c r="AG12" s="4" t="s">
        <v>130</v>
      </c>
      <c r="AH12" s="106" t="s">
        <v>134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359</v>
      </c>
      <c r="B13" s="7">
        <v>4025</v>
      </c>
      <c r="C13" s="25" t="s">
        <v>118</v>
      </c>
      <c r="D13" s="25" t="s">
        <v>360</v>
      </c>
      <c r="E13" s="16">
        <v>42600.132986111108</v>
      </c>
      <c r="F13" s="16">
        <v>42600.134189814817</v>
      </c>
      <c r="G13" s="7">
        <v>1</v>
      </c>
      <c r="H13" s="16" t="s">
        <v>361</v>
      </c>
      <c r="I13" s="16">
        <v>42600.16846064815</v>
      </c>
      <c r="J13" s="7">
        <v>0</v>
      </c>
      <c r="K13" s="142" t="str">
        <f t="shared" ref="K13:K76" si="0">IF(ISEVEN(B13),(B13-1)&amp;"/"&amp;B13,B13&amp;"/"&amp;(B13+1))</f>
        <v>4025/4026</v>
      </c>
      <c r="L13" s="25" t="str">
        <f>VLOOKUP(A13,'Trips&amp;Operators'!$C$1:$E$10000,3,FALSE)</f>
        <v>MAELZER</v>
      </c>
      <c r="M13" s="6">
        <f t="shared" ref="M13:M76" si="1">I13-F13</f>
        <v>3.4270833333721384E-2</v>
      </c>
      <c r="N13" s="7">
        <f>24*60*SUM($M13:$M13)</f>
        <v>49.350000000558794</v>
      </c>
      <c r="O13" s="7"/>
      <c r="P13" s="7"/>
      <c r="Q13" s="26"/>
      <c r="R13" s="26"/>
      <c r="S13" s="38">
        <f t="shared" ref="S13:S44" si="2">SUM(U13:U13)/IF(AG13="EC",12,1)</f>
        <v>1</v>
      </c>
      <c r="T13" s="53" t="str">
        <f t="shared" ref="T13:T76" si="3">IF(ISEVEN(LEFT(AD13,4)),"Southbound","NorthBound")</f>
        <v>NorthBound</v>
      </c>
      <c r="U13" s="13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1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https://search-rtdc-monitor-bjffxe2xuh6vdkpspy63sjmuny.us-east-1.es.amazonaws.com/_plugin/kibana/#/discover/Steve-Slow-Train-Analysis-(2080s-and-2083s)?_g=(refreshInterval:(display:Off,section:0,value:0),time:(from:'2016-08-18 02:11:30-0600',mode:absolute,to:'2016-08-18 05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" s="55" t="str">
        <f t="shared" ref="W13:W76" si="5">IF(AA13&lt;IF(AG13="EC",23,5.65),"Y","N")</f>
        <v>N</v>
      </c>
      <c r="X13" s="129" t="e">
        <f t="shared" ref="X13:X44" si="6">VALUE(LEFT(AD13,4))-VALUE(LEFT(AD12,4))</f>
        <v>#VALUE!</v>
      </c>
      <c r="Y13" s="70">
        <f t="shared" ref="Y13:Y76" si="7">RIGHT(D13,LEN(D13)-4)/10000</f>
        <v>7.4399999999999994E-2</v>
      </c>
      <c r="Z13" s="70">
        <f t="shared" ref="Z13:Z76" si="8">RIGHT(H13,LEN(H13)-4)/10000</f>
        <v>23.331600000000002</v>
      </c>
      <c r="AA13" s="70">
        <f t="shared" ref="AA13:AA76" si="9">ABS(Z13-Y13)</f>
        <v>23.257200000000001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 t="shared" ref="AD13:AD76" si="10">IF(LEN(A13)=6,"0"&amp;A13,A13)</f>
        <v>0101-18</v>
      </c>
      <c r="AE13" s="104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13" s="101" t="str">
        <f t="shared" ref="AF13:AF76" si="12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/stypes="*4025*20160818*" /stext=" 10:.+((SYSTEM_STATE.+slice.+state.+changed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105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101-18 --locoid 4025 --swversion DE.1.0.7.0 --startMP 204:744 --initTime 2016-08-18T03:11:30 --startdatetime 2016-08-18T03:13:14 --delay 1 --endMP 204:233316 --enddatetime 2016-08-18T04:02:35 --enforcementcount 0</v>
      </c>
    </row>
    <row r="14" spans="1:91" s="1" customFormat="1" x14ac:dyDescent="0.25">
      <c r="A14" s="40" t="s">
        <v>362</v>
      </c>
      <c r="B14" s="7">
        <v>4037</v>
      </c>
      <c r="C14" s="25" t="s">
        <v>118</v>
      </c>
      <c r="D14" s="25" t="s">
        <v>363</v>
      </c>
      <c r="E14" s="16">
        <v>42600.168368055558</v>
      </c>
      <c r="F14" s="16">
        <v>42600.169166666667</v>
      </c>
      <c r="G14" s="7">
        <v>1</v>
      </c>
      <c r="H14" s="16" t="s">
        <v>364</v>
      </c>
      <c r="I14" s="16">
        <v>42600.178391203706</v>
      </c>
      <c r="J14" s="7">
        <v>0</v>
      </c>
      <c r="K14" s="142" t="str">
        <f t="shared" si="0"/>
        <v>4037/4038</v>
      </c>
      <c r="L14" s="25" t="str">
        <f>VLOOKUP(A14,'Trips&amp;Operators'!$C$1:$E$10000,3,FALSE)</f>
        <v>MAELZER</v>
      </c>
      <c r="M14" s="6">
        <f t="shared" si="1"/>
        <v>9.2245370396994986E-3</v>
      </c>
      <c r="N14" s="7"/>
      <c r="O14" s="7"/>
      <c r="P14" s="7">
        <f>24*60*SUM($M14:$M14)</f>
        <v>13.283333337167278</v>
      </c>
      <c r="Q14" s="26"/>
      <c r="R14" s="26" t="s">
        <v>681</v>
      </c>
      <c r="S14" s="38">
        <f t="shared" si="2"/>
        <v>0</v>
      </c>
      <c r="T14" s="53" t="str">
        <f t="shared" si="3"/>
        <v>Southbound</v>
      </c>
      <c r="U14" s="13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03:02:27-0600',mode:absolute,to:'2016-08-18 05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" s="55" t="str">
        <f t="shared" si="5"/>
        <v>Y</v>
      </c>
      <c r="X14" s="129">
        <f t="shared" si="6"/>
        <v>1</v>
      </c>
      <c r="Y14" s="70">
        <f t="shared" si="7"/>
        <v>23.2667</v>
      </c>
      <c r="Z14" s="70">
        <f t="shared" si="8"/>
        <v>22.345600000000001</v>
      </c>
      <c r="AA14" s="70">
        <f t="shared" si="9"/>
        <v>0.92109999999999914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si="10"/>
        <v>0102-18</v>
      </c>
      <c r="AE14" s="104" t="str">
        <f t="shared" si="11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14" s="101" t="str">
        <f t="shared" si="12"/>
        <v>"C:\Program Files (x86)\AstroGrep\AstroGrep.exe" /spath="%USERPROFILE%\AppData\Local\Temp\OnboardLogs" /stypes="*4037*20160818*"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5" t="str">
        <f t="shared" ref="AH14:AH76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102-18 --locoid 4037 --swversion DE.1.0.7.0 --startMP 204:232667 --initTime 2016-08-18T04:02:27 --startdatetime 2016-08-18T04:03:36 --delay 1 --endMP 204:223456 --enddatetime 2016-08-18T04:16:53 --enforcementcount 0</v>
      </c>
    </row>
    <row r="15" spans="1:91" s="1" customFormat="1" x14ac:dyDescent="0.25">
      <c r="A15" s="40" t="s">
        <v>365</v>
      </c>
      <c r="B15" s="7">
        <v>4042</v>
      </c>
      <c r="C15" s="25" t="s">
        <v>118</v>
      </c>
      <c r="D15" s="25" t="s">
        <v>366</v>
      </c>
      <c r="E15" s="16">
        <v>42600.156504629631</v>
      </c>
      <c r="F15" s="16">
        <v>42600.157627314817</v>
      </c>
      <c r="G15" s="7">
        <v>1</v>
      </c>
      <c r="H15" s="16" t="s">
        <v>146</v>
      </c>
      <c r="I15" s="16">
        <v>42600.185277777775</v>
      </c>
      <c r="J15" s="7">
        <v>0</v>
      </c>
      <c r="K15" s="142" t="str">
        <f t="shared" si="0"/>
        <v>4041/4042</v>
      </c>
      <c r="L15" s="25" t="str">
        <f>VLOOKUP(A15,'Trips&amp;Operators'!$C$1:$E$10000,3,FALSE)</f>
        <v>SPECTOR</v>
      </c>
      <c r="M15" s="6">
        <f t="shared" si="1"/>
        <v>2.7650462958263233E-2</v>
      </c>
      <c r="N15" s="7">
        <f t="shared" ref="N15:N22" si="16">24*60*SUM($M15:$M15)</f>
        <v>39.816666659899056</v>
      </c>
      <c r="O15" s="7"/>
      <c r="P15" s="7"/>
      <c r="Q15" s="26"/>
      <c r="R15" s="26"/>
      <c r="S15" s="38">
        <f t="shared" si="2"/>
        <v>1</v>
      </c>
      <c r="T15" s="53" t="str">
        <f t="shared" si="3"/>
        <v>NorthBound</v>
      </c>
      <c r="U15" s="13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02:45:22-0600',mode:absolute,to:'2016-08-18 05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" s="55" t="str">
        <f t="shared" si="5"/>
        <v>N</v>
      </c>
      <c r="X15" s="129">
        <f t="shared" si="6"/>
        <v>1</v>
      </c>
      <c r="Y15" s="70">
        <f t="shared" si="7"/>
        <v>7.3200000000000001E-2</v>
      </c>
      <c r="Z15" s="70">
        <f t="shared" si="8"/>
        <v>23.331199999999999</v>
      </c>
      <c r="AA15" s="70">
        <f t="shared" si="9"/>
        <v>23.257999999999999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 t="shared" si="10"/>
        <v>0103-18</v>
      </c>
      <c r="AE15" s="104" t="str">
        <f t="shared" si="11"/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AF15" s="101" t="str">
        <f t="shared" si="12"/>
        <v>"C:\Program Files (x86)\AstroGrep\AstroGrep.exe" /spath="%USERPROFILE%\AppData\Local\Temp\OnboardLogs" /stypes="*4042*20160818*"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5" t="str">
        <f t="shared" si="15"/>
        <v>"%USERPROFILE%\Documents\GitHub\eaglep3\Utilities\RefineRTDCRunTimes.py" --tripid 103-18 --locoid 4042 --swversion DE.1.0.7.0 --startMP 204:732 --initTime 2016-08-18T03:45:22 --startdatetime 2016-08-18T03:46:59 --delay 1 --endMP 204:233312 --enddatetime 2016-08-18T04:26:48 --enforcementcount 0</v>
      </c>
    </row>
    <row r="16" spans="1:91" s="1" customFormat="1" x14ac:dyDescent="0.25">
      <c r="A16" s="40" t="s">
        <v>367</v>
      </c>
      <c r="B16" s="7">
        <v>4043</v>
      </c>
      <c r="C16" s="25" t="s">
        <v>118</v>
      </c>
      <c r="D16" s="25" t="s">
        <v>368</v>
      </c>
      <c r="E16" s="16">
        <v>42600.191990740743</v>
      </c>
      <c r="F16" s="16">
        <v>42600.196840277778</v>
      </c>
      <c r="G16" s="7">
        <v>6</v>
      </c>
      <c r="H16" s="16" t="s">
        <v>267</v>
      </c>
      <c r="I16" s="16">
        <v>42600.224629629629</v>
      </c>
      <c r="J16" s="7">
        <v>0</v>
      </c>
      <c r="K16" s="142" t="str">
        <f t="shared" si="0"/>
        <v>4043/4044</v>
      </c>
      <c r="L16" s="25" t="str">
        <f>VLOOKUP(A16,'Trips&amp;Operators'!$C$1:$E$10000,3,FALSE)</f>
        <v>SPECTOR</v>
      </c>
      <c r="M16" s="6">
        <f t="shared" si="1"/>
        <v>2.7789351850515231E-2</v>
      </c>
      <c r="N16" s="7">
        <f t="shared" si="16"/>
        <v>40.016666664741933</v>
      </c>
      <c r="O16" s="7"/>
      <c r="P16" s="7"/>
      <c r="Q16" s="26"/>
      <c r="R16" s="26"/>
      <c r="S16" s="38">
        <f t="shared" si="2"/>
        <v>1</v>
      </c>
      <c r="T16" s="53" t="str">
        <f t="shared" si="3"/>
        <v>Southbound</v>
      </c>
      <c r="U16" s="13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03:36:28-0600',mode:absolute,to:'2016-08-18 06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6" s="55" t="str">
        <f t="shared" si="5"/>
        <v>N</v>
      </c>
      <c r="X16" s="129">
        <f t="shared" si="6"/>
        <v>1</v>
      </c>
      <c r="Y16" s="70">
        <f t="shared" si="7"/>
        <v>23.2654</v>
      </c>
      <c r="Z16" s="70">
        <f t="shared" si="8"/>
        <v>1.38E-2</v>
      </c>
      <c r="AA16" s="70">
        <f t="shared" si="9"/>
        <v>23.2516</v>
      </c>
      <c r="AB16" s="67" t="e">
        <f>VLOOKUP(A16,Enforcements!$C$7:$J$24,8,0)</f>
        <v>#N/A</v>
      </c>
      <c r="AC16" s="63" t="e">
        <f>VLOOKUP(A16,Enforcements!$C$7:$E$24,3,0)</f>
        <v>#N/A</v>
      </c>
      <c r="AD16" s="64" t="str">
        <f t="shared" si="10"/>
        <v>0104-18</v>
      </c>
      <c r="AE16" s="104" t="str">
        <f t="shared" si="11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16" s="101" t="str">
        <f t="shared" si="12"/>
        <v>"C:\Program Files (x86)\AstroGrep\AstroGrep.exe" /spath="%USERPROFILE%\AppData\Local\Temp\OnboardLogs" /stypes="*4043*20160818*"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5" t="str">
        <f t="shared" si="15"/>
        <v>"%USERPROFILE%\Documents\GitHub\eaglep3\Utilities\RefineRTDCRunTimes.py" --tripid 104-18 --locoid 4043 --swversion DE.1.0.7.0 --startMP 204:232654 --initTime 2016-08-18T04:36:28 --startdatetime 2016-08-18T04:43:27 --delay 6 --endMP 204:138 --enddatetime 2016-08-18T05:23:28 --enforcementcount 0</v>
      </c>
    </row>
    <row r="17" spans="1:34" s="1" customFormat="1" x14ac:dyDescent="0.25">
      <c r="A17" s="40" t="s">
        <v>369</v>
      </c>
      <c r="B17" s="7">
        <v>4027</v>
      </c>
      <c r="C17" s="25" t="s">
        <v>118</v>
      </c>
      <c r="D17" s="25" t="s">
        <v>370</v>
      </c>
      <c r="E17" s="16">
        <v>42600.175266203703</v>
      </c>
      <c r="F17" s="16">
        <v>42600.17628472222</v>
      </c>
      <c r="G17" s="7">
        <v>1</v>
      </c>
      <c r="H17" s="16" t="s">
        <v>242</v>
      </c>
      <c r="I17" s="16">
        <v>42600.202893518515</v>
      </c>
      <c r="J17" s="7">
        <v>0</v>
      </c>
      <c r="K17" s="142" t="str">
        <f t="shared" si="0"/>
        <v>4027/4028</v>
      </c>
      <c r="L17" s="25" t="str">
        <f>VLOOKUP(A17,'Trips&amp;Operators'!$C$1:$E$10000,3,FALSE)</f>
        <v>MALAVE</v>
      </c>
      <c r="M17" s="6">
        <f t="shared" si="1"/>
        <v>2.6608796295477077E-2</v>
      </c>
      <c r="N17" s="7">
        <f t="shared" si="16"/>
        <v>38.316666665486991</v>
      </c>
      <c r="O17" s="7"/>
      <c r="P17" s="7"/>
      <c r="Q17" s="26"/>
      <c r="R17" s="26"/>
      <c r="S17" s="38">
        <f t="shared" si="2"/>
        <v>1</v>
      </c>
      <c r="T17" s="53" t="str">
        <f t="shared" si="3"/>
        <v>NorthBound</v>
      </c>
      <c r="U17" s="13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03:12:23-0600',mode:absolute,to:'2016-08-18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7" s="55" t="str">
        <f t="shared" si="5"/>
        <v>N</v>
      </c>
      <c r="X17" s="129">
        <f t="shared" si="6"/>
        <v>1</v>
      </c>
      <c r="Y17" s="70">
        <f t="shared" si="7"/>
        <v>7.2099999999999997E-2</v>
      </c>
      <c r="Z17" s="70">
        <f t="shared" si="8"/>
        <v>23.3322</v>
      </c>
      <c r="AA17" s="70">
        <f t="shared" si="9"/>
        <v>23.260100000000001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10"/>
        <v>0105-18</v>
      </c>
      <c r="AE17" s="104" t="str">
        <f t="shared" si="11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17" s="101" t="str">
        <f t="shared" si="12"/>
        <v>"C:\Program Files (x86)\AstroGrep\AstroGrep.exe" /spath="%USERPROFILE%\AppData\Local\Temp\OnboardLogs" /stypes="*4027*20160818*"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105" t="str">
        <f t="shared" si="15"/>
        <v>"%USERPROFILE%\Documents\GitHub\eaglep3\Utilities\RefineRTDCRunTimes.py" --tripid 105-18 --locoid 4027 --swversion DE.1.0.7.0 --startMP 204:721 --initTime 2016-08-18T04:12:23 --startdatetime 2016-08-18T04:13:51 --delay 1 --endMP 204:233322 --enddatetime 2016-08-18T04:52:10 --enforcementcount 0</v>
      </c>
    </row>
    <row r="18" spans="1:34" s="1" customFormat="1" x14ac:dyDescent="0.25">
      <c r="A18" s="40" t="s">
        <v>316</v>
      </c>
      <c r="B18" s="7">
        <v>4030</v>
      </c>
      <c r="C18" s="25" t="s">
        <v>118</v>
      </c>
      <c r="D18" s="25" t="s">
        <v>371</v>
      </c>
      <c r="E18" s="16">
        <v>42600.215127314812</v>
      </c>
      <c r="F18" s="16">
        <v>42600.216064814813</v>
      </c>
      <c r="G18" s="7">
        <v>1</v>
      </c>
      <c r="H18" s="16" t="s">
        <v>217</v>
      </c>
      <c r="I18" s="16">
        <v>42600.243969907409</v>
      </c>
      <c r="J18" s="7">
        <v>0</v>
      </c>
      <c r="K18" s="142" t="str">
        <f t="shared" si="0"/>
        <v>4029/4030</v>
      </c>
      <c r="L18" s="25" t="str">
        <f>VLOOKUP(A18,'Trips&amp;Operators'!$C$1:$E$10000,3,FALSE)</f>
        <v>MALAVE</v>
      </c>
      <c r="M18" s="6">
        <f t="shared" si="1"/>
        <v>2.7905092596483883E-2</v>
      </c>
      <c r="N18" s="7">
        <f t="shared" si="16"/>
        <v>40.183333338936791</v>
      </c>
      <c r="O18" s="7"/>
      <c r="P18" s="7"/>
      <c r="Q18" s="26"/>
      <c r="R18" s="26"/>
      <c r="S18" s="38">
        <f t="shared" si="2"/>
        <v>1</v>
      </c>
      <c r="T18" s="53" t="str">
        <f t="shared" si="3"/>
        <v>Southbound</v>
      </c>
      <c r="U18" s="13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04:09:47-0600',mode:absolute,to:'2016-08-18 06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" s="55" t="str">
        <f t="shared" si="5"/>
        <v>N</v>
      </c>
      <c r="X18" s="129">
        <f t="shared" si="6"/>
        <v>1</v>
      </c>
      <c r="Y18" s="70">
        <f t="shared" si="7"/>
        <v>23.264399999999998</v>
      </c>
      <c r="Z18" s="70">
        <f t="shared" si="8"/>
        <v>1.61E-2</v>
      </c>
      <c r="AA18" s="70">
        <f t="shared" si="9"/>
        <v>23.248299999999997</v>
      </c>
      <c r="AB18" s="67">
        <f>VLOOKUP(A18,Enforcements!$C$7:$J$24,8,0)</f>
        <v>42961</v>
      </c>
      <c r="AC18" s="63" t="str">
        <f>VLOOKUP(A18,Enforcements!$C$7:$E$24,3,0)</f>
        <v>GRADE CROSSING</v>
      </c>
      <c r="AD18" s="64" t="str">
        <f t="shared" si="10"/>
        <v>0106-18</v>
      </c>
      <c r="AE18" s="104" t="str">
        <f t="shared" si="11"/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AF18" s="101" t="str">
        <f t="shared" si="12"/>
        <v>"C:\Program Files (x86)\AstroGrep\AstroGrep.exe" /spath="%USERPROFILE%\AppData\Local\Temp\OnboardLogs" /stypes="*4030*20160818*"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5" t="str">
        <f t="shared" si="15"/>
        <v>"%USERPROFILE%\Documents\GitHub\eaglep3\Utilities\RefineRTDCRunTimes.py" --tripid 106-18 --locoid 4030 --swversion DE.1.0.7.0 --startMP 204:232644 --initTime 2016-08-18T05:09:47 --startdatetime 2016-08-18T05:11:08 --delay 1 --endMP 204:161 --enddatetime 2016-08-18T05:51:19 --enforcementcount 0</v>
      </c>
    </row>
    <row r="19" spans="1:34" s="1" customFormat="1" x14ac:dyDescent="0.25">
      <c r="A19" s="40" t="s">
        <v>372</v>
      </c>
      <c r="B19" s="7">
        <v>4007</v>
      </c>
      <c r="C19" s="25" t="s">
        <v>118</v>
      </c>
      <c r="D19" s="25" t="s">
        <v>218</v>
      </c>
      <c r="E19" s="16">
        <v>42600.179513888892</v>
      </c>
      <c r="F19" s="16">
        <v>42600.180601851855</v>
      </c>
      <c r="G19" s="7">
        <v>1</v>
      </c>
      <c r="H19" s="16" t="s">
        <v>141</v>
      </c>
      <c r="I19" s="16">
        <v>42600.215381944443</v>
      </c>
      <c r="J19" s="7">
        <v>0</v>
      </c>
      <c r="K19" s="142" t="str">
        <f t="shared" si="0"/>
        <v>4007/4008</v>
      </c>
      <c r="L19" s="25" t="str">
        <f>VLOOKUP(A19,'Trips&amp;Operators'!$C$1:$E$10000,3,FALSE)</f>
        <v>STRICKLAND</v>
      </c>
      <c r="M19" s="6">
        <f t="shared" si="1"/>
        <v>3.478009258833481E-2</v>
      </c>
      <c r="N19" s="7">
        <f t="shared" si="16"/>
        <v>50.083333327202126</v>
      </c>
      <c r="O19" s="7"/>
      <c r="P19" s="7"/>
      <c r="Q19" s="26"/>
      <c r="R19" s="26"/>
      <c r="S19" s="38">
        <f t="shared" si="2"/>
        <v>1</v>
      </c>
      <c r="T19" s="53" t="str">
        <f t="shared" si="3"/>
        <v>NorthBound</v>
      </c>
      <c r="U19" s="13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03:18:30-0600',mode:absolute,to:'2016-08-18 06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" s="55" t="str">
        <f t="shared" si="5"/>
        <v>N</v>
      </c>
      <c r="X19" s="129">
        <f t="shared" si="6"/>
        <v>1</v>
      </c>
      <c r="Y19" s="70">
        <f t="shared" si="7"/>
        <v>4.82E-2</v>
      </c>
      <c r="Z19" s="70">
        <f t="shared" si="8"/>
        <v>23.328900000000001</v>
      </c>
      <c r="AA19" s="70">
        <f t="shared" si="9"/>
        <v>23.2807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10"/>
        <v>0107-18</v>
      </c>
      <c r="AE19" s="104" t="str">
        <f t="shared" si="11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19" s="101" t="str">
        <f t="shared" si="12"/>
        <v>"C:\Program Files (x86)\AstroGrep\AstroGrep.exe" /spath="%USERPROFILE%\AppData\Local\Temp\OnboardLogs" /stypes="*4007*20160818*"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5" t="str">
        <f t="shared" si="15"/>
        <v>"%USERPROFILE%\Documents\GitHub\eaglep3\Utilities\RefineRTDCRunTimes.py" --tripid 107-18 --locoid 4007 --swversion DE.1.0.7.0 --startMP 204:482 --initTime 2016-08-18T04:18:30 --startdatetime 2016-08-18T04:20:04 --delay 1 --endMP 204:233289 --enddatetime 2016-08-18T05:10:09 --enforcementcount 0</v>
      </c>
    </row>
    <row r="20" spans="1:34" s="1" customFormat="1" x14ac:dyDescent="0.25">
      <c r="A20" s="40" t="s">
        <v>317</v>
      </c>
      <c r="B20" s="7">
        <v>4008</v>
      </c>
      <c r="C20" s="25" t="s">
        <v>118</v>
      </c>
      <c r="D20" s="25" t="s">
        <v>168</v>
      </c>
      <c r="E20" s="16">
        <v>42600.223761574074</v>
      </c>
      <c r="F20" s="16">
        <v>42600.225347222222</v>
      </c>
      <c r="G20" s="7">
        <v>2</v>
      </c>
      <c r="H20" s="16" t="s">
        <v>204</v>
      </c>
      <c r="I20" s="16">
        <v>42600.255011574074</v>
      </c>
      <c r="J20" s="7">
        <v>0</v>
      </c>
      <c r="K20" s="142" t="str">
        <f t="shared" si="0"/>
        <v>4007/4008</v>
      </c>
      <c r="L20" s="25" t="str">
        <f>VLOOKUP(A20,'Trips&amp;Operators'!$C$1:$E$10000,3,FALSE)</f>
        <v>STRICKLAND</v>
      </c>
      <c r="M20" s="6">
        <f t="shared" si="1"/>
        <v>2.9664351852261461E-2</v>
      </c>
      <c r="N20" s="7">
        <f t="shared" si="16"/>
        <v>42.716666667256504</v>
      </c>
      <c r="O20" s="7"/>
      <c r="P20" s="7"/>
      <c r="Q20" s="26"/>
      <c r="R20" s="26"/>
      <c r="S20" s="38">
        <f t="shared" si="2"/>
        <v>1</v>
      </c>
      <c r="T20" s="53" t="str">
        <f t="shared" si="3"/>
        <v>Southbound</v>
      </c>
      <c r="U20" s="13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04:22:13-0600',mode:absolute,to:'2016-08-18 07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0" s="55" t="str">
        <f t="shared" si="5"/>
        <v>N</v>
      </c>
      <c r="X20" s="129">
        <f t="shared" si="6"/>
        <v>1</v>
      </c>
      <c r="Y20" s="70">
        <f t="shared" si="7"/>
        <v>23.298500000000001</v>
      </c>
      <c r="Z20" s="70">
        <f t="shared" si="8"/>
        <v>1.67E-2</v>
      </c>
      <c r="AA20" s="70">
        <f t="shared" si="9"/>
        <v>23.2818</v>
      </c>
      <c r="AB20" s="67" t="e">
        <f>VLOOKUP(A20,Enforcements!$C$7:$J$24,8,0)</f>
        <v>#N/A</v>
      </c>
      <c r="AC20" s="63" t="e">
        <f>VLOOKUP(A20,Enforcements!$C$7:$E$24,3,0)</f>
        <v>#N/A</v>
      </c>
      <c r="AD20" s="64" t="str">
        <f t="shared" si="10"/>
        <v>0108-18</v>
      </c>
      <c r="AE20" s="104" t="str">
        <f t="shared" si="11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20" s="101" t="str">
        <f t="shared" si="12"/>
        <v>"C:\Program Files (x86)\AstroGrep\AstroGrep.exe" /spath="%USERPROFILE%\AppData\Local\Temp\OnboardLogs" /stypes="*4008*20160818*"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5" t="str">
        <f t="shared" si="15"/>
        <v>"%USERPROFILE%\Documents\GitHub\eaglep3\Utilities\RefineRTDCRunTimes.py" --tripid 108-18 --locoid 4008 --swversion DE.1.0.7.0 --startMP 204:232985 --initTime 2016-08-18T05:22:13 --startdatetime 2016-08-18T05:24:30 --delay 2 --endMP 204:167 --enddatetime 2016-08-18T06:07:13 --enforcementcount 0</v>
      </c>
    </row>
    <row r="21" spans="1:34" s="1" customFormat="1" x14ac:dyDescent="0.25">
      <c r="A21" s="40" t="s">
        <v>373</v>
      </c>
      <c r="B21" s="7">
        <v>4009</v>
      </c>
      <c r="C21" s="25" t="s">
        <v>118</v>
      </c>
      <c r="D21" s="25" t="s">
        <v>203</v>
      </c>
      <c r="E21" s="16">
        <v>42600.189432870371</v>
      </c>
      <c r="F21" s="16">
        <v>42600.190335648149</v>
      </c>
      <c r="G21" s="7">
        <v>1</v>
      </c>
      <c r="H21" s="16" t="s">
        <v>241</v>
      </c>
      <c r="I21" s="16">
        <v>42600.222546296296</v>
      </c>
      <c r="J21" s="7">
        <v>0</v>
      </c>
      <c r="K21" s="142" t="str">
        <f t="shared" si="0"/>
        <v>4009/4010</v>
      </c>
      <c r="L21" s="25" t="str">
        <f>VLOOKUP(A21,'Trips&amp;Operators'!$C$1:$E$10000,3,FALSE)</f>
        <v>ROCHA</v>
      </c>
      <c r="M21" s="6">
        <f t="shared" si="1"/>
        <v>3.2210648147156462E-2</v>
      </c>
      <c r="N21" s="7">
        <f t="shared" si="16"/>
        <v>46.383333331905305</v>
      </c>
      <c r="O21" s="7"/>
      <c r="P21" s="7"/>
      <c r="Q21" s="26"/>
      <c r="R21" s="26"/>
      <c r="S21" s="38">
        <f t="shared" si="2"/>
        <v>1</v>
      </c>
      <c r="T21" s="53" t="str">
        <f t="shared" si="3"/>
        <v>NorthBound</v>
      </c>
      <c r="U21" s="13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03:32:47-0600',mode:absolute,to:'2016-08-18 06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" s="55" t="str">
        <f t="shared" si="5"/>
        <v>N</v>
      </c>
      <c r="X21" s="129">
        <f t="shared" si="6"/>
        <v>1</v>
      </c>
      <c r="Y21" s="70">
        <f t="shared" si="7"/>
        <v>4.4600000000000001E-2</v>
      </c>
      <c r="Z21" s="70">
        <f t="shared" si="8"/>
        <v>23.329899999999999</v>
      </c>
      <c r="AA21" s="70">
        <f t="shared" si="9"/>
        <v>23.285299999999999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10"/>
        <v>0109-18</v>
      </c>
      <c r="AE21" s="104" t="str">
        <f t="shared" si="11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21" s="101" t="str">
        <f t="shared" si="12"/>
        <v>"C:\Program Files (x86)\AstroGrep\AstroGrep.exe" /spath="%USERPROFILE%\AppData\Local\Temp\OnboardLogs" /stypes="*4009*20160818*"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5" t="str">
        <f t="shared" si="15"/>
        <v>"%USERPROFILE%\Documents\GitHub\eaglep3\Utilities\RefineRTDCRunTimes.py" --tripid 109-18 --locoid 4009 --swversion DE.1.0.7.0 --startMP 204:446 --initTime 2016-08-18T04:32:47 --startdatetime 2016-08-18T04:34:05 --delay 1 --endMP 204:233299 --enddatetime 2016-08-18T05:20:28 --enforcementcount 0</v>
      </c>
    </row>
    <row r="22" spans="1:34" s="1" customFormat="1" x14ac:dyDescent="0.25">
      <c r="A22" s="40" t="s">
        <v>374</v>
      </c>
      <c r="B22" s="7">
        <v>4010</v>
      </c>
      <c r="C22" s="25" t="s">
        <v>118</v>
      </c>
      <c r="D22" s="25" t="s">
        <v>375</v>
      </c>
      <c r="E22" s="16">
        <v>42600.236111111109</v>
      </c>
      <c r="F22" s="16">
        <v>42600.237222222226</v>
      </c>
      <c r="G22" s="7">
        <v>1</v>
      </c>
      <c r="H22" s="16" t="s">
        <v>170</v>
      </c>
      <c r="I22" s="16">
        <v>42600.264907407407</v>
      </c>
      <c r="J22" s="7">
        <v>0</v>
      </c>
      <c r="K22" s="142" t="str">
        <f t="shared" si="0"/>
        <v>4009/4010</v>
      </c>
      <c r="L22" s="25" t="str">
        <f>VLOOKUP(A22,'Trips&amp;Operators'!$C$1:$E$10000,3,FALSE)</f>
        <v>ROCHA</v>
      </c>
      <c r="M22" s="6">
        <f t="shared" si="1"/>
        <v>2.7685185181326233E-2</v>
      </c>
      <c r="N22" s="7">
        <f t="shared" si="16"/>
        <v>39.866666661109775</v>
      </c>
      <c r="O22" s="7"/>
      <c r="P22" s="7"/>
      <c r="Q22" s="26"/>
      <c r="R22" s="26"/>
      <c r="S22" s="38">
        <f t="shared" si="2"/>
        <v>1</v>
      </c>
      <c r="T22" s="53" t="str">
        <f t="shared" si="3"/>
        <v>Southbound</v>
      </c>
      <c r="U22" s="13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04:40:00-0600',mode:absolute,to:'2016-08-18 07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2" s="55" t="str">
        <f t="shared" si="5"/>
        <v>N</v>
      </c>
      <c r="X22" s="129">
        <f t="shared" si="6"/>
        <v>1</v>
      </c>
      <c r="Y22" s="70">
        <f t="shared" si="7"/>
        <v>23.2988</v>
      </c>
      <c r="Z22" s="70">
        <f t="shared" si="8"/>
        <v>1.5599999999999999E-2</v>
      </c>
      <c r="AA22" s="70">
        <f t="shared" si="9"/>
        <v>23.283200000000001</v>
      </c>
      <c r="AB22" s="67" t="e">
        <f>VLOOKUP(A22,Enforcements!$C$7:$J$24,8,0)</f>
        <v>#N/A</v>
      </c>
      <c r="AC22" s="63" t="e">
        <f>VLOOKUP(A22,Enforcements!$C$7:$E$24,3,0)</f>
        <v>#N/A</v>
      </c>
      <c r="AD22" s="64" t="str">
        <f t="shared" si="10"/>
        <v>0110-18</v>
      </c>
      <c r="AE22" s="104" t="str">
        <f t="shared" si="11"/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AF22" s="101" t="str">
        <f t="shared" si="12"/>
        <v>"C:\Program Files (x86)\AstroGrep\AstroGrep.exe" /spath="%USERPROFILE%\AppData\Local\Temp\OnboardLogs" /stypes="*4010*20160818*"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5" t="str">
        <f t="shared" si="15"/>
        <v>"%USERPROFILE%\Documents\GitHub\eaglep3\Utilities\RefineRTDCRunTimes.py" --tripid 110-18 --locoid 4010 --swversion DE.1.0.7.0 --startMP 204:232988 --initTime 2016-08-18T05:40:00 --startdatetime 2016-08-18T05:41:36 --delay 1 --endMP 204:156 --enddatetime 2016-08-18T06:21:28 --enforcementcount 0</v>
      </c>
    </row>
    <row r="23" spans="1:34" s="1" customFormat="1" x14ac:dyDescent="0.25">
      <c r="A23" s="40" t="s">
        <v>376</v>
      </c>
      <c r="B23" s="7">
        <v>4025</v>
      </c>
      <c r="C23" s="25" t="s">
        <v>118</v>
      </c>
      <c r="D23" s="25" t="s">
        <v>377</v>
      </c>
      <c r="E23" s="16">
        <v>42600.211956018517</v>
      </c>
      <c r="F23" s="16">
        <v>42600.218217592592</v>
      </c>
      <c r="G23" s="7">
        <v>9</v>
      </c>
      <c r="H23" s="16" t="s">
        <v>264</v>
      </c>
      <c r="I23" s="16">
        <v>42600.241944444446</v>
      </c>
      <c r="J23" s="7">
        <v>0</v>
      </c>
      <c r="K23" s="142" t="str">
        <f t="shared" si="0"/>
        <v>4025/4026</v>
      </c>
      <c r="L23" s="25" t="str">
        <f>VLOOKUP(A23,'Trips&amp;Operators'!$C$1:$E$10000,3,FALSE)</f>
        <v>STARKS</v>
      </c>
      <c r="M23" s="6">
        <f t="shared" si="1"/>
        <v>2.3726851854007691E-2</v>
      </c>
      <c r="N23" s="7"/>
      <c r="O23" s="7"/>
      <c r="P23" s="7">
        <f>24*60*SUM($M23:$M23)</f>
        <v>34.166666669771075</v>
      </c>
      <c r="Q23" s="26"/>
      <c r="R23" s="26" t="s">
        <v>682</v>
      </c>
      <c r="S23" s="38">
        <f t="shared" si="2"/>
        <v>1</v>
      </c>
      <c r="T23" s="53" t="str">
        <f t="shared" si="3"/>
        <v>NorthBound</v>
      </c>
      <c r="U23" s="13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04:05:13-0600',mode:absolute,to:'2016-08-18 06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3" s="55" t="str">
        <f t="shared" si="5"/>
        <v>Y</v>
      </c>
      <c r="X23" s="129">
        <f t="shared" si="6"/>
        <v>1</v>
      </c>
      <c r="Y23" s="70">
        <f t="shared" si="7"/>
        <v>1.9117999999999999</v>
      </c>
      <c r="Z23" s="70">
        <f t="shared" si="8"/>
        <v>23.330400000000001</v>
      </c>
      <c r="AA23" s="70">
        <f t="shared" si="9"/>
        <v>21.418600000000001</v>
      </c>
      <c r="AB23" s="67" t="e">
        <f>VLOOKUP(A23,Enforcements!$C$7:$J$24,8,0)</f>
        <v>#N/A</v>
      </c>
      <c r="AC23" s="63" t="e">
        <f>VLOOKUP(A23,Enforcements!$C$7:$E$24,3,0)</f>
        <v>#N/A</v>
      </c>
      <c r="AD23" s="64" t="str">
        <f t="shared" si="10"/>
        <v>0111-18</v>
      </c>
      <c r="AE23" s="104" t="str">
        <f t="shared" si="11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23" s="101" t="str">
        <f t="shared" si="12"/>
        <v>"C:\Program Files (x86)\AstroGrep\AstroGrep.exe" /spath="%USERPROFILE%\AppData\Local\Temp\OnboardLogs" /stypes="*4025*20160818*"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5" t="str">
        <f t="shared" si="15"/>
        <v>"%USERPROFILE%\Documents\GitHub\eaglep3\Utilities\RefineRTDCRunTimes.py" --tripid 111-18 --locoid 4025 --swversion DE.1.0.7.0 --startMP 204:19118 --initTime 2016-08-18T05:05:13 --startdatetime 2016-08-18T05:14:14 --delay 9 --endMP 204:233304 --enddatetime 2016-08-18T05:48:24 --enforcementcount 0</v>
      </c>
    </row>
    <row r="24" spans="1:34" s="1" customFormat="1" x14ac:dyDescent="0.25">
      <c r="A24" s="40" t="s">
        <v>378</v>
      </c>
      <c r="B24" s="7">
        <v>4026</v>
      </c>
      <c r="C24" s="25" t="s">
        <v>118</v>
      </c>
      <c r="D24" s="25" t="s">
        <v>214</v>
      </c>
      <c r="E24" s="16">
        <v>42600.245335648149</v>
      </c>
      <c r="F24" s="16">
        <v>42600.246469907404</v>
      </c>
      <c r="G24" s="7">
        <v>1</v>
      </c>
      <c r="H24" s="16" t="s">
        <v>170</v>
      </c>
      <c r="I24" s="16">
        <v>42600.275659722225</v>
      </c>
      <c r="J24" s="7">
        <v>0</v>
      </c>
      <c r="K24" s="142" t="str">
        <f t="shared" si="0"/>
        <v>4025/4026</v>
      </c>
      <c r="L24" s="25" t="str">
        <f>VLOOKUP(A24,'Trips&amp;Operators'!$C$1:$E$10000,3,FALSE)</f>
        <v>STARKS</v>
      </c>
      <c r="M24" s="6">
        <f t="shared" si="1"/>
        <v>2.9189814820711035E-2</v>
      </c>
      <c r="N24" s="7">
        <f>24*60*SUM($M24:$M24)</f>
        <v>42.033333341823891</v>
      </c>
      <c r="O24" s="7"/>
      <c r="P24" s="7"/>
      <c r="Q24" s="26"/>
      <c r="R24" s="26"/>
      <c r="S24" s="38">
        <f t="shared" si="2"/>
        <v>1</v>
      </c>
      <c r="T24" s="53" t="str">
        <f t="shared" si="3"/>
        <v>Southbound</v>
      </c>
      <c r="U24" s="13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04:53:17-0600',mode:absolute,to:'2016-08-18 07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4" s="55" t="str">
        <f t="shared" si="5"/>
        <v>N</v>
      </c>
      <c r="X24" s="129">
        <f t="shared" si="6"/>
        <v>1</v>
      </c>
      <c r="Y24" s="70">
        <f t="shared" si="7"/>
        <v>23.2987</v>
      </c>
      <c r="Z24" s="70">
        <f t="shared" si="8"/>
        <v>1.5599999999999999E-2</v>
      </c>
      <c r="AA24" s="70">
        <f t="shared" si="9"/>
        <v>23.283100000000001</v>
      </c>
      <c r="AB24" s="67" t="e">
        <f>VLOOKUP(A24,Enforcements!$C$7:$J$24,8,0)</f>
        <v>#N/A</v>
      </c>
      <c r="AC24" s="63" t="e">
        <f>VLOOKUP(A24,Enforcements!$C$7:$E$24,3,0)</f>
        <v>#N/A</v>
      </c>
      <c r="AD24" s="64" t="str">
        <f t="shared" si="10"/>
        <v>0112-18</v>
      </c>
      <c r="AE24" s="104" t="str">
        <f t="shared" si="11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24" s="101" t="str">
        <f t="shared" si="12"/>
        <v>"C:\Program Files (x86)\AstroGrep\AstroGrep.exe" /spath="%USERPROFILE%\AppData\Local\Temp\OnboardLogs" /stypes="*4026*20160818*"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5" t="str">
        <f t="shared" si="15"/>
        <v>"%USERPROFILE%\Documents\GitHub\eaglep3\Utilities\RefineRTDCRunTimes.py" --tripid 112-18 --locoid 4026 --swversion DE.1.0.7.0 --startMP 204:232987 --initTime 2016-08-18T05:53:17 --startdatetime 2016-08-18T05:54:55 --delay 1 --endMP 204:156 --enddatetime 2016-08-18T06:36:57 --enforcementcount 0</v>
      </c>
    </row>
    <row r="25" spans="1:34" s="1" customFormat="1" x14ac:dyDescent="0.25">
      <c r="A25" s="40" t="s">
        <v>379</v>
      </c>
      <c r="B25" s="7">
        <v>4038</v>
      </c>
      <c r="C25" s="25" t="s">
        <v>118</v>
      </c>
      <c r="D25" s="25" t="s">
        <v>114</v>
      </c>
      <c r="E25" s="16">
        <v>42600.214722222219</v>
      </c>
      <c r="F25" s="16">
        <v>42600.215902777774</v>
      </c>
      <c r="G25" s="7">
        <v>1</v>
      </c>
      <c r="H25" s="16" t="s">
        <v>141</v>
      </c>
      <c r="I25" s="16">
        <v>42600.246759259258</v>
      </c>
      <c r="J25" s="7">
        <v>0</v>
      </c>
      <c r="K25" s="142" t="str">
        <f t="shared" si="0"/>
        <v>4037/4038</v>
      </c>
      <c r="L25" s="25" t="str">
        <f>VLOOKUP(A25,'Trips&amp;Operators'!$C$1:$E$10000,3,FALSE)</f>
        <v>MAELZER</v>
      </c>
      <c r="M25" s="6">
        <f t="shared" si="1"/>
        <v>3.0856481484079268E-2</v>
      </c>
      <c r="N25" s="7">
        <f>24*60*SUM($M25:$M25)</f>
        <v>44.433333337074146</v>
      </c>
      <c r="O25" s="7"/>
      <c r="P25" s="7"/>
      <c r="Q25" s="26"/>
      <c r="R25" s="26"/>
      <c r="S25" s="38">
        <f t="shared" si="2"/>
        <v>1</v>
      </c>
      <c r="T25" s="53" t="str">
        <f t="shared" si="3"/>
        <v>NorthBound</v>
      </c>
      <c r="U25" s="13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04:09:12-0600',mode:absolute,to:'2016-08-18 06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5" s="55" t="str">
        <f t="shared" si="5"/>
        <v>N</v>
      </c>
      <c r="X25" s="129">
        <f t="shared" si="6"/>
        <v>1</v>
      </c>
      <c r="Y25" s="70">
        <f t="shared" si="7"/>
        <v>4.6199999999999998E-2</v>
      </c>
      <c r="Z25" s="70">
        <f t="shared" si="8"/>
        <v>23.328900000000001</v>
      </c>
      <c r="AA25" s="70">
        <f t="shared" si="9"/>
        <v>23.282700000000002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10"/>
        <v>0113-18</v>
      </c>
      <c r="AE25" s="104" t="str">
        <f t="shared" si="11"/>
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</c>
      <c r="AF25" s="101" t="str">
        <f t="shared" si="12"/>
        <v>"C:\Program Files (x86)\AstroGrep\AstroGrep.exe" /spath="%USERPROFILE%\AppData\Local\Temp\OnboardLogs" /stypes="*4038*20160818*"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5" t="str">
        <f t="shared" si="15"/>
        <v>"%USERPROFILE%\Documents\GitHub\eaglep3\Utilities\RefineRTDCRunTimes.py" --tripid 113-18 --locoid 4038 --swversion DE.1.0.7.0 --startMP 204:462 --initTime 2016-08-18T05:09:12 --startdatetime 2016-08-18T05:10:54 --delay 1 --endMP 204:233289 --enddatetime 2016-08-18T05:55:20 --enforcementcount 0</v>
      </c>
    </row>
    <row r="26" spans="1:34" s="1" customFormat="1" ht="16.5" customHeight="1" x14ac:dyDescent="0.25">
      <c r="A26" s="40" t="s">
        <v>380</v>
      </c>
      <c r="B26" s="7">
        <v>4037</v>
      </c>
      <c r="C26" s="25" t="s">
        <v>118</v>
      </c>
      <c r="D26" s="25" t="s">
        <v>272</v>
      </c>
      <c r="E26" s="16">
        <v>42600.251550925925</v>
      </c>
      <c r="F26" s="16">
        <v>42600.252638888887</v>
      </c>
      <c r="G26" s="7">
        <v>1</v>
      </c>
      <c r="H26" s="16" t="s">
        <v>139</v>
      </c>
      <c r="I26" s="16">
        <v>42600.285613425927</v>
      </c>
      <c r="J26" s="7">
        <v>0</v>
      </c>
      <c r="K26" s="142" t="str">
        <f t="shared" si="0"/>
        <v>4037/4038</v>
      </c>
      <c r="L26" s="25" t="str">
        <f>VLOOKUP(A26,'Trips&amp;Operators'!$C$1:$E$10000,3,FALSE)</f>
        <v>MAELZER</v>
      </c>
      <c r="M26" s="6">
        <f t="shared" si="1"/>
        <v>3.2974537039990537E-2</v>
      </c>
      <c r="N26" s="7">
        <f>24*60*SUM($M26:$M26)</f>
        <v>47.483333337586373</v>
      </c>
      <c r="O26" s="7"/>
      <c r="P26" s="7"/>
      <c r="Q26" s="26"/>
      <c r="R26" s="26"/>
      <c r="S26" s="38">
        <f t="shared" si="2"/>
        <v>1</v>
      </c>
      <c r="T26" s="53" t="str">
        <f t="shared" si="3"/>
        <v>Southbound</v>
      </c>
      <c r="U26" s="13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05:02:14-0600',mode:absolute,to:'2016-08-18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6" s="55" t="str">
        <f t="shared" si="5"/>
        <v>N</v>
      </c>
      <c r="X26" s="129">
        <f t="shared" si="6"/>
        <v>1</v>
      </c>
      <c r="Y26" s="70">
        <f t="shared" si="7"/>
        <v>23.296299999999999</v>
      </c>
      <c r="Z26" s="70">
        <f t="shared" si="8"/>
        <v>1.47E-2</v>
      </c>
      <c r="AA26" s="70">
        <f t="shared" si="9"/>
        <v>23.281599999999997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10"/>
        <v>0114-18</v>
      </c>
      <c r="AE26" s="104" t="str">
        <f t="shared" si="11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26" s="101" t="str">
        <f t="shared" si="12"/>
        <v>"C:\Program Files (x86)\AstroGrep\AstroGrep.exe" /spath="%USERPROFILE%\AppData\Local\Temp\OnboardLogs" /stypes="*4037*20160818*"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5" t="str">
        <f t="shared" si="15"/>
        <v>"%USERPROFILE%\Documents\GitHub\eaglep3\Utilities\RefineRTDCRunTimes.py" --tripid 114-18 --locoid 4037 --swversion DE.1.0.7.0 --startMP 204:232963 --initTime 2016-08-18T06:02:14 --startdatetime 2016-08-18T06:03:48 --delay 1 --endMP 204:147 --enddatetime 2016-08-18T06:51:17 --enforcementcount 0</v>
      </c>
    </row>
    <row r="27" spans="1:34" s="1" customFormat="1" x14ac:dyDescent="0.25">
      <c r="A27" s="40" t="s">
        <v>381</v>
      </c>
      <c r="B27" s="7">
        <v>4042</v>
      </c>
      <c r="C27" s="25" t="s">
        <v>118</v>
      </c>
      <c r="D27" s="25" t="s">
        <v>360</v>
      </c>
      <c r="E27" s="16">
        <v>42600.226006944446</v>
      </c>
      <c r="F27" s="16">
        <v>42600.227106481485</v>
      </c>
      <c r="G27" s="7">
        <v>1</v>
      </c>
      <c r="H27" s="16" t="s">
        <v>382</v>
      </c>
      <c r="I27" s="16">
        <v>42600.256828703707</v>
      </c>
      <c r="J27" s="7">
        <v>0</v>
      </c>
      <c r="K27" s="142" t="str">
        <f t="shared" si="0"/>
        <v>4041/4042</v>
      </c>
      <c r="L27" s="25" t="str">
        <f>VLOOKUP(A27,'Trips&amp;Operators'!$C$1:$E$10000,3,FALSE)</f>
        <v>BRANNON</v>
      </c>
      <c r="M27" s="6">
        <f t="shared" si="1"/>
        <v>2.9722222221607808E-2</v>
      </c>
      <c r="N27" s="7">
        <f>24*60*SUM($M27:$M27)</f>
        <v>42.799999999115244</v>
      </c>
      <c r="O27" s="7"/>
      <c r="P27" s="7"/>
      <c r="Q27" s="26"/>
      <c r="R27" s="26"/>
      <c r="S27" s="38">
        <f t="shared" si="2"/>
        <v>1</v>
      </c>
      <c r="T27" s="53" t="str">
        <f t="shared" si="3"/>
        <v>NorthBound</v>
      </c>
      <c r="U27" s="13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04:25:27-0600',mode:absolute,to:'2016-08-18 07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7" s="55" t="str">
        <f t="shared" si="5"/>
        <v>N</v>
      </c>
      <c r="X27" s="129">
        <f t="shared" si="6"/>
        <v>1</v>
      </c>
      <c r="Y27" s="70">
        <f t="shared" si="7"/>
        <v>7.4399999999999994E-2</v>
      </c>
      <c r="Z27" s="70">
        <f t="shared" si="8"/>
        <v>23.328700000000001</v>
      </c>
      <c r="AA27" s="70">
        <f t="shared" si="9"/>
        <v>23.254300000000001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10"/>
        <v>0115-18</v>
      </c>
      <c r="AE27" s="104" t="str">
        <f t="shared" si="11"/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AF27" s="101" t="str">
        <f t="shared" si="12"/>
        <v>"C:\Program Files (x86)\AstroGrep\AstroGrep.exe" /spath="%USERPROFILE%\AppData\Local\Temp\OnboardLogs" /stypes="*4042*20160818*"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5" t="str">
        <f t="shared" si="15"/>
        <v>"%USERPROFILE%\Documents\GitHub\eaglep3\Utilities\RefineRTDCRunTimes.py" --tripid 115-18 --locoid 4042 --swversion DE.1.0.7.0 --startMP 204:744 --initTime 2016-08-18T05:25:27 --startdatetime 2016-08-18T05:27:02 --delay 1 --endMP 204:233287 --enddatetime 2016-08-18T06:09:50 --enforcementcount 0</v>
      </c>
    </row>
    <row r="28" spans="1:34" s="32" customFormat="1" x14ac:dyDescent="0.25">
      <c r="A28" s="40" t="s">
        <v>383</v>
      </c>
      <c r="B28" s="7">
        <v>4041</v>
      </c>
      <c r="C28" s="25" t="s">
        <v>118</v>
      </c>
      <c r="D28" s="25" t="s">
        <v>62</v>
      </c>
      <c r="E28" s="16">
        <v>42600.262719907405</v>
      </c>
      <c r="F28" s="16">
        <v>42600.264027777775</v>
      </c>
      <c r="G28" s="7">
        <v>1</v>
      </c>
      <c r="H28" s="16" t="s">
        <v>139</v>
      </c>
      <c r="I28" s="16">
        <v>42600.297048611108</v>
      </c>
      <c r="J28" s="7">
        <v>0</v>
      </c>
      <c r="K28" s="142" t="str">
        <f t="shared" si="0"/>
        <v>4041/4042</v>
      </c>
      <c r="L28" s="25" t="str">
        <f>VLOOKUP(A28,'Trips&amp;Operators'!$C$1:$E$10000,3,FALSE)</f>
        <v>BRANNON</v>
      </c>
      <c r="M28" s="6">
        <f t="shared" si="1"/>
        <v>3.3020833332557231E-2</v>
      </c>
      <c r="N28" s="7">
        <f>24*60*SUM($M28:$M28)</f>
        <v>47.549999998882413</v>
      </c>
      <c r="O28" s="7"/>
      <c r="P28" s="7"/>
      <c r="Q28" s="26"/>
      <c r="R28" s="26"/>
      <c r="S28" s="38">
        <f t="shared" si="2"/>
        <v>1</v>
      </c>
      <c r="T28" s="53" t="str">
        <f t="shared" si="3"/>
        <v>Southbound</v>
      </c>
      <c r="U28" s="13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05:18:19-0600',mode:absolute,to:'2016-08-18 08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8" s="55" t="str">
        <f t="shared" si="5"/>
        <v>N</v>
      </c>
      <c r="X28" s="129">
        <f t="shared" si="6"/>
        <v>1</v>
      </c>
      <c r="Y28" s="70">
        <f t="shared" si="7"/>
        <v>23.297699999999999</v>
      </c>
      <c r="Z28" s="70">
        <f t="shared" si="8"/>
        <v>1.47E-2</v>
      </c>
      <c r="AA28" s="70">
        <f t="shared" si="9"/>
        <v>23.282999999999998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10"/>
        <v>0116-18</v>
      </c>
      <c r="AE28" s="104" t="str">
        <f t="shared" si="11"/>
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</c>
      <c r="AF28" s="101" t="str">
        <f t="shared" si="12"/>
        <v>"C:\Program Files (x86)\AstroGrep\AstroGrep.exe" /spath="%USERPROFILE%\AppData\Local\Temp\OnboardLogs" /stypes="*4041*20160818*"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5" t="str">
        <f t="shared" si="15"/>
        <v>"%USERPROFILE%\Documents\GitHub\eaglep3\Utilities\RefineRTDCRunTimes.py" --tripid 116-18 --locoid 4041 --swversion DE.1.0.7.0 --startMP 204:232977 --initTime 2016-08-18T06:18:19 --startdatetime 2016-08-18T06:20:12 --delay 1 --endMP 204:147 --enddatetime 2016-08-18T07:07:45 --enforcementcount 0</v>
      </c>
    </row>
    <row r="29" spans="1:34" s="1" customFormat="1" x14ac:dyDescent="0.25">
      <c r="A29" s="40" t="s">
        <v>384</v>
      </c>
      <c r="B29" s="7">
        <v>4044</v>
      </c>
      <c r="C29" s="25" t="s">
        <v>118</v>
      </c>
      <c r="D29" s="25" t="s">
        <v>140</v>
      </c>
      <c r="E29" s="16">
        <v>42600.231805555559</v>
      </c>
      <c r="F29" s="16">
        <v>42600.233171296299</v>
      </c>
      <c r="G29" s="7">
        <v>1</v>
      </c>
      <c r="H29" s="16" t="s">
        <v>385</v>
      </c>
      <c r="I29" s="16">
        <v>42600.246840277781</v>
      </c>
      <c r="J29" s="7">
        <v>0</v>
      </c>
      <c r="K29" s="142" t="str">
        <f t="shared" si="0"/>
        <v>4043/4044</v>
      </c>
      <c r="L29" s="25" t="str">
        <f>VLOOKUP(A29,'Trips&amp;Operators'!$C$1:$E$10000,3,FALSE)</f>
        <v>SPECTOR</v>
      </c>
      <c r="M29" s="6">
        <f t="shared" si="1"/>
        <v>1.3668981482624076E-2</v>
      </c>
      <c r="N29" s="7"/>
      <c r="O29" s="7"/>
      <c r="P29" s="7">
        <f>24*60*SUM($M29:$M29)</f>
        <v>19.68333333497867</v>
      </c>
      <c r="Q29" s="26"/>
      <c r="R29" s="26" t="s">
        <v>232</v>
      </c>
      <c r="S29" s="38">
        <f t="shared" si="2"/>
        <v>0.25</v>
      </c>
      <c r="T29" s="53" t="str">
        <f t="shared" si="3"/>
        <v>NorthBound</v>
      </c>
      <c r="U29" s="13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3</v>
      </c>
      <c r="V29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04:33:48-0600',mode:absolute,to:'2016-08-18 06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9" s="55" t="str">
        <f t="shared" si="5"/>
        <v>Y</v>
      </c>
      <c r="X29" s="129">
        <f t="shared" si="6"/>
        <v>1</v>
      </c>
      <c r="Y29" s="70">
        <f t="shared" si="7"/>
        <v>4.53E-2</v>
      </c>
      <c r="Z29" s="70">
        <f t="shared" si="8"/>
        <v>3.7193000000000001</v>
      </c>
      <c r="AA29" s="70">
        <f t="shared" si="9"/>
        <v>3.6739999999999999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10"/>
        <v>0117-18</v>
      </c>
      <c r="AE29" s="104" t="str">
        <f t="shared" si="11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29" s="101" t="str">
        <f t="shared" si="12"/>
        <v>"C:\Program Files (x86)\AstroGrep\AstroGrep.exe" /spath="%USERPROFILE%\AppData\Local\Temp\OnboardLogs" /stypes="*4044*20160818*" /stext=" 11:.+((SYSTEM_STATE.+slice.+state.+changed )|(ment ac)|(system.+state.+changed )|(\|lc)|(penalty)|(\[timeout)|(PRM\|1\|D)|(kpr)|(kdp))" /e /r /s</v>
      </c>
      <c r="AG29" s="1" t="str">
        <f t="shared" si="13"/>
        <v>EC</v>
      </c>
      <c r="AH29" s="105" t="str">
        <f t="shared" si="15"/>
        <v>"%USERPROFILE%\Documents\GitHub\eaglep3\Utilities\RefineRTDCRunTimes.py" --tripid 117-18 --locoid 4044 --swversion DE.1.0.7.0 --startMP 204:453 --initTime 2016-08-18T05:33:48 --startdatetime 2016-08-18T05:35:46 --delay 1 --endMP 204:37193 --enddatetime 2016-08-18T05:55:27 --enforcementcount 0</v>
      </c>
    </row>
    <row r="30" spans="1:34" s="1" customFormat="1" x14ac:dyDescent="0.25">
      <c r="A30" s="40" t="s">
        <v>386</v>
      </c>
      <c r="B30" s="7">
        <v>4043</v>
      </c>
      <c r="C30" s="25" t="s">
        <v>118</v>
      </c>
      <c r="D30" s="25" t="s">
        <v>235</v>
      </c>
      <c r="E30" s="16">
        <v>42600.273564814815</v>
      </c>
      <c r="F30" s="16">
        <v>42600.274756944447</v>
      </c>
      <c r="G30" s="7">
        <v>1</v>
      </c>
      <c r="H30" s="16" t="s">
        <v>216</v>
      </c>
      <c r="I30" s="16">
        <v>42600.307604166665</v>
      </c>
      <c r="J30" s="7">
        <v>0</v>
      </c>
      <c r="K30" s="142" t="str">
        <f t="shared" si="0"/>
        <v>4043/4044</v>
      </c>
      <c r="L30" s="25" t="str">
        <f>VLOOKUP(A30,'Trips&amp;Operators'!$C$1:$E$10000,3,FALSE)</f>
        <v>SPECTOR</v>
      </c>
      <c r="M30" s="6">
        <f t="shared" si="1"/>
        <v>3.2847222217242233E-2</v>
      </c>
      <c r="N30" s="7">
        <f t="shared" ref="N30:N72" si="17">24*60*SUM($M30:$M30)</f>
        <v>47.299999992828816</v>
      </c>
      <c r="O30" s="7"/>
      <c r="P30" s="7"/>
      <c r="Q30" s="26"/>
      <c r="R30" s="26"/>
      <c r="S30" s="38">
        <f t="shared" si="2"/>
        <v>1</v>
      </c>
      <c r="T30" s="53" t="str">
        <f t="shared" si="3"/>
        <v>Southbound</v>
      </c>
      <c r="U30" s="13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05:33:56-0600',mode:absolute,to:'2016-08-18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30" s="55" t="str">
        <f t="shared" si="5"/>
        <v>N</v>
      </c>
      <c r="X30" s="129">
        <f t="shared" si="6"/>
        <v>1</v>
      </c>
      <c r="Y30" s="70">
        <f t="shared" si="7"/>
        <v>23.298999999999999</v>
      </c>
      <c r="Z30" s="70">
        <f t="shared" si="8"/>
        <v>1.41E-2</v>
      </c>
      <c r="AA30" s="70">
        <f t="shared" si="9"/>
        <v>23.2849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10"/>
        <v>0118-18</v>
      </c>
      <c r="AE30" s="104" t="str">
        <f t="shared" si="11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30" s="101" t="str">
        <f t="shared" si="12"/>
        <v>"C:\Program Files (x86)\AstroGrep\AstroGrep.exe" /spath="%USERPROFILE%\AppData\Local\Temp\OnboardLogs" /stypes="*4043*20160818*"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5" t="str">
        <f t="shared" si="15"/>
        <v>"%USERPROFILE%\Documents\GitHub\eaglep3\Utilities\RefineRTDCRunTimes.py" --tripid 118-18 --locoid 4043 --swversion DE.1.0.7.0 --startMP 204:232990 --initTime 2016-08-18T06:33:56 --startdatetime 2016-08-18T06:35:39 --delay 1 --endMP 204:141 --enddatetime 2016-08-18T07:22:57 --enforcementcount 0</v>
      </c>
    </row>
    <row r="31" spans="1:34" s="1" customFormat="1" x14ac:dyDescent="0.25">
      <c r="A31" s="40" t="s">
        <v>387</v>
      </c>
      <c r="B31" s="7">
        <v>4027</v>
      </c>
      <c r="C31" s="25" t="s">
        <v>118</v>
      </c>
      <c r="D31" s="25" t="s">
        <v>388</v>
      </c>
      <c r="E31" s="16">
        <v>42600.248611111114</v>
      </c>
      <c r="F31" s="16">
        <v>42600.249652777777</v>
      </c>
      <c r="G31" s="7">
        <v>1</v>
      </c>
      <c r="H31" s="16" t="s">
        <v>173</v>
      </c>
      <c r="I31" s="16">
        <v>42600.275833333333</v>
      </c>
      <c r="J31" s="7">
        <v>0</v>
      </c>
      <c r="K31" s="142" t="str">
        <f t="shared" si="0"/>
        <v>4027/4028</v>
      </c>
      <c r="L31" s="25" t="str">
        <f>VLOOKUP(A31,'Trips&amp;Operators'!$C$1:$E$10000,3,FALSE)</f>
        <v>MALAVE</v>
      </c>
      <c r="M31" s="6">
        <f t="shared" si="1"/>
        <v>2.6180555556493346E-2</v>
      </c>
      <c r="N31" s="7">
        <f t="shared" si="17"/>
        <v>37.700000001350418</v>
      </c>
      <c r="O31" s="7"/>
      <c r="P31" s="7"/>
      <c r="Q31" s="26"/>
      <c r="R31" s="26"/>
      <c r="S31" s="38">
        <f t="shared" si="2"/>
        <v>1</v>
      </c>
      <c r="T31" s="53" t="str">
        <f t="shared" si="3"/>
        <v>NorthBound</v>
      </c>
      <c r="U31" s="13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04:58:00-0600',mode:absolute,to:'2016-08-18 07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1" s="55" t="str">
        <f t="shared" si="5"/>
        <v>N</v>
      </c>
      <c r="X31" s="129">
        <f t="shared" si="6"/>
        <v>1</v>
      </c>
      <c r="Y31" s="70">
        <f t="shared" si="7"/>
        <v>7.5700000000000003E-2</v>
      </c>
      <c r="Z31" s="70">
        <f t="shared" si="8"/>
        <v>23.3291</v>
      </c>
      <c r="AA31" s="70">
        <f t="shared" si="9"/>
        <v>23.253399999999999</v>
      </c>
      <c r="AB31" s="67" t="e">
        <f>VLOOKUP(A31,Enforcements!$C$7:$J$24,8,0)</f>
        <v>#N/A</v>
      </c>
      <c r="AC31" s="63" t="e">
        <f>VLOOKUP(A31,Enforcements!$C$7:$E$24,3,0)</f>
        <v>#N/A</v>
      </c>
      <c r="AD31" s="64" t="str">
        <f t="shared" si="10"/>
        <v>0119-18</v>
      </c>
      <c r="AE31" s="104" t="str">
        <f t="shared" si="11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31" s="101" t="str">
        <f t="shared" si="12"/>
        <v>"C:\Program Files (x86)\AstroGrep\AstroGrep.exe" /spath="%USERPROFILE%\AppData\Local\Temp\OnboardLogs" /stypes="*4027*20160818*"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5" t="str">
        <f t="shared" si="15"/>
        <v>"%USERPROFILE%\Documents\GitHub\eaglep3\Utilities\RefineRTDCRunTimes.py" --tripid 119-18 --locoid 4027 --swversion DE.1.0.7.0 --startMP 204:757 --initTime 2016-08-18T05:58:00 --startdatetime 2016-08-18T05:59:30 --delay 1 --endMP 204:233291 --enddatetime 2016-08-18T06:37:12 --enforcementcount 0</v>
      </c>
    </row>
    <row r="32" spans="1:34" s="1" customFormat="1" x14ac:dyDescent="0.25">
      <c r="A32" s="40" t="s">
        <v>320</v>
      </c>
      <c r="B32" s="7">
        <v>4028</v>
      </c>
      <c r="C32" s="25" t="s">
        <v>118</v>
      </c>
      <c r="D32" s="25" t="s">
        <v>171</v>
      </c>
      <c r="E32" s="16">
        <v>42600.287280092591</v>
      </c>
      <c r="F32" s="16">
        <v>42600.288437499999</v>
      </c>
      <c r="G32" s="7">
        <v>1</v>
      </c>
      <c r="H32" s="16" t="s">
        <v>205</v>
      </c>
      <c r="I32" s="16">
        <v>42600.318645833337</v>
      </c>
      <c r="J32" s="7">
        <v>0</v>
      </c>
      <c r="K32" s="142" t="str">
        <f t="shared" si="0"/>
        <v>4027/4028</v>
      </c>
      <c r="L32" s="25" t="str">
        <f>VLOOKUP(A32,'Trips&amp;Operators'!$C$1:$E$10000,3,FALSE)</f>
        <v>MALAVE</v>
      </c>
      <c r="M32" s="6">
        <f t="shared" si="1"/>
        <v>3.0208333337213844E-2</v>
      </c>
      <c r="N32" s="7">
        <f t="shared" si="17"/>
        <v>43.500000005587935</v>
      </c>
      <c r="O32" s="7"/>
      <c r="P32" s="7"/>
      <c r="Q32" s="26"/>
      <c r="R32" s="26"/>
      <c r="S32" s="38">
        <f t="shared" si="2"/>
        <v>1</v>
      </c>
      <c r="T32" s="53" t="str">
        <f t="shared" si="3"/>
        <v>Southbound</v>
      </c>
      <c r="U32" s="13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05:53:41-0600',mode:absolute,to:'2016-08-18 08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2" s="55" t="str">
        <f t="shared" si="5"/>
        <v>N</v>
      </c>
      <c r="X32" s="129">
        <f t="shared" si="6"/>
        <v>1</v>
      </c>
      <c r="Y32" s="70">
        <f t="shared" si="7"/>
        <v>23.298100000000002</v>
      </c>
      <c r="Z32" s="70">
        <f t="shared" si="8"/>
        <v>1.52E-2</v>
      </c>
      <c r="AA32" s="70">
        <f t="shared" si="9"/>
        <v>23.282900000000001</v>
      </c>
      <c r="AB32" s="67">
        <f>VLOOKUP(A32,Enforcements!$C$7:$J$24,8,0)</f>
        <v>103800</v>
      </c>
      <c r="AC32" s="63" t="str">
        <f>VLOOKUP(A32,Enforcements!$C$7:$E$24,3,0)</f>
        <v>GRADE CROSSING</v>
      </c>
      <c r="AD32" s="64" t="str">
        <f t="shared" si="10"/>
        <v>0120-18</v>
      </c>
      <c r="AE32" s="104" t="str">
        <f t="shared" si="11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32" s="101" t="str">
        <f t="shared" si="12"/>
        <v>"C:\Program Files (x86)\AstroGrep\AstroGrep.exe" /spath="%USERPROFILE%\AppData\Local\Temp\OnboardLogs" /stypes="*4028*20160818*"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105" t="str">
        <f t="shared" si="15"/>
        <v>"%USERPROFILE%\Documents\GitHub\eaglep3\Utilities\RefineRTDCRunTimes.py" --tripid 120-18 --locoid 4028 --swversion DE.1.0.7.0 --startMP 204:232981 --initTime 2016-08-18T06:53:41 --startdatetime 2016-08-18T06:55:21 --delay 1 --endMP 204:152 --enddatetime 2016-08-18T07:38:51 --enforcementcount 0</v>
      </c>
    </row>
    <row r="33" spans="1:34" s="1" customFormat="1" x14ac:dyDescent="0.25">
      <c r="A33" s="40" t="s">
        <v>318</v>
      </c>
      <c r="B33" s="7">
        <v>4007</v>
      </c>
      <c r="C33" s="25" t="s">
        <v>118</v>
      </c>
      <c r="D33" s="25" t="s">
        <v>150</v>
      </c>
      <c r="E33" s="16">
        <v>42600.257569444446</v>
      </c>
      <c r="F33" s="16">
        <v>42600.258437500001</v>
      </c>
      <c r="G33" s="7">
        <v>1</v>
      </c>
      <c r="H33" s="16" t="s">
        <v>141</v>
      </c>
      <c r="I33" s="16">
        <v>42600.288206018522</v>
      </c>
      <c r="J33" s="7">
        <v>0</v>
      </c>
      <c r="K33" s="142" t="str">
        <f t="shared" si="0"/>
        <v>4007/4008</v>
      </c>
      <c r="L33" s="25" t="str">
        <f>VLOOKUP(A33,'Trips&amp;Operators'!$C$1:$E$10000,3,FALSE)</f>
        <v>STRICKLAND</v>
      </c>
      <c r="M33" s="6">
        <f t="shared" si="1"/>
        <v>2.976851852145046E-2</v>
      </c>
      <c r="N33" s="7">
        <f t="shared" si="17"/>
        <v>42.866666670888662</v>
      </c>
      <c r="O33" s="7"/>
      <c r="P33" s="7"/>
      <c r="Q33" s="26"/>
      <c r="R33" s="26"/>
      <c r="S33" s="38">
        <f t="shared" si="2"/>
        <v>1</v>
      </c>
      <c r="T33" s="53" t="str">
        <f t="shared" si="3"/>
        <v>NorthBound</v>
      </c>
      <c r="U33" s="13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3" s="55" t="str">
        <f t="shared" si="5"/>
        <v>N</v>
      </c>
      <c r="X33" s="129">
        <f t="shared" si="6"/>
        <v>1</v>
      </c>
      <c r="Y33" s="70">
        <f t="shared" si="7"/>
        <v>4.58E-2</v>
      </c>
      <c r="Z33" s="70">
        <f t="shared" si="8"/>
        <v>23.328900000000001</v>
      </c>
      <c r="AA33" s="70">
        <f t="shared" si="9"/>
        <v>23.283100000000001</v>
      </c>
      <c r="AB33" s="67">
        <f>VLOOKUP(A33,Enforcements!$C$7:$J$24,8,0)</f>
        <v>161962</v>
      </c>
      <c r="AC33" s="63" t="str">
        <f>VLOOKUP(A33,Enforcements!$C$7:$E$24,3,0)</f>
        <v>PERMANENT SPEED RESTRICTION</v>
      </c>
      <c r="AD33" s="64" t="str">
        <f t="shared" si="10"/>
        <v>0121-18</v>
      </c>
      <c r="AE33" s="104" t="str">
        <f t="shared" si="11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33" s="101" t="str">
        <f t="shared" si="12"/>
        <v>"C:\Program Files (x86)\AstroGrep\AstroGrep.exe" /spath="%USERPROFILE%\AppData\Local\Temp\OnboardLogs" /stypes="*4007*20160818*"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5" t="str">
        <f t="shared" si="15"/>
        <v>"%USERPROFILE%\Documents\GitHub\eaglep3\Utilities\RefineRTDCRunTimes.py" --tripid 121-18 --locoid 4007 --swversion DE.1.0.7.0 --startMP 204:458 --initTime 2016-08-18T06:10:54 --startdatetime 2016-08-18T06:12:09 --delay 1 --endMP 204:233289 --enddatetime 2016-08-18T06:55:01 --enforcementcount 0</v>
      </c>
    </row>
    <row r="34" spans="1:34" s="1" customFormat="1" ht="14.25" customHeight="1" x14ac:dyDescent="0.25">
      <c r="A34" s="40" t="s">
        <v>323</v>
      </c>
      <c r="B34" s="7">
        <v>4008</v>
      </c>
      <c r="C34" s="25" t="s">
        <v>118</v>
      </c>
      <c r="D34" s="25" t="s">
        <v>274</v>
      </c>
      <c r="E34" s="16">
        <v>42600.294328703705</v>
      </c>
      <c r="F34" s="16">
        <v>42600.295208333337</v>
      </c>
      <c r="G34" s="7">
        <v>1</v>
      </c>
      <c r="H34" s="16" t="s">
        <v>266</v>
      </c>
      <c r="I34" s="16">
        <v>42600.328321759262</v>
      </c>
      <c r="J34" s="7">
        <v>0</v>
      </c>
      <c r="K34" s="142" t="str">
        <f t="shared" si="0"/>
        <v>4007/4008</v>
      </c>
      <c r="L34" s="25" t="str">
        <f>VLOOKUP(A34,'Trips&amp;Operators'!$C$1:$E$10000,3,FALSE)</f>
        <v>STRICKLAND</v>
      </c>
      <c r="M34" s="6">
        <f t="shared" si="1"/>
        <v>3.3113425924966577E-2</v>
      </c>
      <c r="N34" s="7">
        <f t="shared" si="17"/>
        <v>47.683333331951872</v>
      </c>
      <c r="O34" s="7"/>
      <c r="P34" s="7"/>
      <c r="Q34" s="26"/>
      <c r="R34" s="26"/>
      <c r="S34" s="38">
        <f t="shared" si="2"/>
        <v>1</v>
      </c>
      <c r="T34" s="53" t="str">
        <f t="shared" si="3"/>
        <v>Southbound</v>
      </c>
      <c r="U34" s="13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06:03:50-0600',mode:absolute,to:'2016-08-18 08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4" s="55" t="str">
        <f t="shared" si="5"/>
        <v>N</v>
      </c>
      <c r="X34" s="129">
        <f t="shared" si="6"/>
        <v>1</v>
      </c>
      <c r="Y34" s="70">
        <f t="shared" si="7"/>
        <v>23.294</v>
      </c>
      <c r="Z34" s="70">
        <f t="shared" si="8"/>
        <v>1.4500000000000001E-2</v>
      </c>
      <c r="AA34" s="70">
        <f t="shared" si="9"/>
        <v>23.279499999999999</v>
      </c>
      <c r="AB34" s="67">
        <f>VLOOKUP(A34,Enforcements!$C$7:$J$24,8,0)</f>
        <v>4677</v>
      </c>
      <c r="AC34" s="63" t="str">
        <f>VLOOKUP(A34,Enforcements!$C$7:$E$24,3,0)</f>
        <v>PERMANENT SPEED RESTRICTION</v>
      </c>
      <c r="AD34" s="64" t="str">
        <f t="shared" si="10"/>
        <v>0122-18</v>
      </c>
      <c r="AE34" s="104" t="str">
        <f t="shared" si="11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34" s="101" t="str">
        <f t="shared" si="12"/>
        <v>"C:\Program Files (x86)\AstroGrep\AstroGrep.exe" /spath="%USERPROFILE%\AppData\Local\Temp\OnboardLogs" /stypes="*4008*20160818*"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5" t="str">
        <f t="shared" si="15"/>
        <v>"%USERPROFILE%\Documents\GitHub\eaglep3\Utilities\RefineRTDCRunTimes.py" --tripid 122-18 --locoid 4008 --swversion DE.1.0.7.0 --startMP 204:232940 --initTime 2016-08-18T07:03:50 --startdatetime 2016-08-18T07:05:06 --delay 1 --endMP 204:145 --enddatetime 2016-08-18T07:52:47 --enforcementcount 0</v>
      </c>
    </row>
    <row r="35" spans="1:34" s="1" customFormat="1" x14ac:dyDescent="0.25">
      <c r="A35" s="40" t="s">
        <v>319</v>
      </c>
      <c r="B35" s="7">
        <v>4009</v>
      </c>
      <c r="C35" s="25" t="s">
        <v>118</v>
      </c>
      <c r="D35" s="25" t="s">
        <v>269</v>
      </c>
      <c r="E35" s="16">
        <v>42600.26966435185</v>
      </c>
      <c r="F35" s="16">
        <v>42600.270370370374</v>
      </c>
      <c r="G35" s="7">
        <v>1</v>
      </c>
      <c r="H35" s="16" t="s">
        <v>173</v>
      </c>
      <c r="I35" s="16">
        <v>42600.296724537038</v>
      </c>
      <c r="J35" s="7">
        <v>0</v>
      </c>
      <c r="K35" s="142" t="str">
        <f t="shared" si="0"/>
        <v>4009/4010</v>
      </c>
      <c r="L35" s="25" t="str">
        <f>VLOOKUP(A35,'Trips&amp;Operators'!$C$1:$E$10000,3,FALSE)</f>
        <v>ROCHA</v>
      </c>
      <c r="M35" s="6">
        <f t="shared" si="1"/>
        <v>2.6354166664532386E-2</v>
      </c>
      <c r="N35" s="7">
        <f t="shared" si="17"/>
        <v>37.949999996926636</v>
      </c>
      <c r="O35" s="7"/>
      <c r="P35" s="7"/>
      <c r="Q35" s="26"/>
      <c r="R35" s="26"/>
      <c r="S35" s="38">
        <f t="shared" si="2"/>
        <v>1</v>
      </c>
      <c r="T35" s="53" t="str">
        <f t="shared" si="3"/>
        <v>NorthBound</v>
      </c>
      <c r="U35" s="13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05:28:19-0600',mode:absolute,to:'2016-08-18 08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5" s="55" t="str">
        <f t="shared" si="5"/>
        <v>N</v>
      </c>
      <c r="X35" s="129">
        <f t="shared" si="6"/>
        <v>1</v>
      </c>
      <c r="Y35" s="70">
        <f t="shared" si="7"/>
        <v>4.4699999999999997E-2</v>
      </c>
      <c r="Z35" s="70">
        <f t="shared" si="8"/>
        <v>23.3291</v>
      </c>
      <c r="AA35" s="70">
        <f t="shared" si="9"/>
        <v>23.284400000000002</v>
      </c>
      <c r="AB35" s="67">
        <f>VLOOKUP(A35,Enforcements!$C$7:$J$24,8,0)</f>
        <v>161962</v>
      </c>
      <c r="AC35" s="63" t="str">
        <f>VLOOKUP(A35,Enforcements!$C$7:$E$24,3,0)</f>
        <v>PERMANENT SPEED RESTRICTION</v>
      </c>
      <c r="AD35" s="64" t="str">
        <f t="shared" si="10"/>
        <v>0123-18</v>
      </c>
      <c r="AE35" s="104" t="str">
        <f t="shared" si="11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35" s="101" t="str">
        <f t="shared" si="12"/>
        <v>"C:\Program Files (x86)\AstroGrep\AstroGrep.exe" /spath="%USERPROFILE%\AppData\Local\Temp\OnboardLogs" /stypes="*4009*20160818*"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5" t="str">
        <f t="shared" si="15"/>
        <v>"%USERPROFILE%\Documents\GitHub\eaglep3\Utilities\RefineRTDCRunTimes.py" --tripid 123-18 --locoid 4009 --swversion DE.1.0.7.0 --startMP 204:447 --initTime 2016-08-18T06:28:19 --startdatetime 2016-08-18T06:29:20 --delay 1 --endMP 204:233291 --enddatetime 2016-08-18T07:07:17 --enforcementcount 0</v>
      </c>
    </row>
    <row r="36" spans="1:34" s="1" customFormat="1" x14ac:dyDescent="0.25">
      <c r="A36" s="40" t="s">
        <v>389</v>
      </c>
      <c r="B36" s="7">
        <v>4010</v>
      </c>
      <c r="C36" s="25" t="s">
        <v>118</v>
      </c>
      <c r="D36" s="25" t="s">
        <v>222</v>
      </c>
      <c r="E36" s="16">
        <v>42600.307291666664</v>
      </c>
      <c r="F36" s="16">
        <v>42600.309027777781</v>
      </c>
      <c r="G36" s="7">
        <v>2</v>
      </c>
      <c r="H36" s="16" t="s">
        <v>217</v>
      </c>
      <c r="I36" s="16">
        <v>42600.337048611109</v>
      </c>
      <c r="J36" s="7">
        <v>0</v>
      </c>
      <c r="K36" s="142" t="str">
        <f t="shared" si="0"/>
        <v>4009/4010</v>
      </c>
      <c r="L36" s="25" t="str">
        <f>VLOOKUP(A36,'Trips&amp;Operators'!$C$1:$E$10000,3,FALSE)</f>
        <v>ROCHA</v>
      </c>
      <c r="M36" s="6">
        <f t="shared" si="1"/>
        <v>2.8020833327900618E-2</v>
      </c>
      <c r="N36" s="7">
        <f t="shared" si="17"/>
        <v>40.34999999217689</v>
      </c>
      <c r="O36" s="7"/>
      <c r="P36" s="7"/>
      <c r="Q36" s="26"/>
      <c r="R36" s="26"/>
      <c r="S36" s="38">
        <f t="shared" si="2"/>
        <v>1</v>
      </c>
      <c r="T36" s="53" t="str">
        <f t="shared" si="3"/>
        <v>Southbound</v>
      </c>
      <c r="U36" s="13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06:22:30-0600',mode:absolute,to:'2016-08-18 09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6" s="55" t="str">
        <f t="shared" si="5"/>
        <v>N</v>
      </c>
      <c r="X36" s="129">
        <f t="shared" si="6"/>
        <v>1</v>
      </c>
      <c r="Y36" s="70">
        <f t="shared" si="7"/>
        <v>23.2972</v>
      </c>
      <c r="Z36" s="70">
        <f t="shared" si="8"/>
        <v>1.61E-2</v>
      </c>
      <c r="AA36" s="70">
        <f t="shared" si="9"/>
        <v>23.281099999999999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si="10"/>
        <v>0124-18</v>
      </c>
      <c r="AE36" s="104" t="str">
        <f t="shared" si="11"/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AF36" s="101" t="str">
        <f t="shared" si="12"/>
        <v>"C:\Program Files (x86)\AstroGrep\AstroGrep.exe" /spath="%USERPROFILE%\AppData\Local\Temp\OnboardLogs" /stypes="*4010*20160818*"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5" t="str">
        <f t="shared" si="15"/>
        <v>"%USERPROFILE%\Documents\GitHub\eaglep3\Utilities\RefineRTDCRunTimes.py" --tripid 124-18 --locoid 4010 --swversion DE.1.0.7.0 --startMP 204:232972 --initTime 2016-08-18T07:22:30 --startdatetime 2016-08-18T07:25:00 --delay 2 --endMP 204:161 --enddatetime 2016-08-18T08:05:21 --enforcementcount 0</v>
      </c>
    </row>
    <row r="37" spans="1:34" s="1" customFormat="1" x14ac:dyDescent="0.25">
      <c r="A37" s="40" t="s">
        <v>322</v>
      </c>
      <c r="B37" s="7">
        <v>4025</v>
      </c>
      <c r="C37" s="25" t="s">
        <v>118</v>
      </c>
      <c r="D37" s="25" t="s">
        <v>154</v>
      </c>
      <c r="E37" s="16">
        <v>42600.279108796298</v>
      </c>
      <c r="F37" s="16">
        <v>42600.280104166668</v>
      </c>
      <c r="G37" s="7">
        <v>1</v>
      </c>
      <c r="H37" s="16" t="s">
        <v>263</v>
      </c>
      <c r="I37" s="16">
        <v>42600.307569444441</v>
      </c>
      <c r="J37" s="7">
        <v>0</v>
      </c>
      <c r="K37" s="142" t="str">
        <f t="shared" si="0"/>
        <v>4025/4026</v>
      </c>
      <c r="L37" s="25" t="str">
        <f>VLOOKUP(A37,'Trips&amp;Operators'!$C$1:$E$10000,3,FALSE)</f>
        <v>STARKS</v>
      </c>
      <c r="M37" s="6">
        <f t="shared" si="1"/>
        <v>2.7465277773444541E-2</v>
      </c>
      <c r="N37" s="7">
        <f t="shared" si="17"/>
        <v>39.549999993760139</v>
      </c>
      <c r="O37" s="7"/>
      <c r="P37" s="7"/>
      <c r="Q37" s="26"/>
      <c r="R37" s="26"/>
      <c r="S37" s="38">
        <f t="shared" si="2"/>
        <v>1</v>
      </c>
      <c r="T37" s="53" t="str">
        <f t="shared" si="3"/>
        <v>NorthBound</v>
      </c>
      <c r="U37" s="13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05:41:55-0600',mode:absolute,to:'2016-08-18 08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7" s="55" t="str">
        <f t="shared" si="5"/>
        <v>N</v>
      </c>
      <c r="X37" s="129">
        <f t="shared" si="6"/>
        <v>1</v>
      </c>
      <c r="Y37" s="70">
        <f t="shared" si="7"/>
        <v>4.5699999999999998E-2</v>
      </c>
      <c r="Z37" s="70">
        <f t="shared" si="8"/>
        <v>23.331099999999999</v>
      </c>
      <c r="AA37" s="70">
        <f t="shared" si="9"/>
        <v>23.285399999999999</v>
      </c>
      <c r="AB37" s="67">
        <f>VLOOKUP(A37,Enforcements!$C$7:$J$24,8,0)</f>
        <v>222090</v>
      </c>
      <c r="AC37" s="63" t="str">
        <f>VLOOKUP(A37,Enforcements!$C$7:$E$24,3,0)</f>
        <v>PERMANENT SPEED RESTRICTION</v>
      </c>
      <c r="AD37" s="64" t="str">
        <f t="shared" si="10"/>
        <v>0125-18</v>
      </c>
      <c r="AE37" s="104" t="str">
        <f t="shared" si="11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37" s="101" t="str">
        <f t="shared" si="12"/>
        <v>"C:\Program Files (x86)\AstroGrep\AstroGrep.exe" /spath="%USERPROFILE%\AppData\Local\Temp\OnboardLogs" /stypes="*4025*20160818*"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5" t="str">
        <f t="shared" si="15"/>
        <v>"%USERPROFILE%\Documents\GitHub\eaglep3\Utilities\RefineRTDCRunTimes.py" --tripid 125-18 --locoid 4025 --swversion DE.1.0.7.0 --startMP 204:457 --initTime 2016-08-18T06:41:55 --startdatetime 2016-08-18T06:43:21 --delay 1 --endMP 204:233311 --enddatetime 2016-08-18T07:22:54 --enforcementcount 0</v>
      </c>
    </row>
    <row r="38" spans="1:34" s="1" customFormat="1" x14ac:dyDescent="0.25">
      <c r="A38" s="40" t="s">
        <v>327</v>
      </c>
      <c r="B38" s="7">
        <v>4026</v>
      </c>
      <c r="C38" s="25" t="s">
        <v>118</v>
      </c>
      <c r="D38" s="25" t="s">
        <v>175</v>
      </c>
      <c r="E38" s="16">
        <v>42600.318518518521</v>
      </c>
      <c r="F38" s="16">
        <v>42600.319456018522</v>
      </c>
      <c r="G38" s="7">
        <v>1</v>
      </c>
      <c r="H38" s="16" t="s">
        <v>174</v>
      </c>
      <c r="I38" s="16">
        <v>42600.349236111113</v>
      </c>
      <c r="J38" s="7">
        <v>0</v>
      </c>
      <c r="K38" s="142" t="str">
        <f t="shared" si="0"/>
        <v>4025/4026</v>
      </c>
      <c r="L38" s="25" t="str">
        <f>VLOOKUP(A38,'Trips&amp;Operators'!$C$1:$E$10000,3,FALSE)</f>
        <v>STARKS</v>
      </c>
      <c r="M38" s="6">
        <f t="shared" si="1"/>
        <v>2.9780092590954155E-2</v>
      </c>
      <c r="N38" s="7">
        <f t="shared" si="17"/>
        <v>42.883333330973983</v>
      </c>
      <c r="O38" s="7"/>
      <c r="P38" s="7"/>
      <c r="Q38" s="26"/>
      <c r="R38" s="26"/>
      <c r="S38" s="38">
        <f t="shared" si="2"/>
        <v>1</v>
      </c>
      <c r="T38" s="53" t="str">
        <f t="shared" si="3"/>
        <v>Southbound</v>
      </c>
      <c r="U38" s="13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06:38:40-0600',mode:absolute,to:'2016-08-18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38" s="55" t="str">
        <f t="shared" si="5"/>
        <v>N</v>
      </c>
      <c r="X38" s="129">
        <f t="shared" si="6"/>
        <v>1</v>
      </c>
      <c r="Y38" s="70">
        <f t="shared" si="7"/>
        <v>23.296500000000002</v>
      </c>
      <c r="Z38" s="70">
        <f t="shared" si="8"/>
        <v>1.54E-2</v>
      </c>
      <c r="AA38" s="70">
        <f t="shared" si="9"/>
        <v>23.281100000000002</v>
      </c>
      <c r="AB38" s="67">
        <f>VLOOKUP(A38,Enforcements!$C$7:$J$24,8,0)</f>
        <v>78469</v>
      </c>
      <c r="AC38" s="63" t="str">
        <f>VLOOKUP(A38,Enforcements!$C$7:$E$24,3,0)</f>
        <v>GRADE CROSSING</v>
      </c>
      <c r="AD38" s="64" t="str">
        <f t="shared" si="10"/>
        <v>0126-18</v>
      </c>
      <c r="AE38" s="104" t="str">
        <f t="shared" si="11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38" s="101" t="str">
        <f t="shared" si="12"/>
        <v>"C:\Program Files (x86)\AstroGrep\AstroGrep.exe" /spath="%USERPROFILE%\AppData\Local\Temp\OnboardLogs" /stypes="*4026*20160818*"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5" t="str">
        <f t="shared" si="15"/>
        <v>"%USERPROFILE%\Documents\GitHub\eaglep3\Utilities\RefineRTDCRunTimes.py" --tripid 126-18 --locoid 4026 --swversion DE.1.0.7.0 --startMP 204:232965 --initTime 2016-08-18T07:38:40 --startdatetime 2016-08-18T07:40:01 --delay 1 --endMP 204:154 --enddatetime 2016-08-18T08:22:54 --enforcementcount 0</v>
      </c>
    </row>
    <row r="39" spans="1:34" s="1" customFormat="1" x14ac:dyDescent="0.25">
      <c r="A39" s="40" t="s">
        <v>390</v>
      </c>
      <c r="B39" s="7">
        <v>4038</v>
      </c>
      <c r="C39" s="25" t="s">
        <v>118</v>
      </c>
      <c r="D39" s="25" t="s">
        <v>149</v>
      </c>
      <c r="E39" s="16">
        <v>42600.289872685185</v>
      </c>
      <c r="F39" s="16">
        <v>42600.290775462963</v>
      </c>
      <c r="G39" s="7">
        <v>1</v>
      </c>
      <c r="H39" s="16" t="s">
        <v>275</v>
      </c>
      <c r="I39" s="16">
        <v>42600.317430555559</v>
      </c>
      <c r="J39" s="7">
        <v>0</v>
      </c>
      <c r="K39" s="142" t="str">
        <f t="shared" si="0"/>
        <v>4037/4038</v>
      </c>
      <c r="L39" s="25" t="str">
        <f>VLOOKUP(A39,'Trips&amp;Operators'!$C$1:$E$10000,3,FALSE)</f>
        <v>MAELZER</v>
      </c>
      <c r="M39" s="6">
        <f t="shared" si="1"/>
        <v>2.6655092595319729E-2</v>
      </c>
      <c r="N39" s="7">
        <f t="shared" si="17"/>
        <v>38.38333333726041</v>
      </c>
      <c r="O39" s="7"/>
      <c r="P39" s="7"/>
      <c r="Q39" s="26"/>
      <c r="R39" s="26"/>
      <c r="S39" s="38">
        <f t="shared" si="2"/>
        <v>1</v>
      </c>
      <c r="T39" s="53" t="str">
        <f t="shared" si="3"/>
        <v>NorthBound</v>
      </c>
      <c r="U39" s="13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05:57:25-0600',mode:absolute,to:'2016-08-18 08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9" s="55" t="str">
        <f t="shared" si="5"/>
        <v>N</v>
      </c>
      <c r="X39" s="129">
        <f t="shared" si="6"/>
        <v>1</v>
      </c>
      <c r="Y39" s="70">
        <f t="shared" si="7"/>
        <v>4.6899999999999997E-2</v>
      </c>
      <c r="Z39" s="70">
        <f t="shared" si="8"/>
        <v>23.3306</v>
      </c>
      <c r="AA39" s="70">
        <f t="shared" si="9"/>
        <v>23.2837</v>
      </c>
      <c r="AB39" s="67" t="e">
        <f>VLOOKUP(A39,Enforcements!$C$7:$J$24,8,0)</f>
        <v>#N/A</v>
      </c>
      <c r="AC39" s="63" t="e">
        <f>VLOOKUP(A39,Enforcements!$C$7:$E$24,3,0)</f>
        <v>#N/A</v>
      </c>
      <c r="AD39" s="64" t="str">
        <f t="shared" si="10"/>
        <v>0127-18</v>
      </c>
      <c r="AE39" s="104" t="str">
        <f t="shared" si="11"/>
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</c>
      <c r="AF39" s="101" t="str">
        <f t="shared" si="12"/>
        <v>"C:\Program Files (x86)\AstroGrep\AstroGrep.exe" /spath="%USERPROFILE%\AppData\Local\Temp\OnboardLogs" /stypes="*4038*20160818*"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5" t="str">
        <f t="shared" si="15"/>
        <v>"%USERPROFILE%\Documents\GitHub\eaglep3\Utilities\RefineRTDCRunTimes.py" --tripid 127-18 --locoid 4038 --swversion DE.1.0.7.0 --startMP 204:469 --initTime 2016-08-18T06:57:25 --startdatetime 2016-08-18T06:58:43 --delay 1 --endMP 204:233306 --enddatetime 2016-08-18T07:37:06 --enforcementcount 0</v>
      </c>
    </row>
    <row r="40" spans="1:34" s="1" customFormat="1" x14ac:dyDescent="0.25">
      <c r="A40" s="40" t="s">
        <v>391</v>
      </c>
      <c r="B40" s="7">
        <v>4037</v>
      </c>
      <c r="C40" s="25" t="s">
        <v>118</v>
      </c>
      <c r="D40" s="25" t="s">
        <v>222</v>
      </c>
      <c r="E40" s="16">
        <v>42600.322465277779</v>
      </c>
      <c r="F40" s="16">
        <v>42600.323252314818</v>
      </c>
      <c r="G40" s="7">
        <v>1</v>
      </c>
      <c r="H40" s="16" t="s">
        <v>266</v>
      </c>
      <c r="I40" s="16">
        <v>42600.35832175926</v>
      </c>
      <c r="J40" s="7">
        <v>0</v>
      </c>
      <c r="K40" s="142" t="str">
        <f t="shared" si="0"/>
        <v>4037/4038</v>
      </c>
      <c r="L40" s="25" t="str">
        <f>VLOOKUP(A40,'Trips&amp;Operators'!$C$1:$E$10000,3,FALSE)</f>
        <v>MAELZER</v>
      </c>
      <c r="M40" s="6">
        <f t="shared" si="1"/>
        <v>3.5069444442342501E-2</v>
      </c>
      <c r="N40" s="7">
        <f t="shared" si="17"/>
        <v>50.499999996973202</v>
      </c>
      <c r="O40" s="7"/>
      <c r="P40" s="7"/>
      <c r="Q40" s="26"/>
      <c r="R40" s="26"/>
      <c r="S40" s="38">
        <f t="shared" si="2"/>
        <v>1</v>
      </c>
      <c r="T40" s="53" t="str">
        <f t="shared" si="3"/>
        <v>Southbound</v>
      </c>
      <c r="U40" s="13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06:44:21-0600',mode:absolute,to:'2016-08-18 09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0" s="55" t="str">
        <f t="shared" si="5"/>
        <v>N</v>
      </c>
      <c r="X40" s="129">
        <f t="shared" si="6"/>
        <v>1</v>
      </c>
      <c r="Y40" s="70">
        <f t="shared" si="7"/>
        <v>23.2972</v>
      </c>
      <c r="Z40" s="70">
        <f t="shared" si="8"/>
        <v>1.4500000000000001E-2</v>
      </c>
      <c r="AA40" s="70">
        <f t="shared" si="9"/>
        <v>23.282699999999998</v>
      </c>
      <c r="AB40" s="67" t="e">
        <f>VLOOKUP(A40,Enforcements!$C$7:$J$24,8,0)</f>
        <v>#N/A</v>
      </c>
      <c r="AC40" s="63" t="e">
        <f>VLOOKUP(A40,Enforcements!$C$7:$E$24,3,0)</f>
        <v>#N/A</v>
      </c>
      <c r="AD40" s="64" t="str">
        <f t="shared" si="10"/>
        <v>0128-18</v>
      </c>
      <c r="AE40" s="104" t="str">
        <f t="shared" si="11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40" s="101" t="str">
        <f t="shared" si="12"/>
        <v>"C:\Program Files (x86)\AstroGrep\AstroGrep.exe" /spath="%USERPROFILE%\AppData\Local\Temp\OnboardLogs" /stypes="*4037*20160818*"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5" t="str">
        <f t="shared" si="15"/>
        <v>"%USERPROFILE%\Documents\GitHub\eaglep3\Utilities\RefineRTDCRunTimes.py" --tripid 128-18 --locoid 4037 --swversion DE.1.0.7.0 --startMP 204:232972 --initTime 2016-08-18T07:44:21 --startdatetime 2016-08-18T07:45:29 --delay 1 --endMP 204:145 --enddatetime 2016-08-18T08:35:59 --enforcementcount 0</v>
      </c>
    </row>
    <row r="41" spans="1:34" s="1" customFormat="1" x14ac:dyDescent="0.25">
      <c r="A41" s="40" t="s">
        <v>321</v>
      </c>
      <c r="B41" s="7">
        <v>4042</v>
      </c>
      <c r="C41" s="25" t="s">
        <v>118</v>
      </c>
      <c r="D41" s="25" t="s">
        <v>113</v>
      </c>
      <c r="E41" s="16">
        <v>42600.300057870372</v>
      </c>
      <c r="F41" s="16">
        <v>42600.301365740743</v>
      </c>
      <c r="G41" s="7">
        <v>1</v>
      </c>
      <c r="H41" s="16" t="s">
        <v>207</v>
      </c>
      <c r="I41" s="16">
        <v>42600.328912037039</v>
      </c>
      <c r="J41" s="7">
        <v>0</v>
      </c>
      <c r="K41" s="142" t="str">
        <f t="shared" si="0"/>
        <v>4041/4042</v>
      </c>
      <c r="L41" s="25" t="str">
        <f>VLOOKUP(A41,'Trips&amp;Operators'!$C$1:$E$10000,3,FALSE)</f>
        <v>BRANNON</v>
      </c>
      <c r="M41" s="6">
        <f t="shared" si="1"/>
        <v>2.7546296296350192E-2</v>
      </c>
      <c r="N41" s="7">
        <f t="shared" si="17"/>
        <v>39.666666666744277</v>
      </c>
      <c r="O41" s="7"/>
      <c r="P41" s="7"/>
      <c r="Q41" s="26"/>
      <c r="R41" s="26"/>
      <c r="S41" s="38">
        <f t="shared" si="2"/>
        <v>1</v>
      </c>
      <c r="T41" s="53" t="str">
        <f t="shared" si="3"/>
        <v>NorthBound</v>
      </c>
      <c r="U41" s="13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06:12:05-0600',mode:absolute,to:'2016-08-18 08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41" s="55" t="str">
        <f t="shared" si="5"/>
        <v>N</v>
      </c>
      <c r="X41" s="129">
        <f t="shared" si="6"/>
        <v>1</v>
      </c>
      <c r="Y41" s="70">
        <f t="shared" si="7"/>
        <v>4.6399999999999997E-2</v>
      </c>
      <c r="Z41" s="70">
        <f t="shared" si="8"/>
        <v>23.330500000000001</v>
      </c>
      <c r="AA41" s="70">
        <f t="shared" si="9"/>
        <v>23.284100000000002</v>
      </c>
      <c r="AB41" s="67">
        <f>VLOOKUP(A41,Enforcements!$C$7:$J$24,8,0)</f>
        <v>4677</v>
      </c>
      <c r="AC41" s="63" t="str">
        <f>VLOOKUP(A41,Enforcements!$C$7:$E$24,3,0)</f>
        <v>PERMANENT SPEED RESTRICTION</v>
      </c>
      <c r="AD41" s="64" t="str">
        <f t="shared" si="10"/>
        <v>0129-18</v>
      </c>
      <c r="AE41" s="104" t="str">
        <f t="shared" si="11"/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AF41" s="101" t="str">
        <f t="shared" si="12"/>
        <v>"C:\Program Files (x86)\AstroGrep\AstroGrep.exe" /spath="%USERPROFILE%\AppData\Local\Temp\OnboardLogs" /stypes="*4042*20160818*"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5" t="str">
        <f t="shared" si="15"/>
        <v>"%USERPROFILE%\Documents\GitHub\eaglep3\Utilities\RefineRTDCRunTimes.py" --tripid 129-18 --locoid 4042 --swversion DE.1.0.7.0 --startMP 204:464 --initTime 2016-08-18T07:12:05 --startdatetime 2016-08-18T07:13:58 --delay 1 --endMP 204:233305 --enddatetime 2016-08-18T07:53:38 --enforcementcount 0</v>
      </c>
    </row>
    <row r="42" spans="1:34" s="1" customFormat="1" x14ac:dyDescent="0.25">
      <c r="A42" s="40" t="s">
        <v>328</v>
      </c>
      <c r="B42" s="7">
        <v>4041</v>
      </c>
      <c r="C42" s="25" t="s">
        <v>118</v>
      </c>
      <c r="D42" s="25" t="s">
        <v>62</v>
      </c>
      <c r="E42" s="16">
        <v>42600.335393518515</v>
      </c>
      <c r="F42" s="16">
        <v>42600.336354166669</v>
      </c>
      <c r="G42" s="7">
        <v>1</v>
      </c>
      <c r="H42" s="16" t="s">
        <v>92</v>
      </c>
      <c r="I42" s="16">
        <v>42600.372175925928</v>
      </c>
      <c r="J42" s="7">
        <v>0</v>
      </c>
      <c r="K42" s="142" t="str">
        <f t="shared" si="0"/>
        <v>4041/4042</v>
      </c>
      <c r="L42" s="25" t="str">
        <f>VLOOKUP(A42,'Trips&amp;Operators'!$C$1:$E$10000,3,FALSE)</f>
        <v>BRANNON</v>
      </c>
      <c r="M42" s="6">
        <f t="shared" si="1"/>
        <v>3.5821759258396924E-2</v>
      </c>
      <c r="N42" s="7">
        <f t="shared" si="17"/>
        <v>51.58333333209157</v>
      </c>
      <c r="O42" s="7"/>
      <c r="P42" s="7"/>
      <c r="Q42" s="26"/>
      <c r="R42" s="26"/>
      <c r="S42" s="38">
        <f t="shared" si="2"/>
        <v>1</v>
      </c>
      <c r="T42" s="53" t="str">
        <f t="shared" si="3"/>
        <v>Southbound</v>
      </c>
      <c r="U42" s="13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07:02:58-0600',mode:absolute,to:'2016-08-18 09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42" s="55" t="str">
        <f t="shared" si="5"/>
        <v>N</v>
      </c>
      <c r="X42" s="129">
        <f t="shared" si="6"/>
        <v>1</v>
      </c>
      <c r="Y42" s="70">
        <f t="shared" si="7"/>
        <v>23.297699999999999</v>
      </c>
      <c r="Z42" s="70">
        <f t="shared" si="8"/>
        <v>1.43E-2</v>
      </c>
      <c r="AA42" s="70">
        <f t="shared" si="9"/>
        <v>23.2834</v>
      </c>
      <c r="AB42" s="67">
        <f>VLOOKUP(A42,Enforcements!$C$7:$J$24,8,0)</f>
        <v>119716</v>
      </c>
      <c r="AC42" s="63" t="str">
        <f>VLOOKUP(A42,Enforcements!$C$7:$E$24,3,0)</f>
        <v>PERMANENT SPEED RESTRICTION</v>
      </c>
      <c r="AD42" s="64" t="str">
        <f t="shared" si="10"/>
        <v>0130-18</v>
      </c>
      <c r="AE42" s="104" t="str">
        <f t="shared" si="11"/>
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</c>
      <c r="AF42" s="101" t="str">
        <f t="shared" si="12"/>
        <v>"C:\Program Files (x86)\AstroGrep\AstroGrep.exe" /spath="%USERPROFILE%\AppData\Local\Temp\OnboardLogs" /stypes="*4041*20160818*"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5" t="str">
        <f t="shared" si="15"/>
        <v>"%USERPROFILE%\Documents\GitHub\eaglep3\Utilities\RefineRTDCRunTimes.py" --tripid 130-18 --locoid 4041 --swversion DE.1.0.7.0 --startMP 204:232977 --initTime 2016-08-18T08:02:58 --startdatetime 2016-08-18T08:04:21 --delay 1 --endMP 204:143 --enddatetime 2016-08-18T08:55:56 --enforcementcount 0</v>
      </c>
    </row>
    <row r="43" spans="1:34" s="1" customFormat="1" x14ac:dyDescent="0.25">
      <c r="A43" s="40" t="s">
        <v>392</v>
      </c>
      <c r="B43" s="7">
        <v>4044</v>
      </c>
      <c r="C43" s="25" t="s">
        <v>118</v>
      </c>
      <c r="D43" s="25" t="s">
        <v>164</v>
      </c>
      <c r="E43" s="16">
        <v>42600.310069444444</v>
      </c>
      <c r="F43" s="16">
        <v>42600.311562499999</v>
      </c>
      <c r="G43" s="7">
        <v>2</v>
      </c>
      <c r="H43" s="16" t="s">
        <v>278</v>
      </c>
      <c r="I43" s="16">
        <v>42600.338287037041</v>
      </c>
      <c r="J43" s="7">
        <v>0</v>
      </c>
      <c r="K43" s="142" t="str">
        <f t="shared" si="0"/>
        <v>4043/4044</v>
      </c>
      <c r="L43" s="25" t="str">
        <f>VLOOKUP(A43,'Trips&amp;Operators'!$C$1:$E$10000,3,FALSE)</f>
        <v>SPECTOR</v>
      </c>
      <c r="M43" s="6">
        <f t="shared" si="1"/>
        <v>2.6724537041445728E-2</v>
      </c>
      <c r="N43" s="7">
        <f t="shared" si="17"/>
        <v>38.483333339681849</v>
      </c>
      <c r="O43" s="7"/>
      <c r="P43" s="7"/>
      <c r="Q43" s="26"/>
      <c r="R43" s="26"/>
      <c r="S43" s="38">
        <f t="shared" si="2"/>
        <v>1</v>
      </c>
      <c r="T43" s="53" t="str">
        <f t="shared" si="3"/>
        <v>NorthBound</v>
      </c>
      <c r="U43" s="13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06:26:30-0600',mode:absolute,to:'2016-08-18 09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3" s="55" t="str">
        <f t="shared" si="5"/>
        <v>N</v>
      </c>
      <c r="X43" s="129">
        <f t="shared" si="6"/>
        <v>1</v>
      </c>
      <c r="Y43" s="70">
        <f t="shared" si="7"/>
        <v>4.4200000000000003E-2</v>
      </c>
      <c r="Z43" s="70">
        <f t="shared" si="8"/>
        <v>23.331499999999998</v>
      </c>
      <c r="AA43" s="70">
        <f t="shared" si="9"/>
        <v>23.287299999999998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10"/>
        <v>0131-18</v>
      </c>
      <c r="AE43" s="104" t="str">
        <f t="shared" si="11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43" s="101" t="str">
        <f t="shared" si="12"/>
        <v>"C:\Program Files (x86)\AstroGrep\AstroGrep.exe" /spath="%USERPROFILE%\AppData\Local\Temp\OnboardLogs" /stypes="*4044*20160818*"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105" t="str">
        <f t="shared" si="15"/>
        <v>"%USERPROFILE%\Documents\GitHub\eaglep3\Utilities\RefineRTDCRunTimes.py" --tripid 131-18 --locoid 4044 --swversion DE.1.0.7.0 --startMP 204:442 --initTime 2016-08-18T07:26:30 --startdatetime 2016-08-18T07:28:39 --delay 2 --endMP 204:233315 --enddatetime 2016-08-18T08:07:08 --enforcementcount 0</v>
      </c>
    </row>
    <row r="44" spans="1:34" s="1" customFormat="1" x14ac:dyDescent="0.25">
      <c r="A44" s="40" t="s">
        <v>393</v>
      </c>
      <c r="B44" s="7">
        <v>4043</v>
      </c>
      <c r="C44" s="25" t="s">
        <v>118</v>
      </c>
      <c r="D44" s="25" t="s">
        <v>121</v>
      </c>
      <c r="E44" s="16">
        <v>42600.34579861111</v>
      </c>
      <c r="F44" s="16">
        <v>42600.347060185188</v>
      </c>
      <c r="G44" s="7">
        <v>1</v>
      </c>
      <c r="H44" s="16" t="s">
        <v>169</v>
      </c>
      <c r="I44" s="16">
        <v>42600.378969907404</v>
      </c>
      <c r="J44" s="7">
        <v>0</v>
      </c>
      <c r="K44" s="142" t="str">
        <f t="shared" si="0"/>
        <v>4043/4044</v>
      </c>
      <c r="L44" s="25" t="str">
        <f>VLOOKUP(A44,'Trips&amp;Operators'!$C$1:$E$10000,3,FALSE)</f>
        <v>SPECTOR</v>
      </c>
      <c r="M44" s="6">
        <f t="shared" si="1"/>
        <v>3.1909722216369119E-2</v>
      </c>
      <c r="N44" s="7">
        <f t="shared" si="17"/>
        <v>45.949999991571531</v>
      </c>
      <c r="O44" s="7"/>
      <c r="P44" s="7"/>
      <c r="Q44" s="26"/>
      <c r="R44" s="26"/>
      <c r="S44" s="38">
        <f t="shared" si="2"/>
        <v>1</v>
      </c>
      <c r="T44" s="53" t="str">
        <f t="shared" si="3"/>
        <v>Southbound</v>
      </c>
      <c r="U44" s="13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07:17:57-0600',mode:absolute,to:'2016-08-18 10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4" s="55" t="str">
        <f t="shared" si="5"/>
        <v>N</v>
      </c>
      <c r="X44" s="129">
        <f t="shared" si="6"/>
        <v>1</v>
      </c>
      <c r="Y44" s="70">
        <f t="shared" si="7"/>
        <v>23.299299999999999</v>
      </c>
      <c r="Z44" s="70">
        <f t="shared" si="8"/>
        <v>1.4999999999999999E-2</v>
      </c>
      <c r="AA44" s="70">
        <f t="shared" si="9"/>
        <v>23.284299999999998</v>
      </c>
      <c r="AB44" s="67" t="e">
        <f>VLOOKUP(A44,Enforcements!$C$7:$J$24,8,0)</f>
        <v>#N/A</v>
      </c>
      <c r="AC44" s="63" t="e">
        <f>VLOOKUP(A44,Enforcements!$C$7:$E$24,3,0)</f>
        <v>#N/A</v>
      </c>
      <c r="AD44" s="64" t="str">
        <f t="shared" si="10"/>
        <v>0132-18</v>
      </c>
      <c r="AE44" s="104" t="str">
        <f t="shared" si="11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44" s="101" t="str">
        <f t="shared" si="12"/>
        <v>"C:\Program Files (x86)\AstroGrep\AstroGrep.exe" /spath="%USERPROFILE%\AppData\Local\Temp\OnboardLogs" /stypes="*4043*20160818*"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105" t="str">
        <f t="shared" si="15"/>
        <v>"%USERPROFILE%\Documents\GitHub\eaglep3\Utilities\RefineRTDCRunTimes.py" --tripid 132-18 --locoid 4043 --swversion DE.1.0.7.0 --startMP 204:232993 --initTime 2016-08-18T08:17:57 --startdatetime 2016-08-18T08:19:46 --delay 1 --endMP 204:150 --enddatetime 2016-08-18T09:05:43 --enforcementcount 0</v>
      </c>
    </row>
    <row r="45" spans="1:34" s="1" customFormat="1" x14ac:dyDescent="0.25">
      <c r="A45" s="40" t="s">
        <v>394</v>
      </c>
      <c r="B45" s="7">
        <v>4027</v>
      </c>
      <c r="C45" s="25" t="s">
        <v>118</v>
      </c>
      <c r="D45" s="25" t="s">
        <v>132</v>
      </c>
      <c r="E45" s="16">
        <v>42600.322314814817</v>
      </c>
      <c r="F45" s="16">
        <v>42600.323518518519</v>
      </c>
      <c r="G45" s="7">
        <v>1</v>
      </c>
      <c r="H45" s="16" t="s">
        <v>395</v>
      </c>
      <c r="I45" s="16">
        <v>42600.350486111114</v>
      </c>
      <c r="J45" s="7">
        <v>0</v>
      </c>
      <c r="K45" s="142" t="str">
        <f t="shared" si="0"/>
        <v>4027/4028</v>
      </c>
      <c r="L45" s="25" t="str">
        <f>VLOOKUP(A45,'Trips&amp;Operators'!$C$1:$E$10000,3,FALSE)</f>
        <v>SWANSON</v>
      </c>
      <c r="M45" s="6">
        <f t="shared" si="1"/>
        <v>2.6967592595610768E-2</v>
      </c>
      <c r="N45" s="7">
        <f t="shared" si="17"/>
        <v>38.833333337679505</v>
      </c>
      <c r="O45" s="7"/>
      <c r="P45" s="7"/>
      <c r="Q45" s="26"/>
      <c r="R45" s="26"/>
      <c r="S45" s="38">
        <f t="shared" ref="S45:S73" si="18">SUM(U45:U45)/IF(AG45="EC",12,1)</f>
        <v>1</v>
      </c>
      <c r="T45" s="53" t="str">
        <f t="shared" si="3"/>
        <v>NorthBound</v>
      </c>
      <c r="U45" s="13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06:44:08-0600',mode:absolute,to:'2016-08-18 09:24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5" s="55" t="str">
        <f t="shared" si="5"/>
        <v>N</v>
      </c>
      <c r="X45" s="129">
        <f t="shared" ref="X45:X66" si="19">VALUE(LEFT(AD45,4))-VALUE(LEFT(AD44,4))</f>
        <v>1</v>
      </c>
      <c r="Y45" s="70">
        <f t="shared" si="7"/>
        <v>4.5499999999999999E-2</v>
      </c>
      <c r="Z45" s="70">
        <f t="shared" si="8"/>
        <v>23.329699999999999</v>
      </c>
      <c r="AA45" s="70">
        <f t="shared" si="9"/>
        <v>23.284199999999998</v>
      </c>
      <c r="AB45" s="67" t="e">
        <f>VLOOKUP(A45,Enforcements!$C$7:$J$24,8,0)</f>
        <v>#N/A</v>
      </c>
      <c r="AC45" s="63" t="e">
        <f>VLOOKUP(A45,Enforcements!$C$7:$E$24,3,0)</f>
        <v>#N/A</v>
      </c>
      <c r="AD45" s="64" t="str">
        <f t="shared" si="10"/>
        <v>0133-18</v>
      </c>
      <c r="AE45" s="104" t="str">
        <f t="shared" si="11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45" s="101" t="str">
        <f t="shared" si="12"/>
        <v>"C:\Program Files (x86)\AstroGrep\AstroGrep.exe" /spath="%USERPROFILE%\AppData\Local\Temp\OnboardLogs" /stypes="*4027*20160818*"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105" t="str">
        <f t="shared" si="15"/>
        <v>"%USERPROFILE%\Documents\GitHub\eaglep3\Utilities\RefineRTDCRunTimes.py" --tripid 133-18 --locoid 4027 --swversion DE.1.0.7.0 --startMP 204:455 --initTime 2016-08-18T07:44:08 --startdatetime 2016-08-18T07:45:52 --delay 1 --endMP 204:233297 --enddatetime 2016-08-18T08:24:42 --enforcementcount 0</v>
      </c>
    </row>
    <row r="46" spans="1:34" s="1" customFormat="1" x14ac:dyDescent="0.25">
      <c r="A46" s="40" t="s">
        <v>396</v>
      </c>
      <c r="B46" s="7">
        <v>4028</v>
      </c>
      <c r="C46" s="25" t="s">
        <v>118</v>
      </c>
      <c r="D46" s="25" t="s">
        <v>62</v>
      </c>
      <c r="E46" s="16">
        <v>42600.358263888891</v>
      </c>
      <c r="F46" s="16">
        <v>42600.3594212963</v>
      </c>
      <c r="G46" s="7">
        <v>1</v>
      </c>
      <c r="H46" s="16" t="s">
        <v>397</v>
      </c>
      <c r="I46" s="16">
        <v>42600.390185185184</v>
      </c>
      <c r="J46" s="7">
        <v>0</v>
      </c>
      <c r="K46" s="142" t="str">
        <f t="shared" si="0"/>
        <v>4027/4028</v>
      </c>
      <c r="L46" s="25" t="str">
        <f>VLOOKUP(A46,'Trips&amp;Operators'!$C$1:$E$10000,3,FALSE)</f>
        <v>SWANSON</v>
      </c>
      <c r="M46" s="6">
        <f t="shared" si="1"/>
        <v>3.0763888884393964E-2</v>
      </c>
      <c r="N46" s="7">
        <f t="shared" si="17"/>
        <v>44.299999993527308</v>
      </c>
      <c r="O46" s="7"/>
      <c r="P46" s="7"/>
      <c r="Q46" s="26"/>
      <c r="R46" s="26"/>
      <c r="S46" s="38">
        <f t="shared" si="18"/>
        <v>1</v>
      </c>
      <c r="T46" s="53" t="str">
        <f t="shared" si="3"/>
        <v>Southbound</v>
      </c>
      <c r="U46" s="13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07:35:54-0600',mode:absolute,to:'2016-08-18 10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6" s="55" t="str">
        <f t="shared" si="5"/>
        <v>N</v>
      </c>
      <c r="X46" s="129">
        <f t="shared" si="19"/>
        <v>1</v>
      </c>
      <c r="Y46" s="70">
        <f t="shared" si="7"/>
        <v>23.297699999999999</v>
      </c>
      <c r="Z46" s="70">
        <f t="shared" si="8"/>
        <v>1.21E-2</v>
      </c>
      <c r="AA46" s="70">
        <f t="shared" si="9"/>
        <v>23.285599999999999</v>
      </c>
      <c r="AB46" s="67" t="e">
        <f>VLOOKUP(A46,Enforcements!$C$7:$J$24,8,0)</f>
        <v>#N/A</v>
      </c>
      <c r="AC46" s="63" t="e">
        <f>VLOOKUP(A46,Enforcements!$C$7:$E$24,3,0)</f>
        <v>#N/A</v>
      </c>
      <c r="AD46" s="64" t="str">
        <f t="shared" si="10"/>
        <v>0134-18</v>
      </c>
      <c r="AE46" s="104" t="str">
        <f t="shared" si="11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46" s="101" t="str">
        <f t="shared" si="12"/>
        <v>"C:\Program Files (x86)\AstroGrep\AstroGrep.exe" /spath="%USERPROFILE%\AppData\Local\Temp\OnboardLogs" /stypes="*4028*20160818*"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105" t="str">
        <f t="shared" si="15"/>
        <v>"%USERPROFILE%\Documents\GitHub\eaglep3\Utilities\RefineRTDCRunTimes.py" --tripid 134-18 --locoid 4028 --swversion DE.1.0.7.0 --startMP 204:232977 --initTime 2016-08-18T08:35:54 --startdatetime 2016-08-18T08:37:34 --delay 1 --endMP 204:121 --enddatetime 2016-08-18T09:21:52 --enforcementcount 0</v>
      </c>
    </row>
    <row r="47" spans="1:34" s="1" customFormat="1" x14ac:dyDescent="0.25">
      <c r="A47" s="40" t="s">
        <v>398</v>
      </c>
      <c r="B47" s="7">
        <v>4007</v>
      </c>
      <c r="C47" s="25" t="s">
        <v>118</v>
      </c>
      <c r="D47" s="25" t="s">
        <v>61</v>
      </c>
      <c r="E47" s="16">
        <v>42600.33011574074</v>
      </c>
      <c r="F47" s="16">
        <v>42600.331261574072</v>
      </c>
      <c r="G47" s="7">
        <v>1</v>
      </c>
      <c r="H47" s="16" t="s">
        <v>240</v>
      </c>
      <c r="I47" s="16">
        <v>42600.360775462963</v>
      </c>
      <c r="J47" s="7">
        <v>0</v>
      </c>
      <c r="K47" s="142" t="str">
        <f t="shared" si="0"/>
        <v>4007/4008</v>
      </c>
      <c r="L47" s="25" t="str">
        <f>VLOOKUP(A47,'Trips&amp;Operators'!$C$1:$E$10000,3,FALSE)</f>
        <v>STRICKLAND</v>
      </c>
      <c r="M47" s="6">
        <f t="shared" si="1"/>
        <v>2.9513888890505768E-2</v>
      </c>
      <c r="N47" s="7">
        <f t="shared" si="17"/>
        <v>42.500000002328306</v>
      </c>
      <c r="O47" s="7"/>
      <c r="P47" s="7"/>
      <c r="Q47" s="26"/>
      <c r="R47" s="26"/>
      <c r="S47" s="38">
        <f t="shared" si="18"/>
        <v>1</v>
      </c>
      <c r="T47" s="53" t="str">
        <f t="shared" si="3"/>
        <v>NorthBound</v>
      </c>
      <c r="U47" s="13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06:55:22-0600',mode:absolute,to:'2016-08-18 09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7" s="55" t="str">
        <f t="shared" si="5"/>
        <v>N</v>
      </c>
      <c r="X47" s="129">
        <f t="shared" si="19"/>
        <v>1</v>
      </c>
      <c r="Y47" s="70">
        <f t="shared" si="7"/>
        <v>4.5999999999999999E-2</v>
      </c>
      <c r="Z47" s="70">
        <f t="shared" si="8"/>
        <v>23.331399999999999</v>
      </c>
      <c r="AA47" s="70">
        <f t="shared" si="9"/>
        <v>23.285399999999999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10"/>
        <v>0135-18</v>
      </c>
      <c r="AE47" s="104" t="str">
        <f t="shared" si="11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47" s="101" t="str">
        <f t="shared" si="12"/>
        <v>"C:\Program Files (x86)\AstroGrep\AstroGrep.exe" /spath="%USERPROFILE%\AppData\Local\Temp\OnboardLogs" /stypes="*4007*20160818*"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105" t="str">
        <f t="shared" si="15"/>
        <v>"%USERPROFILE%\Documents\GitHub\eaglep3\Utilities\RefineRTDCRunTimes.py" --tripid 135-18 --locoid 4007 --swversion DE.1.0.7.0 --startMP 204:460 --initTime 2016-08-18T07:55:22 --startdatetime 2016-08-18T07:57:01 --delay 1 --endMP 204:233314 --enddatetime 2016-08-18T08:39:31 --enforcementcount 0</v>
      </c>
    </row>
    <row r="48" spans="1:34" s="1" customFormat="1" x14ac:dyDescent="0.25">
      <c r="A48" s="40" t="s">
        <v>399</v>
      </c>
      <c r="B48" s="7">
        <v>4008</v>
      </c>
      <c r="C48" s="25" t="s">
        <v>118</v>
      </c>
      <c r="D48" s="25" t="s">
        <v>62</v>
      </c>
      <c r="E48" s="16">
        <v>42600.366990740738</v>
      </c>
      <c r="F48" s="16">
        <v>42600.368275462963</v>
      </c>
      <c r="G48" s="7">
        <v>1</v>
      </c>
      <c r="H48" s="16" t="s">
        <v>400</v>
      </c>
      <c r="I48" s="16">
        <v>42600.400671296295</v>
      </c>
      <c r="J48" s="7">
        <v>0</v>
      </c>
      <c r="K48" s="142" t="str">
        <f t="shared" si="0"/>
        <v>4007/4008</v>
      </c>
      <c r="L48" s="25" t="str">
        <f>VLOOKUP(A48,'Trips&amp;Operators'!$C$1:$E$10000,3,FALSE)</f>
        <v>STRICKLAND</v>
      </c>
      <c r="M48" s="6">
        <f t="shared" si="1"/>
        <v>3.2395833331975155E-2</v>
      </c>
      <c r="N48" s="7">
        <f t="shared" si="17"/>
        <v>46.649999998044223</v>
      </c>
      <c r="O48" s="7"/>
      <c r="P48" s="7"/>
      <c r="Q48" s="26"/>
      <c r="R48" s="26"/>
      <c r="S48" s="38">
        <f t="shared" si="18"/>
        <v>1</v>
      </c>
      <c r="T48" s="53" t="str">
        <f t="shared" si="3"/>
        <v>Southbound</v>
      </c>
      <c r="U48" s="13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07:48:28-0600',mode:absolute,to:'2016-08-18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48" s="55" t="str">
        <f t="shared" si="5"/>
        <v>N</v>
      </c>
      <c r="X48" s="129">
        <f t="shared" si="19"/>
        <v>1</v>
      </c>
      <c r="Y48" s="70">
        <f t="shared" si="7"/>
        <v>23.297699999999999</v>
      </c>
      <c r="Z48" s="70">
        <f t="shared" si="8"/>
        <v>1.6899999999999998E-2</v>
      </c>
      <c r="AA48" s="70">
        <f t="shared" si="9"/>
        <v>23.280799999999999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10"/>
        <v>0136-18</v>
      </c>
      <c r="AE48" s="104" t="str">
        <f t="shared" si="11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48" s="101" t="str">
        <f t="shared" si="12"/>
        <v>"C:\Program Files (x86)\AstroGrep\AstroGrep.exe" /spath="%USERPROFILE%\AppData\Local\Temp\OnboardLogs" /stypes="*4008*20160818*"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105" t="str">
        <f t="shared" si="15"/>
        <v>"%USERPROFILE%\Documents\GitHub\eaglep3\Utilities\RefineRTDCRunTimes.py" --tripid 136-18 --locoid 4008 --swversion DE.1.0.7.0 --startMP 204:232977 --initTime 2016-08-18T08:48:28 --startdatetime 2016-08-18T08:50:19 --delay 1 --endMP 204:169 --enddatetime 2016-08-18T09:36:58 --enforcementcount 0</v>
      </c>
    </row>
    <row r="49" spans="1:34" s="1" customFormat="1" x14ac:dyDescent="0.25">
      <c r="A49" s="40" t="s">
        <v>401</v>
      </c>
      <c r="B49" s="7">
        <v>4009</v>
      </c>
      <c r="C49" s="25" t="s">
        <v>118</v>
      </c>
      <c r="D49" s="25" t="s">
        <v>140</v>
      </c>
      <c r="E49" s="16">
        <v>42600.342233796298</v>
      </c>
      <c r="F49" s="16">
        <v>42600.343368055554</v>
      </c>
      <c r="G49" s="7">
        <v>1</v>
      </c>
      <c r="H49" s="16" t="s">
        <v>270</v>
      </c>
      <c r="I49" s="16">
        <v>42600.368217592593</v>
      </c>
      <c r="J49" s="7">
        <v>0</v>
      </c>
      <c r="K49" s="142" t="str">
        <f t="shared" si="0"/>
        <v>4009/4010</v>
      </c>
      <c r="L49" s="25" t="str">
        <f>VLOOKUP(A49,'Trips&amp;Operators'!$C$1:$E$10000,3,FALSE)</f>
        <v>ROCHA</v>
      </c>
      <c r="M49" s="6">
        <f t="shared" si="1"/>
        <v>2.4849537039699499E-2</v>
      </c>
      <c r="N49" s="7">
        <f t="shared" si="17"/>
        <v>35.783333337167278</v>
      </c>
      <c r="O49" s="7"/>
      <c r="P49" s="7"/>
      <c r="Q49" s="26"/>
      <c r="R49" s="26"/>
      <c r="S49" s="38">
        <f t="shared" si="18"/>
        <v>1</v>
      </c>
      <c r="T49" s="53" t="str">
        <f t="shared" si="3"/>
        <v>NorthBound</v>
      </c>
      <c r="U49" s="13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07:12:49-0600',mode:absolute,to:'2016-08-18 09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9" s="55" t="str">
        <f t="shared" si="5"/>
        <v>N</v>
      </c>
      <c r="X49" s="129">
        <f t="shared" si="19"/>
        <v>1</v>
      </c>
      <c r="Y49" s="70">
        <f t="shared" si="7"/>
        <v>4.53E-2</v>
      </c>
      <c r="Z49" s="70">
        <f t="shared" si="8"/>
        <v>23.328199999999999</v>
      </c>
      <c r="AA49" s="70">
        <f t="shared" si="9"/>
        <v>23.282899999999998</v>
      </c>
      <c r="AB49" s="67" t="e">
        <f>VLOOKUP(A49,Enforcements!$C$7:$J$24,8,0)</f>
        <v>#N/A</v>
      </c>
      <c r="AC49" s="63" t="e">
        <f>VLOOKUP(A49,Enforcements!$C$7:$E$24,3,0)</f>
        <v>#N/A</v>
      </c>
      <c r="AD49" s="64" t="str">
        <f t="shared" si="10"/>
        <v>0137-18</v>
      </c>
      <c r="AE49" s="104" t="str">
        <f t="shared" si="11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49" s="101" t="str">
        <f t="shared" si="12"/>
        <v>"C:\Program Files (x86)\AstroGrep\AstroGrep.exe" /spath="%USERPROFILE%\AppData\Local\Temp\OnboardLogs" /stypes="*4009*20160818*"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105" t="str">
        <f t="shared" si="15"/>
        <v>"%USERPROFILE%\Documents\GitHub\eaglep3\Utilities\RefineRTDCRunTimes.py" --tripid 137-18 --locoid 4009 --swversion DE.1.0.7.0 --startMP 204:453 --initTime 2016-08-18T08:12:49 --startdatetime 2016-08-18T08:14:27 --delay 1 --endMP 204:233282 --enddatetime 2016-08-18T08:50:14 --enforcementcount 0</v>
      </c>
    </row>
    <row r="50" spans="1:34" s="1" customFormat="1" x14ac:dyDescent="0.25">
      <c r="A50" s="40" t="s">
        <v>402</v>
      </c>
      <c r="B50" s="7">
        <v>4010</v>
      </c>
      <c r="C50" s="25" t="s">
        <v>118</v>
      </c>
      <c r="D50" s="25" t="s">
        <v>236</v>
      </c>
      <c r="E50" s="16">
        <v>42600.380925925929</v>
      </c>
      <c r="F50" s="16">
        <v>42600.382199074076</v>
      </c>
      <c r="G50" s="7">
        <v>1</v>
      </c>
      <c r="H50" s="16" t="s">
        <v>266</v>
      </c>
      <c r="I50" s="16">
        <v>42600.409247685187</v>
      </c>
      <c r="J50" s="7">
        <v>0</v>
      </c>
      <c r="K50" s="142" t="str">
        <f t="shared" si="0"/>
        <v>4009/4010</v>
      </c>
      <c r="L50" s="25" t="str">
        <f>VLOOKUP(A50,'Trips&amp;Operators'!$C$1:$E$10000,3,FALSE)</f>
        <v>ROCHA</v>
      </c>
      <c r="M50" s="6">
        <f t="shared" si="1"/>
        <v>2.7048611111240461E-2</v>
      </c>
      <c r="N50" s="7">
        <f t="shared" si="17"/>
        <v>38.950000000186265</v>
      </c>
      <c r="O50" s="7"/>
      <c r="P50" s="7"/>
      <c r="Q50" s="26"/>
      <c r="R50" s="26"/>
      <c r="S50" s="38">
        <f t="shared" si="18"/>
        <v>1</v>
      </c>
      <c r="T50" s="53" t="str">
        <f t="shared" si="3"/>
        <v>Southbound</v>
      </c>
      <c r="U50" s="13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08:08:32-0600',mode:absolute,to:'2016-08-18 10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0" s="55" t="str">
        <f t="shared" si="5"/>
        <v>N</v>
      </c>
      <c r="X50" s="129">
        <f t="shared" si="19"/>
        <v>1</v>
      </c>
      <c r="Y50" s="70">
        <f t="shared" si="7"/>
        <v>23.2973</v>
      </c>
      <c r="Z50" s="70">
        <f t="shared" si="8"/>
        <v>1.4500000000000001E-2</v>
      </c>
      <c r="AA50" s="70">
        <f t="shared" si="9"/>
        <v>23.282799999999998</v>
      </c>
      <c r="AB50" s="67" t="e">
        <f>VLOOKUP(A50,Enforcements!$C$7:$J$24,8,0)</f>
        <v>#N/A</v>
      </c>
      <c r="AC50" s="63" t="e">
        <f>VLOOKUP(A50,Enforcements!$C$7:$E$24,3,0)</f>
        <v>#N/A</v>
      </c>
      <c r="AD50" s="64" t="str">
        <f t="shared" si="10"/>
        <v>0138-18</v>
      </c>
      <c r="AE50" s="104" t="str">
        <f t="shared" si="11"/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AF50" s="101" t="str">
        <f t="shared" si="12"/>
        <v>"C:\Program Files (x86)\AstroGrep\AstroGrep.exe" /spath="%USERPROFILE%\AppData\Local\Temp\OnboardLogs" /stypes="*4010*20160818*"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105" t="str">
        <f t="shared" si="15"/>
        <v>"%USERPROFILE%\Documents\GitHub\eaglep3\Utilities\RefineRTDCRunTimes.py" --tripid 138-18 --locoid 4010 --swversion DE.1.0.7.0 --startMP 204:232973 --initTime 2016-08-18T09:08:32 --startdatetime 2016-08-18T09:10:22 --delay 1 --endMP 204:145 --enddatetime 2016-08-18T09:49:19 --enforcementcount 0</v>
      </c>
    </row>
    <row r="51" spans="1:34" s="1" customFormat="1" x14ac:dyDescent="0.25">
      <c r="A51" s="40" t="s">
        <v>403</v>
      </c>
      <c r="B51" s="7">
        <v>4025</v>
      </c>
      <c r="C51" s="25" t="s">
        <v>118</v>
      </c>
      <c r="D51" s="25" t="s">
        <v>132</v>
      </c>
      <c r="E51" s="16">
        <v>42600.350949074076</v>
      </c>
      <c r="F51" s="16">
        <v>42600.351875</v>
      </c>
      <c r="G51" s="7">
        <v>1</v>
      </c>
      <c r="H51" s="16" t="s">
        <v>162</v>
      </c>
      <c r="I51" s="16">
        <v>42600.380879629629</v>
      </c>
      <c r="J51" s="7">
        <v>0</v>
      </c>
      <c r="K51" s="142" t="str">
        <f t="shared" si="0"/>
        <v>4025/4026</v>
      </c>
      <c r="L51" s="25" t="str">
        <f>VLOOKUP(A51,'Trips&amp;Operators'!$C$1:$E$10000,3,FALSE)</f>
        <v>STARKS</v>
      </c>
      <c r="M51" s="6">
        <f t="shared" si="1"/>
        <v>2.9004629628616385E-2</v>
      </c>
      <c r="N51" s="7">
        <f t="shared" si="17"/>
        <v>41.766666665207595</v>
      </c>
      <c r="O51" s="7"/>
      <c r="P51" s="7"/>
      <c r="Q51" s="26"/>
      <c r="R51" s="26"/>
      <c r="S51" s="38">
        <f t="shared" si="18"/>
        <v>1</v>
      </c>
      <c r="T51" s="53" t="str">
        <f t="shared" si="3"/>
        <v>NorthBound</v>
      </c>
      <c r="U51" s="13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07:25:22-0600',mode:absolute,to:'2016-08-18 10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1" s="55" t="str">
        <f t="shared" si="5"/>
        <v>N</v>
      </c>
      <c r="X51" s="129">
        <f t="shared" si="19"/>
        <v>1</v>
      </c>
      <c r="Y51" s="70">
        <f t="shared" si="7"/>
        <v>4.5499999999999999E-2</v>
      </c>
      <c r="Z51" s="70">
        <f t="shared" si="8"/>
        <v>23.33</v>
      </c>
      <c r="AA51" s="70">
        <f t="shared" si="9"/>
        <v>23.284499999999998</v>
      </c>
      <c r="AB51" s="67" t="e">
        <f>VLOOKUP(A51,Enforcements!$C$7:$J$24,8,0)</f>
        <v>#N/A</v>
      </c>
      <c r="AC51" s="63" t="e">
        <f>VLOOKUP(A51,Enforcements!$C$7:$E$24,3,0)</f>
        <v>#N/A</v>
      </c>
      <c r="AD51" s="64" t="str">
        <f t="shared" si="10"/>
        <v>0139-18</v>
      </c>
      <c r="AE51" s="104" t="str">
        <f t="shared" si="11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51" s="101" t="str">
        <f t="shared" si="12"/>
        <v>"C:\Program Files (x86)\AstroGrep\AstroGrep.exe" /spath="%USERPROFILE%\AppData\Local\Temp\OnboardLogs" /stypes="*4025*20160818*"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105" t="str">
        <f t="shared" si="15"/>
        <v>"%USERPROFILE%\Documents\GitHub\eaglep3\Utilities\RefineRTDCRunTimes.py" --tripid 139-18 --locoid 4025 --swversion DE.1.0.7.0 --startMP 204:455 --initTime 2016-08-18T08:25:22 --startdatetime 2016-08-18T08:26:42 --delay 1 --endMP 204:233300 --enddatetime 2016-08-18T09:08:28 --enforcementcount 0</v>
      </c>
    </row>
    <row r="52" spans="1:34" s="1" customFormat="1" x14ac:dyDescent="0.25">
      <c r="A52" s="40" t="s">
        <v>404</v>
      </c>
      <c r="B52" s="7">
        <v>4026</v>
      </c>
      <c r="C52" s="25" t="s">
        <v>118</v>
      </c>
      <c r="D52" s="25" t="s">
        <v>148</v>
      </c>
      <c r="E52" s="16">
        <v>42600.391261574077</v>
      </c>
      <c r="F52" s="16">
        <v>42600.392199074071</v>
      </c>
      <c r="G52" s="7">
        <v>1</v>
      </c>
      <c r="H52" s="16" t="s">
        <v>144</v>
      </c>
      <c r="I52" s="16">
        <v>42600.421898148146</v>
      </c>
      <c r="J52" s="7">
        <v>0</v>
      </c>
      <c r="K52" s="142" t="str">
        <f t="shared" si="0"/>
        <v>4025/4026</v>
      </c>
      <c r="L52" s="25" t="str">
        <f>VLOOKUP(A52,'Trips&amp;Operators'!$C$1:$E$10000,3,FALSE)</f>
        <v>STARKS</v>
      </c>
      <c r="M52" s="6">
        <f t="shared" si="1"/>
        <v>2.9699074075324461E-2</v>
      </c>
      <c r="N52" s="7">
        <f t="shared" si="17"/>
        <v>42.766666668467224</v>
      </c>
      <c r="O52" s="7"/>
      <c r="P52" s="7"/>
      <c r="Q52" s="26"/>
      <c r="R52" s="26"/>
      <c r="S52" s="38">
        <f t="shared" si="18"/>
        <v>1</v>
      </c>
      <c r="T52" s="53" t="str">
        <f t="shared" si="3"/>
        <v>Southbound</v>
      </c>
      <c r="U52" s="13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08:23:25-0600',mode:absolute,to:'2016-08-18 11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52" s="55" t="str">
        <f t="shared" si="5"/>
        <v>N</v>
      </c>
      <c r="X52" s="129">
        <f t="shared" si="19"/>
        <v>1</v>
      </c>
      <c r="Y52" s="70">
        <f t="shared" si="7"/>
        <v>23.298300000000001</v>
      </c>
      <c r="Z52" s="70">
        <f t="shared" si="8"/>
        <v>1.49E-2</v>
      </c>
      <c r="AA52" s="70">
        <f t="shared" si="9"/>
        <v>23.2834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10"/>
        <v>0140-18</v>
      </c>
      <c r="AE52" s="104" t="str">
        <f t="shared" si="11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52" s="101" t="str">
        <f t="shared" si="12"/>
        <v>"C:\Program Files (x86)\AstroGrep\AstroGrep.exe" /spath="%USERPROFILE%\AppData\Local\Temp\OnboardLogs" /stypes="*4026*20160818*"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105" t="str">
        <f t="shared" si="15"/>
        <v>"%USERPROFILE%\Documents\GitHub\eaglep3\Utilities\RefineRTDCRunTimes.py" --tripid 140-18 --locoid 4026 --swversion DE.1.0.7.0 --startMP 204:232983 --initTime 2016-08-18T09:23:25 --startdatetime 2016-08-18T09:24:46 --delay 1 --endMP 204:149 --enddatetime 2016-08-18T10:07:32 --enforcementcount 0</v>
      </c>
    </row>
    <row r="53" spans="1:34" s="1" customFormat="1" x14ac:dyDescent="0.25">
      <c r="A53" s="40" t="s">
        <v>405</v>
      </c>
      <c r="B53" s="7">
        <v>4038</v>
      </c>
      <c r="C53" s="25" t="s">
        <v>118</v>
      </c>
      <c r="D53" s="25" t="s">
        <v>262</v>
      </c>
      <c r="E53" s="16">
        <v>42600.360821759263</v>
      </c>
      <c r="F53" s="16">
        <v>42600.361875000002</v>
      </c>
      <c r="G53" s="7">
        <v>1</v>
      </c>
      <c r="H53" s="16" t="s">
        <v>207</v>
      </c>
      <c r="I53" s="16">
        <v>42600.389930555553</v>
      </c>
      <c r="J53" s="7">
        <v>0</v>
      </c>
      <c r="K53" s="142" t="str">
        <f t="shared" si="0"/>
        <v>4037/4038</v>
      </c>
      <c r="L53" s="25" t="str">
        <f>VLOOKUP(A53,'Trips&amp;Operators'!$C$1:$E$10000,3,FALSE)</f>
        <v>MAELZER</v>
      </c>
      <c r="M53" s="6">
        <f t="shared" si="1"/>
        <v>2.8055555550963618E-2</v>
      </c>
      <c r="N53" s="7">
        <f t="shared" si="17"/>
        <v>40.39999999338761</v>
      </c>
      <c r="O53" s="7"/>
      <c r="P53" s="7"/>
      <c r="Q53" s="26"/>
      <c r="R53" s="26"/>
      <c r="S53" s="38">
        <f t="shared" si="18"/>
        <v>1</v>
      </c>
      <c r="T53" s="53" t="str">
        <f t="shared" si="3"/>
        <v>NorthBound</v>
      </c>
      <c r="U53" s="13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07:39:35-0600',mode:absolute,to:'2016-08-18 10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3" s="55" t="str">
        <f t="shared" si="5"/>
        <v>N</v>
      </c>
      <c r="X53" s="129">
        <f t="shared" si="19"/>
        <v>1</v>
      </c>
      <c r="Y53" s="70">
        <f t="shared" si="7"/>
        <v>4.4400000000000002E-2</v>
      </c>
      <c r="Z53" s="70">
        <f t="shared" si="8"/>
        <v>23.330500000000001</v>
      </c>
      <c r="AA53" s="70">
        <f t="shared" si="9"/>
        <v>23.286100000000001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10"/>
        <v>0141-18</v>
      </c>
      <c r="AE53" s="104" t="str">
        <f t="shared" si="11"/>
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</c>
      <c r="AF53" s="101" t="str">
        <f t="shared" si="12"/>
        <v>"C:\Program Files (x86)\AstroGrep\AstroGrep.exe" /spath="%USERPROFILE%\AppData\Local\Temp\OnboardLogs" /stypes="*4038*20160818*"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105" t="str">
        <f t="shared" si="15"/>
        <v>"%USERPROFILE%\Documents\GitHub\eaglep3\Utilities\RefineRTDCRunTimes.py" --tripid 141-18 --locoid 4038 --swversion DE.1.0.7.0 --startMP 204:444 --initTime 2016-08-18T08:39:35 --startdatetime 2016-08-18T08:41:06 --delay 1 --endMP 204:233305 --enddatetime 2016-08-18T09:21:30 --enforcementcount 0</v>
      </c>
    </row>
    <row r="54" spans="1:34" s="1" customFormat="1" x14ac:dyDescent="0.25">
      <c r="A54" s="40" t="s">
        <v>406</v>
      </c>
      <c r="B54" s="7">
        <v>4037</v>
      </c>
      <c r="C54" s="25" t="s">
        <v>118</v>
      </c>
      <c r="D54" s="25" t="s">
        <v>407</v>
      </c>
      <c r="E54" s="16">
        <v>42600.396192129629</v>
      </c>
      <c r="F54" s="16">
        <v>42600.396990740737</v>
      </c>
      <c r="G54" s="7">
        <v>1</v>
      </c>
      <c r="H54" s="16" t="s">
        <v>217</v>
      </c>
      <c r="I54" s="16">
        <v>42600.430833333332</v>
      </c>
      <c r="J54" s="7">
        <v>0</v>
      </c>
      <c r="K54" s="142" t="str">
        <f t="shared" si="0"/>
        <v>4037/4038</v>
      </c>
      <c r="L54" s="25" t="str">
        <f>VLOOKUP(A54,'Trips&amp;Operators'!$C$1:$E$10000,3,FALSE)</f>
        <v>MAELZER</v>
      </c>
      <c r="M54" s="6">
        <f t="shared" si="1"/>
        <v>3.3842592594737653E-2</v>
      </c>
      <c r="N54" s="7">
        <f t="shared" si="17"/>
        <v>48.73333333642222</v>
      </c>
      <c r="O54" s="7"/>
      <c r="P54" s="7"/>
      <c r="Q54" s="26"/>
      <c r="R54" s="26"/>
      <c r="S54" s="38">
        <f t="shared" si="18"/>
        <v>1</v>
      </c>
      <c r="T54" s="53" t="str">
        <f t="shared" si="3"/>
        <v>Southbound</v>
      </c>
      <c r="U54" s="13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08:30:31-0600',mode:absolute,to:'2016-08-18 11:20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4" s="55" t="str">
        <f t="shared" si="5"/>
        <v>N</v>
      </c>
      <c r="X54" s="129">
        <f t="shared" si="19"/>
        <v>1</v>
      </c>
      <c r="Y54" s="70">
        <f t="shared" si="7"/>
        <v>23.297799999999999</v>
      </c>
      <c r="Z54" s="70">
        <f t="shared" si="8"/>
        <v>1.61E-2</v>
      </c>
      <c r="AA54" s="70">
        <f t="shared" si="9"/>
        <v>23.281699999999997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10"/>
        <v>0142-18</v>
      </c>
      <c r="AE54" s="104" t="str">
        <f t="shared" si="11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54" s="101" t="str">
        <f t="shared" si="12"/>
        <v>"C:\Program Files (x86)\AstroGrep\AstroGrep.exe" /spath="%USERPROFILE%\AppData\Local\Temp\OnboardLogs" /stypes="*4037*20160818*"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105" t="str">
        <f t="shared" si="15"/>
        <v>"%USERPROFILE%\Documents\GitHub\eaglep3\Utilities\RefineRTDCRunTimes.py" --tripid 142-18 --locoid 4037 --swversion DE.1.0.7.0 --startMP 204:232978 --initTime 2016-08-18T09:30:31 --startdatetime 2016-08-18T09:31:40 --delay 1 --endMP 204:161 --enddatetime 2016-08-18T10:20:24 --enforcementcount 0</v>
      </c>
    </row>
    <row r="55" spans="1:34" s="1" customFormat="1" x14ac:dyDescent="0.25">
      <c r="A55" s="40" t="s">
        <v>332</v>
      </c>
      <c r="B55" s="7">
        <v>4042</v>
      </c>
      <c r="C55" s="25" t="s">
        <v>118</v>
      </c>
      <c r="D55" s="25" t="s">
        <v>140</v>
      </c>
      <c r="E55" s="16">
        <v>42600.373599537037</v>
      </c>
      <c r="F55" s="16">
        <v>42600.374942129631</v>
      </c>
      <c r="G55" s="7">
        <v>1</v>
      </c>
      <c r="H55" s="16" t="s">
        <v>243</v>
      </c>
      <c r="I55" s="16">
        <v>42600.403020833335</v>
      </c>
      <c r="J55" s="7">
        <v>0</v>
      </c>
      <c r="K55" s="142" t="str">
        <f t="shared" si="0"/>
        <v>4041/4042</v>
      </c>
      <c r="L55" s="25" t="str">
        <f>VLOOKUP(A55,'Trips&amp;Operators'!$C$1:$E$10000,3,FALSE)</f>
        <v>BRANNON</v>
      </c>
      <c r="M55" s="6">
        <f t="shared" si="1"/>
        <v>2.8078703704522923E-2</v>
      </c>
      <c r="N55" s="7">
        <f t="shared" si="17"/>
        <v>40.433333334513009</v>
      </c>
      <c r="O55" s="7"/>
      <c r="P55" s="7"/>
      <c r="Q55" s="26"/>
      <c r="R55" s="26"/>
      <c r="S55" s="38">
        <f t="shared" si="18"/>
        <v>1</v>
      </c>
      <c r="T55" s="53" t="str">
        <f t="shared" si="3"/>
        <v>NorthBound</v>
      </c>
      <c r="U55" s="13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07:57:59-0600',mode:absolute,to:'2016-08-18 10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55" s="55" t="str">
        <f t="shared" si="5"/>
        <v>N</v>
      </c>
      <c r="X55" s="129">
        <f t="shared" si="19"/>
        <v>1</v>
      </c>
      <c r="Y55" s="70">
        <f t="shared" si="7"/>
        <v>4.53E-2</v>
      </c>
      <c r="Z55" s="70">
        <f t="shared" si="8"/>
        <v>23.328499999999998</v>
      </c>
      <c r="AA55" s="70">
        <f t="shared" si="9"/>
        <v>23.283199999999997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10"/>
        <v>0143-18</v>
      </c>
      <c r="AE55" s="104" t="str">
        <f t="shared" si="11"/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AF55" s="101" t="str">
        <f t="shared" si="12"/>
        <v>"C:\Program Files (x86)\AstroGrep\AstroGrep.exe" /spath="%USERPROFILE%\AppData\Local\Temp\OnboardLogs" /stypes="*4042*20160818*"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105" t="str">
        <f t="shared" si="15"/>
        <v>"%USERPROFILE%\Documents\GitHub\eaglep3\Utilities\RefineRTDCRunTimes.py" --tripid 143-18 --locoid 4042 --swversion DE.1.0.7.0 --startMP 204:453 --initTime 2016-08-18T08:57:59 --startdatetime 2016-08-18T08:59:55 --delay 1 --endMP 204:233285 --enddatetime 2016-08-18T09:40:21 --enforcementcount 0</v>
      </c>
    </row>
    <row r="56" spans="1:34" s="1" customFormat="1" x14ac:dyDescent="0.25">
      <c r="A56" s="40" t="s">
        <v>408</v>
      </c>
      <c r="B56" s="7">
        <v>4041</v>
      </c>
      <c r="C56" s="25" t="s">
        <v>118</v>
      </c>
      <c r="D56" s="25" t="s">
        <v>171</v>
      </c>
      <c r="E56" s="16">
        <v>42600.407361111109</v>
      </c>
      <c r="F56" s="16">
        <v>42600.408726851849</v>
      </c>
      <c r="G56" s="7">
        <v>1</v>
      </c>
      <c r="H56" s="16" t="s">
        <v>409</v>
      </c>
      <c r="I56" s="16">
        <v>42600.454317129632</v>
      </c>
      <c r="J56" s="7">
        <v>0</v>
      </c>
      <c r="K56" s="142" t="str">
        <f t="shared" si="0"/>
        <v>4041/4042</v>
      </c>
      <c r="L56" s="25" t="str">
        <f>VLOOKUP(A56,'Trips&amp;Operators'!$C$1:$E$10000,3,FALSE)</f>
        <v>BRANNON</v>
      </c>
      <c r="M56" s="6">
        <f t="shared" si="1"/>
        <v>4.5590277783048805E-2</v>
      </c>
      <c r="N56" s="7">
        <f t="shared" si="17"/>
        <v>65.650000007590279</v>
      </c>
      <c r="O56" s="7"/>
      <c r="P56" s="7"/>
      <c r="Q56" s="26"/>
      <c r="R56" s="26"/>
      <c r="S56" s="38">
        <f t="shared" si="18"/>
        <v>1</v>
      </c>
      <c r="T56" s="53" t="str">
        <f t="shared" si="3"/>
        <v>Southbound</v>
      </c>
      <c r="U56" s="13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08:46:36-0600',mode:absolute,to:'2016-08-18 11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56" s="55" t="str">
        <f t="shared" si="5"/>
        <v>N</v>
      </c>
      <c r="X56" s="129">
        <f t="shared" si="19"/>
        <v>1</v>
      </c>
      <c r="Y56" s="70">
        <f t="shared" si="7"/>
        <v>23.298100000000002</v>
      </c>
      <c r="Z56" s="70">
        <f t="shared" si="8"/>
        <v>0.1164</v>
      </c>
      <c r="AA56" s="70">
        <f t="shared" si="9"/>
        <v>23.181700000000003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10"/>
        <v>0144-18</v>
      </c>
      <c r="AE56" s="104" t="str">
        <f t="shared" si="11"/>
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</c>
      <c r="AF56" s="101" t="str">
        <f t="shared" si="12"/>
        <v>"C:\Program Files (x86)\AstroGrep\AstroGrep.exe" /spath="%USERPROFILE%\AppData\Local\Temp\OnboardLogs" /stypes="*4041*20160818*"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105" t="str">
        <f t="shared" si="15"/>
        <v>"%USERPROFILE%\Documents\GitHub\eaglep3\Utilities\RefineRTDCRunTimes.py" --tripid 144-18 --locoid 4041 --swversion DE.1.0.7.0 --startMP 204:232981 --initTime 2016-08-18T09:46:36 --startdatetime 2016-08-18T09:48:34 --delay 1 --endMP 204:1164 --enddatetime 2016-08-18T10:54:13 --enforcementcount 0</v>
      </c>
    </row>
    <row r="57" spans="1:34" s="1" customFormat="1" x14ac:dyDescent="0.25">
      <c r="A57" s="40" t="s">
        <v>331</v>
      </c>
      <c r="B57" s="7">
        <v>4044</v>
      </c>
      <c r="C57" s="25" t="s">
        <v>118</v>
      </c>
      <c r="D57" s="25" t="s">
        <v>172</v>
      </c>
      <c r="E57" s="16">
        <v>42600.381805555553</v>
      </c>
      <c r="F57" s="16">
        <v>42600.382754629631</v>
      </c>
      <c r="G57" s="7">
        <v>1</v>
      </c>
      <c r="H57" s="16" t="s">
        <v>410</v>
      </c>
      <c r="I57" s="16">
        <v>42600.411157407405</v>
      </c>
      <c r="J57" s="7">
        <v>0</v>
      </c>
      <c r="K57" s="142" t="str">
        <f t="shared" si="0"/>
        <v>4043/4044</v>
      </c>
      <c r="L57" s="25" t="str">
        <f>VLOOKUP(A57,'Trips&amp;Operators'!$C$1:$E$10000,3,FALSE)</f>
        <v>SPECTOR</v>
      </c>
      <c r="M57" s="6">
        <f t="shared" si="1"/>
        <v>2.8402777774317656E-2</v>
      </c>
      <c r="N57" s="7">
        <f t="shared" si="17"/>
        <v>40.899999995017424</v>
      </c>
      <c r="O57" s="7"/>
      <c r="P57" s="7"/>
      <c r="Q57" s="26"/>
      <c r="R57" s="26"/>
      <c r="S57" s="38">
        <f t="shared" si="18"/>
        <v>1</v>
      </c>
      <c r="T57" s="53" t="str">
        <f t="shared" si="3"/>
        <v>NorthBound</v>
      </c>
      <c r="U57" s="13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08:09:48-0600',mode:absolute,to:'2016-08-18 10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7" s="55" t="str">
        <f t="shared" si="5"/>
        <v>N</v>
      </c>
      <c r="X57" s="129">
        <f t="shared" si="19"/>
        <v>1</v>
      </c>
      <c r="Y57" s="70">
        <f t="shared" si="7"/>
        <v>4.5100000000000001E-2</v>
      </c>
      <c r="Z57" s="70">
        <f t="shared" si="8"/>
        <v>23.3324</v>
      </c>
      <c r="AA57" s="70">
        <f t="shared" si="9"/>
        <v>23.287299999999998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10"/>
        <v>0145-18</v>
      </c>
      <c r="AE57" s="104" t="str">
        <f t="shared" si="11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57" s="101" t="str">
        <f t="shared" si="12"/>
        <v>"C:\Program Files (x86)\AstroGrep\AstroGrep.exe" /spath="%USERPROFILE%\AppData\Local\Temp\OnboardLogs" /stypes="*4044*20160818*"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105" t="str">
        <f t="shared" si="15"/>
        <v>"%USERPROFILE%\Documents\GitHub\eaglep3\Utilities\RefineRTDCRunTimes.py" --tripid 145-18 --locoid 4044 --swversion DE.1.0.7.0 --startMP 204:451 --initTime 2016-08-18T09:09:48 --startdatetime 2016-08-18T09:11:10 --delay 1 --endMP 204:233324 --enddatetime 2016-08-18T09:52:04 --enforcementcount 0</v>
      </c>
    </row>
    <row r="58" spans="1:34" s="1" customFormat="1" x14ac:dyDescent="0.25">
      <c r="A58" s="40" t="s">
        <v>411</v>
      </c>
      <c r="B58" s="7">
        <v>4043</v>
      </c>
      <c r="C58" s="25" t="s">
        <v>118</v>
      </c>
      <c r="D58" s="25" t="s">
        <v>145</v>
      </c>
      <c r="E58" s="16">
        <v>42600.419212962966</v>
      </c>
      <c r="F58" s="16">
        <v>42600.420335648145</v>
      </c>
      <c r="G58" s="7">
        <v>1</v>
      </c>
      <c r="H58" s="16" t="s">
        <v>217</v>
      </c>
      <c r="I58" s="16">
        <v>42600.456087962964</v>
      </c>
      <c r="J58" s="7">
        <v>0</v>
      </c>
      <c r="K58" s="142" t="str">
        <f t="shared" si="0"/>
        <v>4043/4044</v>
      </c>
      <c r="L58" s="25" t="str">
        <f>VLOOKUP(A58,'Trips&amp;Operators'!$C$1:$E$10000,3,FALSE)</f>
        <v>SPECTOR</v>
      </c>
      <c r="M58" s="6">
        <f t="shared" si="1"/>
        <v>3.5752314819546882E-2</v>
      </c>
      <c r="N58" s="7">
        <f t="shared" si="17"/>
        <v>51.48333334014751</v>
      </c>
      <c r="O58" s="7"/>
      <c r="P58" s="7"/>
      <c r="Q58" s="26"/>
      <c r="R58" s="26"/>
      <c r="S58" s="38">
        <f t="shared" si="18"/>
        <v>1</v>
      </c>
      <c r="T58" s="53" t="str">
        <f t="shared" si="3"/>
        <v>Southbound</v>
      </c>
      <c r="U58" s="13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09:03:40-0600',mode:absolute,to:'2016-08-18 11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8" s="55" t="str">
        <f t="shared" si="5"/>
        <v>N</v>
      </c>
      <c r="X58" s="129">
        <f t="shared" si="19"/>
        <v>1</v>
      </c>
      <c r="Y58" s="70">
        <f t="shared" si="7"/>
        <v>23.299600000000002</v>
      </c>
      <c r="Z58" s="70">
        <f t="shared" si="8"/>
        <v>1.61E-2</v>
      </c>
      <c r="AA58" s="70">
        <f t="shared" si="9"/>
        <v>23.2835</v>
      </c>
      <c r="AB58" s="67" t="e">
        <f>VLOOKUP(A58,Enforcements!$C$7:$J$24,8,0)</f>
        <v>#N/A</v>
      </c>
      <c r="AC58" s="63" t="e">
        <f>VLOOKUP(A58,Enforcements!$C$7:$E$24,3,0)</f>
        <v>#N/A</v>
      </c>
      <c r="AD58" s="64" t="str">
        <f t="shared" si="10"/>
        <v>0146-18</v>
      </c>
      <c r="AE58" s="104" t="str">
        <f t="shared" si="11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58" s="101" t="str">
        <f t="shared" si="12"/>
        <v>"C:\Program Files (x86)\AstroGrep\AstroGrep.exe" /spath="%USERPROFILE%\AppData\Local\Temp\OnboardLogs" /stypes="*4043*20160818*"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105" t="str">
        <f t="shared" si="15"/>
        <v>"%USERPROFILE%\Documents\GitHub\eaglep3\Utilities\RefineRTDCRunTimes.py" --tripid 146-18 --locoid 4043 --swversion DE.1.0.7.0 --startMP 204:232996 --initTime 2016-08-18T10:03:40 --startdatetime 2016-08-18T10:05:17 --delay 1 --endMP 204:161 --enddatetime 2016-08-18T10:56:46 --enforcementcount 0</v>
      </c>
    </row>
    <row r="59" spans="1:34" s="1" customFormat="1" x14ac:dyDescent="0.25">
      <c r="A59" s="40" t="s">
        <v>333</v>
      </c>
      <c r="B59" s="7">
        <v>4027</v>
      </c>
      <c r="C59" s="25" t="s">
        <v>118</v>
      </c>
      <c r="D59" s="25" t="s">
        <v>273</v>
      </c>
      <c r="E59" s="16">
        <v>42600.394687499997</v>
      </c>
      <c r="F59" s="16">
        <v>42600.395752314813</v>
      </c>
      <c r="G59" s="7">
        <v>1</v>
      </c>
      <c r="H59" s="16" t="s">
        <v>395</v>
      </c>
      <c r="I59" s="16">
        <v>42600.423946759256</v>
      </c>
      <c r="J59" s="7">
        <v>0</v>
      </c>
      <c r="K59" s="142" t="str">
        <f t="shared" si="0"/>
        <v>4027/4028</v>
      </c>
      <c r="L59" s="25" t="str">
        <f>VLOOKUP(A59,'Trips&amp;Operators'!$C$1:$E$10000,3,FALSE)</f>
        <v>MALAVE</v>
      </c>
      <c r="M59" s="6">
        <f t="shared" si="1"/>
        <v>2.8194444443215616E-2</v>
      </c>
      <c r="N59" s="7">
        <f t="shared" si="17"/>
        <v>40.599999998230487</v>
      </c>
      <c r="O59" s="7"/>
      <c r="P59" s="7"/>
      <c r="Q59" s="26"/>
      <c r="R59" s="26"/>
      <c r="S59" s="38">
        <f t="shared" si="18"/>
        <v>1</v>
      </c>
      <c r="T59" s="53" t="str">
        <f t="shared" si="3"/>
        <v>NorthBound</v>
      </c>
      <c r="U59" s="13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08:28:21-0600',mode:absolute,to:'2016-08-18 11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9" s="55" t="str">
        <f t="shared" si="5"/>
        <v>N</v>
      </c>
      <c r="X59" s="129">
        <f t="shared" si="19"/>
        <v>1</v>
      </c>
      <c r="Y59" s="70">
        <f t="shared" si="7"/>
        <v>4.2200000000000001E-2</v>
      </c>
      <c r="Z59" s="70">
        <f t="shared" si="8"/>
        <v>23.329699999999999</v>
      </c>
      <c r="AA59" s="70">
        <f t="shared" si="9"/>
        <v>23.287499999999998</v>
      </c>
      <c r="AB59" s="67">
        <f>VLOOKUP(A59,Enforcements!$C$7:$J$24,8,0)</f>
        <v>161962</v>
      </c>
      <c r="AC59" s="63" t="str">
        <f>VLOOKUP(A59,Enforcements!$C$7:$E$24,3,0)</f>
        <v>PERMANENT SPEED RESTRICTION</v>
      </c>
      <c r="AD59" s="64" t="str">
        <f t="shared" si="10"/>
        <v>0147-18</v>
      </c>
      <c r="AE59" s="104" t="str">
        <f t="shared" si="11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59" s="101" t="str">
        <f t="shared" si="12"/>
        <v>"C:\Program Files (x86)\AstroGrep\AstroGrep.exe" /spath="%USERPROFILE%\AppData\Local\Temp\OnboardLogs" /stypes="*4027*20160818*"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105" t="str">
        <f t="shared" si="15"/>
        <v>"%USERPROFILE%\Documents\GitHub\eaglep3\Utilities\RefineRTDCRunTimes.py" --tripid 147-18 --locoid 4027 --swversion DE.1.0.7.0 --startMP 204:422 --initTime 2016-08-18T09:28:21 --startdatetime 2016-08-18T09:29:53 --delay 1 --endMP 204:233297 --enddatetime 2016-08-18T10:10:29 --enforcementcount 0</v>
      </c>
    </row>
    <row r="60" spans="1:34" s="1" customFormat="1" x14ac:dyDescent="0.25">
      <c r="A60" s="40" t="s">
        <v>412</v>
      </c>
      <c r="B60" s="7">
        <v>4028</v>
      </c>
      <c r="C60" s="25" t="s">
        <v>118</v>
      </c>
      <c r="D60" s="25" t="s">
        <v>247</v>
      </c>
      <c r="E60" s="16">
        <v>42600.432812500003</v>
      </c>
      <c r="F60" s="16">
        <v>42600.433981481481</v>
      </c>
      <c r="G60" s="7">
        <v>1</v>
      </c>
      <c r="H60" s="16" t="s">
        <v>205</v>
      </c>
      <c r="I60" s="16">
        <v>42600.462870370371</v>
      </c>
      <c r="J60" s="7">
        <v>0</v>
      </c>
      <c r="K60" s="142" t="str">
        <f t="shared" si="0"/>
        <v>4027/4028</v>
      </c>
      <c r="L60" s="25" t="str">
        <f>VLOOKUP(A60,'Trips&amp;Operators'!$C$1:$E$10000,3,FALSE)</f>
        <v>MALAVE</v>
      </c>
      <c r="M60" s="6">
        <f t="shared" si="1"/>
        <v>2.8888888889923692E-2</v>
      </c>
      <c r="N60" s="7">
        <f t="shared" si="17"/>
        <v>41.600000001490116</v>
      </c>
      <c r="O60" s="7"/>
      <c r="P60" s="7"/>
      <c r="Q60" s="26"/>
      <c r="R60" s="26"/>
      <c r="S60" s="38">
        <f t="shared" si="18"/>
        <v>1</v>
      </c>
      <c r="T60" s="53" t="str">
        <f t="shared" si="3"/>
        <v>Southbound</v>
      </c>
      <c r="U60" s="13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09:23:15-0600',mode:absolute,to:'2016-08-18 12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0" s="55" t="str">
        <f t="shared" si="5"/>
        <v>N</v>
      </c>
      <c r="X60" s="129">
        <f t="shared" si="19"/>
        <v>1</v>
      </c>
      <c r="Y60" s="70">
        <f t="shared" si="7"/>
        <v>23.297899999999998</v>
      </c>
      <c r="Z60" s="70">
        <f t="shared" si="8"/>
        <v>1.52E-2</v>
      </c>
      <c r="AA60" s="70">
        <f t="shared" si="9"/>
        <v>23.282699999999998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10"/>
        <v>0148-18</v>
      </c>
      <c r="AE60" s="104" t="str">
        <f t="shared" si="11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60" s="101" t="str">
        <f t="shared" si="12"/>
        <v>"C:\Program Files (x86)\AstroGrep\AstroGrep.exe" /spath="%USERPROFILE%\AppData\Local\Temp\OnboardLogs" /stypes="*4028*20160818*"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105" t="str">
        <f t="shared" si="15"/>
        <v>"%USERPROFILE%\Documents\GitHub\eaglep3\Utilities\RefineRTDCRunTimes.py" --tripid 148-18 --locoid 4028 --swversion DE.1.0.7.0 --startMP 204:232979 --initTime 2016-08-18T10:23:15 --startdatetime 2016-08-18T10:24:56 --delay 1 --endMP 204:152 --enddatetime 2016-08-18T11:06:32 --enforcementcount 0</v>
      </c>
    </row>
    <row r="61" spans="1:34" s="1" customFormat="1" x14ac:dyDescent="0.25">
      <c r="A61" s="40" t="s">
        <v>413</v>
      </c>
      <c r="B61" s="7">
        <v>4007</v>
      </c>
      <c r="C61" s="25" t="s">
        <v>118</v>
      </c>
      <c r="D61" s="25" t="s">
        <v>219</v>
      </c>
      <c r="E61" s="16">
        <v>42600.403796296298</v>
      </c>
      <c r="F61" s="16">
        <v>42600.404976851853</v>
      </c>
      <c r="G61" s="7">
        <v>1</v>
      </c>
      <c r="H61" s="16" t="s">
        <v>414</v>
      </c>
      <c r="I61" s="16">
        <v>42600.433217592596</v>
      </c>
      <c r="J61" s="7">
        <v>0</v>
      </c>
      <c r="K61" s="142" t="str">
        <f t="shared" si="0"/>
        <v>4007/4008</v>
      </c>
      <c r="L61" s="25" t="str">
        <f>VLOOKUP(A61,'Trips&amp;Operators'!$C$1:$E$10000,3,FALSE)</f>
        <v>STRICKLAND</v>
      </c>
      <c r="M61" s="6">
        <f t="shared" si="1"/>
        <v>2.8240740743058268E-2</v>
      </c>
      <c r="N61" s="7">
        <f t="shared" si="17"/>
        <v>40.666666670003906</v>
      </c>
      <c r="O61" s="7"/>
      <c r="P61" s="7"/>
      <c r="Q61" s="26"/>
      <c r="R61" s="26"/>
      <c r="S61" s="38">
        <f t="shared" si="18"/>
        <v>1</v>
      </c>
      <c r="T61" s="53" t="str">
        <f t="shared" si="3"/>
        <v>NorthBound</v>
      </c>
      <c r="U61" s="13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08:41:28-0600',mode:absolute,to:'2016-08-18 11:23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61" s="55" t="str">
        <f t="shared" si="5"/>
        <v>N</v>
      </c>
      <c r="X61" s="129">
        <f t="shared" si="19"/>
        <v>1</v>
      </c>
      <c r="Y61" s="70">
        <f t="shared" si="7"/>
        <v>4.7300000000000002E-2</v>
      </c>
      <c r="Z61" s="70">
        <f t="shared" si="8"/>
        <v>23.326599999999999</v>
      </c>
      <c r="AA61" s="70">
        <f t="shared" si="9"/>
        <v>23.279299999999999</v>
      </c>
      <c r="AB61" s="67" t="e">
        <f>VLOOKUP(A61,Enforcements!$C$7:$J$24,8,0)</f>
        <v>#N/A</v>
      </c>
      <c r="AC61" s="63" t="e">
        <f>VLOOKUP(A61,Enforcements!$C$7:$E$24,3,0)</f>
        <v>#N/A</v>
      </c>
      <c r="AD61" s="64" t="str">
        <f t="shared" si="10"/>
        <v>0149-18</v>
      </c>
      <c r="AE61" s="104" t="str">
        <f t="shared" si="11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61" s="101" t="str">
        <f t="shared" si="12"/>
        <v>"C:\Program Files (x86)\AstroGrep\AstroGrep.exe" /spath="%USERPROFILE%\AppData\Local\Temp\OnboardLogs" /stypes="*4007*20160818*"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105" t="str">
        <f t="shared" si="15"/>
        <v>"%USERPROFILE%\Documents\GitHub\eaglep3\Utilities\RefineRTDCRunTimes.py" --tripid 149-18 --locoid 4007 --swversion DE.1.0.7.0 --startMP 204:473 --initTime 2016-08-18T09:41:28 --startdatetime 2016-08-18T09:43:10 --delay 1 --endMP 204:233266 --enddatetime 2016-08-18T10:23:50 --enforcementcount 0</v>
      </c>
    </row>
    <row r="62" spans="1:34" s="1" customFormat="1" x14ac:dyDescent="0.25">
      <c r="A62" s="40" t="s">
        <v>415</v>
      </c>
      <c r="B62" s="7">
        <v>4008</v>
      </c>
      <c r="C62" s="25" t="s">
        <v>118</v>
      </c>
      <c r="D62" s="25" t="s">
        <v>271</v>
      </c>
      <c r="E62" s="16">
        <v>42600.440717592595</v>
      </c>
      <c r="F62" s="16">
        <v>42600.441944444443</v>
      </c>
      <c r="G62" s="7">
        <v>1</v>
      </c>
      <c r="H62" s="16" t="s">
        <v>400</v>
      </c>
      <c r="I62" s="16">
        <v>42600.472881944443</v>
      </c>
      <c r="J62" s="7">
        <v>0</v>
      </c>
      <c r="K62" s="142" t="str">
        <f t="shared" si="0"/>
        <v>4007/4008</v>
      </c>
      <c r="L62" s="25" t="str">
        <f>VLOOKUP(A62,'Trips&amp;Operators'!$C$1:$E$10000,3,FALSE)</f>
        <v>STRICKLAND</v>
      </c>
      <c r="M62" s="6">
        <f t="shared" si="1"/>
        <v>3.0937499999708962E-2</v>
      </c>
      <c r="N62" s="7">
        <f t="shared" si="17"/>
        <v>44.549999999580905</v>
      </c>
      <c r="O62" s="7"/>
      <c r="P62" s="7"/>
      <c r="Q62" s="26"/>
      <c r="R62" s="26"/>
      <c r="S62" s="38">
        <f t="shared" si="18"/>
        <v>1</v>
      </c>
      <c r="T62" s="53" t="str">
        <f t="shared" si="3"/>
        <v>Southbound</v>
      </c>
      <c r="U62" s="13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09:34:38-0600',mode:absolute,to:'2016-08-18 12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2" s="55" t="str">
        <f t="shared" si="5"/>
        <v>N</v>
      </c>
      <c r="X62" s="129">
        <f t="shared" si="19"/>
        <v>1</v>
      </c>
      <c r="Y62" s="70">
        <f t="shared" si="7"/>
        <v>23.296099999999999</v>
      </c>
      <c r="Z62" s="70">
        <f t="shared" si="8"/>
        <v>1.6899999999999998E-2</v>
      </c>
      <c r="AA62" s="70">
        <f t="shared" si="9"/>
        <v>23.279199999999999</v>
      </c>
      <c r="AB62" s="67" t="e">
        <f>VLOOKUP(A62,Enforcements!$C$7:$J$24,8,0)</f>
        <v>#N/A</v>
      </c>
      <c r="AC62" s="63" t="e">
        <f>VLOOKUP(A62,Enforcements!$C$7:$E$24,3,0)</f>
        <v>#N/A</v>
      </c>
      <c r="AD62" s="64" t="str">
        <f t="shared" si="10"/>
        <v>0150-18</v>
      </c>
      <c r="AE62" s="104" t="str">
        <f t="shared" si="11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62" s="101" t="str">
        <f t="shared" si="12"/>
        <v>"C:\Program Files (x86)\AstroGrep\AstroGrep.exe" /spath="%USERPROFILE%\AppData\Local\Temp\OnboardLogs" /stypes="*4008*20160818*"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105" t="str">
        <f t="shared" si="15"/>
        <v>"%USERPROFILE%\Documents\GitHub\eaglep3\Utilities\RefineRTDCRunTimes.py" --tripid 150-18 --locoid 4008 --swversion DE.1.0.7.0 --startMP 204:232961 --initTime 2016-08-18T10:34:38 --startdatetime 2016-08-18T10:36:24 --delay 1 --endMP 204:169 --enddatetime 2016-08-18T11:20:57 --enforcementcount 0</v>
      </c>
    </row>
    <row r="63" spans="1:34" s="1" customFormat="1" x14ac:dyDescent="0.25">
      <c r="A63" s="40" t="s">
        <v>416</v>
      </c>
      <c r="B63" s="7">
        <v>4009</v>
      </c>
      <c r="C63" s="25" t="s">
        <v>118</v>
      </c>
      <c r="D63" s="25" t="s">
        <v>143</v>
      </c>
      <c r="E63" s="16">
        <v>42600.411979166667</v>
      </c>
      <c r="F63" s="16">
        <v>42600.412858796299</v>
      </c>
      <c r="G63" s="7">
        <v>1</v>
      </c>
      <c r="H63" s="16" t="s">
        <v>264</v>
      </c>
      <c r="I63" s="16">
        <v>42600.44159722222</v>
      </c>
      <c r="J63" s="7">
        <v>0</v>
      </c>
      <c r="K63" s="142" t="str">
        <f t="shared" si="0"/>
        <v>4009/4010</v>
      </c>
      <c r="L63" s="25" t="str">
        <f>VLOOKUP(A63,'Trips&amp;Operators'!$C$1:$E$10000,3,FALSE)</f>
        <v>ROCHA</v>
      </c>
      <c r="M63" s="6">
        <f t="shared" si="1"/>
        <v>2.8738425920892041E-2</v>
      </c>
      <c r="N63" s="7">
        <f t="shared" si="17"/>
        <v>41.383333326084539</v>
      </c>
      <c r="O63" s="7"/>
      <c r="P63" s="7"/>
      <c r="Q63" s="26"/>
      <c r="R63" s="26"/>
      <c r="S63" s="38">
        <f t="shared" si="18"/>
        <v>1</v>
      </c>
      <c r="T63" s="53" t="str">
        <f t="shared" si="3"/>
        <v>NorthBound</v>
      </c>
      <c r="U63" s="13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08:53:15-0600',mode:absolute,to:'2016-08-18 11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3" s="55" t="str">
        <f t="shared" si="5"/>
        <v>N</v>
      </c>
      <c r="X63" s="129">
        <f t="shared" si="19"/>
        <v>1</v>
      </c>
      <c r="Y63" s="70">
        <f t="shared" si="7"/>
        <v>4.4900000000000002E-2</v>
      </c>
      <c r="Z63" s="70">
        <f t="shared" si="8"/>
        <v>23.330400000000001</v>
      </c>
      <c r="AA63" s="70">
        <f t="shared" si="9"/>
        <v>23.285500000000003</v>
      </c>
      <c r="AB63" s="67" t="e">
        <f>VLOOKUP(A63,Enforcements!$C$7:$J$24,8,0)</f>
        <v>#N/A</v>
      </c>
      <c r="AC63" s="63" t="e">
        <f>VLOOKUP(A63,Enforcements!$C$7:$E$24,3,0)</f>
        <v>#N/A</v>
      </c>
      <c r="AD63" s="64" t="str">
        <f t="shared" si="10"/>
        <v>0151-18</v>
      </c>
      <c r="AE63" s="104" t="str">
        <f t="shared" si="11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63" s="101" t="str">
        <f t="shared" si="12"/>
        <v>"C:\Program Files (x86)\AstroGrep\AstroGrep.exe" /spath="%USERPROFILE%\AppData\Local\Temp\OnboardLogs" /stypes="*4009*20160818*"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105" t="str">
        <f t="shared" si="15"/>
        <v>"%USERPROFILE%\Documents\GitHub\eaglep3\Utilities\RefineRTDCRunTimes.py" --tripid 151-18 --locoid 4009 --swversion DE.1.0.7.0 --startMP 204:449 --initTime 2016-08-18T09:53:15 --startdatetime 2016-08-18T09:54:31 --delay 1 --endMP 204:233304 --enddatetime 2016-08-18T10:35:54 --enforcementcount 0</v>
      </c>
    </row>
    <row r="64" spans="1:34" s="1" customFormat="1" x14ac:dyDescent="0.25">
      <c r="A64" s="40" t="s">
        <v>417</v>
      </c>
      <c r="B64" s="7">
        <v>4010</v>
      </c>
      <c r="C64" s="25" t="s">
        <v>118</v>
      </c>
      <c r="D64" s="25" t="s">
        <v>131</v>
      </c>
      <c r="E64" s="16">
        <v>42600.454305555555</v>
      </c>
      <c r="F64" s="16">
        <v>42600.45553240741</v>
      </c>
      <c r="G64" s="7">
        <v>1</v>
      </c>
      <c r="H64" s="16" t="s">
        <v>174</v>
      </c>
      <c r="I64" s="16">
        <v>42600.482361111113</v>
      </c>
      <c r="J64" s="7">
        <v>0</v>
      </c>
      <c r="K64" s="142" t="str">
        <f t="shared" si="0"/>
        <v>4009/4010</v>
      </c>
      <c r="L64" s="25" t="str">
        <f>VLOOKUP(A64,'Trips&amp;Operators'!$C$1:$E$10000,3,FALSE)</f>
        <v>ROCHA</v>
      </c>
      <c r="M64" s="6">
        <f t="shared" si="1"/>
        <v>2.6828703703358769E-2</v>
      </c>
      <c r="N64" s="7">
        <f t="shared" si="17"/>
        <v>38.633333332836628</v>
      </c>
      <c r="O64" s="7"/>
      <c r="P64" s="7"/>
      <c r="Q64" s="26"/>
      <c r="R64" s="26"/>
      <c r="S64" s="38">
        <f t="shared" si="18"/>
        <v>1</v>
      </c>
      <c r="T64" s="53" t="str">
        <f t="shared" si="3"/>
        <v>Southbound</v>
      </c>
      <c r="U64" s="13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09:54:12-0600',mode:absolute,to:'2016-08-18 12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4" s="55" t="str">
        <f t="shared" si="5"/>
        <v>N</v>
      </c>
      <c r="X64" s="129">
        <f t="shared" si="19"/>
        <v>1</v>
      </c>
      <c r="Y64" s="70">
        <f t="shared" si="7"/>
        <v>23.299800000000001</v>
      </c>
      <c r="Z64" s="70">
        <f t="shared" si="8"/>
        <v>1.54E-2</v>
      </c>
      <c r="AA64" s="70">
        <f t="shared" si="9"/>
        <v>23.284400000000002</v>
      </c>
      <c r="AB64" s="67" t="e">
        <f>VLOOKUP(A64,Enforcements!$C$7:$J$24,8,0)</f>
        <v>#N/A</v>
      </c>
      <c r="AC64" s="63" t="e">
        <f>VLOOKUP(A64,Enforcements!$C$7:$E$24,3,0)</f>
        <v>#N/A</v>
      </c>
      <c r="AD64" s="64" t="str">
        <f t="shared" si="10"/>
        <v>0152-18</v>
      </c>
      <c r="AE64" s="104" t="str">
        <f t="shared" si="11"/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AF64" s="101" t="str">
        <f t="shared" si="12"/>
        <v>"C:\Program Files (x86)\AstroGrep\AstroGrep.exe" /spath="%USERPROFILE%\AppData\Local\Temp\OnboardLogs" /stypes="*4010*20160818*"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105" t="str">
        <f t="shared" si="15"/>
        <v>"%USERPROFILE%\Documents\GitHub\eaglep3\Utilities\RefineRTDCRunTimes.py" --tripid 152-18 --locoid 4010 --swversion DE.1.0.7.0 --startMP 204:232998 --initTime 2016-08-18T10:54:12 --startdatetime 2016-08-18T10:55:58 --delay 1 --endMP 204:154 --enddatetime 2016-08-18T11:34:36 --enforcementcount 0</v>
      </c>
    </row>
    <row r="65" spans="1:34" s="1" customFormat="1" x14ac:dyDescent="0.25">
      <c r="A65" s="40" t="s">
        <v>334</v>
      </c>
      <c r="B65" s="7">
        <v>4025</v>
      </c>
      <c r="C65" s="25" t="s">
        <v>118</v>
      </c>
      <c r="D65" s="25" t="s">
        <v>61</v>
      </c>
      <c r="E65" s="16">
        <v>42600.423321759263</v>
      </c>
      <c r="F65" s="16">
        <v>42600.42428240741</v>
      </c>
      <c r="G65" s="7">
        <v>1</v>
      </c>
      <c r="H65" s="16" t="s">
        <v>361</v>
      </c>
      <c r="I65" s="16">
        <v>42600.453703703701</v>
      </c>
      <c r="J65" s="7">
        <v>0</v>
      </c>
      <c r="K65" s="142" t="str">
        <f t="shared" si="0"/>
        <v>4025/4026</v>
      </c>
      <c r="L65" s="25" t="str">
        <f>VLOOKUP(A65,'Trips&amp;Operators'!$C$1:$E$10000,3,FALSE)</f>
        <v>STARKS</v>
      </c>
      <c r="M65" s="6">
        <f t="shared" si="1"/>
        <v>2.9421296290820464E-2</v>
      </c>
      <c r="N65" s="7">
        <f t="shared" si="17"/>
        <v>42.366666658781469</v>
      </c>
      <c r="O65" s="7"/>
      <c r="P65" s="7"/>
      <c r="Q65" s="26"/>
      <c r="R65" s="26"/>
      <c r="S65" s="38">
        <f t="shared" si="18"/>
        <v>1</v>
      </c>
      <c r="T65" s="53" t="str">
        <f t="shared" si="3"/>
        <v>NorthBound</v>
      </c>
      <c r="U65" s="13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09:09:35-0600',mode:absolute,to:'2016-08-18 11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5" s="55" t="str">
        <f t="shared" si="5"/>
        <v>N</v>
      </c>
      <c r="X65" s="129">
        <f t="shared" si="19"/>
        <v>1</v>
      </c>
      <c r="Y65" s="70">
        <f t="shared" si="7"/>
        <v>4.5999999999999999E-2</v>
      </c>
      <c r="Z65" s="70">
        <f t="shared" si="8"/>
        <v>23.331600000000002</v>
      </c>
      <c r="AA65" s="70">
        <f t="shared" si="9"/>
        <v>23.285600000000002</v>
      </c>
      <c r="AB65" s="67">
        <f>VLOOKUP(A65,Enforcements!$C$7:$J$24,8,0)</f>
        <v>222090</v>
      </c>
      <c r="AC65" s="63" t="str">
        <f>VLOOKUP(A65,Enforcements!$C$7:$E$24,3,0)</f>
        <v>PERMANENT SPEED RESTRICTION</v>
      </c>
      <c r="AD65" s="64" t="str">
        <f t="shared" si="10"/>
        <v>0153-18</v>
      </c>
      <c r="AE65" s="104" t="str">
        <f t="shared" si="11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65" s="101" t="str">
        <f t="shared" si="12"/>
        <v>"C:\Program Files (x86)\AstroGrep\AstroGrep.exe" /spath="%USERPROFILE%\AppData\Local\Temp\OnboardLogs" /stypes="*4025*20160818*"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105" t="str">
        <f t="shared" si="15"/>
        <v>"%USERPROFILE%\Documents\GitHub\eaglep3\Utilities\RefineRTDCRunTimes.py" --tripid 153-18 --locoid 4025 --swversion DE.1.0.7.0 --startMP 204:460 --initTime 2016-08-18T10:09:35 --startdatetime 2016-08-18T10:10:58 --delay 1 --endMP 204:233316 --enddatetime 2016-08-18T10:53:20 --enforcementcount 0</v>
      </c>
    </row>
    <row r="66" spans="1:34" s="1" customFormat="1" x14ac:dyDescent="0.25">
      <c r="A66" s="40" t="s">
        <v>418</v>
      </c>
      <c r="B66" s="7">
        <v>4026</v>
      </c>
      <c r="C66" s="25" t="s">
        <v>118</v>
      </c>
      <c r="D66" s="25" t="s">
        <v>407</v>
      </c>
      <c r="E66" s="16">
        <v>42600.464247685188</v>
      </c>
      <c r="F66" s="16">
        <v>42600.465138888889</v>
      </c>
      <c r="G66" s="7">
        <v>1</v>
      </c>
      <c r="H66" s="16" t="s">
        <v>92</v>
      </c>
      <c r="I66" s="16">
        <v>42600.495474537034</v>
      </c>
      <c r="J66" s="7">
        <v>0</v>
      </c>
      <c r="K66" s="142" t="str">
        <f t="shared" si="0"/>
        <v>4025/4026</v>
      </c>
      <c r="L66" s="25" t="str">
        <f>VLOOKUP(A66,'Trips&amp;Operators'!$C$1:$E$10000,3,FALSE)</f>
        <v>STARKS</v>
      </c>
      <c r="M66" s="6">
        <f t="shared" si="1"/>
        <v>3.0335648145410232E-2</v>
      </c>
      <c r="N66" s="7">
        <f t="shared" si="17"/>
        <v>43.683333329390734</v>
      </c>
      <c r="O66" s="7"/>
      <c r="P66" s="7"/>
      <c r="Q66" s="26"/>
      <c r="R66" s="26"/>
      <c r="S66" s="38">
        <f t="shared" si="18"/>
        <v>1</v>
      </c>
      <c r="T66" s="53" t="str">
        <f t="shared" si="3"/>
        <v>Southbound</v>
      </c>
      <c r="U66" s="13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10:08:31-0600',mode:absolute,to:'2016-08-18 12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6" s="55" t="str">
        <f t="shared" si="5"/>
        <v>N</v>
      </c>
      <c r="X66" s="129">
        <f t="shared" si="19"/>
        <v>1</v>
      </c>
      <c r="Y66" s="70">
        <f t="shared" si="7"/>
        <v>23.297799999999999</v>
      </c>
      <c r="Z66" s="70">
        <f t="shared" si="8"/>
        <v>1.43E-2</v>
      </c>
      <c r="AA66" s="70">
        <f t="shared" si="9"/>
        <v>23.2835</v>
      </c>
      <c r="AB66" s="67" t="e">
        <f>VLOOKUP(A66,Enforcements!$C$7:$J$24,8,0)</f>
        <v>#N/A</v>
      </c>
      <c r="AC66" s="63" t="e">
        <f>VLOOKUP(A66,Enforcements!$C$7:$E$24,3,0)</f>
        <v>#N/A</v>
      </c>
      <c r="AD66" s="64" t="str">
        <f t="shared" si="10"/>
        <v>0154-18</v>
      </c>
      <c r="AE66" s="104" t="str">
        <f t="shared" si="11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66" s="101" t="str">
        <f t="shared" si="12"/>
        <v>"C:\Program Files (x86)\AstroGrep\AstroGrep.exe" /spath="%USERPROFILE%\AppData\Local\Temp\OnboardLogs" /stypes="*4026*20160818*"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105" t="str">
        <f t="shared" si="15"/>
        <v>"%USERPROFILE%\Documents\GitHub\eaglep3\Utilities\RefineRTDCRunTimes.py" --tripid 154-18 --locoid 4026 --swversion DE.1.0.7.0 --startMP 204:232978 --initTime 2016-08-18T11:08:31 --startdatetime 2016-08-18T11:09:48 --delay 1 --endMP 204:143 --enddatetime 2016-08-18T11:53:29 --enforcementcount 0</v>
      </c>
    </row>
    <row r="67" spans="1:34" s="1" customFormat="1" x14ac:dyDescent="0.25">
      <c r="A67" s="40" t="s">
        <v>419</v>
      </c>
      <c r="B67" s="7">
        <v>4038</v>
      </c>
      <c r="C67" s="25" t="s">
        <v>118</v>
      </c>
      <c r="D67" s="25" t="s">
        <v>149</v>
      </c>
      <c r="E67" s="16">
        <v>42600.432858796295</v>
      </c>
      <c r="F67" s="16">
        <v>42600.437731481485</v>
      </c>
      <c r="G67" s="7">
        <v>7</v>
      </c>
      <c r="H67" s="16" t="s">
        <v>146</v>
      </c>
      <c r="I67" s="16">
        <v>42600.462500000001</v>
      </c>
      <c r="J67" s="7">
        <v>0</v>
      </c>
      <c r="K67" s="142" t="str">
        <f t="shared" si="0"/>
        <v>4037/4038</v>
      </c>
      <c r="L67" s="25" t="str">
        <f>VLOOKUP(A67,'Trips&amp;Operators'!$C$1:$E$10000,3,FALSE)</f>
        <v>YORK</v>
      </c>
      <c r="M67" s="6">
        <f t="shared" si="1"/>
        <v>2.4768518516793847E-2</v>
      </c>
      <c r="N67" s="7">
        <f t="shared" si="17"/>
        <v>35.66666666418314</v>
      </c>
      <c r="O67" s="7"/>
      <c r="P67" s="7"/>
      <c r="Q67" s="26"/>
      <c r="R67" s="26"/>
      <c r="S67" s="38">
        <f t="shared" si="18"/>
        <v>1</v>
      </c>
      <c r="T67" s="53" t="str">
        <f t="shared" si="3"/>
        <v>NorthBound</v>
      </c>
      <c r="U67" s="13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09:23:19-0600',mode:absolute,to:'2016-08-18 12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7" s="55" t="str">
        <f t="shared" si="5"/>
        <v>N</v>
      </c>
      <c r="X67" s="129">
        <f t="shared" ref="X67:X72" si="20">VALUE(LEFT(AD67,4))-VALUE(LEFT(AD66,4))</f>
        <v>1</v>
      </c>
      <c r="Y67" s="70">
        <f t="shared" si="7"/>
        <v>4.6899999999999997E-2</v>
      </c>
      <c r="Z67" s="70">
        <f t="shared" si="8"/>
        <v>23.331199999999999</v>
      </c>
      <c r="AA67" s="70">
        <f t="shared" si="9"/>
        <v>23.284299999999998</v>
      </c>
      <c r="AB67" s="67" t="e">
        <f>VLOOKUP(A67,Enforcements!$C$7:$J$24,8,0)</f>
        <v>#N/A</v>
      </c>
      <c r="AC67" s="63" t="e">
        <f>VLOOKUP(A67,Enforcements!$C$7:$E$24,3,0)</f>
        <v>#N/A</v>
      </c>
      <c r="AD67" s="64" t="str">
        <f t="shared" si="10"/>
        <v>0155-18</v>
      </c>
      <c r="AE67" s="104" t="str">
        <f t="shared" si="11"/>
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</c>
      <c r="AF67" s="101" t="str">
        <f t="shared" si="12"/>
        <v>"C:\Program Files (x86)\AstroGrep\AstroGrep.exe" /spath="%USERPROFILE%\AppData\Local\Temp\OnboardLogs" /stypes="*4038*20160818*"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105" t="str">
        <f t="shared" si="15"/>
        <v>"%USERPROFILE%\Documents\GitHub\eaglep3\Utilities\RefineRTDCRunTimes.py" --tripid 155-18 --locoid 4038 --swversion DE.1.0.7.0 --startMP 204:469 --initTime 2016-08-18T10:23:19 --startdatetime 2016-08-18T10:30:20 --delay 7 --endMP 204:233312 --enddatetime 2016-08-18T11:06:00 --enforcementcount 0</v>
      </c>
    </row>
    <row r="68" spans="1:34" x14ac:dyDescent="0.25">
      <c r="A68" s="40" t="s">
        <v>339</v>
      </c>
      <c r="B68" s="7">
        <v>4037</v>
      </c>
      <c r="C68" s="25" t="s">
        <v>118</v>
      </c>
      <c r="D68" s="25" t="s">
        <v>121</v>
      </c>
      <c r="E68" s="16">
        <v>42600.46366898148</v>
      </c>
      <c r="F68" s="16">
        <v>42600.464525462965</v>
      </c>
      <c r="G68" s="7">
        <v>1</v>
      </c>
      <c r="H68" s="16" t="s">
        <v>420</v>
      </c>
      <c r="I68" s="16">
        <v>42600.50608796296</v>
      </c>
      <c r="J68" s="7">
        <v>0</v>
      </c>
      <c r="K68" s="142" t="str">
        <f t="shared" si="0"/>
        <v>4037/4038</v>
      </c>
      <c r="L68" s="25" t="str">
        <f>VLOOKUP(A68,'Trips&amp;Operators'!$C$1:$E$10000,3,FALSE)</f>
        <v>YORK</v>
      </c>
      <c r="M68" s="6">
        <f t="shared" si="1"/>
        <v>4.1562499995052349E-2</v>
      </c>
      <c r="N68" s="7">
        <f t="shared" si="17"/>
        <v>59.849999992875382</v>
      </c>
      <c r="O68" s="7"/>
      <c r="P68" s="7"/>
      <c r="Q68" s="26"/>
      <c r="R68" s="26"/>
      <c r="S68" s="38">
        <f t="shared" si="18"/>
        <v>1</v>
      </c>
      <c r="T68" s="53" t="str">
        <f t="shared" si="3"/>
        <v>Southbound</v>
      </c>
      <c r="U68" s="13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10:07:41-0600',mode:absolute,to:'2016-08-18 13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8" s="55" t="str">
        <f t="shared" si="5"/>
        <v>N</v>
      </c>
      <c r="X68" s="129">
        <f t="shared" si="20"/>
        <v>1</v>
      </c>
      <c r="Y68" s="70">
        <f t="shared" si="7"/>
        <v>23.299299999999999</v>
      </c>
      <c r="Z68" s="70">
        <f t="shared" si="8"/>
        <v>1.6E-2</v>
      </c>
      <c r="AA68" s="70">
        <f t="shared" si="9"/>
        <v>23.283300000000001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10"/>
        <v>0156-18</v>
      </c>
      <c r="AE68" s="104" t="str">
        <f t="shared" si="11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68" s="101" t="str">
        <f t="shared" si="12"/>
        <v>"C:\Program Files (x86)\AstroGrep\AstroGrep.exe" /spath="%USERPROFILE%\AppData\Local\Temp\OnboardLogs" /stypes="*4037*20160818*"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105" t="str">
        <f t="shared" si="15"/>
        <v>"%USERPROFILE%\Documents\GitHub\eaglep3\Utilities\RefineRTDCRunTimes.py" --tripid 156-18 --locoid 4037 --swversion DE.1.0.7.0 --startMP 204:232993 --initTime 2016-08-18T11:07:41 --startdatetime 2016-08-18T11:08:55 --delay 1 --endMP 204:160 --enddatetime 2016-08-18T12:08:46 --enforcementcount 0</v>
      </c>
    </row>
    <row r="69" spans="1:34" s="1" customFormat="1" x14ac:dyDescent="0.25">
      <c r="A69" s="40" t="s">
        <v>421</v>
      </c>
      <c r="B69" s="7">
        <v>4029</v>
      </c>
      <c r="C69" s="25" t="s">
        <v>118</v>
      </c>
      <c r="D69" s="25" t="s">
        <v>422</v>
      </c>
      <c r="E69" s="16">
        <v>42600.445439814815</v>
      </c>
      <c r="F69" s="16">
        <v>42600.446342592593</v>
      </c>
      <c r="G69" s="7">
        <v>1</v>
      </c>
      <c r="H69" s="16" t="s">
        <v>240</v>
      </c>
      <c r="I69" s="16">
        <v>42600.474282407406</v>
      </c>
      <c r="J69" s="7">
        <v>0</v>
      </c>
      <c r="K69" s="142" t="str">
        <f t="shared" si="0"/>
        <v>4029/4030</v>
      </c>
      <c r="L69" s="25" t="str">
        <f>VLOOKUP(A69,'Trips&amp;Operators'!$C$1:$E$10000,3,FALSE)</f>
        <v>GRASTON</v>
      </c>
      <c r="M69" s="6">
        <f t="shared" si="1"/>
        <v>2.7939814812270924E-2</v>
      </c>
      <c r="N69" s="7">
        <f t="shared" si="17"/>
        <v>40.233333329670131</v>
      </c>
      <c r="O69" s="7"/>
      <c r="P69" s="7"/>
      <c r="Q69" s="26"/>
      <c r="R69" s="26"/>
      <c r="S69" s="38">
        <f t="shared" si="18"/>
        <v>1</v>
      </c>
      <c r="T69" s="53" t="str">
        <f t="shared" si="3"/>
        <v>NorthBound</v>
      </c>
      <c r="U69" s="13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09:41:26-0600',mode:absolute,to:'2016-08-18 12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69" s="55" t="str">
        <f t="shared" si="5"/>
        <v>N</v>
      </c>
      <c r="X69" s="129">
        <f t="shared" si="20"/>
        <v>1</v>
      </c>
      <c r="Y69" s="70">
        <f t="shared" si="7"/>
        <v>0.14810000000000001</v>
      </c>
      <c r="Z69" s="70">
        <f t="shared" si="8"/>
        <v>23.331399999999999</v>
      </c>
      <c r="AA69" s="70">
        <f t="shared" si="9"/>
        <v>23.183299999999999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10"/>
        <v>0157-18</v>
      </c>
      <c r="AE69" s="104" t="str">
        <f t="shared" si="11"/>
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</c>
      <c r="AF69" s="101" t="str">
        <f t="shared" si="12"/>
        <v>"C:\Program Files (x86)\AstroGrep\AstroGrep.exe" /spath="%USERPROFILE%\AppData\Local\Temp\OnboardLogs" /stypes="*4029*20160818*"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105" t="str">
        <f t="shared" si="15"/>
        <v>"%USERPROFILE%\Documents\GitHub\eaglep3\Utilities\RefineRTDCRunTimes.py" --tripid 157-18 --locoid 4029 --swversion DE.1.0.7.0 --startMP 204:1481 --initTime 2016-08-18T10:41:26 --startdatetime 2016-08-18T10:42:44 --delay 1 --endMP 204:233314 --enddatetime 2016-08-18T11:22:58 --enforcementcount 0</v>
      </c>
    </row>
    <row r="70" spans="1:34" s="1" customFormat="1" x14ac:dyDescent="0.25">
      <c r="A70" s="40" t="s">
        <v>423</v>
      </c>
      <c r="B70" s="7">
        <v>4030</v>
      </c>
      <c r="C70" s="25" t="s">
        <v>118</v>
      </c>
      <c r="D70" s="25" t="s">
        <v>142</v>
      </c>
      <c r="E70" s="16">
        <v>42600.476122685184</v>
      </c>
      <c r="F70" s="16">
        <v>42600.4768287037</v>
      </c>
      <c r="G70" s="7">
        <v>1</v>
      </c>
      <c r="H70" s="16" t="s">
        <v>217</v>
      </c>
      <c r="I70" s="16">
        <v>42600.5153587963</v>
      </c>
      <c r="J70" s="7">
        <v>0</v>
      </c>
      <c r="K70" s="142" t="str">
        <f t="shared" si="0"/>
        <v>4029/4030</v>
      </c>
      <c r="L70" s="25" t="str">
        <f>VLOOKUP(A70,'Trips&amp;Operators'!$C$1:$E$10000,3,FALSE)</f>
        <v>GRASTON</v>
      </c>
      <c r="M70" s="6">
        <f t="shared" si="1"/>
        <v>3.8530092599103227E-2</v>
      </c>
      <c r="N70" s="7">
        <f t="shared" si="17"/>
        <v>55.483333342708647</v>
      </c>
      <c r="O70" s="7"/>
      <c r="P70" s="7"/>
      <c r="Q70" s="26"/>
      <c r="R70" s="26"/>
      <c r="S70" s="38">
        <f t="shared" si="18"/>
        <v>1</v>
      </c>
      <c r="T70" s="53" t="str">
        <f t="shared" si="3"/>
        <v>Southbound</v>
      </c>
      <c r="U70" s="13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10:25:37-0600',mode:absolute,to:'2016-08-18 13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70" s="55" t="str">
        <f t="shared" si="5"/>
        <v>N</v>
      </c>
      <c r="X70" s="129">
        <f t="shared" si="20"/>
        <v>1</v>
      </c>
      <c r="Y70" s="70">
        <f t="shared" si="7"/>
        <v>23.299399999999999</v>
      </c>
      <c r="Z70" s="70">
        <f t="shared" si="8"/>
        <v>1.61E-2</v>
      </c>
      <c r="AA70" s="70">
        <f t="shared" si="9"/>
        <v>23.283299999999997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si="10"/>
        <v>0158-18</v>
      </c>
      <c r="AE70" s="104" t="str">
        <f t="shared" si="11"/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AF70" s="101" t="str">
        <f t="shared" si="12"/>
        <v>"C:\Program Files (x86)\AstroGrep\AstroGrep.exe" /spath="%USERPROFILE%\AppData\Local\Temp\OnboardLogs" /stypes="*4030*20160818*"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105" t="str">
        <f t="shared" si="15"/>
        <v>"%USERPROFILE%\Documents\GitHub\eaglep3\Utilities\RefineRTDCRunTimes.py" --tripid 158-18 --locoid 4030 --swversion DE.1.0.7.0 --startMP 204:232994 --initTime 2016-08-18T11:25:37 --startdatetime 2016-08-18T11:26:38 --delay 1 --endMP 204:161 --enddatetime 2016-08-18T12:22:07 --enforcementcount 0</v>
      </c>
    </row>
    <row r="71" spans="1:34" s="1" customFormat="1" x14ac:dyDescent="0.25">
      <c r="A71" s="40" t="s">
        <v>335</v>
      </c>
      <c r="B71" s="7">
        <v>4044</v>
      </c>
      <c r="C71" s="25" t="s">
        <v>118</v>
      </c>
      <c r="D71" s="25" t="s">
        <v>140</v>
      </c>
      <c r="E71" s="16">
        <v>42600.459236111114</v>
      </c>
      <c r="F71" s="16">
        <v>42600.460462962961</v>
      </c>
      <c r="G71" s="7">
        <v>1</v>
      </c>
      <c r="H71" s="16" t="s">
        <v>424</v>
      </c>
      <c r="I71" s="16">
        <v>42600.486898148149</v>
      </c>
      <c r="J71" s="7">
        <v>0</v>
      </c>
      <c r="K71" s="142" t="str">
        <f t="shared" si="0"/>
        <v>4043/4044</v>
      </c>
      <c r="L71" s="25" t="str">
        <f>VLOOKUP(A71,'Trips&amp;Operators'!$C$1:$E$10000,3,FALSE)</f>
        <v>BONDS</v>
      </c>
      <c r="M71" s="6">
        <f t="shared" si="1"/>
        <v>2.6435185187438037E-2</v>
      </c>
      <c r="N71" s="7">
        <f t="shared" si="17"/>
        <v>38.066666669910774</v>
      </c>
      <c r="O71" s="7"/>
      <c r="P71" s="7"/>
      <c r="Q71" s="26"/>
      <c r="R71" s="26"/>
      <c r="S71" s="38">
        <f t="shared" si="18"/>
        <v>1</v>
      </c>
      <c r="T71" s="53" t="str">
        <f t="shared" si="3"/>
        <v>NorthBound</v>
      </c>
      <c r="U71" s="13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10:01:18-0600',mode:absolute,to:'2016-08-18 12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71" s="55" t="str">
        <f t="shared" si="5"/>
        <v>N</v>
      </c>
      <c r="X71" s="129">
        <f t="shared" si="20"/>
        <v>1</v>
      </c>
      <c r="Y71" s="70">
        <f t="shared" si="7"/>
        <v>4.53E-2</v>
      </c>
      <c r="Z71" s="70">
        <f t="shared" si="8"/>
        <v>23.333200000000001</v>
      </c>
      <c r="AA71" s="70">
        <f t="shared" si="9"/>
        <v>23.2879</v>
      </c>
      <c r="AB71" s="67">
        <f>VLOOKUP(A71,Enforcements!$C$7:$J$24,8,0)</f>
        <v>33137</v>
      </c>
      <c r="AC71" s="63" t="str">
        <f>VLOOKUP(A71,Enforcements!$C$7:$E$24,3,0)</f>
        <v>GRADE CROSSING</v>
      </c>
      <c r="AD71" s="64" t="str">
        <f t="shared" si="10"/>
        <v>0159-18</v>
      </c>
      <c r="AE71" s="104" t="str">
        <f t="shared" si="11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71" s="101" t="str">
        <f t="shared" si="12"/>
        <v>"C:\Program Files (x86)\AstroGrep\AstroGrep.exe" /spath="%USERPROFILE%\AppData\Local\Temp\OnboardLogs" /stypes="*4044*20160818*"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105" t="str">
        <f t="shared" si="15"/>
        <v>"%USERPROFILE%\Documents\GitHub\eaglep3\Utilities\RefineRTDCRunTimes.py" --tripid 159-18 --locoid 4044 --swversion DE.1.0.7.0 --startMP 204:453 --initTime 2016-08-18T11:01:18 --startdatetime 2016-08-18T11:03:04 --delay 1 --endMP 204:233332 --enddatetime 2016-08-18T11:41:08 --enforcementcount 0</v>
      </c>
    </row>
    <row r="72" spans="1:34" x14ac:dyDescent="0.25">
      <c r="A72" s="40" t="s">
        <v>425</v>
      </c>
      <c r="B72" s="7">
        <v>4043</v>
      </c>
      <c r="C72" s="25" t="s">
        <v>118</v>
      </c>
      <c r="D72" s="25" t="s">
        <v>426</v>
      </c>
      <c r="E72" s="16">
        <v>42600.491238425922</v>
      </c>
      <c r="F72" s="16">
        <v>42600.492256944446</v>
      </c>
      <c r="G72" s="7">
        <v>1</v>
      </c>
      <c r="H72" s="16" t="s">
        <v>266</v>
      </c>
      <c r="I72" s="16">
        <v>42600.525335648148</v>
      </c>
      <c r="J72" s="7">
        <v>0</v>
      </c>
      <c r="K72" s="142" t="str">
        <f t="shared" si="0"/>
        <v>4043/4044</v>
      </c>
      <c r="L72" s="25" t="str">
        <f>VLOOKUP(A72,'Trips&amp;Operators'!$C$1:$E$10000,3,FALSE)</f>
        <v>BONDS</v>
      </c>
      <c r="M72" s="6">
        <f t="shared" si="1"/>
        <v>3.3078703701903578E-2</v>
      </c>
      <c r="N72" s="7">
        <f t="shared" si="17"/>
        <v>47.633333330741152</v>
      </c>
      <c r="O72" s="7"/>
      <c r="P72" s="7"/>
      <c r="Q72" s="26"/>
      <c r="R72" s="26"/>
      <c r="S72" s="38">
        <f t="shared" si="18"/>
        <v>1</v>
      </c>
      <c r="T72" s="53" t="str">
        <f t="shared" si="3"/>
        <v>Southbound</v>
      </c>
      <c r="U72" s="13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10:47:23-0600',mode:absolute,to:'2016-08-18 13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2" s="55" t="str">
        <f t="shared" si="5"/>
        <v>N</v>
      </c>
      <c r="X72" s="129">
        <f t="shared" si="20"/>
        <v>1</v>
      </c>
      <c r="Y72" s="70">
        <f t="shared" si="7"/>
        <v>23.3017</v>
      </c>
      <c r="Z72" s="70">
        <f t="shared" si="8"/>
        <v>1.4500000000000001E-2</v>
      </c>
      <c r="AA72" s="70">
        <f t="shared" si="9"/>
        <v>23.287199999999999</v>
      </c>
      <c r="AB72" s="67" t="e">
        <f>VLOOKUP(A72,Enforcements!$C$7:$J$24,8,0)</f>
        <v>#N/A</v>
      </c>
      <c r="AC72" s="63" t="e">
        <f>VLOOKUP(A72,Enforcements!$C$7:$E$24,3,0)</f>
        <v>#N/A</v>
      </c>
      <c r="AD72" s="64" t="str">
        <f t="shared" si="10"/>
        <v>0160-18</v>
      </c>
      <c r="AE72" s="104" t="str">
        <f t="shared" si="11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72" s="101" t="str">
        <f t="shared" si="12"/>
        <v>"C:\Program Files (x86)\AstroGrep\AstroGrep.exe" /spath="%USERPROFILE%\AppData\Local\Temp\OnboardLogs" /stypes="*4043*20160818*"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105" t="str">
        <f t="shared" si="15"/>
        <v>"%USERPROFILE%\Documents\GitHub\eaglep3\Utilities\RefineRTDCRunTimes.py" --tripid 160-18 --locoid 4043 --swversion DE.1.0.7.0 --startMP 204:233017 --initTime 2016-08-18T11:47:23 --startdatetime 2016-08-18T11:48:51 --delay 1 --endMP 204:145 --enddatetime 2016-08-18T12:36:29 --enforcementcount 0</v>
      </c>
    </row>
    <row r="73" spans="1:34" s="24" customFormat="1" x14ac:dyDescent="0.25">
      <c r="A73" s="40" t="s">
        <v>427</v>
      </c>
      <c r="B73" s="7">
        <v>4027</v>
      </c>
      <c r="C73" s="25" t="s">
        <v>118</v>
      </c>
      <c r="D73" s="25" t="s">
        <v>428</v>
      </c>
      <c r="E73" s="16">
        <v>42600.472743055558</v>
      </c>
      <c r="F73" s="16">
        <v>42600.473622685182</v>
      </c>
      <c r="G73" s="7">
        <v>1</v>
      </c>
      <c r="H73" s="16" t="s">
        <v>207</v>
      </c>
      <c r="I73" s="16">
        <v>42600.496539351851</v>
      </c>
      <c r="J73" s="7">
        <v>0</v>
      </c>
      <c r="K73" s="142" t="str">
        <f t="shared" si="0"/>
        <v>4027/4028</v>
      </c>
      <c r="L73" s="25" t="str">
        <f>VLOOKUP(A73,'Trips&amp;Operators'!$C$1:$E$10000,3,FALSE)</f>
        <v>SANTIZO</v>
      </c>
      <c r="M73" s="6">
        <f t="shared" si="1"/>
        <v>2.2916666668606922E-2</v>
      </c>
      <c r="N73" s="7"/>
      <c r="O73" s="7"/>
      <c r="P73" s="7">
        <f>24*60*SUM($M73:$M74)</f>
        <v>34.383333334699273</v>
      </c>
      <c r="Q73" s="26"/>
      <c r="R73" s="26" t="s">
        <v>684</v>
      </c>
      <c r="S73" s="38">
        <f t="shared" si="18"/>
        <v>1</v>
      </c>
      <c r="T73" s="53" t="str">
        <f t="shared" si="3"/>
        <v>NorthBound</v>
      </c>
      <c r="U73" s="13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10:20:45-0600',mode:absolute,to:'2016-08-18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3" s="55" t="str">
        <f t="shared" si="5"/>
        <v>Y</v>
      </c>
      <c r="X73" s="129">
        <f t="shared" ref="X73:X104" si="21">VALUE(LEFT(AD73,4))-VALUE(LEFT(AD72,4))</f>
        <v>1</v>
      </c>
      <c r="Y73" s="70">
        <f t="shared" si="7"/>
        <v>1.9133</v>
      </c>
      <c r="Z73" s="70">
        <f t="shared" si="8"/>
        <v>23.330500000000001</v>
      </c>
      <c r="AA73" s="70">
        <f t="shared" si="9"/>
        <v>21.417200000000001</v>
      </c>
      <c r="AB73" s="67" t="e">
        <f>VLOOKUP(A73,Enforcements!$C$7:$J$24,8,0)</f>
        <v>#N/A</v>
      </c>
      <c r="AC73" s="63" t="e">
        <f>VLOOKUP(A73,Enforcements!$C$7:$E$24,3,0)</f>
        <v>#N/A</v>
      </c>
      <c r="AD73" s="64" t="str">
        <f t="shared" si="10"/>
        <v>0161-18</v>
      </c>
      <c r="AE73" s="104" t="str">
        <f t="shared" si="11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73" s="101" t="str">
        <f t="shared" si="12"/>
        <v>"C:\Program Files (x86)\AstroGrep\AstroGrep.exe" /spath="%USERPROFILE%\AppData\Local\Temp\OnboardLogs" /stypes="*4027*20160818*"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105" t="str">
        <f t="shared" si="15"/>
        <v>"%USERPROFILE%\Documents\GitHub\eaglep3\Utilities\RefineRTDCRunTimes.py" --tripid 161-18 --locoid 4027 --swversion DE.1.0.7.0 --startMP 204:19133 --initTime 2016-08-18T11:20:45 --startdatetime 2016-08-18T11:22:01 --delay 1 --endMP 204:233305 --enddatetime 2016-08-18T11:55:01 --enforcementcount 0</v>
      </c>
    </row>
    <row r="74" spans="1:34" x14ac:dyDescent="0.25">
      <c r="A74" s="40" t="s">
        <v>427</v>
      </c>
      <c r="B74" s="7">
        <v>4027</v>
      </c>
      <c r="C74" s="25" t="s">
        <v>118</v>
      </c>
      <c r="D74" s="25" t="s">
        <v>151</v>
      </c>
      <c r="E74" s="16">
        <v>42600.46769675926</v>
      </c>
      <c r="F74" s="16">
        <v>42600.468877314815</v>
      </c>
      <c r="G74" s="7">
        <v>1</v>
      </c>
      <c r="H74" s="16" t="s">
        <v>429</v>
      </c>
      <c r="I74" s="16">
        <v>42600.469837962963</v>
      </c>
      <c r="J74" s="7">
        <v>0</v>
      </c>
      <c r="K74" s="142" t="str">
        <f t="shared" si="0"/>
        <v>4027/4028</v>
      </c>
      <c r="L74" s="25" t="str">
        <f>VLOOKUP(A74,'Trips&amp;Operators'!$C$1:$E$10000,3,FALSE)</f>
        <v>SANTIZO</v>
      </c>
      <c r="M74" s="6">
        <f t="shared" si="1"/>
        <v>9.6064814715646207E-4</v>
      </c>
      <c r="N74" s="7"/>
      <c r="O74" s="7"/>
      <c r="P74" s="7"/>
      <c r="Q74" s="26"/>
      <c r="R74" s="26"/>
      <c r="S74" s="38"/>
      <c r="T74" s="53" t="str">
        <f t="shared" si="3"/>
        <v>NorthBound</v>
      </c>
      <c r="U74" s="13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10:13:29-0600',mode:absolute,to:'2016-08-18 12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4" s="55" t="str">
        <f t="shared" si="5"/>
        <v>Y</v>
      </c>
      <c r="X74" s="129">
        <f t="shared" si="21"/>
        <v>0</v>
      </c>
      <c r="Y74" s="70">
        <f t="shared" si="7"/>
        <v>4.6699999999999998E-2</v>
      </c>
      <c r="Z74" s="70">
        <f t="shared" si="8"/>
        <v>0.1138</v>
      </c>
      <c r="AA74" s="70">
        <f t="shared" si="9"/>
        <v>6.7099999999999993E-2</v>
      </c>
      <c r="AB74" s="67" t="e">
        <f>VLOOKUP(A74,Enforcements!$C$7:$J$24,8,0)</f>
        <v>#N/A</v>
      </c>
      <c r="AC74" s="63" t="e">
        <f>VLOOKUP(A74,Enforcements!$C$7:$E$24,3,0)</f>
        <v>#N/A</v>
      </c>
      <c r="AD74" s="64" t="str">
        <f t="shared" si="10"/>
        <v>0161-18</v>
      </c>
      <c r="AE74" s="104" t="str">
        <f t="shared" si="11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74" s="101" t="str">
        <f t="shared" si="12"/>
        <v>"C:\Program Files (x86)\AstroGrep\AstroGrep.exe" /spath="%USERPROFILE%\AppData\Local\Temp\OnboardLogs" /stypes="*4027*20160818*" /stext=" 17:.+((SYSTEM_STATE.+slice.+state.+changed )|(ment ac)|(system.+state.+changed )|(\|lc)|(penalty)|(\[timeout)|(PRM\|1\|D)|(kpr)|(kdp))" /e /r /s</v>
      </c>
      <c r="AG74" s="1" t="str">
        <f t="shared" si="13"/>
        <v>EC</v>
      </c>
      <c r="AH74" s="105" t="str">
        <f t="shared" si="15"/>
        <v>"%USERPROFILE%\Documents\GitHub\eaglep3\Utilities\RefineRTDCRunTimes.py" --tripid 161-18 --locoid 4027 --swversion DE.1.0.7.0 --startMP 204:467 --initTime 2016-08-18T11:13:29 --startdatetime 2016-08-18T11:15:11 --delay 1 --endMP 204:1138 --enddatetime 2016-08-18T11:16:34 --enforcementcount 0</v>
      </c>
    </row>
    <row r="75" spans="1:34" x14ac:dyDescent="0.25">
      <c r="A75" s="40" t="s">
        <v>430</v>
      </c>
      <c r="B75" s="7">
        <v>4028</v>
      </c>
      <c r="C75" s="25" t="s">
        <v>118</v>
      </c>
      <c r="D75" s="25" t="s">
        <v>281</v>
      </c>
      <c r="E75" s="16">
        <v>42600.49728009259</v>
      </c>
      <c r="F75" s="16">
        <v>42600.498194444444</v>
      </c>
      <c r="G75" s="7">
        <v>1</v>
      </c>
      <c r="H75" s="16" t="s">
        <v>205</v>
      </c>
      <c r="I75" s="16">
        <v>42600.534687500003</v>
      </c>
      <c r="J75" s="7">
        <v>0</v>
      </c>
      <c r="K75" s="142" t="str">
        <f t="shared" si="0"/>
        <v>4027/4028</v>
      </c>
      <c r="L75" s="25" t="str">
        <f>VLOOKUP(A75,'Trips&amp;Operators'!$C$1:$E$10000,3,FALSE)</f>
        <v>SANTIZO</v>
      </c>
      <c r="M75" s="6">
        <f t="shared" si="1"/>
        <v>3.6493055558821652E-2</v>
      </c>
      <c r="N75" s="7">
        <f t="shared" ref="N75:N100" si="22">24*60*SUM($M75:$M75)</f>
        <v>52.550000004703179</v>
      </c>
      <c r="O75" s="7"/>
      <c r="P75" s="7"/>
      <c r="Q75" s="26"/>
      <c r="R75" s="26"/>
      <c r="S75" s="38">
        <f t="shared" ref="S75:S106" si="23">SUM(U75:U75)/IF(AG75="EC",12,1)</f>
        <v>1</v>
      </c>
      <c r="T75" s="53" t="str">
        <f t="shared" si="3"/>
        <v>Southbound</v>
      </c>
      <c r="U75" s="13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10:56:05-0600',mode:absolute,to:'2016-08-18 13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5" s="55" t="str">
        <f t="shared" si="5"/>
        <v>N</v>
      </c>
      <c r="X75" s="129">
        <f t="shared" si="21"/>
        <v>1</v>
      </c>
      <c r="Y75" s="70">
        <f t="shared" si="7"/>
        <v>23.299199999999999</v>
      </c>
      <c r="Z75" s="70">
        <f t="shared" si="8"/>
        <v>1.52E-2</v>
      </c>
      <c r="AA75" s="70">
        <f t="shared" si="9"/>
        <v>23.283999999999999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10"/>
        <v>0162-18</v>
      </c>
      <c r="AE75" s="104" t="str">
        <f t="shared" si="11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75" s="101" t="str">
        <f t="shared" si="12"/>
        <v>"C:\Program Files (x86)\AstroGrep\AstroGrep.exe" /spath="%USERPROFILE%\AppData\Local\Temp\OnboardLogs" /stypes="*4028*20160818*"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105" t="str">
        <f t="shared" si="15"/>
        <v>"%USERPROFILE%\Documents\GitHub\eaglep3\Utilities\RefineRTDCRunTimes.py" --tripid 162-18 --locoid 4028 --swversion DE.1.0.7.0 --startMP 204:232992 --initTime 2016-08-18T11:56:05 --startdatetime 2016-08-18T11:57:24 --delay 1 --endMP 204:152 --enddatetime 2016-08-18T12:49:57 --enforcementcount 0</v>
      </c>
    </row>
    <row r="76" spans="1:34" x14ac:dyDescent="0.25">
      <c r="A76" s="40" t="s">
        <v>338</v>
      </c>
      <c r="B76" s="7">
        <v>4007</v>
      </c>
      <c r="C76" s="25" t="s">
        <v>118</v>
      </c>
      <c r="D76" s="25" t="s">
        <v>114</v>
      </c>
      <c r="E76" s="16">
        <v>42600.475682870368</v>
      </c>
      <c r="F76" s="16">
        <v>42600.47729166667</v>
      </c>
      <c r="G76" s="7">
        <v>2</v>
      </c>
      <c r="H76" s="16" t="s">
        <v>431</v>
      </c>
      <c r="I76" s="16">
        <v>42600.505509259259</v>
      </c>
      <c r="J76" s="7">
        <v>0</v>
      </c>
      <c r="K76" s="142" t="str">
        <f t="shared" si="0"/>
        <v>4007/4008</v>
      </c>
      <c r="L76" s="25" t="str">
        <f>VLOOKUP(A76,'Trips&amp;Operators'!$C$1:$E$10000,3,FALSE)</f>
        <v>MOSES</v>
      </c>
      <c r="M76" s="6">
        <f t="shared" si="1"/>
        <v>2.8217592589498963E-2</v>
      </c>
      <c r="N76" s="7">
        <f t="shared" si="22"/>
        <v>40.633333328878507</v>
      </c>
      <c r="O76" s="7"/>
      <c r="P76" s="7"/>
      <c r="Q76" s="26"/>
      <c r="R76" s="26"/>
      <c r="S76" s="38">
        <f t="shared" si="23"/>
        <v>1</v>
      </c>
      <c r="T76" s="53" t="str">
        <f t="shared" si="3"/>
        <v>NorthBound</v>
      </c>
      <c r="U76" s="13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1" t="str">
        <f t="shared" si="4"/>
        <v>https://search-rtdc-monitor-bjffxe2xuh6vdkpspy63sjmuny.us-east-1.es.amazonaws.com/_plugin/kibana/#/discover/Steve-Slow-Train-Analysis-(2080s-and-2083s)?_g=(refreshInterval:(display:Off,section:0,value:0),time:(from:'2016-08-18 10:24:59-0600',mode:absolute,to:'2016-08-18 13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6" s="55" t="str">
        <f t="shared" si="5"/>
        <v>N</v>
      </c>
      <c r="X76" s="129">
        <f t="shared" si="21"/>
        <v>1</v>
      </c>
      <c r="Y76" s="70">
        <f t="shared" si="7"/>
        <v>4.6199999999999998E-2</v>
      </c>
      <c r="Z76" s="70">
        <f t="shared" si="8"/>
        <v>23.333100000000002</v>
      </c>
      <c r="AA76" s="70">
        <f t="shared" si="9"/>
        <v>23.286900000000003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10"/>
        <v>0163-18</v>
      </c>
      <c r="AE76" s="104" t="str">
        <f t="shared" si="11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76" s="101" t="str">
        <f t="shared" si="12"/>
        <v>"C:\Program Files (x86)\AstroGrep\AstroGrep.exe" /spath="%USERPROFILE%\AppData\Local\Temp\OnboardLogs" /stypes="*4007*20160818*" /stext=" 18:.+((SYSTEM_STATE.+slice.+state.+changed )|(ment ac)|(system.+state.+changed )|(\|lc)|(penalty)|(\[timeout)|(PRM\|1\|D)|(kpr)|(kdp))" /e /r /s</v>
      </c>
      <c r="AG76" s="1" t="str">
        <f t="shared" si="13"/>
        <v>EC</v>
      </c>
      <c r="AH76" s="105" t="str">
        <f t="shared" si="15"/>
        <v>"%USERPROFILE%\Documents\GitHub\eaglep3\Utilities\RefineRTDCRunTimes.py" --tripid 163-18 --locoid 4007 --swversion DE.1.0.7.0 --startMP 204:462 --initTime 2016-08-18T11:24:59 --startdatetime 2016-08-18T11:27:18 --delay 2 --endMP 204:233331 --enddatetime 2016-08-18T12:07:56 --enforcementcount 0</v>
      </c>
    </row>
    <row r="77" spans="1:34" s="24" customFormat="1" x14ac:dyDescent="0.25">
      <c r="A77" s="40" t="s">
        <v>432</v>
      </c>
      <c r="B77" s="7">
        <v>4008</v>
      </c>
      <c r="C77" s="25" t="s">
        <v>118</v>
      </c>
      <c r="D77" s="25" t="s">
        <v>145</v>
      </c>
      <c r="E77" s="16">
        <v>42600.513819444444</v>
      </c>
      <c r="F77" s="16">
        <v>42600.515405092592</v>
      </c>
      <c r="G77" s="7">
        <v>2</v>
      </c>
      <c r="H77" s="16" t="s">
        <v>217</v>
      </c>
      <c r="I77" s="16">
        <v>42600.546712962961</v>
      </c>
      <c r="J77" s="7">
        <v>0</v>
      </c>
      <c r="K77" s="142" t="str">
        <f t="shared" ref="K77:K140" si="24">IF(ISEVEN(B77),(B77-1)&amp;"/"&amp;B77,B77&amp;"/"&amp;(B77+1))</f>
        <v>4007/4008</v>
      </c>
      <c r="L77" s="25" t="str">
        <f>VLOOKUP(A77,'Trips&amp;Operators'!$C$1:$E$10000,3,FALSE)</f>
        <v>MOSES</v>
      </c>
      <c r="M77" s="6">
        <f t="shared" ref="M77:M140" si="25">I77-F77</f>
        <v>3.1307870369346347E-2</v>
      </c>
      <c r="N77" s="7">
        <f t="shared" si="22"/>
        <v>45.083333331858739</v>
      </c>
      <c r="O77" s="7"/>
      <c r="P77" s="7"/>
      <c r="Q77" s="26"/>
      <c r="R77" s="26"/>
      <c r="S77" s="38">
        <f t="shared" si="23"/>
        <v>1</v>
      </c>
      <c r="T77" s="53" t="str">
        <f t="shared" ref="T77:T140" si="26">IF(ISEVEN(LEFT(AD77,4)),"Southbound","NorthBound")</f>
        <v>Southbound</v>
      </c>
      <c r="U77" s="13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1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https://search-rtdc-monitor-bjffxe2xuh6vdkpspy63sjmuny.us-east-1.es.amazonaws.com/_plugin/kibana/#/discover/Steve-Slow-Train-Analysis-(2080s-and-2083s)?_g=(refreshInterval:(display:Off,section:0,value:0),time:(from:'2016-08-18 11:19:54-0600',mode:absolute,to:'2016-08-18 14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7" s="55" t="str">
        <f t="shared" ref="W77:W140" si="28">IF(AA77&lt;IF(AG77="EC",23,5.65),"Y","N")</f>
        <v>N</v>
      </c>
      <c r="X77" s="129">
        <f t="shared" si="21"/>
        <v>1</v>
      </c>
      <c r="Y77" s="70">
        <f t="shared" ref="Y77:Y140" si="29">RIGHT(D77,LEN(D77)-4)/10000</f>
        <v>23.299600000000002</v>
      </c>
      <c r="Z77" s="70">
        <f t="shared" ref="Z77:Z140" si="30">RIGHT(H77,LEN(H77)-4)/10000</f>
        <v>1.61E-2</v>
      </c>
      <c r="AA77" s="70">
        <f t="shared" ref="AA77:AA140" si="31">ABS(Z77-Y77)</f>
        <v>23.2835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ref="AD77:AD140" si="32">IF(LEN(A77)=6,"0"&amp;A77,A77)</f>
        <v>0164-18</v>
      </c>
      <c r="AE77" s="104" t="str">
        <f t="shared" ref="AE77:AE140" si="33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77" s="101" t="str">
        <f t="shared" ref="AF77:AF140" si="34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/stypes="*4008*20160818*" /stext=" 19:.+((SYSTEM_STATE.+slice.+state.+changed )|(ment ac)|(system.+state.+changed )|(\|lc)|(penalty)|(\[timeout)|(PRM\|1\|D)|(kpr)|(kdp))"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105" t="str">
        <f t="shared" ref="AH77:AH140" si="3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</f>
        <v>"%USERPROFILE%\Documents\GitHub\eaglep3\Utilities\RefineRTDCRunTimes.py" --tripid 164-18 --locoid 4008 --swversion DE.1.0.7.0 --startMP 204:232996 --initTime 2016-08-18T12:19:54 --startdatetime 2016-08-18T12:22:11 --delay 2 --endMP 204:161 --enddatetime 2016-08-18T13:07:16 --enforcementcount 0</v>
      </c>
    </row>
    <row r="78" spans="1:34" x14ac:dyDescent="0.25">
      <c r="A78" s="40" t="s">
        <v>433</v>
      </c>
      <c r="B78" s="7">
        <v>4009</v>
      </c>
      <c r="C78" s="25" t="s">
        <v>118</v>
      </c>
      <c r="D78" s="25" t="s">
        <v>113</v>
      </c>
      <c r="E78" s="16">
        <v>42600.485532407409</v>
      </c>
      <c r="F78" s="16">
        <v>42600.48673611111</v>
      </c>
      <c r="G78" s="7">
        <v>1</v>
      </c>
      <c r="H78" s="16" t="s">
        <v>410</v>
      </c>
      <c r="I78" s="16">
        <v>42600.513981481483</v>
      </c>
      <c r="J78" s="7">
        <v>0</v>
      </c>
      <c r="K78" s="142" t="str">
        <f t="shared" si="24"/>
        <v>4009/4010</v>
      </c>
      <c r="L78" s="25" t="str">
        <f>VLOOKUP(A78,'Trips&amp;Operators'!$C$1:$E$10000,3,FALSE)</f>
        <v>NEWELL</v>
      </c>
      <c r="M78" s="6">
        <f t="shared" si="25"/>
        <v>2.7245370372838806E-2</v>
      </c>
      <c r="N78" s="7">
        <f t="shared" si="22"/>
        <v>39.233333336887881</v>
      </c>
      <c r="O78" s="7"/>
      <c r="P78" s="7"/>
      <c r="Q78" s="26"/>
      <c r="R78" s="26"/>
      <c r="S78" s="38">
        <f t="shared" si="23"/>
        <v>1</v>
      </c>
      <c r="T78" s="53" t="str">
        <f t="shared" si="26"/>
        <v>NorthBound</v>
      </c>
      <c r="U78" s="13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10:39:10-0600',mode:absolute,to:'2016-08-18 13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8" s="55" t="str">
        <f t="shared" si="28"/>
        <v>N</v>
      </c>
      <c r="X78" s="129">
        <f t="shared" si="21"/>
        <v>1</v>
      </c>
      <c r="Y78" s="70">
        <f t="shared" si="29"/>
        <v>4.6399999999999997E-2</v>
      </c>
      <c r="Z78" s="70">
        <f t="shared" si="30"/>
        <v>23.3324</v>
      </c>
      <c r="AA78" s="70">
        <f t="shared" si="31"/>
        <v>23.286000000000001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32"/>
        <v>0165-18</v>
      </c>
      <c r="AE78" s="104" t="str">
        <f t="shared" si="33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78" s="101" t="str">
        <f t="shared" si="34"/>
        <v>"C:\Program Files (x86)\AstroGrep\AstroGrep.exe" /spath="%USERPROFILE%\AppData\Local\Temp\OnboardLogs" /stypes="*4009*20160818*" /stext=" 18:.+((SYSTEM_STATE.+slice.+state.+changed )|(ment ac)|(system.+state.+changed )|(\|lc)|(penalty)|(\[timeout)|(PRM\|1\|D)|(kpr)|(kdp))" /e /r /s</v>
      </c>
      <c r="AG78" s="1" t="str">
        <f t="shared" si="35"/>
        <v>EC</v>
      </c>
      <c r="AH78" s="105" t="str">
        <f t="shared" si="36"/>
        <v>"%USERPROFILE%\Documents\GitHub\eaglep3\Utilities\RefineRTDCRunTimes.py" --tripid 165-18 --locoid 4009 --swversion DE.1.0.7.0 --startMP 204:464 --initTime 2016-08-18T11:39:10 --startdatetime 2016-08-18T11:40:54 --delay 1 --endMP 204:233324 --enddatetime 2016-08-18T12:20:08 --enforcementcount 0</v>
      </c>
    </row>
    <row r="79" spans="1:34" x14ac:dyDescent="0.25">
      <c r="A79" s="40" t="s">
        <v>340</v>
      </c>
      <c r="B79" s="7">
        <v>4010</v>
      </c>
      <c r="C79" s="25" t="s">
        <v>118</v>
      </c>
      <c r="D79" s="25" t="s">
        <v>434</v>
      </c>
      <c r="E79" s="16">
        <v>42600.515613425923</v>
      </c>
      <c r="F79" s="16">
        <v>42600.516585648147</v>
      </c>
      <c r="G79" s="7">
        <v>1</v>
      </c>
      <c r="H79" s="16" t="s">
        <v>92</v>
      </c>
      <c r="I79" s="16">
        <v>42600.55704861111</v>
      </c>
      <c r="J79" s="7">
        <v>0</v>
      </c>
      <c r="K79" s="142" t="str">
        <f t="shared" si="24"/>
        <v>4009/4010</v>
      </c>
      <c r="L79" s="25" t="str">
        <f>VLOOKUP(A79,'Trips&amp;Operators'!$C$1:$E$10000,3,FALSE)</f>
        <v>NEWELL</v>
      </c>
      <c r="M79" s="6">
        <f t="shared" si="25"/>
        <v>4.0462962962919846E-2</v>
      </c>
      <c r="N79" s="7">
        <f t="shared" si="22"/>
        <v>58.266666666604578</v>
      </c>
      <c r="O79" s="7"/>
      <c r="P79" s="7"/>
      <c r="Q79" s="26"/>
      <c r="R79" s="26"/>
      <c r="S79" s="38">
        <f t="shared" si="23"/>
        <v>1</v>
      </c>
      <c r="T79" s="53" t="str">
        <f t="shared" si="26"/>
        <v>Southbound</v>
      </c>
      <c r="U79" s="13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11:22:29-0600',mode:absolute,to:'2016-08-18 14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9" s="55" t="str">
        <f t="shared" si="28"/>
        <v>N</v>
      </c>
      <c r="X79" s="129">
        <f t="shared" si="21"/>
        <v>1</v>
      </c>
      <c r="Y79" s="70">
        <f t="shared" si="29"/>
        <v>23.3</v>
      </c>
      <c r="Z79" s="70">
        <f t="shared" si="30"/>
        <v>1.43E-2</v>
      </c>
      <c r="AA79" s="70">
        <f t="shared" si="31"/>
        <v>23.285700000000002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32"/>
        <v>0166-18</v>
      </c>
      <c r="AE79" s="104" t="str">
        <f t="shared" si="33"/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AF79" s="101" t="str">
        <f t="shared" si="34"/>
        <v>"C:\Program Files (x86)\AstroGrep\AstroGrep.exe" /spath="%USERPROFILE%\AppData\Local\Temp\OnboardLogs" /stypes="*4010*20160818*" /stext=" 19:.+((SYSTEM_STATE.+slice.+state.+changed )|(ment ac)|(system.+state.+changed )|(\|lc)|(penalty)|(\[timeout)|(PRM\|1\|D)|(kpr)|(kdp))" /e /r /s</v>
      </c>
      <c r="AG79" s="1" t="str">
        <f t="shared" si="35"/>
        <v>EC</v>
      </c>
      <c r="AH79" s="105" t="str">
        <f t="shared" si="36"/>
        <v>"%USERPROFILE%\Documents\GitHub\eaglep3\Utilities\RefineRTDCRunTimes.py" --tripid 166-18 --locoid 4010 --swversion DE.1.0.7.0 --startMP 204:233000 --initTime 2016-08-18T12:22:29 --startdatetime 2016-08-18T12:23:53 --delay 1 --endMP 204:143 --enddatetime 2016-08-18T13:22:09 --enforcementcount 0</v>
      </c>
    </row>
    <row r="80" spans="1:34" x14ac:dyDescent="0.25">
      <c r="A80" s="40" t="s">
        <v>435</v>
      </c>
      <c r="B80" s="7">
        <v>4025</v>
      </c>
      <c r="C80" s="25" t="s">
        <v>118</v>
      </c>
      <c r="D80" s="25" t="s">
        <v>150</v>
      </c>
      <c r="E80" s="16">
        <v>42600.497256944444</v>
      </c>
      <c r="F80" s="16">
        <v>42600.498645833337</v>
      </c>
      <c r="G80" s="7">
        <v>1</v>
      </c>
      <c r="H80" s="16" t="s">
        <v>424</v>
      </c>
      <c r="I80" s="16">
        <v>42600.525358796294</v>
      </c>
      <c r="J80" s="7">
        <v>0</v>
      </c>
      <c r="K80" s="142" t="str">
        <f t="shared" si="24"/>
        <v>4025/4026</v>
      </c>
      <c r="L80" s="25" t="str">
        <f>VLOOKUP(A80,'Trips&amp;Operators'!$C$1:$E$10000,3,FALSE)</f>
        <v>STAMBAUGH</v>
      </c>
      <c r="M80" s="6">
        <f t="shared" si="25"/>
        <v>2.6712962957390118E-2</v>
      </c>
      <c r="N80" s="7">
        <f t="shared" si="22"/>
        <v>38.46666665864177</v>
      </c>
      <c r="O80" s="7"/>
      <c r="P80" s="7"/>
      <c r="Q80" s="26"/>
      <c r="R80" s="26"/>
      <c r="S80" s="38">
        <f t="shared" si="23"/>
        <v>1</v>
      </c>
      <c r="T80" s="53" t="str">
        <f t="shared" si="26"/>
        <v>NorthBound</v>
      </c>
      <c r="U80" s="13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10:56:03-0600',mode:absolute,to:'2016-08-18 13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0" s="55" t="str">
        <f t="shared" si="28"/>
        <v>N</v>
      </c>
      <c r="X80" s="129">
        <f t="shared" si="21"/>
        <v>1</v>
      </c>
      <c r="Y80" s="70">
        <f t="shared" si="29"/>
        <v>4.58E-2</v>
      </c>
      <c r="Z80" s="70">
        <f t="shared" si="30"/>
        <v>23.333200000000001</v>
      </c>
      <c r="AA80" s="70">
        <f t="shared" si="31"/>
        <v>23.287400000000002</v>
      </c>
      <c r="AB80" s="67" t="e">
        <f>VLOOKUP(A80,Enforcements!$C$7:$J$24,8,0)</f>
        <v>#N/A</v>
      </c>
      <c r="AC80" s="63" t="e">
        <f>VLOOKUP(A80,Enforcements!$C$7:$E$24,3,0)</f>
        <v>#N/A</v>
      </c>
      <c r="AD80" s="64" t="str">
        <f t="shared" si="32"/>
        <v>0167-18</v>
      </c>
      <c r="AE80" s="104" t="str">
        <f t="shared" si="33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80" s="101" t="str">
        <f t="shared" si="34"/>
        <v>"C:\Program Files (x86)\AstroGrep\AstroGrep.exe" /spath="%USERPROFILE%\AppData\Local\Temp\OnboardLogs" /stypes="*4025*20160818*" /stext=" 18:.+((SYSTEM_STATE.+slice.+state.+changed )|(ment ac)|(system.+state.+changed )|(\|lc)|(penalty)|(\[timeout)|(PRM\|1\|D)|(kpr)|(kdp))" /e /r /s</v>
      </c>
      <c r="AG80" s="1" t="str">
        <f t="shared" si="35"/>
        <v>EC</v>
      </c>
      <c r="AH80" s="105" t="str">
        <f t="shared" si="36"/>
        <v>"%USERPROFILE%\Documents\GitHub\eaglep3\Utilities\RefineRTDCRunTimes.py" --tripid 167-18 --locoid 4025 --swversion DE.1.0.7.0 --startMP 204:458 --initTime 2016-08-18T11:56:03 --startdatetime 2016-08-18T11:58:03 --delay 1 --endMP 204:233332 --enddatetime 2016-08-18T12:36:31 --enforcementcount 0</v>
      </c>
    </row>
    <row r="81" spans="1:34" x14ac:dyDescent="0.25">
      <c r="A81" s="40" t="s">
        <v>436</v>
      </c>
      <c r="B81" s="7">
        <v>4026</v>
      </c>
      <c r="C81" s="25" t="s">
        <v>118</v>
      </c>
      <c r="D81" s="25" t="s">
        <v>285</v>
      </c>
      <c r="E81" s="16">
        <v>42600.536574074074</v>
      </c>
      <c r="F81" s="16">
        <v>42600.537534722222</v>
      </c>
      <c r="G81" s="7">
        <v>1</v>
      </c>
      <c r="H81" s="16" t="s">
        <v>267</v>
      </c>
      <c r="I81" s="16">
        <v>42600.566851851851</v>
      </c>
      <c r="J81" s="7">
        <v>0</v>
      </c>
      <c r="K81" s="142" t="str">
        <f t="shared" si="24"/>
        <v>4025/4026</v>
      </c>
      <c r="L81" s="25" t="str">
        <f>VLOOKUP(A81,'Trips&amp;Operators'!$C$1:$E$10000,3,FALSE)</f>
        <v>STAMBAUGH</v>
      </c>
      <c r="M81" s="6">
        <f t="shared" si="25"/>
        <v>2.9317129628907423E-2</v>
      </c>
      <c r="N81" s="7">
        <f t="shared" si="22"/>
        <v>42.21666666562669</v>
      </c>
      <c r="O81" s="7"/>
      <c r="P81" s="7"/>
      <c r="Q81" s="26"/>
      <c r="R81" s="26"/>
      <c r="S81" s="38">
        <f t="shared" si="23"/>
        <v>1</v>
      </c>
      <c r="T81" s="53" t="str">
        <f t="shared" si="26"/>
        <v>Southbound</v>
      </c>
      <c r="U81" s="13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11:52:40-0600',mode:absolute,to:'2016-08-18 14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81" s="55" t="str">
        <f t="shared" si="28"/>
        <v>N</v>
      </c>
      <c r="X81" s="129">
        <f t="shared" si="21"/>
        <v>1</v>
      </c>
      <c r="Y81" s="70">
        <f t="shared" si="29"/>
        <v>23.301300000000001</v>
      </c>
      <c r="Z81" s="70">
        <f t="shared" si="30"/>
        <v>1.38E-2</v>
      </c>
      <c r="AA81" s="70">
        <f t="shared" si="31"/>
        <v>23.287500000000001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32"/>
        <v>0168-18</v>
      </c>
      <c r="AE81" s="104" t="str">
        <f t="shared" si="33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81" s="101" t="str">
        <f t="shared" si="34"/>
        <v>"C:\Program Files (x86)\AstroGrep\AstroGrep.exe" /spath="%USERPROFILE%\AppData\Local\Temp\OnboardLogs" /stypes="*4026*20160818*" /stext=" 19:.+((SYSTEM_STATE.+slice.+state.+changed )|(ment ac)|(system.+state.+changed )|(\|lc)|(penalty)|(\[timeout)|(PRM\|1\|D)|(kpr)|(kdp))" /e /r /s</v>
      </c>
      <c r="AG81" s="1" t="str">
        <f t="shared" si="35"/>
        <v>EC</v>
      </c>
      <c r="AH81" s="105" t="str">
        <f t="shared" si="36"/>
        <v>"%USERPROFILE%\Documents\GitHub\eaglep3\Utilities\RefineRTDCRunTimes.py" --tripid 168-18 --locoid 4026 --swversion DE.1.0.7.0 --startMP 204:233013 --initTime 2016-08-18T12:52:40 --startdatetime 2016-08-18T12:54:03 --delay 1 --endMP 204:138 --enddatetime 2016-08-18T13:36:16 --enforcementcount 0</v>
      </c>
    </row>
    <row r="82" spans="1:34" x14ac:dyDescent="0.25">
      <c r="A82" s="40" t="s">
        <v>437</v>
      </c>
      <c r="B82" s="7">
        <v>4038</v>
      </c>
      <c r="C82" s="25" t="s">
        <v>118</v>
      </c>
      <c r="D82" s="25" t="s">
        <v>206</v>
      </c>
      <c r="E82" s="16">
        <v>42600.509409722225</v>
      </c>
      <c r="F82" s="16">
        <v>42600.511550925927</v>
      </c>
      <c r="G82" s="7">
        <v>3</v>
      </c>
      <c r="H82" s="16" t="s">
        <v>438</v>
      </c>
      <c r="I82" s="16">
        <v>42600.538055555553</v>
      </c>
      <c r="J82" s="7">
        <v>0</v>
      </c>
      <c r="K82" s="142" t="str">
        <f t="shared" si="24"/>
        <v>4037/4038</v>
      </c>
      <c r="L82" s="25" t="str">
        <f>VLOOKUP(A82,'Trips&amp;Operators'!$C$1:$E$10000,3,FALSE)</f>
        <v>SWANSON</v>
      </c>
      <c r="M82" s="6">
        <f t="shared" si="25"/>
        <v>2.6504629626288079E-2</v>
      </c>
      <c r="N82" s="7">
        <f t="shared" si="22"/>
        <v>38.166666661854833</v>
      </c>
      <c r="O82" s="7"/>
      <c r="P82" s="7"/>
      <c r="Q82" s="26"/>
      <c r="R82" s="26"/>
      <c r="S82" s="38">
        <f t="shared" si="23"/>
        <v>1</v>
      </c>
      <c r="T82" s="53" t="str">
        <f t="shared" si="26"/>
        <v>NorthBound</v>
      </c>
      <c r="U82" s="13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11:13:33-0600',mode:absolute,to:'2016-08-18 13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82" s="55" t="str">
        <f t="shared" si="28"/>
        <v>N</v>
      </c>
      <c r="X82" s="129">
        <f t="shared" si="21"/>
        <v>1</v>
      </c>
      <c r="Y82" s="70">
        <f t="shared" si="29"/>
        <v>4.7500000000000001E-2</v>
      </c>
      <c r="Z82" s="70">
        <f t="shared" si="30"/>
        <v>23.3293</v>
      </c>
      <c r="AA82" s="70">
        <f t="shared" si="31"/>
        <v>23.2818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32"/>
        <v>0169-18</v>
      </c>
      <c r="AE82" s="104" t="str">
        <f t="shared" si="33"/>
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</c>
      <c r="AF82" s="101" t="str">
        <f t="shared" si="34"/>
        <v>"C:\Program Files (x86)\AstroGrep\AstroGrep.exe" /spath="%USERPROFILE%\AppData\Local\Temp\OnboardLogs" /stypes="*4038*20160818*" /stext=" 18:.+((SYSTEM_STATE.+slice.+state.+changed )|(ment ac)|(system.+state.+changed )|(\|lc)|(penalty)|(\[timeout)|(PRM\|1\|D)|(kpr)|(kdp))" /e /r /s</v>
      </c>
      <c r="AG82" s="1" t="str">
        <f t="shared" si="35"/>
        <v>EC</v>
      </c>
      <c r="AH82" s="105" t="str">
        <f t="shared" si="36"/>
        <v>"%USERPROFILE%\Documents\GitHub\eaglep3\Utilities\RefineRTDCRunTimes.py" --tripid 169-18 --locoid 4038 --swversion DE.1.0.7.0 --startMP 204:475 --initTime 2016-08-18T12:13:33 --startdatetime 2016-08-18T12:16:38 --delay 3 --endMP 204:233293 --enddatetime 2016-08-18T12:54:48 --enforcementcount 0</v>
      </c>
    </row>
    <row r="83" spans="1:34" x14ac:dyDescent="0.25">
      <c r="A83" s="40" t="s">
        <v>439</v>
      </c>
      <c r="B83" s="7">
        <v>4037</v>
      </c>
      <c r="C83" s="25" t="s">
        <v>118</v>
      </c>
      <c r="D83" s="25" t="s">
        <v>236</v>
      </c>
      <c r="E83" s="16">
        <v>42600.540219907409</v>
      </c>
      <c r="F83" s="16">
        <v>42600.541076388887</v>
      </c>
      <c r="G83" s="7">
        <v>1</v>
      </c>
      <c r="H83" s="16" t="s">
        <v>174</v>
      </c>
      <c r="I83" s="16">
        <v>42600.578576388885</v>
      </c>
      <c r="J83" s="7">
        <v>0</v>
      </c>
      <c r="K83" s="142" t="str">
        <f t="shared" si="24"/>
        <v>4037/4038</v>
      </c>
      <c r="L83" s="25" t="str">
        <f>VLOOKUP(A83,'Trips&amp;Operators'!$C$1:$E$10000,3,FALSE)</f>
        <v>SWANSON</v>
      </c>
      <c r="M83" s="6">
        <f t="shared" si="25"/>
        <v>3.7499999998544808E-2</v>
      </c>
      <c r="N83" s="7">
        <f t="shared" si="22"/>
        <v>53.999999997904524</v>
      </c>
      <c r="O83" s="7"/>
      <c r="P83" s="7"/>
      <c r="Q83" s="26"/>
      <c r="R83" s="26"/>
      <c r="S83" s="38">
        <f t="shared" si="23"/>
        <v>1</v>
      </c>
      <c r="T83" s="53" t="str">
        <f t="shared" si="26"/>
        <v>Southbound</v>
      </c>
      <c r="U83" s="13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11:57:55-0600',mode:absolute,to:'2016-08-18 14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83" s="55" t="str">
        <f t="shared" si="28"/>
        <v>N</v>
      </c>
      <c r="X83" s="129">
        <f t="shared" si="21"/>
        <v>1</v>
      </c>
      <c r="Y83" s="70">
        <f t="shared" si="29"/>
        <v>23.2973</v>
      </c>
      <c r="Z83" s="70">
        <f t="shared" si="30"/>
        <v>1.54E-2</v>
      </c>
      <c r="AA83" s="70">
        <f t="shared" si="31"/>
        <v>23.2819</v>
      </c>
      <c r="AB83" s="67" t="e">
        <f>VLOOKUP(A83,Enforcements!$C$7:$J$24,8,0)</f>
        <v>#N/A</v>
      </c>
      <c r="AC83" s="63" t="e">
        <f>VLOOKUP(A83,Enforcements!$C$7:$E$24,3,0)</f>
        <v>#N/A</v>
      </c>
      <c r="AD83" s="64" t="str">
        <f t="shared" si="32"/>
        <v>0170-18</v>
      </c>
      <c r="AE83" s="104" t="str">
        <f t="shared" si="33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83" s="101" t="str">
        <f t="shared" si="34"/>
        <v>"C:\Program Files (x86)\AstroGrep\AstroGrep.exe" /spath="%USERPROFILE%\AppData\Local\Temp\OnboardLogs" /stypes="*4037*20160818*" /stext=" 19:.+((SYSTEM_STATE.+slice.+state.+changed )|(ment ac)|(system.+state.+changed )|(\|lc)|(penalty)|(\[timeout)|(PRM\|1\|D)|(kpr)|(kdp))" /e /r /s</v>
      </c>
      <c r="AG83" s="1" t="str">
        <f t="shared" si="35"/>
        <v>EC</v>
      </c>
      <c r="AH83" s="105" t="str">
        <f t="shared" si="36"/>
        <v>"%USERPROFILE%\Documents\GitHub\eaglep3\Utilities\RefineRTDCRunTimes.py" --tripid 170-18 --locoid 4037 --swversion DE.1.0.7.0 --startMP 204:232973 --initTime 2016-08-18T12:57:55 --startdatetime 2016-08-18T12:59:09 --delay 1 --endMP 204:154 --enddatetime 2016-08-18T13:53:09 --enforcementcount 0</v>
      </c>
    </row>
    <row r="84" spans="1:34" s="24" customFormat="1" x14ac:dyDescent="0.25">
      <c r="A84" s="40" t="s">
        <v>440</v>
      </c>
      <c r="B84" s="7">
        <v>4029</v>
      </c>
      <c r="C84" s="25" t="s">
        <v>118</v>
      </c>
      <c r="D84" s="25" t="s">
        <v>132</v>
      </c>
      <c r="E84" s="16">
        <v>42600.517245370371</v>
      </c>
      <c r="F84" s="16">
        <v>42600.518854166665</v>
      </c>
      <c r="G84" s="7">
        <v>2</v>
      </c>
      <c r="H84" s="16" t="s">
        <v>264</v>
      </c>
      <c r="I84" s="16">
        <v>42600.548726851855</v>
      </c>
      <c r="J84" s="7">
        <v>0</v>
      </c>
      <c r="K84" s="142" t="str">
        <f t="shared" si="24"/>
        <v>4029/4030</v>
      </c>
      <c r="L84" s="25" t="str">
        <f>VLOOKUP(A84,'Trips&amp;Operators'!$C$1:$E$10000,3,FALSE)</f>
        <v>GRASTON</v>
      </c>
      <c r="M84" s="6">
        <f t="shared" si="25"/>
        <v>2.9872685190639459E-2</v>
      </c>
      <c r="N84" s="7">
        <f t="shared" si="22"/>
        <v>43.01666667452082</v>
      </c>
      <c r="O84" s="7"/>
      <c r="P84" s="7"/>
      <c r="Q84" s="26"/>
      <c r="R84" s="26"/>
      <c r="S84" s="38">
        <f t="shared" si="23"/>
        <v>1</v>
      </c>
      <c r="T84" s="53" t="str">
        <f t="shared" si="26"/>
        <v>NorthBound</v>
      </c>
      <c r="U84" s="13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11:24:50-0600',mode:absolute,to:'2016-08-18 14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84" s="55" t="str">
        <f t="shared" si="28"/>
        <v>N</v>
      </c>
      <c r="X84" s="129">
        <f t="shared" si="21"/>
        <v>1</v>
      </c>
      <c r="Y84" s="70">
        <f t="shared" si="29"/>
        <v>4.5499999999999999E-2</v>
      </c>
      <c r="Z84" s="70">
        <f t="shared" si="30"/>
        <v>23.330400000000001</v>
      </c>
      <c r="AA84" s="70">
        <f t="shared" si="31"/>
        <v>23.2849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32"/>
        <v>0171-18</v>
      </c>
      <c r="AE84" s="104" t="str">
        <f t="shared" si="33"/>
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</c>
      <c r="AF84" s="101" t="str">
        <f t="shared" si="34"/>
        <v>"C:\Program Files (x86)\AstroGrep\AstroGrep.exe" /spath="%USERPROFILE%\AppData\Local\Temp\OnboardLogs" /stypes="*4029*20160818*" /stext=" 19:.+((SYSTEM_STATE.+slice.+state.+changed )|(ment ac)|(system.+state.+changed )|(\|lc)|(penalty)|(\[timeout)|(PRM\|1\|D)|(kpr)|(kdp))" /e /r /s</v>
      </c>
      <c r="AG84" s="1" t="str">
        <f t="shared" si="35"/>
        <v>EC</v>
      </c>
      <c r="AH84" s="105" t="str">
        <f t="shared" si="36"/>
        <v>"%USERPROFILE%\Documents\GitHub\eaglep3\Utilities\RefineRTDCRunTimes.py" --tripid 171-18 --locoid 4029 --swversion DE.1.0.7.0 --startMP 204:455 --initTime 2016-08-18T12:24:50 --startdatetime 2016-08-18T12:27:09 --delay 2 --endMP 204:233304 --enddatetime 2016-08-18T13:10:10 --enforcementcount 0</v>
      </c>
    </row>
    <row r="85" spans="1:34" s="24" customFormat="1" x14ac:dyDescent="0.25">
      <c r="A85" s="40" t="s">
        <v>441</v>
      </c>
      <c r="B85" s="7">
        <v>4030</v>
      </c>
      <c r="C85" s="25" t="s">
        <v>118</v>
      </c>
      <c r="D85" s="25" t="s">
        <v>148</v>
      </c>
      <c r="E85" s="16">
        <v>42600.554907407408</v>
      </c>
      <c r="F85" s="16">
        <v>42600.555891203701</v>
      </c>
      <c r="G85" s="7">
        <v>1</v>
      </c>
      <c r="H85" s="16" t="s">
        <v>205</v>
      </c>
      <c r="I85" s="16">
        <v>42600.590729166666</v>
      </c>
      <c r="J85" s="7">
        <v>0</v>
      </c>
      <c r="K85" s="142" t="str">
        <f t="shared" si="24"/>
        <v>4029/4030</v>
      </c>
      <c r="L85" s="25" t="str">
        <f>VLOOKUP(A85,'Trips&amp;Operators'!$C$1:$E$10000,3,FALSE)</f>
        <v>GRASTON</v>
      </c>
      <c r="M85" s="6">
        <f t="shared" si="25"/>
        <v>3.4837962964957114E-2</v>
      </c>
      <c r="N85" s="7">
        <f t="shared" si="22"/>
        <v>50.166666669538245</v>
      </c>
      <c r="O85" s="7"/>
      <c r="P85" s="7"/>
      <c r="Q85" s="26"/>
      <c r="R85" s="26"/>
      <c r="S85" s="38">
        <f t="shared" si="23"/>
        <v>1</v>
      </c>
      <c r="T85" s="53" t="str">
        <f t="shared" si="26"/>
        <v>Southbound</v>
      </c>
      <c r="U85" s="13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12:19:04-0600',mode:absolute,to:'2016-08-18 15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85" s="55" t="str">
        <f t="shared" si="28"/>
        <v>N</v>
      </c>
      <c r="X85" s="129">
        <f t="shared" si="21"/>
        <v>1</v>
      </c>
      <c r="Y85" s="70">
        <f t="shared" si="29"/>
        <v>23.298300000000001</v>
      </c>
      <c r="Z85" s="70">
        <f t="shared" si="30"/>
        <v>1.52E-2</v>
      </c>
      <c r="AA85" s="70">
        <f t="shared" si="31"/>
        <v>23.283100000000001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32"/>
        <v>0172-18</v>
      </c>
      <c r="AE85" s="104" t="str">
        <f t="shared" si="33"/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AF85" s="101" t="str">
        <f t="shared" si="34"/>
        <v>"C:\Program Files (x86)\AstroGrep\AstroGrep.exe" /spath="%USERPROFILE%\AppData\Local\Temp\OnboardLogs" /stypes="*4030*20160818*" /stext=" 20:.+((SYSTEM_STATE.+slice.+state.+changed )|(ment ac)|(system.+state.+changed )|(\|lc)|(penalty)|(\[timeout)|(PRM\|1\|D)|(kpr)|(kdp))" /e /r /s</v>
      </c>
      <c r="AG85" s="1" t="str">
        <f t="shared" si="35"/>
        <v>EC</v>
      </c>
      <c r="AH85" s="105" t="str">
        <f t="shared" si="36"/>
        <v>"%USERPROFILE%\Documents\GitHub\eaglep3\Utilities\RefineRTDCRunTimes.py" --tripid 172-18 --locoid 4030 --swversion DE.1.0.7.0 --startMP 204:232983 --initTime 2016-08-18T13:19:04 --startdatetime 2016-08-18T13:20:29 --delay 1 --endMP 204:152 --enddatetime 2016-08-18T14:10:39 --enforcementcount 0</v>
      </c>
    </row>
    <row r="86" spans="1:34" x14ac:dyDescent="0.25">
      <c r="A86" s="40" t="s">
        <v>442</v>
      </c>
      <c r="B86" s="7">
        <v>4044</v>
      </c>
      <c r="C86" s="25" t="s">
        <v>118</v>
      </c>
      <c r="D86" s="25" t="s">
        <v>203</v>
      </c>
      <c r="E86" s="16">
        <v>42600.526747685188</v>
      </c>
      <c r="F86" s="16">
        <v>42600.527777777781</v>
      </c>
      <c r="G86" s="7">
        <v>1</v>
      </c>
      <c r="H86" s="16" t="s">
        <v>202</v>
      </c>
      <c r="I86" s="16">
        <v>42600.55678240741</v>
      </c>
      <c r="J86" s="7">
        <v>0</v>
      </c>
      <c r="K86" s="142" t="str">
        <f t="shared" si="24"/>
        <v>4043/4044</v>
      </c>
      <c r="L86" s="25" t="str">
        <f>VLOOKUP(A86,'Trips&amp;Operators'!$C$1:$E$10000,3,FALSE)</f>
        <v>BONDS</v>
      </c>
      <c r="M86" s="6">
        <f t="shared" si="25"/>
        <v>2.9004629628616385E-2</v>
      </c>
      <c r="N86" s="7">
        <f t="shared" si="22"/>
        <v>41.766666665207595</v>
      </c>
      <c r="O86" s="7"/>
      <c r="P86" s="7"/>
      <c r="Q86" s="26"/>
      <c r="R86" s="26"/>
      <c r="S86" s="38">
        <f t="shared" si="23"/>
        <v>1</v>
      </c>
      <c r="T86" s="53" t="str">
        <f t="shared" si="26"/>
        <v>NorthBound</v>
      </c>
      <c r="U86" s="13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11:38:31-0600',mode:absolute,to:'2016-08-18 14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6" s="55" t="str">
        <f t="shared" si="28"/>
        <v>N</v>
      </c>
      <c r="X86" s="129">
        <f t="shared" si="21"/>
        <v>1</v>
      </c>
      <c r="Y86" s="70">
        <f t="shared" si="29"/>
        <v>4.4600000000000001E-2</v>
      </c>
      <c r="Z86" s="70">
        <f t="shared" si="30"/>
        <v>23.329499999999999</v>
      </c>
      <c r="AA86" s="70">
        <f t="shared" si="31"/>
        <v>23.2849</v>
      </c>
      <c r="AB86" s="67" t="e">
        <f>VLOOKUP(A86,Enforcements!$C$7:$J$24,8,0)</f>
        <v>#N/A</v>
      </c>
      <c r="AC86" s="63" t="e">
        <f>VLOOKUP(A86,Enforcements!$C$7:$E$24,3,0)</f>
        <v>#N/A</v>
      </c>
      <c r="AD86" s="64" t="str">
        <f t="shared" si="32"/>
        <v>0173-18</v>
      </c>
      <c r="AE86" s="104" t="str">
        <f t="shared" si="33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86" s="101" t="str">
        <f t="shared" si="34"/>
        <v>"C:\Program Files (x86)\AstroGrep\AstroGrep.exe" /spath="%USERPROFILE%\AppData\Local\Temp\OnboardLogs" /stypes="*4044*20160818*" /stext=" 19:.+((SYSTEM_STATE.+slice.+state.+changed )|(ment ac)|(system.+state.+changed )|(\|lc)|(penalty)|(\[timeout)|(PRM\|1\|D)|(kpr)|(kdp))" /e /r /s</v>
      </c>
      <c r="AG86" s="1" t="str">
        <f t="shared" si="35"/>
        <v>EC</v>
      </c>
      <c r="AH86" s="105" t="str">
        <f t="shared" si="36"/>
        <v>"%USERPROFILE%\Documents\GitHub\eaglep3\Utilities\RefineRTDCRunTimes.py" --tripid 173-18 --locoid 4044 --swversion DE.1.0.7.0 --startMP 204:446 --initTime 2016-08-18T12:38:31 --startdatetime 2016-08-18T12:40:00 --delay 1 --endMP 204:233295 --enddatetime 2016-08-18T13:21:46 --enforcementcount 0</v>
      </c>
    </row>
    <row r="87" spans="1:34" x14ac:dyDescent="0.25">
      <c r="A87" s="40" t="s">
        <v>443</v>
      </c>
      <c r="B87" s="7">
        <v>4043</v>
      </c>
      <c r="C87" s="25" t="s">
        <v>118</v>
      </c>
      <c r="D87" s="25" t="s">
        <v>142</v>
      </c>
      <c r="E87" s="16">
        <v>42600.561990740738</v>
      </c>
      <c r="F87" s="16">
        <v>42600.562777777777</v>
      </c>
      <c r="G87" s="7">
        <v>1</v>
      </c>
      <c r="H87" s="16" t="s">
        <v>216</v>
      </c>
      <c r="I87" s="16">
        <v>42600.597442129627</v>
      </c>
      <c r="J87" s="7">
        <v>0</v>
      </c>
      <c r="K87" s="142" t="str">
        <f t="shared" si="24"/>
        <v>4043/4044</v>
      </c>
      <c r="L87" s="25" t="str">
        <f>VLOOKUP(A87,'Trips&amp;Operators'!$C$1:$E$10000,3,FALSE)</f>
        <v>BONDS</v>
      </c>
      <c r="M87" s="6">
        <f t="shared" si="25"/>
        <v>3.4664351849642117E-2</v>
      </c>
      <c r="N87" s="7">
        <f t="shared" si="22"/>
        <v>49.916666663484648</v>
      </c>
      <c r="O87" s="7"/>
      <c r="P87" s="7"/>
      <c r="Q87" s="26"/>
      <c r="R87" s="26"/>
      <c r="S87" s="38">
        <f t="shared" si="23"/>
        <v>1</v>
      </c>
      <c r="T87" s="53" t="str">
        <f t="shared" si="26"/>
        <v>Southbound</v>
      </c>
      <c r="U87" s="13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12:29:16-0600',mode:absolute,to:'2016-08-18 15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7" s="55" t="str">
        <f t="shared" si="28"/>
        <v>N</v>
      </c>
      <c r="X87" s="129">
        <f t="shared" si="21"/>
        <v>1</v>
      </c>
      <c r="Y87" s="70">
        <f t="shared" si="29"/>
        <v>23.299399999999999</v>
      </c>
      <c r="Z87" s="70">
        <f t="shared" si="30"/>
        <v>1.41E-2</v>
      </c>
      <c r="AA87" s="70">
        <f t="shared" si="31"/>
        <v>23.285299999999999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32"/>
        <v>0174-18</v>
      </c>
      <c r="AE87" s="104" t="str">
        <f t="shared" si="33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87" s="101" t="str">
        <f t="shared" si="34"/>
        <v>"C:\Program Files (x86)\AstroGrep\AstroGrep.exe" /spath="%USERPROFILE%\AppData\Local\Temp\OnboardLogs" /stypes="*4043*20160818*" /stext=" 20:.+((SYSTEM_STATE.+slice.+state.+changed )|(ment ac)|(system.+state.+changed )|(\|lc)|(penalty)|(\[timeout)|(PRM\|1\|D)|(kpr)|(kdp))" /e /r /s</v>
      </c>
      <c r="AG87" s="1" t="str">
        <f t="shared" si="35"/>
        <v>EC</v>
      </c>
      <c r="AH87" s="105" t="str">
        <f t="shared" si="36"/>
        <v>"%USERPROFILE%\Documents\GitHub\eaglep3\Utilities\RefineRTDCRunTimes.py" --tripid 174-18 --locoid 4043 --swversion DE.1.0.7.0 --startMP 204:232994 --initTime 2016-08-18T13:29:16 --startdatetime 2016-08-18T13:30:24 --delay 1 --endMP 204:141 --enddatetime 2016-08-18T14:20:19 --enforcementcount 0</v>
      </c>
    </row>
    <row r="88" spans="1:34" x14ac:dyDescent="0.25">
      <c r="A88" s="40" t="s">
        <v>342</v>
      </c>
      <c r="B88" s="7">
        <v>4027</v>
      </c>
      <c r="C88" s="25" t="s">
        <v>118</v>
      </c>
      <c r="D88" s="25" t="s">
        <v>246</v>
      </c>
      <c r="E88" s="16">
        <v>42600.536157407405</v>
      </c>
      <c r="F88" s="16">
        <v>42600.537465277775</v>
      </c>
      <c r="G88" s="7">
        <v>1</v>
      </c>
      <c r="H88" s="16" t="s">
        <v>444</v>
      </c>
      <c r="I88" s="16">
        <v>42600.570381944446</v>
      </c>
      <c r="J88" s="7">
        <v>0</v>
      </c>
      <c r="K88" s="142" t="str">
        <f t="shared" si="24"/>
        <v>4027/4028</v>
      </c>
      <c r="L88" s="25" t="str">
        <f>VLOOKUP(A88,'Trips&amp;Operators'!$C$1:$E$10000,3,FALSE)</f>
        <v>SANTIZO</v>
      </c>
      <c r="M88" s="6">
        <f t="shared" si="25"/>
        <v>3.291666667064419E-2</v>
      </c>
      <c r="N88" s="7">
        <f t="shared" si="22"/>
        <v>47.400000005727634</v>
      </c>
      <c r="O88" s="7"/>
      <c r="P88" s="7"/>
      <c r="Q88" s="26"/>
      <c r="R88" s="26"/>
      <c r="S88" s="38">
        <f t="shared" si="23"/>
        <v>1</v>
      </c>
      <c r="T88" s="53" t="str">
        <f t="shared" si="26"/>
        <v>NorthBound</v>
      </c>
      <c r="U88" s="13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11:52:04-0600',mode:absolute,to:'2016-08-18 14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8" s="55" t="str">
        <f t="shared" si="28"/>
        <v>N</v>
      </c>
      <c r="X88" s="129">
        <f t="shared" si="21"/>
        <v>1</v>
      </c>
      <c r="Y88" s="70">
        <f t="shared" si="29"/>
        <v>4.7100000000000003E-2</v>
      </c>
      <c r="Z88" s="70">
        <f t="shared" si="30"/>
        <v>23.3276</v>
      </c>
      <c r="AA88" s="70">
        <f t="shared" si="31"/>
        <v>23.2805</v>
      </c>
      <c r="AB88" s="67">
        <f>VLOOKUP(A88,Enforcements!$C$7:$J$24,8,0)</f>
        <v>183829</v>
      </c>
      <c r="AC88" s="63" t="str">
        <f>VLOOKUP(A88,Enforcements!$C$7:$E$24,3,0)</f>
        <v>PERMANENT SPEED RESTRICTION</v>
      </c>
      <c r="AD88" s="64" t="str">
        <f t="shared" si="32"/>
        <v>0175-18</v>
      </c>
      <c r="AE88" s="104" t="str">
        <f t="shared" si="33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88" s="101" t="str">
        <f t="shared" si="34"/>
        <v>"C:\Program Files (x86)\AstroGrep\AstroGrep.exe" /spath="%USERPROFILE%\AppData\Local\Temp\OnboardLogs" /stypes="*4027*20160818*" /stext=" 19:.+((SYSTEM_STATE.+slice.+state.+changed )|(ment ac)|(system.+state.+changed )|(\|lc)|(penalty)|(\[timeout)|(PRM\|1\|D)|(kpr)|(kdp))" /e /r /s</v>
      </c>
      <c r="AG88" s="1" t="str">
        <f t="shared" si="35"/>
        <v>EC</v>
      </c>
      <c r="AH88" s="105" t="str">
        <f t="shared" si="36"/>
        <v>"%USERPROFILE%\Documents\GitHub\eaglep3\Utilities\RefineRTDCRunTimes.py" --tripid 175-18 --locoid 4027 --swversion DE.1.0.7.0 --startMP 204:471 --initTime 2016-08-18T12:52:04 --startdatetime 2016-08-18T12:53:57 --delay 1 --endMP 204:233276 --enddatetime 2016-08-18T13:41:21 --enforcementcount 0</v>
      </c>
    </row>
    <row r="89" spans="1:34" s="24" customFormat="1" x14ac:dyDescent="0.25">
      <c r="A89" s="40" t="s">
        <v>343</v>
      </c>
      <c r="B89" s="7">
        <v>4028</v>
      </c>
      <c r="C89" s="25" t="s">
        <v>118</v>
      </c>
      <c r="D89" s="25" t="s">
        <v>234</v>
      </c>
      <c r="E89" s="16">
        <v>42600.572013888886</v>
      </c>
      <c r="F89" s="16">
        <v>42600.573159722226</v>
      </c>
      <c r="G89" s="7">
        <v>1</v>
      </c>
      <c r="H89" s="16" t="s">
        <v>445</v>
      </c>
      <c r="I89" s="16">
        <v>42600.608425925922</v>
      </c>
      <c r="J89" s="7">
        <v>0</v>
      </c>
      <c r="K89" s="142" t="str">
        <f t="shared" si="24"/>
        <v>4027/4028</v>
      </c>
      <c r="L89" s="25" t="str">
        <f>VLOOKUP(A89,'Trips&amp;Operators'!$C$1:$E$10000,3,FALSE)</f>
        <v>SANTIZO</v>
      </c>
      <c r="M89" s="6">
        <f t="shared" si="25"/>
        <v>3.5266203696664888E-2</v>
      </c>
      <c r="N89" s="7">
        <f t="shared" si="22"/>
        <v>50.783333323197439</v>
      </c>
      <c r="O89" s="7"/>
      <c r="P89" s="7"/>
      <c r="Q89" s="26"/>
      <c r="R89" s="26"/>
      <c r="S89" s="38">
        <f t="shared" si="23"/>
        <v>1</v>
      </c>
      <c r="T89" s="53" t="str">
        <f t="shared" si="26"/>
        <v>Southbound</v>
      </c>
      <c r="U89" s="13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12:43:42-0600',mode:absolute,to:'2016-08-18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9" s="55" t="str">
        <f t="shared" si="28"/>
        <v>N</v>
      </c>
      <c r="X89" s="129">
        <f t="shared" si="21"/>
        <v>1</v>
      </c>
      <c r="Y89" s="70">
        <f t="shared" si="29"/>
        <v>23.299099999999999</v>
      </c>
      <c r="Z89" s="70">
        <f t="shared" si="30"/>
        <v>1.9099999999999999E-2</v>
      </c>
      <c r="AA89" s="70">
        <f t="shared" si="31"/>
        <v>23.279999999999998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32"/>
        <v>0176-18</v>
      </c>
      <c r="AE89" s="104" t="str">
        <f t="shared" si="33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89" s="101" t="str">
        <f t="shared" si="34"/>
        <v>"C:\Program Files (x86)\AstroGrep\AstroGrep.exe" /spath="%USERPROFILE%\AppData\Local\Temp\OnboardLogs" /stypes="*4028*20160818*" /stext=" 20:.+((SYSTEM_STATE.+slice.+state.+changed )|(ment ac)|(system.+state.+changed )|(\|lc)|(penalty)|(\[timeout)|(PRM\|1\|D)|(kpr)|(kdp))" /e /r /s</v>
      </c>
      <c r="AG89" s="1" t="str">
        <f t="shared" si="35"/>
        <v>EC</v>
      </c>
      <c r="AH89" s="105" t="str">
        <f t="shared" si="36"/>
        <v>"%USERPROFILE%\Documents\GitHub\eaglep3\Utilities\RefineRTDCRunTimes.py" --tripid 176-18 --locoid 4028 --swversion DE.1.0.7.0 --startMP 204:232991 --initTime 2016-08-18T13:43:42 --startdatetime 2016-08-18T13:45:21 --delay 1 --endMP 204:191 --enddatetime 2016-08-18T14:36:08 --enforcementcount 0</v>
      </c>
    </row>
    <row r="90" spans="1:34" x14ac:dyDescent="0.25">
      <c r="A90" s="40" t="s">
        <v>446</v>
      </c>
      <c r="B90" s="7">
        <v>4007</v>
      </c>
      <c r="C90" s="25" t="s">
        <v>118</v>
      </c>
      <c r="D90" s="25" t="s">
        <v>163</v>
      </c>
      <c r="E90" s="16">
        <v>42600.549861111111</v>
      </c>
      <c r="F90" s="16">
        <v>42600.552442129629</v>
      </c>
      <c r="G90" s="7">
        <v>3</v>
      </c>
      <c r="H90" s="16" t="s">
        <v>277</v>
      </c>
      <c r="I90" s="16">
        <v>42600.578726851854</v>
      </c>
      <c r="J90" s="7">
        <v>0</v>
      </c>
      <c r="K90" s="142" t="str">
        <f t="shared" si="24"/>
        <v>4007/4008</v>
      </c>
      <c r="L90" s="25" t="str">
        <f>VLOOKUP(A90,'Trips&amp;Operators'!$C$1:$E$10000,3,FALSE)</f>
        <v>MOSES</v>
      </c>
      <c r="M90" s="6">
        <f t="shared" si="25"/>
        <v>2.6284722225682344E-2</v>
      </c>
      <c r="N90" s="7">
        <f t="shared" si="22"/>
        <v>37.850000004982576</v>
      </c>
      <c r="O90" s="7"/>
      <c r="P90" s="7"/>
      <c r="Q90" s="26"/>
      <c r="R90" s="26"/>
      <c r="S90" s="38">
        <f t="shared" si="23"/>
        <v>1</v>
      </c>
      <c r="T90" s="53" t="str">
        <f t="shared" si="26"/>
        <v>NorthBound</v>
      </c>
      <c r="U90" s="13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12:11:48-0600',mode:absolute,to:'2016-08-18 14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0" s="55" t="str">
        <f t="shared" si="28"/>
        <v>N</v>
      </c>
      <c r="X90" s="129">
        <f t="shared" si="21"/>
        <v>1</v>
      </c>
      <c r="Y90" s="70">
        <f t="shared" si="29"/>
        <v>4.6600000000000003E-2</v>
      </c>
      <c r="Z90" s="70">
        <f t="shared" si="30"/>
        <v>23.332599999999999</v>
      </c>
      <c r="AA90" s="70">
        <f t="shared" si="31"/>
        <v>23.285999999999998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32"/>
        <v>0177-18</v>
      </c>
      <c r="AE90" s="104" t="str">
        <f t="shared" si="33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90" s="101" t="str">
        <f t="shared" si="34"/>
        <v>"C:\Program Files (x86)\AstroGrep\AstroGrep.exe" /spath="%USERPROFILE%\AppData\Local\Temp\OnboardLogs" /stypes="*4007*20160818*" /stext=" 19:.+((SYSTEM_STATE.+slice.+state.+changed )|(ment ac)|(system.+state.+changed )|(\|lc)|(penalty)|(\[timeout)|(PRM\|1\|D)|(kpr)|(kdp))" /e /r /s</v>
      </c>
      <c r="AG90" s="1" t="str">
        <f t="shared" si="35"/>
        <v>EC</v>
      </c>
      <c r="AH90" s="105" t="str">
        <f t="shared" si="36"/>
        <v>"%USERPROFILE%\Documents\GitHub\eaglep3\Utilities\RefineRTDCRunTimes.py" --tripid 177-18 --locoid 4007 --swversion DE.1.0.7.0 --startMP 204:466 --initTime 2016-08-18T13:11:48 --startdatetime 2016-08-18T13:15:31 --delay 3 --endMP 204:233326 --enddatetime 2016-08-18T13:53:22 --enforcementcount 0</v>
      </c>
    </row>
    <row r="91" spans="1:34" s="24" customFormat="1" x14ac:dyDescent="0.25">
      <c r="A91" s="40" t="s">
        <v>447</v>
      </c>
      <c r="B91" s="7">
        <v>4008</v>
      </c>
      <c r="C91" s="25" t="s">
        <v>118</v>
      </c>
      <c r="D91" s="25" t="s">
        <v>426</v>
      </c>
      <c r="E91" s="16">
        <v>42600.584467592591</v>
      </c>
      <c r="F91" s="16">
        <v>42600.586238425924</v>
      </c>
      <c r="G91" s="7">
        <v>2</v>
      </c>
      <c r="H91" s="16" t="s">
        <v>267</v>
      </c>
      <c r="I91" s="16">
        <v>42600.618969907409</v>
      </c>
      <c r="J91" s="7">
        <v>0</v>
      </c>
      <c r="K91" s="142" t="str">
        <f t="shared" si="24"/>
        <v>4007/4008</v>
      </c>
      <c r="L91" s="25" t="str">
        <f>VLOOKUP(A91,'Trips&amp;Operators'!$C$1:$E$10000,3,FALSE)</f>
        <v>MOSES</v>
      </c>
      <c r="M91" s="6">
        <f t="shared" si="25"/>
        <v>3.2731481485825498E-2</v>
      </c>
      <c r="N91" s="7">
        <f t="shared" si="22"/>
        <v>47.133333339588717</v>
      </c>
      <c r="O91" s="7"/>
      <c r="P91" s="7"/>
      <c r="Q91" s="26"/>
      <c r="R91" s="26"/>
      <c r="S91" s="38">
        <f t="shared" si="23"/>
        <v>1</v>
      </c>
      <c r="T91" s="53" t="str">
        <f t="shared" si="26"/>
        <v>Southbound</v>
      </c>
      <c r="U91" s="13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13:01:38-0600',mode:absolute,to:'2016-08-18 15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91" s="55" t="str">
        <f t="shared" si="28"/>
        <v>N</v>
      </c>
      <c r="X91" s="129">
        <f t="shared" si="21"/>
        <v>1</v>
      </c>
      <c r="Y91" s="70">
        <f t="shared" si="29"/>
        <v>23.3017</v>
      </c>
      <c r="Z91" s="70">
        <f t="shared" si="30"/>
        <v>1.38E-2</v>
      </c>
      <c r="AA91" s="70">
        <f t="shared" si="31"/>
        <v>23.2879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32"/>
        <v>0178-18</v>
      </c>
      <c r="AE91" s="104" t="str">
        <f t="shared" si="33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91" s="101" t="str">
        <f t="shared" si="34"/>
        <v>"C:\Program Files (x86)\AstroGrep\AstroGrep.exe" /spath="%USERPROFILE%\AppData\Local\Temp\OnboardLogs" /stypes="*4008*20160818*" /stext=" 20:.+((SYSTEM_STATE.+slice.+state.+changed )|(ment ac)|(system.+state.+changed )|(\|lc)|(penalty)|(\[timeout)|(PRM\|1\|D)|(kpr)|(kdp))" /e /r /s</v>
      </c>
      <c r="AG91" s="1" t="str">
        <f t="shared" si="35"/>
        <v>EC</v>
      </c>
      <c r="AH91" s="105" t="str">
        <f t="shared" si="36"/>
        <v>"%USERPROFILE%\Documents\GitHub\eaglep3\Utilities\RefineRTDCRunTimes.py" --tripid 178-18 --locoid 4008 --swversion DE.1.0.7.0 --startMP 204:233017 --initTime 2016-08-18T14:01:38 --startdatetime 2016-08-18T14:04:11 --delay 2 --endMP 204:138 --enddatetime 2016-08-18T14:51:19 --enforcementcount 0</v>
      </c>
    </row>
    <row r="92" spans="1:34" x14ac:dyDescent="0.25">
      <c r="A92" s="40" t="s">
        <v>448</v>
      </c>
      <c r="B92" s="7">
        <v>4009</v>
      </c>
      <c r="C92" s="25" t="s">
        <v>118</v>
      </c>
      <c r="D92" s="25" t="s">
        <v>61</v>
      </c>
      <c r="E92" s="16">
        <v>42600.558668981481</v>
      </c>
      <c r="F92" s="16">
        <v>42600.559421296297</v>
      </c>
      <c r="G92" s="7">
        <v>1</v>
      </c>
      <c r="H92" s="16" t="s">
        <v>449</v>
      </c>
      <c r="I92" s="16">
        <v>42600.58734953704</v>
      </c>
      <c r="J92" s="7">
        <v>0</v>
      </c>
      <c r="K92" s="142" t="str">
        <f t="shared" si="24"/>
        <v>4009/4010</v>
      </c>
      <c r="L92" s="25" t="str">
        <f>VLOOKUP(A92,'Trips&amp;Operators'!$C$1:$E$10000,3,FALSE)</f>
        <v>NEWELL</v>
      </c>
      <c r="M92" s="6">
        <f t="shared" si="25"/>
        <v>2.792824074276723E-2</v>
      </c>
      <c r="N92" s="7">
        <f t="shared" si="22"/>
        <v>40.216666669584811</v>
      </c>
      <c r="O92" s="7"/>
      <c r="P92" s="7"/>
      <c r="Q92" s="26"/>
      <c r="R92" s="26"/>
      <c r="S92" s="38">
        <f t="shared" si="23"/>
        <v>1</v>
      </c>
      <c r="T92" s="53" t="str">
        <f t="shared" si="26"/>
        <v>NorthBound</v>
      </c>
      <c r="U92" s="13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12:24:29-0600',mode:absolute,to:'2016-08-18 15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2" s="55" t="str">
        <f t="shared" si="28"/>
        <v>N</v>
      </c>
      <c r="X92" s="129">
        <f t="shared" si="21"/>
        <v>1</v>
      </c>
      <c r="Y92" s="70">
        <f t="shared" si="29"/>
        <v>4.5999999999999999E-2</v>
      </c>
      <c r="Z92" s="70">
        <f t="shared" si="30"/>
        <v>23.3355</v>
      </c>
      <c r="AA92" s="70">
        <f t="shared" si="31"/>
        <v>23.2895</v>
      </c>
      <c r="AB92" s="67" t="e">
        <f>VLOOKUP(A92,Enforcements!$C$7:$J$24,8,0)</f>
        <v>#N/A</v>
      </c>
      <c r="AC92" s="63" t="e">
        <f>VLOOKUP(A92,Enforcements!$C$7:$E$24,3,0)</f>
        <v>#N/A</v>
      </c>
      <c r="AD92" s="64" t="str">
        <f t="shared" si="32"/>
        <v>0179-18</v>
      </c>
      <c r="AE92" s="104" t="str">
        <f t="shared" si="33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92" s="101" t="str">
        <f t="shared" si="34"/>
        <v>"C:\Program Files (x86)\AstroGrep\AstroGrep.exe" /spath="%USERPROFILE%\AppData\Local\Temp\OnboardLogs" /stypes="*4009*20160818*" /stext=" 20:.+((SYSTEM_STATE.+slice.+state.+changed )|(ment ac)|(system.+state.+changed )|(\|lc)|(penalty)|(\[timeout)|(PRM\|1\|D)|(kpr)|(kdp))" /e /r /s</v>
      </c>
      <c r="AG92" s="1" t="str">
        <f t="shared" si="35"/>
        <v>EC</v>
      </c>
      <c r="AH92" s="105" t="str">
        <f t="shared" si="36"/>
        <v>"%USERPROFILE%\Documents\GitHub\eaglep3\Utilities\RefineRTDCRunTimes.py" --tripid 179-18 --locoid 4009 --swversion DE.1.0.7.0 --startMP 204:460 --initTime 2016-08-18T13:24:29 --startdatetime 2016-08-18T13:25:34 --delay 1 --endMP 204:233355 --enddatetime 2016-08-18T14:05:47 --enforcementcount 0</v>
      </c>
    </row>
    <row r="93" spans="1:34" x14ac:dyDescent="0.25">
      <c r="A93" s="40" t="s">
        <v>450</v>
      </c>
      <c r="B93" s="7">
        <v>4010</v>
      </c>
      <c r="C93" s="25" t="s">
        <v>118</v>
      </c>
      <c r="D93" s="25" t="s">
        <v>451</v>
      </c>
      <c r="E93" s="16">
        <v>42600.588425925926</v>
      </c>
      <c r="F93" s="16">
        <v>42600.589236111111</v>
      </c>
      <c r="G93" s="7">
        <v>1</v>
      </c>
      <c r="H93" s="16" t="s">
        <v>452</v>
      </c>
      <c r="I93" s="16">
        <v>42600.628877314812</v>
      </c>
      <c r="J93" s="7">
        <v>0</v>
      </c>
      <c r="K93" s="142" t="str">
        <f t="shared" si="24"/>
        <v>4009/4010</v>
      </c>
      <c r="L93" s="25" t="str">
        <f>VLOOKUP(A93,'Trips&amp;Operators'!$C$1:$E$10000,3,FALSE)</f>
        <v>NEWELL</v>
      </c>
      <c r="M93" s="6">
        <f t="shared" si="25"/>
        <v>3.9641203700739425E-2</v>
      </c>
      <c r="N93" s="7">
        <f t="shared" si="22"/>
        <v>57.083333329064772</v>
      </c>
      <c r="O93" s="7"/>
      <c r="P93" s="7"/>
      <c r="Q93" s="26"/>
      <c r="R93" s="26"/>
      <c r="S93" s="38">
        <f t="shared" si="23"/>
        <v>1</v>
      </c>
      <c r="T93" s="53" t="str">
        <f t="shared" si="26"/>
        <v>Southbound</v>
      </c>
      <c r="U93" s="13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13:07:20-0600',mode:absolute,to:'2016-08-18 16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3" s="55" t="str">
        <f t="shared" si="28"/>
        <v>N</v>
      </c>
      <c r="X93" s="129">
        <f t="shared" si="21"/>
        <v>1</v>
      </c>
      <c r="Y93" s="70">
        <f t="shared" si="29"/>
        <v>23.303000000000001</v>
      </c>
      <c r="Z93" s="70">
        <f t="shared" si="30"/>
        <v>1.3899999999999999E-2</v>
      </c>
      <c r="AA93" s="70">
        <f t="shared" si="31"/>
        <v>23.289100000000001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32"/>
        <v>0180-18</v>
      </c>
      <c r="AE93" s="104" t="str">
        <f t="shared" si="33"/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AF93" s="101" t="str">
        <f t="shared" si="34"/>
        <v>"C:\Program Files (x86)\AstroGrep\AstroGrep.exe" /spath="%USERPROFILE%\AppData\Local\Temp\OnboardLogs" /stypes="*4010*20160818*" /stext=" 21:.+((SYSTEM_STATE.+slice.+state.+changed )|(ment ac)|(system.+state.+changed )|(\|lc)|(penalty)|(\[timeout)|(PRM\|1\|D)|(kpr)|(kdp))" /e /r /s</v>
      </c>
      <c r="AG93" s="1" t="str">
        <f t="shared" si="35"/>
        <v>EC</v>
      </c>
      <c r="AH93" s="105" t="str">
        <f t="shared" si="36"/>
        <v>"%USERPROFILE%\Documents\GitHub\eaglep3\Utilities\RefineRTDCRunTimes.py" --tripid 180-18 --locoid 4010 --swversion DE.1.0.7.0 --startMP 204:233030 --initTime 2016-08-18T14:07:20 --startdatetime 2016-08-18T14:08:30 --delay 1 --endMP 204:139 --enddatetime 2016-08-18T15:05:35 --enforcementcount 0</v>
      </c>
    </row>
    <row r="94" spans="1:34" x14ac:dyDescent="0.25">
      <c r="A94" s="40" t="s">
        <v>453</v>
      </c>
      <c r="B94" s="7">
        <v>4025</v>
      </c>
      <c r="C94" s="25" t="s">
        <v>118</v>
      </c>
      <c r="D94" s="25" t="s">
        <v>246</v>
      </c>
      <c r="E94" s="16">
        <v>42600.568379629629</v>
      </c>
      <c r="F94" s="16">
        <v>42600.569699074076</v>
      </c>
      <c r="G94" s="7">
        <v>1</v>
      </c>
      <c r="H94" s="16" t="s">
        <v>277</v>
      </c>
      <c r="I94" s="16">
        <v>42600.59820601852</v>
      </c>
      <c r="J94" s="7">
        <v>0</v>
      </c>
      <c r="K94" s="142" t="str">
        <f t="shared" si="24"/>
        <v>4025/4026</v>
      </c>
      <c r="L94" s="25" t="str">
        <f>VLOOKUP(A94,'Trips&amp;Operators'!$C$1:$E$10000,3,FALSE)</f>
        <v>STAMBAUGH</v>
      </c>
      <c r="M94" s="6">
        <f t="shared" si="25"/>
        <v>2.8506944443506654E-2</v>
      </c>
      <c r="N94" s="7">
        <f t="shared" si="22"/>
        <v>41.049999998649582</v>
      </c>
      <c r="O94" s="7"/>
      <c r="P94" s="7"/>
      <c r="Q94" s="26"/>
      <c r="R94" s="26"/>
      <c r="S94" s="38">
        <f t="shared" si="23"/>
        <v>1</v>
      </c>
      <c r="T94" s="53" t="str">
        <f t="shared" si="26"/>
        <v>NorthBound</v>
      </c>
      <c r="U94" s="13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12:38:28-0600',mode:absolute,to:'2016-08-18 15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94" s="55" t="str">
        <f t="shared" si="28"/>
        <v>N</v>
      </c>
      <c r="X94" s="129">
        <f t="shared" si="21"/>
        <v>1</v>
      </c>
      <c r="Y94" s="70">
        <f t="shared" si="29"/>
        <v>4.7100000000000003E-2</v>
      </c>
      <c r="Z94" s="70">
        <f t="shared" si="30"/>
        <v>23.332599999999999</v>
      </c>
      <c r="AA94" s="70">
        <f t="shared" si="31"/>
        <v>23.285499999999999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32"/>
        <v>0181-18</v>
      </c>
      <c r="AE94" s="104" t="str">
        <f t="shared" si="33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94" s="101" t="str">
        <f t="shared" si="34"/>
        <v>"C:\Program Files (x86)\AstroGrep\AstroGrep.exe" /spath="%USERPROFILE%\AppData\Local\Temp\OnboardLogs" /stypes="*4025*20160818*" /stext=" 20:.+((SYSTEM_STATE.+slice.+state.+changed )|(ment ac)|(system.+state.+changed )|(\|lc)|(penalty)|(\[timeout)|(PRM\|1\|D)|(kpr)|(kdp))" /e /r /s</v>
      </c>
      <c r="AG94" s="1" t="str">
        <f t="shared" si="35"/>
        <v>EC</v>
      </c>
      <c r="AH94" s="105" t="str">
        <f t="shared" si="36"/>
        <v>"%USERPROFILE%\Documents\GitHub\eaglep3\Utilities\RefineRTDCRunTimes.py" --tripid 181-18 --locoid 4025 --swversion DE.1.0.7.0 --startMP 204:471 --initTime 2016-08-18T13:38:28 --startdatetime 2016-08-18T13:40:22 --delay 1 --endMP 204:233326 --enddatetime 2016-08-18T14:21:25 --enforcementcount 0</v>
      </c>
    </row>
    <row r="95" spans="1:34" x14ac:dyDescent="0.25">
      <c r="A95" s="40" t="s">
        <v>346</v>
      </c>
      <c r="B95" s="7">
        <v>4026</v>
      </c>
      <c r="C95" s="25" t="s">
        <v>118</v>
      </c>
      <c r="D95" s="25" t="s">
        <v>131</v>
      </c>
      <c r="E95" s="16">
        <v>42600.609710648147</v>
      </c>
      <c r="F95" s="16">
        <v>42600.61078703704</v>
      </c>
      <c r="G95" s="7">
        <v>1</v>
      </c>
      <c r="H95" s="16" t="s">
        <v>454</v>
      </c>
      <c r="I95" s="16">
        <v>42600.639155092591</v>
      </c>
      <c r="J95" s="7">
        <v>0</v>
      </c>
      <c r="K95" s="142" t="str">
        <f t="shared" si="24"/>
        <v>4025/4026</v>
      </c>
      <c r="L95" s="25" t="str">
        <f>VLOOKUP(A95,'Trips&amp;Operators'!$C$1:$E$10000,3,FALSE)</f>
        <v>STAMBAUGH</v>
      </c>
      <c r="M95" s="6">
        <f t="shared" si="25"/>
        <v>2.8368055551254656E-2</v>
      </c>
      <c r="N95" s="7">
        <f t="shared" si="22"/>
        <v>40.849999993806705</v>
      </c>
      <c r="O95" s="7"/>
      <c r="P95" s="7"/>
      <c r="Q95" s="26"/>
      <c r="R95" s="26"/>
      <c r="S95" s="38">
        <f t="shared" si="23"/>
        <v>1</v>
      </c>
      <c r="T95" s="53" t="str">
        <f t="shared" si="26"/>
        <v>Southbound</v>
      </c>
      <c r="U95" s="13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13:37:59-0600',mode:absolute,to:'2016-08-18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5" s="55" t="str">
        <f t="shared" si="28"/>
        <v>N</v>
      </c>
      <c r="X95" s="129">
        <f t="shared" si="21"/>
        <v>1</v>
      </c>
      <c r="Y95" s="70">
        <f t="shared" si="29"/>
        <v>23.299800000000001</v>
      </c>
      <c r="Z95" s="70">
        <f t="shared" si="30"/>
        <v>2.0299999999999999E-2</v>
      </c>
      <c r="AA95" s="70">
        <f t="shared" si="31"/>
        <v>23.279500000000002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32"/>
        <v>0182-18</v>
      </c>
      <c r="AE95" s="104" t="str">
        <f t="shared" si="33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95" s="101" t="str">
        <f t="shared" si="34"/>
        <v>"C:\Program Files (x86)\AstroGrep\AstroGrep.exe" /spath="%USERPROFILE%\AppData\Local\Temp\OnboardLogs" /stypes="*4026*20160818*" /stext=" 21:.+((SYSTEM_STATE.+slice.+state.+changed )|(ment ac)|(system.+state.+changed )|(\|lc)|(penalty)|(\[timeout)|(PRM\|1\|D)|(kpr)|(kdp))" /e /r /s</v>
      </c>
      <c r="AG95" s="1" t="str">
        <f t="shared" si="35"/>
        <v>EC</v>
      </c>
      <c r="AH95" s="105" t="str">
        <f t="shared" si="36"/>
        <v>"%USERPROFILE%\Documents\GitHub\eaglep3\Utilities\RefineRTDCRunTimes.py" --tripid 182-18 --locoid 4026 --swversion DE.1.0.7.0 --startMP 204:232998 --initTime 2016-08-18T14:37:59 --startdatetime 2016-08-18T14:39:32 --delay 1 --endMP 204:203 --enddatetime 2016-08-18T15:20:23 --enforcementcount 0</v>
      </c>
    </row>
    <row r="96" spans="1:34" x14ac:dyDescent="0.25">
      <c r="A96" s="40" t="s">
        <v>455</v>
      </c>
      <c r="B96" s="7">
        <v>4038</v>
      </c>
      <c r="C96" s="25" t="s">
        <v>118</v>
      </c>
      <c r="D96" s="25" t="s">
        <v>203</v>
      </c>
      <c r="E96" s="16">
        <v>42600.580694444441</v>
      </c>
      <c r="F96" s="16">
        <v>42600.581956018519</v>
      </c>
      <c r="G96" s="7">
        <v>1</v>
      </c>
      <c r="H96" s="16" t="s">
        <v>280</v>
      </c>
      <c r="I96" s="16">
        <v>42600.609675925924</v>
      </c>
      <c r="J96" s="7">
        <v>0</v>
      </c>
      <c r="K96" s="142" t="str">
        <f t="shared" si="24"/>
        <v>4037/4038</v>
      </c>
      <c r="L96" s="25" t="str">
        <f>VLOOKUP(A96,'Trips&amp;Operators'!$C$1:$E$10000,3,FALSE)</f>
        <v>HAITHCOX</v>
      </c>
      <c r="M96" s="6">
        <f t="shared" si="25"/>
        <v>2.7719907404389232E-2</v>
      </c>
      <c r="N96" s="7">
        <f t="shared" si="22"/>
        <v>39.916666662320495</v>
      </c>
      <c r="O96" s="7"/>
      <c r="P96" s="7"/>
      <c r="Q96" s="26"/>
      <c r="R96" s="26"/>
      <c r="S96" s="38">
        <f t="shared" si="23"/>
        <v>1</v>
      </c>
      <c r="T96" s="53" t="str">
        <f t="shared" si="26"/>
        <v>NorthBound</v>
      </c>
      <c r="U96" s="13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12:56:12-0600',mode:absolute,to:'2016-08-18 15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6" s="55" t="str">
        <f t="shared" si="28"/>
        <v>N</v>
      </c>
      <c r="X96" s="129">
        <f t="shared" si="21"/>
        <v>1</v>
      </c>
      <c r="Y96" s="70">
        <f t="shared" si="29"/>
        <v>4.4600000000000001E-2</v>
      </c>
      <c r="Z96" s="70">
        <f t="shared" si="30"/>
        <v>23.330200000000001</v>
      </c>
      <c r="AA96" s="70">
        <f t="shared" si="31"/>
        <v>23.285600000000002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32"/>
        <v>0183-18</v>
      </c>
      <c r="AE96" s="104" t="str">
        <f t="shared" si="33"/>
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</c>
      <c r="AF96" s="101" t="str">
        <f t="shared" si="34"/>
        <v>"C:\Program Files (x86)\AstroGrep\AstroGrep.exe" /spath="%USERPROFILE%\AppData\Local\Temp\OnboardLogs" /stypes="*4038*20160818*" /stext=" 20:.+((SYSTEM_STATE.+slice.+state.+changed )|(ment ac)|(system.+state.+changed )|(\|lc)|(penalty)|(\[timeout)|(PRM\|1\|D)|(kpr)|(kdp))" /e /r /s</v>
      </c>
      <c r="AG96" s="1" t="str">
        <f t="shared" si="35"/>
        <v>EC</v>
      </c>
      <c r="AH96" s="105" t="str">
        <f t="shared" si="36"/>
        <v>"%USERPROFILE%\Documents\GitHub\eaglep3\Utilities\RefineRTDCRunTimes.py" --tripid 183-18 --locoid 4038 --swversion DE.1.0.7.0 --startMP 204:446 --initTime 2016-08-18T13:56:12 --startdatetime 2016-08-18T13:58:01 --delay 1 --endMP 204:233302 --enddatetime 2016-08-18T14:37:56 --enforcementcount 0</v>
      </c>
    </row>
    <row r="97" spans="1:34" x14ac:dyDescent="0.25">
      <c r="A97" s="40" t="s">
        <v>456</v>
      </c>
      <c r="B97" s="7">
        <v>4037</v>
      </c>
      <c r="C97" s="25" t="s">
        <v>118</v>
      </c>
      <c r="D97" s="25" t="s">
        <v>457</v>
      </c>
      <c r="E97" s="16">
        <v>42600.615763888891</v>
      </c>
      <c r="F97" s="16">
        <v>42600.617465277777</v>
      </c>
      <c r="G97" s="7">
        <v>2</v>
      </c>
      <c r="H97" s="16" t="s">
        <v>217</v>
      </c>
      <c r="I97" s="16">
        <v>42600.652245370373</v>
      </c>
      <c r="J97" s="7">
        <v>0</v>
      </c>
      <c r="K97" s="142" t="str">
        <f t="shared" si="24"/>
        <v>4037/4038</v>
      </c>
      <c r="L97" s="25" t="str">
        <f>VLOOKUP(A97,'Trips&amp;Operators'!$C$1:$E$10000,3,FALSE)</f>
        <v>HAITHCOX</v>
      </c>
      <c r="M97" s="6">
        <f t="shared" si="25"/>
        <v>3.4780092595610768E-2</v>
      </c>
      <c r="N97" s="7">
        <f t="shared" si="22"/>
        <v>50.083333337679505</v>
      </c>
      <c r="O97" s="7"/>
      <c r="P97" s="7"/>
      <c r="Q97" s="26"/>
      <c r="R97" s="26"/>
      <c r="S97" s="38">
        <f t="shared" si="23"/>
        <v>1</v>
      </c>
      <c r="T97" s="53" t="str">
        <f t="shared" si="26"/>
        <v>Southbound</v>
      </c>
      <c r="U97" s="13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13:46:42-0600',mode:absolute,to:'2016-08-18 16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7" s="55" t="str">
        <f t="shared" si="28"/>
        <v>N</v>
      </c>
      <c r="X97" s="129">
        <f t="shared" si="21"/>
        <v>1</v>
      </c>
      <c r="Y97" s="70">
        <f t="shared" si="29"/>
        <v>23.297599999999999</v>
      </c>
      <c r="Z97" s="70">
        <f t="shared" si="30"/>
        <v>1.61E-2</v>
      </c>
      <c r="AA97" s="70">
        <f t="shared" si="31"/>
        <v>23.281499999999998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32"/>
        <v>0184-18</v>
      </c>
      <c r="AE97" s="104" t="str">
        <f t="shared" si="33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97" s="101" t="str">
        <f t="shared" si="34"/>
        <v>"C:\Program Files (x86)\AstroGrep\AstroGrep.exe" /spath="%USERPROFILE%\AppData\Local\Temp\OnboardLogs" /stypes="*4037*20160818*" /stext=" 21:.+((SYSTEM_STATE.+slice.+state.+changed )|(ment ac)|(system.+state.+changed )|(\|lc)|(penalty)|(\[timeout)|(PRM\|1\|D)|(kpr)|(kdp))" /e /r /s</v>
      </c>
      <c r="AG97" s="1" t="str">
        <f t="shared" si="35"/>
        <v>EC</v>
      </c>
      <c r="AH97" s="105" t="str">
        <f t="shared" si="36"/>
        <v>"%USERPROFILE%\Documents\GitHub\eaglep3\Utilities\RefineRTDCRunTimes.py" --tripid 184-18 --locoid 4037 --swversion DE.1.0.7.0 --startMP 204:232976 --initTime 2016-08-18T14:46:42 --startdatetime 2016-08-18T14:49:09 --delay 2 --endMP 204:161 --enddatetime 2016-08-18T15:39:14 --enforcementcount 0</v>
      </c>
    </row>
    <row r="98" spans="1:34" x14ac:dyDescent="0.25">
      <c r="A98" s="40" t="s">
        <v>458</v>
      </c>
      <c r="B98" s="7">
        <v>4029</v>
      </c>
      <c r="C98" s="25" t="s">
        <v>118</v>
      </c>
      <c r="D98" s="25" t="s">
        <v>143</v>
      </c>
      <c r="E98" s="16">
        <v>42600.59202546296</v>
      </c>
      <c r="F98" s="16">
        <v>42600.592835648145</v>
      </c>
      <c r="G98" s="7">
        <v>1</v>
      </c>
      <c r="H98" s="16" t="s">
        <v>459</v>
      </c>
      <c r="I98" s="16">
        <v>42600.620856481481</v>
      </c>
      <c r="J98" s="7">
        <v>0</v>
      </c>
      <c r="K98" s="142" t="str">
        <f t="shared" si="24"/>
        <v>4029/4030</v>
      </c>
      <c r="L98" s="25" t="str">
        <f>VLOOKUP(A98,'Trips&amp;Operators'!$C$1:$E$10000,3,FALSE)</f>
        <v>GRASTON</v>
      </c>
      <c r="M98" s="6">
        <f t="shared" si="25"/>
        <v>2.8020833335176576E-2</v>
      </c>
      <c r="N98" s="7">
        <f t="shared" si="22"/>
        <v>40.350000002654269</v>
      </c>
      <c r="O98" s="7"/>
      <c r="P98" s="7"/>
      <c r="Q98" s="26"/>
      <c r="R98" s="26"/>
      <c r="S98" s="38">
        <f t="shared" si="23"/>
        <v>1</v>
      </c>
      <c r="T98" s="53" t="str">
        <f t="shared" si="26"/>
        <v>NorthBound</v>
      </c>
      <c r="U98" s="13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13:12:31-0600',mode:absolute,to:'2016-08-18 15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8" s="55" t="str">
        <f t="shared" si="28"/>
        <v>N</v>
      </c>
      <c r="X98" s="129">
        <f t="shared" si="21"/>
        <v>1</v>
      </c>
      <c r="Y98" s="70">
        <f t="shared" si="29"/>
        <v>4.4900000000000002E-2</v>
      </c>
      <c r="Z98" s="70">
        <f t="shared" si="30"/>
        <v>23.328399999999998</v>
      </c>
      <c r="AA98" s="70">
        <f t="shared" si="31"/>
        <v>23.2835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si="32"/>
        <v>0185-18</v>
      </c>
      <c r="AE98" s="104" t="str">
        <f t="shared" si="33"/>
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</c>
      <c r="AF98" s="101" t="str">
        <f t="shared" si="34"/>
        <v>"C:\Program Files (x86)\AstroGrep\AstroGrep.exe" /spath="%USERPROFILE%\AppData\Local\Temp\OnboardLogs" /stypes="*4029*20160818*" /stext=" 20:.+((SYSTEM_STATE.+slice.+state.+changed )|(ment ac)|(system.+state.+changed )|(\|lc)|(penalty)|(\[timeout)|(PRM\|1\|D)|(kpr)|(kdp))" /e /r /s</v>
      </c>
      <c r="AG98" s="1" t="str">
        <f t="shared" si="35"/>
        <v>EC</v>
      </c>
      <c r="AH98" s="105" t="str">
        <f t="shared" si="36"/>
        <v>"%USERPROFILE%\Documents\GitHub\eaglep3\Utilities\RefineRTDCRunTimes.py" --tripid 185-18 --locoid 4029 --swversion DE.1.0.7.0 --startMP 204:449 --initTime 2016-08-18T14:12:31 --startdatetime 2016-08-18T14:13:41 --delay 1 --endMP 204:233284 --enddatetime 2016-08-18T14:54:02 --enforcementcount 0</v>
      </c>
    </row>
    <row r="99" spans="1:34" x14ac:dyDescent="0.25">
      <c r="A99" s="40" t="s">
        <v>460</v>
      </c>
      <c r="B99" s="7">
        <v>4030</v>
      </c>
      <c r="C99" s="25" t="s">
        <v>118</v>
      </c>
      <c r="D99" s="25" t="s">
        <v>461</v>
      </c>
      <c r="E99" s="16">
        <v>42600.627013888887</v>
      </c>
      <c r="F99" s="16">
        <v>42600.628067129626</v>
      </c>
      <c r="G99" s="7">
        <v>1</v>
      </c>
      <c r="H99" s="16" t="s">
        <v>170</v>
      </c>
      <c r="I99" s="16">
        <v>42600.662199074075</v>
      </c>
      <c r="J99" s="7">
        <v>0</v>
      </c>
      <c r="K99" s="142" t="str">
        <f t="shared" si="24"/>
        <v>4029/4030</v>
      </c>
      <c r="L99" s="25" t="str">
        <f>VLOOKUP(A99,'Trips&amp;Operators'!$C$1:$E$10000,3,FALSE)</f>
        <v>GRASTON</v>
      </c>
      <c r="M99" s="6">
        <f t="shared" si="25"/>
        <v>3.4131944448745344E-2</v>
      </c>
      <c r="N99" s="7">
        <f t="shared" si="22"/>
        <v>49.150000006193295</v>
      </c>
      <c r="O99" s="7"/>
      <c r="P99" s="7"/>
      <c r="Q99" s="26"/>
      <c r="R99" s="26"/>
      <c r="S99" s="38">
        <f t="shared" si="23"/>
        <v>1</v>
      </c>
      <c r="T99" s="53" t="str">
        <f t="shared" si="26"/>
        <v>Southbound</v>
      </c>
      <c r="U99" s="13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14:02:54-0600',mode:absolute,to:'2016-08-18 16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9" s="55" t="str">
        <f t="shared" si="28"/>
        <v>N</v>
      </c>
      <c r="X99" s="129">
        <f t="shared" si="21"/>
        <v>1</v>
      </c>
      <c r="Y99" s="70">
        <f t="shared" si="29"/>
        <v>23.295000000000002</v>
      </c>
      <c r="Z99" s="70">
        <f t="shared" si="30"/>
        <v>1.5599999999999999E-2</v>
      </c>
      <c r="AA99" s="70">
        <f t="shared" si="31"/>
        <v>23.279400000000003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32"/>
        <v>0186-18</v>
      </c>
      <c r="AE99" s="104" t="str">
        <f t="shared" si="33"/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AF99" s="101" t="str">
        <f t="shared" si="34"/>
        <v>"C:\Program Files (x86)\AstroGrep\AstroGrep.exe" /spath="%USERPROFILE%\AppData\Local\Temp\OnboardLogs" /stypes="*4030*20160818*" /stext=" 21:.+((SYSTEM_STATE.+slice.+state.+changed )|(ment ac)|(system.+state.+changed )|(\|lc)|(penalty)|(\[timeout)|(PRM\|1\|D)|(kpr)|(kdp))" /e /r /s</v>
      </c>
      <c r="AG99" s="1" t="str">
        <f t="shared" si="35"/>
        <v>EC</v>
      </c>
      <c r="AH99" s="105" t="str">
        <f t="shared" si="36"/>
        <v>"%USERPROFILE%\Documents\GitHub\eaglep3\Utilities\RefineRTDCRunTimes.py" --tripid 186-18 --locoid 4030 --swversion DE.1.0.7.0 --startMP 204:232950 --initTime 2016-08-18T15:02:54 --startdatetime 2016-08-18T15:04:25 --delay 1 --endMP 204:156 --enddatetime 2016-08-18T15:53:34 --enforcementcount 0</v>
      </c>
    </row>
    <row r="100" spans="1:34" s="24" customFormat="1" x14ac:dyDescent="0.25">
      <c r="A100" s="40" t="s">
        <v>344</v>
      </c>
      <c r="B100" s="7">
        <v>4044</v>
      </c>
      <c r="C100" s="25" t="s">
        <v>118</v>
      </c>
      <c r="D100" s="25" t="s">
        <v>462</v>
      </c>
      <c r="E100" s="16">
        <v>42600.599027777775</v>
      </c>
      <c r="F100" s="16">
        <v>42600.599988425929</v>
      </c>
      <c r="G100" s="7">
        <v>1</v>
      </c>
      <c r="H100" s="16" t="s">
        <v>240</v>
      </c>
      <c r="I100" s="16">
        <v>42600.631006944444</v>
      </c>
      <c r="J100" s="7">
        <v>0</v>
      </c>
      <c r="K100" s="142" t="str">
        <f t="shared" si="24"/>
        <v>4043/4044</v>
      </c>
      <c r="L100" s="25" t="str">
        <f>VLOOKUP(A100,'Trips&amp;Operators'!$C$1:$E$10000,3,FALSE)</f>
        <v>BONDS</v>
      </c>
      <c r="M100" s="6">
        <f t="shared" si="25"/>
        <v>3.1018518515338656E-2</v>
      </c>
      <c r="N100" s="7">
        <f t="shared" si="22"/>
        <v>44.666666662087664</v>
      </c>
      <c r="O100" s="7"/>
      <c r="P100" s="7"/>
      <c r="Q100" s="26"/>
      <c r="R100" s="26"/>
      <c r="S100" s="38">
        <f t="shared" si="23"/>
        <v>1</v>
      </c>
      <c r="T100" s="53" t="str">
        <f t="shared" si="26"/>
        <v>NorthBound</v>
      </c>
      <c r="U100" s="13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13:22:36-0600',mode:absolute,to:'2016-08-18 16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00" s="55" t="str">
        <f t="shared" si="28"/>
        <v>N</v>
      </c>
      <c r="X100" s="129">
        <f t="shared" si="21"/>
        <v>1</v>
      </c>
      <c r="Y100" s="70">
        <f t="shared" si="29"/>
        <v>4.3799999999999999E-2</v>
      </c>
      <c r="Z100" s="70">
        <f t="shared" si="30"/>
        <v>23.331399999999999</v>
      </c>
      <c r="AA100" s="70">
        <f t="shared" si="31"/>
        <v>23.287599999999998</v>
      </c>
      <c r="AB100" s="67">
        <f>VLOOKUP(A100,Enforcements!$C$7:$J$24,8,0)</f>
        <v>33137</v>
      </c>
      <c r="AC100" s="63" t="str">
        <f>VLOOKUP(A100,Enforcements!$C$7:$E$24,3,0)</f>
        <v>GRADE CROSSING</v>
      </c>
      <c r="AD100" s="64" t="str">
        <f t="shared" si="32"/>
        <v>0187-18</v>
      </c>
      <c r="AE100" s="104" t="str">
        <f t="shared" si="33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100" s="101" t="str">
        <f t="shared" si="34"/>
        <v>"C:\Program Files (x86)\AstroGrep\AstroGrep.exe" /spath="%USERPROFILE%\AppData\Local\Temp\OnboardLogs" /stypes="*4044*20160818*" /stext=" 21:.+((SYSTEM_STATE.+slice.+state.+changed )|(ment ac)|(system.+state.+changed )|(\|lc)|(penalty)|(\[timeout)|(PRM\|1\|D)|(kpr)|(kdp))" /e /r /s</v>
      </c>
      <c r="AG100" s="1" t="str">
        <f t="shared" si="35"/>
        <v>EC</v>
      </c>
      <c r="AH100" s="105" t="str">
        <f t="shared" si="36"/>
        <v>"%USERPROFILE%\Documents\GitHub\eaglep3\Utilities\RefineRTDCRunTimes.py" --tripid 187-18 --locoid 4044 --swversion DE.1.0.7.0 --startMP 204:438 --initTime 2016-08-18T14:22:36 --startdatetime 2016-08-18T14:23:59 --delay 1 --endMP 204:233314 --enddatetime 2016-08-18T15:08:39 --enforcementcount 0</v>
      </c>
    </row>
    <row r="101" spans="1:34" s="24" customFormat="1" x14ac:dyDescent="0.25">
      <c r="A101" s="40" t="s">
        <v>463</v>
      </c>
      <c r="B101" s="7">
        <v>4043</v>
      </c>
      <c r="C101" s="25" t="s">
        <v>118</v>
      </c>
      <c r="D101" s="25" t="s">
        <v>239</v>
      </c>
      <c r="E101" s="16">
        <v>42600.637476851851</v>
      </c>
      <c r="F101" s="16">
        <v>42600.638136574074</v>
      </c>
      <c r="G101" s="7">
        <v>0</v>
      </c>
      <c r="H101" s="16" t="s">
        <v>464</v>
      </c>
      <c r="I101" s="16">
        <v>42600.667129629626</v>
      </c>
      <c r="J101" s="7">
        <v>0</v>
      </c>
      <c r="K101" s="142" t="str">
        <f t="shared" si="24"/>
        <v>4043/4044</v>
      </c>
      <c r="L101" s="25" t="str">
        <f>VLOOKUP(A101,'Trips&amp;Operators'!$C$1:$E$10000,3,FALSE)</f>
        <v>BONDS</v>
      </c>
      <c r="M101" s="6">
        <f t="shared" si="25"/>
        <v>2.8993055551836733E-2</v>
      </c>
      <c r="N101" s="7"/>
      <c r="O101" s="7"/>
      <c r="P101" s="7">
        <f>24*60*SUM($M101:$M101)</f>
        <v>41.749999994644895</v>
      </c>
      <c r="Q101" s="26"/>
      <c r="R101" s="26" t="s">
        <v>683</v>
      </c>
      <c r="S101" s="38">
        <f t="shared" si="23"/>
        <v>1</v>
      </c>
      <c r="T101" s="53" t="str">
        <f t="shared" si="26"/>
        <v>Southbound</v>
      </c>
      <c r="U101" s="13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14:17:58-0600',mode:absolute,to:'2016-08-18 17:00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01" s="55" t="str">
        <f t="shared" si="28"/>
        <v>Y</v>
      </c>
      <c r="X101" s="129">
        <f t="shared" si="21"/>
        <v>1</v>
      </c>
      <c r="Y101" s="70">
        <f t="shared" si="29"/>
        <v>23.301100000000002</v>
      </c>
      <c r="Z101" s="70">
        <f t="shared" si="30"/>
        <v>1.8756999999999999</v>
      </c>
      <c r="AA101" s="70">
        <f t="shared" si="31"/>
        <v>21.425400000000003</v>
      </c>
      <c r="AB101" s="67" t="e">
        <f>VLOOKUP(A101,Enforcements!$C$7:$J$24,8,0)</f>
        <v>#N/A</v>
      </c>
      <c r="AC101" s="63" t="e">
        <f>VLOOKUP(A101,Enforcements!$C$7:$E$24,3,0)</f>
        <v>#N/A</v>
      </c>
      <c r="AD101" s="64" t="str">
        <f t="shared" si="32"/>
        <v>0188-18</v>
      </c>
      <c r="AE101" s="104" t="str">
        <f t="shared" si="33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101" s="101" t="str">
        <f t="shared" si="34"/>
        <v>"C:\Program Files (x86)\AstroGrep\AstroGrep.exe" /spath="%USERPROFILE%\AppData\Local\Temp\OnboardLogs" /stypes="*4043*20160818*" /stext=" 22:.+((SYSTEM_STATE.+slice.+state.+changed )|(ment ac)|(system.+state.+changed )|(\|lc)|(penalty)|(\[timeout)|(PRM\|1\|D)|(kpr)|(kdp))" /e /r /s</v>
      </c>
      <c r="AG101" s="1" t="str">
        <f t="shared" si="35"/>
        <v>EC</v>
      </c>
      <c r="AH101" s="105" t="str">
        <f t="shared" si="36"/>
        <v>"%USERPROFILE%\Documents\GitHub\eaglep3\Utilities\RefineRTDCRunTimes.py" --tripid 188-18 --locoid 4043 --swversion DE.1.0.7.0 --startMP 204:233011 --initTime 2016-08-18T15:17:58 --startdatetime 2016-08-18T15:18:55 --delay 0 --endMP 204:18757 --enddatetime 2016-08-18T16:00:40 --enforcementcount 0</v>
      </c>
    </row>
    <row r="102" spans="1:34" x14ac:dyDescent="0.25">
      <c r="A102" s="40" t="s">
        <v>465</v>
      </c>
      <c r="B102" s="7">
        <v>4027</v>
      </c>
      <c r="C102" s="25" t="s">
        <v>118</v>
      </c>
      <c r="D102" s="25" t="s">
        <v>466</v>
      </c>
      <c r="E102" s="16">
        <v>42600.610393518517</v>
      </c>
      <c r="F102" s="16">
        <v>42600.611620370371</v>
      </c>
      <c r="G102" s="7">
        <v>1</v>
      </c>
      <c r="H102" s="16" t="s">
        <v>395</v>
      </c>
      <c r="I102" s="16">
        <v>42600.640324074076</v>
      </c>
      <c r="J102" s="7">
        <v>0</v>
      </c>
      <c r="K102" s="142" t="str">
        <f t="shared" si="24"/>
        <v>4027/4028</v>
      </c>
      <c r="L102" s="25" t="str">
        <f>VLOOKUP(A102,'Trips&amp;Operators'!$C$1:$E$10000,3,FALSE)</f>
        <v>SANTIZO</v>
      </c>
      <c r="M102" s="6">
        <f t="shared" si="25"/>
        <v>2.8703703705104999E-2</v>
      </c>
      <c r="N102" s="7">
        <f t="shared" ref="N102:N127" si="37">24*60*SUM($M102:$M102)</f>
        <v>41.333333335351199</v>
      </c>
      <c r="O102" s="7"/>
      <c r="P102" s="7"/>
      <c r="Q102" s="26"/>
      <c r="R102" s="26"/>
      <c r="S102" s="38">
        <f t="shared" si="23"/>
        <v>1</v>
      </c>
      <c r="T102" s="53" t="str">
        <f t="shared" si="26"/>
        <v>NorthBound</v>
      </c>
      <c r="U102" s="13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13:38:58-0600',mode:absolute,to:'2016-08-18 16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2" s="55" t="str">
        <f t="shared" si="28"/>
        <v>N</v>
      </c>
      <c r="X102" s="129">
        <f t="shared" si="21"/>
        <v>1</v>
      </c>
      <c r="Y102" s="70">
        <f t="shared" si="29"/>
        <v>5.1999999999999998E-2</v>
      </c>
      <c r="Z102" s="70">
        <f t="shared" si="30"/>
        <v>23.329699999999999</v>
      </c>
      <c r="AA102" s="70">
        <f t="shared" si="31"/>
        <v>23.277699999999999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si="32"/>
        <v>0189-18</v>
      </c>
      <c r="AE102" s="104" t="str">
        <f t="shared" si="33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102" s="101" t="str">
        <f t="shared" si="34"/>
        <v>"C:\Program Files (x86)\AstroGrep\AstroGrep.exe" /spath="%USERPROFILE%\AppData\Local\Temp\OnboardLogs" /stypes="*4027*20160818*" /stext=" 21:.+((SYSTEM_STATE.+slice.+state.+changed )|(ment ac)|(system.+state.+changed )|(\|lc)|(penalty)|(\[timeout)|(PRM\|1\|D)|(kpr)|(kdp))" /e /r /s</v>
      </c>
      <c r="AG102" s="1" t="str">
        <f t="shared" si="35"/>
        <v>EC</v>
      </c>
      <c r="AH102" s="105" t="str">
        <f t="shared" si="36"/>
        <v>"%USERPROFILE%\Documents\GitHub\eaglep3\Utilities\RefineRTDCRunTimes.py" --tripid 189-18 --locoid 4027 --swversion DE.1.0.7.0 --startMP 204:520 --initTime 2016-08-18T14:38:58 --startdatetime 2016-08-18T14:40:44 --delay 1 --endMP 204:233297 --enddatetime 2016-08-18T15:22:04 --enforcementcount 0</v>
      </c>
    </row>
    <row r="103" spans="1:34" x14ac:dyDescent="0.25">
      <c r="A103" s="40" t="s">
        <v>348</v>
      </c>
      <c r="B103" s="7">
        <v>4028</v>
      </c>
      <c r="C103" s="25" t="s">
        <v>118</v>
      </c>
      <c r="D103" s="25" t="s">
        <v>276</v>
      </c>
      <c r="E103" s="16">
        <v>42600.641261574077</v>
      </c>
      <c r="F103" s="16">
        <v>42600.642129629632</v>
      </c>
      <c r="G103" s="7">
        <v>1</v>
      </c>
      <c r="H103" s="16" t="s">
        <v>452</v>
      </c>
      <c r="I103" s="16">
        <v>42600.68172453704</v>
      </c>
      <c r="J103" s="7">
        <v>0</v>
      </c>
      <c r="K103" s="142" t="str">
        <f t="shared" si="24"/>
        <v>4027/4028</v>
      </c>
      <c r="L103" s="25" t="str">
        <f>VLOOKUP(A103,'Trips&amp;Operators'!$C$1:$E$10000,3,FALSE)</f>
        <v>SANTIZO</v>
      </c>
      <c r="M103" s="6">
        <f t="shared" si="25"/>
        <v>3.959490740817273E-2</v>
      </c>
      <c r="N103" s="7">
        <f t="shared" si="37"/>
        <v>57.016666667768732</v>
      </c>
      <c r="O103" s="7"/>
      <c r="P103" s="7"/>
      <c r="Q103" s="26"/>
      <c r="R103" s="26"/>
      <c r="S103" s="38">
        <f t="shared" si="23"/>
        <v>1</v>
      </c>
      <c r="T103" s="53" t="str">
        <f t="shared" si="26"/>
        <v>Southbound</v>
      </c>
      <c r="U103" s="13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14:23:25-0600',mode:absolute,to:'2016-08-18 17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3" s="55" t="str">
        <f t="shared" si="28"/>
        <v>N</v>
      </c>
      <c r="X103" s="129">
        <f t="shared" si="21"/>
        <v>1</v>
      </c>
      <c r="Y103" s="70">
        <f t="shared" si="29"/>
        <v>23.298200000000001</v>
      </c>
      <c r="Z103" s="70">
        <f t="shared" si="30"/>
        <v>1.3899999999999999E-2</v>
      </c>
      <c r="AA103" s="70">
        <f t="shared" si="31"/>
        <v>23.284300000000002</v>
      </c>
      <c r="AB103" s="67" t="e">
        <f>VLOOKUP(A103,Enforcements!$C$7:$J$24,8,0)</f>
        <v>#N/A</v>
      </c>
      <c r="AC103" s="63" t="e">
        <f>VLOOKUP(A103,Enforcements!$C$7:$E$24,3,0)</f>
        <v>#N/A</v>
      </c>
      <c r="AD103" s="64" t="str">
        <f t="shared" si="32"/>
        <v>0190-18</v>
      </c>
      <c r="AE103" s="104" t="str">
        <f t="shared" si="33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103" s="101" t="str">
        <f t="shared" si="34"/>
        <v>"C:\Program Files (x86)\AstroGrep\AstroGrep.exe" /spath="%USERPROFILE%\AppData\Local\Temp\OnboardLogs" /stypes="*4028*20160818*" /stext=" 22:.+((SYSTEM_STATE.+slice.+state.+changed )|(ment ac)|(system.+state.+changed )|(\|lc)|(penalty)|(\[timeout)|(PRM\|1\|D)|(kpr)|(kdp))" /e /r /s</v>
      </c>
      <c r="AG103" s="1" t="str">
        <f t="shared" si="35"/>
        <v>EC</v>
      </c>
      <c r="AH103" s="105" t="str">
        <f t="shared" si="36"/>
        <v>"%USERPROFILE%\Documents\GitHub\eaglep3\Utilities\RefineRTDCRunTimes.py" --tripid 190-18 --locoid 4028 --swversion DE.1.0.7.0 --startMP 204:232982 --initTime 2016-08-18T15:23:25 --startdatetime 2016-08-18T15:24:40 --delay 1 --endMP 204:139 --enddatetime 2016-08-18T16:21:41 --enforcementcount 0</v>
      </c>
    </row>
    <row r="104" spans="1:34" s="24" customFormat="1" x14ac:dyDescent="0.25">
      <c r="A104" s="40" t="s">
        <v>345</v>
      </c>
      <c r="B104" s="7">
        <v>4007</v>
      </c>
      <c r="C104" s="25" t="s">
        <v>118</v>
      </c>
      <c r="D104" s="25" t="s">
        <v>238</v>
      </c>
      <c r="E104" s="16">
        <v>42600.622511574074</v>
      </c>
      <c r="F104" s="16">
        <v>42600.623738425929</v>
      </c>
      <c r="G104" s="7">
        <v>1</v>
      </c>
      <c r="H104" s="16" t="s">
        <v>467</v>
      </c>
      <c r="I104" s="16">
        <v>42600.651863425926</v>
      </c>
      <c r="J104" s="7">
        <v>0</v>
      </c>
      <c r="K104" s="142" t="str">
        <f t="shared" si="24"/>
        <v>4007/4008</v>
      </c>
      <c r="L104" s="25" t="str">
        <f>VLOOKUP(A104,'Trips&amp;Operators'!$C$1:$E$10000,3,FALSE)</f>
        <v>MOSES</v>
      </c>
      <c r="M104" s="6">
        <f t="shared" si="25"/>
        <v>2.8124999997089617E-2</v>
      </c>
      <c r="N104" s="7">
        <f t="shared" si="37"/>
        <v>40.499999995809048</v>
      </c>
      <c r="O104" s="7"/>
      <c r="P104" s="7"/>
      <c r="Q104" s="26"/>
      <c r="R104" s="26"/>
      <c r="S104" s="38">
        <f t="shared" si="23"/>
        <v>1</v>
      </c>
      <c r="T104" s="53" t="str">
        <f t="shared" si="26"/>
        <v>NorthBound</v>
      </c>
      <c r="U104" s="13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13:56:25-0600',mode:absolute,to:'2016-08-18 16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4" s="55" t="str">
        <f t="shared" si="28"/>
        <v>N</v>
      </c>
      <c r="X104" s="129">
        <f t="shared" si="21"/>
        <v>1</v>
      </c>
      <c r="Y104" s="70">
        <f t="shared" si="29"/>
        <v>4.3999999999999997E-2</v>
      </c>
      <c r="Z104" s="70">
        <f t="shared" si="30"/>
        <v>23.333600000000001</v>
      </c>
      <c r="AA104" s="70">
        <f t="shared" si="31"/>
        <v>23.2896</v>
      </c>
      <c r="AB104" s="67">
        <f>VLOOKUP(A104,Enforcements!$C$7:$J$24,8,0)</f>
        <v>17867</v>
      </c>
      <c r="AC104" s="63" t="str">
        <f>VLOOKUP(A104,Enforcements!$C$7:$E$24,3,0)</f>
        <v>PERMANENT SPEED RESTRICTION</v>
      </c>
      <c r="AD104" s="64" t="str">
        <f t="shared" si="32"/>
        <v>0191-18</v>
      </c>
      <c r="AE104" s="104" t="str">
        <f t="shared" si="33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104" s="101" t="str">
        <f t="shared" si="34"/>
        <v>"C:\Program Files (x86)\AstroGrep\AstroGrep.exe" /spath="%USERPROFILE%\AppData\Local\Temp\OnboardLogs" /stypes="*4007*20160818*" /stext=" 21:.+((SYSTEM_STATE.+slice.+state.+changed )|(ment ac)|(system.+state.+changed )|(\|lc)|(penalty)|(\[timeout)|(PRM\|1\|D)|(kpr)|(kdp))" /e /r /s</v>
      </c>
      <c r="AG104" s="1" t="str">
        <f t="shared" si="35"/>
        <v>EC</v>
      </c>
      <c r="AH104" s="105" t="str">
        <f t="shared" si="36"/>
        <v>"%USERPROFILE%\Documents\GitHub\eaglep3\Utilities\RefineRTDCRunTimes.py" --tripid 191-18 --locoid 4007 --swversion DE.1.0.7.0 --startMP 204:440 --initTime 2016-08-18T14:56:25 --startdatetime 2016-08-18T14:58:11 --delay 1 --endMP 204:233336 --enddatetime 2016-08-18T15:38:41 --enforcementcount 0</v>
      </c>
    </row>
    <row r="105" spans="1:34" x14ac:dyDescent="0.25">
      <c r="A105" s="40" t="s">
        <v>468</v>
      </c>
      <c r="B105" s="7">
        <v>4008</v>
      </c>
      <c r="C105" s="25" t="s">
        <v>118</v>
      </c>
      <c r="D105" s="25" t="s">
        <v>469</v>
      </c>
      <c r="E105" s="16">
        <v>42600.659583333334</v>
      </c>
      <c r="F105" s="16">
        <v>42600.660752314812</v>
      </c>
      <c r="G105" s="7">
        <v>1</v>
      </c>
      <c r="H105" s="16" t="s">
        <v>397</v>
      </c>
      <c r="I105" s="16">
        <v>42600.691192129627</v>
      </c>
      <c r="J105" s="7">
        <v>0</v>
      </c>
      <c r="K105" s="142" t="str">
        <f t="shared" si="24"/>
        <v>4007/4008</v>
      </c>
      <c r="L105" s="25" t="str">
        <f>VLOOKUP(A105,'Trips&amp;Operators'!$C$1:$E$10000,3,FALSE)</f>
        <v>MOSES</v>
      </c>
      <c r="M105" s="6">
        <f t="shared" si="25"/>
        <v>3.0439814814599231E-2</v>
      </c>
      <c r="N105" s="7">
        <f t="shared" si="37"/>
        <v>43.833333333022892</v>
      </c>
      <c r="O105" s="7"/>
      <c r="P105" s="7"/>
      <c r="Q105" s="26"/>
      <c r="R105" s="26"/>
      <c r="S105" s="38">
        <f t="shared" si="23"/>
        <v>1</v>
      </c>
      <c r="T105" s="53" t="str">
        <f t="shared" si="26"/>
        <v>Southbound</v>
      </c>
      <c r="U105" s="13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14:49:48-0600',mode:absolute,to:'2016-08-18 17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5" s="55" t="str">
        <f t="shared" si="28"/>
        <v>N</v>
      </c>
      <c r="X105" s="129">
        <f t="shared" ref="X105:X136" si="38">VALUE(LEFT(AD105,4))-VALUE(LEFT(AD104,4))</f>
        <v>1</v>
      </c>
      <c r="Y105" s="70">
        <f t="shared" si="29"/>
        <v>23.302299999999999</v>
      </c>
      <c r="Z105" s="70">
        <f t="shared" si="30"/>
        <v>1.21E-2</v>
      </c>
      <c r="AA105" s="70">
        <f t="shared" si="31"/>
        <v>23.290199999999999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32"/>
        <v>0192-18</v>
      </c>
      <c r="AE105" s="104" t="str">
        <f t="shared" si="33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105" s="101" t="str">
        <f t="shared" si="34"/>
        <v>"C:\Program Files (x86)\AstroGrep\AstroGrep.exe" /spath="%USERPROFILE%\AppData\Local\Temp\OnboardLogs" /stypes="*4008*20160818*" /stext=" 22:.+((SYSTEM_STATE.+slice.+state.+changed )|(ment ac)|(system.+state.+changed )|(\|lc)|(penalty)|(\[timeout)|(PRM\|1\|D)|(kpr)|(kdp))" /e /r /s</v>
      </c>
      <c r="AG105" s="1" t="str">
        <f t="shared" si="35"/>
        <v>EC</v>
      </c>
      <c r="AH105" s="105" t="str">
        <f t="shared" si="36"/>
        <v>"%USERPROFILE%\Documents\GitHub\eaglep3\Utilities\RefineRTDCRunTimes.py" --tripid 192-18 --locoid 4008 --swversion DE.1.0.7.0 --startMP 204:233023 --initTime 2016-08-18T15:49:48 --startdatetime 2016-08-18T15:51:29 --delay 1 --endMP 204:121 --enddatetime 2016-08-18T16:35:19 --enforcementcount 0</v>
      </c>
    </row>
    <row r="106" spans="1:34" x14ac:dyDescent="0.25">
      <c r="A106" s="40" t="s">
        <v>470</v>
      </c>
      <c r="B106" s="7">
        <v>4009</v>
      </c>
      <c r="C106" s="25" t="s">
        <v>118</v>
      </c>
      <c r="D106" s="25" t="s">
        <v>151</v>
      </c>
      <c r="E106" s="16">
        <v>42600.63009259259</v>
      </c>
      <c r="F106" s="16">
        <v>42600.631180555552</v>
      </c>
      <c r="G106" s="7">
        <v>1</v>
      </c>
      <c r="H106" s="16" t="s">
        <v>286</v>
      </c>
      <c r="I106" s="16">
        <v>42600.661689814813</v>
      </c>
      <c r="J106" s="7">
        <v>0</v>
      </c>
      <c r="K106" s="142" t="str">
        <f t="shared" si="24"/>
        <v>4009/4010</v>
      </c>
      <c r="L106" s="25" t="str">
        <f>VLOOKUP(A106,'Trips&amp;Operators'!$C$1:$E$10000,3,FALSE)</f>
        <v>NEWELL</v>
      </c>
      <c r="M106" s="6">
        <f t="shared" si="25"/>
        <v>3.050925926072523E-2</v>
      </c>
      <c r="N106" s="7">
        <f t="shared" si="37"/>
        <v>43.933333335444331</v>
      </c>
      <c r="O106" s="7"/>
      <c r="P106" s="7"/>
      <c r="Q106" s="26"/>
      <c r="R106" s="26"/>
      <c r="S106" s="38">
        <f t="shared" si="23"/>
        <v>1</v>
      </c>
      <c r="T106" s="53" t="str">
        <f t="shared" si="26"/>
        <v>NorthBound</v>
      </c>
      <c r="U106" s="13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14:07:20-0600',mode:absolute,to:'2016-08-18 16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6" s="55" t="str">
        <f t="shared" si="28"/>
        <v>N</v>
      </c>
      <c r="X106" s="129">
        <f t="shared" si="38"/>
        <v>1</v>
      </c>
      <c r="Y106" s="70">
        <f t="shared" si="29"/>
        <v>4.6699999999999998E-2</v>
      </c>
      <c r="Z106" s="70">
        <f t="shared" si="30"/>
        <v>23.330100000000002</v>
      </c>
      <c r="AA106" s="70">
        <f t="shared" si="31"/>
        <v>23.2834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32"/>
        <v>0193-18</v>
      </c>
      <c r="AE106" s="104" t="str">
        <f t="shared" si="33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106" s="101" t="str">
        <f t="shared" si="34"/>
        <v>"C:\Program Files (x86)\AstroGrep\AstroGrep.exe" /spath="%USERPROFILE%\AppData\Local\Temp\OnboardLogs" /stypes="*4009*20160818*" /stext=" 21:.+((SYSTEM_STATE.+slice.+state.+changed )|(ment ac)|(system.+state.+changed )|(\|lc)|(penalty)|(\[timeout)|(PRM\|1\|D)|(kpr)|(kdp))" /e /r /s</v>
      </c>
      <c r="AG106" s="1" t="str">
        <f t="shared" si="35"/>
        <v>EC</v>
      </c>
      <c r="AH106" s="105" t="str">
        <f t="shared" si="36"/>
        <v>"%USERPROFILE%\Documents\GitHub\eaglep3\Utilities\RefineRTDCRunTimes.py" --tripid 193-18 --locoid 4009 --swversion DE.1.0.7.0 --startMP 204:467 --initTime 2016-08-18T15:07:20 --startdatetime 2016-08-18T15:08:54 --delay 1 --endMP 204:233301 --enddatetime 2016-08-18T15:52:50 --enforcementcount 0</v>
      </c>
    </row>
    <row r="107" spans="1:34" x14ac:dyDescent="0.25">
      <c r="A107" s="40" t="s">
        <v>471</v>
      </c>
      <c r="B107" s="7">
        <v>4010</v>
      </c>
      <c r="C107" s="25" t="s">
        <v>118</v>
      </c>
      <c r="D107" s="25" t="s">
        <v>279</v>
      </c>
      <c r="E107" s="16">
        <v>42600.665706018517</v>
      </c>
      <c r="F107" s="16">
        <v>42600.667233796295</v>
      </c>
      <c r="G107" s="7">
        <v>2</v>
      </c>
      <c r="H107" s="16" t="s">
        <v>170</v>
      </c>
      <c r="I107" s="16">
        <v>42600.701111111113</v>
      </c>
      <c r="J107" s="7">
        <v>0</v>
      </c>
      <c r="K107" s="142" t="str">
        <f t="shared" si="24"/>
        <v>4009/4010</v>
      </c>
      <c r="L107" s="25" t="str">
        <f>VLOOKUP(A107,'Trips&amp;Operators'!$C$1:$E$10000,3,FALSE)</f>
        <v>NEWELL</v>
      </c>
      <c r="M107" s="6">
        <f t="shared" si="25"/>
        <v>3.3877314817800652E-2</v>
      </c>
      <c r="N107" s="7">
        <f t="shared" si="37"/>
        <v>48.783333337632939</v>
      </c>
      <c r="O107" s="7"/>
      <c r="P107" s="7"/>
      <c r="Q107" s="26"/>
      <c r="R107" s="26"/>
      <c r="S107" s="38">
        <f t="shared" ref="S107:S138" si="39">SUM(U107:U107)/IF(AG107="EC",12,1)</f>
        <v>1</v>
      </c>
      <c r="T107" s="53" t="str">
        <f t="shared" si="26"/>
        <v>Southbound</v>
      </c>
      <c r="U107" s="13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14:58:37-0600',mode:absolute,to:'2016-08-18 17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7" s="55" t="str">
        <f t="shared" si="28"/>
        <v>N</v>
      </c>
      <c r="X107" s="129">
        <f t="shared" si="38"/>
        <v>1</v>
      </c>
      <c r="Y107" s="70">
        <f t="shared" si="29"/>
        <v>23.2986</v>
      </c>
      <c r="Z107" s="70">
        <f t="shared" si="30"/>
        <v>1.5599999999999999E-2</v>
      </c>
      <c r="AA107" s="70">
        <f t="shared" si="31"/>
        <v>23.283000000000001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32"/>
        <v>0194-18</v>
      </c>
      <c r="AE107" s="104" t="str">
        <f t="shared" si="33"/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AF107" s="101" t="str">
        <f t="shared" si="34"/>
        <v>"C:\Program Files (x86)\AstroGrep\AstroGrep.exe" /spath="%USERPROFILE%\AppData\Local\Temp\OnboardLogs" /stypes="*4010*20160818*" /stext=" 22:.+((SYSTEM_STATE.+slice.+state.+changed )|(ment ac)|(system.+state.+changed )|(\|lc)|(penalty)|(\[timeout)|(PRM\|1\|D)|(kpr)|(kdp))" /e /r /s</v>
      </c>
      <c r="AG107" s="1" t="str">
        <f t="shared" si="35"/>
        <v>EC</v>
      </c>
      <c r="AH107" s="105" t="str">
        <f t="shared" si="36"/>
        <v>"%USERPROFILE%\Documents\GitHub\eaglep3\Utilities\RefineRTDCRunTimes.py" --tripid 194-18 --locoid 4010 --swversion DE.1.0.7.0 --startMP 204:232986 --initTime 2016-08-18T15:58:37 --startdatetime 2016-08-18T16:00:49 --delay 2 --endMP 204:156 --enddatetime 2016-08-18T16:49:36 --enforcementcount 0</v>
      </c>
    </row>
    <row r="108" spans="1:34" x14ac:dyDescent="0.25">
      <c r="A108" s="40" t="s">
        <v>472</v>
      </c>
      <c r="B108" s="7">
        <v>4025</v>
      </c>
      <c r="C108" s="25" t="s">
        <v>118</v>
      </c>
      <c r="D108" s="25" t="s">
        <v>473</v>
      </c>
      <c r="E108" s="16">
        <v>42600.640300925923</v>
      </c>
      <c r="F108" s="16">
        <v>42600.641331018516</v>
      </c>
      <c r="G108" s="7">
        <v>1</v>
      </c>
      <c r="H108" s="16" t="s">
        <v>146</v>
      </c>
      <c r="I108" s="16">
        <v>42600.670995370368</v>
      </c>
      <c r="J108" s="7">
        <v>0</v>
      </c>
      <c r="K108" s="142" t="str">
        <f t="shared" si="24"/>
        <v>4025/4026</v>
      </c>
      <c r="L108" s="25" t="str">
        <f>VLOOKUP(A108,'Trips&amp;Operators'!$C$1:$E$10000,3,FALSE)</f>
        <v>STAMBAUGH</v>
      </c>
      <c r="M108" s="6">
        <f t="shared" si="25"/>
        <v>2.9664351852261461E-2</v>
      </c>
      <c r="N108" s="7">
        <f t="shared" si="37"/>
        <v>42.716666667256504</v>
      </c>
      <c r="O108" s="7"/>
      <c r="P108" s="7"/>
      <c r="Q108" s="26"/>
      <c r="R108" s="26"/>
      <c r="S108" s="38">
        <f t="shared" si="39"/>
        <v>1</v>
      </c>
      <c r="T108" s="53" t="str">
        <f t="shared" si="26"/>
        <v>NorthBound</v>
      </c>
      <c r="U108" s="13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14:22:02-0600',mode:absolute,to:'2016-08-18 17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8" s="55" t="str">
        <f t="shared" si="28"/>
        <v>N</v>
      </c>
      <c r="X108" s="129">
        <f t="shared" si="38"/>
        <v>1</v>
      </c>
      <c r="Y108" s="70">
        <f t="shared" si="29"/>
        <v>4.9700000000000001E-2</v>
      </c>
      <c r="Z108" s="70">
        <f t="shared" si="30"/>
        <v>23.331199999999999</v>
      </c>
      <c r="AA108" s="70">
        <f t="shared" si="31"/>
        <v>23.281499999999998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32"/>
        <v>0195-18</v>
      </c>
      <c r="AE108" s="104" t="str">
        <f t="shared" si="33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108" s="101" t="str">
        <f t="shared" si="34"/>
        <v>"C:\Program Files (x86)\AstroGrep\AstroGrep.exe" /spath="%USERPROFILE%\AppData\Local\Temp\OnboardLogs" /stypes="*4025*20160818*" /stext=" 22:.+((SYSTEM_STATE.+slice.+state.+changed )|(ment ac)|(system.+state.+changed )|(\|lc)|(penalty)|(\[timeout)|(PRM\|1\|D)|(kpr)|(kdp))" /e /r /s</v>
      </c>
      <c r="AG108" s="1" t="str">
        <f t="shared" si="35"/>
        <v>EC</v>
      </c>
      <c r="AH108" s="105" t="str">
        <f t="shared" si="36"/>
        <v>"%USERPROFILE%\Documents\GitHub\eaglep3\Utilities\RefineRTDCRunTimes.py" --tripid 195-18 --locoid 4025 --swversion DE.1.0.7.0 --startMP 204:497 --initTime 2016-08-18T15:22:02 --startdatetime 2016-08-18T15:23:31 --delay 1 --endMP 204:233312 --enddatetime 2016-08-18T16:06:14 --enforcementcount 0</v>
      </c>
    </row>
    <row r="109" spans="1:34" x14ac:dyDescent="0.25">
      <c r="A109" s="40" t="s">
        <v>474</v>
      </c>
      <c r="B109" s="7">
        <v>4026</v>
      </c>
      <c r="C109" s="25" t="s">
        <v>118</v>
      </c>
      <c r="D109" s="25" t="s">
        <v>142</v>
      </c>
      <c r="E109" s="16">
        <v>42600.681122685186</v>
      </c>
      <c r="F109" s="16">
        <v>42600.681886574072</v>
      </c>
      <c r="G109" s="7">
        <v>1</v>
      </c>
      <c r="H109" s="16" t="s">
        <v>475</v>
      </c>
      <c r="I109" s="16">
        <v>42600.712418981479</v>
      </c>
      <c r="J109" s="7">
        <v>0</v>
      </c>
      <c r="K109" s="142" t="str">
        <f t="shared" si="24"/>
        <v>4025/4026</v>
      </c>
      <c r="L109" s="25" t="str">
        <f>VLOOKUP(A109,'Trips&amp;Operators'!$C$1:$E$10000,3,FALSE)</f>
        <v>STAMBAUGH</v>
      </c>
      <c r="M109" s="6">
        <f t="shared" si="25"/>
        <v>3.0532407407008577E-2</v>
      </c>
      <c r="N109" s="7">
        <f t="shared" si="37"/>
        <v>43.966666666092351</v>
      </c>
      <c r="O109" s="7"/>
      <c r="P109" s="7"/>
      <c r="Q109" s="26"/>
      <c r="R109" s="26"/>
      <c r="S109" s="38">
        <f t="shared" si="39"/>
        <v>1</v>
      </c>
      <c r="T109" s="53" t="str">
        <f t="shared" si="26"/>
        <v>Southbound</v>
      </c>
      <c r="U109" s="13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15:20:49-0600',mode:absolute,to:'2016-08-18 18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9" s="55" t="str">
        <f t="shared" si="28"/>
        <v>N</v>
      </c>
      <c r="X109" s="129">
        <f t="shared" si="38"/>
        <v>1</v>
      </c>
      <c r="Y109" s="70">
        <f t="shared" si="29"/>
        <v>23.299399999999999</v>
      </c>
      <c r="Z109" s="70">
        <f t="shared" si="30"/>
        <v>1.18E-2</v>
      </c>
      <c r="AA109" s="70">
        <f t="shared" si="31"/>
        <v>23.287599999999998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si="32"/>
        <v>0196-18</v>
      </c>
      <c r="AE109" s="104" t="str">
        <f t="shared" si="33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109" s="101" t="str">
        <f t="shared" si="34"/>
        <v>"C:\Program Files (x86)\AstroGrep\AstroGrep.exe" /spath="%USERPROFILE%\AppData\Local\Temp\OnboardLogs" /stypes="*4026*20160818*" /stext=" 23:.+((SYSTEM_STATE.+slice.+state.+changed )|(ment ac)|(system.+state.+changed )|(\|lc)|(penalty)|(\[timeout)|(PRM\|1\|D)|(kpr)|(kdp))" /e /r /s</v>
      </c>
      <c r="AG109" s="1" t="str">
        <f t="shared" si="35"/>
        <v>EC</v>
      </c>
      <c r="AH109" s="105" t="str">
        <f t="shared" si="36"/>
        <v>"%USERPROFILE%\Documents\GitHub\eaglep3\Utilities\RefineRTDCRunTimes.py" --tripid 196-18 --locoid 4026 --swversion DE.1.0.7.0 --startMP 204:232994 --initTime 2016-08-18T16:20:49 --startdatetime 2016-08-18T16:21:55 --delay 1 --endMP 204:118 --enddatetime 2016-08-18T17:05:53 --enforcementcount 0</v>
      </c>
    </row>
    <row r="110" spans="1:34" s="24" customFormat="1" x14ac:dyDescent="0.25">
      <c r="A110" s="40" t="s">
        <v>476</v>
      </c>
      <c r="B110" s="7">
        <v>4038</v>
      </c>
      <c r="C110" s="25" t="s">
        <v>118</v>
      </c>
      <c r="D110" s="25" t="s">
        <v>477</v>
      </c>
      <c r="E110" s="16">
        <v>42600.653564814813</v>
      </c>
      <c r="F110" s="16">
        <v>42600.654363425929</v>
      </c>
      <c r="G110" s="7">
        <v>1</v>
      </c>
      <c r="H110" s="16" t="s">
        <v>173</v>
      </c>
      <c r="I110" s="16">
        <v>42600.681527777779</v>
      </c>
      <c r="J110" s="7">
        <v>0</v>
      </c>
      <c r="K110" s="142" t="str">
        <f t="shared" si="24"/>
        <v>4037/4038</v>
      </c>
      <c r="L110" s="25" t="str">
        <f>VLOOKUP(A110,'Trips&amp;Operators'!$C$1:$E$10000,3,FALSE)</f>
        <v>HAITHCOX</v>
      </c>
      <c r="M110" s="6">
        <f t="shared" si="25"/>
        <v>2.7164351849933155E-2</v>
      </c>
      <c r="N110" s="7">
        <f t="shared" si="37"/>
        <v>39.116666663903743</v>
      </c>
      <c r="O110" s="7"/>
      <c r="P110" s="7"/>
      <c r="Q110" s="26"/>
      <c r="R110" s="26"/>
      <c r="S110" s="38">
        <f t="shared" si="39"/>
        <v>1</v>
      </c>
      <c r="T110" s="53" t="str">
        <f t="shared" si="26"/>
        <v>NorthBound</v>
      </c>
      <c r="U110" s="13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14:41:08-0600',mode:absolute,to:'2016-08-18 17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0" s="55" t="str">
        <f t="shared" si="28"/>
        <v>N</v>
      </c>
      <c r="X110" s="129">
        <f t="shared" si="38"/>
        <v>1</v>
      </c>
      <c r="Y110" s="70">
        <f t="shared" si="29"/>
        <v>4.8399999999999999E-2</v>
      </c>
      <c r="Z110" s="70">
        <f t="shared" si="30"/>
        <v>23.3291</v>
      </c>
      <c r="AA110" s="70">
        <f t="shared" si="31"/>
        <v>23.2807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32"/>
        <v>0197-18</v>
      </c>
      <c r="AE110" s="104" t="str">
        <f t="shared" si="33"/>
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</c>
      <c r="AF110" s="101" t="str">
        <f t="shared" si="34"/>
        <v>"C:\Program Files (x86)\AstroGrep\AstroGrep.exe" /spath="%USERPROFILE%\AppData\Local\Temp\OnboardLogs" /stypes="*4038*20160818*" /stext=" 22:.+((SYSTEM_STATE.+slice.+state.+changed )|(ment ac)|(system.+state.+changed )|(\|lc)|(penalty)|(\[timeout)|(PRM\|1\|D)|(kpr)|(kdp))" /e /r /s</v>
      </c>
      <c r="AG110" s="1" t="str">
        <f t="shared" si="35"/>
        <v>EC</v>
      </c>
      <c r="AH110" s="105" t="str">
        <f t="shared" si="36"/>
        <v>"%USERPROFILE%\Documents\GitHub\eaglep3\Utilities\RefineRTDCRunTimes.py" --tripid 197-18 --locoid 4038 --swversion DE.1.0.7.0 --startMP 204:484 --initTime 2016-08-18T15:41:08 --startdatetime 2016-08-18T15:42:17 --delay 1 --endMP 204:233291 --enddatetime 2016-08-18T16:21:24 --enforcementcount 0</v>
      </c>
    </row>
    <row r="111" spans="1:34" s="24" customFormat="1" x14ac:dyDescent="0.25">
      <c r="A111" s="40" t="s">
        <v>478</v>
      </c>
      <c r="B111" s="7">
        <v>4037</v>
      </c>
      <c r="C111" s="25" t="s">
        <v>118</v>
      </c>
      <c r="D111" s="25" t="s">
        <v>244</v>
      </c>
      <c r="E111" s="16">
        <v>42600.694710648146</v>
      </c>
      <c r="F111" s="16">
        <v>42600.695694444446</v>
      </c>
      <c r="G111" s="7">
        <v>1</v>
      </c>
      <c r="H111" s="16" t="s">
        <v>169</v>
      </c>
      <c r="I111" s="16">
        <v>42600.72378472222</v>
      </c>
      <c r="J111" s="7">
        <v>0</v>
      </c>
      <c r="K111" s="142" t="str">
        <f t="shared" si="24"/>
        <v>4037/4038</v>
      </c>
      <c r="L111" s="25" t="str">
        <f>VLOOKUP(A111,'Trips&amp;Operators'!$C$1:$E$10000,3,FALSE)</f>
        <v>HAITHCOX</v>
      </c>
      <c r="M111" s="6">
        <f t="shared" si="25"/>
        <v>2.8090277774026617E-2</v>
      </c>
      <c r="N111" s="7">
        <f t="shared" si="37"/>
        <v>40.449999994598329</v>
      </c>
      <c r="O111" s="7"/>
      <c r="P111" s="7"/>
      <c r="Q111" s="26"/>
      <c r="R111" s="26"/>
      <c r="S111" s="38">
        <f t="shared" si="39"/>
        <v>1</v>
      </c>
      <c r="T111" s="53" t="str">
        <f t="shared" si="26"/>
        <v>Southbound</v>
      </c>
      <c r="U111" s="13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15:40:23-0600',mode:absolute,to:'2016-08-18 18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11" s="55" t="str">
        <f t="shared" si="28"/>
        <v>N</v>
      </c>
      <c r="X111" s="129">
        <f t="shared" si="38"/>
        <v>1</v>
      </c>
      <c r="Y111" s="70">
        <f t="shared" si="29"/>
        <v>23.297999999999998</v>
      </c>
      <c r="Z111" s="70">
        <f t="shared" si="30"/>
        <v>1.4999999999999999E-2</v>
      </c>
      <c r="AA111" s="70">
        <f t="shared" si="31"/>
        <v>23.282999999999998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32"/>
        <v>0198-18</v>
      </c>
      <c r="AE111" s="104" t="str">
        <f t="shared" si="33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111" s="101" t="str">
        <f t="shared" si="34"/>
        <v>"C:\Program Files (x86)\AstroGrep\AstroGrep.exe" /spath="%USERPROFILE%\AppData\Local\Temp\OnboardLogs" /stypes="*4037*20160818*" /stext=" 23:.+((SYSTEM_STATE.+slice.+state.+changed )|(ment ac)|(system.+state.+changed )|(\|lc)|(penalty)|(\[timeout)|(PRM\|1\|D)|(kpr)|(kdp))" /e /r /s</v>
      </c>
      <c r="AG111" s="1" t="str">
        <f t="shared" si="35"/>
        <v>EC</v>
      </c>
      <c r="AH111" s="105" t="str">
        <f t="shared" si="36"/>
        <v>"%USERPROFILE%\Documents\GitHub\eaglep3\Utilities\RefineRTDCRunTimes.py" --tripid 198-18 --locoid 4037 --swversion DE.1.0.7.0 --startMP 204:232980 --initTime 2016-08-18T16:40:23 --startdatetime 2016-08-18T16:41:48 --delay 1 --endMP 204:150 --enddatetime 2016-08-18T17:22:15 --enforcementcount 0</v>
      </c>
    </row>
    <row r="112" spans="1:34" x14ac:dyDescent="0.25">
      <c r="A112" s="40" t="s">
        <v>479</v>
      </c>
      <c r="B112" s="7">
        <v>4029</v>
      </c>
      <c r="C112" s="25" t="s">
        <v>118</v>
      </c>
      <c r="D112" s="25" t="s">
        <v>480</v>
      </c>
      <c r="E112" s="16">
        <v>42600.663518518515</v>
      </c>
      <c r="F112" s="16">
        <v>42600.664594907408</v>
      </c>
      <c r="G112" s="7">
        <v>1</v>
      </c>
      <c r="H112" s="16" t="s">
        <v>237</v>
      </c>
      <c r="I112" s="16">
        <v>42600.69326388889</v>
      </c>
      <c r="J112" s="7">
        <v>0</v>
      </c>
      <c r="K112" s="142" t="str">
        <f t="shared" si="24"/>
        <v>4029/4030</v>
      </c>
      <c r="L112" s="25" t="str">
        <f>VLOOKUP(A112,'Trips&amp;Operators'!$C$1:$E$10000,3,FALSE)</f>
        <v>GRASTON</v>
      </c>
      <c r="M112" s="6">
        <f t="shared" si="25"/>
        <v>2.8668981482042E-2</v>
      </c>
      <c r="N112" s="7">
        <f t="shared" si="37"/>
        <v>41.28333333414048</v>
      </c>
      <c r="O112" s="7"/>
      <c r="P112" s="7"/>
      <c r="Q112" s="26"/>
      <c r="R112" s="26"/>
      <c r="S112" s="38">
        <f t="shared" si="39"/>
        <v>1</v>
      </c>
      <c r="T112" s="53" t="str">
        <f t="shared" si="26"/>
        <v>NorthBound</v>
      </c>
      <c r="U112" s="13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14:55:28-0600',mode:absolute,to:'2016-08-18 17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12" s="55" t="str">
        <f t="shared" si="28"/>
        <v>N</v>
      </c>
      <c r="X112" s="129">
        <f t="shared" si="38"/>
        <v>1</v>
      </c>
      <c r="Y112" s="70">
        <f t="shared" si="29"/>
        <v>4.3099999999999999E-2</v>
      </c>
      <c r="Z112" s="70">
        <f t="shared" si="30"/>
        <v>23.328099999999999</v>
      </c>
      <c r="AA112" s="70">
        <f t="shared" si="31"/>
        <v>23.285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32"/>
        <v>0199-18</v>
      </c>
      <c r="AE112" s="104" t="str">
        <f t="shared" si="33"/>
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</c>
      <c r="AF112" s="101" t="str">
        <f t="shared" si="34"/>
        <v>"C:\Program Files (x86)\AstroGrep\AstroGrep.exe" /spath="%USERPROFILE%\AppData\Local\Temp\OnboardLogs" /stypes="*4029*20160818*" /stext=" 22:.+((SYSTEM_STATE.+slice.+state.+changed )|(ment ac)|(system.+state.+changed )|(\|lc)|(penalty)|(\[timeout)|(PRM\|1\|D)|(kpr)|(kdp))" /e /r /s</v>
      </c>
      <c r="AG112" s="1" t="str">
        <f t="shared" si="35"/>
        <v>EC</v>
      </c>
      <c r="AH112" s="105" t="str">
        <f t="shared" si="36"/>
        <v>"%USERPROFILE%\Documents\GitHub\eaglep3\Utilities\RefineRTDCRunTimes.py" --tripid 199-18 --locoid 4029 --swversion DE.1.0.7.0 --startMP 204:431 --initTime 2016-08-18T15:55:28 --startdatetime 2016-08-18T15:57:01 --delay 1 --endMP 204:233281 --enddatetime 2016-08-18T16:38:18 --enforcementcount 0</v>
      </c>
    </row>
    <row r="113" spans="1:34" x14ac:dyDescent="0.25">
      <c r="A113" s="40" t="s">
        <v>481</v>
      </c>
      <c r="B113" s="7">
        <v>4030</v>
      </c>
      <c r="C113" s="25" t="s">
        <v>118</v>
      </c>
      <c r="D113" s="25" t="s">
        <v>482</v>
      </c>
      <c r="E113" s="16">
        <v>42600.699652777781</v>
      </c>
      <c r="F113" s="16">
        <v>42600.700520833336</v>
      </c>
      <c r="G113" s="7">
        <v>1</v>
      </c>
      <c r="H113" s="16" t="s">
        <v>397</v>
      </c>
      <c r="I113" s="16">
        <v>42600.733923611115</v>
      </c>
      <c r="J113" s="7">
        <v>0</v>
      </c>
      <c r="K113" s="142" t="str">
        <f t="shared" si="24"/>
        <v>4029/4030</v>
      </c>
      <c r="L113" s="25" t="str">
        <f>VLOOKUP(A113,'Trips&amp;Operators'!$C$1:$E$10000,3,FALSE)</f>
        <v>GRASTON</v>
      </c>
      <c r="M113" s="6">
        <f t="shared" si="25"/>
        <v>3.3402777778974269E-2</v>
      </c>
      <c r="N113" s="7">
        <f t="shared" si="37"/>
        <v>48.100000001722947</v>
      </c>
      <c r="O113" s="7"/>
      <c r="P113" s="7"/>
      <c r="Q113" s="26"/>
      <c r="R113" s="26"/>
      <c r="S113" s="38">
        <f t="shared" si="39"/>
        <v>1</v>
      </c>
      <c r="T113" s="53" t="str">
        <f t="shared" si="26"/>
        <v>Southbound</v>
      </c>
      <c r="U113" s="13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15:47:30-0600',mode:absolute,to:'2016-08-18 18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3" s="55" t="str">
        <f t="shared" si="28"/>
        <v>N</v>
      </c>
      <c r="X113" s="129">
        <f t="shared" si="38"/>
        <v>1</v>
      </c>
      <c r="Y113" s="70">
        <f t="shared" si="29"/>
        <v>23.297000000000001</v>
      </c>
      <c r="Z113" s="70">
        <f t="shared" si="30"/>
        <v>1.21E-2</v>
      </c>
      <c r="AA113" s="70">
        <f t="shared" si="31"/>
        <v>23.2849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32"/>
        <v>0200-18</v>
      </c>
      <c r="AE113" s="104" t="str">
        <f t="shared" si="33"/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AF113" s="101" t="str">
        <f t="shared" si="34"/>
        <v>"C:\Program Files (x86)\AstroGrep\AstroGrep.exe" /spath="%USERPROFILE%\AppData\Local\Temp\OnboardLogs" /stypes="*4030*20160818*" /stext=" 23:.+((SYSTEM_STATE.+slice.+state.+changed )|(ment ac)|(system.+state.+changed )|(\|lc)|(penalty)|(\[timeout)|(PRM\|1\|D)|(kpr)|(kdp))" /e /r /s</v>
      </c>
      <c r="AG113" s="1" t="str">
        <f t="shared" si="35"/>
        <v>EC</v>
      </c>
      <c r="AH113" s="105" t="str">
        <f t="shared" si="36"/>
        <v>"%USERPROFILE%\Documents\GitHub\eaglep3\Utilities\RefineRTDCRunTimes.py" --tripid 200-18 --locoid 4030 --swversion DE.1.0.7.0 --startMP 204:232970 --initTime 2016-08-18T16:47:30 --startdatetime 2016-08-18T16:48:45 --delay 1 --endMP 204:121 --enddatetime 2016-08-18T17:36:51 --enforcementcount 0</v>
      </c>
    </row>
    <row r="114" spans="1:34" s="24" customFormat="1" x14ac:dyDescent="0.25">
      <c r="A114" s="40" t="s">
        <v>483</v>
      </c>
      <c r="B114" s="7">
        <v>4044</v>
      </c>
      <c r="C114" s="25" t="s">
        <v>118</v>
      </c>
      <c r="D114" s="25" t="s">
        <v>484</v>
      </c>
      <c r="E114" s="16">
        <v>42600.673634259256</v>
      </c>
      <c r="F114" s="16">
        <v>42600.674618055556</v>
      </c>
      <c r="G114" s="7">
        <v>1</v>
      </c>
      <c r="H114" s="16" t="s">
        <v>242</v>
      </c>
      <c r="I114" s="16">
        <v>42600.704502314817</v>
      </c>
      <c r="J114" s="7">
        <v>0</v>
      </c>
      <c r="K114" s="142" t="str">
        <f t="shared" si="24"/>
        <v>4043/4044</v>
      </c>
      <c r="L114" s="25" t="str">
        <f>VLOOKUP(A114,'Trips&amp;Operators'!$C$1:$E$10000,3,FALSE)</f>
        <v>BONDS</v>
      </c>
      <c r="M114" s="6">
        <f t="shared" si="25"/>
        <v>2.9884259260143153E-2</v>
      </c>
      <c r="N114" s="7">
        <f t="shared" si="37"/>
        <v>43.033333334606141</v>
      </c>
      <c r="O114" s="7"/>
      <c r="P114" s="7"/>
      <c r="Q114" s="26"/>
      <c r="R114" s="26"/>
      <c r="S114" s="38">
        <f t="shared" si="39"/>
        <v>1</v>
      </c>
      <c r="T114" s="53" t="str">
        <f t="shared" si="26"/>
        <v>NorthBound</v>
      </c>
      <c r="U114" s="13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15:10:02-0600',mode:absolute,to:'2016-08-18 17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4" s="55" t="str">
        <f t="shared" si="28"/>
        <v>N</v>
      </c>
      <c r="X114" s="129">
        <f t="shared" si="38"/>
        <v>1</v>
      </c>
      <c r="Y114" s="70">
        <f t="shared" si="29"/>
        <v>4.2900000000000001E-2</v>
      </c>
      <c r="Z114" s="70">
        <f t="shared" si="30"/>
        <v>23.3322</v>
      </c>
      <c r="AA114" s="70">
        <f t="shared" si="31"/>
        <v>23.289300000000001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32"/>
        <v>0201-18</v>
      </c>
      <c r="AE114" s="104" t="str">
        <f t="shared" si="33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114" s="101" t="str">
        <f t="shared" si="34"/>
        <v>"C:\Program Files (x86)\AstroGrep\AstroGrep.exe" /spath="%USERPROFILE%\AppData\Local\Temp\OnboardLogs" /stypes="*4044*20160818*" /stext=" 22:.+((SYSTEM_STATE.+slice.+state.+changed )|(ment ac)|(system.+state.+changed )|(\|lc)|(penalty)|(\[timeout)|(PRM\|1\|D)|(kpr)|(kdp))" /e /r /s</v>
      </c>
      <c r="AG114" s="1" t="str">
        <f t="shared" si="35"/>
        <v>EC</v>
      </c>
      <c r="AH114" s="105" t="str">
        <f t="shared" si="36"/>
        <v>"%USERPROFILE%\Documents\GitHub\eaglep3\Utilities\RefineRTDCRunTimes.py" --tripid 201-18 --locoid 4044 --swversion DE.1.0.7.0 --startMP 204:429 --initTime 2016-08-18T16:10:02 --startdatetime 2016-08-18T16:11:27 --delay 1 --endMP 204:233322 --enddatetime 2016-08-18T16:54:29 --enforcementcount 0</v>
      </c>
    </row>
    <row r="115" spans="1:34" x14ac:dyDescent="0.25">
      <c r="A115" s="40" t="s">
        <v>352</v>
      </c>
      <c r="B115" s="7">
        <v>4043</v>
      </c>
      <c r="C115" s="25" t="s">
        <v>118</v>
      </c>
      <c r="D115" s="25" t="s">
        <v>485</v>
      </c>
      <c r="E115" s="16">
        <v>42600.711944444447</v>
      </c>
      <c r="F115" s="16">
        <v>42600.712743055556</v>
      </c>
      <c r="G115" s="7">
        <v>1</v>
      </c>
      <c r="H115" s="16" t="s">
        <v>216</v>
      </c>
      <c r="I115" s="16">
        <v>42600.742685185185</v>
      </c>
      <c r="J115" s="7">
        <v>0</v>
      </c>
      <c r="K115" s="142" t="str">
        <f t="shared" si="24"/>
        <v>4043/4044</v>
      </c>
      <c r="L115" s="25" t="str">
        <f>VLOOKUP(A115,'Trips&amp;Operators'!$C$1:$E$10000,3,FALSE)</f>
        <v>BONDS</v>
      </c>
      <c r="M115" s="6">
        <f t="shared" si="25"/>
        <v>2.99421296294895E-2</v>
      </c>
      <c r="N115" s="7">
        <f t="shared" si="37"/>
        <v>43.11666666646488</v>
      </c>
      <c r="O115" s="7"/>
      <c r="P115" s="7"/>
      <c r="Q115" s="26"/>
      <c r="R115" s="26"/>
      <c r="S115" s="38">
        <f t="shared" si="39"/>
        <v>1</v>
      </c>
      <c r="T115" s="53" t="str">
        <f t="shared" si="26"/>
        <v>Southbound</v>
      </c>
      <c r="U115" s="13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16:05:12-0600',mode:absolute,to:'2016-08-18 18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5" s="55" t="str">
        <f t="shared" si="28"/>
        <v>N</v>
      </c>
      <c r="X115" s="129">
        <f t="shared" si="38"/>
        <v>1</v>
      </c>
      <c r="Y115" s="70">
        <f t="shared" si="29"/>
        <v>23.3003</v>
      </c>
      <c r="Z115" s="70">
        <f t="shared" si="30"/>
        <v>1.41E-2</v>
      </c>
      <c r="AA115" s="70">
        <f t="shared" si="31"/>
        <v>23.286200000000001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32"/>
        <v>0202-18</v>
      </c>
      <c r="AE115" s="104" t="str">
        <f t="shared" si="33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115" s="101" t="str">
        <f t="shared" si="34"/>
        <v>"C:\Program Files (x86)\AstroGrep\AstroGrep.exe" /spath="%USERPROFILE%\AppData\Local\Temp\OnboardLogs" /stypes="*4043*20160818*" /stext=" 23:.+((SYSTEM_STATE.+slice.+state.+changed )|(ment ac)|(system.+state.+changed )|(\|lc)|(penalty)|(\[timeout)|(PRM\|1\|D)|(kpr)|(kdp))" /e /r /s</v>
      </c>
      <c r="AG115" s="1" t="str">
        <f t="shared" si="35"/>
        <v>EC</v>
      </c>
      <c r="AH115" s="105" t="str">
        <f t="shared" si="36"/>
        <v>"%USERPROFILE%\Documents\GitHub\eaglep3\Utilities\RefineRTDCRunTimes.py" --tripid 202-18 --locoid 4043 --swversion DE.1.0.7.0 --startMP 204:233003 --initTime 2016-08-18T17:05:12 --startdatetime 2016-08-18T17:06:21 --delay 1 --endMP 204:141 --enddatetime 2016-08-18T17:49:28 --enforcementcount 0</v>
      </c>
    </row>
    <row r="116" spans="1:34" x14ac:dyDescent="0.25">
      <c r="A116" s="40" t="s">
        <v>486</v>
      </c>
      <c r="B116" s="7">
        <v>4027</v>
      </c>
      <c r="C116" s="25" t="s">
        <v>118</v>
      </c>
      <c r="D116" s="25" t="s">
        <v>203</v>
      </c>
      <c r="E116" s="16">
        <v>42600.683437500003</v>
      </c>
      <c r="F116" s="16">
        <v>42600.684606481482</v>
      </c>
      <c r="G116" s="7">
        <v>1</v>
      </c>
      <c r="H116" s="16" t="s">
        <v>278</v>
      </c>
      <c r="I116" s="16">
        <v>42600.713726851849</v>
      </c>
      <c r="J116" s="7">
        <v>0</v>
      </c>
      <c r="K116" s="142" t="str">
        <f t="shared" si="24"/>
        <v>4027/4028</v>
      </c>
      <c r="L116" s="25" t="str">
        <f>VLOOKUP(A116,'Trips&amp;Operators'!$C$1:$E$10000,3,FALSE)</f>
        <v>SANTIZO</v>
      </c>
      <c r="M116" s="6">
        <f t="shared" si="25"/>
        <v>2.9120370367309079E-2</v>
      </c>
      <c r="N116" s="7">
        <f t="shared" si="37"/>
        <v>41.933333328925073</v>
      </c>
      <c r="O116" s="7"/>
      <c r="P116" s="7"/>
      <c r="Q116" s="26"/>
      <c r="R116" s="26"/>
      <c r="S116" s="38">
        <f t="shared" si="39"/>
        <v>1</v>
      </c>
      <c r="T116" s="53" t="str">
        <f t="shared" si="26"/>
        <v>NorthBound</v>
      </c>
      <c r="U116" s="13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15:24:09-0600',mode:absolute,to:'2016-08-18 18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6" s="55" t="str">
        <f t="shared" si="28"/>
        <v>N</v>
      </c>
      <c r="X116" s="129">
        <f t="shared" si="38"/>
        <v>1</v>
      </c>
      <c r="Y116" s="70">
        <f t="shared" si="29"/>
        <v>4.4600000000000001E-2</v>
      </c>
      <c r="Z116" s="70">
        <f t="shared" si="30"/>
        <v>23.331499999999998</v>
      </c>
      <c r="AA116" s="70">
        <f t="shared" si="31"/>
        <v>23.286899999999999</v>
      </c>
      <c r="AB116" s="67" t="e">
        <f>VLOOKUP(A116,Enforcements!$C$7:$J$24,8,0)</f>
        <v>#N/A</v>
      </c>
      <c r="AC116" s="63" t="e">
        <f>VLOOKUP(A116,Enforcements!$C$7:$E$24,3,0)</f>
        <v>#N/A</v>
      </c>
      <c r="AD116" s="64" t="str">
        <f t="shared" si="32"/>
        <v>0203-18</v>
      </c>
      <c r="AE116" s="104" t="str">
        <f t="shared" si="33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116" s="101" t="str">
        <f t="shared" si="34"/>
        <v>"C:\Program Files (x86)\AstroGrep\AstroGrep.exe" /spath="%USERPROFILE%\AppData\Local\Temp\OnboardLogs" /stypes="*4027*20160818*" /stext=" 23:.+((SYSTEM_STATE.+slice.+state.+changed )|(ment ac)|(system.+state.+changed )|(\|lc)|(penalty)|(\[timeout)|(PRM\|1\|D)|(kpr)|(kdp))" /e /r /s</v>
      </c>
      <c r="AG116" s="1" t="str">
        <f t="shared" si="35"/>
        <v>EC</v>
      </c>
      <c r="AH116" s="105" t="str">
        <f t="shared" si="36"/>
        <v>"%USERPROFILE%\Documents\GitHub\eaglep3\Utilities\RefineRTDCRunTimes.py" --tripid 203-18 --locoid 4027 --swversion DE.1.0.7.0 --startMP 204:446 --initTime 2016-08-18T16:24:09 --startdatetime 2016-08-18T16:25:50 --delay 1 --endMP 204:233315 --enddatetime 2016-08-18T17:07:46 --enforcementcount 0</v>
      </c>
    </row>
    <row r="117" spans="1:34" x14ac:dyDescent="0.25">
      <c r="A117" s="40" t="s">
        <v>351</v>
      </c>
      <c r="B117" s="7">
        <v>4028</v>
      </c>
      <c r="C117" s="25" t="s">
        <v>118</v>
      </c>
      <c r="D117" s="25" t="s">
        <v>214</v>
      </c>
      <c r="E117" s="16">
        <v>42600.718576388892</v>
      </c>
      <c r="F117" s="16">
        <v>42600.723032407404</v>
      </c>
      <c r="G117" s="7">
        <v>6</v>
      </c>
      <c r="H117" s="16" t="s">
        <v>267</v>
      </c>
      <c r="I117" s="16">
        <v>42600.754467592589</v>
      </c>
      <c r="J117" s="7">
        <v>0</v>
      </c>
      <c r="K117" s="142" t="str">
        <f t="shared" si="24"/>
        <v>4027/4028</v>
      </c>
      <c r="L117" s="25" t="str">
        <f>VLOOKUP(A117,'Trips&amp;Operators'!$C$1:$E$10000,3,FALSE)</f>
        <v>SANTIZO</v>
      </c>
      <c r="M117" s="6">
        <f t="shared" si="25"/>
        <v>3.1435185184818693E-2</v>
      </c>
      <c r="N117" s="7">
        <f t="shared" si="37"/>
        <v>45.266666666138917</v>
      </c>
      <c r="O117" s="7"/>
      <c r="P117" s="7"/>
      <c r="Q117" s="26"/>
      <c r="R117" s="26"/>
      <c r="S117" s="38">
        <f t="shared" si="39"/>
        <v>1</v>
      </c>
      <c r="T117" s="53" t="str">
        <f t="shared" si="26"/>
        <v>Southbound</v>
      </c>
      <c r="U117" s="13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16:14:45-0600',mode:absolute,to:'2016-08-18 19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17" s="55" t="str">
        <f t="shared" si="28"/>
        <v>N</v>
      </c>
      <c r="X117" s="129">
        <f t="shared" si="38"/>
        <v>1</v>
      </c>
      <c r="Y117" s="70">
        <f t="shared" si="29"/>
        <v>23.2987</v>
      </c>
      <c r="Z117" s="70">
        <f t="shared" si="30"/>
        <v>1.38E-2</v>
      </c>
      <c r="AA117" s="70">
        <f t="shared" si="31"/>
        <v>23.2849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32"/>
        <v>0204-18</v>
      </c>
      <c r="AE117" s="104" t="str">
        <f t="shared" si="33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117" s="101" t="str">
        <f t="shared" si="34"/>
        <v>"C:\Program Files (x86)\AstroGrep\AstroGrep.exe" /spath="%USERPROFILE%\AppData\Local\Temp\OnboardLogs" /stypes="*4028*20160819*" /stext=" 00:.+((SYSTEM_STATE.+slice.+state.+changed )|(ment ac)|(system.+state.+changed )|(\|lc)|(penalty)|(\[timeout)|(PRM\|1\|D)|(kpr)|(kdp))" /e /r /s</v>
      </c>
      <c r="AG117" s="1" t="str">
        <f t="shared" si="35"/>
        <v>EC</v>
      </c>
      <c r="AH117" s="105" t="str">
        <f t="shared" si="36"/>
        <v>"%USERPROFILE%\Documents\GitHub\eaglep3\Utilities\RefineRTDCRunTimes.py" --tripid 204-18 --locoid 4028 --swversion DE.1.0.7.0 --startMP 204:232987 --initTime 2016-08-18T17:14:45 --startdatetime 2016-08-18T17:21:10 --delay 6 --endMP 204:138 --enddatetime 2016-08-18T18:06:26 --enforcementcount 0</v>
      </c>
    </row>
    <row r="118" spans="1:34" x14ac:dyDescent="0.25">
      <c r="A118" s="40" t="s">
        <v>487</v>
      </c>
      <c r="B118" s="7">
        <v>4007</v>
      </c>
      <c r="C118" s="25" t="s">
        <v>118</v>
      </c>
      <c r="D118" s="25" t="s">
        <v>488</v>
      </c>
      <c r="E118" s="16">
        <v>42600.694421296299</v>
      </c>
      <c r="F118" s="16">
        <v>42600.695706018516</v>
      </c>
      <c r="G118" s="7">
        <v>1</v>
      </c>
      <c r="H118" s="16" t="s">
        <v>283</v>
      </c>
      <c r="I118" s="16">
        <v>42600.723958333336</v>
      </c>
      <c r="J118" s="7">
        <v>0</v>
      </c>
      <c r="K118" s="142" t="str">
        <f t="shared" si="24"/>
        <v>4007/4008</v>
      </c>
      <c r="L118" s="25" t="str">
        <f>VLOOKUP(A118,'Trips&amp;Operators'!$C$1:$E$10000,3,FALSE)</f>
        <v>MOSES</v>
      </c>
      <c r="M118" s="6">
        <f t="shared" si="25"/>
        <v>2.825231481983792E-2</v>
      </c>
      <c r="N118" s="7">
        <f t="shared" si="37"/>
        <v>40.683333340566605</v>
      </c>
      <c r="O118" s="7"/>
      <c r="P118" s="7"/>
      <c r="Q118" s="26"/>
      <c r="R118" s="26"/>
      <c r="S118" s="38">
        <f t="shared" si="39"/>
        <v>1</v>
      </c>
      <c r="T118" s="53" t="str">
        <f t="shared" si="26"/>
        <v>NorthBound</v>
      </c>
      <c r="U118" s="13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15:39:58-0600',mode:absolute,to:'2016-08-18 18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8" s="55" t="str">
        <f t="shared" si="28"/>
        <v>N</v>
      </c>
      <c r="X118" s="129">
        <f t="shared" si="38"/>
        <v>1</v>
      </c>
      <c r="Y118" s="70">
        <f t="shared" si="29"/>
        <v>4.2000000000000003E-2</v>
      </c>
      <c r="Z118" s="70">
        <f t="shared" si="30"/>
        <v>23.327999999999999</v>
      </c>
      <c r="AA118" s="70">
        <f t="shared" si="31"/>
        <v>23.285999999999998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32"/>
        <v>0205-18</v>
      </c>
      <c r="AE118" s="104" t="str">
        <f t="shared" si="33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118" s="101" t="str">
        <f t="shared" si="34"/>
        <v>"C:\Program Files (x86)\AstroGrep\AstroGrep.exe" /spath="%USERPROFILE%\AppData\Local\Temp\OnboardLogs" /stypes="*4007*20160818*" /stext=" 23:.+((SYSTEM_STATE.+slice.+state.+changed )|(ment ac)|(system.+state.+changed )|(\|lc)|(penalty)|(\[timeout)|(PRM\|1\|D)|(kpr)|(kdp))" /e /r /s</v>
      </c>
      <c r="AG118" s="1" t="str">
        <f t="shared" si="35"/>
        <v>EC</v>
      </c>
      <c r="AH118" s="105" t="str">
        <f t="shared" si="36"/>
        <v>"%USERPROFILE%\Documents\GitHub\eaglep3\Utilities\RefineRTDCRunTimes.py" --tripid 205-18 --locoid 4007 --swversion DE.1.0.7.0 --startMP 204:420 --initTime 2016-08-18T16:39:58 --startdatetime 2016-08-18T16:41:49 --delay 1 --endMP 204:233280 --enddatetime 2016-08-18T17:22:30 --enforcementcount 0</v>
      </c>
    </row>
    <row r="119" spans="1:34" x14ac:dyDescent="0.25">
      <c r="A119" s="40" t="s">
        <v>354</v>
      </c>
      <c r="B119" s="7">
        <v>4008</v>
      </c>
      <c r="C119" s="25" t="s">
        <v>118</v>
      </c>
      <c r="D119" s="25" t="s">
        <v>145</v>
      </c>
      <c r="E119" s="16">
        <v>42600.733703703707</v>
      </c>
      <c r="F119" s="16">
        <v>42600.734733796293</v>
      </c>
      <c r="G119" s="7">
        <v>1</v>
      </c>
      <c r="H119" s="16" t="s">
        <v>489</v>
      </c>
      <c r="I119" s="16">
        <v>42600.764305555553</v>
      </c>
      <c r="J119" s="7">
        <v>0</v>
      </c>
      <c r="K119" s="142" t="str">
        <f t="shared" si="24"/>
        <v>4007/4008</v>
      </c>
      <c r="L119" s="25" t="str">
        <f>VLOOKUP(A119,'Trips&amp;Operators'!$C$1:$E$10000,3,FALSE)</f>
        <v>MOSES</v>
      </c>
      <c r="M119" s="6">
        <f t="shared" si="25"/>
        <v>2.9571759259852115E-2</v>
      </c>
      <c r="N119" s="7">
        <f t="shared" si="37"/>
        <v>42.583333334187046</v>
      </c>
      <c r="O119" s="7"/>
      <c r="P119" s="7"/>
      <c r="Q119" s="26"/>
      <c r="R119" s="26"/>
      <c r="S119" s="38">
        <f t="shared" si="39"/>
        <v>1</v>
      </c>
      <c r="T119" s="53" t="str">
        <f t="shared" si="26"/>
        <v>Southbound</v>
      </c>
      <c r="U119" s="13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16:36:32-0600',mode:absolute,to:'2016-08-18 19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19" s="55" t="str">
        <f t="shared" si="28"/>
        <v>N</v>
      </c>
      <c r="X119" s="129">
        <f t="shared" si="38"/>
        <v>1</v>
      </c>
      <c r="Y119" s="70">
        <f t="shared" si="29"/>
        <v>23.299600000000002</v>
      </c>
      <c r="Z119" s="70">
        <f t="shared" si="30"/>
        <v>1.78E-2</v>
      </c>
      <c r="AA119" s="70">
        <f t="shared" si="31"/>
        <v>23.2818</v>
      </c>
      <c r="AB119" s="67" t="e">
        <f>VLOOKUP(A119,Enforcements!$C$7:$J$24,8,0)</f>
        <v>#N/A</v>
      </c>
      <c r="AC119" s="63" t="e">
        <f>VLOOKUP(A119,Enforcements!$C$7:$E$24,3,0)</f>
        <v>#N/A</v>
      </c>
      <c r="AD119" s="64" t="str">
        <f t="shared" si="32"/>
        <v>0206-18</v>
      </c>
      <c r="AE119" s="104" t="str">
        <f t="shared" si="33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119" s="101" t="str">
        <f t="shared" si="34"/>
        <v>"C:\Program Files (x86)\AstroGrep\AstroGrep.exe" /spath="%USERPROFILE%\AppData\Local\Temp\OnboardLogs" /stypes="*4008*20160819*" /stext=" 00:.+((SYSTEM_STATE.+slice.+state.+changed )|(ment ac)|(system.+state.+changed )|(\|lc)|(penalty)|(\[timeout)|(PRM\|1\|D)|(kpr)|(kdp))" /e /r /s</v>
      </c>
      <c r="AG119" s="1" t="str">
        <f t="shared" si="35"/>
        <v>EC</v>
      </c>
      <c r="AH119" s="105" t="str">
        <f t="shared" si="36"/>
        <v>"%USERPROFILE%\Documents\GitHub\eaglep3\Utilities\RefineRTDCRunTimes.py" --tripid 206-18 --locoid 4008 --swversion DE.1.0.7.0 --startMP 204:232996 --initTime 2016-08-18T17:36:32 --startdatetime 2016-08-18T17:38:01 --delay 1 --endMP 204:178 --enddatetime 2016-08-18T18:20:36 --enforcementcount 0</v>
      </c>
    </row>
    <row r="120" spans="1:34" s="24" customFormat="1" x14ac:dyDescent="0.25">
      <c r="A120" s="40" t="s">
        <v>490</v>
      </c>
      <c r="B120" s="7">
        <v>4009</v>
      </c>
      <c r="C120" s="25" t="s">
        <v>118</v>
      </c>
      <c r="D120" s="25" t="s">
        <v>269</v>
      </c>
      <c r="E120" s="16">
        <v>42600.702476851853</v>
      </c>
      <c r="F120" s="16">
        <v>42600.70385416667</v>
      </c>
      <c r="G120" s="7">
        <v>1</v>
      </c>
      <c r="H120" s="16" t="s">
        <v>491</v>
      </c>
      <c r="I120" s="16">
        <v>42600.73369212963</v>
      </c>
      <c r="J120" s="7">
        <v>0</v>
      </c>
      <c r="K120" s="142" t="str">
        <f t="shared" si="24"/>
        <v>4009/4010</v>
      </c>
      <c r="L120" s="25" t="str">
        <f>VLOOKUP(A120,'Trips&amp;Operators'!$C$1:$E$10000,3,FALSE)</f>
        <v>NEWELL</v>
      </c>
      <c r="M120" s="6">
        <f t="shared" si="25"/>
        <v>2.9837962960300501E-2</v>
      </c>
      <c r="N120" s="7">
        <f t="shared" si="37"/>
        <v>42.966666662832722</v>
      </c>
      <c r="O120" s="7"/>
      <c r="P120" s="7"/>
      <c r="Q120" s="26"/>
      <c r="R120" s="26"/>
      <c r="S120" s="38">
        <f t="shared" si="39"/>
        <v>1</v>
      </c>
      <c r="T120" s="53" t="str">
        <f t="shared" si="26"/>
        <v>NorthBound</v>
      </c>
      <c r="U120" s="13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15:51:34-0600',mode:absolute,to:'2016-08-18 18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0" s="55" t="str">
        <f t="shared" si="28"/>
        <v>N</v>
      </c>
      <c r="X120" s="129">
        <f t="shared" si="38"/>
        <v>1</v>
      </c>
      <c r="Y120" s="70">
        <f t="shared" si="29"/>
        <v>4.4699999999999997E-2</v>
      </c>
      <c r="Z120" s="70">
        <f t="shared" si="30"/>
        <v>23.334900000000001</v>
      </c>
      <c r="AA120" s="70">
        <f t="shared" si="31"/>
        <v>23.290200000000002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32"/>
        <v>0207-18</v>
      </c>
      <c r="AE120" s="104" t="str">
        <f t="shared" si="33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120" s="101" t="str">
        <f t="shared" si="34"/>
        <v>"C:\Program Files (x86)\AstroGrep\AstroGrep.exe" /spath="%USERPROFILE%\AppData\Local\Temp\OnboardLogs" /stypes="*4009*20160818*" /stext=" 23:.+((SYSTEM_STATE.+slice.+state.+changed )|(ment ac)|(system.+state.+changed )|(\|lc)|(penalty)|(\[timeout)|(PRM\|1\|D)|(kpr)|(kdp))" /e /r /s</v>
      </c>
      <c r="AG120" s="1" t="str">
        <f t="shared" si="35"/>
        <v>EC</v>
      </c>
      <c r="AH120" s="105" t="str">
        <f t="shared" si="36"/>
        <v>"%USERPROFILE%\Documents\GitHub\eaglep3\Utilities\RefineRTDCRunTimes.py" --tripid 207-18 --locoid 4009 --swversion DE.1.0.7.0 --startMP 204:447 --initTime 2016-08-18T16:51:34 --startdatetime 2016-08-18T16:53:33 --delay 1 --endMP 204:233349 --enddatetime 2016-08-18T17:36:31 --enforcementcount 0</v>
      </c>
    </row>
    <row r="121" spans="1:34" x14ac:dyDescent="0.25">
      <c r="A121" s="40" t="s">
        <v>492</v>
      </c>
      <c r="B121" s="7">
        <v>4010</v>
      </c>
      <c r="C121" s="25" t="s">
        <v>118</v>
      </c>
      <c r="D121" s="25" t="s">
        <v>493</v>
      </c>
      <c r="E121" s="16">
        <v>42600.735162037039</v>
      </c>
      <c r="F121" s="16">
        <v>42600.736342592594</v>
      </c>
      <c r="G121" s="7">
        <v>1</v>
      </c>
      <c r="H121" s="16" t="s">
        <v>267</v>
      </c>
      <c r="I121" s="16">
        <v>42600.775300925925</v>
      </c>
      <c r="J121" s="7">
        <v>0</v>
      </c>
      <c r="K121" s="142" t="str">
        <f t="shared" si="24"/>
        <v>4009/4010</v>
      </c>
      <c r="L121" s="25" t="str">
        <f>VLOOKUP(A121,'Trips&amp;Operators'!$C$1:$E$10000,3,FALSE)</f>
        <v>NEWELL</v>
      </c>
      <c r="M121" s="6">
        <f t="shared" si="25"/>
        <v>3.8958333330811001E-2</v>
      </c>
      <c r="N121" s="7">
        <f t="shared" si="37"/>
        <v>56.099999996367842</v>
      </c>
      <c r="O121" s="7"/>
      <c r="P121" s="7"/>
      <c r="Q121" s="26"/>
      <c r="R121" s="26"/>
      <c r="S121" s="38">
        <f t="shared" si="39"/>
        <v>1</v>
      </c>
      <c r="T121" s="53" t="str">
        <f t="shared" si="26"/>
        <v>Southbound</v>
      </c>
      <c r="U121" s="13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16:38:38-0600',mode:absolute,to:'2016-08-18 19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1" s="55" t="str">
        <f t="shared" si="28"/>
        <v>N</v>
      </c>
      <c r="X121" s="129">
        <f t="shared" si="38"/>
        <v>1</v>
      </c>
      <c r="Y121" s="70">
        <f t="shared" si="29"/>
        <v>23.303999999999998</v>
      </c>
      <c r="Z121" s="70">
        <f t="shared" si="30"/>
        <v>1.38E-2</v>
      </c>
      <c r="AA121" s="70">
        <f t="shared" si="31"/>
        <v>23.290199999999999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32"/>
        <v>0208-18</v>
      </c>
      <c r="AE121" s="104" t="str">
        <f t="shared" si="33"/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AF121" s="101" t="str">
        <f t="shared" si="34"/>
        <v>"C:\Program Files (x86)\AstroGrep\AstroGrep.exe" /spath="%USERPROFILE%\AppData\Local\Temp\OnboardLogs" /stypes="*4010*20160819*" /stext=" 00:.+((SYSTEM_STATE.+slice.+state.+changed )|(ment ac)|(system.+state.+changed )|(\|lc)|(penalty)|(\[timeout)|(PRM\|1\|D)|(kpr)|(kdp))" /e /r /s</v>
      </c>
      <c r="AG121" s="1" t="str">
        <f t="shared" si="35"/>
        <v>EC</v>
      </c>
      <c r="AH121" s="105" t="str">
        <f t="shared" si="36"/>
        <v>"%USERPROFILE%\Documents\GitHub\eaglep3\Utilities\RefineRTDCRunTimes.py" --tripid 208-18 --locoid 4010 --swversion DE.1.0.7.0 --startMP 204:233040 --initTime 2016-08-18T17:38:38 --startdatetime 2016-08-18T17:40:20 --delay 1 --endMP 204:138 --enddatetime 2016-08-18T18:36:26 --enforcementcount 0</v>
      </c>
    </row>
    <row r="122" spans="1:34" s="24" customFormat="1" x14ac:dyDescent="0.25">
      <c r="A122" s="40" t="s">
        <v>494</v>
      </c>
      <c r="B122" s="7">
        <v>4025</v>
      </c>
      <c r="C122" s="25" t="s">
        <v>118</v>
      </c>
      <c r="D122" s="25" t="s">
        <v>495</v>
      </c>
      <c r="E122" s="16">
        <v>42600.715844907405</v>
      </c>
      <c r="F122" s="16">
        <v>42600.716921296298</v>
      </c>
      <c r="G122" s="7">
        <v>1</v>
      </c>
      <c r="H122" s="16" t="s">
        <v>286</v>
      </c>
      <c r="I122" s="16">
        <v>42600.745150462964</v>
      </c>
      <c r="J122" s="7">
        <v>0</v>
      </c>
      <c r="K122" s="142" t="str">
        <f t="shared" si="24"/>
        <v>4025/4026</v>
      </c>
      <c r="L122" s="25" t="str">
        <f>VLOOKUP(A122,'Trips&amp;Operators'!$C$1:$E$10000,3,FALSE)</f>
        <v>HOMIK</v>
      </c>
      <c r="M122" s="6">
        <f t="shared" si="25"/>
        <v>2.8229166666278616E-2</v>
      </c>
      <c r="N122" s="7">
        <f t="shared" si="37"/>
        <v>40.649999999441206</v>
      </c>
      <c r="O122" s="7"/>
      <c r="P122" s="7"/>
      <c r="Q122" s="26"/>
      <c r="R122" s="26"/>
      <c r="S122" s="38">
        <f t="shared" si="39"/>
        <v>1</v>
      </c>
      <c r="T122" s="53" t="str">
        <f t="shared" si="26"/>
        <v>NorthBound</v>
      </c>
      <c r="U122" s="13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16:10:49-0600',mode:absolute,to:'2016-08-18 18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22" s="55" t="str">
        <f t="shared" si="28"/>
        <v>N</v>
      </c>
      <c r="X122" s="129">
        <f t="shared" si="38"/>
        <v>1</v>
      </c>
      <c r="Y122" s="70">
        <f t="shared" si="29"/>
        <v>4.2599999999999999E-2</v>
      </c>
      <c r="Z122" s="70">
        <f t="shared" si="30"/>
        <v>23.330100000000002</v>
      </c>
      <c r="AA122" s="70">
        <f t="shared" si="31"/>
        <v>23.287500000000001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32"/>
        <v>0209-18</v>
      </c>
      <c r="AE122" s="104" t="str">
        <f t="shared" si="33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122" s="101" t="str">
        <f t="shared" si="34"/>
        <v>"C:\Program Files (x86)\AstroGrep\AstroGrep.exe" /spath="%USERPROFILE%\AppData\Local\Temp\OnboardLogs" /stypes="*4025*20160818*" /stext=" 23:.+((SYSTEM_STATE.+slice.+state.+changed )|(ment ac)|(system.+state.+changed )|(\|lc)|(penalty)|(\[timeout)|(PRM\|1\|D)|(kpr)|(kdp))" /e /r /s</v>
      </c>
      <c r="AG122" s="1" t="str">
        <f t="shared" si="35"/>
        <v>EC</v>
      </c>
      <c r="AH122" s="105" t="str">
        <f t="shared" si="36"/>
        <v>"%USERPROFILE%\Documents\GitHub\eaglep3\Utilities\RefineRTDCRunTimes.py" --tripid 209-18 --locoid 4025 --swversion DE.1.0.7.0 --startMP 204:426 --initTime 2016-08-18T17:10:49 --startdatetime 2016-08-18T17:12:22 --delay 1 --endMP 204:233301 --enddatetime 2016-08-18T17:53:01 --enforcementcount 0</v>
      </c>
    </row>
    <row r="123" spans="1:34" x14ac:dyDescent="0.25">
      <c r="A123" s="40" t="s">
        <v>496</v>
      </c>
      <c r="B123" s="7">
        <v>4026</v>
      </c>
      <c r="C123" s="25" t="s">
        <v>118</v>
      </c>
      <c r="D123" s="25" t="s">
        <v>497</v>
      </c>
      <c r="E123" s="16">
        <v>42600.747523148151</v>
      </c>
      <c r="F123" s="16">
        <v>42600.749027777776</v>
      </c>
      <c r="G123" s="7">
        <v>2</v>
      </c>
      <c r="H123" s="16" t="s">
        <v>400</v>
      </c>
      <c r="I123" s="16">
        <v>42600.788472222222</v>
      </c>
      <c r="J123" s="7">
        <v>0</v>
      </c>
      <c r="K123" s="142" t="str">
        <f t="shared" si="24"/>
        <v>4025/4026</v>
      </c>
      <c r="L123" s="25" t="str">
        <f>VLOOKUP(A123,'Trips&amp;Operators'!$C$1:$E$10000,3,FALSE)</f>
        <v>HOMIK</v>
      </c>
      <c r="M123" s="6">
        <f t="shared" si="25"/>
        <v>3.9444444446417037E-2</v>
      </c>
      <c r="N123" s="7">
        <f t="shared" si="37"/>
        <v>56.800000002840534</v>
      </c>
      <c r="O123" s="7"/>
      <c r="P123" s="7"/>
      <c r="Q123" s="26"/>
      <c r="R123" s="26"/>
      <c r="S123" s="38">
        <f t="shared" si="39"/>
        <v>1</v>
      </c>
      <c r="T123" s="53" t="str">
        <f t="shared" si="26"/>
        <v>Southbound</v>
      </c>
      <c r="U123" s="13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16:56:26-0600',mode:absolute,to:'2016-08-18 19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23" s="55" t="str">
        <f t="shared" si="28"/>
        <v>N</v>
      </c>
      <c r="X123" s="129">
        <f t="shared" si="38"/>
        <v>1</v>
      </c>
      <c r="Y123" s="70">
        <f t="shared" si="29"/>
        <v>23.293800000000001</v>
      </c>
      <c r="Z123" s="70">
        <f t="shared" si="30"/>
        <v>1.6899999999999998E-2</v>
      </c>
      <c r="AA123" s="70">
        <f t="shared" si="31"/>
        <v>23.276900000000001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32"/>
        <v>0210-18</v>
      </c>
      <c r="AE123" s="104" t="str">
        <f t="shared" si="33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123" s="101" t="str">
        <f t="shared" si="34"/>
        <v>"C:\Program Files (x86)\AstroGrep\AstroGrep.exe" /spath="%USERPROFILE%\AppData\Local\Temp\OnboardLogs" /stypes="*4026*20160819*" /stext=" 00:.+((SYSTEM_STATE.+slice.+state.+changed )|(ment ac)|(system.+state.+changed )|(\|lc)|(penalty)|(\[timeout)|(PRM\|1\|D)|(kpr)|(kdp))" /e /r /s</v>
      </c>
      <c r="AG123" s="1" t="str">
        <f t="shared" si="35"/>
        <v>EC</v>
      </c>
      <c r="AH123" s="105" t="str">
        <f t="shared" si="36"/>
        <v>"%USERPROFILE%\Documents\GitHub\eaglep3\Utilities\RefineRTDCRunTimes.py" --tripid 210-18 --locoid 4026 --swversion DE.1.0.7.0 --startMP 204:232938 --initTime 2016-08-18T17:56:26 --startdatetime 2016-08-18T17:58:36 --delay 2 --endMP 204:169 --enddatetime 2016-08-18T18:55:24 --enforcementcount 0</v>
      </c>
    </row>
    <row r="124" spans="1:34" x14ac:dyDescent="0.25">
      <c r="A124" s="40" t="s">
        <v>498</v>
      </c>
      <c r="B124" s="7">
        <v>4038</v>
      </c>
      <c r="C124" s="25" t="s">
        <v>118</v>
      </c>
      <c r="D124" s="25" t="s">
        <v>163</v>
      </c>
      <c r="E124" s="16">
        <v>42600.725706018522</v>
      </c>
      <c r="F124" s="16">
        <v>42600.726840277777</v>
      </c>
      <c r="G124" s="7">
        <v>1</v>
      </c>
      <c r="H124" s="16" t="s">
        <v>499</v>
      </c>
      <c r="I124" s="16">
        <v>42600.754479166666</v>
      </c>
      <c r="J124" s="7">
        <v>0</v>
      </c>
      <c r="K124" s="142" t="str">
        <f t="shared" si="24"/>
        <v>4037/4038</v>
      </c>
      <c r="L124" s="25" t="str">
        <f>VLOOKUP(A124,'Trips&amp;Operators'!$C$1:$E$10000,3,FALSE)</f>
        <v>STAMBAUGH</v>
      </c>
      <c r="M124" s="6">
        <f t="shared" si="25"/>
        <v>2.7638888888759539E-2</v>
      </c>
      <c r="N124" s="7">
        <f t="shared" si="37"/>
        <v>39.799999999813735</v>
      </c>
      <c r="O124" s="7"/>
      <c r="P124" s="7"/>
      <c r="Q124" s="26"/>
      <c r="R124" s="26"/>
      <c r="S124" s="38">
        <f t="shared" si="39"/>
        <v>1</v>
      </c>
      <c r="T124" s="53" t="str">
        <f t="shared" si="26"/>
        <v>NorthBound</v>
      </c>
      <c r="U124" s="13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16:25:01-0600',mode:absolute,to:'2016-08-18 19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24" s="55" t="str">
        <f t="shared" si="28"/>
        <v>N</v>
      </c>
      <c r="X124" s="129">
        <f t="shared" si="38"/>
        <v>1</v>
      </c>
      <c r="Y124" s="70">
        <f t="shared" si="29"/>
        <v>4.6600000000000003E-2</v>
      </c>
      <c r="Z124" s="70">
        <f t="shared" si="30"/>
        <v>23.3323</v>
      </c>
      <c r="AA124" s="70">
        <f t="shared" si="31"/>
        <v>23.285699999999999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32"/>
        <v>0211-18</v>
      </c>
      <c r="AE124" s="104" t="str">
        <f t="shared" si="33"/>
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</c>
      <c r="AF124" s="101" t="str">
        <f t="shared" si="34"/>
        <v>"C:\Program Files (x86)\AstroGrep\AstroGrep.exe" /spath="%USERPROFILE%\AppData\Local\Temp\OnboardLogs" /stypes="*4038*20160819*" /stext=" 00:.+((SYSTEM_STATE.+slice.+state.+changed )|(ment ac)|(system.+state.+changed )|(\|lc)|(penalty)|(\[timeout)|(PRM\|1\|D)|(kpr)|(kdp))" /e /r /s</v>
      </c>
      <c r="AG124" s="1" t="str">
        <f t="shared" si="35"/>
        <v>EC</v>
      </c>
      <c r="AH124" s="105" t="str">
        <f t="shared" si="36"/>
        <v>"%USERPROFILE%\Documents\GitHub\eaglep3\Utilities\RefineRTDCRunTimes.py" --tripid 211-18 --locoid 4038 --swversion DE.1.0.7.0 --startMP 204:466 --initTime 2016-08-18T17:25:01 --startdatetime 2016-08-18T17:26:39 --delay 1 --endMP 204:233323 --enddatetime 2016-08-18T18:06:27 --enforcementcount 0</v>
      </c>
    </row>
    <row r="125" spans="1:34" x14ac:dyDescent="0.25">
      <c r="A125" s="40" t="s">
        <v>356</v>
      </c>
      <c r="B125" s="7">
        <v>4037</v>
      </c>
      <c r="C125" s="25" t="s">
        <v>118</v>
      </c>
      <c r="D125" s="25" t="s">
        <v>500</v>
      </c>
      <c r="E125" s="16">
        <v>42600.765324074076</v>
      </c>
      <c r="F125" s="16">
        <v>42600.766377314816</v>
      </c>
      <c r="G125" s="7">
        <v>1</v>
      </c>
      <c r="H125" s="16" t="s">
        <v>501</v>
      </c>
      <c r="I125" s="16">
        <v>42600.795277777775</v>
      </c>
      <c r="J125" s="7">
        <v>0</v>
      </c>
      <c r="K125" s="142" t="str">
        <f t="shared" si="24"/>
        <v>4037/4038</v>
      </c>
      <c r="L125" s="25" t="str">
        <f>VLOOKUP(A125,'Trips&amp;Operators'!$C$1:$E$10000,3,FALSE)</f>
        <v>STAMBAUGH</v>
      </c>
      <c r="M125" s="6">
        <f t="shared" si="25"/>
        <v>2.8900462959427387E-2</v>
      </c>
      <c r="N125" s="7">
        <f t="shared" si="37"/>
        <v>41.616666661575437</v>
      </c>
      <c r="O125" s="7"/>
      <c r="P125" s="7"/>
      <c r="Q125" s="26"/>
      <c r="R125" s="26"/>
      <c r="S125" s="38">
        <f t="shared" si="39"/>
        <v>1</v>
      </c>
      <c r="T125" s="53" t="str">
        <f t="shared" si="26"/>
        <v>Southbound</v>
      </c>
      <c r="U125" s="13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17:22:04-0600',mode:absolute,to:'2016-08-18 20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5" s="55" t="str">
        <f t="shared" si="28"/>
        <v>N</v>
      </c>
      <c r="X125" s="129">
        <f t="shared" si="38"/>
        <v>1</v>
      </c>
      <c r="Y125" s="70">
        <f t="shared" si="29"/>
        <v>23.3002</v>
      </c>
      <c r="Z125" s="70">
        <f t="shared" si="30"/>
        <v>2.47E-2</v>
      </c>
      <c r="AA125" s="70">
        <f t="shared" si="31"/>
        <v>23.275500000000001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32"/>
        <v>0212-18</v>
      </c>
      <c r="AE125" s="104" t="str">
        <f t="shared" si="33"/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125" s="101" t="str">
        <f t="shared" si="34"/>
        <v>"C:\Program Files (x86)\AstroGrep\AstroGrep.exe" /spath="%USERPROFILE%\AppData\Local\Temp\OnboardLogs" /stypes="*4037*20160819*" /stext=" 01:.+((SYSTEM_STATE.+slice.+state.+changed )|(ment ac)|(system.+state.+changed )|(\|lc)|(penalty)|(\[timeout)|(PRM\|1\|D)|(kpr)|(kdp))" /e /r /s</v>
      </c>
      <c r="AG125" s="1" t="str">
        <f t="shared" si="35"/>
        <v>EC</v>
      </c>
      <c r="AH125" s="105" t="str">
        <f t="shared" si="36"/>
        <v>"%USERPROFILE%\Documents\GitHub\eaglep3\Utilities\RefineRTDCRunTimes.py" --tripid 212-18 --locoid 4037 --swversion DE.1.0.7.0 --startMP 204:233002 --initTime 2016-08-18T18:22:04 --startdatetime 2016-08-18T18:23:35 --delay 1 --endMP 204:247 --enddatetime 2016-08-18T19:05:12 --enforcementcount 0</v>
      </c>
    </row>
    <row r="126" spans="1:34" x14ac:dyDescent="0.25">
      <c r="A126" s="40" t="s">
        <v>502</v>
      </c>
      <c r="B126" s="7">
        <v>4029</v>
      </c>
      <c r="C126" s="25" t="s">
        <v>118</v>
      </c>
      <c r="D126" s="25" t="s">
        <v>203</v>
      </c>
      <c r="E126" s="16">
        <v>42600.73982638889</v>
      </c>
      <c r="F126" s="16">
        <v>42600.741481481484</v>
      </c>
      <c r="G126" s="7">
        <v>2</v>
      </c>
      <c r="H126" s="16" t="s">
        <v>202</v>
      </c>
      <c r="I126" s="16">
        <v>42600.768101851849</v>
      </c>
      <c r="J126" s="7">
        <v>0</v>
      </c>
      <c r="K126" s="142" t="str">
        <f t="shared" si="24"/>
        <v>4029/4030</v>
      </c>
      <c r="L126" s="25" t="str">
        <f>VLOOKUP(A126,'Trips&amp;Operators'!$C$1:$E$10000,3,FALSE)</f>
        <v>GRASTON</v>
      </c>
      <c r="M126" s="6">
        <f t="shared" si="25"/>
        <v>2.6620370364980772E-2</v>
      </c>
      <c r="N126" s="7">
        <f t="shared" si="37"/>
        <v>38.333333325572312</v>
      </c>
      <c r="O126" s="7"/>
      <c r="P126" s="7"/>
      <c r="Q126" s="26"/>
      <c r="R126" s="26"/>
      <c r="S126" s="38">
        <f t="shared" si="39"/>
        <v>1</v>
      </c>
      <c r="T126" s="53" t="str">
        <f t="shared" si="26"/>
        <v>NorthBound</v>
      </c>
      <c r="U126" s="13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16:45:21-0600',mode:absolute,to:'2016-08-18 19:26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6" s="55" t="str">
        <f t="shared" si="28"/>
        <v>N</v>
      </c>
      <c r="X126" s="129">
        <f t="shared" si="38"/>
        <v>1</v>
      </c>
      <c r="Y126" s="70">
        <f t="shared" si="29"/>
        <v>4.4600000000000001E-2</v>
      </c>
      <c r="Z126" s="70">
        <f t="shared" si="30"/>
        <v>23.329499999999999</v>
      </c>
      <c r="AA126" s="70">
        <f t="shared" si="31"/>
        <v>23.2849</v>
      </c>
      <c r="AB126" s="67" t="e">
        <f>VLOOKUP(A126,Enforcements!$C$7:$J$24,8,0)</f>
        <v>#N/A</v>
      </c>
      <c r="AC126" s="63" t="e">
        <f>VLOOKUP(A126,Enforcements!$C$7:$E$24,3,0)</f>
        <v>#N/A</v>
      </c>
      <c r="AD126" s="64" t="str">
        <f t="shared" si="32"/>
        <v>0213-18</v>
      </c>
      <c r="AE126" s="104" t="str">
        <f t="shared" si="33"/>
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</c>
      <c r="AF126" s="101" t="str">
        <f t="shared" si="34"/>
        <v>"C:\Program Files (x86)\AstroGrep\AstroGrep.exe" /spath="%USERPROFILE%\AppData\Local\Temp\OnboardLogs" /stypes="*4029*20160819*" /stext=" 00:.+((SYSTEM_STATE.+slice.+state.+changed )|(ment ac)|(system.+state.+changed )|(\|lc)|(penalty)|(\[timeout)|(PRM\|1\|D)|(kpr)|(kdp))" /e /r /s</v>
      </c>
      <c r="AG126" s="1" t="str">
        <f t="shared" si="35"/>
        <v>EC</v>
      </c>
      <c r="AH126" s="105" t="str">
        <f t="shared" si="36"/>
        <v>"%USERPROFILE%\Documents\GitHub\eaglep3\Utilities\RefineRTDCRunTimes.py" --tripid 213-18 --locoid 4029 --swversion DE.1.0.7.0 --startMP 204:446 --initTime 2016-08-18T17:45:21 --startdatetime 2016-08-18T17:47:44 --delay 2 --endMP 204:233295 --enddatetime 2016-08-18T18:26:04 --enforcementcount 0</v>
      </c>
    </row>
    <row r="127" spans="1:34" x14ac:dyDescent="0.25">
      <c r="A127" s="40" t="s">
        <v>503</v>
      </c>
      <c r="B127" s="7">
        <v>4030</v>
      </c>
      <c r="C127" s="25" t="s">
        <v>118</v>
      </c>
      <c r="D127" s="25" t="s">
        <v>244</v>
      </c>
      <c r="E127" s="16">
        <v>42600.774930555555</v>
      </c>
      <c r="F127" s="16">
        <v>42600.776145833333</v>
      </c>
      <c r="G127" s="7">
        <v>1</v>
      </c>
      <c r="H127" s="16" t="s">
        <v>174</v>
      </c>
      <c r="I127" s="16">
        <v>42600.80609953704</v>
      </c>
      <c r="J127" s="7">
        <v>0</v>
      </c>
      <c r="K127" s="142" t="str">
        <f t="shared" si="24"/>
        <v>4029/4030</v>
      </c>
      <c r="L127" s="25" t="str">
        <f>VLOOKUP(A127,'Trips&amp;Operators'!$C$1:$E$10000,3,FALSE)</f>
        <v>DE LA ROSA</v>
      </c>
      <c r="M127" s="6">
        <f t="shared" si="25"/>
        <v>2.9953703706269152E-2</v>
      </c>
      <c r="N127" s="7">
        <f t="shared" si="37"/>
        <v>43.13333333702758</v>
      </c>
      <c r="O127" s="7"/>
      <c r="P127" s="7"/>
      <c r="Q127" s="26"/>
      <c r="R127" s="26"/>
      <c r="S127" s="38">
        <f t="shared" si="39"/>
        <v>1</v>
      </c>
      <c r="T127" s="53" t="str">
        <f t="shared" si="26"/>
        <v>Southbound</v>
      </c>
      <c r="U127" s="13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17:35:54-0600',mode:absolute,to:'2016-08-18 20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7" s="55" t="str">
        <f t="shared" si="28"/>
        <v>N</v>
      </c>
      <c r="X127" s="129">
        <f t="shared" si="38"/>
        <v>1</v>
      </c>
      <c r="Y127" s="70">
        <f t="shared" si="29"/>
        <v>23.297999999999998</v>
      </c>
      <c r="Z127" s="70">
        <f t="shared" si="30"/>
        <v>1.54E-2</v>
      </c>
      <c r="AA127" s="70">
        <f t="shared" si="31"/>
        <v>23.282599999999999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32"/>
        <v>0214-18</v>
      </c>
      <c r="AE127" s="104" t="str">
        <f t="shared" si="33"/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AF127" s="101" t="str">
        <f t="shared" si="34"/>
        <v>"C:\Program Files (x86)\AstroGrep\AstroGrep.exe" /spath="%USERPROFILE%\AppData\Local\Temp\OnboardLogs" /stypes="*4030*20160819*" /stext=" 01:.+((SYSTEM_STATE.+slice.+state.+changed )|(ment ac)|(system.+state.+changed )|(\|lc)|(penalty)|(\[timeout)|(PRM\|1\|D)|(kpr)|(kdp))" /e /r /s</v>
      </c>
      <c r="AG127" s="1" t="str">
        <f t="shared" si="35"/>
        <v>EC</v>
      </c>
      <c r="AH127" s="105" t="str">
        <f t="shared" si="36"/>
        <v>"%USERPROFILE%\Documents\GitHub\eaglep3\Utilities\RefineRTDCRunTimes.py" --tripid 214-18 --locoid 4030 --swversion DE.1.0.7.0 --startMP 204:232980 --initTime 2016-08-18T18:35:54 --startdatetime 2016-08-18T18:37:39 --delay 1 --endMP 204:154 --enddatetime 2016-08-18T19:20:47 --enforcementcount 0</v>
      </c>
    </row>
    <row r="128" spans="1:34" s="24" customFormat="1" x14ac:dyDescent="0.25">
      <c r="A128" s="40" t="s">
        <v>504</v>
      </c>
      <c r="B128" s="7">
        <v>4044</v>
      </c>
      <c r="C128" s="25" t="s">
        <v>118</v>
      </c>
      <c r="D128" s="25" t="s">
        <v>484</v>
      </c>
      <c r="E128" s="16">
        <v>42600.745532407411</v>
      </c>
      <c r="F128" s="16">
        <v>42600.750185185185</v>
      </c>
      <c r="G128" s="7">
        <v>6</v>
      </c>
      <c r="H128" s="16" t="s">
        <v>505</v>
      </c>
      <c r="I128" s="16">
        <v>42600.769270833334</v>
      </c>
      <c r="J128" s="7">
        <v>0</v>
      </c>
      <c r="K128" s="142" t="str">
        <f t="shared" si="24"/>
        <v>4043/4044</v>
      </c>
      <c r="L128" s="25" t="str">
        <f>VLOOKUP(A128,'Trips&amp;Operators'!$C$1:$E$10000,3,FALSE)</f>
        <v>DE LA ROSA</v>
      </c>
      <c r="M128" s="6">
        <f t="shared" si="25"/>
        <v>1.9085648149484769E-2</v>
      </c>
      <c r="N128" s="7"/>
      <c r="O128" s="7"/>
      <c r="P128" s="7">
        <f>24*60*SUM($M128:$M128)</f>
        <v>27.483333335258067</v>
      </c>
      <c r="Q128" s="26"/>
      <c r="R128" s="26" t="s">
        <v>690</v>
      </c>
      <c r="S128" s="38">
        <f t="shared" si="39"/>
        <v>1</v>
      </c>
      <c r="T128" s="53" t="str">
        <f t="shared" si="26"/>
        <v>NorthBound</v>
      </c>
      <c r="U128" s="13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16:53:34-0600',mode:absolute,to:'2016-08-18 19:27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8" s="55" t="str">
        <f t="shared" si="28"/>
        <v>Y</v>
      </c>
      <c r="X128" s="129">
        <f t="shared" si="38"/>
        <v>1</v>
      </c>
      <c r="Y128" s="70">
        <f t="shared" si="29"/>
        <v>4.2900000000000001E-2</v>
      </c>
      <c r="Z128" s="70">
        <f t="shared" si="30"/>
        <v>15.506500000000001</v>
      </c>
      <c r="AA128" s="70">
        <f t="shared" si="31"/>
        <v>15.463600000000001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32"/>
        <v>0215-18</v>
      </c>
      <c r="AE128" s="104" t="str">
        <f t="shared" si="33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128" s="101" t="str">
        <f t="shared" si="34"/>
        <v>"C:\Program Files (x86)\AstroGrep\AstroGrep.exe" /spath="%USERPROFILE%\AppData\Local\Temp\OnboardLogs" /stypes="*4044*20160819*" /stext=" 00:.+((SYSTEM_STATE.+slice.+state.+changed )|(ment ac)|(system.+state.+changed )|(\|lc)|(penalty)|(\[timeout)|(PRM\|1\|D)|(kpr)|(kdp))" /e /r /s</v>
      </c>
      <c r="AG128" s="1" t="str">
        <f t="shared" si="35"/>
        <v>EC</v>
      </c>
      <c r="AH128" s="105" t="str">
        <f t="shared" si="36"/>
        <v>"%USERPROFILE%\Documents\GitHub\eaglep3\Utilities\RefineRTDCRunTimes.py" --tripid 215-18 --locoid 4044 --swversion DE.1.0.7.0 --startMP 204:429 --initTime 2016-08-18T17:53:34 --startdatetime 2016-08-18T18:00:16 --delay 6 --endMP 204:155065 --enddatetime 2016-08-18T18:27:45 --enforcementcount 0</v>
      </c>
    </row>
    <row r="129" spans="1:34" x14ac:dyDescent="0.25">
      <c r="A129" s="40" t="s">
        <v>357</v>
      </c>
      <c r="B129" s="7">
        <v>4043</v>
      </c>
      <c r="C129" s="25" t="s">
        <v>118</v>
      </c>
      <c r="D129" s="25" t="s">
        <v>145</v>
      </c>
      <c r="E129" s="16">
        <v>42600.780474537038</v>
      </c>
      <c r="F129" s="16">
        <v>42600.781469907408</v>
      </c>
      <c r="G129" s="7">
        <v>1</v>
      </c>
      <c r="H129" s="16" t="s">
        <v>506</v>
      </c>
      <c r="I129" s="16">
        <v>42600.819027777776</v>
      </c>
      <c r="J129" s="7">
        <v>0</v>
      </c>
      <c r="K129" s="142" t="str">
        <f t="shared" si="24"/>
        <v>4043/4044</v>
      </c>
      <c r="L129" s="25" t="str">
        <f>VLOOKUP(A129,'Trips&amp;Operators'!$C$1:$E$10000,3,FALSE)</f>
        <v>BONDS</v>
      </c>
      <c r="M129" s="6">
        <f t="shared" si="25"/>
        <v>3.7557870367891155E-2</v>
      </c>
      <c r="N129" s="7">
        <f t="shared" ref="N129:N156" si="40">24*60*SUM($M129:$M129)</f>
        <v>54.083333329763263</v>
      </c>
      <c r="O129" s="7"/>
      <c r="P129" s="7"/>
      <c r="Q129" s="26"/>
      <c r="R129" s="26"/>
      <c r="S129" s="38">
        <f t="shared" si="39"/>
        <v>1</v>
      </c>
      <c r="T129" s="53" t="str">
        <f t="shared" si="26"/>
        <v>Southbound</v>
      </c>
      <c r="U129" s="13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17:43:53-0600',mode:absolute,to:'2016-08-18 20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9" s="55" t="str">
        <f t="shared" si="28"/>
        <v>N</v>
      </c>
      <c r="X129" s="129">
        <f t="shared" si="38"/>
        <v>1</v>
      </c>
      <c r="Y129" s="70">
        <f t="shared" si="29"/>
        <v>23.299600000000002</v>
      </c>
      <c r="Z129" s="70">
        <f t="shared" si="30"/>
        <v>1.2999999999999999E-2</v>
      </c>
      <c r="AA129" s="70">
        <f t="shared" si="31"/>
        <v>23.2866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32"/>
        <v>0216-18</v>
      </c>
      <c r="AE129" s="104" t="str">
        <f t="shared" si="33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129" s="101" t="str">
        <f t="shared" si="34"/>
        <v>"C:\Program Files (x86)\AstroGrep\AstroGrep.exe" /spath="%USERPROFILE%\AppData\Local\Temp\OnboardLogs" /stypes="*4043*20160819*" /stext=" 01:.+((SYSTEM_STATE.+slice.+state.+changed )|(ment ac)|(system.+state.+changed )|(\|lc)|(penalty)|(\[timeout)|(PRM\|1\|D)|(kpr)|(kdp))" /e /r /s</v>
      </c>
      <c r="AG129" s="1" t="str">
        <f t="shared" si="35"/>
        <v>EC</v>
      </c>
      <c r="AH129" s="105" t="str">
        <f t="shared" si="36"/>
        <v>"%USERPROFILE%\Documents\GitHub\eaglep3\Utilities\RefineRTDCRunTimes.py" --tripid 216-18 --locoid 4043 --swversion DE.1.0.7.0 --startMP 204:232996 --initTime 2016-08-18T18:43:53 --startdatetime 2016-08-18T18:45:19 --delay 1 --endMP 204:130 --enddatetime 2016-08-18T19:39:24 --enforcementcount 0</v>
      </c>
    </row>
    <row r="130" spans="1:34" x14ac:dyDescent="0.25">
      <c r="A130" s="40" t="s">
        <v>507</v>
      </c>
      <c r="B130" s="7">
        <v>4027</v>
      </c>
      <c r="C130" s="25" t="s">
        <v>118</v>
      </c>
      <c r="D130" s="25" t="s">
        <v>245</v>
      </c>
      <c r="E130" s="16">
        <v>42600.756076388891</v>
      </c>
      <c r="F130" s="16">
        <v>42600.757430555554</v>
      </c>
      <c r="G130" s="7">
        <v>1</v>
      </c>
      <c r="H130" s="16" t="s">
        <v>361</v>
      </c>
      <c r="I130" s="16">
        <v>42600.785821759258</v>
      </c>
      <c r="J130" s="7">
        <v>0</v>
      </c>
      <c r="K130" s="142" t="str">
        <f t="shared" si="24"/>
        <v>4027/4028</v>
      </c>
      <c r="L130" s="25" t="str">
        <f>VLOOKUP(A130,'Trips&amp;Operators'!$C$1:$E$10000,3,FALSE)</f>
        <v>LEVIN</v>
      </c>
      <c r="M130" s="6">
        <f t="shared" si="25"/>
        <v>2.8391203704813961E-2</v>
      </c>
      <c r="N130" s="7">
        <f t="shared" si="40"/>
        <v>40.883333334932104</v>
      </c>
      <c r="O130" s="7"/>
      <c r="P130" s="7"/>
      <c r="Q130" s="26"/>
      <c r="R130" s="26"/>
      <c r="S130" s="38">
        <f t="shared" si="39"/>
        <v>1</v>
      </c>
      <c r="T130" s="53" t="str">
        <f t="shared" si="26"/>
        <v>NorthBound</v>
      </c>
      <c r="U130" s="13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17:08:45-0600',mode:absolute,to:'2016-08-18 19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0" s="55" t="str">
        <f t="shared" si="28"/>
        <v>N</v>
      </c>
      <c r="X130" s="129">
        <f t="shared" si="38"/>
        <v>1</v>
      </c>
      <c r="Y130" s="70">
        <f t="shared" si="29"/>
        <v>4.3700000000000003E-2</v>
      </c>
      <c r="Z130" s="70">
        <f t="shared" si="30"/>
        <v>23.331600000000002</v>
      </c>
      <c r="AA130" s="70">
        <f t="shared" si="31"/>
        <v>23.2879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si="32"/>
        <v>0217-18</v>
      </c>
      <c r="AE130" s="104" t="str">
        <f t="shared" si="33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130" s="101" t="str">
        <f t="shared" si="34"/>
        <v>"C:\Program Files (x86)\AstroGrep\AstroGrep.exe" /spath="%USERPROFILE%\AppData\Local\Temp\OnboardLogs" /stypes="*4027*20160819*" /stext=" 00:.+((SYSTEM_STATE.+slice.+state.+changed )|(ment ac)|(system.+state.+changed )|(\|lc)|(penalty)|(\[timeout)|(PRM\|1\|D)|(kpr)|(kdp))" /e /r /s</v>
      </c>
      <c r="AG130" s="1" t="str">
        <f t="shared" si="35"/>
        <v>EC</v>
      </c>
      <c r="AH130" s="105" t="str">
        <f t="shared" si="36"/>
        <v>"%USERPROFILE%\Documents\GitHub\eaglep3\Utilities\RefineRTDCRunTimes.py" --tripid 217-18 --locoid 4027 --swversion DE.1.0.7.0 --startMP 204:437 --initTime 2016-08-18T18:08:45 --startdatetime 2016-08-18T18:10:42 --delay 1 --endMP 204:233316 --enddatetime 2016-08-18T18:51:35 --enforcementcount 0</v>
      </c>
    </row>
    <row r="131" spans="1:34" x14ac:dyDescent="0.25">
      <c r="A131" s="40" t="s">
        <v>358</v>
      </c>
      <c r="B131" s="7">
        <v>4028</v>
      </c>
      <c r="C131" s="25" t="s">
        <v>118</v>
      </c>
      <c r="D131" s="25" t="s">
        <v>508</v>
      </c>
      <c r="E131" s="16">
        <v>42600.793171296296</v>
      </c>
      <c r="F131" s="16">
        <v>42600.79420138889</v>
      </c>
      <c r="G131" s="7">
        <v>1</v>
      </c>
      <c r="H131" s="16" t="s">
        <v>169</v>
      </c>
      <c r="I131" s="16">
        <v>42600.826006944444</v>
      </c>
      <c r="J131" s="7">
        <v>0</v>
      </c>
      <c r="K131" s="142" t="str">
        <f t="shared" si="24"/>
        <v>4027/4028</v>
      </c>
      <c r="L131" s="25" t="str">
        <f>VLOOKUP(A131,'Trips&amp;Operators'!$C$1:$E$10000,3,FALSE)</f>
        <v>LEVIN</v>
      </c>
      <c r="M131" s="6">
        <f t="shared" si="25"/>
        <v>3.1805555554456078E-2</v>
      </c>
      <c r="N131" s="7">
        <f t="shared" si="40"/>
        <v>45.799999998416752</v>
      </c>
      <c r="O131" s="7"/>
      <c r="P131" s="7"/>
      <c r="Q131" s="26"/>
      <c r="R131" s="26"/>
      <c r="S131" s="38">
        <f t="shared" si="39"/>
        <v>1</v>
      </c>
      <c r="T131" s="53" t="str">
        <f t="shared" si="26"/>
        <v>Southbound</v>
      </c>
      <c r="U131" s="13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18:02:10-0600',mode:absolute,to:'2016-08-18 20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31" s="55" t="str">
        <f t="shared" si="28"/>
        <v>N</v>
      </c>
      <c r="X131" s="129">
        <f t="shared" si="38"/>
        <v>1</v>
      </c>
      <c r="Y131" s="70">
        <f t="shared" si="29"/>
        <v>23.3001</v>
      </c>
      <c r="Z131" s="70">
        <f t="shared" si="30"/>
        <v>1.4999999999999999E-2</v>
      </c>
      <c r="AA131" s="70">
        <f t="shared" si="31"/>
        <v>23.2851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32"/>
        <v>0218-18</v>
      </c>
      <c r="AE131" s="104" t="str">
        <f t="shared" si="33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131" s="101" t="str">
        <f t="shared" si="34"/>
        <v>"C:\Program Files (x86)\AstroGrep\AstroGrep.exe" /spath="%USERPROFILE%\AppData\Local\Temp\OnboardLogs" /stypes="*4028*20160819*" /stext=" 01:.+((SYSTEM_STATE.+slice.+state.+changed )|(ment ac)|(system.+state.+changed )|(\|lc)|(penalty)|(\[timeout)|(PRM\|1\|D)|(kpr)|(kdp))" /e /r /s</v>
      </c>
      <c r="AG131" s="1" t="str">
        <f t="shared" si="35"/>
        <v>EC</v>
      </c>
      <c r="AH131" s="105" t="str">
        <f t="shared" si="36"/>
        <v>"%USERPROFILE%\Documents\GitHub\eaglep3\Utilities\RefineRTDCRunTimes.py" --tripid 218-18 --locoid 4028 --swversion DE.1.0.7.0 --startMP 204:233001 --initTime 2016-08-18T19:02:10 --startdatetime 2016-08-18T19:03:39 --delay 1 --endMP 204:150 --enddatetime 2016-08-18T19:49:27 --enforcementcount 0</v>
      </c>
    </row>
    <row r="132" spans="1:34" x14ac:dyDescent="0.25">
      <c r="A132" s="40" t="s">
        <v>509</v>
      </c>
      <c r="B132" s="7">
        <v>4007</v>
      </c>
      <c r="C132" s="25" t="s">
        <v>118</v>
      </c>
      <c r="D132" s="25" t="s">
        <v>477</v>
      </c>
      <c r="E132" s="16">
        <v>42600.768125000002</v>
      </c>
      <c r="F132" s="16">
        <v>42600.769629629627</v>
      </c>
      <c r="G132" s="7">
        <v>2</v>
      </c>
      <c r="H132" s="16" t="s">
        <v>162</v>
      </c>
      <c r="I132" s="16">
        <v>42600.7965625</v>
      </c>
      <c r="J132" s="7">
        <v>0</v>
      </c>
      <c r="K132" s="142" t="str">
        <f t="shared" si="24"/>
        <v>4007/4008</v>
      </c>
      <c r="L132" s="25" t="str">
        <f>VLOOKUP(A132,'Trips&amp;Operators'!$C$1:$E$10000,3,FALSE)</f>
        <v>STURGEON</v>
      </c>
      <c r="M132" s="6">
        <f t="shared" si="25"/>
        <v>2.6932870372547768E-2</v>
      </c>
      <c r="N132" s="7">
        <f t="shared" si="40"/>
        <v>38.783333336468786</v>
      </c>
      <c r="O132" s="7"/>
      <c r="P132" s="7"/>
      <c r="Q132" s="26"/>
      <c r="R132" s="26"/>
      <c r="S132" s="38">
        <f t="shared" si="39"/>
        <v>1</v>
      </c>
      <c r="T132" s="53" t="str">
        <f t="shared" si="26"/>
        <v>NorthBound</v>
      </c>
      <c r="U132" s="13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17:26:06-0600',mode:absolute,to:'2016-08-18 20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32" s="55" t="str">
        <f t="shared" si="28"/>
        <v>N</v>
      </c>
      <c r="X132" s="129">
        <f t="shared" si="38"/>
        <v>1</v>
      </c>
      <c r="Y132" s="70">
        <f t="shared" si="29"/>
        <v>4.8399999999999999E-2</v>
      </c>
      <c r="Z132" s="70">
        <f t="shared" si="30"/>
        <v>23.33</v>
      </c>
      <c r="AA132" s="70">
        <f t="shared" si="31"/>
        <v>23.281599999999997</v>
      </c>
      <c r="AB132" s="67" t="e">
        <f>VLOOKUP(A132,Enforcements!$C$7:$J$24,8,0)</f>
        <v>#N/A</v>
      </c>
      <c r="AC132" s="63" t="e">
        <f>VLOOKUP(A132,Enforcements!$C$7:$E$24,3,0)</f>
        <v>#N/A</v>
      </c>
      <c r="AD132" s="64" t="str">
        <f t="shared" si="32"/>
        <v>0219-18</v>
      </c>
      <c r="AE132" s="104" t="str">
        <f t="shared" si="33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132" s="101" t="str">
        <f t="shared" si="34"/>
        <v>"C:\Program Files (x86)\AstroGrep\AstroGrep.exe" /spath="%USERPROFILE%\AppData\Local\Temp\OnboardLogs" /stypes="*4007*20160819*" /stext=" 01:.+((SYSTEM_STATE.+slice.+state.+changed )|(ment ac)|(system.+state.+changed )|(\|lc)|(penalty)|(\[timeout)|(PRM\|1\|D)|(kpr)|(kdp))" /e /r /s</v>
      </c>
      <c r="AG132" s="1" t="str">
        <f t="shared" si="35"/>
        <v>EC</v>
      </c>
      <c r="AH132" s="105" t="str">
        <f t="shared" si="36"/>
        <v>"%USERPROFILE%\Documents\GitHub\eaglep3\Utilities\RefineRTDCRunTimes.py" --tripid 219-18 --locoid 4007 --swversion DE.1.0.7.0 --startMP 204:484 --initTime 2016-08-18T18:26:06 --startdatetime 2016-08-18T18:28:16 --delay 2 --endMP 204:233300 --enddatetime 2016-08-18T19:07:03 --enforcementcount 0</v>
      </c>
    </row>
    <row r="133" spans="1:34" x14ac:dyDescent="0.25">
      <c r="A133" s="40" t="s">
        <v>510</v>
      </c>
      <c r="B133" s="7">
        <v>4008</v>
      </c>
      <c r="C133" s="25" t="s">
        <v>118</v>
      </c>
      <c r="D133" s="25" t="s">
        <v>214</v>
      </c>
      <c r="E133" s="16">
        <v>42600.80269675926</v>
      </c>
      <c r="F133" s="16">
        <v>42600.804108796299</v>
      </c>
      <c r="G133" s="7">
        <v>2</v>
      </c>
      <c r="H133" s="16" t="s">
        <v>174</v>
      </c>
      <c r="I133" s="16">
        <v>42600.837152777778</v>
      </c>
      <c r="J133" s="7">
        <v>0</v>
      </c>
      <c r="K133" s="142" t="str">
        <f t="shared" si="24"/>
        <v>4007/4008</v>
      </c>
      <c r="L133" s="25" t="str">
        <f>VLOOKUP(A133,'Trips&amp;Operators'!$C$1:$E$10000,3,FALSE)</f>
        <v>STURGEON</v>
      </c>
      <c r="M133" s="6">
        <f t="shared" si="25"/>
        <v>3.3043981478840578E-2</v>
      </c>
      <c r="N133" s="7">
        <f t="shared" si="40"/>
        <v>47.583333329530433</v>
      </c>
      <c r="O133" s="7"/>
      <c r="P133" s="7"/>
      <c r="Q133" s="26"/>
      <c r="R133" s="26"/>
      <c r="S133" s="38">
        <f t="shared" si="39"/>
        <v>1</v>
      </c>
      <c r="T133" s="53" t="str">
        <f t="shared" si="26"/>
        <v>Southbound</v>
      </c>
      <c r="U133" s="13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18:15:53-0600',mode:absolute,to:'2016-08-18 21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3" s="55" t="str">
        <f t="shared" si="28"/>
        <v>N</v>
      </c>
      <c r="X133" s="129">
        <f t="shared" si="38"/>
        <v>1</v>
      </c>
      <c r="Y133" s="70">
        <f t="shared" si="29"/>
        <v>23.2987</v>
      </c>
      <c r="Z133" s="70">
        <f t="shared" si="30"/>
        <v>1.54E-2</v>
      </c>
      <c r="AA133" s="70">
        <f t="shared" si="31"/>
        <v>23.283300000000001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32"/>
        <v>0220-18</v>
      </c>
      <c r="AE133" s="104" t="str">
        <f t="shared" si="33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133" s="101" t="str">
        <f t="shared" si="34"/>
        <v>"C:\Program Files (x86)\AstroGrep\AstroGrep.exe" /spath="%USERPROFILE%\AppData\Local\Temp\OnboardLogs" /stypes="*4008*20160819*" /stext=" 02:.+((SYSTEM_STATE.+slice.+state.+changed )|(ment ac)|(system.+state.+changed )|(\|lc)|(penalty)|(\[timeout)|(PRM\|1\|D)|(kpr)|(kdp))" /e /r /s</v>
      </c>
      <c r="AG133" s="1" t="str">
        <f t="shared" si="35"/>
        <v>EC</v>
      </c>
      <c r="AH133" s="105" t="str">
        <f t="shared" si="36"/>
        <v>"%USERPROFILE%\Documents\GitHub\eaglep3\Utilities\RefineRTDCRunTimes.py" --tripid 220-18 --locoid 4008 --swversion DE.1.0.7.0 --startMP 204:232987 --initTime 2016-08-18T19:15:53 --startdatetime 2016-08-18T19:17:55 --delay 2 --endMP 204:154 --enddatetime 2016-08-18T20:05:30 --enforcementcount 0</v>
      </c>
    </row>
    <row r="134" spans="1:34" x14ac:dyDescent="0.25">
      <c r="A134" s="40" t="s">
        <v>511</v>
      </c>
      <c r="B134" s="7">
        <v>4025</v>
      </c>
      <c r="C134" s="25" t="s">
        <v>118</v>
      </c>
      <c r="D134" s="25" t="s">
        <v>512</v>
      </c>
      <c r="E134" s="16">
        <v>42600.790451388886</v>
      </c>
      <c r="F134" s="16">
        <v>42600.791284722225</v>
      </c>
      <c r="G134" s="7">
        <v>1</v>
      </c>
      <c r="H134" s="16" t="s">
        <v>513</v>
      </c>
      <c r="I134" s="16">
        <v>42600.818344907406</v>
      </c>
      <c r="J134" s="7">
        <v>0</v>
      </c>
      <c r="K134" s="142" t="str">
        <f t="shared" si="24"/>
        <v>4025/4026</v>
      </c>
      <c r="L134" s="25" t="str">
        <f>VLOOKUP(A134,'Trips&amp;Operators'!$C$1:$E$10000,3,FALSE)</f>
        <v>HOMIK</v>
      </c>
      <c r="M134" s="6">
        <f t="shared" si="25"/>
        <v>2.7060185180744156E-2</v>
      </c>
      <c r="N134" s="7">
        <f t="shared" si="40"/>
        <v>38.966666660271585</v>
      </c>
      <c r="O134" s="7"/>
      <c r="P134" s="7"/>
      <c r="Q134" s="26"/>
      <c r="R134" s="26"/>
      <c r="S134" s="38">
        <f t="shared" si="39"/>
        <v>1</v>
      </c>
      <c r="T134" s="53" t="str">
        <f t="shared" si="26"/>
        <v>NorthBound</v>
      </c>
      <c r="U134" s="13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17:58:15-0600',mode:absolute,to:'2016-08-18 20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4" s="55" t="str">
        <f t="shared" si="28"/>
        <v>N</v>
      </c>
      <c r="X134" s="129">
        <f t="shared" si="38"/>
        <v>1</v>
      </c>
      <c r="Y134" s="70">
        <f t="shared" si="29"/>
        <v>4.9799999999999997E-2</v>
      </c>
      <c r="Z134" s="70">
        <f t="shared" si="30"/>
        <v>23.331700000000001</v>
      </c>
      <c r="AA134" s="70">
        <f t="shared" si="31"/>
        <v>23.2819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si="32"/>
        <v>0221-18</v>
      </c>
      <c r="AE134" s="104" t="str">
        <f t="shared" si="33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134" s="101" t="str">
        <f t="shared" si="34"/>
        <v>"C:\Program Files (x86)\AstroGrep\AstroGrep.exe" /spath="%USERPROFILE%\AppData\Local\Temp\OnboardLogs" /stypes="*4025*20160819*" /stext=" 01:.+((SYSTEM_STATE.+slice.+state.+changed )|(ment ac)|(system.+state.+changed )|(\|lc)|(penalty)|(\[timeout)|(PRM\|1\|D)|(kpr)|(kdp))" /e /r /s</v>
      </c>
      <c r="AG134" s="1" t="str">
        <f t="shared" si="35"/>
        <v>EC</v>
      </c>
      <c r="AH134" s="105" t="str">
        <f t="shared" si="36"/>
        <v>"%USERPROFILE%\Documents\GitHub\eaglep3\Utilities\RefineRTDCRunTimes.py" --tripid 221-18 --locoid 4025 --swversion DE.1.0.7.0 --startMP 204:498 --initTime 2016-08-18T18:58:15 --startdatetime 2016-08-18T18:59:27 --delay 1 --endMP 204:233317 --enddatetime 2016-08-18T19:38:25 --enforcementcount 0</v>
      </c>
    </row>
    <row r="135" spans="1:34" x14ac:dyDescent="0.25">
      <c r="A135" s="40" t="s">
        <v>514</v>
      </c>
      <c r="B135" s="7">
        <v>4026</v>
      </c>
      <c r="C135" s="25" t="s">
        <v>118</v>
      </c>
      <c r="D135" s="25" t="s">
        <v>222</v>
      </c>
      <c r="E135" s="16">
        <v>42600.823425925926</v>
      </c>
      <c r="F135" s="16">
        <v>42600.824444444443</v>
      </c>
      <c r="G135" s="7">
        <v>1</v>
      </c>
      <c r="H135" s="16" t="s">
        <v>515</v>
      </c>
      <c r="I135" s="16">
        <v>42600.858472222222</v>
      </c>
      <c r="J135" s="7">
        <v>0</v>
      </c>
      <c r="K135" s="142" t="str">
        <f t="shared" si="24"/>
        <v>4025/4026</v>
      </c>
      <c r="L135" s="25" t="str">
        <f>VLOOKUP(A135,'Trips&amp;Operators'!$C$1:$E$10000,3,FALSE)</f>
        <v>HOMIK</v>
      </c>
      <c r="M135" s="6">
        <f t="shared" si="25"/>
        <v>3.4027777779556345E-2</v>
      </c>
      <c r="N135" s="7">
        <f t="shared" si="40"/>
        <v>49.000000002561137</v>
      </c>
      <c r="O135" s="7"/>
      <c r="P135" s="7"/>
      <c r="Q135" s="26"/>
      <c r="R135" s="26"/>
      <c r="S135" s="38">
        <f t="shared" si="39"/>
        <v>1</v>
      </c>
      <c r="T135" s="53" t="str">
        <f t="shared" si="26"/>
        <v>Southbound</v>
      </c>
      <c r="U135" s="13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18:45:44-0600',mode:absolute,to:'2016-08-18 21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35" s="55" t="str">
        <f t="shared" si="28"/>
        <v>N</v>
      </c>
      <c r="X135" s="129">
        <f t="shared" si="38"/>
        <v>1</v>
      </c>
      <c r="Y135" s="70">
        <f t="shared" si="29"/>
        <v>23.2972</v>
      </c>
      <c r="Z135" s="70">
        <f t="shared" si="30"/>
        <v>1.8700000000000001E-2</v>
      </c>
      <c r="AA135" s="70">
        <f t="shared" si="31"/>
        <v>23.278500000000001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32"/>
        <v>0222-18</v>
      </c>
      <c r="AE135" s="104" t="str">
        <f t="shared" si="33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135" s="101" t="str">
        <f t="shared" si="34"/>
        <v>"C:\Program Files (x86)\AstroGrep\AstroGrep.exe" /spath="%USERPROFILE%\AppData\Local\Temp\OnboardLogs" /stypes="*4026*20160819*" /stext=" 02:.+((SYSTEM_STATE.+slice.+state.+changed )|(ment ac)|(system.+state.+changed )|(\|lc)|(penalty)|(\[timeout)|(PRM\|1\|D)|(kpr)|(kdp))" /e /r /s</v>
      </c>
      <c r="AG135" s="1" t="str">
        <f t="shared" si="35"/>
        <v>EC</v>
      </c>
      <c r="AH135" s="105" t="str">
        <f t="shared" si="36"/>
        <v>"%USERPROFILE%\Documents\GitHub\eaglep3\Utilities\RefineRTDCRunTimes.py" --tripid 222-18 --locoid 4026 --swversion DE.1.0.7.0 --startMP 204:232972 --initTime 2016-08-18T19:45:44 --startdatetime 2016-08-18T19:47:12 --delay 1 --endMP 204:187 --enddatetime 2016-08-18T20:36:12 --enforcementcount 0</v>
      </c>
    </row>
    <row r="136" spans="1:34" x14ac:dyDescent="0.25">
      <c r="A136" s="40" t="s">
        <v>516</v>
      </c>
      <c r="B136" s="7">
        <v>4029</v>
      </c>
      <c r="C136" s="25" t="s">
        <v>118</v>
      </c>
      <c r="D136" s="25" t="s">
        <v>203</v>
      </c>
      <c r="E136" s="16">
        <v>42600.80908564815</v>
      </c>
      <c r="F136" s="16">
        <v>42600.810624999998</v>
      </c>
      <c r="G136" s="7">
        <v>2</v>
      </c>
      <c r="H136" s="16" t="s">
        <v>275</v>
      </c>
      <c r="I136" s="16">
        <v>42600.837708333333</v>
      </c>
      <c r="J136" s="7">
        <v>0</v>
      </c>
      <c r="K136" s="142" t="str">
        <f t="shared" si="24"/>
        <v>4029/4030</v>
      </c>
      <c r="L136" s="25" t="str">
        <f>VLOOKUP(A136,'Trips&amp;Operators'!$C$1:$E$10000,3,FALSE)</f>
        <v>DE LA ROSA</v>
      </c>
      <c r="M136" s="6">
        <f t="shared" si="25"/>
        <v>2.7083333334303461E-2</v>
      </c>
      <c r="N136" s="7">
        <f t="shared" si="40"/>
        <v>39.000000001396984</v>
      </c>
      <c r="O136" s="7"/>
      <c r="P136" s="7"/>
      <c r="Q136" s="26"/>
      <c r="R136" s="26"/>
      <c r="S136" s="38">
        <f t="shared" si="39"/>
        <v>1</v>
      </c>
      <c r="T136" s="53" t="str">
        <f t="shared" si="26"/>
        <v>NorthBound</v>
      </c>
      <c r="U136" s="13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18:25:05-0600',mode:absolute,to:'2016-08-18 21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36" s="55" t="str">
        <f t="shared" si="28"/>
        <v>N</v>
      </c>
      <c r="X136" s="129">
        <f t="shared" si="38"/>
        <v>1</v>
      </c>
      <c r="Y136" s="70">
        <f t="shared" si="29"/>
        <v>4.4600000000000001E-2</v>
      </c>
      <c r="Z136" s="70">
        <f t="shared" si="30"/>
        <v>23.3306</v>
      </c>
      <c r="AA136" s="70">
        <f t="shared" si="31"/>
        <v>23.286000000000001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32"/>
        <v>0223-18</v>
      </c>
      <c r="AE136" s="104" t="str">
        <f t="shared" si="33"/>
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</c>
      <c r="AF136" s="101" t="str">
        <f t="shared" si="34"/>
        <v>"C:\Program Files (x86)\AstroGrep\AstroGrep.exe" /spath="%USERPROFILE%\AppData\Local\Temp\OnboardLogs" /stypes="*4029*20160819*" /stext=" 02:.+((SYSTEM_STATE.+slice.+state.+changed )|(ment ac)|(system.+state.+changed )|(\|lc)|(penalty)|(\[timeout)|(PRM\|1\|D)|(kpr)|(kdp))" /e /r /s</v>
      </c>
      <c r="AG136" s="1" t="str">
        <f t="shared" si="35"/>
        <v>EC</v>
      </c>
      <c r="AH136" s="105" t="str">
        <f t="shared" si="36"/>
        <v>"%USERPROFILE%\Documents\GitHub\eaglep3\Utilities\RefineRTDCRunTimes.py" --tripid 223-18 --locoid 4029 --swversion DE.1.0.7.0 --startMP 204:446 --initTime 2016-08-18T19:25:05 --startdatetime 2016-08-18T19:27:18 --delay 2 --endMP 204:233306 --enddatetime 2016-08-18T20:06:18 --enforcementcount 0</v>
      </c>
    </row>
    <row r="137" spans="1:34" x14ac:dyDescent="0.25">
      <c r="A137" s="40" t="s">
        <v>517</v>
      </c>
      <c r="B137" s="7">
        <v>4030</v>
      </c>
      <c r="C137" s="25" t="s">
        <v>118</v>
      </c>
      <c r="D137" s="25" t="s">
        <v>121</v>
      </c>
      <c r="E137" s="16">
        <v>42600.846597222226</v>
      </c>
      <c r="F137" s="16">
        <v>42600.847569444442</v>
      </c>
      <c r="G137" s="7">
        <v>1</v>
      </c>
      <c r="H137" s="16" t="s">
        <v>205</v>
      </c>
      <c r="I137" s="16">
        <v>42600.879282407404</v>
      </c>
      <c r="J137" s="7">
        <v>0</v>
      </c>
      <c r="K137" s="142" t="str">
        <f t="shared" si="24"/>
        <v>4029/4030</v>
      </c>
      <c r="L137" s="25" t="str">
        <f>VLOOKUP(A137,'Trips&amp;Operators'!$C$1:$E$10000,3,FALSE)</f>
        <v>DE LA ROSA</v>
      </c>
      <c r="M137" s="6">
        <f t="shared" si="25"/>
        <v>3.1712962962046731E-2</v>
      </c>
      <c r="N137" s="7">
        <f t="shared" si="40"/>
        <v>45.666666665347293</v>
      </c>
      <c r="O137" s="7"/>
      <c r="P137" s="7"/>
      <c r="Q137" s="26"/>
      <c r="R137" s="26"/>
      <c r="S137" s="38">
        <f t="shared" si="39"/>
        <v>1</v>
      </c>
      <c r="T137" s="53" t="str">
        <f t="shared" si="26"/>
        <v>Southbound</v>
      </c>
      <c r="U137" s="13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19:19:06-0600',mode:absolute,to:'2016-08-18 22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7" s="55" t="str">
        <f t="shared" si="28"/>
        <v>N</v>
      </c>
      <c r="X137" s="129">
        <f t="shared" ref="X137:X150" si="41">VALUE(LEFT(AD137,4))-VALUE(LEFT(AD136,4))</f>
        <v>1</v>
      </c>
      <c r="Y137" s="70">
        <f t="shared" si="29"/>
        <v>23.299299999999999</v>
      </c>
      <c r="Z137" s="70">
        <f t="shared" si="30"/>
        <v>1.52E-2</v>
      </c>
      <c r="AA137" s="70">
        <f t="shared" si="31"/>
        <v>23.284099999999999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32"/>
        <v>0224-18</v>
      </c>
      <c r="AE137" s="104" t="str">
        <f t="shared" si="33"/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AF137" s="101" t="str">
        <f t="shared" si="34"/>
        <v>"C:\Program Files (x86)\AstroGrep\AstroGrep.exe" /spath="%USERPROFILE%\AppData\Local\Temp\OnboardLogs" /stypes="*4030*20160819*" /stext=" 03:.+((SYSTEM_STATE.+slice.+state.+changed )|(ment ac)|(system.+state.+changed )|(\|lc)|(penalty)|(\[timeout)|(PRM\|1\|D)|(kpr)|(kdp))" /e /r /s</v>
      </c>
      <c r="AG137" s="1" t="str">
        <f t="shared" si="35"/>
        <v>EC</v>
      </c>
      <c r="AH137" s="105" t="str">
        <f t="shared" si="36"/>
        <v>"%USERPROFILE%\Documents\GitHub\eaglep3\Utilities\RefineRTDCRunTimes.py" --tripid 224-18 --locoid 4030 --swversion DE.1.0.7.0 --startMP 204:232993 --initTime 2016-08-18T20:19:06 --startdatetime 2016-08-18T20:20:30 --delay 1 --endMP 204:152 --enddatetime 2016-08-18T21:06:10 --enforcementcount 0</v>
      </c>
    </row>
    <row r="138" spans="1:34" x14ac:dyDescent="0.25">
      <c r="A138" s="40" t="s">
        <v>518</v>
      </c>
      <c r="B138" s="7">
        <v>4027</v>
      </c>
      <c r="C138" s="25" t="s">
        <v>118</v>
      </c>
      <c r="D138" s="25" t="s">
        <v>154</v>
      </c>
      <c r="E138" s="16">
        <v>42600.827418981484</v>
      </c>
      <c r="F138" s="16">
        <v>42600.828344907408</v>
      </c>
      <c r="G138" s="7">
        <v>1</v>
      </c>
      <c r="H138" s="16" t="s">
        <v>513</v>
      </c>
      <c r="I138" s="16">
        <v>42600.860150462962</v>
      </c>
      <c r="J138" s="7">
        <v>0</v>
      </c>
      <c r="K138" s="142" t="str">
        <f t="shared" si="24"/>
        <v>4027/4028</v>
      </c>
      <c r="L138" s="25" t="str">
        <f>VLOOKUP(A138,'Trips&amp;Operators'!$C$1:$E$10000,3,FALSE)</f>
        <v>OUN</v>
      </c>
      <c r="M138" s="6">
        <f t="shared" si="25"/>
        <v>3.1805555554456078E-2</v>
      </c>
      <c r="N138" s="7">
        <f t="shared" si="40"/>
        <v>45.799999998416752</v>
      </c>
      <c r="O138" s="7"/>
      <c r="P138" s="7"/>
      <c r="Q138" s="26"/>
      <c r="R138" s="26"/>
      <c r="S138" s="38">
        <f t="shared" si="39"/>
        <v>1</v>
      </c>
      <c r="T138" s="53" t="str">
        <f t="shared" si="26"/>
        <v>NorthBound</v>
      </c>
      <c r="U138" s="13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18:51:29-0600',mode:absolute,to:'2016-08-18 21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8" s="55" t="str">
        <f t="shared" si="28"/>
        <v>N</v>
      </c>
      <c r="X138" s="129">
        <f t="shared" si="41"/>
        <v>1</v>
      </c>
      <c r="Y138" s="70">
        <f t="shared" si="29"/>
        <v>4.5699999999999998E-2</v>
      </c>
      <c r="Z138" s="70">
        <f t="shared" si="30"/>
        <v>23.331700000000001</v>
      </c>
      <c r="AA138" s="70">
        <f t="shared" si="31"/>
        <v>23.286000000000001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32"/>
        <v>0225-18</v>
      </c>
      <c r="AE138" s="104" t="str">
        <f t="shared" si="33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138" s="101" t="str">
        <f t="shared" si="34"/>
        <v>"C:\Program Files (x86)\AstroGrep\AstroGrep.exe" /spath="%USERPROFILE%\AppData\Local\Temp\OnboardLogs" /stypes="*4027*20160819*" /stext=" 02:.+((SYSTEM_STATE.+slice.+state.+changed )|(ment ac)|(system.+state.+changed )|(\|lc)|(penalty)|(\[timeout)|(PRM\|1\|D)|(kpr)|(kdp))" /e /r /s</v>
      </c>
      <c r="AG138" s="1" t="str">
        <f t="shared" si="35"/>
        <v>EC</v>
      </c>
      <c r="AH138" s="105" t="str">
        <f t="shared" si="36"/>
        <v>"%USERPROFILE%\Documents\GitHub\eaglep3\Utilities\RefineRTDCRunTimes.py" --tripid 225-18 --locoid 4027 --swversion DE.1.0.7.0 --startMP 204:457 --initTime 2016-08-18T19:51:29 --startdatetime 2016-08-18T19:52:49 --delay 1 --endMP 204:233317 --enddatetime 2016-08-18T20:38:37 --enforcementcount 0</v>
      </c>
    </row>
    <row r="139" spans="1:34" x14ac:dyDescent="0.25">
      <c r="A139" s="40" t="s">
        <v>519</v>
      </c>
      <c r="B139" s="7">
        <v>4028</v>
      </c>
      <c r="C139" s="25" t="s">
        <v>118</v>
      </c>
      <c r="D139" s="25" t="s">
        <v>215</v>
      </c>
      <c r="E139" s="16">
        <v>42600.868483796294</v>
      </c>
      <c r="F139" s="16">
        <v>42600.869467592594</v>
      </c>
      <c r="G139" s="7">
        <v>1</v>
      </c>
      <c r="H139" s="16" t="s">
        <v>205</v>
      </c>
      <c r="I139" s="16">
        <v>42600.901817129627</v>
      </c>
      <c r="J139" s="7">
        <v>0</v>
      </c>
      <c r="K139" s="142" t="str">
        <f t="shared" si="24"/>
        <v>4027/4028</v>
      </c>
      <c r="L139" s="25" t="str">
        <f>VLOOKUP(A139,'Trips&amp;Operators'!$C$1:$E$10000,3,FALSE)</f>
        <v>OUN</v>
      </c>
      <c r="M139" s="6">
        <f t="shared" si="25"/>
        <v>3.2349537032132503E-2</v>
      </c>
      <c r="N139" s="7">
        <f t="shared" si="40"/>
        <v>46.583333326270804</v>
      </c>
      <c r="O139" s="7"/>
      <c r="P139" s="7"/>
      <c r="Q139" s="26"/>
      <c r="R139" s="26"/>
      <c r="S139" s="38">
        <f t="shared" ref="S139:S170" si="42">SUM(U139:U139)/IF(AG139="EC",12,1)</f>
        <v>1</v>
      </c>
      <c r="T139" s="53" t="str">
        <f t="shared" si="26"/>
        <v>Southbound</v>
      </c>
      <c r="U139" s="13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19:50:37-0600',mode:absolute,to:'2016-08-18 22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39" s="55" t="str">
        <f t="shared" si="28"/>
        <v>N</v>
      </c>
      <c r="X139" s="129">
        <f t="shared" si="41"/>
        <v>1</v>
      </c>
      <c r="Y139" s="70">
        <f t="shared" si="29"/>
        <v>23.2989</v>
      </c>
      <c r="Z139" s="70">
        <f t="shared" si="30"/>
        <v>1.52E-2</v>
      </c>
      <c r="AA139" s="70">
        <f t="shared" si="31"/>
        <v>23.2837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32"/>
        <v>0226-18</v>
      </c>
      <c r="AE139" s="104" t="str">
        <f t="shared" si="33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139" s="101" t="str">
        <f t="shared" si="34"/>
        <v>"C:\Program Files (x86)\AstroGrep\AstroGrep.exe" /spath="%USERPROFILE%\AppData\Local\Temp\OnboardLogs" /stypes="*4028*20160819*" /stext=" 03:.+((SYSTEM_STATE.+slice.+state.+changed )|(ment ac)|(system.+state.+changed )|(\|lc)|(penalty)|(\[timeout)|(PRM\|1\|D)|(kpr)|(kdp))" /e /r /s</v>
      </c>
      <c r="AG139" s="1" t="str">
        <f t="shared" si="35"/>
        <v>EC</v>
      </c>
      <c r="AH139" s="105" t="str">
        <f t="shared" si="36"/>
        <v>"%USERPROFILE%\Documents\GitHub\eaglep3\Utilities\RefineRTDCRunTimes.py" --tripid 226-18 --locoid 4028 --swversion DE.1.0.7.0 --startMP 204:232989 --initTime 2016-08-18T20:50:37 --startdatetime 2016-08-18T20:52:02 --delay 1 --endMP 204:152 --enddatetime 2016-08-18T21:38:37 --enforcementcount 0</v>
      </c>
    </row>
    <row r="140" spans="1:34" x14ac:dyDescent="0.25">
      <c r="A140" s="40" t="s">
        <v>520</v>
      </c>
      <c r="B140" s="7">
        <v>4007</v>
      </c>
      <c r="C140" s="25" t="s">
        <v>118</v>
      </c>
      <c r="D140" s="25" t="s">
        <v>149</v>
      </c>
      <c r="E140" s="16">
        <v>42600.847199074073</v>
      </c>
      <c r="F140" s="16">
        <v>42600.848587962966</v>
      </c>
      <c r="G140" s="7">
        <v>1</v>
      </c>
      <c r="H140" s="16" t="s">
        <v>521</v>
      </c>
      <c r="I140" s="16">
        <v>42600.881620370368</v>
      </c>
      <c r="J140" s="7">
        <v>0</v>
      </c>
      <c r="K140" s="142" t="str">
        <f t="shared" si="24"/>
        <v>4007/4008</v>
      </c>
      <c r="L140" s="25" t="str">
        <f>VLOOKUP(A140,'Trips&amp;Operators'!$C$1:$E$10000,3,FALSE)</f>
        <v>STURGEON</v>
      </c>
      <c r="M140" s="6">
        <f t="shared" si="25"/>
        <v>3.3032407402060926E-2</v>
      </c>
      <c r="N140" s="7">
        <f t="shared" si="40"/>
        <v>47.566666658967733</v>
      </c>
      <c r="O140" s="7"/>
      <c r="P140" s="7"/>
      <c r="Q140" s="26"/>
      <c r="R140" s="26"/>
      <c r="S140" s="38">
        <f t="shared" si="42"/>
        <v>1</v>
      </c>
      <c r="T140" s="53" t="str">
        <f t="shared" si="26"/>
        <v>NorthBound</v>
      </c>
      <c r="U140" s="13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1" t="str">
        <f t="shared" si="27"/>
        <v>https://search-rtdc-monitor-bjffxe2xuh6vdkpspy63sjmuny.us-east-1.es.amazonaws.com/_plugin/kibana/#/discover/Steve-Slow-Train-Analysis-(2080s-and-2083s)?_g=(refreshInterval:(display:Off,section:0,value:0),time:(from:'2016-08-18 19:19:58-0600',mode:absolute,to:'2016-08-18 22:09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0" s="55" t="str">
        <f t="shared" si="28"/>
        <v>N</v>
      </c>
      <c r="X140" s="129">
        <f t="shared" si="41"/>
        <v>1</v>
      </c>
      <c r="Y140" s="70">
        <f t="shared" si="29"/>
        <v>4.6899999999999997E-2</v>
      </c>
      <c r="Z140" s="70">
        <f t="shared" si="30"/>
        <v>23.328299999999999</v>
      </c>
      <c r="AA140" s="70">
        <f t="shared" si="31"/>
        <v>23.281399999999998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32"/>
        <v>0227-18</v>
      </c>
      <c r="AE140" s="104" t="str">
        <f t="shared" si="33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140" s="101" t="str">
        <f t="shared" si="34"/>
        <v>"C:\Program Files (x86)\AstroGrep\AstroGrep.exe" /spath="%USERPROFILE%\AppData\Local\Temp\OnboardLogs" /stypes="*4007*20160819*" /stext=" 03:.+((SYSTEM_STATE.+slice.+state.+changed )|(ment ac)|(system.+state.+changed )|(\|lc)|(penalty)|(\[timeout)|(PRM\|1\|D)|(kpr)|(kdp))" /e /r /s</v>
      </c>
      <c r="AG140" s="1" t="str">
        <f t="shared" si="35"/>
        <v>EC</v>
      </c>
      <c r="AH140" s="105" t="str">
        <f t="shared" si="36"/>
        <v>"%USERPROFILE%\Documents\GitHub\eaglep3\Utilities\RefineRTDCRunTimes.py" --tripid 227-18 --locoid 4007 --swversion DE.1.0.7.0 --startMP 204:469 --initTime 2016-08-18T20:19:58 --startdatetime 2016-08-18T20:21:58 --delay 1 --endMP 204:233283 --enddatetime 2016-08-18T21:09:32 --enforcementcount 0</v>
      </c>
    </row>
    <row r="141" spans="1:34" x14ac:dyDescent="0.25">
      <c r="A141" s="40" t="s">
        <v>522</v>
      </c>
      <c r="B141" s="7">
        <v>4008</v>
      </c>
      <c r="C141" s="25" t="s">
        <v>118</v>
      </c>
      <c r="D141" s="25" t="s">
        <v>268</v>
      </c>
      <c r="E141" s="16">
        <v>42600.886608796296</v>
      </c>
      <c r="F141" s="16">
        <v>42600.88795138889</v>
      </c>
      <c r="G141" s="7">
        <v>1</v>
      </c>
      <c r="H141" s="16" t="s">
        <v>284</v>
      </c>
      <c r="I141" s="16">
        <v>42600.924872685187</v>
      </c>
      <c r="J141" s="7">
        <v>0</v>
      </c>
      <c r="K141" s="142" t="str">
        <f t="shared" ref="K141:K204" si="43">IF(ISEVEN(B141),(B141-1)&amp;"/"&amp;B141,B141&amp;"/"&amp;(B141+1))</f>
        <v>4007/4008</v>
      </c>
      <c r="L141" s="25" t="str">
        <f>VLOOKUP(A141,'Trips&amp;Operators'!$C$1:$E$10000,3,FALSE)</f>
        <v>STURGEON</v>
      </c>
      <c r="M141" s="6">
        <f t="shared" ref="M141:M204" si="44">I141-F141</f>
        <v>3.6921296297805384E-2</v>
      </c>
      <c r="N141" s="7">
        <f t="shared" si="40"/>
        <v>53.166666668839753</v>
      </c>
      <c r="O141" s="7"/>
      <c r="P141" s="7"/>
      <c r="Q141" s="26"/>
      <c r="R141" s="26"/>
      <c r="S141" s="38">
        <f t="shared" si="42"/>
        <v>1</v>
      </c>
      <c r="T141" s="53" t="str">
        <f t="shared" ref="T141:T204" si="45">IF(ISEVEN(LEFT(AD141,4)),"Southbound","NorthBound")</f>
        <v>Southbound</v>
      </c>
      <c r="U141" s="13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1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https://search-rtdc-monitor-bjffxe2xuh6vdkpspy63sjmuny.us-east-1.es.amazonaws.com/_plugin/kibana/#/discover/Steve-Slow-Train-Analysis-(2080s-and-2083s)?_g=(refreshInterval:(display:Off,section:0,value:0),time:(from:'2016-08-18 20:16:43-0600',mode:absolute,to:'2016-08-18 23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41" s="55" t="str">
        <f t="shared" ref="W141:W204" si="47">IF(AA141&lt;IF(AG141="EC",23,5.65),"Y","N")</f>
        <v>N</v>
      </c>
      <c r="X141" s="129">
        <f t="shared" si="41"/>
        <v>1</v>
      </c>
      <c r="Y141" s="70">
        <f t="shared" ref="Y141:Y204" si="48">RIGHT(D141,LEN(D141)-4)/10000</f>
        <v>23.2974</v>
      </c>
      <c r="Z141" s="70">
        <f t="shared" ref="Z141:Z204" si="49">RIGHT(H141,LEN(H141)-4)/10000</f>
        <v>1.7600000000000001E-2</v>
      </c>
      <c r="AA141" s="70">
        <f t="shared" ref="AA141:AA204" si="50">ABS(Z141-Y141)</f>
        <v>23.279799999999998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ref="AD141:AD204" si="51">IF(LEN(A141)=6,"0"&amp;A141,A141)</f>
        <v>0228-18</v>
      </c>
      <c r="AE141" s="104" t="str">
        <f t="shared" ref="AE141:AE204" si="52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141" s="101" t="str">
        <f t="shared" ref="AF141:AF204" si="53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/stypes="*4008*20160819*" /stext=" 04:.+((SYSTEM_STATE.+slice.+state.+changed )|(ment ac)|(system.+state.+changed )|(\|lc)|(penalty)|(\[timeout)|(PRM\|1\|D)|(kpr)|(kdp))" /e /r /s</v>
      </c>
      <c r="AG141" s="1" t="str">
        <f t="shared" ref="AG141:AG204" si="54">IFERROR(IF(VALUE(LEFT(AD141,2))&lt;=2,"EC",IF(OR(VALUE(LEFT(AD141,2))=8,VALUE(LEFT(AD141,2))=18),"NW","Other")),"Other")</f>
        <v>EC</v>
      </c>
      <c r="AH141" s="105" t="str">
        <f t="shared" ref="AH141:AH204" si="5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</f>
        <v>"%USERPROFILE%\Documents\GitHub\eaglep3\Utilities\RefineRTDCRunTimes.py" --tripid 228-18 --locoid 4008 --swversion DE.1.0.7.0 --startMP 204:232974 --initTime 2016-08-18T21:16:43 --startdatetime 2016-08-18T21:18:39 --delay 1 --endMP 204:176 --enddatetime 2016-08-18T22:11:49 --enforcementcount 0</v>
      </c>
    </row>
    <row r="142" spans="1:34" x14ac:dyDescent="0.25">
      <c r="A142" s="40" t="s">
        <v>523</v>
      </c>
      <c r="B142" s="7">
        <v>4025</v>
      </c>
      <c r="C142" s="25" t="s">
        <v>118</v>
      </c>
      <c r="D142" s="25" t="s">
        <v>287</v>
      </c>
      <c r="E142" s="16">
        <v>42600.86204861111</v>
      </c>
      <c r="F142" s="16">
        <v>42600.863055555557</v>
      </c>
      <c r="G142" s="7">
        <v>1</v>
      </c>
      <c r="H142" s="16" t="s">
        <v>524</v>
      </c>
      <c r="I142" s="16">
        <v>42600.902175925927</v>
      </c>
      <c r="J142" s="7">
        <v>0</v>
      </c>
      <c r="K142" s="142" t="str">
        <f t="shared" si="43"/>
        <v>4025/4026</v>
      </c>
      <c r="L142" s="25" t="str">
        <f>VLOOKUP(A142,'Trips&amp;Operators'!$C$1:$E$10000,3,FALSE)</f>
        <v>HOMIK</v>
      </c>
      <c r="M142" s="6">
        <f t="shared" si="44"/>
        <v>3.9120370369346347E-2</v>
      </c>
      <c r="N142" s="7">
        <f t="shared" si="40"/>
        <v>56.333333331858739</v>
      </c>
      <c r="O142" s="7"/>
      <c r="P142" s="7"/>
      <c r="Q142" s="26"/>
      <c r="R142" s="26"/>
      <c r="S142" s="38">
        <f t="shared" si="42"/>
        <v>1</v>
      </c>
      <c r="T142" s="53" t="str">
        <f t="shared" si="45"/>
        <v>NorthBound</v>
      </c>
      <c r="U142" s="13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19:41:21-0600',mode:absolute,to:'2016-08-18 22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42" s="55" t="str">
        <f t="shared" si="47"/>
        <v>N</v>
      </c>
      <c r="X142" s="129">
        <f t="shared" si="41"/>
        <v>1</v>
      </c>
      <c r="Y142" s="70">
        <f t="shared" si="48"/>
        <v>4.9099999999999998E-2</v>
      </c>
      <c r="Z142" s="70">
        <f t="shared" si="49"/>
        <v>23.327400000000001</v>
      </c>
      <c r="AA142" s="70">
        <f t="shared" si="50"/>
        <v>23.278300000000002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51"/>
        <v>0229-18</v>
      </c>
      <c r="AE142" s="104" t="str">
        <f t="shared" si="52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142" s="101" t="str">
        <f t="shared" si="53"/>
        <v>"C:\Program Files (x86)\AstroGrep\AstroGrep.exe" /spath="%USERPROFILE%\AppData\Local\Temp\OnboardLogs" /stypes="*4025*20160819*" /stext=" 03:.+((SYSTEM_STATE.+slice.+state.+changed )|(ment ac)|(system.+state.+changed )|(\|lc)|(penalty)|(\[timeout)|(PRM\|1\|D)|(kpr)|(kdp))" /e /r /s</v>
      </c>
      <c r="AG142" s="1" t="str">
        <f t="shared" si="54"/>
        <v>EC</v>
      </c>
      <c r="AH142" s="105" t="str">
        <f t="shared" si="55"/>
        <v>"%USERPROFILE%\Documents\GitHub\eaglep3\Utilities\RefineRTDCRunTimes.py" --tripid 229-18 --locoid 4025 --swversion DE.1.0.7.0 --startMP 204:491 --initTime 2016-08-18T20:41:21 --startdatetime 2016-08-18T20:42:48 --delay 1 --endMP 204:233274 --enddatetime 2016-08-18T21:39:08 --enforcementcount 0</v>
      </c>
    </row>
    <row r="143" spans="1:34" x14ac:dyDescent="0.25">
      <c r="A143" s="40" t="s">
        <v>525</v>
      </c>
      <c r="B143" s="7">
        <v>4026</v>
      </c>
      <c r="C143" s="25" t="s">
        <v>118</v>
      </c>
      <c r="D143" s="25" t="s">
        <v>526</v>
      </c>
      <c r="E143" s="16">
        <v>42600.905405092592</v>
      </c>
      <c r="F143" s="16">
        <v>42600.906493055554</v>
      </c>
      <c r="G143" s="7">
        <v>1</v>
      </c>
      <c r="H143" s="16" t="s">
        <v>266</v>
      </c>
      <c r="I143" s="16">
        <v>42600.944062499999</v>
      </c>
      <c r="J143" s="7">
        <v>0</v>
      </c>
      <c r="K143" s="142" t="str">
        <f t="shared" si="43"/>
        <v>4025/4026</v>
      </c>
      <c r="L143" s="25" t="str">
        <f>VLOOKUP(A143,'Trips&amp;Operators'!$C$1:$E$10000,3,FALSE)</f>
        <v>HOMIK</v>
      </c>
      <c r="M143" s="6">
        <f t="shared" si="44"/>
        <v>3.7569444444670808E-2</v>
      </c>
      <c r="N143" s="7">
        <f t="shared" si="40"/>
        <v>54.100000000325963</v>
      </c>
      <c r="O143" s="7"/>
      <c r="P143" s="7"/>
      <c r="Q143" s="26"/>
      <c r="R143" s="26"/>
      <c r="S143" s="38">
        <f t="shared" si="42"/>
        <v>1</v>
      </c>
      <c r="T143" s="53" t="str">
        <f t="shared" si="45"/>
        <v>Southbound</v>
      </c>
      <c r="U143" s="13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20:43:47-0600',mode:absolute,to:'2016-08-18 23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3" s="55" t="str">
        <f t="shared" si="47"/>
        <v>N</v>
      </c>
      <c r="X143" s="129">
        <f t="shared" si="41"/>
        <v>1</v>
      </c>
      <c r="Y143" s="70">
        <f t="shared" si="48"/>
        <v>23.294699999999999</v>
      </c>
      <c r="Z143" s="70">
        <f t="shared" si="49"/>
        <v>1.4500000000000001E-2</v>
      </c>
      <c r="AA143" s="70">
        <f t="shared" si="50"/>
        <v>23.280199999999997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51"/>
        <v>0230-18</v>
      </c>
      <c r="AE143" s="104" t="str">
        <f t="shared" si="52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143" s="101" t="str">
        <f t="shared" si="53"/>
        <v>"C:\Program Files (x86)\AstroGrep\AstroGrep.exe" /spath="%USERPROFILE%\AppData\Local\Temp\OnboardLogs" /stypes="*4026*20160819*" /stext=" 04:.+((SYSTEM_STATE.+slice.+state.+changed )|(ment ac)|(system.+state.+changed )|(\|lc)|(penalty)|(\[timeout)|(PRM\|1\|D)|(kpr)|(kdp))" /e /r /s</v>
      </c>
      <c r="AG143" s="1" t="str">
        <f t="shared" si="54"/>
        <v>EC</v>
      </c>
      <c r="AH143" s="105" t="str">
        <f t="shared" si="55"/>
        <v>"%USERPROFILE%\Documents\GitHub\eaglep3\Utilities\RefineRTDCRunTimes.py" --tripid 230-18 --locoid 4026 --swversion DE.1.0.7.0 --startMP 204:232947 --initTime 2016-08-18T21:43:47 --startdatetime 2016-08-18T21:45:21 --delay 1 --endMP 204:145 --enddatetime 2016-08-18T22:39:27 --enforcementcount 0</v>
      </c>
    </row>
    <row r="144" spans="1:34" x14ac:dyDescent="0.25">
      <c r="A144" s="40" t="s">
        <v>527</v>
      </c>
      <c r="B144" s="7">
        <v>4029</v>
      </c>
      <c r="C144" s="25" t="s">
        <v>118</v>
      </c>
      <c r="D144" s="25" t="s">
        <v>149</v>
      </c>
      <c r="E144" s="16">
        <v>42600.892141203702</v>
      </c>
      <c r="F144" s="16">
        <v>42600.893043981479</v>
      </c>
      <c r="G144" s="7">
        <v>1</v>
      </c>
      <c r="H144" s="16" t="s">
        <v>438</v>
      </c>
      <c r="I144" s="16">
        <v>42600.921840277777</v>
      </c>
      <c r="J144" s="7">
        <v>0</v>
      </c>
      <c r="K144" s="142" t="str">
        <f t="shared" si="43"/>
        <v>4029/4030</v>
      </c>
      <c r="L144" s="25" t="str">
        <f>VLOOKUP(A144,'Trips&amp;Operators'!$C$1:$E$10000,3,FALSE)</f>
        <v>DE LA ROSA</v>
      </c>
      <c r="M144" s="6">
        <f t="shared" si="44"/>
        <v>2.8796296297514345E-2</v>
      </c>
      <c r="N144" s="7">
        <f t="shared" si="40"/>
        <v>41.466666668420658</v>
      </c>
      <c r="O144" s="7"/>
      <c r="P144" s="7"/>
      <c r="Q144" s="26"/>
      <c r="R144" s="26"/>
      <c r="S144" s="38">
        <f t="shared" si="42"/>
        <v>1</v>
      </c>
      <c r="T144" s="53" t="str">
        <f t="shared" si="45"/>
        <v>NorthBound</v>
      </c>
      <c r="U144" s="13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20:24:41-0600',mode:absolute,to:'2016-08-18 23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4" s="55" t="str">
        <f t="shared" si="47"/>
        <v>N</v>
      </c>
      <c r="X144" s="129">
        <f t="shared" si="41"/>
        <v>1</v>
      </c>
      <c r="Y144" s="70">
        <f t="shared" si="48"/>
        <v>4.6899999999999997E-2</v>
      </c>
      <c r="Z144" s="70">
        <f t="shared" si="49"/>
        <v>23.3293</v>
      </c>
      <c r="AA144" s="70">
        <f t="shared" si="50"/>
        <v>23.282399999999999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51"/>
        <v>0231-18</v>
      </c>
      <c r="AE144" s="104" t="str">
        <f t="shared" si="52"/>
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</c>
      <c r="AF144" s="101" t="str">
        <f t="shared" si="53"/>
        <v>"C:\Program Files (x86)\AstroGrep\AstroGrep.exe" /spath="%USERPROFILE%\AppData\Local\Temp\OnboardLogs" /stypes="*4029*20160819*" /stext=" 04:.+((SYSTEM_STATE.+slice.+state.+changed )|(ment ac)|(system.+state.+changed )|(\|lc)|(penalty)|(\[timeout)|(PRM\|1\|D)|(kpr)|(kdp))" /e /r /s</v>
      </c>
      <c r="AG144" s="1" t="str">
        <f t="shared" si="54"/>
        <v>EC</v>
      </c>
      <c r="AH144" s="105" t="str">
        <f t="shared" si="55"/>
        <v>"%USERPROFILE%\Documents\GitHub\eaglep3\Utilities\RefineRTDCRunTimes.py" --tripid 231-18 --locoid 4029 --swversion DE.1.0.7.0 --startMP 204:469 --initTime 2016-08-18T21:24:41 --startdatetime 2016-08-18T21:25:59 --delay 1 --endMP 204:233293 --enddatetime 2016-08-18T22:07:27 --enforcementcount 0</v>
      </c>
    </row>
    <row r="145" spans="1:34" x14ac:dyDescent="0.25">
      <c r="A145" s="40" t="s">
        <v>528</v>
      </c>
      <c r="B145" s="7">
        <v>4030</v>
      </c>
      <c r="C145" s="25" t="s">
        <v>118</v>
      </c>
      <c r="D145" s="25" t="s">
        <v>482</v>
      </c>
      <c r="E145" s="16">
        <v>42600.930775462963</v>
      </c>
      <c r="F145" s="16">
        <v>42600.93236111111</v>
      </c>
      <c r="G145" s="7">
        <v>2</v>
      </c>
      <c r="H145" s="16" t="s">
        <v>153</v>
      </c>
      <c r="I145" s="16">
        <v>42600.963935185187</v>
      </c>
      <c r="J145" s="7">
        <v>0</v>
      </c>
      <c r="K145" s="142" t="str">
        <f t="shared" si="43"/>
        <v>4029/4030</v>
      </c>
      <c r="L145" s="25" t="str">
        <f>VLOOKUP(A145,'Trips&amp;Operators'!$C$1:$E$10000,3,FALSE)</f>
        <v>DE LA ROSA</v>
      </c>
      <c r="M145" s="6">
        <f t="shared" si="44"/>
        <v>3.1574074077070691E-2</v>
      </c>
      <c r="N145" s="7">
        <f t="shared" si="40"/>
        <v>45.466666670981795</v>
      </c>
      <c r="O145" s="7"/>
      <c r="P145" s="7"/>
      <c r="Q145" s="26"/>
      <c r="R145" s="26"/>
      <c r="S145" s="38">
        <f t="shared" si="42"/>
        <v>1</v>
      </c>
      <c r="T145" s="53" t="str">
        <f t="shared" si="45"/>
        <v>Southbound</v>
      </c>
      <c r="U145" s="13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21:20:19-0600',mode:absolute,to:'2016-08-19 00:08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5" s="55" t="str">
        <f t="shared" si="47"/>
        <v>N</v>
      </c>
      <c r="X145" s="129">
        <f t="shared" si="41"/>
        <v>1</v>
      </c>
      <c r="Y145" s="70">
        <f t="shared" si="48"/>
        <v>23.297000000000001</v>
      </c>
      <c r="Z145" s="70">
        <f t="shared" si="49"/>
        <v>1.6299999999999999E-2</v>
      </c>
      <c r="AA145" s="70">
        <f t="shared" si="50"/>
        <v>23.2807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51"/>
        <v>0232-18</v>
      </c>
      <c r="AE145" s="104" t="str">
        <f t="shared" si="52"/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AF145" s="101" t="str">
        <f t="shared" si="53"/>
        <v>"C:\Program Files (x86)\AstroGrep\AstroGrep.exe" /spath="%USERPROFILE%\AppData\Local\Temp\OnboardLogs" /stypes="*4030*20160819*" /stext=" 05:.+((SYSTEM_STATE.+slice.+state.+changed )|(ment ac)|(system.+state.+changed )|(\|lc)|(penalty)|(\[timeout)|(PRM\|1\|D)|(kpr)|(kdp))" /e /r /s</v>
      </c>
      <c r="AG145" s="1" t="str">
        <f t="shared" si="54"/>
        <v>EC</v>
      </c>
      <c r="AH145" s="105" t="str">
        <f t="shared" si="55"/>
        <v>"%USERPROFILE%\Documents\GitHub\eaglep3\Utilities\RefineRTDCRunTimes.py" --tripid 232-18 --locoid 4030 --swversion DE.1.0.7.0 --startMP 204:232970 --initTime 2016-08-18T22:20:19 --startdatetime 2016-08-18T22:22:36 --delay 2 --endMP 204:163 --enddatetime 2016-08-18T23:08:04 --enforcementcount 0</v>
      </c>
    </row>
    <row r="146" spans="1:34" x14ac:dyDescent="0.25">
      <c r="A146" s="40" t="s">
        <v>529</v>
      </c>
      <c r="B146" s="7">
        <v>4027</v>
      </c>
      <c r="C146" s="25" t="s">
        <v>118</v>
      </c>
      <c r="D146" s="25" t="s">
        <v>132</v>
      </c>
      <c r="E146" s="16">
        <v>42600.911296296297</v>
      </c>
      <c r="F146" s="16">
        <v>42600.912453703706</v>
      </c>
      <c r="G146" s="7">
        <v>1</v>
      </c>
      <c r="H146" s="16" t="s">
        <v>155</v>
      </c>
      <c r="I146" s="16">
        <v>42600.943993055553</v>
      </c>
      <c r="J146" s="7">
        <v>0</v>
      </c>
      <c r="K146" s="142" t="str">
        <f t="shared" si="43"/>
        <v>4027/4028</v>
      </c>
      <c r="L146" s="25" t="str">
        <f>VLOOKUP(A146,'Trips&amp;Operators'!$C$1:$E$10000,3,FALSE)</f>
        <v>OUN</v>
      </c>
      <c r="M146" s="6">
        <f t="shared" si="44"/>
        <v>3.1539351846731734E-2</v>
      </c>
      <c r="N146" s="7">
        <f t="shared" si="40"/>
        <v>45.416666659293696</v>
      </c>
      <c r="O146" s="7"/>
      <c r="P146" s="7"/>
      <c r="Q146" s="26"/>
      <c r="R146" s="26"/>
      <c r="S146" s="38">
        <f t="shared" si="42"/>
        <v>1</v>
      </c>
      <c r="T146" s="53" t="str">
        <f t="shared" si="45"/>
        <v>NorthBound</v>
      </c>
      <c r="U146" s="13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20:52:16-0600',mode:absolute,to:'2016-08-18 23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46" s="55" t="str">
        <f t="shared" si="47"/>
        <v>N</v>
      </c>
      <c r="X146" s="129">
        <f t="shared" si="41"/>
        <v>1</v>
      </c>
      <c r="Y146" s="70">
        <f t="shared" si="48"/>
        <v>4.5499999999999999E-2</v>
      </c>
      <c r="Z146" s="70">
        <f t="shared" si="49"/>
        <v>23.331</v>
      </c>
      <c r="AA146" s="70">
        <f t="shared" si="50"/>
        <v>23.285499999999999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51"/>
        <v>0233-18</v>
      </c>
      <c r="AE146" s="104" t="str">
        <f t="shared" si="52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146" s="101" t="str">
        <f t="shared" si="53"/>
        <v>"C:\Program Files (x86)\AstroGrep\AstroGrep.exe" /spath="%USERPROFILE%\AppData\Local\Temp\OnboardLogs" /stypes="*4027*20160819*" /stext=" 04:.+((SYSTEM_STATE.+slice.+state.+changed )|(ment ac)|(system.+state.+changed )|(\|lc)|(penalty)|(\[timeout)|(PRM\|1\|D)|(kpr)|(kdp))" /e /r /s</v>
      </c>
      <c r="AG146" s="1" t="str">
        <f t="shared" si="54"/>
        <v>EC</v>
      </c>
      <c r="AH146" s="105" t="str">
        <f t="shared" si="55"/>
        <v>"%USERPROFILE%\Documents\GitHub\eaglep3\Utilities\RefineRTDCRunTimes.py" --tripid 233-18 --locoid 4027 --swversion DE.1.0.7.0 --startMP 204:455 --initTime 2016-08-18T21:52:16 --startdatetime 2016-08-18T21:53:56 --delay 1 --endMP 204:233310 --enddatetime 2016-08-18T22:39:21 --enforcementcount 0</v>
      </c>
    </row>
    <row r="147" spans="1:34" x14ac:dyDescent="0.25">
      <c r="A147" s="40" t="s">
        <v>530</v>
      </c>
      <c r="B147" s="7">
        <v>4028</v>
      </c>
      <c r="C147" s="25" t="s">
        <v>118</v>
      </c>
      <c r="D147" s="25" t="s">
        <v>214</v>
      </c>
      <c r="E147" s="16">
        <v>42600.95040509259</v>
      </c>
      <c r="F147" s="16">
        <v>42600.951458333337</v>
      </c>
      <c r="G147" s="7">
        <v>1</v>
      </c>
      <c r="H147" s="16" t="s">
        <v>217</v>
      </c>
      <c r="I147" s="16">
        <v>42600.987060185187</v>
      </c>
      <c r="J147" s="7">
        <v>0</v>
      </c>
      <c r="K147" s="142" t="str">
        <f t="shared" si="43"/>
        <v>4027/4028</v>
      </c>
      <c r="L147" s="25" t="str">
        <f>VLOOKUP(A147,'Trips&amp;Operators'!$C$1:$E$10000,3,FALSE)</f>
        <v>OUN</v>
      </c>
      <c r="M147" s="6">
        <f t="shared" si="44"/>
        <v>3.5601851850515231E-2</v>
      </c>
      <c r="N147" s="7">
        <f t="shared" si="40"/>
        <v>51.266666664741933</v>
      </c>
      <c r="O147" s="7"/>
      <c r="P147" s="7"/>
      <c r="Q147" s="26"/>
      <c r="R147" s="26"/>
      <c r="S147" s="38">
        <f t="shared" si="42"/>
        <v>1</v>
      </c>
      <c r="T147" s="53" t="str">
        <f t="shared" si="45"/>
        <v>Southbound</v>
      </c>
      <c r="U147" s="13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21:48:35-0600',mode:absolute,to:'2016-08-19 00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7" s="55" t="str">
        <f t="shared" si="47"/>
        <v>N</v>
      </c>
      <c r="X147" s="129">
        <f t="shared" si="41"/>
        <v>1</v>
      </c>
      <c r="Y147" s="70">
        <f t="shared" si="48"/>
        <v>23.2987</v>
      </c>
      <c r="Z147" s="70">
        <f t="shared" si="49"/>
        <v>1.61E-2</v>
      </c>
      <c r="AA147" s="70">
        <f t="shared" si="50"/>
        <v>23.282599999999999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51"/>
        <v>0234-18</v>
      </c>
      <c r="AE147" s="104" t="str">
        <f t="shared" si="52"/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AF147" s="101" t="str">
        <f t="shared" si="53"/>
        <v>"C:\Program Files (x86)\AstroGrep\AstroGrep.exe" /spath="%USERPROFILE%\AppData\Local\Temp\OnboardLogs" /stypes="*4028*20160819*" /stext=" 05:.+((SYSTEM_STATE.+slice.+state.+changed )|(ment ac)|(system.+state.+changed )|(\|lc)|(penalty)|(\[timeout)|(PRM\|1\|D)|(kpr)|(kdp))" /e /r /s</v>
      </c>
      <c r="AG147" s="1" t="str">
        <f t="shared" si="54"/>
        <v>EC</v>
      </c>
      <c r="AH147" s="105" t="str">
        <f t="shared" si="55"/>
        <v>"%USERPROFILE%\Documents\GitHub\eaglep3\Utilities\RefineRTDCRunTimes.py" --tripid 234-18 --locoid 4028 --swversion DE.1.0.7.0 --startMP 204:232987 --initTime 2016-08-18T22:48:35 --startdatetime 2016-08-18T22:50:06 --delay 1 --endMP 204:161 --enddatetime 2016-08-18T23:41:22 --enforcementcount 0</v>
      </c>
    </row>
    <row r="148" spans="1:34" x14ac:dyDescent="0.25">
      <c r="A148" s="40" t="s">
        <v>531</v>
      </c>
      <c r="B148" s="7">
        <v>4007</v>
      </c>
      <c r="C148" s="25" t="s">
        <v>118</v>
      </c>
      <c r="D148" s="25" t="s">
        <v>532</v>
      </c>
      <c r="E148" s="16">
        <v>42600.933437500003</v>
      </c>
      <c r="F148" s="16">
        <v>42600.934444444443</v>
      </c>
      <c r="G148" s="7">
        <v>1</v>
      </c>
      <c r="H148" s="16" t="s">
        <v>162</v>
      </c>
      <c r="I148" s="16">
        <v>42600.966319444444</v>
      </c>
      <c r="J148" s="7">
        <v>0</v>
      </c>
      <c r="K148" s="142" t="str">
        <f t="shared" si="43"/>
        <v>4007/4008</v>
      </c>
      <c r="L148" s="25" t="str">
        <f>VLOOKUP(A148,'Trips&amp;Operators'!$C$1:$E$10000,3,FALSE)</f>
        <v>STURGEON</v>
      </c>
      <c r="M148" s="6">
        <f t="shared" si="44"/>
        <v>3.1875000000582077E-2</v>
      </c>
      <c r="N148" s="7">
        <f t="shared" si="40"/>
        <v>45.90000000083819</v>
      </c>
      <c r="O148" s="7"/>
      <c r="P148" s="7"/>
      <c r="Q148" s="26"/>
      <c r="R148" s="26"/>
      <c r="S148" s="38">
        <f t="shared" si="42"/>
        <v>1</v>
      </c>
      <c r="T148" s="53" t="str">
        <f t="shared" si="45"/>
        <v>NorthBound</v>
      </c>
      <c r="U148" s="13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21:24:09-0600',mode:absolute,to:'2016-08-19 00:11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8" s="55" t="str">
        <f t="shared" si="47"/>
        <v>N</v>
      </c>
      <c r="X148" s="129">
        <f t="shared" si="41"/>
        <v>1</v>
      </c>
      <c r="Y148" s="70">
        <f t="shared" si="48"/>
        <v>5.2600000000000001E-2</v>
      </c>
      <c r="Z148" s="70">
        <f t="shared" si="49"/>
        <v>23.33</v>
      </c>
      <c r="AA148" s="70">
        <f t="shared" si="50"/>
        <v>23.277399999999997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51"/>
        <v>0235-18</v>
      </c>
      <c r="AE148" s="104" t="str">
        <f t="shared" si="52"/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AF148" s="101" t="str">
        <f t="shared" si="53"/>
        <v>"C:\Program Files (x86)\AstroGrep\AstroGrep.exe" /spath="%USERPROFILE%\AppData\Local\Temp\OnboardLogs" /stypes="*4007*20160819*" /stext=" 05:.+((SYSTEM_STATE.+slice.+state.+changed )|(ment ac)|(system.+state.+changed )|(\|lc)|(penalty)|(\[timeout)|(PRM\|1\|D)|(kpr)|(kdp))" /e /r /s</v>
      </c>
      <c r="AG148" s="1" t="str">
        <f t="shared" si="54"/>
        <v>EC</v>
      </c>
      <c r="AH148" s="105" t="str">
        <f t="shared" si="55"/>
        <v>"%USERPROFILE%\Documents\GitHub\eaglep3\Utilities\RefineRTDCRunTimes.py" --tripid 235-18 --locoid 4007 --swversion DE.1.0.7.0 --startMP 204:526 --initTime 2016-08-18T22:24:09 --startdatetime 2016-08-18T22:25:36 --delay 1 --endMP 204:233300 --enddatetime 2016-08-18T23:11:30 --enforcementcount 0</v>
      </c>
    </row>
    <row r="149" spans="1:34" x14ac:dyDescent="0.25">
      <c r="A149" s="40" t="s">
        <v>533</v>
      </c>
      <c r="B149" s="7">
        <v>4008</v>
      </c>
      <c r="C149" s="25" t="s">
        <v>118</v>
      </c>
      <c r="D149" s="25" t="s">
        <v>222</v>
      </c>
      <c r="E149" s="16">
        <v>42600.970879629633</v>
      </c>
      <c r="F149" s="16">
        <v>42600.975231481483</v>
      </c>
      <c r="G149" s="7">
        <v>6</v>
      </c>
      <c r="H149" s="16" t="s">
        <v>534</v>
      </c>
      <c r="I149" s="16">
        <v>42601.00503472222</v>
      </c>
      <c r="J149" s="7">
        <v>0</v>
      </c>
      <c r="K149" s="142" t="str">
        <f t="shared" si="43"/>
        <v>4007/4008</v>
      </c>
      <c r="L149" s="25" t="str">
        <f>VLOOKUP(A149,'Trips&amp;Operators'!$C$1:$E$10000,3,FALSE)</f>
        <v>STURGEON</v>
      </c>
      <c r="M149" s="6">
        <f t="shared" si="44"/>
        <v>2.9803240737237502E-2</v>
      </c>
      <c r="N149" s="7">
        <f t="shared" si="40"/>
        <v>42.916666661622003</v>
      </c>
      <c r="O149" s="7"/>
      <c r="P149" s="7"/>
      <c r="Q149" s="26"/>
      <c r="R149" s="26"/>
      <c r="S149" s="38">
        <f t="shared" si="42"/>
        <v>1</v>
      </c>
      <c r="T149" s="53" t="str">
        <f t="shared" si="45"/>
        <v>Southbound</v>
      </c>
      <c r="U149" s="13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22:18:04-0600',mode:absolute,to:'2016-08-19 01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49" s="55" t="str">
        <f t="shared" si="47"/>
        <v>N</v>
      </c>
      <c r="X149" s="129">
        <f t="shared" si="41"/>
        <v>1</v>
      </c>
      <c r="Y149" s="70">
        <f t="shared" si="48"/>
        <v>23.2972</v>
      </c>
      <c r="Z149" s="70">
        <f t="shared" si="49"/>
        <v>1.8100000000000002E-2</v>
      </c>
      <c r="AA149" s="70">
        <f t="shared" si="50"/>
        <v>23.2791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51"/>
        <v>0236-18</v>
      </c>
      <c r="AE149" s="104" t="str">
        <f t="shared" si="52"/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AF149" s="101" t="str">
        <f t="shared" si="53"/>
        <v>"C:\Program Files (x86)\AstroGrep\AstroGrep.exe" /spath="%USERPROFILE%\AppData\Local\Temp\OnboardLogs" /stypes="*4008*20160819*" /stext=" 06:.+((SYSTEM_STATE.+slice.+state.+changed )|(ment ac)|(system.+state.+changed )|(\|lc)|(penalty)|(\[timeout)|(PRM\|1\|D)|(kpr)|(kdp))" /e /r /s</v>
      </c>
      <c r="AG149" s="1" t="str">
        <f t="shared" si="54"/>
        <v>EC</v>
      </c>
      <c r="AH149" s="105" t="str">
        <f t="shared" si="55"/>
        <v>"%USERPROFILE%\Documents\GitHub\eaglep3\Utilities\RefineRTDCRunTimes.py" --tripid 236-18 --locoid 4008 --swversion DE.1.0.7.0 --startMP 204:232972 --initTime 2016-08-18T23:18:04 --startdatetime 2016-08-18T23:24:20 --delay 6 --endMP 204:181 --enddatetime 2016-08-19T00:07:15 --enforcementcount 0</v>
      </c>
    </row>
    <row r="150" spans="1:34" x14ac:dyDescent="0.25">
      <c r="A150" s="40" t="s">
        <v>535</v>
      </c>
      <c r="B150" s="7">
        <v>4025</v>
      </c>
      <c r="C150" s="25" t="s">
        <v>118</v>
      </c>
      <c r="D150" s="25" t="s">
        <v>151</v>
      </c>
      <c r="E150" s="16">
        <v>42600.949282407404</v>
      </c>
      <c r="F150" s="16">
        <v>42600.950277777774</v>
      </c>
      <c r="G150" s="7">
        <v>1</v>
      </c>
      <c r="H150" s="16" t="s">
        <v>361</v>
      </c>
      <c r="I150" s="16">
        <v>42600.984675925924</v>
      </c>
      <c r="J150" s="7">
        <v>0</v>
      </c>
      <c r="K150" s="142" t="str">
        <f t="shared" si="43"/>
        <v>4025/4026</v>
      </c>
      <c r="L150" s="25" t="str">
        <f>VLOOKUP(A150,'Trips&amp;Operators'!$C$1:$E$10000,3,FALSE)</f>
        <v>GOLIGHTLY</v>
      </c>
      <c r="M150" s="6">
        <f t="shared" si="44"/>
        <v>3.439814814919373E-2</v>
      </c>
      <c r="N150" s="7">
        <f t="shared" si="40"/>
        <v>49.533333334838971</v>
      </c>
      <c r="O150" s="7"/>
      <c r="P150" s="7"/>
      <c r="Q150" s="26"/>
      <c r="R150" s="26"/>
      <c r="S150" s="38">
        <f t="shared" si="42"/>
        <v>1</v>
      </c>
      <c r="T150" s="53" t="str">
        <f t="shared" si="45"/>
        <v>NorthBound</v>
      </c>
      <c r="U150" s="13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21:46:58-0600',mode:absolute,to:'2016-08-19 00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50" s="55" t="str">
        <f t="shared" si="47"/>
        <v>N</v>
      </c>
      <c r="X150" s="129">
        <f t="shared" si="41"/>
        <v>1</v>
      </c>
      <c r="Y150" s="70">
        <f t="shared" si="48"/>
        <v>4.6699999999999998E-2</v>
      </c>
      <c r="Z150" s="70">
        <f t="shared" si="49"/>
        <v>23.331600000000002</v>
      </c>
      <c r="AA150" s="70">
        <f t="shared" si="50"/>
        <v>23.2849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51"/>
        <v>0237-18</v>
      </c>
      <c r="AE150" s="104" t="str">
        <f t="shared" si="52"/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AF150" s="101" t="str">
        <f t="shared" si="53"/>
        <v>"C:\Program Files (x86)\AstroGrep\AstroGrep.exe" /spath="%USERPROFILE%\AppData\Local\Temp\OnboardLogs" /stypes="*4025*20160819*" /stext=" 05:.+((SYSTEM_STATE.+slice.+state.+changed )|(ment ac)|(system.+state.+changed )|(\|lc)|(penalty)|(\[timeout)|(PRM\|1\|D)|(kpr)|(kdp))" /e /r /s</v>
      </c>
      <c r="AG150" s="1" t="str">
        <f t="shared" si="54"/>
        <v>EC</v>
      </c>
      <c r="AH150" s="105" t="str">
        <f t="shared" si="55"/>
        <v>"%USERPROFILE%\Documents\GitHub\eaglep3\Utilities\RefineRTDCRunTimes.py" --tripid 237-18 --locoid 4025 --swversion DE.1.0.7.0 --startMP 204:467 --initTime 2016-08-18T22:46:58 --startdatetime 2016-08-18T22:48:24 --delay 1 --endMP 204:233316 --enddatetime 2016-08-18T23:37:56 --enforcementcount 0</v>
      </c>
    </row>
    <row r="151" spans="1:34" x14ac:dyDescent="0.25">
      <c r="A151" s="40" t="s">
        <v>536</v>
      </c>
      <c r="B151" s="7">
        <v>4026</v>
      </c>
      <c r="C151" s="25" t="s">
        <v>118</v>
      </c>
      <c r="D151" s="25" t="s">
        <v>62</v>
      </c>
      <c r="E151" s="16">
        <v>42600.99082175926</v>
      </c>
      <c r="F151" s="16">
        <v>42600.991898148146</v>
      </c>
      <c r="G151" s="7">
        <v>1</v>
      </c>
      <c r="H151" s="16" t="s">
        <v>138</v>
      </c>
      <c r="I151" s="16">
        <v>42601.026643518519</v>
      </c>
      <c r="J151" s="7">
        <v>0</v>
      </c>
      <c r="K151" s="142" t="str">
        <f t="shared" si="43"/>
        <v>4025/4026</v>
      </c>
      <c r="L151" s="25" t="str">
        <f>VLOOKUP(A151,'Trips&amp;Operators'!$C$1:$E$10000,3,FALSE)</f>
        <v>GOLIGHTLY</v>
      </c>
      <c r="M151" s="6">
        <f t="shared" si="44"/>
        <v>3.4745370372547768E-2</v>
      </c>
      <c r="N151" s="7">
        <f t="shared" si="40"/>
        <v>50.033333336468786</v>
      </c>
      <c r="O151" s="7"/>
      <c r="P151" s="7"/>
      <c r="Q151" s="26"/>
      <c r="R151" s="26"/>
      <c r="S151" s="38">
        <f t="shared" si="42"/>
        <v>1</v>
      </c>
      <c r="T151" s="53" t="str">
        <f t="shared" si="45"/>
        <v>Southbound</v>
      </c>
      <c r="U151" s="13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22:46:47-0600',mode:absolute,to:'2016-08-19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51" s="55" t="str">
        <f t="shared" si="47"/>
        <v>N</v>
      </c>
      <c r="X151" s="129">
        <f t="shared" ref="X151:X155" si="56">VALUE(LEFT(AD151,4))-VALUE(LEFT(AD150,4))</f>
        <v>1</v>
      </c>
      <c r="Y151" s="70">
        <f t="shared" si="48"/>
        <v>23.297699999999999</v>
      </c>
      <c r="Z151" s="70">
        <f t="shared" si="49"/>
        <v>1.5800000000000002E-2</v>
      </c>
      <c r="AA151" s="70">
        <f t="shared" si="50"/>
        <v>23.2819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51"/>
        <v>0238-18</v>
      </c>
      <c r="AE151" s="104" t="str">
        <f t="shared" si="52"/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AF151" s="101" t="str">
        <f t="shared" si="53"/>
        <v>"C:\Program Files (x86)\AstroGrep\AstroGrep.exe" /spath="%USERPROFILE%\AppData\Local\Temp\OnboardLogs" /stypes="*4026*20160819*" /stext=" 06:.+((SYSTEM_STATE.+slice.+state.+changed )|(ment ac)|(system.+state.+changed )|(\|lc)|(penalty)|(\[timeout)|(PRM\|1\|D)|(kpr)|(kdp))" /e /r /s</v>
      </c>
      <c r="AG151" s="1" t="str">
        <f t="shared" si="54"/>
        <v>EC</v>
      </c>
      <c r="AH151" s="105" t="str">
        <f t="shared" si="55"/>
        <v>"%USERPROFILE%\Documents\GitHub\eaglep3\Utilities\RefineRTDCRunTimes.py" --tripid 238-18 --locoid 4026 --swversion DE.1.0.7.0 --startMP 204:232977 --initTime 2016-08-18T23:46:47 --startdatetime 2016-08-18T23:48:20 --delay 1 --endMP 204:158 --enddatetime 2016-08-19T00:38:22 --enforcementcount 0</v>
      </c>
    </row>
    <row r="152" spans="1:34" x14ac:dyDescent="0.25">
      <c r="A152" s="40" t="s">
        <v>537</v>
      </c>
      <c r="B152" s="7">
        <v>4029</v>
      </c>
      <c r="C152" s="25" t="s">
        <v>118</v>
      </c>
      <c r="D152" s="25" t="s">
        <v>132</v>
      </c>
      <c r="E152" s="16">
        <v>42600.972673611112</v>
      </c>
      <c r="F152" s="16">
        <v>42600.974965277775</v>
      </c>
      <c r="G152" s="7">
        <v>3</v>
      </c>
      <c r="H152" s="16" t="s">
        <v>283</v>
      </c>
      <c r="I152" s="16">
        <v>42601.015752314815</v>
      </c>
      <c r="J152" s="7">
        <v>0</v>
      </c>
      <c r="K152" s="142" t="str">
        <f t="shared" si="43"/>
        <v>4029/4030</v>
      </c>
      <c r="L152" s="25" t="str">
        <f>VLOOKUP(A152,'Trips&amp;Operators'!$C$1:$E$10000,3,FALSE)</f>
        <v>DE LA ROSA</v>
      </c>
      <c r="M152" s="6">
        <f t="shared" si="44"/>
        <v>4.0787037039990537E-2</v>
      </c>
      <c r="N152" s="7">
        <f t="shared" si="40"/>
        <v>58.733333337586373</v>
      </c>
      <c r="O152" s="7"/>
      <c r="P152" s="7"/>
      <c r="Q152" s="26"/>
      <c r="R152" s="26"/>
      <c r="S152" s="38">
        <f t="shared" si="42"/>
        <v>1</v>
      </c>
      <c r="T152" s="53" t="str">
        <f t="shared" si="45"/>
        <v>NorthBound</v>
      </c>
      <c r="U152" s="13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22:20:39-0600',mode:absolute,to:'2016-08-19 01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2" s="55" t="str">
        <f t="shared" si="47"/>
        <v>N</v>
      </c>
      <c r="X152" s="129">
        <f t="shared" si="56"/>
        <v>1</v>
      </c>
      <c r="Y152" s="70">
        <f t="shared" si="48"/>
        <v>4.5499999999999999E-2</v>
      </c>
      <c r="Z152" s="70">
        <f t="shared" si="49"/>
        <v>23.327999999999999</v>
      </c>
      <c r="AA152" s="70">
        <f t="shared" si="50"/>
        <v>23.282499999999999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51"/>
        <v>0239-18</v>
      </c>
      <c r="AE152" s="104" t="str">
        <f t="shared" si="52"/>
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</c>
      <c r="AF152" s="101" t="str">
        <f t="shared" si="53"/>
        <v>"C:\Program Files (x86)\AstroGrep\AstroGrep.exe" /spath="%USERPROFILE%\AppData\Local\Temp\OnboardLogs" /stypes="*4029*20160819*" /stext=" 06:.+((SYSTEM_STATE.+slice.+state.+changed )|(ment ac)|(system.+state.+changed )|(\|lc)|(penalty)|(\[timeout)|(PRM\|1\|D)|(kpr)|(kdp))" /e /r /s</v>
      </c>
      <c r="AG152" s="1" t="str">
        <f t="shared" si="54"/>
        <v>EC</v>
      </c>
      <c r="AH152" s="105" t="str">
        <f t="shared" si="55"/>
        <v>"%USERPROFILE%\Documents\GitHub\eaglep3\Utilities\RefineRTDCRunTimes.py" --tripid 239-18 --locoid 4029 --swversion DE.1.0.7.0 --startMP 204:455 --initTime 2016-08-18T23:20:39 --startdatetime 2016-08-18T23:23:57 --delay 3 --endMP 204:233280 --enddatetime 2016-08-19T00:22:41 --enforcementcount 0</v>
      </c>
    </row>
    <row r="153" spans="1:34" x14ac:dyDescent="0.25">
      <c r="A153" s="40" t="s">
        <v>538</v>
      </c>
      <c r="B153" s="7">
        <v>4030</v>
      </c>
      <c r="C153" s="25" t="s">
        <v>118</v>
      </c>
      <c r="D153" s="25" t="s">
        <v>539</v>
      </c>
      <c r="E153" s="16">
        <v>42601.017048611109</v>
      </c>
      <c r="F153" s="16">
        <v>42601.017777777779</v>
      </c>
      <c r="G153" s="7">
        <v>1</v>
      </c>
      <c r="H153" s="16" t="s">
        <v>420</v>
      </c>
      <c r="I153" s="16">
        <v>42601.046666666669</v>
      </c>
      <c r="J153" s="7">
        <v>0</v>
      </c>
      <c r="K153" s="142" t="str">
        <f t="shared" si="43"/>
        <v>4029/4030</v>
      </c>
      <c r="L153" s="25" t="str">
        <f>VLOOKUP(A153,'Trips&amp;Operators'!$C$1:$E$10000,3,FALSE)</f>
        <v>DE LA ROSA</v>
      </c>
      <c r="M153" s="6">
        <f t="shared" si="44"/>
        <v>2.8888888889923692E-2</v>
      </c>
      <c r="N153" s="7">
        <f t="shared" si="40"/>
        <v>41.600000001490116</v>
      </c>
      <c r="O153" s="7"/>
      <c r="P153" s="7"/>
      <c r="Q153" s="26"/>
      <c r="R153" s="26"/>
      <c r="S153" s="38">
        <f t="shared" si="42"/>
        <v>1</v>
      </c>
      <c r="T153" s="53" t="str">
        <f t="shared" si="45"/>
        <v>Southbound</v>
      </c>
      <c r="U153" s="13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23:24:33-0600',mode:absolute,to:'2016-08-19 02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3" s="55" t="str">
        <f t="shared" si="47"/>
        <v>N</v>
      </c>
      <c r="X153" s="129">
        <f t="shared" si="56"/>
        <v>1</v>
      </c>
      <c r="Y153" s="70">
        <f t="shared" si="48"/>
        <v>23.295500000000001</v>
      </c>
      <c r="Z153" s="70">
        <f t="shared" si="49"/>
        <v>1.6E-2</v>
      </c>
      <c r="AA153" s="70">
        <f t="shared" si="50"/>
        <v>23.279500000000002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51"/>
        <v>0240-18</v>
      </c>
      <c r="AE153" s="104" t="str">
        <f t="shared" si="52"/>
        <v>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 &amp; aws s3 cp s3://rtdc.mdm.uploadarchive/RTDC4030/2016-08-20/ "%USERPROFILE%\AppData\Local\Temp\OnboardLogs"\RTDC4030\2016-08-20 --recursive &amp; "%USERPROFILE%\Documents\GitHub\mrs-test-scripts\Headless Mode &amp; Sideloading\WalkAndUnGZ.bat" "%USERPROFILE%\AppData\Local\Temp\OnboardLogs"\RTDC4030\2016-08-20</v>
      </c>
      <c r="AF153" s="101" t="str">
        <f t="shared" si="53"/>
        <v>"C:\Program Files (x86)\AstroGrep\AstroGrep.exe" /spath="%USERPROFILE%\AppData\Local\Temp\OnboardLogs" /stypes="*4030*20160819*" /stext=" 07:.+((SYSTEM_STATE.+slice.+state.+changed )|(ment ac)|(system.+state.+changed )|(\|lc)|(penalty)|(\[timeout)|(PRM\|1\|D)|(kpr)|(kdp))" /e /r /s</v>
      </c>
      <c r="AG153" s="1" t="str">
        <f t="shared" si="54"/>
        <v>EC</v>
      </c>
      <c r="AH153" s="105" t="str">
        <f t="shared" si="55"/>
        <v>"%USERPROFILE%\Documents\GitHub\eaglep3\Utilities\RefineRTDCRunTimes.py" --tripid 240-18 --locoid 4030 --swversion DE.1.0.7.0 --startMP 204:232955 --initTime 2016-08-19T00:24:33 --startdatetime 2016-08-19T00:25:36 --delay 1 --endMP 204:160 --enddatetime 2016-08-19T01:07:12 --enforcementcount 0</v>
      </c>
    </row>
    <row r="154" spans="1:34" x14ac:dyDescent="0.25">
      <c r="A154" s="40" t="s">
        <v>540</v>
      </c>
      <c r="B154" s="7">
        <v>4027</v>
      </c>
      <c r="C154" s="25" t="s">
        <v>118</v>
      </c>
      <c r="D154" s="25" t="s">
        <v>265</v>
      </c>
      <c r="E154" s="16">
        <v>42600.996666666666</v>
      </c>
      <c r="F154" s="16">
        <v>42600.997881944444</v>
      </c>
      <c r="G154" s="7">
        <v>1</v>
      </c>
      <c r="H154" s="16" t="s">
        <v>146</v>
      </c>
      <c r="I154" s="16">
        <v>42601.035810185182</v>
      </c>
      <c r="J154" s="7">
        <v>0</v>
      </c>
      <c r="K154" s="142" t="str">
        <f t="shared" si="43"/>
        <v>4027/4028</v>
      </c>
      <c r="L154" s="25" t="str">
        <f>VLOOKUP(A154,'Trips&amp;Operators'!$C$1:$E$10000,3,FALSE)</f>
        <v>LEVIN</v>
      </c>
      <c r="M154" s="6">
        <f t="shared" si="44"/>
        <v>3.792824073752854E-2</v>
      </c>
      <c r="N154" s="7">
        <f t="shared" si="40"/>
        <v>54.616666662041098</v>
      </c>
      <c r="O154" s="7"/>
      <c r="P154" s="7"/>
      <c r="Q154" s="26"/>
      <c r="R154" s="26"/>
      <c r="S154" s="38">
        <f t="shared" si="42"/>
        <v>1</v>
      </c>
      <c r="T154" s="53" t="str">
        <f t="shared" si="45"/>
        <v>NorthBound</v>
      </c>
      <c r="U154" s="13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22:55:12-0600',mode:absolute,to:'2016-08-19 01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4" s="55" t="str">
        <f t="shared" si="47"/>
        <v>N</v>
      </c>
      <c r="X154" s="129">
        <f t="shared" si="56"/>
        <v>1</v>
      </c>
      <c r="Y154" s="70">
        <f t="shared" si="48"/>
        <v>4.7800000000000002E-2</v>
      </c>
      <c r="Z154" s="70">
        <f t="shared" si="49"/>
        <v>23.331199999999999</v>
      </c>
      <c r="AA154" s="70">
        <f t="shared" si="50"/>
        <v>23.2834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51"/>
        <v>0241-18</v>
      </c>
      <c r="AE154" s="104" t="str">
        <f t="shared" si="52"/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AF154" s="101" t="str">
        <f t="shared" si="53"/>
        <v>"C:\Program Files (x86)\AstroGrep\AstroGrep.exe" /spath="%USERPROFILE%\AppData\Local\Temp\OnboardLogs" /stypes="*4027*20160819*" /stext=" 06:.+((SYSTEM_STATE.+slice.+state.+changed )|(ment ac)|(system.+state.+changed )|(\|lc)|(penalty)|(\[timeout)|(PRM\|1\|D)|(kpr)|(kdp))" /e /r /s</v>
      </c>
      <c r="AG154" s="1" t="str">
        <f t="shared" si="54"/>
        <v>EC</v>
      </c>
      <c r="AH154" s="105" t="str">
        <f t="shared" si="55"/>
        <v>"%USERPROFILE%\Documents\GitHub\eaglep3\Utilities\RefineRTDCRunTimes.py" --tripid 241-18 --locoid 4027 --swversion DE.1.0.7.0 --startMP 204:478 --initTime 2016-08-18T23:55:12 --startdatetime 2016-08-18T23:56:57 --delay 1 --endMP 204:233312 --enddatetime 2016-08-19T00:51:34 --enforcementcount 0</v>
      </c>
    </row>
    <row r="155" spans="1:34" x14ac:dyDescent="0.25">
      <c r="A155" s="40" t="s">
        <v>541</v>
      </c>
      <c r="B155" s="7">
        <v>4028</v>
      </c>
      <c r="C155" s="25" t="s">
        <v>118</v>
      </c>
      <c r="D155" s="25" t="s">
        <v>282</v>
      </c>
      <c r="E155" s="16">
        <v>42601.037789351853</v>
      </c>
      <c r="F155" s="16">
        <v>42601.038553240738</v>
      </c>
      <c r="G155" s="7">
        <v>1</v>
      </c>
      <c r="H155" s="16" t="s">
        <v>174</v>
      </c>
      <c r="I155" s="16">
        <v>42601.066689814812</v>
      </c>
      <c r="J155" s="7">
        <v>0</v>
      </c>
      <c r="K155" s="142" t="str">
        <f t="shared" si="43"/>
        <v>4027/4028</v>
      </c>
      <c r="L155" s="25" t="str">
        <f>VLOOKUP(A155,'Trips&amp;Operators'!$C$1:$E$10000,3,FALSE)</f>
        <v>OUN</v>
      </c>
      <c r="M155" s="6">
        <f t="shared" si="44"/>
        <v>2.8136574073869269E-2</v>
      </c>
      <c r="N155" s="7">
        <f t="shared" si="40"/>
        <v>40.516666666371748</v>
      </c>
      <c r="O155" s="7"/>
      <c r="P155" s="7"/>
      <c r="Q155" s="26"/>
      <c r="R155" s="26"/>
      <c r="S155" s="38">
        <f t="shared" si="42"/>
        <v>1</v>
      </c>
      <c r="T155" s="53" t="str">
        <f t="shared" si="45"/>
        <v>Southbound</v>
      </c>
      <c r="U155" s="13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23:54:25-0600',mode:absolute,to:'2016-08-19 02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55" s="55" t="str">
        <f t="shared" si="47"/>
        <v>N</v>
      </c>
      <c r="X155" s="129">
        <f t="shared" si="56"/>
        <v>1</v>
      </c>
      <c r="Y155" s="70">
        <f t="shared" si="48"/>
        <v>23.296900000000001</v>
      </c>
      <c r="Z155" s="70">
        <f t="shared" si="49"/>
        <v>1.54E-2</v>
      </c>
      <c r="AA155" s="70">
        <f t="shared" si="50"/>
        <v>23.281500000000001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51"/>
        <v>0242-18</v>
      </c>
      <c r="AE155" s="104" t="str">
        <f t="shared" si="52"/>
        <v>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 &amp; 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</v>
      </c>
      <c r="AF155" s="101" t="str">
        <f t="shared" si="53"/>
        <v>"C:\Program Files (x86)\AstroGrep\AstroGrep.exe" /spath="%USERPROFILE%\AppData\Local\Temp\OnboardLogs" /stypes="*4028*20160819*" /stext=" 07:.+((SYSTEM_STATE.+slice.+state.+changed )|(ment ac)|(system.+state.+changed )|(\|lc)|(penalty)|(\[timeout)|(PRM\|1\|D)|(kpr)|(kdp))" /e /r /s</v>
      </c>
      <c r="AG155" s="1" t="str">
        <f t="shared" si="54"/>
        <v>EC</v>
      </c>
      <c r="AH155" s="105" t="str">
        <f t="shared" si="55"/>
        <v>"%USERPROFILE%\Documents\GitHub\eaglep3\Utilities\RefineRTDCRunTimes.py" --tripid 242-18 --locoid 4028 --swversion DE.1.0.7.0 --startMP 204:232969 --initTime 2016-08-19T00:54:25 --startdatetime 2016-08-19T00:55:31 --delay 1 --endMP 204:154 --enddatetime 2016-08-19T01:36:02 --enforcementcount 0</v>
      </c>
    </row>
    <row r="156" spans="1:34" x14ac:dyDescent="0.25">
      <c r="A156" s="40" t="s">
        <v>542</v>
      </c>
      <c r="B156" s="7">
        <v>4007</v>
      </c>
      <c r="C156" s="25" t="s">
        <v>118</v>
      </c>
      <c r="D156" s="25" t="s">
        <v>473</v>
      </c>
      <c r="E156" s="16">
        <v>42601.011782407404</v>
      </c>
      <c r="F156" s="16">
        <v>42601.016435185185</v>
      </c>
      <c r="G156" s="7">
        <v>6</v>
      </c>
      <c r="H156" s="16" t="s">
        <v>459</v>
      </c>
      <c r="I156" s="16">
        <v>42601.057210648149</v>
      </c>
      <c r="J156" s="7">
        <v>0</v>
      </c>
      <c r="K156" s="142" t="str">
        <f t="shared" si="43"/>
        <v>4007/4008</v>
      </c>
      <c r="L156" s="25" t="str">
        <f>VLOOKUP(A156,'Trips&amp;Operators'!$C$1:$E$10000,3,FALSE)</f>
        <v>STURGEON</v>
      </c>
      <c r="M156" s="6">
        <f t="shared" si="44"/>
        <v>4.0775462963210884E-2</v>
      </c>
      <c r="N156" s="7">
        <f t="shared" si="40"/>
        <v>58.716666667023674</v>
      </c>
      <c r="O156" s="7"/>
      <c r="P156" s="7"/>
      <c r="Q156" s="26"/>
      <c r="R156" s="26"/>
      <c r="S156" s="38">
        <f t="shared" si="42"/>
        <v>1</v>
      </c>
      <c r="T156" s="53" t="str">
        <f t="shared" si="45"/>
        <v>NorthBound</v>
      </c>
      <c r="U156" s="13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23:16:58-0600',mode:absolute,to:'2016-08-19 02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56" s="55" t="str">
        <f t="shared" si="47"/>
        <v>N</v>
      </c>
      <c r="X156" s="129">
        <f>VALUE(LEFT(AD156,4))-VALUE(LEFT(AD155,4))</f>
        <v>1</v>
      </c>
      <c r="Y156" s="70">
        <f t="shared" si="48"/>
        <v>4.9700000000000001E-2</v>
      </c>
      <c r="Z156" s="70">
        <f t="shared" si="49"/>
        <v>23.328399999999998</v>
      </c>
      <c r="AA156" s="70">
        <f t="shared" si="50"/>
        <v>23.278699999999997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51"/>
        <v>0243-18</v>
      </c>
      <c r="AE156" s="104" t="str">
        <f t="shared" si="52"/>
        <v>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 &amp; 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</v>
      </c>
      <c r="AF156" s="101" t="str">
        <f t="shared" si="53"/>
        <v>"C:\Program Files (x86)\AstroGrep\AstroGrep.exe" /spath="%USERPROFILE%\AppData\Local\Temp\OnboardLogs" /stypes="*4007*20160819*" /stext=" 07:.+((SYSTEM_STATE.+slice.+state.+changed )|(ment ac)|(system.+state.+changed )|(\|lc)|(penalty)|(\[timeout)|(PRM\|1\|D)|(kpr)|(kdp))" /e /r /s</v>
      </c>
      <c r="AG156" s="1" t="str">
        <f t="shared" si="54"/>
        <v>EC</v>
      </c>
      <c r="AH156" s="105" t="str">
        <f t="shared" si="55"/>
        <v>"%USERPROFILE%\Documents\GitHub\eaglep3\Utilities\RefineRTDCRunTimes.py" --tripid 243-18 --locoid 4007 --swversion DE.1.0.7.0 --startMP 204:497 --initTime 2016-08-19T00:16:58 --startdatetime 2016-08-19T00:23:40 --delay 6 --endMP 204:233284 --enddatetime 2016-08-19T01:22:23 --enforcementcount 0</v>
      </c>
    </row>
    <row r="157" spans="1:34" s="24" customFormat="1" x14ac:dyDescent="0.25">
      <c r="A157" s="40" t="s">
        <v>680</v>
      </c>
      <c r="B157" s="7">
        <v>4008</v>
      </c>
      <c r="C157" s="25" t="s">
        <v>118</v>
      </c>
      <c r="D157" s="25" t="s">
        <v>473</v>
      </c>
      <c r="E157" s="16">
        <v>42601.011782407404</v>
      </c>
      <c r="F157" s="16">
        <v>42601.059641203705</v>
      </c>
      <c r="G157" s="7">
        <v>6</v>
      </c>
      <c r="H157" s="16" t="s">
        <v>459</v>
      </c>
      <c r="I157" s="16">
        <v>42601.080289351848</v>
      </c>
      <c r="J157" s="7">
        <v>0</v>
      </c>
      <c r="K157" s="142" t="str">
        <f t="shared" si="43"/>
        <v>4007/4008</v>
      </c>
      <c r="L157" s="25" t="str">
        <f>VLOOKUP(A157,'Trips&amp;Operators'!$C$1:$E$10000,3,FALSE)</f>
        <v>STURGEON</v>
      </c>
      <c r="M157" s="6">
        <f t="shared" si="44"/>
        <v>2.0648148143664002E-2</v>
      </c>
      <c r="N157" s="7"/>
      <c r="O157" s="7"/>
      <c r="P157" s="7">
        <f>24*60*SUM($M157:$M157)</f>
        <v>29.733333326876163</v>
      </c>
      <c r="Q157" s="26"/>
      <c r="R157" s="26" t="s">
        <v>232</v>
      </c>
      <c r="S157" s="38">
        <f t="shared" si="42"/>
        <v>0</v>
      </c>
      <c r="T157" s="53" t="str">
        <f t="shared" si="45"/>
        <v>Southbound</v>
      </c>
      <c r="U157" s="13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23:16:58-0600',mode:absolute,to:'2016-08-19 02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7" s="55" t="str">
        <f t="shared" si="47"/>
        <v>N</v>
      </c>
      <c r="X157" s="129">
        <f>VALUE(LEFT(AD157,4))-VALUE(LEFT(AD156,4))</f>
        <v>1</v>
      </c>
      <c r="Y157" s="70">
        <f t="shared" si="48"/>
        <v>4.9700000000000001E-2</v>
      </c>
      <c r="Z157" s="70">
        <f t="shared" si="49"/>
        <v>23.328399999999998</v>
      </c>
      <c r="AA157" s="70">
        <f t="shared" si="50"/>
        <v>23.278699999999997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51"/>
        <v>0244-18</v>
      </c>
      <c r="AE157" s="104" t="str">
        <f t="shared" si="52"/>
        <v>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 &amp; 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</v>
      </c>
      <c r="AF157" s="101" t="str">
        <f t="shared" si="53"/>
        <v>"C:\Program Files (x86)\AstroGrep\AstroGrep.exe" /spath="%USERPROFILE%\AppData\Local\Temp\OnboardLogs" /stypes="*4008*20160819*" /stext=" 07:.+((SYSTEM_STATE.+slice.+state.+changed )|(ment ac)|(system.+state.+changed )|(\|lc)|(penalty)|(\[timeout)|(PRM\|1\|D)|(kpr)|(kdp))" /e /r /s</v>
      </c>
      <c r="AG157" s="1" t="str">
        <f t="shared" si="54"/>
        <v>EC</v>
      </c>
      <c r="AH157" s="105" t="str">
        <f t="shared" ref="AH157" si="57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</f>
        <v>"%USERPROFILE%\Documents\GitHub\eaglep3\Utilities\RefineRTDCRunTimes.py" --tripid 244-18 --locoid 4008 --swversion DE.1.0.7.0 --startMP 204:497 --initTime 2016-08-19T00:16:58 --startdatetime 2016-08-19T01:25:53 --delay 6 --endMP 204:233284 --enddatetime 2016-08-19T01:55:37 --enforcementcount 0</v>
      </c>
    </row>
    <row r="158" spans="1:34" x14ac:dyDescent="0.25">
      <c r="A158" s="40" t="s">
        <v>562</v>
      </c>
      <c r="B158" s="7">
        <v>4019</v>
      </c>
      <c r="C158" s="25" t="s">
        <v>118</v>
      </c>
      <c r="D158" s="25" t="s">
        <v>563</v>
      </c>
      <c r="E158" s="16">
        <v>42600.212453703702</v>
      </c>
      <c r="F158" s="16">
        <v>42600.213333333333</v>
      </c>
      <c r="G158" s="7">
        <v>1</v>
      </c>
      <c r="H158" s="16" t="s">
        <v>564</v>
      </c>
      <c r="I158" s="16">
        <v>42600.225462962961</v>
      </c>
      <c r="J158" s="7">
        <v>0</v>
      </c>
      <c r="K158" s="142" t="str">
        <f t="shared" si="43"/>
        <v>4019/4020</v>
      </c>
      <c r="L158" s="25" t="str">
        <f>VLOOKUP(A158,'Trips&amp;Operators'!$C$1:$E$10000,3,FALSE)</f>
        <v>YORK</v>
      </c>
      <c r="M158" s="6">
        <f t="shared" si="44"/>
        <v>1.2129629627452232E-2</v>
      </c>
      <c r="N158" s="7">
        <f t="shared" ref="N158:N189" si="58">24*60*SUM($M158:$M158)</f>
        <v>17.466666663531214</v>
      </c>
      <c r="O158" s="7"/>
      <c r="P158" s="7"/>
      <c r="Q158" s="26"/>
      <c r="R158" s="26"/>
      <c r="S158" s="38">
        <f t="shared" si="42"/>
        <v>1</v>
      </c>
      <c r="T158" s="53" t="str">
        <f t="shared" si="45"/>
        <v>Southbound</v>
      </c>
      <c r="U158" s="13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04:05:56-0600',mode:absolute,to:'2016-08-18 06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8" s="55" t="str">
        <f t="shared" si="47"/>
        <v>N</v>
      </c>
      <c r="X158" s="129">
        <f t="shared" ref="X158:X160" si="59">VALUE(LEFT(AD158,4))-VALUE(LEFT(AD157,4))</f>
        <v>556</v>
      </c>
      <c r="Y158" s="70">
        <f t="shared" si="48"/>
        <v>5.8634000000000004</v>
      </c>
      <c r="Z158" s="70">
        <f t="shared" si="49"/>
        <v>7.9600000000000004E-2</v>
      </c>
      <c r="AA158" s="70">
        <f t="shared" si="50"/>
        <v>5.7838000000000003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51"/>
        <v>0800-18</v>
      </c>
      <c r="AE158" s="104" t="str">
        <f t="shared" si="52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158" s="101" t="str">
        <f t="shared" si="53"/>
        <v>"C:\Program Files (x86)\AstroGrep\AstroGrep.exe" /spath="%USERPROFILE%\AppData\Local\Temp\OnboardLogs" /stypes="*4019*20160818*" /stext=" 11:.+((SYSTEM_STATE.+slice.+state.+changed )|(ment ac)|(system.+state.+changed )|(\|lc)|(penalty)|(\[timeout)|(PRM\|1\|D)|(kpr)|(kdp))" /e /r /s</v>
      </c>
      <c r="AG158" s="1" t="str">
        <f t="shared" si="54"/>
        <v>NW</v>
      </c>
      <c r="AH158" s="105" t="str">
        <f t="shared" si="55"/>
        <v>"%USERPROFILE%\Documents\GitHub\eaglep3\Utilities\RefineRTDCRunTimes.py" --tripid 800-18 --locoid 4019 --swversion DE.1.0.7.0 --startMP 300:58634 --initTime 2016-08-18T05:05:56 --startdatetime 2016-08-18T05:07:12 --delay 1 --endMP 204:796 --enddatetime 2016-08-18T05:24:40 --enforcementcount 0</v>
      </c>
    </row>
    <row r="159" spans="1:34" x14ac:dyDescent="0.25">
      <c r="A159" s="40" t="s">
        <v>565</v>
      </c>
      <c r="B159" s="7">
        <v>4020</v>
      </c>
      <c r="C159" s="25" t="s">
        <v>118</v>
      </c>
      <c r="D159" s="25" t="s">
        <v>566</v>
      </c>
      <c r="E159" s="16">
        <v>42600.227025462962</v>
      </c>
      <c r="F159" s="16">
        <v>42600.22797453704</v>
      </c>
      <c r="G159" s="7">
        <v>1</v>
      </c>
      <c r="H159" s="16" t="s">
        <v>567</v>
      </c>
      <c r="I159" s="16">
        <v>42600.254618055558</v>
      </c>
      <c r="J159" s="7">
        <v>0</v>
      </c>
      <c r="K159" s="142" t="str">
        <f t="shared" si="43"/>
        <v>4019/4020</v>
      </c>
      <c r="L159" s="25" t="str">
        <f>VLOOKUP(A159,'Trips&amp;Operators'!$C$1:$E$10000,3,FALSE)</f>
        <v>YORK</v>
      </c>
      <c r="M159" s="6">
        <f t="shared" si="44"/>
        <v>2.6643518518540077E-2</v>
      </c>
      <c r="N159" s="7">
        <f t="shared" si="58"/>
        <v>38.366666666697711</v>
      </c>
      <c r="O159" s="7"/>
      <c r="P159" s="7"/>
      <c r="Q159" s="26"/>
      <c r="R159" s="26"/>
      <c r="S159" s="38">
        <f t="shared" si="42"/>
        <v>1</v>
      </c>
      <c r="T159" s="53" t="str">
        <f t="shared" si="45"/>
        <v>NorthBound</v>
      </c>
      <c r="U159" s="13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04:26:55-0600',mode:absolute,to:'2016-08-18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9" s="55" t="str">
        <f t="shared" si="47"/>
        <v>N</v>
      </c>
      <c r="X159" s="129">
        <f t="shared" si="59"/>
        <v>1</v>
      </c>
      <c r="Y159" s="70">
        <f t="shared" si="48"/>
        <v>0.1062</v>
      </c>
      <c r="Z159" s="70">
        <f t="shared" si="49"/>
        <v>5.8943000000000003</v>
      </c>
      <c r="AA159" s="70">
        <f t="shared" si="50"/>
        <v>5.7881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51"/>
        <v>0801-18</v>
      </c>
      <c r="AE159" s="104" t="str">
        <f t="shared" si="52"/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AF159" s="101" t="str">
        <f t="shared" si="53"/>
        <v>"C:\Program Files (x86)\AstroGrep\AstroGrep.exe" /spath="%USERPROFILE%\AppData\Local\Temp\OnboardLogs" /stypes="*4020*20160818*" /stext=" 12:.+((SYSTEM_STATE.+slice.+state.+changed )|(ment ac)|(system.+state.+changed )|(\|lc)|(penalty)|(\[timeout)|(PRM\|1\|D)|(kpr)|(kdp))" /e /r /s</v>
      </c>
      <c r="AG159" s="1" t="str">
        <f t="shared" si="54"/>
        <v>NW</v>
      </c>
      <c r="AH159" s="105" t="str">
        <f t="shared" si="55"/>
        <v>"%USERPROFILE%\Documents\GitHub\eaglep3\Utilities\RefineRTDCRunTimes.py" --tripid 801-18 --locoid 4020 --swversion DE.1.0.7.0 --startMP 204:1062 --initTime 2016-08-18T05:26:55 --startdatetime 2016-08-18T05:28:17 --delay 1 --endMP 300:58943 --enddatetime 2016-08-18T06:06:39 --enforcementcount 0</v>
      </c>
    </row>
    <row r="160" spans="1:34" x14ac:dyDescent="0.25">
      <c r="A160" s="40" t="s">
        <v>568</v>
      </c>
      <c r="B160" s="7">
        <v>4019</v>
      </c>
      <c r="C160" s="25" t="s">
        <v>118</v>
      </c>
      <c r="D160" s="25" t="s">
        <v>252</v>
      </c>
      <c r="E160" s="16">
        <v>42600.255520833336</v>
      </c>
      <c r="F160" s="16">
        <v>42600.256307870368</v>
      </c>
      <c r="G160" s="7">
        <v>1</v>
      </c>
      <c r="H160" s="16" t="s">
        <v>569</v>
      </c>
      <c r="I160" s="16">
        <v>42600.267488425925</v>
      </c>
      <c r="J160" s="7">
        <v>0</v>
      </c>
      <c r="K160" s="142" t="str">
        <f t="shared" si="43"/>
        <v>4019/4020</v>
      </c>
      <c r="L160" s="25" t="str">
        <f>VLOOKUP(A160,'Trips&amp;Operators'!$C$1:$E$10000,3,FALSE)</f>
        <v>YORK</v>
      </c>
      <c r="M160" s="6">
        <f t="shared" si="44"/>
        <v>1.1180555557075422E-2</v>
      </c>
      <c r="N160" s="7">
        <f t="shared" si="58"/>
        <v>16.100000002188608</v>
      </c>
      <c r="O160" s="7"/>
      <c r="P160" s="7"/>
      <c r="Q160" s="26"/>
      <c r="R160" s="26"/>
      <c r="S160" s="38">
        <f t="shared" si="42"/>
        <v>1</v>
      </c>
      <c r="T160" s="53" t="str">
        <f t="shared" si="45"/>
        <v>Southbound</v>
      </c>
      <c r="U160" s="13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05:07:57-0600',mode:absolute,to:'2016-08-18 07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60" s="55" t="str">
        <f t="shared" si="47"/>
        <v>N</v>
      </c>
      <c r="X160" s="129">
        <f t="shared" si="59"/>
        <v>1</v>
      </c>
      <c r="Y160" s="70">
        <f t="shared" si="48"/>
        <v>5.8630000000000004</v>
      </c>
      <c r="Z160" s="70">
        <f t="shared" si="49"/>
        <v>7.6399999999999996E-2</v>
      </c>
      <c r="AA160" s="70">
        <f t="shared" si="50"/>
        <v>5.7866000000000009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51"/>
        <v>0802-18</v>
      </c>
      <c r="AE160" s="104" t="str">
        <f t="shared" si="52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160" s="101" t="str">
        <f t="shared" si="53"/>
        <v>"C:\Program Files (x86)\AstroGrep\AstroGrep.exe" /spath="%USERPROFILE%\AppData\Local\Temp\OnboardLogs" /stypes="*4019*20160818*" /stext=" 12:.+((SYSTEM_STATE.+slice.+state.+changed )|(ment ac)|(system.+state.+changed )|(\|lc)|(penalty)|(\[timeout)|(PRM\|1\|D)|(kpr)|(kdp))" /e /r /s</v>
      </c>
      <c r="AG160" s="1" t="str">
        <f t="shared" si="54"/>
        <v>NW</v>
      </c>
      <c r="AH160" s="105" t="str">
        <f t="shared" si="55"/>
        <v>"%USERPROFILE%\Documents\GitHub\eaglep3\Utilities\RefineRTDCRunTimes.py" --tripid 802-18 --locoid 4019 --swversion DE.1.0.7.0 --startMP 300:58630 --initTime 2016-08-18T06:07:57 --startdatetime 2016-08-18T06:09:05 --delay 1 --endMP 204:764 --enddatetime 2016-08-18T06:25:11 --enforcementcount 0</v>
      </c>
    </row>
    <row r="161" spans="1:34" x14ac:dyDescent="0.25">
      <c r="A161" s="40" t="s">
        <v>570</v>
      </c>
      <c r="B161" s="7">
        <v>4002</v>
      </c>
      <c r="C161" s="25" t="s">
        <v>118</v>
      </c>
      <c r="D161" s="25" t="s">
        <v>571</v>
      </c>
      <c r="E161" s="16">
        <v>42600.254374999997</v>
      </c>
      <c r="F161" s="16">
        <v>42600.25577546296</v>
      </c>
      <c r="G161" s="7">
        <v>2</v>
      </c>
      <c r="H161" s="16" t="s">
        <v>304</v>
      </c>
      <c r="I161" s="16">
        <v>42600.275150462963</v>
      </c>
      <c r="J161" s="7">
        <v>0</v>
      </c>
      <c r="K161" s="142" t="str">
        <f t="shared" si="43"/>
        <v>4001/4002</v>
      </c>
      <c r="L161" s="25" t="str">
        <f>VLOOKUP(A161,'Trips&amp;Operators'!$C$1:$E$10000,3,FALSE)</f>
        <v>SWANSON</v>
      </c>
      <c r="M161" s="6">
        <f t="shared" si="44"/>
        <v>1.937500000349246E-2</v>
      </c>
      <c r="N161" s="7">
        <f t="shared" si="58"/>
        <v>27.900000005029142</v>
      </c>
      <c r="O161" s="7"/>
      <c r="P161" s="7"/>
      <c r="Q161" s="26"/>
      <c r="R161" s="26"/>
      <c r="S161" s="38">
        <f t="shared" si="42"/>
        <v>1</v>
      </c>
      <c r="T161" s="53" t="str">
        <f t="shared" si="45"/>
        <v>NorthBound</v>
      </c>
      <c r="U161" s="13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05:06:18-0600',mode:absolute,to:'2016-08-18 07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1" s="55" t="str">
        <f t="shared" si="47"/>
        <v>N</v>
      </c>
      <c r="X161" s="129">
        <f t="shared" ref="X161:X192" si="60">VALUE(LEFT(AD161,4))-VALUE(LEFT(AD160,4))</f>
        <v>1</v>
      </c>
      <c r="Y161" s="70">
        <f t="shared" si="48"/>
        <v>3.9899999999999998E-2</v>
      </c>
      <c r="Z161" s="70">
        <f t="shared" si="49"/>
        <v>5.8975</v>
      </c>
      <c r="AA161" s="70">
        <f t="shared" si="50"/>
        <v>5.8575999999999997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51"/>
        <v>0803-18</v>
      </c>
      <c r="AE161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61" s="101" t="str">
        <f t="shared" si="53"/>
        <v>"C:\Program Files (x86)\AstroGrep\AstroGrep.exe" /spath="%USERPROFILE%\AppData\Local\Temp\OnboardLogs" /stypes="*4002*20160818*" /stext=" 12:.+((SYSTEM_STATE.+slice.+state.+changed )|(ment ac)|(system.+state.+changed )|(\|lc)|(penalty)|(\[timeout)|(PRM\|1\|D)|(kpr)|(kdp))" /e /r /s</v>
      </c>
      <c r="AG161" s="1" t="str">
        <f t="shared" si="54"/>
        <v>NW</v>
      </c>
      <c r="AH161" s="105" t="str">
        <f t="shared" si="55"/>
        <v>"%USERPROFILE%\Documents\GitHub\eaglep3\Utilities\RefineRTDCRunTimes.py" --tripid 803-18 --locoid 4002 --swversion DE.1.0.7.0 --startMP 204:399 --initTime 2016-08-18T06:06:18 --startdatetime 2016-08-18T06:08:19 --delay 2 --endMP 300:58975 --enddatetime 2016-08-18T06:36:13 --enforcementcount 0</v>
      </c>
    </row>
    <row r="162" spans="1:34" s="24" customFormat="1" x14ac:dyDescent="0.25">
      <c r="A162" s="40" t="s">
        <v>572</v>
      </c>
      <c r="B162" s="7">
        <v>4001</v>
      </c>
      <c r="C162" s="25" t="s">
        <v>118</v>
      </c>
      <c r="D162" s="25" t="s">
        <v>305</v>
      </c>
      <c r="E162" s="16">
        <v>42600.276828703703</v>
      </c>
      <c r="F162" s="16">
        <v>42600.278252314813</v>
      </c>
      <c r="G162" s="7">
        <v>2</v>
      </c>
      <c r="H162" s="16" t="s">
        <v>573</v>
      </c>
      <c r="I162" s="16">
        <v>42600.288981481484</v>
      </c>
      <c r="J162" s="7">
        <v>0</v>
      </c>
      <c r="K162" s="142" t="str">
        <f t="shared" si="43"/>
        <v>4001/4002</v>
      </c>
      <c r="L162" s="25" t="str">
        <f>VLOOKUP(A162,'Trips&amp;Operators'!$C$1:$E$10000,3,FALSE)</f>
        <v>SWANSON</v>
      </c>
      <c r="M162" s="6">
        <f t="shared" si="44"/>
        <v>1.0729166671808343E-2</v>
      </c>
      <c r="N162" s="7">
        <f t="shared" si="58"/>
        <v>15.450000007404014</v>
      </c>
      <c r="O162" s="7"/>
      <c r="P162" s="7"/>
      <c r="Q162" s="26"/>
      <c r="R162" s="26"/>
      <c r="S162" s="38">
        <f t="shared" si="42"/>
        <v>1</v>
      </c>
      <c r="T162" s="53" t="str">
        <f t="shared" si="45"/>
        <v>Southbound</v>
      </c>
      <c r="U162" s="13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05:38:38-0600',mode:absolute,to:'2016-08-18 07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2" s="55" t="str">
        <f t="shared" si="47"/>
        <v>N</v>
      </c>
      <c r="X162" s="129">
        <f t="shared" si="60"/>
        <v>1</v>
      </c>
      <c r="Y162" s="70">
        <f t="shared" si="48"/>
        <v>5.8666</v>
      </c>
      <c r="Z162" s="70">
        <f t="shared" si="49"/>
        <v>6.5600000000000006E-2</v>
      </c>
      <c r="AA162" s="70">
        <f t="shared" si="50"/>
        <v>5.8010000000000002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si="51"/>
        <v>0804-18</v>
      </c>
      <c r="AE162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62" s="101" t="str">
        <f t="shared" si="53"/>
        <v>"C:\Program Files (x86)\AstroGrep\AstroGrep.exe" /spath="%USERPROFILE%\AppData\Local\Temp\OnboardLogs" /stypes="*4001*20160818*" /stext=" 12:.+((SYSTEM_STATE.+slice.+state.+changed )|(ment ac)|(system.+state.+changed )|(\|lc)|(penalty)|(\[timeout)|(PRM\|1\|D)|(kpr)|(kdp))" /e /r /s</v>
      </c>
      <c r="AG162" s="1" t="str">
        <f t="shared" si="54"/>
        <v>NW</v>
      </c>
      <c r="AH162" s="105" t="str">
        <f t="shared" si="55"/>
        <v>"%USERPROFILE%\Documents\GitHub\eaglep3\Utilities\RefineRTDCRunTimes.py" --tripid 804-18 --locoid 4001 --swversion DE.1.0.7.0 --startMP 300:58666 --initTime 2016-08-18T06:38:38 --startdatetime 2016-08-18T06:40:41 --delay 2 --endMP 204:656 --enddatetime 2016-08-18T06:56:08 --enforcementcount 0</v>
      </c>
    </row>
    <row r="163" spans="1:34" x14ac:dyDescent="0.25">
      <c r="A163" s="40" t="s">
        <v>574</v>
      </c>
      <c r="B163" s="7">
        <v>4020</v>
      </c>
      <c r="C163" s="25" t="s">
        <v>118</v>
      </c>
      <c r="D163" s="25" t="s">
        <v>575</v>
      </c>
      <c r="E163" s="16">
        <v>42600.269108796296</v>
      </c>
      <c r="F163" s="16">
        <v>42600.270127314812</v>
      </c>
      <c r="G163" s="7">
        <v>1</v>
      </c>
      <c r="H163" s="16" t="s">
        <v>297</v>
      </c>
      <c r="I163" s="16">
        <v>42600.296990740739</v>
      </c>
      <c r="J163" s="7">
        <v>0</v>
      </c>
      <c r="K163" s="142" t="str">
        <f t="shared" si="43"/>
        <v>4019/4020</v>
      </c>
      <c r="L163" s="25" t="str">
        <f>VLOOKUP(A163,'Trips&amp;Operators'!$C$1:$E$10000,3,FALSE)</f>
        <v>YORK</v>
      </c>
      <c r="M163" s="6">
        <f t="shared" si="44"/>
        <v>2.6863425926421769E-2</v>
      </c>
      <c r="N163" s="7">
        <f t="shared" si="58"/>
        <v>38.683333334047347</v>
      </c>
      <c r="O163" s="7"/>
      <c r="P163" s="7"/>
      <c r="Q163" s="26"/>
      <c r="R163" s="26"/>
      <c r="S163" s="38">
        <f t="shared" si="42"/>
        <v>1</v>
      </c>
      <c r="T163" s="53" t="str">
        <f t="shared" si="45"/>
        <v>NorthBound</v>
      </c>
      <c r="U163" s="13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05:27:31-0600',mode:absolute,to:'2016-08-18 08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63" s="55" t="str">
        <f t="shared" si="47"/>
        <v>N</v>
      </c>
      <c r="X163" s="129">
        <f t="shared" si="60"/>
        <v>1</v>
      </c>
      <c r="Y163" s="70">
        <f t="shared" si="48"/>
        <v>0.1069</v>
      </c>
      <c r="Z163" s="70">
        <f t="shared" si="49"/>
        <v>5.8954000000000004</v>
      </c>
      <c r="AA163" s="70">
        <f t="shared" si="50"/>
        <v>5.7885000000000009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51"/>
        <v>0805-18</v>
      </c>
      <c r="AE163" s="104" t="str">
        <f t="shared" si="52"/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AF163" s="101" t="str">
        <f t="shared" si="53"/>
        <v>"C:\Program Files (x86)\AstroGrep\AstroGrep.exe" /spath="%USERPROFILE%\AppData\Local\Temp\OnboardLogs" /stypes="*4020*20160818*" /stext=" 13:.+((SYSTEM_STATE.+slice.+state.+changed )|(ment ac)|(system.+state.+changed )|(\|lc)|(penalty)|(\[timeout)|(PRM\|1\|D)|(kpr)|(kdp))" /e /r /s</v>
      </c>
      <c r="AG163" s="1" t="str">
        <f t="shared" si="54"/>
        <v>NW</v>
      </c>
      <c r="AH163" s="105" t="str">
        <f t="shared" si="55"/>
        <v>"%USERPROFILE%\Documents\GitHub\eaglep3\Utilities\RefineRTDCRunTimes.py" --tripid 805-18 --locoid 4020 --swversion DE.1.0.7.0 --startMP 204:1069 --initTime 2016-08-18T06:27:31 --startdatetime 2016-08-18T06:28:59 --delay 1 --endMP 300:58954 --enddatetime 2016-08-18T07:07:40 --enforcementcount 0</v>
      </c>
    </row>
    <row r="164" spans="1:34" s="24" customFormat="1" x14ac:dyDescent="0.25">
      <c r="A164" s="40" t="s">
        <v>324</v>
      </c>
      <c r="B164" s="7">
        <v>4019</v>
      </c>
      <c r="C164" s="25" t="s">
        <v>118</v>
      </c>
      <c r="D164" s="25" t="s">
        <v>576</v>
      </c>
      <c r="E164" s="16">
        <v>42600.298136574071</v>
      </c>
      <c r="F164" s="16">
        <v>42600.299618055556</v>
      </c>
      <c r="G164" s="7">
        <v>2</v>
      </c>
      <c r="H164" s="16" t="s">
        <v>577</v>
      </c>
      <c r="I164" s="16">
        <v>42600.309884259259</v>
      </c>
      <c r="J164" s="7">
        <v>0</v>
      </c>
      <c r="K164" s="142" t="str">
        <f t="shared" si="43"/>
        <v>4019/4020</v>
      </c>
      <c r="L164" s="25" t="str">
        <f>VLOOKUP(A164,'Trips&amp;Operators'!$C$1:$E$10000,3,FALSE)</f>
        <v>YORK</v>
      </c>
      <c r="M164" s="6">
        <f t="shared" si="44"/>
        <v>1.0266203702485655E-2</v>
      </c>
      <c r="N164" s="7">
        <f t="shared" si="58"/>
        <v>14.783333331579342</v>
      </c>
      <c r="O164" s="7"/>
      <c r="P164" s="7"/>
      <c r="Q164" s="26"/>
      <c r="R164" s="26"/>
      <c r="S164" s="38">
        <f t="shared" si="42"/>
        <v>1</v>
      </c>
      <c r="T164" s="53" t="str">
        <f t="shared" si="45"/>
        <v>Southbound</v>
      </c>
      <c r="U164" s="13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06:09:19-0600',mode:absolute,to:'2016-08-18 08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64" s="55" t="str">
        <f t="shared" si="47"/>
        <v>N</v>
      </c>
      <c r="X164" s="129">
        <f t="shared" si="60"/>
        <v>1</v>
      </c>
      <c r="Y164" s="70">
        <f t="shared" si="48"/>
        <v>5.8643000000000001</v>
      </c>
      <c r="Z164" s="70">
        <f t="shared" si="49"/>
        <v>7.3400000000000007E-2</v>
      </c>
      <c r="AA164" s="70">
        <f t="shared" si="50"/>
        <v>5.7908999999999997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51"/>
        <v>0806-18</v>
      </c>
      <c r="AE164" s="104" t="str">
        <f t="shared" si="52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164" s="101" t="str">
        <f t="shared" si="53"/>
        <v>"C:\Program Files (x86)\AstroGrep\AstroGrep.exe" /spath="%USERPROFILE%\AppData\Local\Temp\OnboardLogs" /stypes="*4019*20160818*" /stext=" 13:.+((SYSTEM_STATE.+slice.+state.+changed )|(ment ac)|(system.+state.+changed )|(\|lc)|(penalty)|(\[timeout)|(PRM\|1\|D)|(kpr)|(kdp))" /e /r /s</v>
      </c>
      <c r="AG164" s="1" t="str">
        <f t="shared" si="54"/>
        <v>NW</v>
      </c>
      <c r="AH164" s="105" t="str">
        <f t="shared" si="55"/>
        <v>"%USERPROFILE%\Documents\GitHub\eaglep3\Utilities\RefineRTDCRunTimes.py" --tripid 806-18 --locoid 4019 --swversion DE.1.0.7.0 --startMP 300:58643 --initTime 2016-08-18T07:09:19 --startdatetime 2016-08-18T07:11:27 --delay 2 --endMP 204:734 --enddatetime 2016-08-18T07:26:14 --enforcementcount 0</v>
      </c>
    </row>
    <row r="165" spans="1:34" x14ac:dyDescent="0.25">
      <c r="A165" s="40" t="s">
        <v>325</v>
      </c>
      <c r="B165" s="7">
        <v>4002</v>
      </c>
      <c r="C165" s="25" t="s">
        <v>118</v>
      </c>
      <c r="D165" s="25" t="s">
        <v>578</v>
      </c>
      <c r="E165" s="16">
        <v>42600.30296296296</v>
      </c>
      <c r="F165" s="16">
        <v>42600.304039351853</v>
      </c>
      <c r="G165" s="7">
        <v>1</v>
      </c>
      <c r="H165" s="16" t="s">
        <v>579</v>
      </c>
      <c r="I165" s="16">
        <v>42600.316516203704</v>
      </c>
      <c r="J165" s="7">
        <v>0</v>
      </c>
      <c r="K165" s="142" t="str">
        <f t="shared" si="43"/>
        <v>4001/4002</v>
      </c>
      <c r="L165" s="25" t="str">
        <f>VLOOKUP(A165,'Trips&amp;Operators'!$C$1:$E$10000,3,FALSE)</f>
        <v>GEBRETEKLE</v>
      </c>
      <c r="M165" s="6">
        <f t="shared" si="44"/>
        <v>1.247685185080627E-2</v>
      </c>
      <c r="N165" s="7">
        <f t="shared" si="58"/>
        <v>17.966666665161029</v>
      </c>
      <c r="O165" s="7"/>
      <c r="P165" s="7"/>
      <c r="Q165" s="26"/>
      <c r="R165" s="26"/>
      <c r="S165" s="38">
        <f t="shared" si="42"/>
        <v>1</v>
      </c>
      <c r="T165" s="53" t="str">
        <f t="shared" si="45"/>
        <v>NorthBound</v>
      </c>
      <c r="U165" s="13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06:16:16-0600',mode:absolute,to:'2016-08-18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5" s="55" t="str">
        <f t="shared" si="47"/>
        <v>N</v>
      </c>
      <c r="X165" s="129">
        <f t="shared" si="60"/>
        <v>1</v>
      </c>
      <c r="Y165" s="70">
        <f t="shared" si="48"/>
        <v>9.5500000000000002E-2</v>
      </c>
      <c r="Z165" s="70">
        <f t="shared" si="49"/>
        <v>5.8910999999999998</v>
      </c>
      <c r="AA165" s="70">
        <f t="shared" si="50"/>
        <v>5.7955999999999994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51"/>
        <v>0807-18</v>
      </c>
      <c r="AE165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65" s="101" t="str">
        <f t="shared" si="53"/>
        <v>"C:\Program Files (x86)\AstroGrep\AstroGrep.exe" /spath="%USERPROFILE%\AppData\Local\Temp\OnboardLogs" /stypes="*4002*20160818*" /stext=" 13:.+((SYSTEM_STATE.+slice.+state.+changed )|(ment ac)|(system.+state.+changed )|(\|lc)|(penalty)|(\[timeout)|(PRM\|1\|D)|(kpr)|(kdp))" /e /r /s</v>
      </c>
      <c r="AG165" s="1" t="str">
        <f t="shared" si="54"/>
        <v>NW</v>
      </c>
      <c r="AH165" s="105" t="str">
        <f t="shared" si="55"/>
        <v>"%USERPROFILE%\Documents\GitHub\eaglep3\Utilities\RefineRTDCRunTimes.py" --tripid 807-18 --locoid 4002 --swversion DE.1.0.7.0 --startMP 204:955 --initTime 2016-08-18T07:16:16 --startdatetime 2016-08-18T07:17:49 --delay 1 --endMP 300:58911 --enddatetime 2016-08-18T07:35:47 --enforcementcount 0</v>
      </c>
    </row>
    <row r="166" spans="1:34" s="24" customFormat="1" x14ac:dyDescent="0.25">
      <c r="A166" s="40" t="s">
        <v>326</v>
      </c>
      <c r="B166" s="7">
        <v>4001</v>
      </c>
      <c r="C166" s="25" t="s">
        <v>118</v>
      </c>
      <c r="D166" s="25" t="s">
        <v>580</v>
      </c>
      <c r="E166" s="16">
        <v>42600.318078703705</v>
      </c>
      <c r="F166" s="16">
        <v>42600.319108796299</v>
      </c>
      <c r="G166" s="7">
        <v>1</v>
      </c>
      <c r="H166" s="16" t="s">
        <v>581</v>
      </c>
      <c r="I166" s="16">
        <v>42600.330335648148</v>
      </c>
      <c r="J166" s="7">
        <v>0</v>
      </c>
      <c r="K166" s="142" t="str">
        <f t="shared" si="43"/>
        <v>4001/4002</v>
      </c>
      <c r="L166" s="25" t="str">
        <f>VLOOKUP(A166,'Trips&amp;Operators'!$C$1:$E$10000,3,FALSE)</f>
        <v>GEBRETEKLE</v>
      </c>
      <c r="M166" s="6">
        <f t="shared" si="44"/>
        <v>1.1226851849642117E-2</v>
      </c>
      <c r="N166" s="7">
        <f t="shared" si="58"/>
        <v>16.166666663484648</v>
      </c>
      <c r="O166" s="7"/>
      <c r="P166" s="7"/>
      <c r="Q166" s="26"/>
      <c r="R166" s="26"/>
      <c r="S166" s="38">
        <f t="shared" si="42"/>
        <v>1</v>
      </c>
      <c r="T166" s="53" t="str">
        <f t="shared" si="45"/>
        <v>Southbound</v>
      </c>
      <c r="U166" s="13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06:38:02-0600',mode:absolute,to:'2016-08-18 08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6" s="55" t="str">
        <f t="shared" si="47"/>
        <v>N</v>
      </c>
      <c r="X166" s="129">
        <f t="shared" si="60"/>
        <v>1</v>
      </c>
      <c r="Y166" s="70">
        <f t="shared" si="48"/>
        <v>5.8593999999999999</v>
      </c>
      <c r="Z166" s="70">
        <f t="shared" si="49"/>
        <v>7.1499999999999994E-2</v>
      </c>
      <c r="AA166" s="70">
        <f t="shared" si="50"/>
        <v>5.7878999999999996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si="51"/>
        <v>0808-18</v>
      </c>
      <c r="AE166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66" s="101" t="str">
        <f t="shared" si="53"/>
        <v>"C:\Program Files (x86)\AstroGrep\AstroGrep.exe" /spath="%USERPROFILE%\AppData\Local\Temp\OnboardLogs" /stypes="*4001*20160818*" /stext=" 13:.+((SYSTEM_STATE.+slice.+state.+changed )|(ment ac)|(system.+state.+changed )|(\|lc)|(penalty)|(\[timeout)|(PRM\|1\|D)|(kpr)|(kdp))" /e /r /s</v>
      </c>
      <c r="AG166" s="1" t="str">
        <f t="shared" si="54"/>
        <v>NW</v>
      </c>
      <c r="AH166" s="105" t="str">
        <f t="shared" si="55"/>
        <v>"%USERPROFILE%\Documents\GitHub\eaglep3\Utilities\RefineRTDCRunTimes.py" --tripid 808-18 --locoid 4001 --swversion DE.1.0.7.0 --startMP 300:58594 --initTime 2016-08-18T07:38:02 --startdatetime 2016-08-18T07:39:31 --delay 1 --endMP 204:715 --enddatetime 2016-08-18T07:55:41 --enforcementcount 0</v>
      </c>
    </row>
    <row r="167" spans="1:34" s="24" customFormat="1" x14ac:dyDescent="0.25">
      <c r="A167" s="40" t="s">
        <v>582</v>
      </c>
      <c r="B167" s="7">
        <v>4020</v>
      </c>
      <c r="C167" s="25" t="s">
        <v>118</v>
      </c>
      <c r="D167" s="25" t="s">
        <v>583</v>
      </c>
      <c r="E167" s="16">
        <v>42600.314212962963</v>
      </c>
      <c r="F167" s="16">
        <v>42600.315578703703</v>
      </c>
      <c r="G167" s="7">
        <v>1</v>
      </c>
      <c r="H167" s="16" t="s">
        <v>584</v>
      </c>
      <c r="I167" s="16">
        <v>42600.336168981485</v>
      </c>
      <c r="J167" s="7">
        <v>0</v>
      </c>
      <c r="K167" s="142" t="str">
        <f t="shared" si="43"/>
        <v>4019/4020</v>
      </c>
      <c r="L167" s="25" t="str">
        <f>VLOOKUP(A167,'Trips&amp;Operators'!$C$1:$E$10000,3,FALSE)</f>
        <v>YORK</v>
      </c>
      <c r="M167" s="6">
        <f t="shared" si="44"/>
        <v>2.0590277781593613E-2</v>
      </c>
      <c r="N167" s="7">
        <f t="shared" si="58"/>
        <v>29.650000005494803</v>
      </c>
      <c r="O167" s="7"/>
      <c r="P167" s="7"/>
      <c r="Q167" s="26"/>
      <c r="R167" s="26"/>
      <c r="S167" s="38">
        <f t="shared" si="42"/>
        <v>1</v>
      </c>
      <c r="T167" s="53" t="str">
        <f t="shared" si="45"/>
        <v>NorthBound</v>
      </c>
      <c r="U167" s="13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06:32:28-0600',mode:absolute,to:'2016-08-18 09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67" s="55" t="str">
        <f t="shared" si="47"/>
        <v>N</v>
      </c>
      <c r="X167" s="129">
        <f t="shared" si="60"/>
        <v>1</v>
      </c>
      <c r="Y167" s="70">
        <f t="shared" si="48"/>
        <v>0.10249999999999999</v>
      </c>
      <c r="Z167" s="70">
        <f t="shared" si="49"/>
        <v>5.8949999999999996</v>
      </c>
      <c r="AA167" s="70">
        <f t="shared" si="50"/>
        <v>5.7924999999999995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51"/>
        <v>0809-18</v>
      </c>
      <c r="AE167" s="104" t="str">
        <f t="shared" si="52"/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AF167" s="101" t="str">
        <f t="shared" si="53"/>
        <v>"C:\Program Files (x86)\AstroGrep\AstroGrep.exe" /spath="%USERPROFILE%\AppData\Local\Temp\OnboardLogs" /stypes="*4020*20160818*" /stext=" 14:.+((SYSTEM_STATE.+slice.+state.+changed )|(ment ac)|(system.+state.+changed )|(\|lc)|(penalty)|(\[timeout)|(PRM\|1\|D)|(kpr)|(kdp))" /e /r /s</v>
      </c>
      <c r="AG167" s="1" t="str">
        <f t="shared" si="54"/>
        <v>NW</v>
      </c>
      <c r="AH167" s="105" t="str">
        <f t="shared" si="55"/>
        <v>"%USERPROFILE%\Documents\GitHub\eaglep3\Utilities\RefineRTDCRunTimes.py" --tripid 809-18 --locoid 4020 --swversion DE.1.0.7.0 --startMP 204:1025 --initTime 2016-08-18T07:32:28 --startdatetime 2016-08-18T07:34:26 --delay 1 --endMP 300:58950 --enddatetime 2016-08-18T08:04:05 --enforcementcount 0</v>
      </c>
    </row>
    <row r="168" spans="1:34" x14ac:dyDescent="0.25">
      <c r="A168" s="40" t="s">
        <v>585</v>
      </c>
      <c r="B168" s="7">
        <v>4019</v>
      </c>
      <c r="C168" s="25" t="s">
        <v>118</v>
      </c>
      <c r="D168" s="25" t="s">
        <v>586</v>
      </c>
      <c r="E168" s="16">
        <v>42600.336967592593</v>
      </c>
      <c r="F168" s="16">
        <v>42600.337789351855</v>
      </c>
      <c r="G168" s="7">
        <v>1</v>
      </c>
      <c r="H168" s="16" t="s">
        <v>587</v>
      </c>
      <c r="I168" s="16">
        <v>42600.350393518522</v>
      </c>
      <c r="J168" s="7">
        <v>0</v>
      </c>
      <c r="K168" s="142" t="str">
        <f t="shared" si="43"/>
        <v>4019/4020</v>
      </c>
      <c r="L168" s="25" t="str">
        <f>VLOOKUP(A168,'Trips&amp;Operators'!$C$1:$E$10000,3,FALSE)</f>
        <v>YORK</v>
      </c>
      <c r="M168" s="6">
        <f t="shared" si="44"/>
        <v>1.2604166666278616E-2</v>
      </c>
      <c r="N168" s="7">
        <f t="shared" si="58"/>
        <v>18.149999999441206</v>
      </c>
      <c r="O168" s="7"/>
      <c r="P168" s="7"/>
      <c r="Q168" s="26"/>
      <c r="R168" s="26"/>
      <c r="S168" s="38">
        <f t="shared" si="42"/>
        <v>1</v>
      </c>
      <c r="T168" s="53" t="str">
        <f t="shared" si="45"/>
        <v>Southbound</v>
      </c>
      <c r="U168" s="13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07:05:14-0600',mode:absolute,to:'2016-08-18 09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68" s="55" t="str">
        <f t="shared" si="47"/>
        <v>N</v>
      </c>
      <c r="X168" s="129">
        <f t="shared" si="60"/>
        <v>1</v>
      </c>
      <c r="Y168" s="70">
        <f t="shared" si="48"/>
        <v>5.8628</v>
      </c>
      <c r="Z168" s="70">
        <f t="shared" si="49"/>
        <v>8.2400000000000001E-2</v>
      </c>
      <c r="AA168" s="70">
        <f t="shared" si="50"/>
        <v>5.7804000000000002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51"/>
        <v>0810-18</v>
      </c>
      <c r="AE168" s="104" t="str">
        <f t="shared" si="52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168" s="101" t="str">
        <f t="shared" si="53"/>
        <v>"C:\Program Files (x86)\AstroGrep\AstroGrep.exe" /spath="%USERPROFILE%\AppData\Local\Temp\OnboardLogs" /stypes="*4019*20160818*" /stext=" 14:.+((SYSTEM_STATE.+slice.+state.+changed )|(ment ac)|(system.+state.+changed )|(\|lc)|(penalty)|(\[timeout)|(PRM\|1\|D)|(kpr)|(kdp))" /e /r /s</v>
      </c>
      <c r="AG168" s="1" t="str">
        <f t="shared" si="54"/>
        <v>NW</v>
      </c>
      <c r="AH168" s="105" t="str">
        <f t="shared" si="55"/>
        <v>"%USERPROFILE%\Documents\GitHub\eaglep3\Utilities\RefineRTDCRunTimes.py" --tripid 810-18 --locoid 4019 --swversion DE.1.0.7.0 --startMP 300:58628 --initTime 2016-08-18T08:05:14 --startdatetime 2016-08-18T08:06:25 --delay 1 --endMP 204:824 --enddatetime 2016-08-18T08:24:34 --enforcementcount 0</v>
      </c>
    </row>
    <row r="169" spans="1:34" x14ac:dyDescent="0.25">
      <c r="A169" s="40" t="s">
        <v>329</v>
      </c>
      <c r="B169" s="7">
        <v>4002</v>
      </c>
      <c r="C169" s="25" t="s">
        <v>118</v>
      </c>
      <c r="D169" s="25" t="s">
        <v>588</v>
      </c>
      <c r="E169" s="16">
        <v>42600.345486111109</v>
      </c>
      <c r="F169" s="16">
        <v>42600.346412037034</v>
      </c>
      <c r="G169" s="7">
        <v>1</v>
      </c>
      <c r="H169" s="16" t="s">
        <v>589</v>
      </c>
      <c r="I169" s="16">
        <v>42600.357916666668</v>
      </c>
      <c r="J169" s="7">
        <v>0</v>
      </c>
      <c r="K169" s="142" t="str">
        <f t="shared" si="43"/>
        <v>4001/4002</v>
      </c>
      <c r="L169" s="25" t="str">
        <f>VLOOKUP(A169,'Trips&amp;Operators'!$C$1:$E$10000,3,FALSE)</f>
        <v>GEBRETEKLE</v>
      </c>
      <c r="M169" s="6">
        <f t="shared" si="44"/>
        <v>1.1504629634146113E-2</v>
      </c>
      <c r="N169" s="7">
        <f t="shared" si="58"/>
        <v>16.566666673170403</v>
      </c>
      <c r="O169" s="7"/>
      <c r="P169" s="7"/>
      <c r="Q169" s="26"/>
      <c r="R169" s="26"/>
      <c r="S169" s="38">
        <f t="shared" si="42"/>
        <v>1</v>
      </c>
      <c r="T169" s="53" t="str">
        <f t="shared" si="45"/>
        <v>NorthBound</v>
      </c>
      <c r="U169" s="13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07:17:30-0600',mode:absolute,to:'2016-08-18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9" s="55" t="str">
        <f t="shared" si="47"/>
        <v>N</v>
      </c>
      <c r="X169" s="129">
        <f t="shared" si="60"/>
        <v>1</v>
      </c>
      <c r="Y169" s="70">
        <f t="shared" si="48"/>
        <v>0.1</v>
      </c>
      <c r="Z169" s="70">
        <f t="shared" si="49"/>
        <v>5.8897000000000004</v>
      </c>
      <c r="AA169" s="70">
        <f t="shared" si="50"/>
        <v>5.7897000000000007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51"/>
        <v>0811-18</v>
      </c>
      <c r="AE169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69" s="101" t="str">
        <f t="shared" si="53"/>
        <v>"C:\Program Files (x86)\AstroGrep\AstroGrep.exe" /spath="%USERPROFILE%\AppData\Local\Temp\OnboardLogs" /stypes="*4002*20160818*" /stext=" 14:.+((SYSTEM_STATE.+slice.+state.+changed )|(ment ac)|(system.+state.+changed )|(\|lc)|(penalty)|(\[timeout)|(PRM\|1\|D)|(kpr)|(kdp))" /e /r /s</v>
      </c>
      <c r="AG169" s="1" t="str">
        <f t="shared" si="54"/>
        <v>NW</v>
      </c>
      <c r="AH169" s="105" t="str">
        <f t="shared" si="55"/>
        <v>"%USERPROFILE%\Documents\GitHub\eaglep3\Utilities\RefineRTDCRunTimes.py" --tripid 811-18 --locoid 4002 --swversion DE.1.0.7.0 --startMP 204:1000 --initTime 2016-08-18T08:17:30 --startdatetime 2016-08-18T08:18:50 --delay 1 --endMP 300:58897 --enddatetime 2016-08-18T08:35:24 --enforcementcount 0</v>
      </c>
    </row>
    <row r="170" spans="1:34" s="24" customFormat="1" x14ac:dyDescent="0.25">
      <c r="A170" s="40" t="s">
        <v>590</v>
      </c>
      <c r="B170" s="7">
        <v>4001</v>
      </c>
      <c r="C170" s="25" t="s">
        <v>118</v>
      </c>
      <c r="D170" s="25" t="s">
        <v>591</v>
      </c>
      <c r="E170" s="16">
        <v>42600.358877314815</v>
      </c>
      <c r="F170" s="16">
        <v>42600.359826388885</v>
      </c>
      <c r="G170" s="7">
        <v>1</v>
      </c>
      <c r="H170" s="16" t="s">
        <v>592</v>
      </c>
      <c r="I170" s="16">
        <v>42600.373668981483</v>
      </c>
      <c r="J170" s="7">
        <v>0</v>
      </c>
      <c r="K170" s="142" t="str">
        <f t="shared" si="43"/>
        <v>4001/4002</v>
      </c>
      <c r="L170" s="25" t="str">
        <f>VLOOKUP(A170,'Trips&amp;Operators'!$C$1:$E$10000,3,FALSE)</f>
        <v>GEBRETEKLE</v>
      </c>
      <c r="M170" s="6">
        <f t="shared" si="44"/>
        <v>1.3842592597939074E-2</v>
      </c>
      <c r="N170" s="7">
        <f t="shared" si="58"/>
        <v>19.933333341032267</v>
      </c>
      <c r="O170" s="7"/>
      <c r="P170" s="7"/>
      <c r="Q170" s="26"/>
      <c r="R170" s="26"/>
      <c r="S170" s="38">
        <f t="shared" si="42"/>
        <v>1</v>
      </c>
      <c r="T170" s="53" t="str">
        <f t="shared" si="45"/>
        <v>Southbound</v>
      </c>
      <c r="U170" s="13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07:36:47-0600',mode:absolute,to:'2016-08-18 09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70" s="55" t="str">
        <f t="shared" si="47"/>
        <v>N</v>
      </c>
      <c r="X170" s="129">
        <f t="shared" si="60"/>
        <v>1</v>
      </c>
      <c r="Y170" s="70">
        <f t="shared" si="48"/>
        <v>5.8571999999999997</v>
      </c>
      <c r="Z170" s="70">
        <f t="shared" si="49"/>
        <v>6.8199999999999997E-2</v>
      </c>
      <c r="AA170" s="70">
        <f t="shared" si="50"/>
        <v>5.7889999999999997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51"/>
        <v>0812-18</v>
      </c>
      <c r="AE170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70" s="101" t="str">
        <f t="shared" si="53"/>
        <v>"C:\Program Files (x86)\AstroGrep\AstroGrep.exe" /spath="%USERPROFILE%\AppData\Local\Temp\OnboardLogs" /stypes="*4001*20160818*" /stext=" 14:.+((SYSTEM_STATE.+slice.+state.+changed )|(ment ac)|(system.+state.+changed )|(\|lc)|(penalty)|(\[timeout)|(PRM\|1\|D)|(kpr)|(kdp))" /e /r /s</v>
      </c>
      <c r="AG170" s="1" t="str">
        <f t="shared" si="54"/>
        <v>NW</v>
      </c>
      <c r="AH170" s="105" t="str">
        <f t="shared" si="55"/>
        <v>"%USERPROFILE%\Documents\GitHub\eaglep3\Utilities\RefineRTDCRunTimes.py" --tripid 812-18 --locoid 4001 --swversion DE.1.0.7.0 --startMP 300:58572 --initTime 2016-08-18T08:36:47 --startdatetime 2016-08-18T08:38:09 --delay 1 --endMP 204:682 --enddatetime 2016-08-18T08:58:05 --enforcementcount 0</v>
      </c>
    </row>
    <row r="171" spans="1:34" x14ac:dyDescent="0.25">
      <c r="A171" s="40" t="s">
        <v>593</v>
      </c>
      <c r="B171" s="7">
        <v>4002</v>
      </c>
      <c r="C171" s="25" t="s">
        <v>118</v>
      </c>
      <c r="D171" s="25" t="s">
        <v>594</v>
      </c>
      <c r="E171" s="16">
        <v>42600.38853009259</v>
      </c>
      <c r="F171" s="16">
        <v>42600.389687499999</v>
      </c>
      <c r="G171" s="7">
        <v>1</v>
      </c>
      <c r="H171" s="16" t="s">
        <v>595</v>
      </c>
      <c r="I171" s="16">
        <v>42600.399421296293</v>
      </c>
      <c r="J171" s="7">
        <v>0</v>
      </c>
      <c r="K171" s="142" t="str">
        <f t="shared" si="43"/>
        <v>4001/4002</v>
      </c>
      <c r="L171" s="25" t="str">
        <f>VLOOKUP(A171,'Trips&amp;Operators'!$C$1:$E$10000,3,FALSE)</f>
        <v>GEBRETEKLE</v>
      </c>
      <c r="M171" s="6">
        <f t="shared" si="44"/>
        <v>9.7337962943129241E-3</v>
      </c>
      <c r="N171" s="7">
        <f t="shared" si="58"/>
        <v>14.016666663810611</v>
      </c>
      <c r="O171" s="7"/>
      <c r="P171" s="7"/>
      <c r="Q171" s="26"/>
      <c r="R171" s="26"/>
      <c r="S171" s="38">
        <f t="shared" ref="S171:S202" si="61">SUM(U171:U171)/IF(AG171="EC",12,1)</f>
        <v>1</v>
      </c>
      <c r="T171" s="53" t="str">
        <f t="shared" si="45"/>
        <v>NorthBound</v>
      </c>
      <c r="U171" s="13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08:19:29-0600',mode:absolute,to:'2016-08-18 10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1" s="55" t="str">
        <f t="shared" si="47"/>
        <v>N</v>
      </c>
      <c r="X171" s="129">
        <f t="shared" si="60"/>
        <v>1</v>
      </c>
      <c r="Y171" s="70">
        <f t="shared" si="48"/>
        <v>9.8299999999999998E-2</v>
      </c>
      <c r="Z171" s="70">
        <f t="shared" si="49"/>
        <v>5.8887999999999998</v>
      </c>
      <c r="AA171" s="70">
        <f t="shared" si="50"/>
        <v>5.7904999999999998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51"/>
        <v>0813-18</v>
      </c>
      <c r="AE171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71" s="101" t="str">
        <f t="shared" si="53"/>
        <v>"C:\Program Files (x86)\AstroGrep\AstroGrep.exe" /spath="%USERPROFILE%\AppData\Local\Temp\OnboardLogs" /stypes="*4002*20160818*" /stext=" 15:.+((SYSTEM_STATE.+slice.+state.+changed )|(ment ac)|(system.+state.+changed )|(\|lc)|(penalty)|(\[timeout)|(PRM\|1\|D)|(kpr)|(kdp))" /e /r /s</v>
      </c>
      <c r="AG171" s="1" t="str">
        <f t="shared" si="54"/>
        <v>NW</v>
      </c>
      <c r="AH171" s="105" t="str">
        <f t="shared" si="55"/>
        <v>"%USERPROFILE%\Documents\GitHub\eaglep3\Utilities\RefineRTDCRunTimes.py" --tripid 813-18 --locoid 4002 --swversion DE.1.0.7.0 --startMP 204:983 --initTime 2016-08-18T09:19:29 --startdatetime 2016-08-18T09:21:09 --delay 1 --endMP 300:58888 --enddatetime 2016-08-18T09:35:10 --enforcementcount 0</v>
      </c>
    </row>
    <row r="172" spans="1:34" x14ac:dyDescent="0.25">
      <c r="A172" s="40" t="s">
        <v>596</v>
      </c>
      <c r="B172" s="7">
        <v>4001</v>
      </c>
      <c r="C172" s="25" t="s">
        <v>118</v>
      </c>
      <c r="D172" s="25" t="s">
        <v>591</v>
      </c>
      <c r="E172" s="16">
        <v>42600.40121527778</v>
      </c>
      <c r="F172" s="16">
        <v>42600.402777777781</v>
      </c>
      <c r="G172" s="7">
        <v>2</v>
      </c>
      <c r="H172" s="16" t="s">
        <v>597</v>
      </c>
      <c r="I172" s="16">
        <v>42600.415625000001</v>
      </c>
      <c r="J172" s="7">
        <v>0</v>
      </c>
      <c r="K172" s="142" t="str">
        <f t="shared" si="43"/>
        <v>4001/4002</v>
      </c>
      <c r="L172" s="25" t="str">
        <f>VLOOKUP(A172,'Trips&amp;Operators'!$C$1:$E$10000,3,FALSE)</f>
        <v>GEBRETEKLE</v>
      </c>
      <c r="M172" s="6">
        <f t="shared" si="44"/>
        <v>1.2847222220443655E-2</v>
      </c>
      <c r="N172" s="7">
        <f t="shared" si="58"/>
        <v>18.499999997438863</v>
      </c>
      <c r="O172" s="7"/>
      <c r="P172" s="7"/>
      <c r="Q172" s="26"/>
      <c r="R172" s="26"/>
      <c r="S172" s="38">
        <f t="shared" si="61"/>
        <v>1</v>
      </c>
      <c r="T172" s="53" t="str">
        <f t="shared" si="45"/>
        <v>Southbound</v>
      </c>
      <c r="U172" s="13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08:37:45-0600',mode:absolute,to:'2016-08-18 10:58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72" s="55" t="str">
        <f t="shared" si="47"/>
        <v>N</v>
      </c>
      <c r="X172" s="129">
        <f t="shared" si="60"/>
        <v>1</v>
      </c>
      <c r="Y172" s="70">
        <f t="shared" si="48"/>
        <v>5.8571999999999997</v>
      </c>
      <c r="Z172" s="70">
        <f t="shared" si="49"/>
        <v>6.9800000000000001E-2</v>
      </c>
      <c r="AA172" s="70">
        <f t="shared" si="50"/>
        <v>5.7873999999999999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51"/>
        <v>0814-18</v>
      </c>
      <c r="AE172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72" s="101" t="str">
        <f t="shared" si="53"/>
        <v>"C:\Program Files (x86)\AstroGrep\AstroGrep.exe" /spath="%USERPROFILE%\AppData\Local\Temp\OnboardLogs" /stypes="*4001*20160818*" /stext=" 15:.+((SYSTEM_STATE.+slice.+state.+changed )|(ment ac)|(system.+state.+changed )|(\|lc)|(penalty)|(\[timeout)|(PRM\|1\|D)|(kpr)|(kdp))" /e /r /s</v>
      </c>
      <c r="AG172" s="1" t="str">
        <f t="shared" si="54"/>
        <v>NW</v>
      </c>
      <c r="AH172" s="105" t="str">
        <f t="shared" si="55"/>
        <v>"%USERPROFILE%\Documents\GitHub\eaglep3\Utilities\RefineRTDCRunTimes.py" --tripid 814-18 --locoid 4001 --swversion DE.1.0.7.0 --startMP 300:58572 --initTime 2016-08-18T09:37:45 --startdatetime 2016-08-18T09:40:00 --delay 2 --endMP 204:698 --enddatetime 2016-08-18T09:58:30 --enforcementcount 0</v>
      </c>
    </row>
    <row r="173" spans="1:34" x14ac:dyDescent="0.25">
      <c r="A173" s="40" t="s">
        <v>598</v>
      </c>
      <c r="B173" s="7">
        <v>4002</v>
      </c>
      <c r="C173" s="25" t="s">
        <v>118</v>
      </c>
      <c r="D173" s="25" t="s">
        <v>301</v>
      </c>
      <c r="E173" s="16">
        <v>42600.428622685184</v>
      </c>
      <c r="F173" s="16">
        <v>42600.429571759261</v>
      </c>
      <c r="G173" s="7">
        <v>1</v>
      </c>
      <c r="H173" s="16" t="s">
        <v>599</v>
      </c>
      <c r="I173" s="16">
        <v>42600.440879629627</v>
      </c>
      <c r="J173" s="7">
        <v>0</v>
      </c>
      <c r="K173" s="142" t="str">
        <f t="shared" si="43"/>
        <v>4001/4002</v>
      </c>
      <c r="L173" s="25" t="str">
        <f>VLOOKUP(A173,'Trips&amp;Operators'!$C$1:$E$10000,3,FALSE)</f>
        <v>GEBRETEKLE</v>
      </c>
      <c r="M173" s="6">
        <f t="shared" si="44"/>
        <v>1.130787036527181E-2</v>
      </c>
      <c r="N173" s="7">
        <f t="shared" si="58"/>
        <v>16.283333325991407</v>
      </c>
      <c r="O173" s="7"/>
      <c r="P173" s="7"/>
      <c r="Q173" s="26"/>
      <c r="R173" s="26"/>
      <c r="S173" s="38">
        <f t="shared" si="61"/>
        <v>1</v>
      </c>
      <c r="T173" s="53" t="str">
        <f t="shared" si="45"/>
        <v>NorthBound</v>
      </c>
      <c r="U173" s="13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09:17:13-0600',mode:absolute,to:'2016-08-18 11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3" s="55" t="str">
        <f t="shared" si="47"/>
        <v>N</v>
      </c>
      <c r="X173" s="129">
        <f t="shared" si="60"/>
        <v>1</v>
      </c>
      <c r="Y173" s="70">
        <f t="shared" si="48"/>
        <v>9.7199999999999995E-2</v>
      </c>
      <c r="Z173" s="70">
        <f t="shared" si="49"/>
        <v>5.8964999999999996</v>
      </c>
      <c r="AA173" s="70">
        <f t="shared" si="50"/>
        <v>5.7992999999999997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si="51"/>
        <v>0815-18</v>
      </c>
      <c r="AE173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73" s="101" t="str">
        <f t="shared" si="53"/>
        <v>"C:\Program Files (x86)\AstroGrep\AstroGrep.exe" /spath="%USERPROFILE%\AppData\Local\Temp\OnboardLogs" /stypes="*4002*20160818*" /stext=" 16:.+((SYSTEM_STATE.+slice.+state.+changed )|(ment ac)|(system.+state.+changed )|(\|lc)|(penalty)|(\[timeout)|(PRM\|1\|D)|(kpr)|(kdp))" /e /r /s</v>
      </c>
      <c r="AG173" s="1" t="str">
        <f t="shared" si="54"/>
        <v>NW</v>
      </c>
      <c r="AH173" s="105" t="str">
        <f t="shared" si="55"/>
        <v>"%USERPROFILE%\Documents\GitHub\eaglep3\Utilities\RefineRTDCRunTimes.py" --tripid 815-18 --locoid 4002 --swversion DE.1.0.7.0 --startMP 204:972 --initTime 2016-08-18T10:17:13 --startdatetime 2016-08-18T10:18:35 --delay 1 --endMP 300:58965 --enddatetime 2016-08-18T10:34:52 --enforcementcount 0</v>
      </c>
    </row>
    <row r="174" spans="1:34" x14ac:dyDescent="0.25">
      <c r="A174" s="40" t="s">
        <v>600</v>
      </c>
      <c r="B174" s="7">
        <v>4001</v>
      </c>
      <c r="C174" s="25" t="s">
        <v>118</v>
      </c>
      <c r="D174" s="25" t="s">
        <v>601</v>
      </c>
      <c r="E174" s="16">
        <v>42600.44189814815</v>
      </c>
      <c r="F174" s="16">
        <v>42600.444108796299</v>
      </c>
      <c r="G174" s="7">
        <v>3</v>
      </c>
      <c r="H174" s="16" t="s">
        <v>602</v>
      </c>
      <c r="I174" s="16">
        <v>42600.454861111109</v>
      </c>
      <c r="J174" s="7">
        <v>0</v>
      </c>
      <c r="K174" s="142" t="str">
        <f t="shared" si="43"/>
        <v>4001/4002</v>
      </c>
      <c r="L174" s="25" t="str">
        <f>VLOOKUP(A174,'Trips&amp;Operators'!$C$1:$E$10000,3,FALSE)</f>
        <v>GEBRETEKLE</v>
      </c>
      <c r="M174" s="6">
        <f t="shared" si="44"/>
        <v>1.0752314810815733E-2</v>
      </c>
      <c r="N174" s="7">
        <f t="shared" si="58"/>
        <v>15.483333327574655</v>
      </c>
      <c r="O174" s="7"/>
      <c r="P174" s="7"/>
      <c r="Q174" s="26"/>
      <c r="R174" s="26"/>
      <c r="S174" s="38">
        <f t="shared" si="61"/>
        <v>1</v>
      </c>
      <c r="T174" s="53" t="str">
        <f t="shared" si="45"/>
        <v>Southbound</v>
      </c>
      <c r="U174" s="13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09:36:20-0600',mode:absolute,to:'2016-08-18 11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74" s="55" t="str">
        <f t="shared" si="47"/>
        <v>N</v>
      </c>
      <c r="X174" s="129">
        <f t="shared" si="60"/>
        <v>1</v>
      </c>
      <c r="Y174" s="70">
        <f t="shared" si="48"/>
        <v>5.8653000000000004</v>
      </c>
      <c r="Z174" s="70">
        <f t="shared" si="49"/>
        <v>6.8400000000000002E-2</v>
      </c>
      <c r="AA174" s="70">
        <f t="shared" si="50"/>
        <v>5.7969000000000008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51"/>
        <v>0816-18</v>
      </c>
      <c r="AE174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74" s="101" t="str">
        <f t="shared" si="53"/>
        <v>"C:\Program Files (x86)\AstroGrep\AstroGrep.exe" /spath="%USERPROFILE%\AppData\Local\Temp\OnboardLogs" /stypes="*4001*20160818*" /stext=" 16:.+((SYSTEM_STATE.+slice.+state.+changed )|(ment ac)|(system.+state.+changed )|(\|lc)|(penalty)|(\[timeout)|(PRM\|1\|D)|(kpr)|(kdp))" /e /r /s</v>
      </c>
      <c r="AG174" s="1" t="str">
        <f t="shared" si="54"/>
        <v>NW</v>
      </c>
      <c r="AH174" s="105" t="str">
        <f t="shared" si="55"/>
        <v>"%USERPROFILE%\Documents\GitHub\eaglep3\Utilities\RefineRTDCRunTimes.py" --tripid 816-18 --locoid 4001 --swversion DE.1.0.7.0 --startMP 300:58653 --initTime 2016-08-18T10:36:20 --startdatetime 2016-08-18T10:39:31 --delay 3 --endMP 204:684 --enddatetime 2016-08-18T10:55:00 --enforcementcount 0</v>
      </c>
    </row>
    <row r="175" spans="1:34" x14ac:dyDescent="0.25">
      <c r="A175" s="40" t="s">
        <v>336</v>
      </c>
      <c r="B175" s="7">
        <v>4002</v>
      </c>
      <c r="C175" s="25" t="s">
        <v>118</v>
      </c>
      <c r="D175" s="25" t="s">
        <v>603</v>
      </c>
      <c r="E175" s="16">
        <v>42600.471956018519</v>
      </c>
      <c r="F175" s="16">
        <v>42600.473379629628</v>
      </c>
      <c r="G175" s="7">
        <v>2</v>
      </c>
      <c r="H175" s="16" t="s">
        <v>604</v>
      </c>
      <c r="I175" s="16">
        <v>42600.484953703701</v>
      </c>
      <c r="J175" s="7">
        <v>0</v>
      </c>
      <c r="K175" s="142" t="str">
        <f t="shared" si="43"/>
        <v>4001/4002</v>
      </c>
      <c r="L175" s="25" t="str">
        <f>VLOOKUP(A175,'Trips&amp;Operators'!$C$1:$E$10000,3,FALSE)</f>
        <v>HAITHCOX</v>
      </c>
      <c r="M175" s="6">
        <f t="shared" si="44"/>
        <v>1.1574074072996154E-2</v>
      </c>
      <c r="N175" s="7">
        <f t="shared" si="58"/>
        <v>16.666666665114462</v>
      </c>
      <c r="O175" s="7"/>
      <c r="P175" s="7"/>
      <c r="Q175" s="26"/>
      <c r="R175" s="26"/>
      <c r="S175" s="38">
        <f t="shared" si="61"/>
        <v>1</v>
      </c>
      <c r="T175" s="53" t="str">
        <f t="shared" si="45"/>
        <v>NorthBound</v>
      </c>
      <c r="U175" s="13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10:19:37-0600',mode:absolute,to:'2016-08-18 12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5" s="55" t="str">
        <f t="shared" si="47"/>
        <v>N</v>
      </c>
      <c r="X175" s="129">
        <f t="shared" si="60"/>
        <v>1</v>
      </c>
      <c r="Y175" s="70">
        <f t="shared" si="48"/>
        <v>9.9199999999999997E-2</v>
      </c>
      <c r="Z175" s="70">
        <f t="shared" si="49"/>
        <v>5.9013999999999998</v>
      </c>
      <c r="AA175" s="70">
        <f t="shared" si="50"/>
        <v>5.8022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51"/>
        <v>0817-18</v>
      </c>
      <c r="AE175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75" s="101" t="str">
        <f t="shared" si="53"/>
        <v>"C:\Program Files (x86)\AstroGrep\AstroGrep.exe" /spath="%USERPROFILE%\AppData\Local\Temp\OnboardLogs" /stypes="*4002*20160818*" /stext=" 17:.+((SYSTEM_STATE.+slice.+state.+changed )|(ment ac)|(system.+state.+changed )|(\|lc)|(penalty)|(\[timeout)|(PRM\|1\|D)|(kpr)|(kdp))" /e /r /s</v>
      </c>
      <c r="AG175" s="1" t="str">
        <f t="shared" si="54"/>
        <v>NW</v>
      </c>
      <c r="AH175" s="105" t="str">
        <f t="shared" si="55"/>
        <v>"%USERPROFILE%\Documents\GitHub\eaglep3\Utilities\RefineRTDCRunTimes.py" --tripid 817-18 --locoid 4002 --swversion DE.1.0.7.0 --startMP 204:992 --initTime 2016-08-18T11:19:37 --startdatetime 2016-08-18T11:21:40 --delay 2 --endMP 300:59014 --enddatetime 2016-08-18T11:38:20 --enforcementcount 0</v>
      </c>
    </row>
    <row r="176" spans="1:34" x14ac:dyDescent="0.25">
      <c r="A176" s="40" t="s">
        <v>337</v>
      </c>
      <c r="B176" s="7">
        <v>4001</v>
      </c>
      <c r="C176" s="25" t="s">
        <v>118</v>
      </c>
      <c r="D176" s="25" t="s">
        <v>605</v>
      </c>
      <c r="E176" s="16">
        <v>42600.486504629633</v>
      </c>
      <c r="F176" s="16">
        <v>42600.487696759257</v>
      </c>
      <c r="G176" s="7">
        <v>1</v>
      </c>
      <c r="H176" s="16" t="s">
        <v>606</v>
      </c>
      <c r="I176" s="16">
        <v>42600.498391203706</v>
      </c>
      <c r="J176" s="7">
        <v>0</v>
      </c>
      <c r="K176" s="142" t="str">
        <f t="shared" si="43"/>
        <v>4001/4002</v>
      </c>
      <c r="L176" s="25" t="str">
        <f>VLOOKUP(A176,'Trips&amp;Operators'!$C$1:$E$10000,3,FALSE)</f>
        <v>HAITHCOX</v>
      </c>
      <c r="M176" s="6">
        <f t="shared" si="44"/>
        <v>1.0694444448745344E-2</v>
      </c>
      <c r="N176" s="7">
        <f t="shared" si="58"/>
        <v>15.400000006193295</v>
      </c>
      <c r="O176" s="7"/>
      <c r="P176" s="7"/>
      <c r="Q176" s="26"/>
      <c r="R176" s="26"/>
      <c r="S176" s="38">
        <f t="shared" si="61"/>
        <v>1</v>
      </c>
      <c r="T176" s="53" t="str">
        <f t="shared" si="45"/>
        <v>Southbound</v>
      </c>
      <c r="U176" s="13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10:40:34-0600',mode:absolute,to:'2016-08-18 12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76" s="55" t="str">
        <f t="shared" si="47"/>
        <v>N</v>
      </c>
      <c r="X176" s="129">
        <f t="shared" si="60"/>
        <v>1</v>
      </c>
      <c r="Y176" s="70">
        <f t="shared" si="48"/>
        <v>5.8696000000000002</v>
      </c>
      <c r="Z176" s="70">
        <f t="shared" si="49"/>
        <v>7.1300000000000002E-2</v>
      </c>
      <c r="AA176" s="70">
        <f t="shared" si="50"/>
        <v>5.7983000000000002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si="51"/>
        <v>0818-18</v>
      </c>
      <c r="AE176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76" s="101" t="str">
        <f t="shared" si="53"/>
        <v>"C:\Program Files (x86)\AstroGrep\AstroGrep.exe" /spath="%USERPROFILE%\AppData\Local\Temp\OnboardLogs" /stypes="*4001*20160818*" /stext=" 17:.+((SYSTEM_STATE.+slice.+state.+changed )|(ment ac)|(system.+state.+changed )|(\|lc)|(penalty)|(\[timeout)|(PRM\|1\|D)|(kpr)|(kdp))" /e /r /s</v>
      </c>
      <c r="AG176" s="1" t="str">
        <f t="shared" si="54"/>
        <v>NW</v>
      </c>
      <c r="AH176" s="105" t="str">
        <f t="shared" si="55"/>
        <v>"%USERPROFILE%\Documents\GitHub\eaglep3\Utilities\RefineRTDCRunTimes.py" --tripid 818-18 --locoid 4001 --swversion DE.1.0.7.0 --startMP 300:58696 --initTime 2016-08-18T11:40:34 --startdatetime 2016-08-18T11:42:17 --delay 1 --endMP 204:713 --enddatetime 2016-08-18T11:57:41 --enforcementcount 0</v>
      </c>
    </row>
    <row r="177" spans="1:34" x14ac:dyDescent="0.25">
      <c r="A177" s="40" t="s">
        <v>607</v>
      </c>
      <c r="B177" s="7">
        <v>4002</v>
      </c>
      <c r="C177" s="25" t="s">
        <v>118</v>
      </c>
      <c r="D177" s="25" t="s">
        <v>608</v>
      </c>
      <c r="E177" s="16">
        <v>42600.511932870373</v>
      </c>
      <c r="F177" s="16">
        <v>42600.51321759259</v>
      </c>
      <c r="G177" s="7">
        <v>1</v>
      </c>
      <c r="H177" s="16" t="s">
        <v>609</v>
      </c>
      <c r="I177" s="16">
        <v>42600.524363425924</v>
      </c>
      <c r="J177" s="7">
        <v>0</v>
      </c>
      <c r="K177" s="142" t="str">
        <f t="shared" si="43"/>
        <v>4001/4002</v>
      </c>
      <c r="L177" s="25" t="str">
        <f>VLOOKUP(A177,'Trips&amp;Operators'!$C$1:$E$10000,3,FALSE)</f>
        <v>GEBRETEKLE</v>
      </c>
      <c r="M177" s="6">
        <f t="shared" si="44"/>
        <v>1.1145833334012423E-2</v>
      </c>
      <c r="N177" s="7">
        <f t="shared" si="58"/>
        <v>16.050000000977889</v>
      </c>
      <c r="O177" s="7"/>
      <c r="P177" s="7"/>
      <c r="Q177" s="26"/>
      <c r="R177" s="26"/>
      <c r="S177" s="38">
        <f t="shared" si="61"/>
        <v>1</v>
      </c>
      <c r="T177" s="53" t="str">
        <f t="shared" si="45"/>
        <v>NorthBound</v>
      </c>
      <c r="U177" s="13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11:17:11-0600',mode:absolute,to:'2016-08-18 13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7" s="55" t="str">
        <f t="shared" si="47"/>
        <v>N</v>
      </c>
      <c r="X177" s="129">
        <f t="shared" si="60"/>
        <v>1</v>
      </c>
      <c r="Y177" s="70">
        <f t="shared" si="48"/>
        <v>0.1007</v>
      </c>
      <c r="Z177" s="70">
        <f t="shared" si="49"/>
        <v>5.8952</v>
      </c>
      <c r="AA177" s="70">
        <f t="shared" si="50"/>
        <v>5.7945000000000002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51"/>
        <v>0819-18</v>
      </c>
      <c r="AE177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77" s="101" t="str">
        <f t="shared" si="53"/>
        <v>"C:\Program Files (x86)\AstroGrep\AstroGrep.exe" /spath="%USERPROFILE%\AppData\Local\Temp\OnboardLogs" /stypes="*4002*20160818*" /stext=" 18:.+((SYSTEM_STATE.+slice.+state.+changed )|(ment ac)|(system.+state.+changed )|(\|lc)|(penalty)|(\[timeout)|(PRM\|1\|D)|(kpr)|(kdp))" /e /r /s</v>
      </c>
      <c r="AG177" s="1" t="str">
        <f t="shared" si="54"/>
        <v>NW</v>
      </c>
      <c r="AH177" s="105" t="str">
        <f t="shared" si="55"/>
        <v>"%USERPROFILE%\Documents\GitHub\eaglep3\Utilities\RefineRTDCRunTimes.py" --tripid 819-18 --locoid 4002 --swversion DE.1.0.7.0 --startMP 204:1007 --initTime 2016-08-18T12:17:11 --startdatetime 2016-08-18T12:19:02 --delay 1 --endMP 300:58952 --enddatetime 2016-08-18T12:35:05 --enforcementcount 0</v>
      </c>
    </row>
    <row r="178" spans="1:34" x14ac:dyDescent="0.25">
      <c r="A178" s="40" t="s">
        <v>341</v>
      </c>
      <c r="B178" s="7">
        <v>4001</v>
      </c>
      <c r="C178" s="25" t="s">
        <v>118</v>
      </c>
      <c r="D178" s="25" t="s">
        <v>601</v>
      </c>
      <c r="E178" s="16">
        <v>42600.52584490741</v>
      </c>
      <c r="F178" s="16">
        <v>42600.526886574073</v>
      </c>
      <c r="G178" s="7">
        <v>1</v>
      </c>
      <c r="H178" s="16" t="s">
        <v>610</v>
      </c>
      <c r="I178" s="16">
        <v>42600.538321759261</v>
      </c>
      <c r="J178" s="7">
        <v>0</v>
      </c>
      <c r="K178" s="142" t="str">
        <f t="shared" si="43"/>
        <v>4001/4002</v>
      </c>
      <c r="L178" s="25" t="str">
        <f>VLOOKUP(A178,'Trips&amp;Operators'!$C$1:$E$10000,3,FALSE)</f>
        <v>GEBRETEKLE</v>
      </c>
      <c r="M178" s="6">
        <f t="shared" si="44"/>
        <v>1.1435185188020114E-2</v>
      </c>
      <c r="N178" s="7">
        <f t="shared" si="58"/>
        <v>16.466666670748964</v>
      </c>
      <c r="O178" s="7"/>
      <c r="P178" s="7"/>
      <c r="Q178" s="26"/>
      <c r="R178" s="26"/>
      <c r="S178" s="38">
        <f t="shared" si="61"/>
        <v>1</v>
      </c>
      <c r="T178" s="53" t="str">
        <f t="shared" si="45"/>
        <v>Southbound</v>
      </c>
      <c r="U178" s="13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11:37:13-0600',mode:absolute,to:'2016-08-18 13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78" s="55" t="str">
        <f t="shared" si="47"/>
        <v>N</v>
      </c>
      <c r="X178" s="129">
        <f t="shared" si="60"/>
        <v>1</v>
      </c>
      <c r="Y178" s="70">
        <f t="shared" si="48"/>
        <v>5.8653000000000004</v>
      </c>
      <c r="Z178" s="70">
        <f t="shared" si="49"/>
        <v>7.0499999999999993E-2</v>
      </c>
      <c r="AA178" s="70">
        <f t="shared" si="50"/>
        <v>5.7948000000000004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51"/>
        <v>0820-18</v>
      </c>
      <c r="AE178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78" s="101" t="str">
        <f t="shared" si="53"/>
        <v>"C:\Program Files (x86)\AstroGrep\AstroGrep.exe" /spath="%USERPROFILE%\AppData\Local\Temp\OnboardLogs" /stypes="*4001*20160818*" /stext=" 18:.+((SYSTEM_STATE.+slice.+state.+changed )|(ment ac)|(system.+state.+changed )|(\|lc)|(penalty)|(\[timeout)|(PRM\|1\|D)|(kpr)|(kdp))" /e /r /s</v>
      </c>
      <c r="AG178" s="1" t="str">
        <f t="shared" si="54"/>
        <v>NW</v>
      </c>
      <c r="AH178" s="105" t="str">
        <f t="shared" si="55"/>
        <v>"%USERPROFILE%\Documents\GitHub\eaglep3\Utilities\RefineRTDCRunTimes.py" --tripid 820-18 --locoid 4001 --swversion DE.1.0.7.0 --startMP 300:58653 --initTime 2016-08-18T12:37:13 --startdatetime 2016-08-18T12:38:43 --delay 1 --endMP 204:705 --enddatetime 2016-08-18T12:55:11 --enforcementcount 0</v>
      </c>
    </row>
    <row r="179" spans="1:34" x14ac:dyDescent="0.25">
      <c r="A179" s="40" t="s">
        <v>611</v>
      </c>
      <c r="B179" s="7">
        <v>4002</v>
      </c>
      <c r="C179" s="25" t="s">
        <v>118</v>
      </c>
      <c r="D179" s="25" t="s">
        <v>612</v>
      </c>
      <c r="E179" s="16">
        <v>42600.546898148146</v>
      </c>
      <c r="F179" s="16">
        <v>42600.54791666667</v>
      </c>
      <c r="G179" s="7">
        <v>1</v>
      </c>
      <c r="H179" s="16" t="s">
        <v>613</v>
      </c>
      <c r="I179" s="16">
        <v>42600.566516203704</v>
      </c>
      <c r="J179" s="7">
        <v>0</v>
      </c>
      <c r="K179" s="142" t="str">
        <f t="shared" si="43"/>
        <v>4001/4002</v>
      </c>
      <c r="L179" s="25" t="str">
        <f>VLOOKUP(A179,'Trips&amp;Operators'!$C$1:$E$10000,3,FALSE)</f>
        <v>HELVIE</v>
      </c>
      <c r="M179" s="6">
        <f t="shared" si="44"/>
        <v>1.8599537033878732E-2</v>
      </c>
      <c r="N179" s="7">
        <f t="shared" si="58"/>
        <v>26.783333328785375</v>
      </c>
      <c r="O179" s="7"/>
      <c r="P179" s="7"/>
      <c r="Q179" s="26"/>
      <c r="R179" s="26"/>
      <c r="S179" s="38">
        <f t="shared" si="61"/>
        <v>1</v>
      </c>
      <c r="T179" s="53" t="str">
        <f t="shared" si="45"/>
        <v>NorthBound</v>
      </c>
      <c r="U179" s="13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12:07:32-0600',mode:absolute,to:'2016-08-18 14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9" s="55" t="str">
        <f t="shared" si="47"/>
        <v>N</v>
      </c>
      <c r="X179" s="129">
        <f t="shared" si="60"/>
        <v>1</v>
      </c>
      <c r="Y179" s="70">
        <f t="shared" si="48"/>
        <v>9.8799999999999999E-2</v>
      </c>
      <c r="Z179" s="70">
        <f t="shared" si="49"/>
        <v>5.8992000000000004</v>
      </c>
      <c r="AA179" s="70">
        <f t="shared" si="50"/>
        <v>5.8004000000000007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51"/>
        <v>0821-18</v>
      </c>
      <c r="AE179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79" s="101" t="str">
        <f t="shared" si="53"/>
        <v>"C:\Program Files (x86)\AstroGrep\AstroGrep.exe" /spath="%USERPROFILE%\AppData\Local\Temp\OnboardLogs" /stypes="*4002*20160818*" /stext=" 19:.+((SYSTEM_STATE.+slice.+state.+changed )|(ment ac)|(system.+state.+changed )|(\|lc)|(penalty)|(\[timeout)|(PRM\|1\|D)|(kpr)|(kdp))" /e /r /s</v>
      </c>
      <c r="AG179" s="1" t="str">
        <f t="shared" si="54"/>
        <v>NW</v>
      </c>
      <c r="AH179" s="105" t="str">
        <f t="shared" si="55"/>
        <v>"%USERPROFILE%\Documents\GitHub\eaglep3\Utilities\RefineRTDCRunTimes.py" --tripid 821-18 --locoid 4002 --swversion DE.1.0.7.0 --startMP 204:988 --initTime 2016-08-18T13:07:32 --startdatetime 2016-08-18T13:09:00 --delay 1 --endMP 300:58992 --enddatetime 2016-08-18T13:35:47 --enforcementcount 0</v>
      </c>
    </row>
    <row r="180" spans="1:34" x14ac:dyDescent="0.25">
      <c r="A180" s="40" t="s">
        <v>614</v>
      </c>
      <c r="B180" s="7">
        <v>4001</v>
      </c>
      <c r="C180" s="25" t="s">
        <v>118</v>
      </c>
      <c r="D180" s="25" t="s">
        <v>615</v>
      </c>
      <c r="E180" s="16">
        <v>42600.567916666667</v>
      </c>
      <c r="F180" s="16">
        <v>42600.56931712963</v>
      </c>
      <c r="G180" s="7">
        <v>2</v>
      </c>
      <c r="H180" s="16" t="s">
        <v>616</v>
      </c>
      <c r="I180" s="16">
        <v>42600.579988425925</v>
      </c>
      <c r="J180" s="7">
        <v>0</v>
      </c>
      <c r="K180" s="142" t="str">
        <f t="shared" si="43"/>
        <v>4001/4002</v>
      </c>
      <c r="L180" s="25" t="str">
        <f>VLOOKUP(A180,'Trips&amp;Operators'!$C$1:$E$10000,3,FALSE)</f>
        <v>HELVIE</v>
      </c>
      <c r="M180" s="6">
        <f t="shared" si="44"/>
        <v>1.0671296295186039E-2</v>
      </c>
      <c r="N180" s="7">
        <f t="shared" si="58"/>
        <v>15.366666665067896</v>
      </c>
      <c r="O180" s="7"/>
      <c r="P180" s="7"/>
      <c r="Q180" s="26"/>
      <c r="R180" s="26"/>
      <c r="S180" s="38">
        <f t="shared" si="61"/>
        <v>1</v>
      </c>
      <c r="T180" s="53" t="str">
        <f t="shared" si="45"/>
        <v>Southbound</v>
      </c>
      <c r="U180" s="13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12:37:48-0600',mode:absolute,to:'2016-08-18 14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0" s="55" t="str">
        <f t="shared" si="47"/>
        <v>N</v>
      </c>
      <c r="X180" s="129">
        <f t="shared" si="60"/>
        <v>1</v>
      </c>
      <c r="Y180" s="70">
        <f t="shared" si="48"/>
        <v>5.8677000000000001</v>
      </c>
      <c r="Z180" s="70">
        <f t="shared" si="49"/>
        <v>8.3599999999999994E-2</v>
      </c>
      <c r="AA180" s="70">
        <f t="shared" si="50"/>
        <v>5.7841000000000005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51"/>
        <v>0822-18</v>
      </c>
      <c r="AE180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80" s="101" t="str">
        <f t="shared" si="53"/>
        <v>"C:\Program Files (x86)\AstroGrep\AstroGrep.exe" /spath="%USERPROFILE%\AppData\Local\Temp\OnboardLogs" /stypes="*4001*20160818*" /stext=" 19:.+((SYSTEM_STATE.+slice.+state.+changed )|(ment ac)|(system.+state.+changed )|(\|lc)|(penalty)|(\[timeout)|(PRM\|1\|D)|(kpr)|(kdp))" /e /r /s</v>
      </c>
      <c r="AG180" s="1" t="str">
        <f t="shared" si="54"/>
        <v>NW</v>
      </c>
      <c r="AH180" s="105" t="str">
        <f t="shared" si="55"/>
        <v>"%USERPROFILE%\Documents\GitHub\eaglep3\Utilities\RefineRTDCRunTimes.py" --tripid 822-18 --locoid 4001 --swversion DE.1.0.7.0 --startMP 300:58677 --initTime 2016-08-18T13:37:48 --startdatetime 2016-08-18T13:39:49 --delay 2 --endMP 204:836 --enddatetime 2016-08-18T13:55:11 --enforcementcount 0</v>
      </c>
    </row>
    <row r="181" spans="1:34" x14ac:dyDescent="0.25">
      <c r="A181" s="40" t="s">
        <v>617</v>
      </c>
      <c r="B181" s="7">
        <v>4002</v>
      </c>
      <c r="C181" s="25" t="s">
        <v>118</v>
      </c>
      <c r="D181" s="25" t="s">
        <v>618</v>
      </c>
      <c r="E181" s="16">
        <v>42600.594826388886</v>
      </c>
      <c r="F181" s="16">
        <v>42600.59579861111</v>
      </c>
      <c r="G181" s="7">
        <v>1</v>
      </c>
      <c r="H181" s="16" t="s">
        <v>299</v>
      </c>
      <c r="I181" s="16">
        <v>42600.607708333337</v>
      </c>
      <c r="J181" s="7">
        <v>0</v>
      </c>
      <c r="K181" s="142" t="str">
        <f t="shared" si="43"/>
        <v>4001/4002</v>
      </c>
      <c r="L181" s="25" t="str">
        <f>VLOOKUP(A181,'Trips&amp;Operators'!$C$1:$E$10000,3,FALSE)</f>
        <v>HELVIE</v>
      </c>
      <c r="M181" s="6">
        <f t="shared" si="44"/>
        <v>1.1909722226846498E-2</v>
      </c>
      <c r="N181" s="7">
        <f t="shared" si="58"/>
        <v>17.150000006658956</v>
      </c>
      <c r="O181" s="7"/>
      <c r="P181" s="7"/>
      <c r="Q181" s="26"/>
      <c r="R181" s="26"/>
      <c r="S181" s="38">
        <f t="shared" si="61"/>
        <v>1</v>
      </c>
      <c r="T181" s="53" t="str">
        <f t="shared" si="45"/>
        <v>NorthBound</v>
      </c>
      <c r="U181" s="13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13:16:33-0600',mode:absolute,to:'2016-08-18 15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81" s="55" t="str">
        <f t="shared" si="47"/>
        <v>N</v>
      </c>
      <c r="X181" s="129">
        <f t="shared" si="60"/>
        <v>1</v>
      </c>
      <c r="Y181" s="70">
        <f t="shared" si="48"/>
        <v>0.113</v>
      </c>
      <c r="Z181" s="70">
        <f t="shared" si="49"/>
        <v>5.8979999999999997</v>
      </c>
      <c r="AA181" s="70">
        <f t="shared" si="50"/>
        <v>5.7849999999999993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51"/>
        <v>0823-18</v>
      </c>
      <c r="AE181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81" s="101" t="str">
        <f t="shared" si="53"/>
        <v>"C:\Program Files (x86)\AstroGrep\AstroGrep.exe" /spath="%USERPROFILE%\AppData\Local\Temp\OnboardLogs" /stypes="*4002*20160818*" /stext=" 20:.+((SYSTEM_STATE.+slice.+state.+changed )|(ment ac)|(system.+state.+changed )|(\|lc)|(penalty)|(\[timeout)|(PRM\|1\|D)|(kpr)|(kdp))" /e /r /s</v>
      </c>
      <c r="AG181" s="1" t="str">
        <f t="shared" si="54"/>
        <v>NW</v>
      </c>
      <c r="AH181" s="105" t="str">
        <f t="shared" si="55"/>
        <v>"%USERPROFILE%\Documents\GitHub\eaglep3\Utilities\RefineRTDCRunTimes.py" --tripid 823-18 --locoid 4002 --swversion DE.1.0.7.0 --startMP 204:1130 --initTime 2016-08-18T14:16:33 --startdatetime 2016-08-18T14:17:57 --delay 1 --endMP 300:58980 --enddatetime 2016-08-18T14:35:06 --enforcementcount 0</v>
      </c>
    </row>
    <row r="182" spans="1:34" x14ac:dyDescent="0.25">
      <c r="A182" s="40" t="s">
        <v>619</v>
      </c>
      <c r="B182" s="7">
        <v>4001</v>
      </c>
      <c r="C182" s="25" t="s">
        <v>118</v>
      </c>
      <c r="D182" s="25" t="s">
        <v>300</v>
      </c>
      <c r="E182" s="16">
        <v>42600.608807870369</v>
      </c>
      <c r="F182" s="16">
        <v>42600.609953703701</v>
      </c>
      <c r="G182" s="7">
        <v>1</v>
      </c>
      <c r="H182" s="16" t="s">
        <v>388</v>
      </c>
      <c r="I182" s="16">
        <v>42600.621377314812</v>
      </c>
      <c r="J182" s="7">
        <v>0</v>
      </c>
      <c r="K182" s="142" t="str">
        <f t="shared" si="43"/>
        <v>4001/4002</v>
      </c>
      <c r="L182" s="25" t="str">
        <f>VLOOKUP(A182,'Trips&amp;Operators'!$C$1:$E$10000,3,FALSE)</f>
        <v>HELVIE</v>
      </c>
      <c r="M182" s="6">
        <f t="shared" si="44"/>
        <v>1.1423611111240461E-2</v>
      </c>
      <c r="N182" s="7">
        <f t="shared" si="58"/>
        <v>16.450000000186265</v>
      </c>
      <c r="O182" s="7"/>
      <c r="P182" s="7"/>
      <c r="Q182" s="26"/>
      <c r="R182" s="26"/>
      <c r="S182" s="38">
        <f t="shared" si="61"/>
        <v>1</v>
      </c>
      <c r="T182" s="53" t="str">
        <f t="shared" si="45"/>
        <v>Southbound</v>
      </c>
      <c r="U182" s="13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13:36:41-0600',mode:absolute,to:'2016-08-18 15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2" s="55" t="str">
        <f t="shared" si="47"/>
        <v>N</v>
      </c>
      <c r="X182" s="129">
        <f t="shared" si="60"/>
        <v>1</v>
      </c>
      <c r="Y182" s="70">
        <f t="shared" si="48"/>
        <v>5.8662000000000001</v>
      </c>
      <c r="Z182" s="70">
        <f t="shared" si="49"/>
        <v>7.5700000000000003E-2</v>
      </c>
      <c r="AA182" s="70">
        <f t="shared" si="50"/>
        <v>5.7904999999999998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51"/>
        <v>0824-18</v>
      </c>
      <c r="AE182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82" s="101" t="str">
        <f t="shared" si="53"/>
        <v>"C:\Program Files (x86)\AstroGrep\AstroGrep.exe" /spath="%USERPROFILE%\AppData\Local\Temp\OnboardLogs" /stypes="*4001*20160818*" /stext=" 20:.+((SYSTEM_STATE.+slice.+state.+changed )|(ment ac)|(system.+state.+changed )|(\|lc)|(penalty)|(\[timeout)|(PRM\|1\|D)|(kpr)|(kdp))" /e /r /s</v>
      </c>
      <c r="AG182" s="1" t="str">
        <f t="shared" si="54"/>
        <v>NW</v>
      </c>
      <c r="AH182" s="105" t="str">
        <f t="shared" si="55"/>
        <v>"%USERPROFILE%\Documents\GitHub\eaglep3\Utilities\RefineRTDCRunTimes.py" --tripid 824-18 --locoid 4001 --swversion DE.1.0.7.0 --startMP 300:58662 --initTime 2016-08-18T14:36:41 --startdatetime 2016-08-18T14:38:20 --delay 1 --endMP 204:757 --enddatetime 2016-08-18T14:54:47 --enforcementcount 0</v>
      </c>
    </row>
    <row r="183" spans="1:34" x14ac:dyDescent="0.25">
      <c r="A183" s="40" t="s">
        <v>620</v>
      </c>
      <c r="B183" s="7">
        <v>4002</v>
      </c>
      <c r="C183" s="25" t="s">
        <v>118</v>
      </c>
      <c r="D183" s="25" t="s">
        <v>621</v>
      </c>
      <c r="E183" s="16">
        <v>42600.629826388889</v>
      </c>
      <c r="F183" s="16">
        <v>42600.63077546296</v>
      </c>
      <c r="G183" s="7">
        <v>1</v>
      </c>
      <c r="H183" s="16" t="s">
        <v>622</v>
      </c>
      <c r="I183" s="16">
        <v>42600.650509259256</v>
      </c>
      <c r="J183" s="7">
        <v>0</v>
      </c>
      <c r="K183" s="142" t="str">
        <f t="shared" si="43"/>
        <v>4001/4002</v>
      </c>
      <c r="L183" s="25" t="str">
        <f>VLOOKUP(A183,'Trips&amp;Operators'!$C$1:$E$10000,3,FALSE)</f>
        <v>HELVIE</v>
      </c>
      <c r="M183" s="6">
        <f t="shared" si="44"/>
        <v>1.9733796296350192E-2</v>
      </c>
      <c r="N183" s="7">
        <f t="shared" si="58"/>
        <v>28.416666666744277</v>
      </c>
      <c r="O183" s="7"/>
      <c r="P183" s="7"/>
      <c r="Q183" s="26"/>
      <c r="R183" s="26"/>
      <c r="S183" s="38">
        <f t="shared" si="61"/>
        <v>1</v>
      </c>
      <c r="T183" s="53" t="str">
        <f t="shared" si="45"/>
        <v>NorthBound</v>
      </c>
      <c r="U183" s="13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14:06:57-0600',mode:absolute,to:'2016-08-18 16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83" s="55" t="str">
        <f t="shared" si="47"/>
        <v>N</v>
      </c>
      <c r="X183" s="129">
        <f t="shared" si="60"/>
        <v>1</v>
      </c>
      <c r="Y183" s="70">
        <f t="shared" si="48"/>
        <v>0.1028</v>
      </c>
      <c r="Z183" s="70">
        <f t="shared" si="49"/>
        <v>5.8983999999999996</v>
      </c>
      <c r="AA183" s="70">
        <f t="shared" si="50"/>
        <v>5.7955999999999994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51"/>
        <v>0825-18</v>
      </c>
      <c r="AE183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83" s="101" t="str">
        <f t="shared" si="53"/>
        <v>"C:\Program Files (x86)\AstroGrep\AstroGrep.exe" /spath="%USERPROFILE%\AppData\Local\Temp\OnboardLogs" /stypes="*4002*20160818*" /stext=" 21:.+((SYSTEM_STATE.+slice.+state.+changed )|(ment ac)|(system.+state.+changed )|(\|lc)|(penalty)|(\[timeout)|(PRM\|1\|D)|(kpr)|(kdp))" /e /r /s</v>
      </c>
      <c r="AG183" s="1" t="str">
        <f t="shared" si="54"/>
        <v>NW</v>
      </c>
      <c r="AH183" s="105" t="str">
        <f t="shared" si="55"/>
        <v>"%USERPROFILE%\Documents\GitHub\eaglep3\Utilities\RefineRTDCRunTimes.py" --tripid 825-18 --locoid 4002 --swversion DE.1.0.7.0 --startMP 204:1028 --initTime 2016-08-18T15:06:57 --startdatetime 2016-08-18T15:08:19 --delay 1 --endMP 300:58984 --enddatetime 2016-08-18T15:36:44 --enforcementcount 0</v>
      </c>
    </row>
    <row r="184" spans="1:34" x14ac:dyDescent="0.25">
      <c r="A184" s="40" t="s">
        <v>623</v>
      </c>
      <c r="B184" s="7">
        <v>4001</v>
      </c>
      <c r="C184" s="25" t="s">
        <v>118</v>
      </c>
      <c r="D184" s="25" t="s">
        <v>615</v>
      </c>
      <c r="E184" s="16">
        <v>42600.652233796296</v>
      </c>
      <c r="F184" s="16">
        <v>42600.653090277781</v>
      </c>
      <c r="G184" s="7">
        <v>1</v>
      </c>
      <c r="H184" s="16" t="s">
        <v>569</v>
      </c>
      <c r="I184" s="16">
        <v>42600.664027777777</v>
      </c>
      <c r="J184" s="7">
        <v>0</v>
      </c>
      <c r="K184" s="142" t="str">
        <f t="shared" si="43"/>
        <v>4001/4002</v>
      </c>
      <c r="L184" s="25" t="str">
        <f>VLOOKUP(A184,'Trips&amp;Operators'!$C$1:$E$10000,3,FALSE)</f>
        <v>HELVIE</v>
      </c>
      <c r="M184" s="6">
        <f t="shared" si="44"/>
        <v>1.0937499995634425E-2</v>
      </c>
      <c r="N184" s="7">
        <f t="shared" si="58"/>
        <v>15.749999993713573</v>
      </c>
      <c r="O184" s="7"/>
      <c r="P184" s="7"/>
      <c r="Q184" s="26"/>
      <c r="R184" s="26"/>
      <c r="S184" s="38">
        <f t="shared" si="61"/>
        <v>1</v>
      </c>
      <c r="T184" s="53" t="str">
        <f t="shared" si="45"/>
        <v>Southbound</v>
      </c>
      <c r="U184" s="13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14:39:13-0600',mode:absolute,to:'2016-08-18 16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4" s="55" t="str">
        <f t="shared" si="47"/>
        <v>N</v>
      </c>
      <c r="X184" s="129">
        <f t="shared" si="60"/>
        <v>1</v>
      </c>
      <c r="Y184" s="70">
        <f t="shared" si="48"/>
        <v>5.8677000000000001</v>
      </c>
      <c r="Z184" s="70">
        <f t="shared" si="49"/>
        <v>7.6399999999999996E-2</v>
      </c>
      <c r="AA184" s="70">
        <f t="shared" si="50"/>
        <v>5.7913000000000006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51"/>
        <v>0826-18</v>
      </c>
      <c r="AE184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84" s="101" t="str">
        <f t="shared" si="53"/>
        <v>"C:\Program Files (x86)\AstroGrep\AstroGrep.exe" /spath="%USERPROFILE%\AppData\Local\Temp\OnboardLogs" /stypes="*4001*20160818*" /stext=" 21:.+((SYSTEM_STATE.+slice.+state.+changed )|(ment ac)|(system.+state.+changed )|(\|lc)|(penalty)|(\[timeout)|(PRM\|1\|D)|(kpr)|(kdp))" /e /r /s</v>
      </c>
      <c r="AG184" s="1" t="str">
        <f t="shared" si="54"/>
        <v>NW</v>
      </c>
      <c r="AH184" s="105" t="str">
        <f t="shared" si="55"/>
        <v>"%USERPROFILE%\Documents\GitHub\eaglep3\Utilities\RefineRTDCRunTimes.py" --tripid 826-18 --locoid 4001 --swversion DE.1.0.7.0 --startMP 300:58677 --initTime 2016-08-18T15:39:13 --startdatetime 2016-08-18T15:40:27 --delay 1 --endMP 204:764 --enddatetime 2016-08-18T15:56:12 --enforcementcount 0</v>
      </c>
    </row>
    <row r="185" spans="1:34" x14ac:dyDescent="0.25">
      <c r="A185" s="40" t="s">
        <v>347</v>
      </c>
      <c r="B185" s="7">
        <v>4020</v>
      </c>
      <c r="C185" s="25" t="s">
        <v>118</v>
      </c>
      <c r="D185" s="25" t="s">
        <v>298</v>
      </c>
      <c r="E185" s="16">
        <v>42600.656377314815</v>
      </c>
      <c r="F185" s="16">
        <v>42600.657372685186</v>
      </c>
      <c r="G185" s="7">
        <v>1</v>
      </c>
      <c r="H185" s="16" t="s">
        <v>224</v>
      </c>
      <c r="I185" s="16">
        <v>42600.670856481483</v>
      </c>
      <c r="J185" s="7">
        <v>0</v>
      </c>
      <c r="K185" s="142" t="str">
        <f t="shared" si="43"/>
        <v>4019/4020</v>
      </c>
      <c r="L185" s="25" t="str">
        <f>VLOOKUP(A185,'Trips&amp;Operators'!$C$1:$E$10000,3,FALSE)</f>
        <v>ISHMAEL</v>
      </c>
      <c r="M185" s="6">
        <f t="shared" si="44"/>
        <v>1.3483796297805384E-2</v>
      </c>
      <c r="N185" s="7">
        <f t="shared" si="58"/>
        <v>19.416666668839753</v>
      </c>
      <c r="O185" s="7"/>
      <c r="P185" s="7"/>
      <c r="Q185" s="26"/>
      <c r="R185" s="26"/>
      <c r="S185" s="38">
        <f t="shared" si="61"/>
        <v>1</v>
      </c>
      <c r="T185" s="53" t="str">
        <f t="shared" si="45"/>
        <v>NorthBound</v>
      </c>
      <c r="U185" s="13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14:45:11-0600',mode:absolute,to:'2016-08-18 17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85" s="55" t="str">
        <f t="shared" si="47"/>
        <v>N</v>
      </c>
      <c r="X185" s="129">
        <f t="shared" si="60"/>
        <v>1</v>
      </c>
      <c r="Y185" s="70">
        <f t="shared" si="48"/>
        <v>9.4100000000000003E-2</v>
      </c>
      <c r="Z185" s="70">
        <f t="shared" si="49"/>
        <v>5.8914</v>
      </c>
      <c r="AA185" s="70">
        <f t="shared" si="50"/>
        <v>5.7972999999999999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51"/>
        <v>0827-18</v>
      </c>
      <c r="AE185" s="104" t="str">
        <f t="shared" si="52"/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AF185" s="101" t="str">
        <f t="shared" si="53"/>
        <v>"C:\Program Files (x86)\AstroGrep\AstroGrep.exe" /spath="%USERPROFILE%\AppData\Local\Temp\OnboardLogs" /stypes="*4020*20160818*" /stext=" 22:.+((SYSTEM_STATE.+slice.+state.+changed )|(ment ac)|(system.+state.+changed )|(\|lc)|(penalty)|(\[timeout)|(PRM\|1\|D)|(kpr)|(kdp))" /e /r /s</v>
      </c>
      <c r="AG185" s="1" t="str">
        <f t="shared" si="54"/>
        <v>NW</v>
      </c>
      <c r="AH185" s="105" t="str">
        <f t="shared" si="55"/>
        <v>"%USERPROFILE%\Documents\GitHub\eaglep3\Utilities\RefineRTDCRunTimes.py" --tripid 827-18 --locoid 4020 --swversion DE.1.0.7.0 --startMP 204:941 --initTime 2016-08-18T15:45:11 --startdatetime 2016-08-18T15:46:37 --delay 1 --endMP 300:58914 --enddatetime 2016-08-18T16:06:02 --enforcementcount 0</v>
      </c>
    </row>
    <row r="186" spans="1:34" x14ac:dyDescent="0.25">
      <c r="A186" s="40" t="s">
        <v>349</v>
      </c>
      <c r="B186" s="7">
        <v>4019</v>
      </c>
      <c r="C186" s="25" t="s">
        <v>118</v>
      </c>
      <c r="D186" s="25" t="s">
        <v>253</v>
      </c>
      <c r="E186" s="16">
        <v>42600.671759259261</v>
      </c>
      <c r="F186" s="16">
        <v>42600.672569444447</v>
      </c>
      <c r="G186" s="7">
        <v>1</v>
      </c>
      <c r="H186" s="16" t="s">
        <v>624</v>
      </c>
      <c r="I186" s="16">
        <v>42600.685532407406</v>
      </c>
      <c r="J186" s="7">
        <v>0</v>
      </c>
      <c r="K186" s="142" t="str">
        <f t="shared" si="43"/>
        <v>4019/4020</v>
      </c>
      <c r="L186" s="25" t="str">
        <f>VLOOKUP(A186,'Trips&amp;Operators'!$C$1:$E$10000,3,FALSE)</f>
        <v>ISHMAEL</v>
      </c>
      <c r="M186" s="6">
        <f t="shared" si="44"/>
        <v>1.2962962959136348E-2</v>
      </c>
      <c r="N186" s="7">
        <f t="shared" si="58"/>
        <v>18.666666661156341</v>
      </c>
      <c r="O186" s="7"/>
      <c r="P186" s="7"/>
      <c r="Q186" s="26"/>
      <c r="R186" s="26"/>
      <c r="S186" s="38">
        <f t="shared" si="61"/>
        <v>1</v>
      </c>
      <c r="T186" s="53" t="str">
        <f t="shared" si="45"/>
        <v>Southbound</v>
      </c>
      <c r="U186" s="13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15:07:20-0600',mode:absolute,to:'2016-08-18 17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86" s="55" t="str">
        <f t="shared" si="47"/>
        <v>N</v>
      </c>
      <c r="X186" s="129">
        <f t="shared" si="60"/>
        <v>1</v>
      </c>
      <c r="Y186" s="70">
        <f t="shared" si="48"/>
        <v>5.8596000000000004</v>
      </c>
      <c r="Z186" s="70">
        <f t="shared" si="49"/>
        <v>7.0300000000000001E-2</v>
      </c>
      <c r="AA186" s="70">
        <f t="shared" si="50"/>
        <v>5.7893000000000008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51"/>
        <v>0828-18</v>
      </c>
      <c r="AE186" s="104" t="str">
        <f t="shared" si="52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186" s="101" t="str">
        <f t="shared" si="53"/>
        <v>"C:\Program Files (x86)\AstroGrep\AstroGrep.exe" /spath="%USERPROFILE%\AppData\Local\Temp\OnboardLogs" /stypes="*4019*20160818*" /stext=" 22:.+((SYSTEM_STATE.+slice.+state.+changed )|(ment ac)|(system.+state.+changed )|(\|lc)|(penalty)|(\[timeout)|(PRM\|1\|D)|(kpr)|(kdp))" /e /r /s</v>
      </c>
      <c r="AG186" s="1" t="str">
        <f t="shared" si="54"/>
        <v>NW</v>
      </c>
      <c r="AH186" s="105" t="str">
        <f t="shared" si="55"/>
        <v>"%USERPROFILE%\Documents\GitHub\eaglep3\Utilities\RefineRTDCRunTimes.py" --tripid 828-18 --locoid 4019 --swversion DE.1.0.7.0 --startMP 300:58596 --initTime 2016-08-18T16:07:20 --startdatetime 2016-08-18T16:08:30 --delay 1 --endMP 204:703 --enddatetime 2016-08-18T16:27:10 --enforcementcount 0</v>
      </c>
    </row>
    <row r="187" spans="1:34" x14ac:dyDescent="0.25">
      <c r="A187" s="40" t="s">
        <v>625</v>
      </c>
      <c r="B187" s="7">
        <v>4002</v>
      </c>
      <c r="C187" s="25" t="s">
        <v>118</v>
      </c>
      <c r="D187" s="25" t="s">
        <v>626</v>
      </c>
      <c r="E187" s="16">
        <v>42600.671273148146</v>
      </c>
      <c r="F187" s="16">
        <v>42600.672175925924</v>
      </c>
      <c r="G187" s="7">
        <v>1</v>
      </c>
      <c r="H187" s="16" t="s">
        <v>304</v>
      </c>
      <c r="I187" s="16">
        <v>42600.694490740738</v>
      </c>
      <c r="J187" s="7">
        <v>0</v>
      </c>
      <c r="K187" s="142" t="str">
        <f t="shared" si="43"/>
        <v>4001/4002</v>
      </c>
      <c r="L187" s="25" t="str">
        <f>VLOOKUP(A187,'Trips&amp;Operators'!$C$1:$E$10000,3,FALSE)</f>
        <v>HELVIE</v>
      </c>
      <c r="M187" s="6">
        <f t="shared" si="44"/>
        <v>2.2314814814308193E-2</v>
      </c>
      <c r="N187" s="7">
        <f t="shared" si="58"/>
        <v>32.133333332603797</v>
      </c>
      <c r="O187" s="7"/>
      <c r="P187" s="7"/>
      <c r="Q187" s="26"/>
      <c r="R187" s="26"/>
      <c r="S187" s="38">
        <f t="shared" si="61"/>
        <v>1</v>
      </c>
      <c r="T187" s="53" t="str">
        <f t="shared" si="45"/>
        <v>NorthBound</v>
      </c>
      <c r="U187" s="13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15:06:38-0600',mode:absolute,to:'2016-08-18 17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87" s="55" t="str">
        <f t="shared" si="47"/>
        <v>N</v>
      </c>
      <c r="X187" s="129">
        <f t="shared" si="60"/>
        <v>1</v>
      </c>
      <c r="Y187" s="70">
        <f t="shared" si="48"/>
        <v>0.10440000000000001</v>
      </c>
      <c r="Z187" s="70">
        <f t="shared" si="49"/>
        <v>5.8975</v>
      </c>
      <c r="AA187" s="70">
        <f t="shared" si="50"/>
        <v>5.7930999999999999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51"/>
        <v>0829-18</v>
      </c>
      <c r="AE187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87" s="101" t="str">
        <f t="shared" si="53"/>
        <v>"C:\Program Files (x86)\AstroGrep\AstroGrep.exe" /spath="%USERPROFILE%\AppData\Local\Temp\OnboardLogs" /stypes="*4002*20160818*" /stext=" 22:.+((SYSTEM_STATE.+slice.+state.+changed )|(ment ac)|(system.+state.+changed )|(\|lc)|(penalty)|(\[timeout)|(PRM\|1\|D)|(kpr)|(kdp))" /e /r /s</v>
      </c>
      <c r="AG187" s="1" t="str">
        <f t="shared" si="54"/>
        <v>NW</v>
      </c>
      <c r="AH187" s="105" t="str">
        <f t="shared" si="55"/>
        <v>"%USERPROFILE%\Documents\GitHub\eaglep3\Utilities\RefineRTDCRunTimes.py" --tripid 829-18 --locoid 4002 --swversion DE.1.0.7.0 --startMP 204:1044 --initTime 2016-08-18T16:06:38 --startdatetime 2016-08-18T16:07:56 --delay 1 --endMP 300:58975 --enddatetime 2016-08-18T16:40:04 --enforcementcount 0</v>
      </c>
    </row>
    <row r="188" spans="1:34" x14ac:dyDescent="0.25">
      <c r="A188" s="40" t="s">
        <v>627</v>
      </c>
      <c r="B188" s="7">
        <v>4001</v>
      </c>
      <c r="C188" s="25" t="s">
        <v>118</v>
      </c>
      <c r="D188" s="25" t="s">
        <v>601</v>
      </c>
      <c r="E188" s="16">
        <v>42600.695891203701</v>
      </c>
      <c r="F188" s="16">
        <v>42600.696875000001</v>
      </c>
      <c r="G188" s="7">
        <v>1</v>
      </c>
      <c r="H188" s="16" t="s">
        <v>628</v>
      </c>
      <c r="I188" s="16">
        <v>42600.707627314812</v>
      </c>
      <c r="J188" s="7">
        <v>0</v>
      </c>
      <c r="K188" s="142" t="str">
        <f t="shared" si="43"/>
        <v>4001/4002</v>
      </c>
      <c r="L188" s="25" t="str">
        <f>VLOOKUP(A188,'Trips&amp;Operators'!$C$1:$E$10000,3,FALSE)</f>
        <v>HELVIE</v>
      </c>
      <c r="M188" s="6">
        <f t="shared" si="44"/>
        <v>1.0752314810815733E-2</v>
      </c>
      <c r="N188" s="7">
        <f t="shared" si="58"/>
        <v>15.483333327574655</v>
      </c>
      <c r="O188" s="7"/>
      <c r="P188" s="7"/>
      <c r="Q188" s="26"/>
      <c r="R188" s="26"/>
      <c r="S188" s="38">
        <f t="shared" si="61"/>
        <v>1</v>
      </c>
      <c r="T188" s="53" t="str">
        <f t="shared" si="45"/>
        <v>Southbound</v>
      </c>
      <c r="U188" s="13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15:42:05-0600',mode:absolute,to:'2016-08-18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8" s="55" t="str">
        <f t="shared" si="47"/>
        <v>N</v>
      </c>
      <c r="X188" s="129">
        <f t="shared" si="60"/>
        <v>1</v>
      </c>
      <c r="Y188" s="70">
        <f t="shared" si="48"/>
        <v>5.8653000000000004</v>
      </c>
      <c r="Z188" s="70">
        <f t="shared" si="49"/>
        <v>7.6899999999999996E-2</v>
      </c>
      <c r="AA188" s="70">
        <f t="shared" si="50"/>
        <v>5.7884000000000002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51"/>
        <v>0830-18</v>
      </c>
      <c r="AE188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88" s="101" t="str">
        <f t="shared" si="53"/>
        <v>"C:\Program Files (x86)\AstroGrep\AstroGrep.exe" /spath="%USERPROFILE%\AppData\Local\Temp\OnboardLogs" /stypes="*4001*20160818*" /stext=" 22:.+((SYSTEM_STATE.+slice.+state.+changed )|(ment ac)|(system.+state.+changed )|(\|lc)|(penalty)|(\[timeout)|(PRM\|1\|D)|(kpr)|(kdp))" /e /r /s</v>
      </c>
      <c r="AG188" s="1" t="str">
        <f t="shared" si="54"/>
        <v>NW</v>
      </c>
      <c r="AH188" s="105" t="str">
        <f t="shared" si="55"/>
        <v>"%USERPROFILE%\Documents\GitHub\eaglep3\Utilities\RefineRTDCRunTimes.py" --tripid 830-18 --locoid 4001 --swversion DE.1.0.7.0 --startMP 300:58653 --initTime 2016-08-18T16:42:05 --startdatetime 2016-08-18T16:43:30 --delay 1 --endMP 204:769 --enddatetime 2016-08-18T16:58:59 --enforcementcount 0</v>
      </c>
    </row>
    <row r="189" spans="1:34" x14ac:dyDescent="0.25">
      <c r="A189" s="40" t="s">
        <v>629</v>
      </c>
      <c r="B189" s="7">
        <v>4020</v>
      </c>
      <c r="C189" s="25" t="s">
        <v>118</v>
      </c>
      <c r="D189" s="25" t="s">
        <v>295</v>
      </c>
      <c r="E189" s="16">
        <v>42600.696168981478</v>
      </c>
      <c r="F189" s="16">
        <v>42600.696932870371</v>
      </c>
      <c r="G189" s="7">
        <v>1</v>
      </c>
      <c r="H189" s="16" t="s">
        <v>630</v>
      </c>
      <c r="I189" s="16">
        <v>42600.714247685188</v>
      </c>
      <c r="J189" s="7">
        <v>0</v>
      </c>
      <c r="K189" s="142" t="str">
        <f t="shared" si="43"/>
        <v>4019/4020</v>
      </c>
      <c r="L189" s="25" t="str">
        <f>VLOOKUP(A189,'Trips&amp;Operators'!$C$1:$E$10000,3,FALSE)</f>
        <v>ISHMAEL</v>
      </c>
      <c r="M189" s="6">
        <f t="shared" si="44"/>
        <v>1.7314814816927537E-2</v>
      </c>
      <c r="N189" s="7">
        <f t="shared" si="58"/>
        <v>24.933333336375654</v>
      </c>
      <c r="O189" s="7"/>
      <c r="P189" s="7"/>
      <c r="Q189" s="26"/>
      <c r="R189" s="26"/>
      <c r="S189" s="38">
        <f t="shared" si="61"/>
        <v>1</v>
      </c>
      <c r="T189" s="53" t="str">
        <f t="shared" si="45"/>
        <v>NorthBound</v>
      </c>
      <c r="U189" s="13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15:42:29-0600',mode:absolute,to:'2016-08-18 18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89" s="55" t="str">
        <f t="shared" si="47"/>
        <v>N</v>
      </c>
      <c r="X189" s="129">
        <f t="shared" si="60"/>
        <v>1</v>
      </c>
      <c r="Y189" s="70">
        <f t="shared" si="48"/>
        <v>9.8100000000000007E-2</v>
      </c>
      <c r="Z189" s="70">
        <f t="shared" si="49"/>
        <v>5.8912000000000004</v>
      </c>
      <c r="AA189" s="70">
        <f t="shared" si="50"/>
        <v>5.7931000000000008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51"/>
        <v>0831-18</v>
      </c>
      <c r="AE189" s="104" t="str">
        <f t="shared" si="52"/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AF189" s="101" t="str">
        <f t="shared" si="53"/>
        <v>"C:\Program Files (x86)\AstroGrep\AstroGrep.exe" /spath="%USERPROFILE%\AppData\Local\Temp\OnboardLogs" /stypes="*4020*20160818*" /stext=" 23:.+((SYSTEM_STATE.+slice.+state.+changed )|(ment ac)|(system.+state.+changed )|(\|lc)|(penalty)|(\[timeout)|(PRM\|1\|D)|(kpr)|(kdp))" /e /r /s</v>
      </c>
      <c r="AG189" s="1" t="str">
        <f t="shared" si="54"/>
        <v>NW</v>
      </c>
      <c r="AH189" s="105" t="str">
        <f t="shared" si="55"/>
        <v>"%USERPROFILE%\Documents\GitHub\eaglep3\Utilities\RefineRTDCRunTimes.py" --tripid 831-18 --locoid 4020 --swversion DE.1.0.7.0 --startMP 204:981 --initTime 2016-08-18T16:42:29 --startdatetime 2016-08-18T16:43:35 --delay 1 --endMP 300:58912 --enddatetime 2016-08-18T17:08:31 --enforcementcount 0</v>
      </c>
    </row>
    <row r="190" spans="1:34" x14ac:dyDescent="0.25">
      <c r="A190" s="40" t="s">
        <v>350</v>
      </c>
      <c r="B190" s="7">
        <v>4019</v>
      </c>
      <c r="C190" s="25" t="s">
        <v>118</v>
      </c>
      <c r="D190" s="25" t="s">
        <v>302</v>
      </c>
      <c r="E190" s="16">
        <v>42600.715127314812</v>
      </c>
      <c r="F190" s="16">
        <v>42600.715914351851</v>
      </c>
      <c r="G190" s="7">
        <v>1</v>
      </c>
      <c r="H190" s="16" t="s">
        <v>631</v>
      </c>
      <c r="I190" s="16">
        <v>42600.725787037038</v>
      </c>
      <c r="J190" s="7">
        <v>0</v>
      </c>
      <c r="K190" s="142" t="str">
        <f t="shared" si="43"/>
        <v>4019/4020</v>
      </c>
      <c r="L190" s="25" t="str">
        <f>VLOOKUP(A190,'Trips&amp;Operators'!$C$1:$E$10000,3,FALSE)</f>
        <v>ISHMAEL</v>
      </c>
      <c r="M190" s="6">
        <f t="shared" si="44"/>
        <v>9.8726851865649223E-3</v>
      </c>
      <c r="N190" s="7">
        <f t="shared" ref="N190:N218" si="62">24*60*SUM($M190:$M190)</f>
        <v>14.216666668653488</v>
      </c>
      <c r="O190" s="7"/>
      <c r="P190" s="7"/>
      <c r="Q190" s="26"/>
      <c r="R190" s="26"/>
      <c r="S190" s="38">
        <f t="shared" si="61"/>
        <v>1</v>
      </c>
      <c r="T190" s="53" t="str">
        <f t="shared" si="45"/>
        <v>Southbound</v>
      </c>
      <c r="U190" s="13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16:09:47-0600',mode:absolute,to:'2016-08-18 18:25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90" s="55" t="str">
        <f t="shared" si="47"/>
        <v>N</v>
      </c>
      <c r="X190" s="129">
        <f t="shared" si="60"/>
        <v>1</v>
      </c>
      <c r="Y190" s="70">
        <f t="shared" si="48"/>
        <v>5.8590999999999998</v>
      </c>
      <c r="Z190" s="70">
        <f t="shared" si="49"/>
        <v>7.3999999999999996E-2</v>
      </c>
      <c r="AA190" s="70">
        <f t="shared" si="50"/>
        <v>5.7850999999999999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51"/>
        <v>0832-18</v>
      </c>
      <c r="AE190" s="104" t="str">
        <f t="shared" si="52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190" s="101" t="str">
        <f t="shared" si="53"/>
        <v>"C:\Program Files (x86)\AstroGrep\AstroGrep.exe" /spath="%USERPROFILE%\AppData\Local\Temp\OnboardLogs" /stypes="*4019*20160818*" /stext=" 23:.+((SYSTEM_STATE.+slice.+state.+changed )|(ment ac)|(system.+state.+changed )|(\|lc)|(penalty)|(\[timeout)|(PRM\|1\|D)|(kpr)|(kdp))" /e /r /s</v>
      </c>
      <c r="AG190" s="1" t="str">
        <f t="shared" si="54"/>
        <v>NW</v>
      </c>
      <c r="AH190" s="105" t="str">
        <f t="shared" si="55"/>
        <v>"%USERPROFILE%\Documents\GitHub\eaglep3\Utilities\RefineRTDCRunTimes.py" --tripid 832-18 --locoid 4019 --swversion DE.1.0.7.0 --startMP 300:58591 --initTime 2016-08-18T17:09:47 --startdatetime 2016-08-18T17:10:55 --delay 1 --endMP 204:740 --enddatetime 2016-08-18T17:25:08 --enforcementcount 0</v>
      </c>
    </row>
    <row r="191" spans="1:34" x14ac:dyDescent="0.25">
      <c r="A191" s="40" t="s">
        <v>632</v>
      </c>
      <c r="B191" s="7">
        <v>4002</v>
      </c>
      <c r="C191" s="25" t="s">
        <v>118</v>
      </c>
      <c r="D191" s="25" t="s">
        <v>633</v>
      </c>
      <c r="E191" s="16">
        <v>42600.716435185182</v>
      </c>
      <c r="F191" s="16">
        <v>42600.717465277776</v>
      </c>
      <c r="G191" s="7">
        <v>1</v>
      </c>
      <c r="H191" s="16" t="s">
        <v>634</v>
      </c>
      <c r="I191" s="16">
        <v>42600.73337962963</v>
      </c>
      <c r="J191" s="7">
        <v>0</v>
      </c>
      <c r="K191" s="142" t="str">
        <f t="shared" si="43"/>
        <v>4001/4002</v>
      </c>
      <c r="L191" s="25" t="str">
        <f>VLOOKUP(A191,'Trips&amp;Operators'!$C$1:$E$10000,3,FALSE)</f>
        <v>HELVIE</v>
      </c>
      <c r="M191" s="6">
        <f t="shared" si="44"/>
        <v>1.5914351854007691E-2</v>
      </c>
      <c r="N191" s="7">
        <f t="shared" si="62"/>
        <v>22.916666669771075</v>
      </c>
      <c r="O191" s="7"/>
      <c r="P191" s="7"/>
      <c r="Q191" s="26"/>
      <c r="R191" s="26"/>
      <c r="S191" s="38">
        <f t="shared" si="61"/>
        <v>1</v>
      </c>
      <c r="T191" s="53" t="str">
        <f t="shared" si="45"/>
        <v>NorthBound</v>
      </c>
      <c r="U191" s="13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16:11:40-0600',mode:absolute,to:'2016-08-18 18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1" s="55" t="str">
        <f t="shared" si="47"/>
        <v>N</v>
      </c>
      <c r="X191" s="129">
        <f t="shared" si="60"/>
        <v>1</v>
      </c>
      <c r="Y191" s="70">
        <f t="shared" si="48"/>
        <v>0.1067</v>
      </c>
      <c r="Z191" s="70">
        <f t="shared" si="49"/>
        <v>5.8971</v>
      </c>
      <c r="AA191" s="70">
        <f t="shared" si="50"/>
        <v>5.7904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51"/>
        <v>0833-18</v>
      </c>
      <c r="AE191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91" s="101" t="str">
        <f t="shared" si="53"/>
        <v>"C:\Program Files (x86)\AstroGrep\AstroGrep.exe" /spath="%USERPROFILE%\AppData\Local\Temp\OnboardLogs" /stypes="*4002*20160818*" /stext=" 23:.+((SYSTEM_STATE.+slice.+state.+changed )|(ment ac)|(system.+state.+changed )|(\|lc)|(penalty)|(\[timeout)|(PRM\|1\|D)|(kpr)|(kdp))" /e /r /s</v>
      </c>
      <c r="AG191" s="1" t="str">
        <f t="shared" si="54"/>
        <v>NW</v>
      </c>
      <c r="AH191" s="105" t="str">
        <f t="shared" si="55"/>
        <v>"%USERPROFILE%\Documents\GitHub\eaglep3\Utilities\RefineRTDCRunTimes.py" --tripid 833-18 --locoid 4002 --swversion DE.1.0.7.0 --startMP 204:1067 --initTime 2016-08-18T17:11:40 --startdatetime 2016-08-18T17:13:09 --delay 1 --endMP 300:58971 --enddatetime 2016-08-18T17:36:04 --enforcementcount 0</v>
      </c>
    </row>
    <row r="192" spans="1:34" x14ac:dyDescent="0.25">
      <c r="A192" s="40" t="s">
        <v>635</v>
      </c>
      <c r="B192" s="7">
        <v>4001</v>
      </c>
      <c r="C192" s="25" t="s">
        <v>118</v>
      </c>
      <c r="D192" s="25" t="s">
        <v>636</v>
      </c>
      <c r="E192" s="16">
        <v>42600.734803240739</v>
      </c>
      <c r="F192" s="16">
        <v>42600.736030092594</v>
      </c>
      <c r="G192" s="7">
        <v>1</v>
      </c>
      <c r="H192" s="16" t="s">
        <v>637</v>
      </c>
      <c r="I192" s="16">
        <v>42600.748217592591</v>
      </c>
      <c r="J192" s="7">
        <v>0</v>
      </c>
      <c r="K192" s="142" t="str">
        <f t="shared" si="43"/>
        <v>4001/4002</v>
      </c>
      <c r="L192" s="25" t="str">
        <f>VLOOKUP(A192,'Trips&amp;Operators'!$C$1:$E$10000,3,FALSE)</f>
        <v>HELVIE</v>
      </c>
      <c r="M192" s="6">
        <f t="shared" si="44"/>
        <v>1.2187499996798579E-2</v>
      </c>
      <c r="N192" s="7">
        <f t="shared" si="62"/>
        <v>17.549999995389953</v>
      </c>
      <c r="O192" s="7"/>
      <c r="P192" s="7"/>
      <c r="Q192" s="26"/>
      <c r="R192" s="26"/>
      <c r="S192" s="38">
        <f t="shared" si="61"/>
        <v>1</v>
      </c>
      <c r="T192" s="53" t="str">
        <f t="shared" si="45"/>
        <v>Southbound</v>
      </c>
      <c r="U192" s="13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16:38:07-0600',mode:absolute,to:'2016-08-18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92" s="55" t="str">
        <f t="shared" si="47"/>
        <v>N</v>
      </c>
      <c r="X192" s="129">
        <f t="shared" si="60"/>
        <v>1</v>
      </c>
      <c r="Y192" s="70">
        <f t="shared" si="48"/>
        <v>5.8655999999999997</v>
      </c>
      <c r="Z192" s="70">
        <f t="shared" si="49"/>
        <v>7.6100000000000001E-2</v>
      </c>
      <c r="AA192" s="70">
        <f t="shared" si="50"/>
        <v>5.7894999999999994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51"/>
        <v>0834-18</v>
      </c>
      <c r="AE192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92" s="101" t="str">
        <f t="shared" si="53"/>
        <v>"C:\Program Files (x86)\AstroGrep\AstroGrep.exe" /spath="%USERPROFILE%\AppData\Local\Temp\OnboardLogs" /stypes="*4001*20160818*" /stext=" 23:.+((SYSTEM_STATE.+slice.+state.+changed )|(ment ac)|(system.+state.+changed )|(\|lc)|(penalty)|(\[timeout)|(PRM\|1\|D)|(kpr)|(kdp))" /e /r /s</v>
      </c>
      <c r="AG192" s="1" t="str">
        <f t="shared" si="54"/>
        <v>NW</v>
      </c>
      <c r="AH192" s="105" t="str">
        <f t="shared" si="55"/>
        <v>"%USERPROFILE%\Documents\GitHub\eaglep3\Utilities\RefineRTDCRunTimes.py" --tripid 834-18 --locoid 4001 --swversion DE.1.0.7.0 --startMP 300:58656 --initTime 2016-08-18T17:38:07 --startdatetime 2016-08-18T17:39:53 --delay 1 --endMP 204:761 --enddatetime 2016-08-18T17:57:26 --enforcementcount 0</v>
      </c>
    </row>
    <row r="193" spans="1:34" x14ac:dyDescent="0.25">
      <c r="A193" s="40" t="s">
        <v>638</v>
      </c>
      <c r="B193" s="7">
        <v>4020</v>
      </c>
      <c r="C193" s="25" t="s">
        <v>118</v>
      </c>
      <c r="D193" s="25" t="s">
        <v>621</v>
      </c>
      <c r="E193" s="16">
        <v>42600.737384259257</v>
      </c>
      <c r="F193" s="16">
        <v>42600.738356481481</v>
      </c>
      <c r="G193" s="7">
        <v>1</v>
      </c>
      <c r="H193" s="16" t="s">
        <v>296</v>
      </c>
      <c r="I193" s="16">
        <v>42600.753784722219</v>
      </c>
      <c r="J193" s="7">
        <v>0</v>
      </c>
      <c r="K193" s="142" t="str">
        <f t="shared" si="43"/>
        <v>4019/4020</v>
      </c>
      <c r="L193" s="25" t="str">
        <f>VLOOKUP(A193,'Trips&amp;Operators'!$C$1:$E$10000,3,FALSE)</f>
        <v>ISHMAEL</v>
      </c>
      <c r="M193" s="6">
        <f t="shared" si="44"/>
        <v>1.5428240738401655E-2</v>
      </c>
      <c r="N193" s="7">
        <f t="shared" si="62"/>
        <v>22.216666663298383</v>
      </c>
      <c r="O193" s="7"/>
      <c r="P193" s="7"/>
      <c r="Q193" s="26"/>
      <c r="R193" s="26"/>
      <c r="S193" s="38">
        <f t="shared" si="61"/>
        <v>1</v>
      </c>
      <c r="T193" s="53" t="str">
        <f t="shared" si="45"/>
        <v>NorthBound</v>
      </c>
      <c r="U193" s="13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16:41:50-0600',mode:absolute,to:'2016-08-18 19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3" s="55" t="str">
        <f t="shared" si="47"/>
        <v>N</v>
      </c>
      <c r="X193" s="129">
        <f t="shared" ref="X193:X218" si="63">VALUE(LEFT(AD193,4))-VALUE(LEFT(AD192,4))</f>
        <v>1</v>
      </c>
      <c r="Y193" s="70">
        <f t="shared" si="48"/>
        <v>0.1028</v>
      </c>
      <c r="Z193" s="70">
        <f t="shared" si="49"/>
        <v>5.8920000000000003</v>
      </c>
      <c r="AA193" s="70">
        <f t="shared" si="50"/>
        <v>5.7892000000000001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51"/>
        <v>0835-18</v>
      </c>
      <c r="AE193" s="104" t="str">
        <f t="shared" si="52"/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AF193" s="101" t="str">
        <f t="shared" si="53"/>
        <v>"C:\Program Files (x86)\AstroGrep\AstroGrep.exe" /spath="%USERPROFILE%\AppData\Local\Temp\OnboardLogs" /stypes="*4020*20160819*" /stext=" 00:.+((SYSTEM_STATE.+slice.+state.+changed )|(ment ac)|(system.+state.+changed )|(\|lc)|(penalty)|(\[timeout)|(PRM\|1\|D)|(kpr)|(kdp))" /e /r /s</v>
      </c>
      <c r="AG193" s="1" t="str">
        <f t="shared" si="54"/>
        <v>NW</v>
      </c>
      <c r="AH193" s="105" t="str">
        <f t="shared" si="55"/>
        <v>"%USERPROFILE%\Documents\GitHub\eaglep3\Utilities\RefineRTDCRunTimes.py" --tripid 835-18 --locoid 4020 --swversion DE.1.0.7.0 --startMP 204:1028 --initTime 2016-08-18T17:41:50 --startdatetime 2016-08-18T17:43:14 --delay 1 --endMP 300:58920 --enddatetime 2016-08-18T18:05:27 --enforcementcount 0</v>
      </c>
    </row>
    <row r="194" spans="1:34" x14ac:dyDescent="0.25">
      <c r="A194" s="40" t="s">
        <v>639</v>
      </c>
      <c r="B194" s="7">
        <v>4019</v>
      </c>
      <c r="C194" s="25" t="s">
        <v>118</v>
      </c>
      <c r="D194" s="25" t="s">
        <v>223</v>
      </c>
      <c r="E194" s="16">
        <v>42600.754756944443</v>
      </c>
      <c r="F194" s="16">
        <v>42600.75545138889</v>
      </c>
      <c r="G194" s="7">
        <v>0</v>
      </c>
      <c r="H194" s="16" t="s">
        <v>640</v>
      </c>
      <c r="I194" s="16">
        <v>42600.76798611111</v>
      </c>
      <c r="J194" s="7">
        <v>0</v>
      </c>
      <c r="K194" s="142" t="str">
        <f t="shared" si="43"/>
        <v>4019/4020</v>
      </c>
      <c r="L194" s="25" t="str">
        <f>VLOOKUP(A194,'Trips&amp;Operators'!$C$1:$E$10000,3,FALSE)</f>
        <v>ISHMAEL</v>
      </c>
      <c r="M194" s="6">
        <f t="shared" si="44"/>
        <v>1.2534722220152617E-2</v>
      </c>
      <c r="N194" s="7">
        <f t="shared" si="62"/>
        <v>18.049999997019768</v>
      </c>
      <c r="O194" s="7"/>
      <c r="P194" s="7"/>
      <c r="Q194" s="26"/>
      <c r="R194" s="26"/>
      <c r="S194" s="38">
        <f t="shared" si="61"/>
        <v>1</v>
      </c>
      <c r="T194" s="53" t="str">
        <f t="shared" si="45"/>
        <v>Southbound</v>
      </c>
      <c r="U194" s="13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17:06:51-0600',mode:absolute,to:'2016-08-18 19:25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94" s="55" t="str">
        <f t="shared" si="47"/>
        <v>N</v>
      </c>
      <c r="X194" s="129">
        <f t="shared" si="63"/>
        <v>1</v>
      </c>
      <c r="Y194" s="70">
        <f t="shared" si="48"/>
        <v>5.8608000000000002</v>
      </c>
      <c r="Z194" s="70">
        <f t="shared" si="49"/>
        <v>6.9099999999999995E-2</v>
      </c>
      <c r="AA194" s="70">
        <f t="shared" si="50"/>
        <v>5.7917000000000005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51"/>
        <v>0836-18</v>
      </c>
      <c r="AE194" s="104" t="str">
        <f t="shared" si="52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194" s="101" t="str">
        <f t="shared" si="53"/>
        <v>"C:\Program Files (x86)\AstroGrep\AstroGrep.exe" /spath="%USERPROFILE%\AppData\Local\Temp\OnboardLogs" /stypes="*4019*20160819*" /stext=" 00:.+((SYSTEM_STATE.+slice.+state.+changed )|(ment ac)|(system.+state.+changed )|(\|lc)|(penalty)|(\[timeout)|(PRM\|1\|D)|(kpr)|(kdp))" /e /r /s</v>
      </c>
      <c r="AG194" s="1" t="str">
        <f t="shared" si="54"/>
        <v>NW</v>
      </c>
      <c r="AH194" s="105" t="str">
        <f t="shared" si="55"/>
        <v>"%USERPROFILE%\Documents\GitHub\eaglep3\Utilities\RefineRTDCRunTimes.py" --tripid 836-18 --locoid 4019 --swversion DE.1.0.7.0 --startMP 300:58608 --initTime 2016-08-18T18:06:51 --startdatetime 2016-08-18T18:07:51 --delay 0 --endMP 204:691 --enddatetime 2016-08-18T18:25:54 --enforcementcount 0</v>
      </c>
    </row>
    <row r="195" spans="1:34" x14ac:dyDescent="0.25">
      <c r="A195" s="40" t="s">
        <v>641</v>
      </c>
      <c r="B195" s="7">
        <v>4002</v>
      </c>
      <c r="C195" s="25" t="s">
        <v>118</v>
      </c>
      <c r="D195" s="25" t="s">
        <v>642</v>
      </c>
      <c r="E195" s="16">
        <v>42600.761099537034</v>
      </c>
      <c r="F195" s="16">
        <v>42600.761886574073</v>
      </c>
      <c r="G195" s="7">
        <v>1</v>
      </c>
      <c r="H195" s="16" t="s">
        <v>634</v>
      </c>
      <c r="I195" s="16">
        <v>42600.774895833332</v>
      </c>
      <c r="J195" s="7">
        <v>0</v>
      </c>
      <c r="K195" s="142" t="str">
        <f t="shared" si="43"/>
        <v>4001/4002</v>
      </c>
      <c r="L195" s="25" t="str">
        <f>VLOOKUP(A195,'Trips&amp;Operators'!$C$1:$E$10000,3,FALSE)</f>
        <v>HELVIE</v>
      </c>
      <c r="M195" s="6">
        <f t="shared" si="44"/>
        <v>1.3009259258979E-2</v>
      </c>
      <c r="N195" s="7">
        <f t="shared" si="62"/>
        <v>18.73333333292976</v>
      </c>
      <c r="O195" s="7"/>
      <c r="P195" s="7"/>
      <c r="Q195" s="26"/>
      <c r="R195" s="26"/>
      <c r="S195" s="38">
        <f t="shared" si="61"/>
        <v>1</v>
      </c>
      <c r="T195" s="53" t="str">
        <f t="shared" si="45"/>
        <v>NorthBound</v>
      </c>
      <c r="U195" s="13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17:15:59-0600',mode:absolute,to:'2016-08-18 19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5" s="55" t="str">
        <f t="shared" si="47"/>
        <v>N</v>
      </c>
      <c r="X195" s="129">
        <f t="shared" si="63"/>
        <v>1</v>
      </c>
      <c r="Y195" s="70">
        <f t="shared" si="48"/>
        <v>0.10299999999999999</v>
      </c>
      <c r="Z195" s="70">
        <f t="shared" si="49"/>
        <v>5.8971</v>
      </c>
      <c r="AA195" s="70">
        <f t="shared" si="50"/>
        <v>5.7941000000000003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51"/>
        <v>0837-18</v>
      </c>
      <c r="AE195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95" s="101" t="str">
        <f t="shared" si="53"/>
        <v>"C:\Program Files (x86)\AstroGrep\AstroGrep.exe" /spath="%USERPROFILE%\AppData\Local\Temp\OnboardLogs" /stypes="*4002*20160819*" /stext=" 00:.+((SYSTEM_STATE.+slice.+state.+changed )|(ment ac)|(system.+state.+changed )|(\|lc)|(penalty)|(\[timeout)|(PRM\|1\|D)|(kpr)|(kdp))" /e /r /s</v>
      </c>
      <c r="AG195" s="1" t="str">
        <f t="shared" si="54"/>
        <v>NW</v>
      </c>
      <c r="AH195" s="105" t="str">
        <f t="shared" si="55"/>
        <v>"%USERPROFILE%\Documents\GitHub\eaglep3\Utilities\RefineRTDCRunTimes.py" --tripid 837-18 --locoid 4002 --swversion DE.1.0.7.0 --startMP 204:1030 --initTime 2016-08-18T18:15:59 --startdatetime 2016-08-18T18:17:07 --delay 1 --endMP 300:58971 --enddatetime 2016-08-18T18:35:51 --enforcementcount 0</v>
      </c>
    </row>
    <row r="196" spans="1:34" x14ac:dyDescent="0.25">
      <c r="A196" s="40" t="s">
        <v>643</v>
      </c>
      <c r="B196" s="7">
        <v>4001</v>
      </c>
      <c r="C196" s="25" t="s">
        <v>118</v>
      </c>
      <c r="D196" s="25" t="s">
        <v>636</v>
      </c>
      <c r="E196" s="16">
        <v>42600.776655092595</v>
      </c>
      <c r="F196" s="16">
        <v>42600.777499999997</v>
      </c>
      <c r="G196" s="7">
        <v>1</v>
      </c>
      <c r="H196" s="16" t="s">
        <v>644</v>
      </c>
      <c r="I196" s="16">
        <v>42600.788668981484</v>
      </c>
      <c r="J196" s="7">
        <v>0</v>
      </c>
      <c r="K196" s="142" t="str">
        <f t="shared" si="43"/>
        <v>4001/4002</v>
      </c>
      <c r="L196" s="25" t="str">
        <f>VLOOKUP(A196,'Trips&amp;Operators'!$C$1:$E$10000,3,FALSE)</f>
        <v>HELVIE</v>
      </c>
      <c r="M196" s="6">
        <f t="shared" si="44"/>
        <v>1.1168981487571727E-2</v>
      </c>
      <c r="N196" s="7">
        <f t="shared" si="62"/>
        <v>16.083333342103288</v>
      </c>
      <c r="O196" s="7"/>
      <c r="P196" s="7"/>
      <c r="Q196" s="26"/>
      <c r="R196" s="26"/>
      <c r="S196" s="38">
        <f t="shared" si="61"/>
        <v>1</v>
      </c>
      <c r="T196" s="53" t="str">
        <f t="shared" si="45"/>
        <v>Southbound</v>
      </c>
      <c r="U196" s="13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17:38:23-0600',mode:absolute,to:'2016-08-18 19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96" s="55" t="str">
        <f t="shared" si="47"/>
        <v>N</v>
      </c>
      <c r="X196" s="129">
        <f t="shared" si="63"/>
        <v>1</v>
      </c>
      <c r="Y196" s="70">
        <f t="shared" si="48"/>
        <v>5.8655999999999997</v>
      </c>
      <c r="Z196" s="70">
        <f t="shared" si="49"/>
        <v>7.4499999999999997E-2</v>
      </c>
      <c r="AA196" s="70">
        <f t="shared" si="50"/>
        <v>5.7911000000000001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51"/>
        <v>0838-18</v>
      </c>
      <c r="AE196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96" s="101" t="str">
        <f t="shared" si="53"/>
        <v>"C:\Program Files (x86)\AstroGrep\AstroGrep.exe" /spath="%USERPROFILE%\AppData\Local\Temp\OnboardLogs" /stypes="*4001*20160819*" /stext=" 00:.+((SYSTEM_STATE.+slice.+state.+changed )|(ment ac)|(system.+state.+changed )|(\|lc)|(penalty)|(\[timeout)|(PRM\|1\|D)|(kpr)|(kdp))" /e /r /s</v>
      </c>
      <c r="AG196" s="1" t="str">
        <f t="shared" si="54"/>
        <v>NW</v>
      </c>
      <c r="AH196" s="105" t="str">
        <f t="shared" si="55"/>
        <v>"%USERPROFILE%\Documents\GitHub\eaglep3\Utilities\RefineRTDCRunTimes.py" --tripid 838-18 --locoid 4001 --swversion DE.1.0.7.0 --startMP 300:58656 --initTime 2016-08-18T18:38:23 --startdatetime 2016-08-18T18:39:36 --delay 1 --endMP 204:745 --enddatetime 2016-08-18T18:55:41 --enforcementcount 0</v>
      </c>
    </row>
    <row r="197" spans="1:34" x14ac:dyDescent="0.25">
      <c r="A197" s="40" t="s">
        <v>645</v>
      </c>
      <c r="B197" s="7">
        <v>4020</v>
      </c>
      <c r="C197" s="25" t="s">
        <v>118</v>
      </c>
      <c r="D197" s="25" t="s">
        <v>295</v>
      </c>
      <c r="E197" s="16">
        <v>42600.780231481483</v>
      </c>
      <c r="F197" s="16">
        <v>42600.781122685185</v>
      </c>
      <c r="G197" s="7">
        <v>1</v>
      </c>
      <c r="H197" s="16" t="s">
        <v>646</v>
      </c>
      <c r="I197" s="16">
        <v>42600.795370370368</v>
      </c>
      <c r="J197" s="7">
        <v>0</v>
      </c>
      <c r="K197" s="142" t="str">
        <f t="shared" si="43"/>
        <v>4019/4020</v>
      </c>
      <c r="L197" s="25" t="str">
        <f>VLOOKUP(A197,'Trips&amp;Operators'!$C$1:$E$10000,3,FALSE)</f>
        <v>ISHMAEL</v>
      </c>
      <c r="M197" s="6">
        <f t="shared" si="44"/>
        <v>1.4247685183363501E-2</v>
      </c>
      <c r="N197" s="7">
        <f t="shared" si="62"/>
        <v>20.516666664043441</v>
      </c>
      <c r="O197" s="7"/>
      <c r="P197" s="7"/>
      <c r="Q197" s="26"/>
      <c r="R197" s="26"/>
      <c r="S197" s="38">
        <f t="shared" si="61"/>
        <v>1</v>
      </c>
      <c r="T197" s="53" t="str">
        <f t="shared" si="45"/>
        <v>NorthBound</v>
      </c>
      <c r="U197" s="13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17:43:32-0600',mode:absolute,to:'2016-08-18 20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7" s="55" t="str">
        <f t="shared" si="47"/>
        <v>N</v>
      </c>
      <c r="X197" s="129">
        <f t="shared" si="63"/>
        <v>1</v>
      </c>
      <c r="Y197" s="70">
        <f t="shared" si="48"/>
        <v>9.8100000000000007E-2</v>
      </c>
      <c r="Z197" s="70">
        <f t="shared" si="49"/>
        <v>5.8902999999999999</v>
      </c>
      <c r="AA197" s="70">
        <f t="shared" si="50"/>
        <v>5.7922000000000002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51"/>
        <v>0839-18</v>
      </c>
      <c r="AE197" s="104" t="str">
        <f t="shared" si="52"/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AF197" s="101" t="str">
        <f t="shared" si="53"/>
        <v>"C:\Program Files (x86)\AstroGrep\AstroGrep.exe" /spath="%USERPROFILE%\AppData\Local\Temp\OnboardLogs" /stypes="*4020*20160819*" /stext=" 01:.+((SYSTEM_STATE.+slice.+state.+changed )|(ment ac)|(system.+state.+changed )|(\|lc)|(penalty)|(\[timeout)|(PRM\|1\|D)|(kpr)|(kdp))" /e /r /s</v>
      </c>
      <c r="AG197" s="1" t="str">
        <f t="shared" si="54"/>
        <v>NW</v>
      </c>
      <c r="AH197" s="105" t="str">
        <f t="shared" si="55"/>
        <v>"%USERPROFILE%\Documents\GitHub\eaglep3\Utilities\RefineRTDCRunTimes.py" --tripid 839-18 --locoid 4020 --swversion DE.1.0.7.0 --startMP 204:981 --initTime 2016-08-18T18:43:32 --startdatetime 2016-08-18T18:44:49 --delay 1 --endMP 300:58903 --enddatetime 2016-08-18T19:05:20 --enforcementcount 0</v>
      </c>
    </row>
    <row r="198" spans="1:34" x14ac:dyDescent="0.25">
      <c r="A198" s="40" t="s">
        <v>647</v>
      </c>
      <c r="B198" s="7">
        <v>4001</v>
      </c>
      <c r="C198" s="25" t="s">
        <v>118</v>
      </c>
      <c r="D198" s="25" t="s">
        <v>648</v>
      </c>
      <c r="E198" s="16">
        <v>42600.81759259259</v>
      </c>
      <c r="F198" s="16">
        <v>42600.818472222221</v>
      </c>
      <c r="G198" s="7">
        <v>1</v>
      </c>
      <c r="H198" s="16" t="s">
        <v>649</v>
      </c>
      <c r="I198" s="16">
        <v>42600.830300925925</v>
      </c>
      <c r="J198" s="7">
        <v>0</v>
      </c>
      <c r="K198" s="142" t="str">
        <f t="shared" si="43"/>
        <v>4001/4002</v>
      </c>
      <c r="L198" s="25" t="str">
        <f>VLOOKUP(A198,'Trips&amp;Operators'!$C$1:$E$10000,3,FALSE)</f>
        <v>HELVIE</v>
      </c>
      <c r="M198" s="6">
        <f t="shared" si="44"/>
        <v>1.1828703703940846E-2</v>
      </c>
      <c r="N198" s="7">
        <f t="shared" si="62"/>
        <v>17.033333333674818</v>
      </c>
      <c r="O198" s="7"/>
      <c r="P198" s="7"/>
      <c r="Q198" s="26"/>
      <c r="R198" s="26"/>
      <c r="S198" s="38">
        <f t="shared" si="61"/>
        <v>1</v>
      </c>
      <c r="T198" s="53" t="str">
        <f t="shared" si="45"/>
        <v>Southbound</v>
      </c>
      <c r="U198" s="13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18:37:20-0600',mode:absolute,to:'2016-08-18 20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98" s="55" t="str">
        <f t="shared" si="47"/>
        <v>N</v>
      </c>
      <c r="X198" s="129">
        <f t="shared" si="63"/>
        <v>1</v>
      </c>
      <c r="Y198" s="70">
        <f t="shared" si="48"/>
        <v>5.8654999999999999</v>
      </c>
      <c r="Z198" s="70">
        <f t="shared" si="49"/>
        <v>7.3300000000000004E-2</v>
      </c>
      <c r="AA198" s="70">
        <f t="shared" si="50"/>
        <v>5.7922000000000002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si="51"/>
        <v>0840-18</v>
      </c>
      <c r="AE198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198" s="101" t="str">
        <f t="shared" si="53"/>
        <v>"C:\Program Files (x86)\AstroGrep\AstroGrep.exe" /spath="%USERPROFILE%\AppData\Local\Temp\OnboardLogs" /stypes="*4001*20160819*" /stext=" 01:.+((SYSTEM_STATE.+slice.+state.+changed )|(ment ac)|(system.+state.+changed )|(\|lc)|(penalty)|(\[timeout)|(PRM\|1\|D)|(kpr)|(kdp))" /e /r /s</v>
      </c>
      <c r="AG198" s="1" t="str">
        <f t="shared" si="54"/>
        <v>NW</v>
      </c>
      <c r="AH198" s="105" t="str">
        <f t="shared" si="55"/>
        <v>"%USERPROFILE%\Documents\GitHub\eaglep3\Utilities\RefineRTDCRunTimes.py" --tripid 840-18 --locoid 4001 --swversion DE.1.0.7.0 --startMP 300:58655 --initTime 2016-08-18T19:37:20 --startdatetime 2016-08-18T19:38:36 --delay 1 --endMP 204:733 --enddatetime 2016-08-18T19:55:38 --enforcementcount 0</v>
      </c>
    </row>
    <row r="199" spans="1:34" x14ac:dyDescent="0.25">
      <c r="A199" s="40" t="s">
        <v>650</v>
      </c>
      <c r="B199" s="7">
        <v>4002</v>
      </c>
      <c r="C199" s="25" t="s">
        <v>118</v>
      </c>
      <c r="D199" s="25" t="s">
        <v>651</v>
      </c>
      <c r="E199" s="16">
        <v>42600.798587962963</v>
      </c>
      <c r="F199" s="16">
        <v>42600.799722222226</v>
      </c>
      <c r="G199" s="7">
        <v>1</v>
      </c>
      <c r="H199" s="16" t="s">
        <v>652</v>
      </c>
      <c r="I199" s="16">
        <v>42600.816631944443</v>
      </c>
      <c r="J199" s="7">
        <v>0</v>
      </c>
      <c r="K199" s="142" t="str">
        <f t="shared" si="43"/>
        <v>4001/4002</v>
      </c>
      <c r="L199" s="25" t="str">
        <f>VLOOKUP(A199,'Trips&amp;Operators'!$C$1:$E$10000,3,FALSE)</f>
        <v>HELVIE</v>
      </c>
      <c r="M199" s="6">
        <f t="shared" si="44"/>
        <v>1.6909722216951195E-2</v>
      </c>
      <c r="N199" s="7">
        <f t="shared" si="62"/>
        <v>24.349999992409721</v>
      </c>
      <c r="O199" s="7"/>
      <c r="P199" s="7"/>
      <c r="Q199" s="26"/>
      <c r="R199" s="26"/>
      <c r="S199" s="38">
        <f t="shared" si="61"/>
        <v>1</v>
      </c>
      <c r="T199" s="53" t="str">
        <f t="shared" si="45"/>
        <v>NorthBound</v>
      </c>
      <c r="U199" s="13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18:09:58-0600',mode:absolute,to:'2016-08-18 20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9" s="55" t="str">
        <f t="shared" si="47"/>
        <v>N</v>
      </c>
      <c r="X199" s="129">
        <f t="shared" si="63"/>
        <v>1</v>
      </c>
      <c r="Y199" s="70">
        <f t="shared" si="48"/>
        <v>0.1037</v>
      </c>
      <c r="Z199" s="70">
        <f t="shared" si="49"/>
        <v>5.8968999999999996</v>
      </c>
      <c r="AA199" s="70">
        <f t="shared" si="50"/>
        <v>5.7931999999999997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51"/>
        <v>0841-18</v>
      </c>
      <c r="AE199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199" s="101" t="str">
        <f t="shared" si="53"/>
        <v>"C:\Program Files (x86)\AstroGrep\AstroGrep.exe" /spath="%USERPROFILE%\AppData\Local\Temp\OnboardLogs" /stypes="*4002*20160819*" /stext=" 01:.+((SYSTEM_STATE.+slice.+state.+changed )|(ment ac)|(system.+state.+changed )|(\|lc)|(penalty)|(\[timeout)|(PRM\|1\|D)|(kpr)|(kdp))" /e /r /s</v>
      </c>
      <c r="AG199" s="1" t="str">
        <f t="shared" si="54"/>
        <v>NW</v>
      </c>
      <c r="AH199" s="105" t="str">
        <f t="shared" si="55"/>
        <v>"%USERPROFILE%\Documents\GitHub\eaglep3\Utilities\RefineRTDCRunTimes.py" --tripid 841-18 --locoid 4002 --swversion DE.1.0.7.0 --startMP 204:1037 --initTime 2016-08-18T19:09:58 --startdatetime 2016-08-18T19:11:36 --delay 1 --endMP 300:58969 --enddatetime 2016-08-18T19:35:57 --enforcementcount 0</v>
      </c>
    </row>
    <row r="200" spans="1:34" x14ac:dyDescent="0.25">
      <c r="A200" s="40" t="s">
        <v>653</v>
      </c>
      <c r="B200" s="7">
        <v>4001</v>
      </c>
      <c r="C200" s="25" t="s">
        <v>118</v>
      </c>
      <c r="D200" s="25" t="s">
        <v>601</v>
      </c>
      <c r="E200" s="16">
        <v>42600.859699074077</v>
      </c>
      <c r="F200" s="16">
        <v>42600.860625000001</v>
      </c>
      <c r="G200" s="7">
        <v>1</v>
      </c>
      <c r="H200" s="16" t="s">
        <v>654</v>
      </c>
      <c r="I200" s="16">
        <v>42600.872581018521</v>
      </c>
      <c r="J200" s="7">
        <v>0</v>
      </c>
      <c r="K200" s="142" t="str">
        <f t="shared" si="43"/>
        <v>4001/4002</v>
      </c>
      <c r="L200" s="25" t="str">
        <f>VLOOKUP(A200,'Trips&amp;Operators'!$C$1:$E$10000,3,FALSE)</f>
        <v>HELVIE</v>
      </c>
      <c r="M200" s="6">
        <f t="shared" si="44"/>
        <v>1.1956018519413192E-2</v>
      </c>
      <c r="N200" s="7">
        <f t="shared" si="62"/>
        <v>17.216666667954996</v>
      </c>
      <c r="O200" s="7"/>
      <c r="P200" s="7"/>
      <c r="Q200" s="26"/>
      <c r="R200" s="26"/>
      <c r="S200" s="38">
        <f t="shared" si="61"/>
        <v>1</v>
      </c>
      <c r="T200" s="53" t="str">
        <f t="shared" si="45"/>
        <v>Southbound</v>
      </c>
      <c r="U200" s="13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19:37:58-0600',mode:absolute,to:'2016-08-18 21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00" s="55" t="str">
        <f t="shared" si="47"/>
        <v>N</v>
      </c>
      <c r="X200" s="129">
        <f t="shared" si="63"/>
        <v>1</v>
      </c>
      <c r="Y200" s="70">
        <f t="shared" si="48"/>
        <v>5.8653000000000004</v>
      </c>
      <c r="Z200" s="70">
        <f t="shared" si="49"/>
        <v>7.5499999999999998E-2</v>
      </c>
      <c r="AA200" s="70">
        <f t="shared" si="50"/>
        <v>5.7898000000000005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51"/>
        <v>0842-18</v>
      </c>
      <c r="AE200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200" s="101" t="str">
        <f t="shared" si="53"/>
        <v>"C:\Program Files (x86)\AstroGrep\AstroGrep.exe" /spath="%USERPROFILE%\AppData\Local\Temp\OnboardLogs" /stypes="*4001*20160819*" /stext=" 02:.+((SYSTEM_STATE.+slice.+state.+changed )|(ment ac)|(system.+state.+changed )|(\|lc)|(penalty)|(\[timeout)|(PRM\|1\|D)|(kpr)|(kdp))" /e /r /s</v>
      </c>
      <c r="AG200" s="1" t="str">
        <f t="shared" si="54"/>
        <v>NW</v>
      </c>
      <c r="AH200" s="105" t="str">
        <f t="shared" si="55"/>
        <v>"%USERPROFILE%\Documents\GitHub\eaglep3\Utilities\RefineRTDCRunTimes.py" --tripid 842-18 --locoid 4001 --swversion DE.1.0.7.0 --startMP 300:58653 --initTime 2016-08-18T20:37:58 --startdatetime 2016-08-18T20:39:18 --delay 1 --endMP 204:755 --enddatetime 2016-08-18T20:56:31 --enforcementcount 0</v>
      </c>
    </row>
    <row r="201" spans="1:34" x14ac:dyDescent="0.25">
      <c r="A201" s="40" t="s">
        <v>655</v>
      </c>
      <c r="B201" s="7">
        <v>4002</v>
      </c>
      <c r="C201" s="25" t="s">
        <v>118</v>
      </c>
      <c r="D201" s="25" t="s">
        <v>656</v>
      </c>
      <c r="E201" s="16">
        <v>42600.840752314813</v>
      </c>
      <c r="F201" s="16">
        <v>42600.841678240744</v>
      </c>
      <c r="G201" s="7">
        <v>1</v>
      </c>
      <c r="H201" s="16" t="s">
        <v>304</v>
      </c>
      <c r="I201" s="16">
        <v>42600.858530092592</v>
      </c>
      <c r="J201" s="7">
        <v>0</v>
      </c>
      <c r="K201" s="142" t="str">
        <f t="shared" si="43"/>
        <v>4001/4002</v>
      </c>
      <c r="L201" s="25" t="str">
        <f>VLOOKUP(A201,'Trips&amp;Operators'!$C$1:$E$10000,3,FALSE)</f>
        <v>HELVIE</v>
      </c>
      <c r="M201" s="6">
        <f t="shared" si="44"/>
        <v>1.6851851847604848E-2</v>
      </c>
      <c r="N201" s="7">
        <f t="shared" si="62"/>
        <v>24.266666660550982</v>
      </c>
      <c r="O201" s="7"/>
      <c r="P201" s="7"/>
      <c r="Q201" s="26"/>
      <c r="R201" s="26"/>
      <c r="S201" s="38">
        <f t="shared" si="61"/>
        <v>1</v>
      </c>
      <c r="T201" s="53" t="str">
        <f t="shared" si="45"/>
        <v>NorthBound</v>
      </c>
      <c r="U201" s="13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19:10:41-0600',mode:absolute,to:'2016-08-18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1" s="55" t="str">
        <f t="shared" si="47"/>
        <v>N</v>
      </c>
      <c r="X201" s="129">
        <f t="shared" si="63"/>
        <v>1</v>
      </c>
      <c r="Y201" s="70">
        <f t="shared" si="48"/>
        <v>0.10340000000000001</v>
      </c>
      <c r="Z201" s="70">
        <f t="shared" si="49"/>
        <v>5.8975</v>
      </c>
      <c r="AA201" s="70">
        <f t="shared" si="50"/>
        <v>5.7941000000000003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51"/>
        <v>0843-18</v>
      </c>
      <c r="AE201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201" s="101" t="str">
        <f t="shared" si="53"/>
        <v>"C:\Program Files (x86)\AstroGrep\AstroGrep.exe" /spath="%USERPROFILE%\AppData\Local\Temp\OnboardLogs" /stypes="*4002*20160819*" /stext=" 02:.+((SYSTEM_STATE.+slice.+state.+changed )|(ment ac)|(system.+state.+changed )|(\|lc)|(penalty)|(\[timeout)|(PRM\|1\|D)|(kpr)|(kdp))" /e /r /s</v>
      </c>
      <c r="AG201" s="1" t="str">
        <f t="shared" si="54"/>
        <v>NW</v>
      </c>
      <c r="AH201" s="105" t="str">
        <f t="shared" si="55"/>
        <v>"%USERPROFILE%\Documents\GitHub\eaglep3\Utilities\RefineRTDCRunTimes.py" --tripid 843-18 --locoid 4002 --swversion DE.1.0.7.0 --startMP 204:1034 --initTime 2016-08-18T20:10:41 --startdatetime 2016-08-18T20:12:01 --delay 1 --endMP 300:58975 --enddatetime 2016-08-18T20:36:17 --enforcementcount 0</v>
      </c>
    </row>
    <row r="202" spans="1:34" x14ac:dyDescent="0.25">
      <c r="A202" s="40" t="s">
        <v>657</v>
      </c>
      <c r="B202" s="7">
        <v>4001</v>
      </c>
      <c r="C202" s="25" t="s">
        <v>118</v>
      </c>
      <c r="D202" s="25" t="s">
        <v>253</v>
      </c>
      <c r="E202" s="16">
        <v>42600.901435185187</v>
      </c>
      <c r="F202" s="16">
        <v>42600.902719907404</v>
      </c>
      <c r="G202" s="7">
        <v>1</v>
      </c>
      <c r="H202" s="16" t="s">
        <v>658</v>
      </c>
      <c r="I202" s="16">
        <v>42600.913888888892</v>
      </c>
      <c r="J202" s="7">
        <v>0</v>
      </c>
      <c r="K202" s="142" t="str">
        <f t="shared" si="43"/>
        <v>4001/4002</v>
      </c>
      <c r="L202" s="25" t="str">
        <f>VLOOKUP(A202,'Trips&amp;Operators'!$C$1:$E$10000,3,FALSE)</f>
        <v>ISHMAEL</v>
      </c>
      <c r="M202" s="6">
        <f t="shared" si="44"/>
        <v>1.1168981487571727E-2</v>
      </c>
      <c r="N202" s="7">
        <f t="shared" si="62"/>
        <v>16.083333342103288</v>
      </c>
      <c r="O202" s="7"/>
      <c r="P202" s="7"/>
      <c r="Q202" s="26"/>
      <c r="R202" s="26"/>
      <c r="S202" s="38">
        <f t="shared" si="61"/>
        <v>1</v>
      </c>
      <c r="T202" s="53" t="str">
        <f t="shared" si="45"/>
        <v>Southbound</v>
      </c>
      <c r="U202" s="13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20:38:04-0600',mode:absolute,to:'2016-08-18 22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02" s="55" t="str">
        <f t="shared" si="47"/>
        <v>N</v>
      </c>
      <c r="X202" s="129">
        <f t="shared" si="63"/>
        <v>1</v>
      </c>
      <c r="Y202" s="70">
        <f t="shared" si="48"/>
        <v>5.8596000000000004</v>
      </c>
      <c r="Z202" s="70">
        <f t="shared" si="49"/>
        <v>7.0099999999999996E-2</v>
      </c>
      <c r="AA202" s="70">
        <f t="shared" si="50"/>
        <v>5.7895000000000003</v>
      </c>
      <c r="AB202" s="67" t="e">
        <f>VLOOKUP(A202,Enforcements!$C$7:$J$24,8,0)</f>
        <v>#N/A</v>
      </c>
      <c r="AC202" s="63" t="e">
        <f>VLOOKUP(A202,Enforcements!$C$7:$E$24,3,0)</f>
        <v>#N/A</v>
      </c>
      <c r="AD202" s="64" t="str">
        <f t="shared" si="51"/>
        <v>0844-18</v>
      </c>
      <c r="AE202" s="104" t="str">
        <f t="shared" si="52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202" s="101" t="str">
        <f t="shared" si="53"/>
        <v>"C:\Program Files (x86)\AstroGrep\AstroGrep.exe" /spath="%USERPROFILE%\AppData\Local\Temp\OnboardLogs" /stypes="*4001*20160819*" /stext=" 03:.+((SYSTEM_STATE.+slice.+state.+changed )|(ment ac)|(system.+state.+changed )|(\|lc)|(penalty)|(\[timeout)|(PRM\|1\|D)|(kpr)|(kdp))" /e /r /s</v>
      </c>
      <c r="AG202" s="1" t="str">
        <f t="shared" si="54"/>
        <v>NW</v>
      </c>
      <c r="AH202" s="105" t="str">
        <f t="shared" si="55"/>
        <v>"%USERPROFILE%\Documents\GitHub\eaglep3\Utilities\RefineRTDCRunTimes.py" --tripid 844-18 --locoid 4001 --swversion DE.1.0.7.0 --startMP 300:58596 --initTime 2016-08-18T21:38:04 --startdatetime 2016-08-18T21:39:55 --delay 1 --endMP 204:701 --enddatetime 2016-08-18T21:56:00 --enforcementcount 0</v>
      </c>
    </row>
    <row r="203" spans="1:34" x14ac:dyDescent="0.25">
      <c r="A203" s="40" t="s">
        <v>659</v>
      </c>
      <c r="B203" s="7">
        <v>4002</v>
      </c>
      <c r="C203" s="25" t="s">
        <v>118</v>
      </c>
      <c r="D203" s="25" t="s">
        <v>660</v>
      </c>
      <c r="E203" s="16">
        <v>42600.878229166665</v>
      </c>
      <c r="F203" s="16">
        <v>42600.880162037036</v>
      </c>
      <c r="G203" s="7">
        <v>2</v>
      </c>
      <c r="H203" s="16" t="s">
        <v>661</v>
      </c>
      <c r="I203" s="16">
        <v>42600.900659722225</v>
      </c>
      <c r="J203" s="7">
        <v>0</v>
      </c>
      <c r="K203" s="142" t="str">
        <f t="shared" si="43"/>
        <v>4001/4002</v>
      </c>
      <c r="L203" s="25" t="str">
        <f>VLOOKUP(A203,'Trips&amp;Operators'!$C$1:$E$10000,3,FALSE)</f>
        <v>ISHMAEL</v>
      </c>
      <c r="M203" s="6">
        <f t="shared" si="44"/>
        <v>2.0497685189184267E-2</v>
      </c>
      <c r="N203" s="7">
        <f t="shared" si="62"/>
        <v>29.516666672425345</v>
      </c>
      <c r="O203" s="7"/>
      <c r="P203" s="7"/>
      <c r="Q203" s="26"/>
      <c r="R203" s="26"/>
      <c r="S203" s="38">
        <f t="shared" ref="S203:S218" si="64">SUM(U203:U203)/IF(AG203="EC",12,1)</f>
        <v>1</v>
      </c>
      <c r="T203" s="53" t="str">
        <f t="shared" si="45"/>
        <v>NorthBound</v>
      </c>
      <c r="U203" s="13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20:04:39-0600',mode:absolute,to:'2016-08-18 22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3" s="55" t="str">
        <f t="shared" si="47"/>
        <v>N</v>
      </c>
      <c r="X203" s="129">
        <f t="shared" si="63"/>
        <v>1</v>
      </c>
      <c r="Y203" s="70">
        <f t="shared" si="48"/>
        <v>0.1053</v>
      </c>
      <c r="Z203" s="70">
        <f t="shared" si="49"/>
        <v>5.8917999999999999</v>
      </c>
      <c r="AA203" s="70">
        <f t="shared" si="50"/>
        <v>5.7865000000000002</v>
      </c>
      <c r="AB203" s="67" t="e">
        <f>VLOOKUP(A203,Enforcements!$C$7:$J$24,8,0)</f>
        <v>#N/A</v>
      </c>
      <c r="AC203" s="63" t="e">
        <f>VLOOKUP(A203,Enforcements!$C$7:$E$24,3,0)</f>
        <v>#N/A</v>
      </c>
      <c r="AD203" s="64" t="str">
        <f t="shared" si="51"/>
        <v>0845-18</v>
      </c>
      <c r="AE203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203" s="101" t="str">
        <f t="shared" si="53"/>
        <v>"C:\Program Files (x86)\AstroGrep\AstroGrep.exe" /spath="%USERPROFILE%\AppData\Local\Temp\OnboardLogs" /stypes="*4002*20160819*" /stext=" 03:.+((SYSTEM_STATE.+slice.+state.+changed )|(ment ac)|(system.+state.+changed )|(\|lc)|(penalty)|(\[timeout)|(PRM\|1\|D)|(kpr)|(kdp))" /e /r /s</v>
      </c>
      <c r="AG203" s="1" t="str">
        <f t="shared" si="54"/>
        <v>NW</v>
      </c>
      <c r="AH203" s="105" t="str">
        <f t="shared" si="55"/>
        <v>"%USERPROFILE%\Documents\GitHub\eaglep3\Utilities\RefineRTDCRunTimes.py" --tripid 845-18 --locoid 4002 --swversion DE.1.0.7.0 --startMP 204:1053 --initTime 2016-08-18T21:04:39 --startdatetime 2016-08-18T21:07:26 --delay 2 --endMP 300:58918 --enddatetime 2016-08-18T21:36:57 --enforcementcount 0</v>
      </c>
    </row>
    <row r="204" spans="1:34" x14ac:dyDescent="0.25">
      <c r="A204" s="40" t="s">
        <v>662</v>
      </c>
      <c r="B204" s="7">
        <v>4002</v>
      </c>
      <c r="C204" s="25" t="s">
        <v>118</v>
      </c>
      <c r="D204" s="25" t="s">
        <v>301</v>
      </c>
      <c r="E204" s="16">
        <v>42600.926481481481</v>
      </c>
      <c r="F204" s="16">
        <v>42600.927372685182</v>
      </c>
      <c r="G204" s="7">
        <v>1</v>
      </c>
      <c r="H204" s="16" t="s">
        <v>303</v>
      </c>
      <c r="I204" s="16">
        <v>42600.941099537034</v>
      </c>
      <c r="J204" s="7">
        <v>0</v>
      </c>
      <c r="K204" s="142" t="str">
        <f t="shared" si="43"/>
        <v>4001/4002</v>
      </c>
      <c r="L204" s="25" t="str">
        <f>VLOOKUP(A204,'Trips&amp;Operators'!$C$1:$E$10000,3,FALSE)</f>
        <v>ISHMAEL</v>
      </c>
      <c r="M204" s="6">
        <f t="shared" si="44"/>
        <v>1.3726851851970423E-2</v>
      </c>
      <c r="N204" s="7">
        <f t="shared" si="62"/>
        <v>19.766666666837409</v>
      </c>
      <c r="O204" s="7"/>
      <c r="P204" s="7"/>
      <c r="Q204" s="26"/>
      <c r="R204" s="26"/>
      <c r="S204" s="38">
        <f t="shared" si="64"/>
        <v>1</v>
      </c>
      <c r="T204" s="53" t="str">
        <f t="shared" si="45"/>
        <v>NorthBound</v>
      </c>
      <c r="U204" s="13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1" t="str">
        <f t="shared" si="46"/>
        <v>https://search-rtdc-monitor-bjffxe2xuh6vdkpspy63sjmuny.us-east-1.es.amazonaws.com/_plugin/kibana/#/discover/Steve-Slow-Train-Analysis-(2080s-and-2083s)?_g=(refreshInterval:(display:Off,section:0,value:0),time:(from:'2016-08-18 21:14:08-0600',mode:absolute,to:'2016-08-18 23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4" s="55" t="str">
        <f t="shared" si="47"/>
        <v>N</v>
      </c>
      <c r="X204" s="129">
        <f t="shared" si="63"/>
        <v>2</v>
      </c>
      <c r="Y204" s="70">
        <f t="shared" si="48"/>
        <v>9.7199999999999995E-2</v>
      </c>
      <c r="Z204" s="70">
        <f t="shared" si="49"/>
        <v>5.8906999999999998</v>
      </c>
      <c r="AA204" s="70">
        <f t="shared" si="50"/>
        <v>5.7934999999999999</v>
      </c>
      <c r="AB204" s="67" t="e">
        <f>VLOOKUP(A204,Enforcements!$C$7:$J$24,8,0)</f>
        <v>#N/A</v>
      </c>
      <c r="AC204" s="63" t="e">
        <f>VLOOKUP(A204,Enforcements!$C$7:$E$24,3,0)</f>
        <v>#N/A</v>
      </c>
      <c r="AD204" s="64" t="str">
        <f t="shared" si="51"/>
        <v>0847-18</v>
      </c>
      <c r="AE204" s="104" t="str">
        <f t="shared" si="52"/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AF204" s="101" t="str">
        <f t="shared" si="53"/>
        <v>"C:\Program Files (x86)\AstroGrep\AstroGrep.exe" /spath="%USERPROFILE%\AppData\Local\Temp\OnboardLogs" /stypes="*4002*20160819*" /stext=" 04:.+((SYSTEM_STATE.+slice.+state.+changed )|(ment ac)|(system.+state.+changed )|(\|lc)|(penalty)|(\[timeout)|(PRM\|1\|D)|(kpr)|(kdp))" /e /r /s</v>
      </c>
      <c r="AG204" s="1" t="str">
        <f t="shared" si="54"/>
        <v>NW</v>
      </c>
      <c r="AH204" s="105" t="str">
        <f t="shared" si="55"/>
        <v>"%USERPROFILE%\Documents\GitHub\eaglep3\Utilities\RefineRTDCRunTimes.py" --tripid 847-18 --locoid 4002 --swversion DE.1.0.7.0 --startMP 204:972 --initTime 2016-08-18T22:14:08 --startdatetime 2016-08-18T22:15:25 --delay 1 --endMP 300:58907 --enddatetime 2016-08-18T22:35:11 --enforcementcount 0</v>
      </c>
    </row>
    <row r="205" spans="1:34" x14ac:dyDescent="0.25">
      <c r="A205" s="40" t="s">
        <v>543</v>
      </c>
      <c r="B205" s="7">
        <v>4037</v>
      </c>
      <c r="C205" s="25" t="s">
        <v>118</v>
      </c>
      <c r="D205" s="25" t="s">
        <v>544</v>
      </c>
      <c r="E205" s="16">
        <v>42600.120370370372</v>
      </c>
      <c r="F205" s="16">
        <v>42600.121631944443</v>
      </c>
      <c r="G205" s="7">
        <v>1</v>
      </c>
      <c r="H205" s="16" t="s">
        <v>545</v>
      </c>
      <c r="I205" s="16">
        <v>42600.12877314815</v>
      </c>
      <c r="J205" s="7">
        <v>0</v>
      </c>
      <c r="K205" s="142" t="str">
        <f t="shared" ref="K205:K218" si="65">IF(ISEVEN(B205),(B205-1)&amp;"/"&amp;B205,B205&amp;"/"&amp;(B205+1))</f>
        <v>4037/4038</v>
      </c>
      <c r="L205" s="25" t="str">
        <f>VLOOKUP(A205,'Trips&amp;Operators'!$C$1:$E$10000,3,FALSE)</f>
        <v>MAELZER</v>
      </c>
      <c r="M205" s="6">
        <f t="shared" ref="M205:M218" si="66">I205-F205</f>
        <v>7.1412037068512291E-3</v>
      </c>
      <c r="N205" s="7">
        <f t="shared" si="62"/>
        <v>10.28333333786577</v>
      </c>
      <c r="O205" s="7"/>
      <c r="P205" s="7"/>
      <c r="Q205" s="26"/>
      <c r="R205" s="26"/>
      <c r="S205" s="38">
        <f t="shared" si="64"/>
        <v>1</v>
      </c>
      <c r="T205" s="53" t="str">
        <f t="shared" ref="T205:T218" si="67">IF(ISEVEN(LEFT(AD205,4)),"Southbound","NorthBound")</f>
        <v>Southbound</v>
      </c>
      <c r="U205" s="13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1" t="str">
        <f t="shared" ref="V205:V218" si="6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https://search-rtdc-monitor-bjffxe2xuh6vdkpspy63sjmuny.us-east-1.es.amazonaws.com/_plugin/kibana/#/discover/Steve-Slow-Train-Analysis-(2080s-and-2083s)?_g=(refreshInterval:(display:Off,section:0,value:0),time:(from:'2016-08-18 01:53:20-0600',mode:absolute,to:'2016-08-18 04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05" s="55" t="str">
        <f t="shared" ref="W205:W218" si="69">IF(AA205&lt;IF(AG205="EC",23,5.65),"Y","N")</f>
        <v>Y</v>
      </c>
      <c r="X205" s="129">
        <f t="shared" si="63"/>
        <v>-545</v>
      </c>
      <c r="Y205" s="70">
        <f t="shared" ref="Y205:Y218" si="70">RIGHT(D205,LEN(D205)-4)/10000</f>
        <v>2.2545999999999999</v>
      </c>
      <c r="Z205" s="70">
        <f t="shared" ref="Z205:Z218" si="71">RIGHT(H205,LEN(H205)-4)/10000</f>
        <v>1.23E-2</v>
      </c>
      <c r="AA205" s="70">
        <f t="shared" ref="AA205:AA218" si="72">ABS(Z205-Y205)</f>
        <v>2.2422999999999997</v>
      </c>
      <c r="AB205" s="67" t="e">
        <f>VLOOKUP(A205,Enforcements!$C$7:$J$24,8,0)</f>
        <v>#N/A</v>
      </c>
      <c r="AC205" s="63" t="e">
        <f>VLOOKUP(A205,Enforcements!$C$7:$E$24,3,0)</f>
        <v>#N/A</v>
      </c>
      <c r="AD205" s="64" t="str">
        <f t="shared" ref="AD205:AD218" si="73">IF(LEN(A205)=6,"0"&amp;A205,A205)</f>
        <v>0302-18</v>
      </c>
      <c r="AE205" s="104" t="str">
        <f t="shared" ref="AE205:AE218" si="74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AF205" s="101" t="str">
        <f t="shared" ref="AF205:AF218" si="75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/stypes="*4037*20160818*" /stext=" 09:.+((SYSTEM_STATE.+slice.+state.+changed )|(ment ac)|(system.+state.+changed )|(\|lc)|(penalty)|(\[timeout)|(PRM\|1\|D)|(kpr)|(kdp))" /e /r /s</v>
      </c>
      <c r="AG205" s="1" t="str">
        <f t="shared" ref="AG205:AG218" si="76">IFERROR(IF(VALUE(LEFT(AD205,2))&lt;=2,"EC",IF(OR(VALUE(LEFT(AD205,2))=8,VALUE(LEFT(AD205,2))=18),"NW","Other")),"Other")</f>
        <v>Other</v>
      </c>
      <c r="AH205" s="105" t="str">
        <f t="shared" ref="AH205:AH218" si="7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</f>
        <v>"%USERPROFILE%\Documents\GitHub\eaglep3\Utilities\RefineRTDCRunTimes.py" --tripid 302-18 --locoid 4037 --swversion DE.1.0.7.0 --startMP 300:22546 --initTime 2016-08-18T02:53:20 --startdatetime 2016-08-18T02:55:09 --delay 1 --endMP 204:123 --enddatetime 2016-08-18T03:05:26 --enforcementcount 0</v>
      </c>
    </row>
    <row r="206" spans="1:34" x14ac:dyDescent="0.25">
      <c r="A206" s="40" t="s">
        <v>546</v>
      </c>
      <c r="B206" s="7">
        <v>4009</v>
      </c>
      <c r="C206" s="25" t="s">
        <v>118</v>
      </c>
      <c r="D206" s="25" t="s">
        <v>61</v>
      </c>
      <c r="E206" s="16">
        <v>42600.777916666666</v>
      </c>
      <c r="F206" s="16">
        <v>42600.778622685182</v>
      </c>
      <c r="G206" s="7">
        <v>1</v>
      </c>
      <c r="H206" s="16" t="s">
        <v>291</v>
      </c>
      <c r="I206" s="16">
        <v>42600.78497685185</v>
      </c>
      <c r="J206" s="7">
        <v>0</v>
      </c>
      <c r="K206" s="142" t="str">
        <f t="shared" si="65"/>
        <v>4009/4010</v>
      </c>
      <c r="L206" s="25" t="str">
        <f>VLOOKUP(A206,'Trips&amp;Operators'!$C$1:$E$10000,3,FALSE)</f>
        <v>NEWELL</v>
      </c>
      <c r="M206" s="6">
        <f t="shared" si="66"/>
        <v>6.3541666677338071E-3</v>
      </c>
      <c r="N206" s="7">
        <f t="shared" si="62"/>
        <v>9.1500000015366822</v>
      </c>
      <c r="O206" s="7"/>
      <c r="P206" s="7"/>
      <c r="Q206" s="26"/>
      <c r="R206" s="26"/>
      <c r="S206" s="38">
        <f t="shared" si="64"/>
        <v>1</v>
      </c>
      <c r="T206" s="53" t="str">
        <f t="shared" si="67"/>
        <v>NorthBound</v>
      </c>
      <c r="U206" s="13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17:40:12-0600',mode:absolute,to:'2016-08-18 19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6" s="55" t="str">
        <f t="shared" si="69"/>
        <v>Y</v>
      </c>
      <c r="X206" s="129">
        <f t="shared" si="63"/>
        <v>1</v>
      </c>
      <c r="Y206" s="70">
        <f t="shared" si="70"/>
        <v>4.5999999999999999E-2</v>
      </c>
      <c r="Z206" s="70">
        <f t="shared" si="71"/>
        <v>2.3300999999999998</v>
      </c>
      <c r="AA206" s="70">
        <f t="shared" si="72"/>
        <v>2.2841</v>
      </c>
      <c r="AB206" s="67" t="e">
        <f>VLOOKUP(A206,Enforcements!$C$7:$J$24,8,0)</f>
        <v>#N/A</v>
      </c>
      <c r="AC206" s="63" t="e">
        <f>VLOOKUP(A206,Enforcements!$C$7:$E$24,3,0)</f>
        <v>#N/A</v>
      </c>
      <c r="AD206" s="64" t="str">
        <f t="shared" si="73"/>
        <v>0303-18</v>
      </c>
      <c r="AE206" s="104" t="str">
        <f t="shared" si="74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206" s="101" t="str">
        <f t="shared" si="75"/>
        <v>"C:\Program Files (x86)\AstroGrep\AstroGrep.exe" /spath="%USERPROFILE%\AppData\Local\Temp\OnboardLogs" /stypes="*4009*20160819*" /stext=" 00:.+((SYSTEM_STATE.+slice.+state.+changed )|(ment ac)|(system.+state.+changed )|(\|lc)|(penalty)|(\[timeout)|(PRM\|1\|D)|(kpr)|(kdp))" /e /r /s</v>
      </c>
      <c r="AG206" s="1" t="str">
        <f t="shared" si="76"/>
        <v>Other</v>
      </c>
      <c r="AH206" s="105" t="str">
        <f t="shared" si="77"/>
        <v>"%USERPROFILE%\Documents\GitHub\eaglep3\Utilities\RefineRTDCRunTimes.py" --tripid 303-18 --locoid 4009 --swversion DE.1.0.7.0 --startMP 204:460 --initTime 2016-08-18T18:40:12 --startdatetime 2016-08-18T18:41:13 --delay 1 --endMP 300:23301 --enddatetime 2016-08-18T18:50:22 --enforcementcount 0</v>
      </c>
    </row>
    <row r="207" spans="1:34" x14ac:dyDescent="0.25">
      <c r="A207" s="40" t="s">
        <v>547</v>
      </c>
      <c r="B207" s="7">
        <v>4043</v>
      </c>
      <c r="C207" s="25" t="s">
        <v>118</v>
      </c>
      <c r="D207" s="25" t="s">
        <v>548</v>
      </c>
      <c r="E207" s="16">
        <v>42600.145497685182</v>
      </c>
      <c r="F207" s="16">
        <v>42600.146666666667</v>
      </c>
      <c r="G207" s="7">
        <v>1</v>
      </c>
      <c r="H207" s="16" t="s">
        <v>138</v>
      </c>
      <c r="I207" s="16">
        <v>42600.153958333336</v>
      </c>
      <c r="J207" s="7">
        <v>0</v>
      </c>
      <c r="K207" s="142" t="str">
        <f t="shared" si="65"/>
        <v>4043/4044</v>
      </c>
      <c r="L207" s="25" t="str">
        <f>VLOOKUP(A207,'Trips&amp;Operators'!$C$1:$E$10000,3,FALSE)</f>
        <v>SPECTOR</v>
      </c>
      <c r="M207" s="6">
        <f t="shared" si="66"/>
        <v>7.291666668606922E-3</v>
      </c>
      <c r="N207" s="7">
        <f t="shared" si="62"/>
        <v>10.500000002793968</v>
      </c>
      <c r="O207" s="7"/>
      <c r="P207" s="7"/>
      <c r="Q207" s="26"/>
      <c r="R207" s="26"/>
      <c r="S207" s="38">
        <f t="shared" si="64"/>
        <v>1</v>
      </c>
      <c r="T207" s="53" t="str">
        <f t="shared" si="67"/>
        <v>Southbound</v>
      </c>
      <c r="U207" s="13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02:29:31-0600',mode:absolute,to:'2016-08-18 04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07" s="55" t="str">
        <f t="shared" si="69"/>
        <v>Y</v>
      </c>
      <c r="X207" s="129">
        <f t="shared" si="63"/>
        <v>1</v>
      </c>
      <c r="Y207" s="70">
        <f t="shared" si="70"/>
        <v>2.2048999999999999</v>
      </c>
      <c r="Z207" s="70">
        <f t="shared" si="71"/>
        <v>1.5800000000000002E-2</v>
      </c>
      <c r="AA207" s="70">
        <f t="shared" si="72"/>
        <v>2.1890999999999998</v>
      </c>
      <c r="AB207" s="67" t="e">
        <f>VLOOKUP(A207,Enforcements!$C$7:$J$24,8,0)</f>
        <v>#N/A</v>
      </c>
      <c r="AC207" s="63" t="e">
        <f>VLOOKUP(A207,Enforcements!$C$7:$E$24,3,0)</f>
        <v>#N/A</v>
      </c>
      <c r="AD207" s="64" t="str">
        <f t="shared" si="73"/>
        <v>0304-18</v>
      </c>
      <c r="AE207" s="104" t="str">
        <f t="shared" si="74"/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AF207" s="101" t="str">
        <f t="shared" si="75"/>
        <v>"C:\Program Files (x86)\AstroGrep\AstroGrep.exe" /spath="%USERPROFILE%\AppData\Local\Temp\OnboardLogs" /stypes="*4043*20160818*" /stext=" 09:.+((SYSTEM_STATE.+slice.+state.+changed )|(ment ac)|(system.+state.+changed )|(\|lc)|(penalty)|(\[timeout)|(PRM\|1\|D)|(kpr)|(kdp))" /e /r /s</v>
      </c>
      <c r="AG207" s="1" t="str">
        <f t="shared" si="76"/>
        <v>Other</v>
      </c>
      <c r="AH207" s="105" t="str">
        <f t="shared" si="77"/>
        <v>"%USERPROFILE%\Documents\GitHub\eaglep3\Utilities\RefineRTDCRunTimes.py" --tripid 304-18 --locoid 4043 --swversion DE.1.0.7.0 --startMP 300:22049 --initTime 2016-08-18T03:29:31 --startdatetime 2016-08-18T03:31:12 --delay 1 --endMP 204:158 --enddatetime 2016-08-18T03:41:42 --enforcementcount 0</v>
      </c>
    </row>
    <row r="208" spans="1:34" x14ac:dyDescent="0.25">
      <c r="A208" s="40" t="s">
        <v>549</v>
      </c>
      <c r="B208" s="7">
        <v>4044</v>
      </c>
      <c r="C208" s="25" t="s">
        <v>118</v>
      </c>
      <c r="D208" s="25" t="s">
        <v>238</v>
      </c>
      <c r="E208" s="16">
        <v>42600.8203125</v>
      </c>
      <c r="F208" s="16">
        <v>42600.821400462963</v>
      </c>
      <c r="G208" s="7">
        <v>1</v>
      </c>
      <c r="H208" s="16" t="s">
        <v>291</v>
      </c>
      <c r="I208" s="16">
        <v>42600.828043981484</v>
      </c>
      <c r="J208" s="7">
        <v>0</v>
      </c>
      <c r="K208" s="142" t="str">
        <f t="shared" si="65"/>
        <v>4043/4044</v>
      </c>
      <c r="L208" s="25" t="str">
        <f>VLOOKUP(A208,'Trips&amp;Operators'!$C$1:$E$10000,3,FALSE)</f>
        <v>DE LA ROSA</v>
      </c>
      <c r="M208" s="6">
        <f t="shared" si="66"/>
        <v>6.6435185217414983E-3</v>
      </c>
      <c r="N208" s="7">
        <f t="shared" si="62"/>
        <v>9.5666666713077575</v>
      </c>
      <c r="O208" s="7"/>
      <c r="P208" s="7"/>
      <c r="Q208" s="26"/>
      <c r="R208" s="26"/>
      <c r="S208" s="38">
        <f t="shared" si="64"/>
        <v>1</v>
      </c>
      <c r="T208" s="53" t="str">
        <f t="shared" si="67"/>
        <v>NorthBound</v>
      </c>
      <c r="U208" s="13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18:41:15-0600',mode:absolute,to:'2016-08-18 20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8" s="55" t="str">
        <f t="shared" si="69"/>
        <v>Y</v>
      </c>
      <c r="X208" s="129">
        <f t="shared" si="63"/>
        <v>3</v>
      </c>
      <c r="Y208" s="70">
        <f t="shared" si="70"/>
        <v>4.3999999999999997E-2</v>
      </c>
      <c r="Z208" s="70">
        <f t="shared" si="71"/>
        <v>2.3300999999999998</v>
      </c>
      <c r="AA208" s="70">
        <f t="shared" si="72"/>
        <v>2.2860999999999998</v>
      </c>
      <c r="AB208" s="67" t="e">
        <f>VLOOKUP(A208,Enforcements!$C$7:$J$24,8,0)</f>
        <v>#N/A</v>
      </c>
      <c r="AC208" s="63" t="e">
        <f>VLOOKUP(A208,Enforcements!$C$7:$E$24,3,0)</f>
        <v>#N/A</v>
      </c>
      <c r="AD208" s="64" t="str">
        <f t="shared" si="73"/>
        <v>0307-18</v>
      </c>
      <c r="AE208" s="104" t="str">
        <f t="shared" si="74"/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AF208" s="101" t="str">
        <f t="shared" si="75"/>
        <v>"C:\Program Files (x86)\AstroGrep\AstroGrep.exe" /spath="%USERPROFILE%\AppData\Local\Temp\OnboardLogs" /stypes="*4044*20160819*" /stext=" 01:.+((SYSTEM_STATE.+slice.+state.+changed )|(ment ac)|(system.+state.+changed )|(\|lc)|(penalty)|(\[timeout)|(PRM\|1\|D)|(kpr)|(kdp))" /e /r /s</v>
      </c>
      <c r="AG208" s="1" t="str">
        <f t="shared" si="76"/>
        <v>Other</v>
      </c>
      <c r="AH208" s="105" t="str">
        <f t="shared" si="77"/>
        <v>"%USERPROFILE%\Documents\GitHub\eaglep3\Utilities\RefineRTDCRunTimes.py" --tripid 307-18 --locoid 4044 --swversion DE.1.0.7.0 --startMP 204:440 --initTime 2016-08-18T19:41:15 --startdatetime 2016-08-18T19:42:49 --delay 1 --endMP 300:23301 --enddatetime 2016-08-18T19:52:23 --enforcementcount 0</v>
      </c>
    </row>
    <row r="209" spans="1:34" x14ac:dyDescent="0.25">
      <c r="A209" s="40" t="s">
        <v>550</v>
      </c>
      <c r="B209" s="7">
        <v>4025</v>
      </c>
      <c r="C209" s="25" t="s">
        <v>118</v>
      </c>
      <c r="D209" s="25" t="s">
        <v>206</v>
      </c>
      <c r="E209" s="16">
        <v>42601.029768518521</v>
      </c>
      <c r="F209" s="16">
        <v>42601.03052083333</v>
      </c>
      <c r="G209" s="7">
        <v>1</v>
      </c>
      <c r="H209" s="16" t="s">
        <v>551</v>
      </c>
      <c r="I209" s="16">
        <v>42601.037094907406</v>
      </c>
      <c r="J209" s="7">
        <v>0</v>
      </c>
      <c r="K209" s="142" t="str">
        <f t="shared" si="65"/>
        <v>4025/4026</v>
      </c>
      <c r="L209" s="25" t="str">
        <f>VLOOKUP(A209,'Trips&amp;Operators'!$C$1:$E$10000,3,FALSE)</f>
        <v>GOLIGHTLY</v>
      </c>
      <c r="M209" s="6">
        <f t="shared" si="66"/>
        <v>6.5740740756154992E-3</v>
      </c>
      <c r="N209" s="7">
        <f t="shared" si="62"/>
        <v>9.4666666688863188</v>
      </c>
      <c r="O209" s="7"/>
      <c r="P209" s="7"/>
      <c r="Q209" s="26"/>
      <c r="R209" s="26"/>
      <c r="S209" s="38">
        <f t="shared" si="64"/>
        <v>1</v>
      </c>
      <c r="T209" s="53" t="str">
        <f t="shared" si="67"/>
        <v>NorthBound</v>
      </c>
      <c r="U209" s="13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23:42:52-0600',mode:absolute,to:'2016-08-19 01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9" s="55" t="str">
        <f t="shared" si="69"/>
        <v>Y</v>
      </c>
      <c r="X209" s="129">
        <f t="shared" si="63"/>
        <v>2</v>
      </c>
      <c r="Y209" s="70">
        <f t="shared" si="70"/>
        <v>4.7500000000000001E-2</v>
      </c>
      <c r="Z209" s="70">
        <f t="shared" si="71"/>
        <v>2.3108</v>
      </c>
      <c r="AA209" s="70">
        <f t="shared" si="72"/>
        <v>2.2633000000000001</v>
      </c>
      <c r="AB209" s="67" t="e">
        <f>VLOOKUP(A209,Enforcements!$C$7:$J$24,8,0)</f>
        <v>#N/A</v>
      </c>
      <c r="AC209" s="63" t="e">
        <f>VLOOKUP(A209,Enforcements!$C$7:$E$24,3,0)</f>
        <v>#N/A</v>
      </c>
      <c r="AD209" s="64" t="str">
        <f t="shared" si="73"/>
        <v>0309-18</v>
      </c>
      <c r="AE209" s="104" t="str">
        <f t="shared" si="74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209" s="101" t="str">
        <f t="shared" si="75"/>
        <v>"C:\Program Files (x86)\AstroGrep\AstroGrep.exe" /spath="%USERPROFILE%\AppData\Local\Temp\OnboardLogs" /stypes="*4025*20160819*" /stext=" 06:.+((SYSTEM_STATE.+slice.+state.+changed )|(ment ac)|(system.+state.+changed )|(\|lc)|(penalty)|(\[timeout)|(PRM\|1\|D)|(kpr)|(kdp))" /e /r /s</v>
      </c>
      <c r="AG209" s="1" t="str">
        <f t="shared" si="76"/>
        <v>Other</v>
      </c>
      <c r="AH209" s="105" t="str">
        <f t="shared" si="77"/>
        <v>"%USERPROFILE%\Documents\GitHub\eaglep3\Utilities\RefineRTDCRunTimes.py" --tripid 309-18 --locoid 4025 --swversion DE.1.0.7.0 --startMP 204:475 --initTime 2016-08-19T00:42:52 --startdatetime 2016-08-19T00:43:57 --delay 1 --endMP 300:23108 --enddatetime 2016-08-19T00:53:25 --enforcementcount 0</v>
      </c>
    </row>
    <row r="210" spans="1:34" x14ac:dyDescent="0.25">
      <c r="A210" s="40" t="s">
        <v>552</v>
      </c>
      <c r="B210" s="7">
        <v>4029</v>
      </c>
      <c r="C210" s="25" t="s">
        <v>118</v>
      </c>
      <c r="D210" s="25" t="s">
        <v>151</v>
      </c>
      <c r="E210" s="16">
        <v>42601.051145833335</v>
      </c>
      <c r="F210" s="16">
        <v>42601.052094907405</v>
      </c>
      <c r="G210" s="7">
        <v>1</v>
      </c>
      <c r="H210" s="16" t="s">
        <v>553</v>
      </c>
      <c r="I210" s="16">
        <v>42601.058877314812</v>
      </c>
      <c r="J210" s="7">
        <v>0</v>
      </c>
      <c r="K210" s="142" t="str">
        <f t="shared" si="65"/>
        <v>4029/4030</v>
      </c>
      <c r="L210" s="25" t="str">
        <f>VLOOKUP(A210,'Trips&amp;Operators'!$C$1:$E$10000,3,FALSE)</f>
        <v>DE LA ROSA</v>
      </c>
      <c r="M210" s="6">
        <f t="shared" si="66"/>
        <v>6.7824074067175388E-3</v>
      </c>
      <c r="N210" s="7">
        <f t="shared" si="62"/>
        <v>9.7666666656732559</v>
      </c>
      <c r="O210" s="7"/>
      <c r="P210" s="7"/>
      <c r="Q210" s="26"/>
      <c r="R210" s="26"/>
      <c r="S210" s="38">
        <f t="shared" si="64"/>
        <v>1</v>
      </c>
      <c r="T210" s="53" t="str">
        <f t="shared" si="67"/>
        <v>NorthBound</v>
      </c>
      <c r="U210" s="13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https://search-rtdc-monitor-bjffxe2xuh6vdkpspy63sjmuny.us-east-1.es.amazonaws.com/_plugin/kibana/#/discover/Steve-Slow-Train-Analysis-(2080s-and-2083s)?_g=(refreshInterval:(display:Off,section:0,value:0),time:(from:'2016-08-19 00:13:39-0600',mode:absolute,to:'2016-08-19 02:24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10" s="55" t="str">
        <f t="shared" si="69"/>
        <v>Y</v>
      </c>
      <c r="X210" s="129">
        <f t="shared" si="63"/>
        <v>2</v>
      </c>
      <c r="Y210" s="70">
        <f t="shared" si="70"/>
        <v>4.6699999999999998E-2</v>
      </c>
      <c r="Z210" s="70">
        <f t="shared" si="71"/>
        <v>2.3308</v>
      </c>
      <c r="AA210" s="70">
        <f t="shared" si="72"/>
        <v>2.2841</v>
      </c>
      <c r="AB210" s="67" t="e">
        <f>VLOOKUP(A210,Enforcements!$C$7:$J$24,8,0)</f>
        <v>#N/A</v>
      </c>
      <c r="AC210" s="63" t="e">
        <f>VLOOKUP(A210,Enforcements!$C$7:$E$24,3,0)</f>
        <v>#N/A</v>
      </c>
      <c r="AD210" s="64" t="str">
        <f t="shared" si="73"/>
        <v>0311-18</v>
      </c>
      <c r="AE210" s="104" t="str">
        <f t="shared" si="74"/>
        <v>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 &amp; aws s3 cp s3://rtdc.mdm.uploadarchive/RTDC4029/2016-08-20/ "%USERPROFILE%\AppData\Local\Temp\OnboardLogs"\RTDC4029\2016-08-20 --recursive &amp; "%USERPROFILE%\Documents\GitHub\mrs-test-scripts\Headless Mode &amp; Sideloading\WalkAndUnGZ.bat" "%USERPROFILE%\AppData\Local\Temp\OnboardLogs"\RTDC4029\2016-08-20</v>
      </c>
      <c r="AF210" s="101" t="str">
        <f t="shared" si="75"/>
        <v>"C:\Program Files (x86)\AstroGrep\AstroGrep.exe" /spath="%USERPROFILE%\AppData\Local\Temp\OnboardLogs" /stypes="*4029*20160819*" /stext=" 07:.+((SYSTEM_STATE.+slice.+state.+changed )|(ment ac)|(system.+state.+changed )|(\|lc)|(penalty)|(\[timeout)|(PRM\|1\|D)|(kpr)|(kdp))" /e /r /s</v>
      </c>
      <c r="AG210" s="1" t="str">
        <f t="shared" si="76"/>
        <v>Other</v>
      </c>
      <c r="AH210" s="105" t="str">
        <f t="shared" si="77"/>
        <v>"%USERPROFILE%\Documents\GitHub\eaglep3\Utilities\RefineRTDCRunTimes.py" --tripid 311-18 --locoid 4029 --swversion DE.1.0.7.0 --startMP 204:467 --initTime 2016-08-19T01:13:39 --startdatetime 2016-08-19T01:15:01 --delay 1 --endMP 300:23308 --enddatetime 2016-08-19T01:24:47 --enforcementcount 0</v>
      </c>
    </row>
    <row r="211" spans="1:34" x14ac:dyDescent="0.25">
      <c r="A211" s="40" t="s">
        <v>293</v>
      </c>
      <c r="B211" s="7">
        <v>4016</v>
      </c>
      <c r="C211" s="25" t="s">
        <v>118</v>
      </c>
      <c r="D211" s="25" t="s">
        <v>294</v>
      </c>
      <c r="E211" s="16">
        <v>42600.077650462961</v>
      </c>
      <c r="F211" s="16">
        <v>42600.078553240739</v>
      </c>
      <c r="G211" s="7">
        <v>1</v>
      </c>
      <c r="H211" s="16" t="s">
        <v>291</v>
      </c>
      <c r="I211" s="16">
        <v>42600.086145833331</v>
      </c>
      <c r="J211" s="7">
        <v>0</v>
      </c>
      <c r="K211" s="142" t="str">
        <f t="shared" si="65"/>
        <v>4015/4016</v>
      </c>
      <c r="L211" s="25" t="str">
        <f>VLOOKUP(A211,'Trips&amp;Operators'!$C$1:$E$10000,3,FALSE)</f>
        <v>LEVIN</v>
      </c>
      <c r="M211" s="6">
        <f t="shared" si="66"/>
        <v>7.5925925921183079E-3</v>
      </c>
      <c r="N211" s="7">
        <f t="shared" si="62"/>
        <v>10.933333332650363</v>
      </c>
      <c r="O211" s="7"/>
      <c r="P211" s="7"/>
      <c r="Q211" s="26"/>
      <c r="R211" s="26"/>
      <c r="S211" s="38">
        <f t="shared" si="64"/>
        <v>1</v>
      </c>
      <c r="T211" s="53" t="str">
        <f t="shared" si="67"/>
        <v>NorthBound</v>
      </c>
      <c r="U211" s="13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00:51:49-0600',mode:absolute,to:'2016-08-18 03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11" s="55" t="str">
        <f t="shared" si="69"/>
        <v>Y</v>
      </c>
      <c r="X211" s="129">
        <f t="shared" si="63"/>
        <v>2</v>
      </c>
      <c r="Y211" s="70">
        <f t="shared" si="70"/>
        <v>4.4999999999999998E-2</v>
      </c>
      <c r="Z211" s="70">
        <f t="shared" si="71"/>
        <v>2.3300999999999998</v>
      </c>
      <c r="AA211" s="70">
        <f t="shared" si="72"/>
        <v>2.2850999999999999</v>
      </c>
      <c r="AB211" s="67" t="e">
        <f>VLOOKUP(A211,Enforcements!$C$7:$J$24,8,0)</f>
        <v>#N/A</v>
      </c>
      <c r="AC211" s="63" t="e">
        <f>VLOOKUP(A211,Enforcements!$C$7:$E$24,3,0)</f>
        <v>#N/A</v>
      </c>
      <c r="AD211" s="64" t="str">
        <f t="shared" si="73"/>
        <v>0313-17</v>
      </c>
      <c r="AE211" s="104" t="str">
        <f t="shared" si="74"/>
        <v>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 &amp; aws s3 cp s3://rtdc.mdm.uploadarchive/RTDC4016/2016-08-19/ "%USERPROFILE%\AppData\Local\Temp\OnboardLogs"\RTDC4016\2016-08-19 --recursive &amp; "%USERPROFILE%\Documents\GitHub\mrs-test-scripts\Headless Mode &amp; Sideloading\WalkAndUnGZ.bat" "%USERPROFILE%\AppData\Local\Temp\OnboardLogs"\RTDC4016\2016-08-19</v>
      </c>
      <c r="AF211" s="101" t="str">
        <f t="shared" si="75"/>
        <v>"C:\Program Files (x86)\AstroGrep\AstroGrep.exe" /spath="%USERPROFILE%\AppData\Local\Temp\OnboardLogs" /stypes="*4016*20160818*" /stext=" 08:.+((SYSTEM_STATE.+slice.+state.+changed )|(ment ac)|(system.+state.+changed )|(\|lc)|(penalty)|(\[timeout)|(PRM\|1\|D)|(kpr)|(kdp))" /e /r /s</v>
      </c>
      <c r="AG211" s="1" t="str">
        <f t="shared" si="76"/>
        <v>Other</v>
      </c>
      <c r="AH211" s="105" t="str">
        <f t="shared" si="77"/>
        <v>"%USERPROFILE%\Documents\GitHub\eaglep3\Utilities\RefineRTDCRunTimes.py" --tripid 313-17 --locoid 4016 --swversion DE.1.0.7.0 --startMP 204:450 --initTime 2016-08-18T01:51:49 --startdatetime 2016-08-18T01:53:07 --delay 1 --endMP 300:23301 --enddatetime 2016-08-18T02:04:03 --enforcementcount 0</v>
      </c>
    </row>
    <row r="212" spans="1:34" x14ac:dyDescent="0.25">
      <c r="A212" s="40" t="s">
        <v>554</v>
      </c>
      <c r="B212" s="7">
        <v>4027</v>
      </c>
      <c r="C212" s="25" t="s">
        <v>118</v>
      </c>
      <c r="D212" s="25" t="s">
        <v>114</v>
      </c>
      <c r="E212" s="16">
        <v>42601.069768518515</v>
      </c>
      <c r="F212" s="16">
        <v>42601.071203703701</v>
      </c>
      <c r="G212" s="7">
        <v>2</v>
      </c>
      <c r="H212" s="16" t="s">
        <v>555</v>
      </c>
      <c r="I212" s="16">
        <v>42601.078136574077</v>
      </c>
      <c r="J212" s="7">
        <v>0</v>
      </c>
      <c r="K212" s="142" t="str">
        <f t="shared" si="65"/>
        <v>4027/4028</v>
      </c>
      <c r="L212" s="25" t="str">
        <f>VLOOKUP(A212,'Trips&amp;Operators'!$C$1:$E$10000,3,FALSE)</f>
        <v>OUN</v>
      </c>
      <c r="M212" s="6">
        <f t="shared" si="66"/>
        <v>6.9328703757491894E-3</v>
      </c>
      <c r="N212" s="7">
        <f t="shared" si="62"/>
        <v>9.9833333410788327</v>
      </c>
      <c r="O212" s="7"/>
      <c r="P212" s="7"/>
      <c r="Q212" s="26"/>
      <c r="R212" s="26"/>
      <c r="S212" s="38">
        <f t="shared" si="64"/>
        <v>1</v>
      </c>
      <c r="T212" s="53" t="str">
        <f t="shared" si="67"/>
        <v>NorthBound</v>
      </c>
      <c r="U212" s="13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https://search-rtdc-monitor-bjffxe2xuh6vdkpspy63sjmuny.us-east-1.es.amazonaws.com/_plugin/kibana/#/discover/Steve-Slow-Train-Analysis-(2080s-and-2083s)?_g=(refreshInterval:(display:Off,section:0,value:0),time:(from:'2016-08-19 00:40:28-0600',mode:absolute,to:'2016-08-19 02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12" s="55" t="str">
        <f t="shared" si="69"/>
        <v>Y</v>
      </c>
      <c r="X212" s="129">
        <f t="shared" si="63"/>
        <v>0</v>
      </c>
      <c r="Y212" s="70">
        <f t="shared" si="70"/>
        <v>4.6199999999999998E-2</v>
      </c>
      <c r="Z212" s="70">
        <f t="shared" si="71"/>
        <v>2.2240000000000002</v>
      </c>
      <c r="AA212" s="70">
        <f t="shared" si="72"/>
        <v>2.1778000000000004</v>
      </c>
      <c r="AB212" s="67" t="e">
        <f>VLOOKUP(A212,Enforcements!$C$7:$J$24,8,0)</f>
        <v>#N/A</v>
      </c>
      <c r="AC212" s="63" t="e">
        <f>VLOOKUP(A212,Enforcements!$C$7:$E$24,3,0)</f>
        <v>#N/A</v>
      </c>
      <c r="AD212" s="64" t="str">
        <f t="shared" si="73"/>
        <v>0313-18</v>
      </c>
      <c r="AE212" s="104" t="str">
        <f t="shared" si="74"/>
        <v>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 &amp; 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</v>
      </c>
      <c r="AF212" s="101" t="str">
        <f t="shared" si="75"/>
        <v>"C:\Program Files (x86)\AstroGrep\AstroGrep.exe" /spath="%USERPROFILE%\AppData\Local\Temp\OnboardLogs" /stypes="*4027*20160819*" /stext=" 07:.+((SYSTEM_STATE.+slice.+state.+changed )|(ment ac)|(system.+state.+changed )|(\|lc)|(penalty)|(\[timeout)|(PRM\|1\|D)|(kpr)|(kdp))" /e /r /s</v>
      </c>
      <c r="AG212" s="1" t="str">
        <f t="shared" si="76"/>
        <v>Other</v>
      </c>
      <c r="AH212" s="105" t="str">
        <f t="shared" si="77"/>
        <v>"%USERPROFILE%\Documents\GitHub\eaglep3\Utilities\RefineRTDCRunTimes.py" --tripid 313-18 --locoid 4027 --swversion DE.1.0.7.0 --startMP 204:462 --initTime 2016-08-19T01:40:28 --startdatetime 2016-08-19T01:42:32 --delay 2 --endMP 300:22240 --enddatetime 2016-08-19T01:52:31 --enforcementcount 0</v>
      </c>
    </row>
    <row r="213" spans="1:34" x14ac:dyDescent="0.25">
      <c r="A213" s="40" t="s">
        <v>556</v>
      </c>
      <c r="B213" s="7">
        <v>4007</v>
      </c>
      <c r="C213" s="25" t="s">
        <v>118</v>
      </c>
      <c r="D213" s="25" t="s">
        <v>114</v>
      </c>
      <c r="E213" s="16">
        <v>42601.095358796294</v>
      </c>
      <c r="F213" s="16">
        <v>42601.097349537034</v>
      </c>
      <c r="G213" s="7">
        <v>2</v>
      </c>
      <c r="H213" s="16" t="s">
        <v>557</v>
      </c>
      <c r="I213" s="16">
        <v>42601.104305555556</v>
      </c>
      <c r="J213" s="7">
        <v>0</v>
      </c>
      <c r="K213" s="142" t="str">
        <f t="shared" si="65"/>
        <v>4007/4008</v>
      </c>
      <c r="L213" s="25" t="str">
        <f>VLOOKUP(A213,'Trips&amp;Operators'!$C$1:$E$10000,3,FALSE)</f>
        <v>STURGEON</v>
      </c>
      <c r="M213" s="6">
        <f t="shared" si="66"/>
        <v>6.9560185220325366E-3</v>
      </c>
      <c r="N213" s="7">
        <f t="shared" si="62"/>
        <v>10.016666671726853</v>
      </c>
      <c r="O213" s="7"/>
      <c r="P213" s="7"/>
      <c r="Q213" s="26"/>
      <c r="R213" s="26"/>
      <c r="S213" s="38">
        <f t="shared" si="64"/>
        <v>1</v>
      </c>
      <c r="T213" s="53" t="str">
        <f t="shared" si="67"/>
        <v>NorthBound</v>
      </c>
      <c r="U213" s="13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https://search-rtdc-monitor-bjffxe2xuh6vdkpspy63sjmuny.us-east-1.es.amazonaws.com/_plugin/kibana/#/discover/Steve-Slow-Train-Analysis-(2080s-and-2083s)?_g=(refreshInterval:(display:Off,section:0,value:0),time:(from:'2016-08-19 01:17:19-0600',mode:absolute,to:'2016-08-19 03:30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13" s="55" t="str">
        <f t="shared" si="69"/>
        <v>Y</v>
      </c>
      <c r="X213" s="129">
        <f t="shared" si="63"/>
        <v>2</v>
      </c>
      <c r="Y213" s="70">
        <f t="shared" si="70"/>
        <v>4.6199999999999998E-2</v>
      </c>
      <c r="Z213" s="70">
        <f t="shared" si="71"/>
        <v>2.2644000000000002</v>
      </c>
      <c r="AA213" s="70">
        <f t="shared" si="72"/>
        <v>2.2182000000000004</v>
      </c>
      <c r="AB213" s="67" t="e">
        <f>VLOOKUP(A213,Enforcements!$C$7:$J$24,8,0)</f>
        <v>#N/A</v>
      </c>
      <c r="AC213" s="63" t="e">
        <f>VLOOKUP(A213,Enforcements!$C$7:$E$24,3,0)</f>
        <v>#N/A</v>
      </c>
      <c r="AD213" s="64" t="str">
        <f t="shared" si="73"/>
        <v>0315-18</v>
      </c>
      <c r="AE213" s="104" t="str">
        <f t="shared" si="74"/>
        <v>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 &amp; 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</v>
      </c>
      <c r="AF213" s="101" t="str">
        <f t="shared" si="75"/>
        <v>"C:\Program Files (x86)\AstroGrep\AstroGrep.exe" /spath="%USERPROFILE%\AppData\Local\Temp\OnboardLogs" /stypes="*4007*20160819*" /stext=" 08:.+((SYSTEM_STATE.+slice.+state.+changed )|(ment ac)|(system.+state.+changed )|(\|lc)|(penalty)|(\[timeout)|(PRM\|1\|D)|(kpr)|(kdp))" /e /r /s</v>
      </c>
      <c r="AG213" s="1" t="str">
        <f t="shared" si="76"/>
        <v>Other</v>
      </c>
      <c r="AH213" s="105" t="str">
        <f t="shared" si="77"/>
        <v>"%USERPROFILE%\Documents\GitHub\eaglep3\Utilities\RefineRTDCRunTimes.py" --tripid 315-18 --locoid 4007 --swversion DE.1.0.7.0 --startMP 204:462 --initTime 2016-08-19T02:17:19 --startdatetime 2016-08-19T02:20:11 --delay 2 --endMP 300:22644 --enddatetime 2016-08-19T02:30:12 --enforcementcount 0</v>
      </c>
    </row>
    <row r="214" spans="1:34" x14ac:dyDescent="0.25">
      <c r="A214" s="40" t="s">
        <v>663</v>
      </c>
      <c r="B214" s="7">
        <v>4019</v>
      </c>
      <c r="C214" s="25" t="s">
        <v>118</v>
      </c>
      <c r="D214" s="25" t="s">
        <v>664</v>
      </c>
      <c r="E214" s="16">
        <v>42600.635567129626</v>
      </c>
      <c r="F214" s="16">
        <v>42600.645416666666</v>
      </c>
      <c r="G214" s="7">
        <v>14</v>
      </c>
      <c r="H214" s="16" t="s">
        <v>665</v>
      </c>
      <c r="I214" s="16">
        <v>42600.650451388887</v>
      </c>
      <c r="J214" s="7">
        <v>0</v>
      </c>
      <c r="K214" s="142" t="str">
        <f t="shared" si="65"/>
        <v>4019/4020</v>
      </c>
      <c r="L214" s="25" t="str">
        <f>VLOOKUP(A214,'Trips&amp;Operators'!$C$1:$E$10000,3,FALSE)</f>
        <v>ISHMAEL</v>
      </c>
      <c r="M214" s="6">
        <f t="shared" si="66"/>
        <v>5.0347222204436548E-3</v>
      </c>
      <c r="N214" s="7">
        <f t="shared" si="62"/>
        <v>7.2499999974388629</v>
      </c>
      <c r="O214" s="7"/>
      <c r="P214" s="7"/>
      <c r="Q214" s="26"/>
      <c r="R214" s="26"/>
      <c r="S214" s="38">
        <f t="shared" si="64"/>
        <v>1</v>
      </c>
      <c r="T214" s="53" t="str">
        <f t="shared" si="67"/>
        <v>Southbound</v>
      </c>
      <c r="U214" s="13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14:15:13-0600',mode:absolute,to:'2016-08-18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4" s="55" t="str">
        <f t="shared" si="69"/>
        <v>Y</v>
      </c>
      <c r="X214" s="129">
        <f t="shared" si="63"/>
        <v>589</v>
      </c>
      <c r="Y214" s="70">
        <f t="shared" si="70"/>
        <v>2.3525</v>
      </c>
      <c r="Z214" s="70">
        <f t="shared" si="71"/>
        <v>6.5000000000000002E-2</v>
      </c>
      <c r="AA214" s="70">
        <f t="shared" si="72"/>
        <v>2.2875000000000001</v>
      </c>
      <c r="AB214" s="67" t="e">
        <f>VLOOKUP(A214,Enforcements!$C$7:$J$24,8,0)</f>
        <v>#N/A</v>
      </c>
      <c r="AC214" s="63" t="e">
        <f>VLOOKUP(A214,Enforcements!$C$7:$E$24,3,0)</f>
        <v>#N/A</v>
      </c>
      <c r="AD214" s="64" t="str">
        <f t="shared" si="73"/>
        <v>0904-18</v>
      </c>
      <c r="AE214" s="104" t="str">
        <f t="shared" si="74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214" s="101" t="str">
        <f t="shared" si="75"/>
        <v>"C:\Program Files (x86)\AstroGrep\AstroGrep.exe" /spath="%USERPROFILE%\AppData\Local\Temp\OnboardLogs" /stypes="*4019*20160818*" /stext=" 21:.+((SYSTEM_STATE.+slice.+state.+changed )|(ment ac)|(system.+state.+changed )|(\|lc)|(penalty)|(\[timeout)|(PRM\|1\|D)|(kpr)|(kdp))" /e /r /s</v>
      </c>
      <c r="AG214" s="1" t="str">
        <f t="shared" si="76"/>
        <v>Other</v>
      </c>
      <c r="AH214" s="105" t="str">
        <f t="shared" si="77"/>
        <v>"%USERPROFILE%\Documents\GitHub\eaglep3\Utilities\RefineRTDCRunTimes.py" --tripid 904-18 --locoid 4019 --swversion DE.1.0.7.0 --startMP 300:23525 --initTime 2016-08-18T15:15:13 --startdatetime 2016-08-18T15:29:24 --delay 14 --endMP 204:650 --enddatetime 2016-08-18T15:36:39 --enforcementcount 0</v>
      </c>
    </row>
    <row r="215" spans="1:34" x14ac:dyDescent="0.25">
      <c r="A215" s="40" t="s">
        <v>666</v>
      </c>
      <c r="B215" s="7">
        <v>4019</v>
      </c>
      <c r="C215" s="25" t="s">
        <v>118</v>
      </c>
      <c r="D215" s="25" t="s">
        <v>667</v>
      </c>
      <c r="E215" s="16">
        <v>42600.796435185184</v>
      </c>
      <c r="F215" s="16">
        <v>42600.797256944446</v>
      </c>
      <c r="G215" s="7">
        <v>1</v>
      </c>
      <c r="H215" s="16" t="s">
        <v>668</v>
      </c>
      <c r="I215" s="16">
        <v>42600.80201388889</v>
      </c>
      <c r="J215" s="7">
        <v>0</v>
      </c>
      <c r="K215" s="142" t="str">
        <f t="shared" si="65"/>
        <v>4019/4020</v>
      </c>
      <c r="L215" s="25" t="str">
        <f>VLOOKUP(A215,'Trips&amp;Operators'!$C$1:$E$10000,3,FALSE)</f>
        <v>ISHMAEL</v>
      </c>
      <c r="M215" s="6">
        <f t="shared" si="66"/>
        <v>4.756944443215616E-3</v>
      </c>
      <c r="N215" s="7">
        <f t="shared" si="62"/>
        <v>6.8499999982304871</v>
      </c>
      <c r="O215" s="7"/>
      <c r="P215" s="7"/>
      <c r="Q215" s="26"/>
      <c r="R215" s="26"/>
      <c r="S215" s="38">
        <f t="shared" si="64"/>
        <v>0</v>
      </c>
      <c r="T215" s="53" t="str">
        <f t="shared" si="67"/>
        <v>Southbound</v>
      </c>
      <c r="U215" s="13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18:06:52-0600',mode:absolute,to:'2016-08-18 20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5" s="55" t="str">
        <f t="shared" si="69"/>
        <v>Y</v>
      </c>
      <c r="X215" s="129">
        <f t="shared" si="63"/>
        <v>2</v>
      </c>
      <c r="Y215" s="70">
        <f t="shared" si="70"/>
        <v>5.8585000000000003</v>
      </c>
      <c r="Z215" s="70">
        <f t="shared" si="71"/>
        <v>2.8788</v>
      </c>
      <c r="AA215" s="70">
        <f t="shared" si="72"/>
        <v>2.9797000000000002</v>
      </c>
      <c r="AB215" s="67" t="e">
        <f>VLOOKUP(A215,Enforcements!$C$7:$J$24,8,0)</f>
        <v>#N/A</v>
      </c>
      <c r="AC215" s="63" t="e">
        <f>VLOOKUP(A215,Enforcements!$C$7:$E$24,3,0)</f>
        <v>#N/A</v>
      </c>
      <c r="AD215" s="64" t="str">
        <f t="shared" si="73"/>
        <v>0906-18</v>
      </c>
      <c r="AE215" s="104" t="str">
        <f t="shared" si="74"/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AF215" s="101" t="str">
        <f t="shared" si="75"/>
        <v>"C:\Program Files (x86)\AstroGrep\AstroGrep.exe" /spath="%USERPROFILE%\AppData\Local\Temp\OnboardLogs" /stypes="*4019*20160819*" /stext=" 01:.+((SYSTEM_STATE.+slice.+state.+changed )|(ment ac)|(system.+state.+changed )|(\|lc)|(penalty)|(\[timeout)|(PRM\|1\|D)|(kpr)|(kdp))" /e /r /s</v>
      </c>
      <c r="AG215" s="1" t="str">
        <f t="shared" si="76"/>
        <v>Other</v>
      </c>
      <c r="AH215" s="105" t="str">
        <f t="shared" si="77"/>
        <v>"%USERPROFILE%\Documents\GitHub\eaglep3\Utilities\RefineRTDCRunTimes.py" --tripid 906-18 --locoid 4019 --swversion DE.1.0.7.0 --startMP 300:58585 --initTime 2016-08-18T19:06:52 --startdatetime 2016-08-18T19:08:03 --delay 1 --endMP 300:28788 --enddatetime 2016-08-18T19:14:54 --enforcementcount 0</v>
      </c>
    </row>
    <row r="216" spans="1:34" x14ac:dyDescent="0.25">
      <c r="A216" s="40" t="s">
        <v>669</v>
      </c>
      <c r="B216" s="7">
        <v>4001</v>
      </c>
      <c r="C216" s="25" t="s">
        <v>118</v>
      </c>
      <c r="D216" s="25" t="s">
        <v>670</v>
      </c>
      <c r="E216" s="16">
        <v>42600.942002314812</v>
      </c>
      <c r="F216" s="16">
        <v>42600.942696759259</v>
      </c>
      <c r="G216" s="7">
        <v>1</v>
      </c>
      <c r="H216" s="16" t="s">
        <v>671</v>
      </c>
      <c r="I216" s="16">
        <v>42600.947650462964</v>
      </c>
      <c r="J216" s="7">
        <v>0</v>
      </c>
      <c r="K216" s="142" t="str">
        <f t="shared" si="65"/>
        <v>4001/4002</v>
      </c>
      <c r="L216" s="25" t="str">
        <f>VLOOKUP(A216,'Trips&amp;Operators'!$C$1:$E$10000,3,FALSE)</f>
        <v>ISHMAEL</v>
      </c>
      <c r="M216" s="6">
        <f t="shared" si="66"/>
        <v>4.9537037048139609E-3</v>
      </c>
      <c r="N216" s="7">
        <f t="shared" si="62"/>
        <v>7.1333333349321038</v>
      </c>
      <c r="O216" s="7"/>
      <c r="P216" s="7"/>
      <c r="Q216" s="26"/>
      <c r="R216" s="26"/>
      <c r="S216" s="38">
        <f t="shared" si="64"/>
        <v>0</v>
      </c>
      <c r="T216" s="53" t="str">
        <f t="shared" si="67"/>
        <v>Southbound</v>
      </c>
      <c r="U216" s="13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21:36:29-0600',mode:absolute,to:'2016-08-18 23:44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16" s="55" t="str">
        <f t="shared" si="69"/>
        <v>Y</v>
      </c>
      <c r="X216" s="129">
        <f t="shared" si="63"/>
        <v>2</v>
      </c>
      <c r="Y216" s="70">
        <f t="shared" si="70"/>
        <v>5.8582999999999998</v>
      </c>
      <c r="Z216" s="70">
        <f t="shared" si="71"/>
        <v>2.1613000000000002</v>
      </c>
      <c r="AA216" s="70">
        <f t="shared" si="72"/>
        <v>3.6969999999999996</v>
      </c>
      <c r="AB216" s="67" t="e">
        <f>VLOOKUP(A216,Enforcements!$C$7:$J$24,8,0)</f>
        <v>#N/A</v>
      </c>
      <c r="AC216" s="63" t="e">
        <f>VLOOKUP(A216,Enforcements!$C$7:$E$24,3,0)</f>
        <v>#N/A</v>
      </c>
      <c r="AD216" s="64" t="str">
        <f t="shared" si="73"/>
        <v>0908-18</v>
      </c>
      <c r="AE216" s="104" t="str">
        <f t="shared" si="74"/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AF216" s="101" t="str">
        <f t="shared" si="75"/>
        <v>"C:\Program Files (x86)\AstroGrep\AstroGrep.exe" /spath="%USERPROFILE%\AppData\Local\Temp\OnboardLogs" /stypes="*4001*20160819*" /stext=" 04:.+((SYSTEM_STATE.+slice.+state.+changed )|(ment ac)|(system.+state.+changed )|(\|lc)|(penalty)|(\[timeout)|(PRM\|1\|D)|(kpr)|(kdp))" /e /r /s</v>
      </c>
      <c r="AG216" s="1" t="str">
        <f t="shared" si="76"/>
        <v>Other</v>
      </c>
      <c r="AH216" s="105" t="str">
        <f t="shared" si="77"/>
        <v>"%USERPROFILE%\Documents\GitHub\eaglep3\Utilities\RefineRTDCRunTimes.py" --tripid 908-18 --locoid 4001 --swversion DE.1.0.7.0 --startMP 300:58583 --initTime 2016-08-18T22:36:29 --startdatetime 2016-08-18T22:37:29 --delay 1 --endMP 300:21613 --enddatetime 2016-08-18T22:44:37 --enforcementcount 0</v>
      </c>
    </row>
    <row r="217" spans="1:34" x14ac:dyDescent="0.25">
      <c r="A217" s="40" t="s">
        <v>353</v>
      </c>
      <c r="B217" s="7">
        <v>4013</v>
      </c>
      <c r="C217" s="25" t="s">
        <v>118</v>
      </c>
      <c r="D217" s="25" t="s">
        <v>558</v>
      </c>
      <c r="E217" s="16">
        <v>42600.746990740743</v>
      </c>
      <c r="F217" s="16">
        <v>42600.753275462965</v>
      </c>
      <c r="G217" s="7">
        <v>9</v>
      </c>
      <c r="H217" s="16" t="s">
        <v>559</v>
      </c>
      <c r="I217" s="16">
        <v>42600.759988425925</v>
      </c>
      <c r="J217" s="7">
        <v>0</v>
      </c>
      <c r="K217" s="142" t="str">
        <f t="shared" si="65"/>
        <v>4013/4014</v>
      </c>
      <c r="L217" s="25" t="str">
        <f>VLOOKUP(A217,'Trips&amp;Operators'!$C$1:$E$10000,3,FALSE)</f>
        <v>STURGEON</v>
      </c>
      <c r="M217" s="6">
        <f t="shared" si="66"/>
        <v>6.7129629605915397E-3</v>
      </c>
      <c r="N217" s="7">
        <f t="shared" si="62"/>
        <v>9.6666666632518172</v>
      </c>
      <c r="O217" s="7"/>
      <c r="P217" s="7"/>
      <c r="Q217" s="26"/>
      <c r="R217" s="26"/>
      <c r="S217" s="38">
        <f t="shared" si="64"/>
        <v>0</v>
      </c>
      <c r="T217" s="53" t="e">
        <f t="shared" si="67"/>
        <v>#VALUE!</v>
      </c>
      <c r="U217" s="13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16:55:40-0600',mode:absolute,to:'2016-08-18 19:14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17" s="55" t="str">
        <f t="shared" si="69"/>
        <v>Y</v>
      </c>
      <c r="X217" s="129" t="e">
        <f t="shared" si="63"/>
        <v>#VALUE!</v>
      </c>
      <c r="Y217" s="70">
        <f t="shared" si="70"/>
        <v>2.2073999999999998</v>
      </c>
      <c r="Z217" s="70">
        <f t="shared" si="71"/>
        <v>1.4800000000000001E-2</v>
      </c>
      <c r="AA217" s="70">
        <f t="shared" si="72"/>
        <v>2.1925999999999997</v>
      </c>
      <c r="AB217" s="67" t="e">
        <f>VLOOKUP(A217,Enforcements!$C$7:$J$24,8,0)</f>
        <v>#N/A</v>
      </c>
      <c r="AC217" s="63" t="e">
        <f>VLOOKUP(A217,Enforcements!$C$7:$E$24,3,0)</f>
        <v>#N/A</v>
      </c>
      <c r="AD217" s="64" t="str">
        <f t="shared" si="73"/>
        <v>52-18</v>
      </c>
      <c r="AE217" s="104" t="str">
        <f t="shared" si="74"/>
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</c>
      <c r="AF217" s="101" t="str">
        <f t="shared" si="75"/>
        <v>"C:\Program Files (x86)\AstroGrep\AstroGrep.exe" /spath="%USERPROFILE%\AppData\Local\Temp\OnboardLogs" /stypes="*4013*20160819*" /stext=" 00:.+((SYSTEM_STATE.+slice.+state.+changed )|(ment ac)|(system.+state.+changed )|(\|lc)|(penalty)|(\[timeout)|(PRM\|1\|D)|(kpr)|(kdp))" /e /r /s</v>
      </c>
      <c r="AG217" s="1" t="str">
        <f t="shared" si="76"/>
        <v>Other</v>
      </c>
      <c r="AH217" s="105" t="str">
        <f t="shared" si="77"/>
        <v>"%USERPROFILE%\Documents\GitHub\eaglep3\Utilities\RefineRTDCRunTimes.py" --tripid 52-18 --locoid 4013 --swversion DE.1.0.7.0 --startMP 300:22074 --initTime 2016-08-18T17:55:40 --startdatetime 2016-08-18T18:04:43 --delay 9 --endMP 204:148 --enddatetime 2016-08-18T18:14:23 --enforcementcount 0</v>
      </c>
    </row>
    <row r="218" spans="1:34" x14ac:dyDescent="0.25">
      <c r="A218" s="40" t="s">
        <v>355</v>
      </c>
      <c r="B218" s="7">
        <v>4042</v>
      </c>
      <c r="C218" s="25" t="s">
        <v>118</v>
      </c>
      <c r="D218" s="25" t="s">
        <v>560</v>
      </c>
      <c r="E218" s="16">
        <v>42600.785555555558</v>
      </c>
      <c r="F218" s="16">
        <v>42600.786504629628</v>
      </c>
      <c r="G218" s="7">
        <v>1</v>
      </c>
      <c r="H218" s="16" t="s">
        <v>561</v>
      </c>
      <c r="I218" s="16">
        <v>42600.794502314813</v>
      </c>
      <c r="J218" s="7">
        <v>0</v>
      </c>
      <c r="K218" s="142" t="str">
        <f t="shared" si="65"/>
        <v>4041/4042</v>
      </c>
      <c r="L218" s="25" t="str">
        <f>VLOOKUP(A218,'Trips&amp;Operators'!$C$1:$E$10000,3,FALSE)</f>
        <v>MOSES</v>
      </c>
      <c r="M218" s="6">
        <f t="shared" si="66"/>
        <v>7.9976851848186925E-3</v>
      </c>
      <c r="N218" s="7">
        <f t="shared" si="62"/>
        <v>11.516666666138917</v>
      </c>
      <c r="O218" s="7"/>
      <c r="P218" s="7"/>
      <c r="Q218" s="26"/>
      <c r="R218" s="26"/>
      <c r="S218" s="38">
        <f t="shared" si="64"/>
        <v>0</v>
      </c>
      <c r="T218" s="53" t="e">
        <f t="shared" si="67"/>
        <v>#VALUE!</v>
      </c>
      <c r="U218" s="13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https://search-rtdc-monitor-bjffxe2xuh6vdkpspy63sjmuny.us-east-1.es.amazonaws.com/_plugin/kibana/#/discover/Steve-Slow-Train-Analysis-(2080s-and-2083s)?_g=(refreshInterval:(display:Off,section:0,value:0),time:(from:'2016-08-18 17:51:12-0600',mode:absolute,to:'2016-08-18 20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18" s="55" t="str">
        <f t="shared" si="69"/>
        <v>Y</v>
      </c>
      <c r="X218" s="129" t="e">
        <f t="shared" si="63"/>
        <v>#VALUE!</v>
      </c>
      <c r="Y218" s="70">
        <f t="shared" si="70"/>
        <v>0.14860000000000001</v>
      </c>
      <c r="Z218" s="70">
        <f t="shared" si="71"/>
        <v>2.3298999999999999</v>
      </c>
      <c r="AA218" s="70">
        <f t="shared" si="72"/>
        <v>2.1812999999999998</v>
      </c>
      <c r="AB218" s="67" t="e">
        <f>VLOOKUP(A218,Enforcements!$C$7:$J$24,8,0)</f>
        <v>#N/A</v>
      </c>
      <c r="AC218" s="63" t="e">
        <f>VLOOKUP(A218,Enforcements!$C$7:$E$24,3,0)</f>
        <v>#N/A</v>
      </c>
      <c r="AD218" s="64" t="str">
        <f t="shared" si="73"/>
        <v>67-18</v>
      </c>
      <c r="AE218" s="104" t="str">
        <f t="shared" si="74"/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AF218" s="101" t="str">
        <f t="shared" si="75"/>
        <v>"C:\Program Files (x86)\AstroGrep\AstroGrep.exe" /spath="%USERPROFILE%\AppData\Local\Temp\OnboardLogs" /stypes="*4042*20160819*" /stext=" 01:.+((SYSTEM_STATE.+slice.+state.+changed )|(ment ac)|(system.+state.+changed )|(\|lc)|(penalty)|(\[timeout)|(PRM\|1\|D)|(kpr)|(kdp))" /e /r /s</v>
      </c>
      <c r="AG218" s="1" t="str">
        <f t="shared" si="76"/>
        <v>Other</v>
      </c>
      <c r="AH218" s="105" t="str">
        <f t="shared" si="77"/>
        <v>"%USERPROFILE%\Documents\GitHub\eaglep3\Utilities\RefineRTDCRunTimes.py" --tripid 67-18 --locoid 4042 --swversion DE.1.0.7.0 --startMP 204:1486 --initTime 2016-08-18T18:51:12 --startdatetime 2016-08-18T18:52:34 --delay 1 --endMP 300:23299 --enddatetime 2016-08-18T19:04:05 --enforcementcount 0</v>
      </c>
    </row>
    <row r="219" spans="1:34" x14ac:dyDescent="0.25">
      <c r="A219" s="40"/>
      <c r="B219" s="7"/>
      <c r="C219" s="25"/>
      <c r="D219" s="25"/>
      <c r="E219" s="16"/>
      <c r="F219" s="16"/>
      <c r="G219" s="7"/>
      <c r="H219" s="16"/>
      <c r="I219" s="16"/>
      <c r="J219" s="7"/>
      <c r="K219" s="142"/>
      <c r="L219" s="25"/>
      <c r="M219" s="6"/>
      <c r="N219" s="7"/>
      <c r="O219" s="7"/>
      <c r="P219" s="7"/>
      <c r="Q219" s="26"/>
      <c r="R219" s="26"/>
      <c r="S219" s="38"/>
      <c r="T219" s="53"/>
      <c r="U219" s="135"/>
      <c r="V219" s="111"/>
      <c r="W219" s="55"/>
      <c r="X219" s="129"/>
      <c r="Y219" s="70"/>
      <c r="Z219" s="70"/>
      <c r="AA219" s="70"/>
      <c r="AB219" s="67"/>
      <c r="AC219" s="63"/>
      <c r="AD219" s="64"/>
      <c r="AE219" s="104"/>
      <c r="AF219" s="101"/>
      <c r="AG219" s="1"/>
    </row>
    <row r="220" spans="1:34" x14ac:dyDescent="0.25">
      <c r="A220" s="40"/>
      <c r="B220" s="7"/>
      <c r="C220" s="25"/>
      <c r="D220" s="25"/>
      <c r="E220" s="16"/>
      <c r="F220" s="16"/>
      <c r="G220" s="7"/>
      <c r="H220" s="16"/>
      <c r="I220" s="16"/>
      <c r="J220" s="7"/>
      <c r="K220" s="142"/>
      <c r="L220" s="25"/>
      <c r="M220" s="6"/>
      <c r="N220" s="7"/>
      <c r="O220" s="7"/>
      <c r="P220" s="7"/>
      <c r="Q220" s="26"/>
      <c r="R220" s="26"/>
      <c r="S220" s="38"/>
      <c r="T220" s="53"/>
      <c r="U220" s="135"/>
      <c r="V220" s="111"/>
      <c r="W220" s="55"/>
      <c r="X220" s="129"/>
      <c r="Y220" s="70"/>
      <c r="Z220" s="70"/>
      <c r="AA220" s="70"/>
      <c r="AB220" s="67"/>
      <c r="AC220" s="63"/>
      <c r="AD220" s="64"/>
      <c r="AE220" s="104"/>
      <c r="AF220" s="101"/>
      <c r="AG220" s="1"/>
    </row>
    <row r="221" spans="1:34" x14ac:dyDescent="0.25">
      <c r="A221" s="40"/>
      <c r="B221" s="7"/>
      <c r="C221" s="25"/>
      <c r="D221" s="25"/>
      <c r="E221" s="16"/>
      <c r="F221" s="16"/>
      <c r="G221" s="7"/>
      <c r="H221" s="16"/>
      <c r="I221" s="16"/>
      <c r="J221" s="7"/>
      <c r="K221" s="142"/>
      <c r="L221" s="25"/>
      <c r="M221" s="6"/>
      <c r="N221" s="7"/>
      <c r="O221" s="7"/>
      <c r="P221" s="7"/>
      <c r="Q221" s="26"/>
      <c r="R221" s="26"/>
      <c r="S221" s="38"/>
      <c r="T221" s="53"/>
      <c r="U221" s="135"/>
      <c r="V221" s="111"/>
      <c r="W221" s="55"/>
      <c r="X221" s="129"/>
      <c r="Y221" s="70"/>
      <c r="Z221" s="70"/>
      <c r="AA221" s="70"/>
      <c r="AB221" s="67"/>
      <c r="AC221" s="63"/>
      <c r="AD221" s="64"/>
      <c r="AE221" s="104"/>
      <c r="AF221" s="101"/>
      <c r="AG221" s="1"/>
    </row>
    <row r="222" spans="1:34" x14ac:dyDescent="0.25">
      <c r="A222" s="40"/>
      <c r="B222" s="7"/>
      <c r="C222" s="25"/>
      <c r="D222" s="25"/>
      <c r="E222" s="16"/>
      <c r="F222" s="16"/>
      <c r="G222" s="7"/>
      <c r="H222" s="16"/>
      <c r="I222" s="16"/>
      <c r="J222" s="7"/>
      <c r="K222" s="142"/>
      <c r="L222" s="25"/>
      <c r="M222" s="6"/>
      <c r="N222" s="7"/>
      <c r="O222" s="7"/>
      <c r="P222" s="7"/>
      <c r="Q222" s="26"/>
      <c r="R222" s="26"/>
      <c r="S222" s="38"/>
      <c r="T222" s="53"/>
      <c r="U222" s="135"/>
      <c r="V222" s="111"/>
      <c r="W222" s="55"/>
      <c r="X222" s="129"/>
      <c r="Y222" s="70"/>
      <c r="Z222" s="70"/>
      <c r="AA222" s="70"/>
      <c r="AB222" s="67"/>
      <c r="AC222" s="63"/>
      <c r="AD222" s="64"/>
      <c r="AE222" s="104"/>
      <c r="AF222" s="101"/>
      <c r="AG222" s="1"/>
    </row>
  </sheetData>
  <autoFilter ref="A12:AG22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4" priority="259" operator="equal">
      <formula>"Y"</formula>
    </cfRule>
  </conditionalFormatting>
  <conditionalFormatting sqref="X13:X1048576">
    <cfRule type="cellIs" dxfId="13" priority="242" operator="greaterThan">
      <formula>1</formula>
    </cfRule>
  </conditionalFormatting>
  <conditionalFormatting sqref="X12:X1048576">
    <cfRule type="cellIs" dxfId="12" priority="239" operator="equal">
      <formula>0</formula>
    </cfRule>
  </conditionalFormatting>
  <conditionalFormatting sqref="A13:S222">
    <cfRule type="expression" dxfId="11" priority="235">
      <formula>$O13&gt;0</formula>
    </cfRule>
  </conditionalFormatting>
  <conditionalFormatting sqref="A13:S222">
    <cfRule type="expression" dxfId="10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75"/>
  <sheetViews>
    <sheetView workbookViewId="0">
      <selection activeCell="N7" sqref="D7:N1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3" customWidth="1"/>
    <col min="14" max="14" width="24.140625" customWidth="1"/>
    <col min="15" max="15" width="5" hidden="1" customWidth="1"/>
    <col min="16" max="16" width="5.7109375" style="102" customWidth="1"/>
    <col min="17" max="17" width="5.7109375" style="116" customWidth="1"/>
    <col min="18" max="18" width="6" style="99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3"/>
      <c r="P1" s="102"/>
      <c r="Q1" s="116"/>
      <c r="R1" s="99"/>
      <c r="T1" s="51"/>
    </row>
    <row r="2" spans="1:22" s="24" customFormat="1" x14ac:dyDescent="0.25">
      <c r="A2" s="8"/>
      <c r="F2" s="2"/>
      <c r="G2" s="2"/>
      <c r="H2" s="2"/>
      <c r="J2" s="2"/>
      <c r="K2" s="143" t="s">
        <v>90</v>
      </c>
      <c r="L2" s="144"/>
      <c r="M2" s="145">
        <f>COUNTIF($M$7:$M$412,"=Y")</f>
        <v>3</v>
      </c>
      <c r="N2" s="146"/>
      <c r="P2" s="102"/>
      <c r="Q2" s="116"/>
      <c r="R2" s="99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7" t="s">
        <v>91</v>
      </c>
      <c r="L3" s="148"/>
      <c r="M3" s="149">
        <f>COUNTA($M$7:$M$412)-M2</f>
        <v>46</v>
      </c>
      <c r="N3" s="146"/>
      <c r="P3" s="102"/>
      <c r="Q3" s="116"/>
      <c r="R3" s="99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3"/>
      <c r="P4" s="102"/>
      <c r="Q4" s="116"/>
      <c r="R4" s="99"/>
      <c r="T4" s="51"/>
    </row>
    <row r="5" spans="1:22" s="12" customFormat="1" ht="15" customHeight="1" x14ac:dyDescent="0.25">
      <c r="A5" s="150" t="str">
        <f>"Eagle P3 Braking Events - "&amp;TEXT(Variables!$A$2,"YYYY-mm-dd")</f>
        <v>Eagle P3 Braking Events - 2016-08-18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3"/>
      <c r="P5" s="113"/>
      <c r="Q5" s="117"/>
      <c r="R5" s="120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40" t="s">
        <v>27</v>
      </c>
      <c r="N6" s="73" t="s">
        <v>24</v>
      </c>
      <c r="O6" s="53"/>
      <c r="P6" s="114" t="s">
        <v>104</v>
      </c>
      <c r="Q6" s="118" t="s">
        <v>63</v>
      </c>
      <c r="R6" s="121" t="s">
        <v>103</v>
      </c>
      <c r="S6" s="73" t="s">
        <v>98</v>
      </c>
      <c r="T6" s="75" t="s">
        <v>99</v>
      </c>
      <c r="U6" s="53" t="s">
        <v>112</v>
      </c>
      <c r="V6" s="53" t="s">
        <v>115</v>
      </c>
    </row>
    <row r="7" spans="1:22" s="1" customFormat="1" x14ac:dyDescent="0.25">
      <c r="A7" s="39">
        <v>42600.466481481482</v>
      </c>
      <c r="B7" s="34" t="s">
        <v>330</v>
      </c>
      <c r="C7" s="34" t="s">
        <v>335</v>
      </c>
      <c r="D7" s="34" t="s">
        <v>116</v>
      </c>
      <c r="E7" s="34" t="s">
        <v>209</v>
      </c>
      <c r="F7" s="50">
        <v>0</v>
      </c>
      <c r="G7" s="50">
        <v>298</v>
      </c>
      <c r="H7" s="50">
        <v>33156</v>
      </c>
      <c r="I7" s="34" t="s">
        <v>210</v>
      </c>
      <c r="J7" s="50">
        <v>33137</v>
      </c>
      <c r="K7" s="34" t="s">
        <v>52</v>
      </c>
      <c r="L7" s="97" t="str">
        <f>VLOOKUP(C7,'Trips&amp;Operators'!$C$1:$E$9999,3,0)</f>
        <v>BONDS</v>
      </c>
      <c r="M7" s="141" t="s">
        <v>89</v>
      </c>
      <c r="N7" s="10" t="s">
        <v>233</v>
      </c>
      <c r="O7" s="34"/>
      <c r="P7" s="115" t="str">
        <f>VLOOKUP(C7,'Train Runs'!$A$13:$AE$9997,31,0)</f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Q7" s="119" t="str">
        <f>VLOOKUP(C7,'Train Runs'!$A$13:$AE$9997,22,0)</f>
        <v>https://search-rtdc-monitor-bjffxe2xuh6vdkpspy63sjmuny.us-east-1.es.amazonaws.com/_plugin/kibana/#/discover/Steve-Slow-Train-Analysis-(2080s-and-2083s)?_g=(refreshInterval:(display:Off,section:0,value:0),time:(from:'2016-08-18 10:01:18-0600',mode:absolute,to:'2016-08-18 12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7" s="122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/stypes="*4044*201608181*" /stext=" 17:.+((SYSTEM_STATE.+slice.+state.+changed )|(ment ac)|(system.+state.+changed )|(\|lc)|(penalty)|(\[timeout)|(PRM\|1\|D)|(kpr)|(kdp))" /e /r /s</v>
      </c>
      <c r="S7" s="9" t="str">
        <f t="shared" ref="S7:S38" si="1">MID(B7,13,4)</f>
        <v>4044</v>
      </c>
      <c r="T7" s="39">
        <f t="shared" ref="T7:T38" si="2">A7+6/24</f>
        <v>42600.716481481482</v>
      </c>
      <c r="U7" s="53" t="str">
        <f t="shared" ref="U7:U38" si="3">IF(VALUE(LEFT(IF(LEN(C7)=6,"0"&amp;C7,C7),2))&lt;=2,"EC",IF(OR(VALUE(LEFT(IF(LEN(C7)=6,"0"&amp;C7,C7),2))=8,VALUE(LEFT(IF(LEN(C7)=6,"0"&amp;C7,C7),2))=18),"NW","Other"))</f>
        <v>EC</v>
      </c>
      <c r="V7" s="53" t="str">
        <f t="shared" ref="V7:V38" si="4">IF(AND(E7="TRACK WARRANT AUTHORITY",G7&lt;10),"OMIT","KEEP")</f>
        <v>KEEP</v>
      </c>
    </row>
    <row r="8" spans="1:22" s="1" customFormat="1" x14ac:dyDescent="0.25">
      <c r="A8" s="39">
        <v>42600.610011574077</v>
      </c>
      <c r="B8" s="34" t="s">
        <v>330</v>
      </c>
      <c r="C8" s="34" t="s">
        <v>344</v>
      </c>
      <c r="D8" s="34" t="s">
        <v>49</v>
      </c>
      <c r="E8" s="34" t="s">
        <v>209</v>
      </c>
      <c r="F8" s="50">
        <v>0</v>
      </c>
      <c r="G8" s="50">
        <v>270</v>
      </c>
      <c r="H8" s="50">
        <v>33089</v>
      </c>
      <c r="I8" s="34" t="s">
        <v>210</v>
      </c>
      <c r="J8" s="50">
        <v>33137</v>
      </c>
      <c r="K8" s="34" t="s">
        <v>52</v>
      </c>
      <c r="L8" s="97" t="str">
        <f>VLOOKUP(C8,'Trips&amp;Operators'!$C$1:$E$9999,3,0)</f>
        <v>BONDS</v>
      </c>
      <c r="M8" s="141" t="s">
        <v>89</v>
      </c>
      <c r="N8" s="10" t="s">
        <v>233</v>
      </c>
      <c r="O8" s="34"/>
      <c r="P8" s="115" t="str">
        <f>VLOOKUP(C8,'Train Runs'!$A$13:$AE$9997,31,0)</f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Q8" s="119" t="str">
        <f>VLOOKUP(C8,'Train Runs'!$A$13:$AE$9997,22,0)</f>
        <v>https://search-rtdc-monitor-bjffxe2xuh6vdkpspy63sjmuny.us-east-1.es.amazonaws.com/_plugin/kibana/#/discover/Steve-Slow-Train-Analysis-(2080s-and-2083s)?_g=(refreshInterval:(display:Off,section:0,value:0),time:(from:'2016-08-18 13:22:36-0600',mode:absolute,to:'2016-08-18 16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8" s="122" t="str">
        <f t="shared" si="0"/>
        <v>"C:\Program Files (x86)\AstroGrep\AstroGrep.exe" /spath="%USERPROFILE%\AppData\Local\Temp\OnboardLogs" /stypes="*4044*201608182*" /stext=" 20:.+((SYSTEM_STATE.+slice.+state.+changed )|(ment ac)|(system.+state.+changed )|(\|lc)|(penalty)|(\[timeout)|(PRM\|1\|D)|(kpr)|(kdp))" /e /r /s</v>
      </c>
      <c r="S8" s="9" t="str">
        <f t="shared" si="1"/>
        <v>4044</v>
      </c>
      <c r="T8" s="39">
        <f t="shared" si="2"/>
        <v>42600.860011574077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42600.235752314817</v>
      </c>
      <c r="B9" s="34" t="s">
        <v>95</v>
      </c>
      <c r="C9" s="34" t="s">
        <v>316</v>
      </c>
      <c r="D9" s="34" t="s">
        <v>49</v>
      </c>
      <c r="E9" s="34" t="s">
        <v>209</v>
      </c>
      <c r="F9" s="50">
        <v>560</v>
      </c>
      <c r="G9" s="50">
        <v>621</v>
      </c>
      <c r="H9" s="50">
        <v>44404</v>
      </c>
      <c r="I9" s="34" t="s">
        <v>210</v>
      </c>
      <c r="J9" s="50">
        <v>42961</v>
      </c>
      <c r="K9" s="34" t="s">
        <v>53</v>
      </c>
      <c r="L9" s="97" t="str">
        <f>VLOOKUP(C9,'Trips&amp;Operators'!$C$1:$E$9999,3,0)</f>
        <v>MALAVE</v>
      </c>
      <c r="M9" s="141" t="s">
        <v>89</v>
      </c>
      <c r="N9" s="10" t="s">
        <v>233</v>
      </c>
      <c r="O9" s="34"/>
      <c r="P9" s="115" t="str">
        <f>VLOOKUP(C9,'Train Runs'!$A$13:$AE$9997,31,0)</f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Q9" s="119" t="str">
        <f>VLOOKUP(C9,'Train Runs'!$A$13:$AE$9997,22,0)</f>
        <v>https://search-rtdc-monitor-bjffxe2xuh6vdkpspy63sjmuny.us-east-1.es.amazonaws.com/_plugin/kibana/#/discover/Steve-Slow-Train-Analysis-(2080s-and-2083s)?_g=(refreshInterval:(display:Off,section:0,value:0),time:(from:'2016-08-18 04:09:47-0600',mode:absolute,to:'2016-08-18 06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9" s="122" t="str">
        <f t="shared" si="0"/>
        <v>"C:\Program Files (x86)\AstroGrep\AstroGrep.exe" /spath="%USERPROFILE%\AppData\Local\Temp\OnboardLogs" /stypes="*4030*201608181*" /stext=" 11:.+((SYSTEM_STATE.+slice.+state.+changed )|(ment ac)|(system.+state.+changed )|(\|lc)|(penalty)|(\[timeout)|(PRM\|1\|D)|(kpr)|(kdp))" /e /r /s</v>
      </c>
      <c r="S9" s="9" t="str">
        <f t="shared" si="1"/>
        <v>4030</v>
      </c>
      <c r="T9" s="39">
        <f t="shared" si="2"/>
        <v>42600.485752314817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42600.336192129631</v>
      </c>
      <c r="B10" s="34" t="s">
        <v>306</v>
      </c>
      <c r="C10" s="34" t="s">
        <v>327</v>
      </c>
      <c r="D10" s="34" t="s">
        <v>49</v>
      </c>
      <c r="E10" s="34" t="s">
        <v>209</v>
      </c>
      <c r="F10" s="50">
        <v>0</v>
      </c>
      <c r="G10" s="50">
        <v>314</v>
      </c>
      <c r="H10" s="50">
        <v>78834</v>
      </c>
      <c r="I10" s="34" t="s">
        <v>210</v>
      </c>
      <c r="J10" s="50">
        <v>78469</v>
      </c>
      <c r="K10" s="34" t="s">
        <v>53</v>
      </c>
      <c r="L10" s="97" t="str">
        <f>VLOOKUP(C10,'Trips&amp;Operators'!$C$1:$E$9999,3,0)</f>
        <v>STARKS</v>
      </c>
      <c r="M10" s="141" t="s">
        <v>89</v>
      </c>
      <c r="N10" s="10" t="s">
        <v>233</v>
      </c>
      <c r="O10" s="34"/>
      <c r="P10" s="115" t="str">
        <f>VLOOKUP(C10,'Train Runs'!$A$13:$AE$9997,31,0)</f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Q10" s="119" t="str">
        <f>VLOOKUP(C10,'Train Runs'!$A$13:$AE$9997,22,0)</f>
        <v>https://search-rtdc-monitor-bjffxe2xuh6vdkpspy63sjmuny.us-east-1.es.amazonaws.com/_plugin/kibana/#/discover/Steve-Slow-Train-Analysis-(2080s-and-2083s)?_g=(refreshInterval:(display:Off,section:0,value:0),time:(from:'2016-08-18 06:38:40-0600',mode:absolute,to:'2016-08-18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10" s="122" t="str">
        <f t="shared" si="0"/>
        <v>"C:\Program Files (x86)\AstroGrep\AstroGrep.exe" /spath="%USERPROFILE%\AppData\Local\Temp\OnboardLogs" /stypes="*4026*201608181*" /stext=" 14:.+((SYSTEM_STATE.+slice.+state.+changed )|(ment ac)|(system.+state.+changed )|(\|lc)|(penalty)|(\[timeout)|(PRM\|1\|D)|(kpr)|(kdp))" /e /r /s</v>
      </c>
      <c r="S10" s="9" t="str">
        <f t="shared" si="1"/>
        <v>4026</v>
      </c>
      <c r="T10" s="39">
        <f t="shared" si="2"/>
        <v>42600.586192129631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42600.30195601852</v>
      </c>
      <c r="B11" s="34" t="s">
        <v>165</v>
      </c>
      <c r="C11" s="34" t="s">
        <v>320</v>
      </c>
      <c r="D11" s="34" t="s">
        <v>49</v>
      </c>
      <c r="E11" s="34" t="s">
        <v>209</v>
      </c>
      <c r="F11" s="50">
        <v>50</v>
      </c>
      <c r="G11" s="50">
        <v>127</v>
      </c>
      <c r="H11" s="50">
        <v>103963</v>
      </c>
      <c r="I11" s="34" t="s">
        <v>210</v>
      </c>
      <c r="J11" s="50">
        <v>103800</v>
      </c>
      <c r="K11" s="34" t="s">
        <v>53</v>
      </c>
      <c r="L11" s="97" t="str">
        <f>VLOOKUP(C11,'Trips&amp;Operators'!$C$1:$E$9999,3,0)</f>
        <v>MALAVE</v>
      </c>
      <c r="M11" s="141" t="s">
        <v>89</v>
      </c>
      <c r="N11" s="10" t="s">
        <v>233</v>
      </c>
      <c r="O11" s="34"/>
      <c r="P11" s="115" t="str">
        <f>VLOOKUP(C11,'Train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11" s="119" t="str">
        <f>VLOOKUP(C11,'Train Runs'!$A$13:$AE$9997,22,0)</f>
        <v>https://search-rtdc-monitor-bjffxe2xuh6vdkpspy63sjmuny.us-east-1.es.amazonaws.com/_plugin/kibana/#/discover/Steve-Slow-Train-Analysis-(2080s-and-2083s)?_g=(refreshInterval:(display:Off,section:0,value:0),time:(from:'2016-08-18 05:53:41-0600',mode:absolute,to:'2016-08-18 08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1" s="122" t="str">
        <f t="shared" si="0"/>
        <v>"C:\Program Files (x86)\AstroGrep\AstroGrep.exe" /spath="%USERPROFILE%\AppData\Local\Temp\OnboardLogs" /stypes="*4028*201608181*" /stext=" 13:.+((SYSTEM_STATE.+slice.+state.+changed )|(ment ac)|(system.+state.+changed )|(\|lc)|(penalty)|(\[timeout)|(PRM\|1\|D)|(kpr)|(kdp))" /e /r /s</v>
      </c>
      <c r="S11" s="9" t="str">
        <f t="shared" si="1"/>
        <v>4028</v>
      </c>
      <c r="T11" s="39">
        <f t="shared" si="2"/>
        <v>42600.55195601852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42600.301516203705</v>
      </c>
      <c r="B12" s="34" t="s">
        <v>165</v>
      </c>
      <c r="C12" s="34" t="s">
        <v>320</v>
      </c>
      <c r="D12" s="34" t="s">
        <v>49</v>
      </c>
      <c r="E12" s="34" t="s">
        <v>209</v>
      </c>
      <c r="F12" s="50">
        <v>450</v>
      </c>
      <c r="G12" s="50">
        <v>598</v>
      </c>
      <c r="H12" s="50">
        <v>106876</v>
      </c>
      <c r="I12" s="34" t="s">
        <v>210</v>
      </c>
      <c r="J12" s="50">
        <v>103800</v>
      </c>
      <c r="K12" s="34" t="s">
        <v>53</v>
      </c>
      <c r="L12" s="97" t="str">
        <f>VLOOKUP(C12,'Trips&amp;Operators'!$C$1:$E$9999,3,0)</f>
        <v>MALAVE</v>
      </c>
      <c r="M12" s="141" t="s">
        <v>89</v>
      </c>
      <c r="N12" s="10" t="s">
        <v>233</v>
      </c>
      <c r="O12" s="34"/>
      <c r="P12" s="115" t="str">
        <f>VLOOKUP(C12,'Train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12" s="119" t="str">
        <f>VLOOKUP(C12,'Train Runs'!$A$13:$AE$9997,22,0)</f>
        <v>https://search-rtdc-monitor-bjffxe2xuh6vdkpspy63sjmuny.us-east-1.es.amazonaws.com/_plugin/kibana/#/discover/Steve-Slow-Train-Analysis-(2080s-and-2083s)?_g=(refreshInterval:(display:Off,section:0,value:0),time:(from:'2016-08-18 05:53:41-0600',mode:absolute,to:'2016-08-18 08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2" s="122" t="str">
        <f t="shared" si="0"/>
        <v>"C:\Program Files (x86)\AstroGrep\AstroGrep.exe" /spath="%USERPROFILE%\AppData\Local\Temp\OnboardLogs" /stypes="*4028*201608181*" /stext=" 13:.+((SYSTEM_STATE.+slice.+state.+changed )|(ment ac)|(system.+state.+changed )|(\|lc)|(penalty)|(\[timeout)|(PRM\|1\|D)|(kpr)|(kdp))" /e /r /s</v>
      </c>
      <c r="S12" s="9" t="str">
        <f t="shared" si="1"/>
        <v>4028</v>
      </c>
      <c r="T12" s="39">
        <f t="shared" si="2"/>
        <v>42600.551516203705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42600.32640046296</v>
      </c>
      <c r="B13" s="34" t="s">
        <v>194</v>
      </c>
      <c r="C13" s="34" t="s">
        <v>323</v>
      </c>
      <c r="D13" s="34" t="s">
        <v>49</v>
      </c>
      <c r="E13" s="34" t="s">
        <v>56</v>
      </c>
      <c r="F13" s="50">
        <v>150</v>
      </c>
      <c r="G13" s="50">
        <v>213</v>
      </c>
      <c r="H13" s="50">
        <v>5163</v>
      </c>
      <c r="I13" s="34" t="s">
        <v>57</v>
      </c>
      <c r="J13" s="50">
        <v>4677</v>
      </c>
      <c r="K13" s="34" t="s">
        <v>53</v>
      </c>
      <c r="L13" s="97" t="str">
        <f>VLOOKUP(C13,'Trips&amp;Operators'!$C$1:$E$9999,3,0)</f>
        <v>STRICKLAND</v>
      </c>
      <c r="M13" s="141" t="s">
        <v>89</v>
      </c>
      <c r="N13" s="10"/>
      <c r="O13" s="34"/>
      <c r="P13" s="115" t="str">
        <f>VLOOKUP(C13,'Train Runs'!$A$13:$AE$9997,31,0)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Q13" s="119" t="str">
        <f>VLOOKUP(C13,'Train Runs'!$A$13:$AE$9997,22,0)</f>
        <v>https://search-rtdc-monitor-bjffxe2xuh6vdkpspy63sjmuny.us-east-1.es.amazonaws.com/_plugin/kibana/#/discover/Steve-Slow-Train-Analysis-(2080s-and-2083s)?_g=(refreshInterval:(display:Off,section:0,value:0),time:(from:'2016-08-18 06:03:50-0600',mode:absolute,to:'2016-08-18 08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3" s="122" t="str">
        <f t="shared" si="0"/>
        <v>"C:\Program Files (x86)\AstroGrep\AstroGrep.exe" /spath="%USERPROFILE%\AppData\Local\Temp\OnboardLogs" /stypes="*4008*201608181*" /stext=" 13:.+((SYSTEM_STATE.+slice.+state.+changed )|(ment ac)|(system.+state.+changed )|(\|lc)|(penalty)|(\[timeout)|(PRM\|1\|D)|(kpr)|(kdp))" /e /r /s</v>
      </c>
      <c r="S13" s="9" t="str">
        <f t="shared" si="1"/>
        <v>4008</v>
      </c>
      <c r="T13" s="39">
        <f t="shared" si="2"/>
        <v>42600.57640046296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42600.303923611114</v>
      </c>
      <c r="B14" s="34" t="s">
        <v>166</v>
      </c>
      <c r="C14" s="34" t="s">
        <v>321</v>
      </c>
      <c r="D14" s="34" t="s">
        <v>116</v>
      </c>
      <c r="E14" s="34" t="s">
        <v>56</v>
      </c>
      <c r="F14" s="50">
        <v>200</v>
      </c>
      <c r="G14" s="50">
        <v>257</v>
      </c>
      <c r="H14" s="50">
        <v>5501</v>
      </c>
      <c r="I14" s="34" t="s">
        <v>57</v>
      </c>
      <c r="J14" s="50">
        <v>4677</v>
      </c>
      <c r="K14" s="34" t="s">
        <v>52</v>
      </c>
      <c r="L14" s="97" t="str">
        <f>VLOOKUP(C14,'Trips&amp;Operators'!$C$1:$E$9999,3,0)</f>
        <v>BRANNON</v>
      </c>
      <c r="M14" s="141" t="s">
        <v>89</v>
      </c>
      <c r="N14" s="10"/>
      <c r="O14" s="34"/>
      <c r="P14" s="115" t="str">
        <f>VLOOKUP(C14,'Train Runs'!$A$13:$AE$9997,31,0)</f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Q14" s="119" t="str">
        <f>VLOOKUP(C14,'Train Runs'!$A$13:$AE$9997,22,0)</f>
        <v>https://search-rtdc-monitor-bjffxe2xuh6vdkpspy63sjmuny.us-east-1.es.amazonaws.com/_plugin/kibana/#/discover/Steve-Slow-Train-Analysis-(2080s-and-2083s)?_g=(refreshInterval:(display:Off,section:0,value:0),time:(from:'2016-08-18 06:12:05-0600',mode:absolute,to:'2016-08-18 08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4" s="122" t="str">
        <f t="shared" si="0"/>
        <v>"C:\Program Files (x86)\AstroGrep\AstroGrep.exe" /spath="%USERPROFILE%\AppData\Local\Temp\OnboardLogs" /stypes="*4042*201608181*" /stext=" 13:.+((SYSTEM_STATE.+slice.+state.+changed )|(ment ac)|(system.+state.+changed )|(\|lc)|(penalty)|(\[timeout)|(PRM\|1\|D)|(kpr)|(kdp))" /e /r /s</v>
      </c>
      <c r="S14" s="9" t="str">
        <f t="shared" si="1"/>
        <v>4042</v>
      </c>
      <c r="T14" s="39">
        <f t="shared" si="2"/>
        <v>42600.553923611114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42600.627858796295</v>
      </c>
      <c r="B15" s="34" t="s">
        <v>309</v>
      </c>
      <c r="C15" s="34" t="s">
        <v>345</v>
      </c>
      <c r="D15" s="34" t="s">
        <v>49</v>
      </c>
      <c r="E15" s="34" t="s">
        <v>56</v>
      </c>
      <c r="F15" s="50">
        <v>400</v>
      </c>
      <c r="G15" s="50">
        <v>529</v>
      </c>
      <c r="H15" s="50">
        <v>16013</v>
      </c>
      <c r="I15" s="34" t="s">
        <v>57</v>
      </c>
      <c r="J15" s="50">
        <v>17867</v>
      </c>
      <c r="K15" s="34" t="s">
        <v>52</v>
      </c>
      <c r="L15" s="97" t="str">
        <f>VLOOKUP(C15,'Trips&amp;Operators'!$C$1:$E$9999,3,0)</f>
        <v>MOSES</v>
      </c>
      <c r="M15" s="141" t="s">
        <v>89</v>
      </c>
      <c r="N15" s="10"/>
      <c r="O15" s="34"/>
      <c r="P15" s="115" t="str">
        <f>VLOOKUP(C15,'Train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15" s="119" t="str">
        <f>VLOOKUP(C15,'Train Runs'!$A$13:$AE$9997,22,0)</f>
        <v>https://search-rtdc-monitor-bjffxe2xuh6vdkpspy63sjmuny.us-east-1.es.amazonaws.com/_plugin/kibana/#/discover/Steve-Slow-Train-Analysis-(2080s-and-2083s)?_g=(refreshInterval:(display:Off,section:0,value:0),time:(from:'2016-08-18 13:56:25-0600',mode:absolute,to:'2016-08-18 16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" s="122" t="str">
        <f t="shared" si="0"/>
        <v>"C:\Program Files (x86)\AstroGrep\AstroGrep.exe" /spath="%USERPROFILE%\AppData\Local\Temp\OnboardLogs" /stypes="*4007*201608182*" /stext=" 21:.+((SYSTEM_STATE.+slice.+state.+changed )|(ment ac)|(system.+state.+changed )|(\|lc)|(penalty)|(\[timeout)|(PRM\|1\|D)|(kpr)|(kdp))" /e /r /s</v>
      </c>
      <c r="S15" s="9" t="str">
        <f t="shared" si="1"/>
        <v>4007</v>
      </c>
      <c r="T15" s="39">
        <f t="shared" si="2"/>
        <v>42600.877858796295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42600.354062500002</v>
      </c>
      <c r="B16" s="34" t="s">
        <v>307</v>
      </c>
      <c r="C16" s="34" t="s">
        <v>328</v>
      </c>
      <c r="D16" s="34" t="s">
        <v>49</v>
      </c>
      <c r="E16" s="34" t="s">
        <v>56</v>
      </c>
      <c r="F16" s="50">
        <v>400</v>
      </c>
      <c r="G16" s="50">
        <v>539</v>
      </c>
      <c r="H16" s="50">
        <v>122266</v>
      </c>
      <c r="I16" s="34" t="s">
        <v>57</v>
      </c>
      <c r="J16" s="50">
        <v>119716</v>
      </c>
      <c r="K16" s="34" t="s">
        <v>53</v>
      </c>
      <c r="L16" s="97" t="str">
        <f>VLOOKUP(C16,'Trips&amp;Operators'!$C$1:$E$9999,3,0)</f>
        <v>BRANNON</v>
      </c>
      <c r="M16" s="141" t="s">
        <v>89</v>
      </c>
      <c r="N16" s="10"/>
      <c r="O16" s="34"/>
      <c r="P16" s="115" t="str">
        <f>VLOOKUP(C16,'Train Runs'!$A$13:$AE$9997,31,0)</f>
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</c>
      <c r="Q16" s="119" t="str">
        <f>VLOOKUP(C16,'Train Runs'!$A$13:$AE$9997,22,0)</f>
        <v>https://search-rtdc-monitor-bjffxe2xuh6vdkpspy63sjmuny.us-east-1.es.amazonaws.com/_plugin/kibana/#/discover/Steve-Slow-Train-Analysis-(2080s-and-2083s)?_g=(refreshInterval:(display:Off,section:0,value:0),time:(from:'2016-08-18 07:02:58-0600',mode:absolute,to:'2016-08-18 09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6" s="122" t="str">
        <f t="shared" si="0"/>
        <v>"C:\Program Files (x86)\AstroGrep\AstroGrep.exe" /spath="%USERPROFILE%\AppData\Local\Temp\OnboardLogs" /stypes="*4041*201608181*" /stext=" 14:.+((SYSTEM_STATE.+slice.+state.+changed )|(ment ac)|(system.+state.+changed )|(\|lc)|(penalty)|(\[timeout)|(PRM\|1\|D)|(kpr)|(kdp))" /e /r /s</v>
      </c>
      <c r="S16" s="9" t="str">
        <f t="shared" si="1"/>
        <v>4041</v>
      </c>
      <c r="T16" s="39">
        <f t="shared" si="2"/>
        <v>42600.604062500002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42600.281863425924</v>
      </c>
      <c r="B17" s="34" t="s">
        <v>309</v>
      </c>
      <c r="C17" s="34" t="s">
        <v>318</v>
      </c>
      <c r="D17" s="34" t="s">
        <v>116</v>
      </c>
      <c r="E17" s="34" t="s">
        <v>56</v>
      </c>
      <c r="F17" s="50">
        <v>700</v>
      </c>
      <c r="G17" s="50">
        <v>751</v>
      </c>
      <c r="H17" s="50">
        <v>169841</v>
      </c>
      <c r="I17" s="34" t="s">
        <v>57</v>
      </c>
      <c r="J17" s="50">
        <v>161962</v>
      </c>
      <c r="K17" s="34" t="s">
        <v>52</v>
      </c>
      <c r="L17" s="97" t="str">
        <f>VLOOKUP(C17,'Trips&amp;Operators'!$C$1:$E$9999,3,0)</f>
        <v>STRICKLAND</v>
      </c>
      <c r="M17" s="141" t="s">
        <v>89</v>
      </c>
      <c r="N17" s="10"/>
      <c r="O17" s="34"/>
      <c r="P17" s="115" t="str">
        <f>VLOOKUP(C17,'Train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17" s="119" t="str">
        <f>VLOOKUP(C17,'Train Runs'!$A$13:$AE$9997,22,0)</f>
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7" s="122" t="str">
        <f t="shared" si="0"/>
        <v>"C:\Program Files (x86)\AstroGrep\AstroGrep.exe" /spath="%USERPROFILE%\AppData\Local\Temp\OnboardLogs" /stypes="*4007*201608181*" /stext=" 12:.+((SYSTEM_STATE.+slice.+state.+changed )|(ment ac)|(system.+state.+changed )|(\|lc)|(penalty)|(\[timeout)|(PRM\|1\|D)|(kpr)|(kdp))" /e /r /s</v>
      </c>
      <c r="S17" s="9" t="str">
        <f t="shared" si="1"/>
        <v>4007</v>
      </c>
      <c r="T17" s="39">
        <f t="shared" si="2"/>
        <v>42600.531863425924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42600.291180555556</v>
      </c>
      <c r="B18" s="34" t="s">
        <v>211</v>
      </c>
      <c r="C18" s="34" t="s">
        <v>319</v>
      </c>
      <c r="D18" s="34" t="s">
        <v>116</v>
      </c>
      <c r="E18" s="34" t="s">
        <v>56</v>
      </c>
      <c r="F18" s="50">
        <v>700</v>
      </c>
      <c r="G18" s="50">
        <v>764</v>
      </c>
      <c r="H18" s="50">
        <v>174475</v>
      </c>
      <c r="I18" s="34" t="s">
        <v>57</v>
      </c>
      <c r="J18" s="50">
        <v>161962</v>
      </c>
      <c r="K18" s="34" t="s">
        <v>52</v>
      </c>
      <c r="L18" s="97" t="str">
        <f>VLOOKUP(C18,'Trips&amp;Operators'!$C$1:$E$9999,3,0)</f>
        <v>ROCHA</v>
      </c>
      <c r="M18" s="141" t="s">
        <v>89</v>
      </c>
      <c r="N18" s="10"/>
      <c r="O18" s="34"/>
      <c r="P18" s="115" t="str">
        <f>VLOOKUP(C18,'Train Runs'!$A$13:$AE$9997,31,0)</f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Q18" s="119" t="str">
        <f>VLOOKUP(C18,'Train Runs'!$A$13:$AE$9997,22,0)</f>
        <v>https://search-rtdc-monitor-bjffxe2xuh6vdkpspy63sjmuny.us-east-1.es.amazonaws.com/_plugin/kibana/#/discover/Steve-Slow-Train-Analysis-(2080s-and-2083s)?_g=(refreshInterval:(display:Off,section:0,value:0),time:(from:'2016-08-18 05:28:19-0600',mode:absolute,to:'2016-08-18 08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8" s="122" t="str">
        <f t="shared" si="0"/>
        <v>"C:\Program Files (x86)\AstroGrep\AstroGrep.exe" /spath="%USERPROFILE%\AppData\Local\Temp\OnboardLogs" /stypes="*4009*201608181*" /stext=" 12:.+((SYSTEM_STATE.+slice.+state.+changed )|(ment ac)|(system.+state.+changed )|(\|lc)|(penalty)|(\[timeout)|(PRM\|1\|D)|(kpr)|(kdp))" /e /r /s</v>
      </c>
      <c r="S18" s="9" t="str">
        <f t="shared" si="1"/>
        <v>4009</v>
      </c>
      <c r="T18" s="39">
        <f t="shared" si="2"/>
        <v>42600.541180555556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42600.417719907404</v>
      </c>
      <c r="B19" s="34" t="s">
        <v>96</v>
      </c>
      <c r="C19" s="34" t="s">
        <v>333</v>
      </c>
      <c r="D19" s="34" t="s">
        <v>116</v>
      </c>
      <c r="E19" s="34" t="s">
        <v>56</v>
      </c>
      <c r="F19" s="50">
        <v>700</v>
      </c>
      <c r="G19" s="50">
        <v>750</v>
      </c>
      <c r="H19" s="50">
        <v>174089</v>
      </c>
      <c r="I19" s="34" t="s">
        <v>57</v>
      </c>
      <c r="J19" s="50">
        <v>161962</v>
      </c>
      <c r="K19" s="34" t="s">
        <v>52</v>
      </c>
      <c r="L19" s="97" t="str">
        <f>VLOOKUP(C19,'Trips&amp;Operators'!$C$1:$E$9999,3,0)</f>
        <v>MALAVE</v>
      </c>
      <c r="M19" s="141" t="s">
        <v>89</v>
      </c>
      <c r="N19" s="10"/>
      <c r="O19" s="34"/>
      <c r="P19" s="115" t="str">
        <f>VLOOKUP(C19,'Train Runs'!$A$13:$AE$9997,31,0)</f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Q19" s="119" t="str">
        <f>VLOOKUP(C19,'Train Runs'!$A$13:$AE$9997,22,0)</f>
        <v>https://search-rtdc-monitor-bjffxe2xuh6vdkpspy63sjmuny.us-east-1.es.amazonaws.com/_plugin/kibana/#/discover/Steve-Slow-Train-Analysis-(2080s-and-2083s)?_g=(refreshInterval:(display:Off,section:0,value:0),time:(from:'2016-08-18 08:28:21-0600',mode:absolute,to:'2016-08-18 11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9" s="122" t="str">
        <f t="shared" si="0"/>
        <v>"C:\Program Files (x86)\AstroGrep\AstroGrep.exe" /spath="%USERPROFILE%\AppData\Local\Temp\OnboardLogs" /stypes="*4027*201608181*" /stext=" 16:.+((SYSTEM_STATE.+slice.+state.+changed )|(ment ac)|(system.+state.+changed )|(\|lc)|(penalty)|(\[timeout)|(PRM\|1\|D)|(kpr)|(kdp))" /e /r /s</v>
      </c>
      <c r="S19" s="9" t="str">
        <f t="shared" si="1"/>
        <v>4027</v>
      </c>
      <c r="T19" s="39">
        <f t="shared" si="2"/>
        <v>42600.667719907404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42600.283148148148</v>
      </c>
      <c r="B20" s="34" t="s">
        <v>309</v>
      </c>
      <c r="C20" s="34" t="s">
        <v>318</v>
      </c>
      <c r="D20" s="34" t="s">
        <v>49</v>
      </c>
      <c r="E20" s="34" t="s">
        <v>56</v>
      </c>
      <c r="F20" s="50">
        <v>600</v>
      </c>
      <c r="G20" s="50">
        <v>660</v>
      </c>
      <c r="H20" s="50">
        <v>182177</v>
      </c>
      <c r="I20" s="34" t="s">
        <v>57</v>
      </c>
      <c r="J20" s="50">
        <v>183829</v>
      </c>
      <c r="K20" s="34" t="s">
        <v>52</v>
      </c>
      <c r="L20" s="97" t="str">
        <f>VLOOKUP(C20,'Trips&amp;Operators'!$C$1:$E$9999,3,0)</f>
        <v>STRICKLAND</v>
      </c>
      <c r="M20" s="141" t="s">
        <v>89</v>
      </c>
      <c r="N20" s="10"/>
      <c r="O20" s="34"/>
      <c r="P20" s="115" t="str">
        <f>VLOOKUP(C20,'Train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20" s="119" t="str">
        <f>VLOOKUP(C20,'Train Runs'!$A$13:$AE$9997,22,0)</f>
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20" s="122" t="str">
        <f t="shared" si="0"/>
        <v>"C:\Program Files (x86)\AstroGrep\AstroGrep.exe" /spath="%USERPROFILE%\AppData\Local\Temp\OnboardLogs" /stypes="*4007*201608181*" /stext=" 12:.+((SYSTEM_STATE.+slice.+state.+changed )|(ment ac)|(system.+state.+changed )|(\|lc)|(penalty)|(\[timeout)|(PRM\|1\|D)|(kpr)|(kdp))" /e /r /s</v>
      </c>
      <c r="S20" s="9" t="str">
        <f t="shared" si="1"/>
        <v>4007</v>
      </c>
      <c r="T20" s="39">
        <f t="shared" si="2"/>
        <v>42600.533148148148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42600.564710648148</v>
      </c>
      <c r="B21" s="34" t="s">
        <v>96</v>
      </c>
      <c r="C21" s="34" t="s">
        <v>342</v>
      </c>
      <c r="D21" s="34" t="s">
        <v>49</v>
      </c>
      <c r="E21" s="34" t="s">
        <v>56</v>
      </c>
      <c r="F21" s="50">
        <v>600</v>
      </c>
      <c r="G21" s="50">
        <v>687</v>
      </c>
      <c r="H21" s="50">
        <v>181897</v>
      </c>
      <c r="I21" s="34" t="s">
        <v>57</v>
      </c>
      <c r="J21" s="50">
        <v>183829</v>
      </c>
      <c r="K21" s="34" t="s">
        <v>52</v>
      </c>
      <c r="L21" s="97" t="str">
        <f>VLOOKUP(C21,'Trips&amp;Operators'!$C$1:$E$9999,3,0)</f>
        <v>SANTIZO</v>
      </c>
      <c r="M21" s="141" t="s">
        <v>89</v>
      </c>
      <c r="N21" s="10"/>
      <c r="O21" s="34"/>
      <c r="P21" s="115" t="str">
        <f>VLOOKUP(C21,'Train Runs'!$A$13:$AE$9997,31,0)</f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Q21" s="119" t="str">
        <f>VLOOKUP(C21,'Train Runs'!$A$13:$AE$9997,22,0)</f>
        <v>https://search-rtdc-monitor-bjffxe2xuh6vdkpspy63sjmuny.us-east-1.es.amazonaws.com/_plugin/kibana/#/discover/Steve-Slow-Train-Analysis-(2080s-and-2083s)?_g=(refreshInterval:(display:Off,section:0,value:0),time:(from:'2016-08-18 11:52:04-0600',mode:absolute,to:'2016-08-18 14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21" s="122" t="str">
        <f t="shared" si="0"/>
        <v>"C:\Program Files (x86)\AstroGrep\AstroGrep.exe" /spath="%USERPROFILE%\AppData\Local\Temp\OnboardLogs" /stypes="*4027*201608181*" /stext=" 19:.+((SYSTEM_STATE.+slice.+state.+changed )|(ment ac)|(system.+state.+changed )|(\|lc)|(penalty)|(\[timeout)|(PRM\|1\|D)|(kpr)|(kdp))" /e /r /s</v>
      </c>
      <c r="S21" s="9" t="str">
        <f t="shared" si="1"/>
        <v>4027</v>
      </c>
      <c r="T21" s="39">
        <f t="shared" si="2"/>
        <v>42600.814710648148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42600.3049537037</v>
      </c>
      <c r="B22" s="34" t="s">
        <v>194</v>
      </c>
      <c r="C22" s="34" t="s">
        <v>323</v>
      </c>
      <c r="D22" s="34" t="s">
        <v>116</v>
      </c>
      <c r="E22" s="34" t="s">
        <v>56</v>
      </c>
      <c r="F22" s="50">
        <v>700</v>
      </c>
      <c r="G22" s="50">
        <v>750</v>
      </c>
      <c r="H22" s="50">
        <v>178533</v>
      </c>
      <c r="I22" s="34" t="s">
        <v>57</v>
      </c>
      <c r="J22" s="50">
        <v>183829</v>
      </c>
      <c r="K22" s="34" t="s">
        <v>53</v>
      </c>
      <c r="L22" s="97" t="str">
        <f>VLOOKUP(C22,'Trips&amp;Operators'!$C$1:$E$9999,3,0)</f>
        <v>STRICKLAND</v>
      </c>
      <c r="M22" s="141" t="s">
        <v>89</v>
      </c>
      <c r="N22" s="10"/>
      <c r="O22" s="34"/>
      <c r="P22" s="115" t="str">
        <f>VLOOKUP(C22,'Train Runs'!$A$13:$AE$9997,31,0)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Q22" s="119" t="str">
        <f>VLOOKUP(C22,'Train Runs'!$A$13:$AE$9997,22,0)</f>
        <v>https://search-rtdc-monitor-bjffxe2xuh6vdkpspy63sjmuny.us-east-1.es.amazonaws.com/_plugin/kibana/#/discover/Steve-Slow-Train-Analysis-(2080s-and-2083s)?_g=(refreshInterval:(display:Off,section:0,value:0),time:(from:'2016-08-18 06:03:50-0600',mode:absolute,to:'2016-08-18 08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2" s="122" t="str">
        <f t="shared" si="0"/>
        <v>"C:\Program Files (x86)\AstroGrep\AstroGrep.exe" /spath="%USERPROFILE%\AppData\Local\Temp\OnboardLogs" /stypes="*4008*201608181*" /stext=" 13:.+((SYSTEM_STATE.+slice.+state.+changed )|(ment ac)|(system.+state.+changed )|(\|lc)|(penalty)|(\[timeout)|(PRM\|1\|D)|(kpr)|(kdp))" /e /r /s</v>
      </c>
      <c r="S22" s="9" t="str">
        <f t="shared" si="1"/>
        <v>4008</v>
      </c>
      <c r="T22" s="39">
        <f t="shared" si="2"/>
        <v>42600.5549537037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42600.304780092592</v>
      </c>
      <c r="B23" s="34" t="s">
        <v>308</v>
      </c>
      <c r="C23" s="34" t="s">
        <v>322</v>
      </c>
      <c r="D23" s="34" t="s">
        <v>49</v>
      </c>
      <c r="E23" s="34" t="s">
        <v>56</v>
      </c>
      <c r="F23" s="50">
        <v>550</v>
      </c>
      <c r="G23" s="50">
        <v>775</v>
      </c>
      <c r="H23" s="50">
        <v>218248</v>
      </c>
      <c r="I23" s="34" t="s">
        <v>57</v>
      </c>
      <c r="J23" s="50">
        <v>222090</v>
      </c>
      <c r="K23" s="34" t="s">
        <v>52</v>
      </c>
      <c r="L23" s="97" t="str">
        <f>VLOOKUP(C23,'Trips&amp;Operators'!$C$1:$E$9999,3,0)</f>
        <v>STARKS</v>
      </c>
      <c r="M23" s="141" t="s">
        <v>89</v>
      </c>
      <c r="N23" s="10"/>
      <c r="O23" s="34"/>
      <c r="P23" s="115" t="str">
        <f>VLOOKUP(C23,'Train Runs'!$A$13:$AE$9997,31,0)</f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Q23" s="119" t="str">
        <f>VLOOKUP(C23,'Train Runs'!$A$13:$AE$9997,22,0)</f>
        <v>https://search-rtdc-monitor-bjffxe2xuh6vdkpspy63sjmuny.us-east-1.es.amazonaws.com/_plugin/kibana/#/discover/Steve-Slow-Train-Analysis-(2080s-and-2083s)?_g=(refreshInterval:(display:Off,section:0,value:0),time:(from:'2016-08-18 05:41:55-0600',mode:absolute,to:'2016-08-18 08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3" s="122" t="str">
        <f t="shared" si="0"/>
        <v>"C:\Program Files (x86)\AstroGrep\AstroGrep.exe" /spath="%USERPROFILE%\AppData\Local\Temp\OnboardLogs" /stypes="*4025*201608181*" /stext=" 13:.+((SYSTEM_STATE.+slice.+state.+changed )|(ment ac)|(system.+state.+changed )|(\|lc)|(penalty)|(\[timeout)|(PRM\|1\|D)|(kpr)|(kdp))" /e /r /s</v>
      </c>
      <c r="S23" s="9" t="str">
        <f t="shared" si="1"/>
        <v>4025</v>
      </c>
      <c r="T23" s="39">
        <f t="shared" si="2"/>
        <v>42600.554780092592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42600.450682870367</v>
      </c>
      <c r="B24" s="34" t="s">
        <v>308</v>
      </c>
      <c r="C24" s="34" t="s">
        <v>334</v>
      </c>
      <c r="D24" s="34" t="s">
        <v>49</v>
      </c>
      <c r="E24" s="34" t="s">
        <v>56</v>
      </c>
      <c r="F24" s="50">
        <v>550</v>
      </c>
      <c r="G24" s="50">
        <v>719</v>
      </c>
      <c r="H24" s="50">
        <v>218403</v>
      </c>
      <c r="I24" s="34" t="s">
        <v>57</v>
      </c>
      <c r="J24" s="50">
        <v>222090</v>
      </c>
      <c r="K24" s="34" t="s">
        <v>52</v>
      </c>
      <c r="L24" s="97" t="str">
        <f>VLOOKUP(C24,'Trips&amp;Operators'!$C$1:$E$9999,3,0)</f>
        <v>STARKS</v>
      </c>
      <c r="M24" s="141" t="s">
        <v>89</v>
      </c>
      <c r="N24" s="10"/>
      <c r="O24" s="34"/>
      <c r="P24" s="115" t="str">
        <f>VLOOKUP(C24,'Train Runs'!$A$13:$AE$9997,31,0)</f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Q24" s="119" t="str">
        <f>VLOOKUP(C24,'Train Runs'!$A$13:$AE$9997,22,0)</f>
        <v>https://search-rtdc-monitor-bjffxe2xuh6vdkpspy63sjmuny.us-east-1.es.amazonaws.com/_plugin/kibana/#/discover/Steve-Slow-Train-Analysis-(2080s-and-2083s)?_g=(refreshInterval:(display:Off,section:0,value:0),time:(from:'2016-08-18 09:09:35-0600',mode:absolute,to:'2016-08-18 11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4" s="122" t="str">
        <f t="shared" si="0"/>
        <v>"C:\Program Files (x86)\AstroGrep\AstroGrep.exe" /spath="%USERPROFILE%\AppData\Local\Temp\OnboardLogs" /stypes="*4025*201608181*" /stext=" 16:.+((SYSTEM_STATE.+slice.+state.+changed )|(ment ac)|(system.+state.+changed )|(\|lc)|(penalty)|(\[timeout)|(PRM\|1\|D)|(kpr)|(kdp))" /e /r /s</v>
      </c>
      <c r="S24" s="9" t="str">
        <f t="shared" si="1"/>
        <v>4025</v>
      </c>
      <c r="T24" s="39">
        <f t="shared" si="2"/>
        <v>42600.700682870367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42600.40016203704</v>
      </c>
      <c r="B25" s="34" t="s">
        <v>166</v>
      </c>
      <c r="C25" s="34" t="s">
        <v>332</v>
      </c>
      <c r="D25" s="34" t="s">
        <v>49</v>
      </c>
      <c r="E25" s="34" t="s">
        <v>56</v>
      </c>
      <c r="F25" s="50">
        <v>350</v>
      </c>
      <c r="G25" s="50">
        <v>401</v>
      </c>
      <c r="H25" s="50">
        <v>223983</v>
      </c>
      <c r="I25" s="34" t="s">
        <v>57</v>
      </c>
      <c r="J25" s="50">
        <v>224578</v>
      </c>
      <c r="K25" s="34" t="s">
        <v>52</v>
      </c>
      <c r="L25" s="97" t="str">
        <f>VLOOKUP(C25,'Trips&amp;Operators'!$C$1:$E$9999,3,0)</f>
        <v>BRANNON</v>
      </c>
      <c r="M25" s="141" t="s">
        <v>89</v>
      </c>
      <c r="N25" s="10"/>
      <c r="O25" s="34"/>
      <c r="P25" s="115" t="str">
        <f>VLOOKUP(C25,'Train Runs'!$A$13:$AE$9997,31,0)</f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Q25" s="119" t="str">
        <f>VLOOKUP(C25,'Train Runs'!$A$13:$AE$9997,22,0)</f>
        <v>https://search-rtdc-monitor-bjffxe2xuh6vdkpspy63sjmuny.us-east-1.es.amazonaws.com/_plugin/kibana/#/discover/Steve-Slow-Train-Analysis-(2080s-and-2083s)?_g=(refreshInterval:(display:Off,section:0,value:0),time:(from:'2016-08-18 07:57:59-0600',mode:absolute,to:'2016-08-18 10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5" s="122" t="str">
        <f t="shared" si="0"/>
        <v>"C:\Program Files (x86)\AstroGrep\AstroGrep.exe" /spath="%USERPROFILE%\AppData\Local\Temp\OnboardLogs" /stypes="*4042*201608181*" /stext=" 15:.+((SYSTEM_STATE.+slice.+state.+changed )|(ment ac)|(system.+state.+changed )|(\|lc)|(penalty)|(\[timeout)|(PRM\|1\|D)|(kpr)|(kdp))" /e /r /s</v>
      </c>
      <c r="S25" s="9" t="str">
        <f t="shared" si="1"/>
        <v>4042</v>
      </c>
      <c r="T25" s="39">
        <f t="shared" si="2"/>
        <v>42600.65016203704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42600.673634259256</v>
      </c>
      <c r="B26" s="34" t="s">
        <v>165</v>
      </c>
      <c r="C26" s="34" t="s">
        <v>348</v>
      </c>
      <c r="D26" s="34" t="s">
        <v>49</v>
      </c>
      <c r="E26" s="34" t="s">
        <v>54</v>
      </c>
      <c r="F26" s="50">
        <v>0</v>
      </c>
      <c r="G26" s="50">
        <v>187</v>
      </c>
      <c r="H26" s="50">
        <v>36921</v>
      </c>
      <c r="I26" s="34" t="s">
        <v>55</v>
      </c>
      <c r="J26" s="50">
        <v>36657</v>
      </c>
      <c r="K26" s="34" t="s">
        <v>53</v>
      </c>
      <c r="L26" s="97" t="str">
        <f>VLOOKUP(C26,'Trips&amp;Operators'!$C$1:$E$9999,3,0)</f>
        <v>SANTIZO</v>
      </c>
      <c r="M26" s="141" t="s">
        <v>88</v>
      </c>
      <c r="N26" s="10" t="s">
        <v>231</v>
      </c>
      <c r="O26" s="34"/>
      <c r="P26" s="115" t="str">
        <f>VLOOKUP(C26,'Train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26" s="119" t="str">
        <f>VLOOKUP(C26,'Train Runs'!$A$13:$AE$9997,22,0)</f>
        <v>https://search-rtdc-monitor-bjffxe2xuh6vdkpspy63sjmuny.us-east-1.es.amazonaws.com/_plugin/kibana/#/discover/Steve-Slow-Train-Analysis-(2080s-and-2083s)?_g=(refreshInterval:(display:Off,section:0,value:0),time:(from:'2016-08-18 14:23:25-0600',mode:absolute,to:'2016-08-18 17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6" s="122" t="str">
        <f t="shared" si="0"/>
        <v>"C:\Program Files (x86)\AstroGrep\AstroGrep.exe" /spath="%USERPROFILE%\AppData\Local\Temp\OnboardLogs" /stypes="*4028*201608182*" /stext=" 22:.+((SYSTEM_STATE.+slice.+state.+changed )|(ment ac)|(system.+state.+changed )|(\|lc)|(penalty)|(\[timeout)|(PRM\|1\|D)|(kpr)|(kdp))" /e /r /s</v>
      </c>
      <c r="S26" s="9" t="str">
        <f t="shared" si="1"/>
        <v>4028</v>
      </c>
      <c r="T26" s="39">
        <f t="shared" si="2"/>
        <v>42600.923634259256</v>
      </c>
      <c r="U26" s="53" t="str">
        <f t="shared" si="3"/>
        <v>EC</v>
      </c>
      <c r="V26" s="53" t="str">
        <f t="shared" si="4"/>
        <v>KEEP</v>
      </c>
      <c r="W26" s="24" t="s">
        <v>687</v>
      </c>
    </row>
    <row r="27" spans="1:24" x14ac:dyDescent="0.25">
      <c r="A27" s="39">
        <v>42600.39502314815</v>
      </c>
      <c r="B27" s="34" t="s">
        <v>330</v>
      </c>
      <c r="C27" s="34" t="s">
        <v>331</v>
      </c>
      <c r="D27" s="34" t="s">
        <v>49</v>
      </c>
      <c r="E27" s="34" t="s">
        <v>54</v>
      </c>
      <c r="F27" s="50">
        <v>0</v>
      </c>
      <c r="G27" s="50">
        <v>375</v>
      </c>
      <c r="H27" s="50">
        <v>62302</v>
      </c>
      <c r="I27" s="34" t="s">
        <v>55</v>
      </c>
      <c r="J27" s="50">
        <v>63995</v>
      </c>
      <c r="K27" s="34" t="s">
        <v>52</v>
      </c>
      <c r="L27" s="97" t="str">
        <f>VLOOKUP(C27,'Trips&amp;Operators'!$C$1:$E$9999,3,0)</f>
        <v>SPECTOR</v>
      </c>
      <c r="M27" s="141" t="s">
        <v>88</v>
      </c>
      <c r="N27" s="10" t="s">
        <v>231</v>
      </c>
      <c r="O27" s="34"/>
      <c r="P27" s="115" t="str">
        <f>VLOOKUP(C27,'Train Runs'!$A$13:$AE$9997,31,0)</f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Q27" s="119" t="str">
        <f>VLOOKUP(C27,'Train Runs'!$A$13:$AE$9997,22,0)</f>
        <v>https://search-rtdc-monitor-bjffxe2xuh6vdkpspy63sjmuny.us-east-1.es.amazonaws.com/_plugin/kibana/#/discover/Steve-Slow-Train-Analysis-(2080s-and-2083s)?_g=(refreshInterval:(display:Off,section:0,value:0),time:(from:'2016-08-18 08:09:48-0600',mode:absolute,to:'2016-08-18 10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27" s="122" t="str">
        <f t="shared" si="0"/>
        <v>"C:\Program Files (x86)\AstroGrep\AstroGrep.exe" /spath="%USERPROFILE%\AppData\Local\Temp\OnboardLogs" /stypes="*4044*201608181*" /stext=" 15:.+((SYSTEM_STATE.+slice.+state.+changed )|(ment ac)|(system.+state.+changed )|(\|lc)|(penalty)|(\[timeout)|(PRM\|1\|D)|(kpr)|(kdp))" /e /r /s</v>
      </c>
      <c r="S27" s="9" t="str">
        <f t="shared" si="1"/>
        <v>4044</v>
      </c>
      <c r="T27" s="39">
        <f t="shared" si="2"/>
        <v>42600.64502314815</v>
      </c>
      <c r="U27" s="53" t="str">
        <f t="shared" si="3"/>
        <v>EC</v>
      </c>
      <c r="V27" s="53" t="str">
        <f t="shared" si="4"/>
        <v>KEEP</v>
      </c>
      <c r="W27" s="24" t="s">
        <v>688</v>
      </c>
    </row>
    <row r="28" spans="1:24" x14ac:dyDescent="0.25">
      <c r="A28" s="39">
        <v>42600.236377314817</v>
      </c>
      <c r="B28" s="34" t="s">
        <v>194</v>
      </c>
      <c r="C28" s="34" t="s">
        <v>317</v>
      </c>
      <c r="D28" s="34" t="s">
        <v>49</v>
      </c>
      <c r="E28" s="34" t="s">
        <v>54</v>
      </c>
      <c r="F28" s="50">
        <v>0</v>
      </c>
      <c r="G28" s="50">
        <v>525</v>
      </c>
      <c r="H28" s="50">
        <v>130602</v>
      </c>
      <c r="I28" s="34" t="s">
        <v>55</v>
      </c>
      <c r="J28" s="50">
        <v>127587</v>
      </c>
      <c r="K28" s="34" t="s">
        <v>53</v>
      </c>
      <c r="L28" s="97" t="str">
        <f>VLOOKUP(C28,'Trips&amp;Operators'!$C$1:$E$9999,3,0)</f>
        <v>STRICKLAND</v>
      </c>
      <c r="M28" s="141" t="s">
        <v>89</v>
      </c>
      <c r="N28" s="10" t="s">
        <v>685</v>
      </c>
      <c r="O28" s="34"/>
      <c r="P28" s="115" t="str">
        <f>VLOOKUP(C28,'Train Runs'!$A$13:$AE$9997,31,0)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Q28" s="119" t="str">
        <f>VLOOKUP(C28,'Train Runs'!$A$13:$AE$9997,22,0)</f>
        <v>https://search-rtdc-monitor-bjffxe2xuh6vdkpspy63sjmuny.us-east-1.es.amazonaws.com/_plugin/kibana/#/discover/Steve-Slow-Train-Analysis-(2080s-and-2083s)?_g=(refreshInterval:(display:Off,section:0,value:0),time:(from:'2016-08-18 04:22:13-0600',mode:absolute,to:'2016-08-18 07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8" s="122" t="str">
        <f t="shared" si="0"/>
        <v>"C:\Program Files (x86)\AstroGrep\AstroGrep.exe" /spath="%USERPROFILE%\AppData\Local\Temp\OnboardLogs" /stypes="*4008*201608181*" /stext=" 11:.+((SYSTEM_STATE.+slice.+state.+changed )|(ment ac)|(system.+state.+changed )|(\|lc)|(penalty)|(\[timeout)|(PRM\|1\|D)|(kpr)|(kdp))" /e /r /s</v>
      </c>
      <c r="S28" s="9" t="str">
        <f t="shared" si="1"/>
        <v>4008</v>
      </c>
      <c r="T28" s="39">
        <f t="shared" si="2"/>
        <v>42600.486377314817</v>
      </c>
      <c r="U28" s="53" t="str">
        <f t="shared" si="3"/>
        <v>EC</v>
      </c>
      <c r="V28" s="53" t="str">
        <f t="shared" si="4"/>
        <v>KEEP</v>
      </c>
      <c r="W28" s="24"/>
    </row>
    <row r="29" spans="1:24" x14ac:dyDescent="0.25">
      <c r="A29" s="39">
        <v>42600.735659722224</v>
      </c>
      <c r="B29" s="34" t="s">
        <v>165</v>
      </c>
      <c r="C29" s="34" t="s">
        <v>351</v>
      </c>
      <c r="D29" s="34" t="s">
        <v>49</v>
      </c>
      <c r="E29" s="34" t="s">
        <v>54</v>
      </c>
      <c r="F29" s="50">
        <v>0</v>
      </c>
      <c r="G29" s="50">
        <v>402</v>
      </c>
      <c r="H29" s="50">
        <v>129418</v>
      </c>
      <c r="I29" s="34" t="s">
        <v>55</v>
      </c>
      <c r="J29" s="50">
        <v>127587</v>
      </c>
      <c r="K29" s="34" t="s">
        <v>53</v>
      </c>
      <c r="L29" s="97" t="str">
        <f>VLOOKUP(C29,'Trips&amp;Operators'!$C$1:$E$9999,3,0)</f>
        <v>SANTIZO</v>
      </c>
      <c r="M29" s="141" t="s">
        <v>89</v>
      </c>
      <c r="N29" s="10" t="s">
        <v>685</v>
      </c>
      <c r="O29" s="34"/>
      <c r="P29" s="115" t="str">
        <f>VLOOKUP(C29,'Train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29" s="119" t="str">
        <f>VLOOKUP(C29,'Train Runs'!$A$13:$AE$9997,22,0)</f>
        <v>https://search-rtdc-monitor-bjffxe2xuh6vdkpspy63sjmuny.us-east-1.es.amazonaws.com/_plugin/kibana/#/discover/Steve-Slow-Train-Analysis-(2080s-and-2083s)?_g=(refreshInterval:(display:Off,section:0,value:0),time:(from:'2016-08-18 16:14:45-0600',mode:absolute,to:'2016-08-18 19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9" s="122" t="str">
        <f t="shared" si="0"/>
        <v>"C:\Program Files (x86)\AstroGrep\AstroGrep.exe" /spath="%USERPROFILE%\AppData\Local\Temp\OnboardLogs" /stypes="*4028*201608182*" /stext=" 23:.+((SYSTEM_STATE.+slice.+state.+changed )|(ment ac)|(system.+state.+changed )|(\|lc)|(penalty)|(\[timeout)|(PRM\|1\|D)|(kpr)|(kdp))" /e /r /s</v>
      </c>
      <c r="S29" s="9" t="str">
        <f t="shared" si="1"/>
        <v>4028</v>
      </c>
      <c r="T29" s="39">
        <f t="shared" si="2"/>
        <v>42600.985659722224</v>
      </c>
      <c r="U29" s="53" t="str">
        <f t="shared" si="3"/>
        <v>EC</v>
      </c>
      <c r="V29" s="53" t="str">
        <f t="shared" si="4"/>
        <v>KEEP</v>
      </c>
      <c r="W29" s="24"/>
      <c r="X29" s="24"/>
    </row>
    <row r="30" spans="1:24" x14ac:dyDescent="0.25">
      <c r="A30" s="39">
        <v>42600.808263888888</v>
      </c>
      <c r="B30" s="34" t="s">
        <v>165</v>
      </c>
      <c r="C30" s="34" t="s">
        <v>358</v>
      </c>
      <c r="D30" s="34" t="s">
        <v>49</v>
      </c>
      <c r="E30" s="34" t="s">
        <v>54</v>
      </c>
      <c r="F30" s="50">
        <v>0</v>
      </c>
      <c r="G30" s="50">
        <v>659</v>
      </c>
      <c r="H30" s="50">
        <v>132560</v>
      </c>
      <c r="I30" s="34" t="s">
        <v>55</v>
      </c>
      <c r="J30" s="50">
        <v>127587</v>
      </c>
      <c r="K30" s="34" t="s">
        <v>53</v>
      </c>
      <c r="L30" s="97" t="str">
        <f>VLOOKUP(C30,'Trips&amp;Operators'!$C$1:$E$9999,3,0)</f>
        <v>LEVIN</v>
      </c>
      <c r="M30" s="141" t="s">
        <v>89</v>
      </c>
      <c r="N30" s="10" t="s">
        <v>685</v>
      </c>
      <c r="O30" s="34"/>
      <c r="P30" s="115" t="str">
        <f>VLOOKUP(C30,'Train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30" s="119" t="str">
        <f>VLOOKUP(C30,'Train Runs'!$A$13:$AE$9997,22,0)</f>
        <v>https://search-rtdc-monitor-bjffxe2xuh6vdkpspy63sjmuny.us-east-1.es.amazonaws.com/_plugin/kibana/#/discover/Steve-Slow-Train-Analysis-(2080s-and-2083s)?_g=(refreshInterval:(display:Off,section:0,value:0),time:(from:'2016-08-18 18:02:10-0600',mode:absolute,to:'2016-08-18 20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30" s="122" t="str">
        <f t="shared" si="0"/>
        <v>"C:\Program Files (x86)\AstroGrep\AstroGrep.exe" /spath="%USERPROFILE%\AppData\Local\Temp\OnboardLogs" /stypes="*4028*201608190*" /stext=" 01:.+((SYSTEM_STATE.+slice.+state.+changed )|(ment ac)|(system.+state.+changed )|(\|lc)|(penalty)|(\[timeout)|(PRM\|1\|D)|(kpr)|(kdp))" /e /r /s</v>
      </c>
      <c r="S30" s="9" t="str">
        <f t="shared" si="1"/>
        <v>4028</v>
      </c>
      <c r="T30" s="39">
        <f t="shared" si="2"/>
        <v>42601.058263888888</v>
      </c>
      <c r="U30" s="53" t="str">
        <f t="shared" si="3"/>
        <v>EC</v>
      </c>
      <c r="V30" s="53" t="str">
        <f t="shared" si="4"/>
        <v>KEEP</v>
      </c>
      <c r="W30" s="24"/>
      <c r="X30" s="24"/>
    </row>
    <row r="31" spans="1:24" x14ac:dyDescent="0.25">
      <c r="A31" s="39">
        <v>42600.797743055555</v>
      </c>
      <c r="B31" s="34" t="s">
        <v>208</v>
      </c>
      <c r="C31" s="34" t="s">
        <v>357</v>
      </c>
      <c r="D31" s="34" t="s">
        <v>49</v>
      </c>
      <c r="E31" s="34" t="s">
        <v>54</v>
      </c>
      <c r="F31" s="50">
        <v>0</v>
      </c>
      <c r="G31" s="50">
        <v>724</v>
      </c>
      <c r="H31" s="50">
        <v>144248</v>
      </c>
      <c r="I31" s="34" t="s">
        <v>55</v>
      </c>
      <c r="J31" s="50">
        <v>138851</v>
      </c>
      <c r="K31" s="34" t="s">
        <v>53</v>
      </c>
      <c r="L31" s="97" t="str">
        <f>VLOOKUP(C31,'Trips&amp;Operators'!$C$1:$E$9999,3,0)</f>
        <v>BONDS</v>
      </c>
      <c r="M31" s="141" t="s">
        <v>88</v>
      </c>
      <c r="N31" s="10" t="s">
        <v>231</v>
      </c>
      <c r="O31" s="34"/>
      <c r="P31" s="115" t="str">
        <f>VLOOKUP(C31,'Train Runs'!$A$13:$AE$9997,31,0)</f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Q31" s="119" t="str">
        <f>VLOOKUP(C31,'Train Runs'!$A$13:$AE$9997,22,0)</f>
        <v>https://search-rtdc-monitor-bjffxe2xuh6vdkpspy63sjmuny.us-east-1.es.amazonaws.com/_plugin/kibana/#/discover/Steve-Slow-Train-Analysis-(2080s-and-2083s)?_g=(refreshInterval:(display:Off,section:0,value:0),time:(from:'2016-08-18 17:43:53-0600',mode:absolute,to:'2016-08-18 20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31" s="122" t="str">
        <f t="shared" si="0"/>
        <v>"C:\Program Files (x86)\AstroGrep\AstroGrep.exe" /spath="%USERPROFILE%\AppData\Local\Temp\OnboardLogs" /stypes="*4043*201608190*" /stext=" 01:.+((SYSTEM_STATE.+slice.+state.+changed )|(ment ac)|(system.+state.+changed )|(\|lc)|(penalty)|(\[timeout)|(PRM\|1\|D)|(kpr)|(kdp))" /e /r /s</v>
      </c>
      <c r="S31" s="9" t="str">
        <f t="shared" si="1"/>
        <v>4043</v>
      </c>
      <c r="T31" s="39">
        <f t="shared" si="2"/>
        <v>42601.047743055555</v>
      </c>
      <c r="U31" s="53" t="str">
        <f t="shared" si="3"/>
        <v>EC</v>
      </c>
      <c r="V31" s="53" t="str">
        <f t="shared" si="4"/>
        <v>KEEP</v>
      </c>
      <c r="W31" s="24" t="s">
        <v>689</v>
      </c>
    </row>
    <row r="32" spans="1:24" ht="15" customHeight="1" x14ac:dyDescent="0.25">
      <c r="A32" s="39">
        <v>42600.532696759263</v>
      </c>
      <c r="B32" s="34" t="s">
        <v>213</v>
      </c>
      <c r="C32" s="34" t="s">
        <v>340</v>
      </c>
      <c r="D32" s="34" t="s">
        <v>49</v>
      </c>
      <c r="E32" s="34" t="s">
        <v>54</v>
      </c>
      <c r="F32" s="50">
        <v>0</v>
      </c>
      <c r="G32" s="50">
        <v>402</v>
      </c>
      <c r="H32" s="50">
        <v>193776</v>
      </c>
      <c r="I32" s="34" t="s">
        <v>55</v>
      </c>
      <c r="J32" s="50">
        <v>191723</v>
      </c>
      <c r="K32" s="34" t="s">
        <v>53</v>
      </c>
      <c r="L32" s="97" t="str">
        <f>VLOOKUP(C32,'Trips&amp;Operators'!$C$1:$E$9999,3,0)</f>
        <v>NEWELL</v>
      </c>
      <c r="M32" s="141" t="s">
        <v>89</v>
      </c>
      <c r="N32" s="10" t="s">
        <v>686</v>
      </c>
      <c r="O32" s="34"/>
      <c r="P32" s="115" t="str">
        <f>VLOOKUP(C32,'Train Runs'!$A$13:$AE$9997,31,0)</f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Q32" s="119" t="str">
        <f>VLOOKUP(C32,'Train Runs'!$A$13:$AE$9997,22,0)</f>
        <v>https://search-rtdc-monitor-bjffxe2xuh6vdkpspy63sjmuny.us-east-1.es.amazonaws.com/_plugin/kibana/#/discover/Steve-Slow-Train-Analysis-(2080s-and-2083s)?_g=(refreshInterval:(display:Off,section:0,value:0),time:(from:'2016-08-18 11:22:29-0600',mode:absolute,to:'2016-08-18 14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2" s="122" t="str">
        <f t="shared" si="0"/>
        <v>"C:\Program Files (x86)\AstroGrep\AstroGrep.exe" /spath="%USERPROFILE%\AppData\Local\Temp\OnboardLogs" /stypes="*4010*201608181*" /stext=" 18:.+((SYSTEM_STATE.+slice.+state.+changed )|(ment ac)|(system.+state.+changed )|(\|lc)|(penalty)|(\[timeout)|(PRM\|1\|D)|(kpr)|(kdp))" /e /r /s</v>
      </c>
      <c r="S32" s="9" t="str">
        <f t="shared" si="1"/>
        <v>4010</v>
      </c>
      <c r="T32" s="39">
        <f t="shared" si="2"/>
        <v>42600.782696759263</v>
      </c>
      <c r="U32" s="53" t="str">
        <f t="shared" si="3"/>
        <v>EC</v>
      </c>
      <c r="V32" s="53" t="str">
        <f t="shared" si="4"/>
        <v>KEEP</v>
      </c>
    </row>
    <row r="33" spans="1:23" x14ac:dyDescent="0.25">
      <c r="A33" s="39">
        <v>42600.505497685182</v>
      </c>
      <c r="B33" s="34" t="s">
        <v>157</v>
      </c>
      <c r="C33" s="34" t="s">
        <v>339</v>
      </c>
      <c r="D33" s="34" t="s">
        <v>49</v>
      </c>
      <c r="E33" s="34" t="s">
        <v>50</v>
      </c>
      <c r="F33" s="50">
        <v>0</v>
      </c>
      <c r="G33" s="50">
        <v>112</v>
      </c>
      <c r="H33" s="50">
        <v>442</v>
      </c>
      <c r="I33" s="34" t="s">
        <v>51</v>
      </c>
      <c r="J33" s="50">
        <v>1</v>
      </c>
      <c r="K33" s="34" t="s">
        <v>53</v>
      </c>
      <c r="L33" s="97" t="str">
        <f>VLOOKUP(C33,'Trips&amp;Operators'!$C$1:$E$9999,3,0)</f>
        <v>YORK</v>
      </c>
      <c r="M33" s="141" t="s">
        <v>89</v>
      </c>
      <c r="N33" s="10"/>
      <c r="O33" s="34"/>
      <c r="P33" s="115" t="str">
        <f>VLOOKUP(C33,'Train Runs'!$A$13:$AE$9997,31,0)</f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Q33" s="119" t="str">
        <f>VLOOKUP(C33,'Train Runs'!$A$13:$AE$9997,22,0)</f>
        <v>https://search-rtdc-monitor-bjffxe2xuh6vdkpspy63sjmuny.us-east-1.es.amazonaws.com/_plugin/kibana/#/discover/Steve-Slow-Train-Analysis-(2080s-and-2083s)?_g=(refreshInterval:(display:Off,section:0,value:0),time:(from:'2016-08-18 10:07:41-0600',mode:absolute,to:'2016-08-18 13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3" s="122" t="str">
        <f t="shared" si="0"/>
        <v>"C:\Program Files (x86)\AstroGrep\AstroGrep.exe" /spath="%USERPROFILE%\AppData\Local\Temp\OnboardLogs" /stypes="*4037*201608181*" /stext=" 18:.+((SYSTEM_STATE.+slice.+state.+changed )|(ment ac)|(system.+state.+changed )|(\|lc)|(penalty)|(\[timeout)|(PRM\|1\|D)|(kpr)|(kdp))" /e /r /s</v>
      </c>
      <c r="S33" s="9" t="str">
        <f t="shared" si="1"/>
        <v>4037</v>
      </c>
      <c r="T33" s="39">
        <f t="shared" si="2"/>
        <v>42600.755497685182</v>
      </c>
      <c r="U33" s="53" t="str">
        <f t="shared" si="3"/>
        <v>EC</v>
      </c>
      <c r="V33" s="53" t="str">
        <f t="shared" si="4"/>
        <v>KEEP</v>
      </c>
    </row>
    <row r="34" spans="1:23" x14ac:dyDescent="0.25">
      <c r="A34" s="39">
        <v>42600.505972222221</v>
      </c>
      <c r="B34" s="34" t="s">
        <v>157</v>
      </c>
      <c r="C34" s="34" t="s">
        <v>339</v>
      </c>
      <c r="D34" s="34" t="s">
        <v>49</v>
      </c>
      <c r="E34" s="34" t="s">
        <v>50</v>
      </c>
      <c r="F34" s="50">
        <v>0</v>
      </c>
      <c r="G34" s="50">
        <v>42</v>
      </c>
      <c r="H34" s="50">
        <v>152</v>
      </c>
      <c r="I34" s="34" t="s">
        <v>51</v>
      </c>
      <c r="J34" s="50">
        <v>1</v>
      </c>
      <c r="K34" s="34" t="s">
        <v>53</v>
      </c>
      <c r="L34" s="97" t="str">
        <f>VLOOKUP(C34,'Trips&amp;Operators'!$C$1:$E$9999,3,0)</f>
        <v>YORK</v>
      </c>
      <c r="M34" s="141" t="s">
        <v>89</v>
      </c>
      <c r="N34" s="10"/>
      <c r="O34" s="34"/>
      <c r="P34" s="115" t="str">
        <f>VLOOKUP(C34,'Train Runs'!$A$13:$AE$9997,31,0)</f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Q34" s="119" t="str">
        <f>VLOOKUP(C34,'Train Runs'!$A$13:$AE$9997,22,0)</f>
        <v>https://search-rtdc-monitor-bjffxe2xuh6vdkpspy63sjmuny.us-east-1.es.amazonaws.com/_plugin/kibana/#/discover/Steve-Slow-Train-Analysis-(2080s-and-2083s)?_g=(refreshInterval:(display:Off,section:0,value:0),time:(from:'2016-08-18 10:07:41-0600',mode:absolute,to:'2016-08-18 13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4" s="122" t="str">
        <f t="shared" si="0"/>
        <v>"C:\Program Files (x86)\AstroGrep\AstroGrep.exe" /spath="%USERPROFILE%\AppData\Local\Temp\OnboardLogs" /stypes="*4037*201608181*" /stext=" 18:.+((SYSTEM_STATE.+slice.+state.+changed )|(ment ac)|(system.+state.+changed )|(\|lc)|(penalty)|(\[timeout)|(PRM\|1\|D)|(kpr)|(kdp))" /e /r /s</v>
      </c>
      <c r="S34" s="9" t="str">
        <f t="shared" si="1"/>
        <v>4037</v>
      </c>
      <c r="T34" s="39">
        <f t="shared" si="2"/>
        <v>42600.755972222221</v>
      </c>
      <c r="U34" s="53" t="str">
        <f t="shared" si="3"/>
        <v>EC</v>
      </c>
      <c r="V34" s="53" t="str">
        <f t="shared" si="4"/>
        <v>KEEP</v>
      </c>
    </row>
    <row r="35" spans="1:23" x14ac:dyDescent="0.25">
      <c r="A35" s="39">
        <v>42600.608148148145</v>
      </c>
      <c r="B35" s="34" t="s">
        <v>165</v>
      </c>
      <c r="C35" s="34" t="s">
        <v>343</v>
      </c>
      <c r="D35" s="34" t="s">
        <v>49</v>
      </c>
      <c r="E35" s="34" t="s">
        <v>50</v>
      </c>
      <c r="F35" s="50">
        <v>0</v>
      </c>
      <c r="G35" s="50">
        <v>76</v>
      </c>
      <c r="H35" s="50">
        <v>256</v>
      </c>
      <c r="I35" s="34" t="s">
        <v>51</v>
      </c>
      <c r="J35" s="50">
        <v>1</v>
      </c>
      <c r="K35" s="34" t="s">
        <v>53</v>
      </c>
      <c r="L35" s="97" t="str">
        <f>VLOOKUP(C35,'Trips&amp;Operators'!$C$1:$E$9999,3,0)</f>
        <v>SANTIZO</v>
      </c>
      <c r="M35" s="141" t="s">
        <v>89</v>
      </c>
      <c r="N35" s="10"/>
      <c r="O35" s="34"/>
      <c r="P35" s="115" t="str">
        <f>VLOOKUP(C35,'Train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35" s="119" t="str">
        <f>VLOOKUP(C35,'Train Runs'!$A$13:$AE$9997,22,0)</f>
        <v>https://search-rtdc-monitor-bjffxe2xuh6vdkpspy63sjmuny.us-east-1.es.amazonaws.com/_plugin/kibana/#/discover/Steve-Slow-Train-Analysis-(2080s-and-2083s)?_g=(refreshInterval:(display:Off,section:0,value:0),time:(from:'2016-08-18 12:43:42-0600',mode:absolute,to:'2016-08-18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35" s="122" t="str">
        <f t="shared" si="0"/>
        <v>"C:\Program Files (x86)\AstroGrep\AstroGrep.exe" /spath="%USERPROFILE%\AppData\Local\Temp\OnboardLogs" /stypes="*4028*201608182*" /stext=" 20:.+((SYSTEM_STATE.+slice.+state.+changed )|(ment ac)|(system.+state.+changed )|(\|lc)|(penalty)|(\[timeout)|(PRM\|1\|D)|(kpr)|(kdp))" /e /r /s</v>
      </c>
      <c r="S35" s="9" t="str">
        <f t="shared" si="1"/>
        <v>4028</v>
      </c>
      <c r="T35" s="39">
        <f t="shared" si="2"/>
        <v>42600.858148148145</v>
      </c>
      <c r="U35" s="53" t="str">
        <f t="shared" si="3"/>
        <v>EC</v>
      </c>
      <c r="V35" s="53" t="str">
        <f t="shared" si="4"/>
        <v>KEEP</v>
      </c>
    </row>
    <row r="36" spans="1:23" x14ac:dyDescent="0.25">
      <c r="A36" s="39">
        <v>42600.639062499999</v>
      </c>
      <c r="B36" s="34" t="s">
        <v>306</v>
      </c>
      <c r="C36" s="34" t="s">
        <v>346</v>
      </c>
      <c r="D36" s="34" t="s">
        <v>49</v>
      </c>
      <c r="E36" s="34" t="s">
        <v>50</v>
      </c>
      <c r="F36" s="50">
        <v>0</v>
      </c>
      <c r="G36" s="50">
        <v>73</v>
      </c>
      <c r="H36" s="50">
        <v>249</v>
      </c>
      <c r="I36" s="34" t="s">
        <v>51</v>
      </c>
      <c r="J36" s="50">
        <v>1</v>
      </c>
      <c r="K36" s="34" t="s">
        <v>53</v>
      </c>
      <c r="L36" s="97" t="str">
        <f>VLOOKUP(C36,'Trips&amp;Operators'!$C$1:$E$9999,3,0)</f>
        <v>STAMBAUGH</v>
      </c>
      <c r="M36" s="141" t="s">
        <v>89</v>
      </c>
      <c r="N36" s="10"/>
      <c r="O36" s="34"/>
      <c r="P36" s="115" t="str">
        <f>VLOOKUP(C36,'Train Runs'!$A$13:$AE$9997,31,0)</f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Q36" s="119" t="str">
        <f>VLOOKUP(C36,'Train Runs'!$A$13:$AE$9997,22,0)</f>
        <v>https://search-rtdc-monitor-bjffxe2xuh6vdkpspy63sjmuny.us-east-1.es.amazonaws.com/_plugin/kibana/#/discover/Steve-Slow-Train-Analysis-(2080s-and-2083s)?_g=(refreshInterval:(display:Off,section:0,value:0),time:(from:'2016-08-18 13:37:59-0600',mode:absolute,to:'2016-08-18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6" s="122" t="str">
        <f t="shared" si="0"/>
        <v>"C:\Program Files (x86)\AstroGrep\AstroGrep.exe" /spath="%USERPROFILE%\AppData\Local\Temp\OnboardLogs" /stypes="*4026*201608182*" /stext=" 21:.+((SYSTEM_STATE.+slice.+state.+changed )|(ment ac)|(system.+state.+changed )|(\|lc)|(penalty)|(\[timeout)|(PRM\|1\|D)|(kpr)|(kdp))" /e /r /s</v>
      </c>
      <c r="S36" s="9" t="str">
        <f t="shared" si="1"/>
        <v>4026</v>
      </c>
      <c r="T36" s="39">
        <f t="shared" si="2"/>
        <v>42600.889062499999</v>
      </c>
      <c r="U36" s="53" t="str">
        <f t="shared" si="3"/>
        <v>EC</v>
      </c>
      <c r="V36" s="53" t="str">
        <f t="shared" si="4"/>
        <v>KEEP</v>
      </c>
    </row>
    <row r="37" spans="1:23" x14ac:dyDescent="0.25">
      <c r="A37" s="39">
        <v>42600.742592592593</v>
      </c>
      <c r="B37" s="34" t="s">
        <v>208</v>
      </c>
      <c r="C37" s="34" t="s">
        <v>352</v>
      </c>
      <c r="D37" s="34" t="s">
        <v>49</v>
      </c>
      <c r="E37" s="34" t="s">
        <v>50</v>
      </c>
      <c r="F37" s="50">
        <v>0</v>
      </c>
      <c r="G37" s="50">
        <v>44</v>
      </c>
      <c r="H37" s="50">
        <v>139</v>
      </c>
      <c r="I37" s="34" t="s">
        <v>51</v>
      </c>
      <c r="J37" s="50">
        <v>1</v>
      </c>
      <c r="K37" s="34" t="s">
        <v>53</v>
      </c>
      <c r="L37" s="97" t="str">
        <f>VLOOKUP(C37,'Trips&amp;Operators'!$C$1:$E$9999,3,0)</f>
        <v>BONDS</v>
      </c>
      <c r="M37" s="141" t="s">
        <v>89</v>
      </c>
      <c r="N37" s="10"/>
      <c r="O37" s="34"/>
      <c r="P37" s="115" t="str">
        <f>VLOOKUP(C37,'Train Runs'!$A$13:$AE$9997,31,0)</f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Q37" s="119" t="str">
        <f>VLOOKUP(C37,'Train Runs'!$A$13:$AE$9997,22,0)</f>
        <v>https://search-rtdc-monitor-bjffxe2xuh6vdkpspy63sjmuny.us-east-1.es.amazonaws.com/_plugin/kibana/#/discover/Steve-Slow-Train-Analysis-(2080s-and-2083s)?_g=(refreshInterval:(display:Off,section:0,value:0),time:(from:'2016-08-18 16:05:12-0600',mode:absolute,to:'2016-08-18 18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37" s="122" t="str">
        <f t="shared" si="0"/>
        <v>"C:\Program Files (x86)\AstroGrep\AstroGrep.exe" /spath="%USERPROFILE%\AppData\Local\Temp\OnboardLogs" /stypes="*4043*201608182*" /stext=" 23:.+((SYSTEM_STATE.+slice.+state.+changed )|(ment ac)|(system.+state.+changed )|(\|lc)|(penalty)|(\[timeout)|(PRM\|1\|D)|(kpr)|(kdp))" /e /r /s</v>
      </c>
      <c r="S37" s="9" t="str">
        <f t="shared" si="1"/>
        <v>4043</v>
      </c>
      <c r="T37" s="39">
        <f t="shared" si="2"/>
        <v>42600.992592592593</v>
      </c>
      <c r="U37" s="53" t="str">
        <f t="shared" si="3"/>
        <v>EC</v>
      </c>
      <c r="V37" s="53" t="str">
        <f t="shared" si="4"/>
        <v>KEEP</v>
      </c>
    </row>
    <row r="38" spans="1:23" x14ac:dyDescent="0.25">
      <c r="A38" s="39">
        <v>42600.764201388891</v>
      </c>
      <c r="B38" s="34" t="s">
        <v>194</v>
      </c>
      <c r="C38" s="34" t="s">
        <v>354</v>
      </c>
      <c r="D38" s="34" t="s">
        <v>49</v>
      </c>
      <c r="E38" s="34" t="s">
        <v>50</v>
      </c>
      <c r="F38" s="50">
        <v>0</v>
      </c>
      <c r="G38" s="50">
        <v>67</v>
      </c>
      <c r="H38" s="50">
        <v>232</v>
      </c>
      <c r="I38" s="34" t="s">
        <v>51</v>
      </c>
      <c r="J38" s="50">
        <v>1</v>
      </c>
      <c r="K38" s="34" t="s">
        <v>53</v>
      </c>
      <c r="L38" s="97" t="str">
        <f>VLOOKUP(C38,'Trips&amp;Operators'!$C$1:$E$9999,3,0)</f>
        <v>MOSES</v>
      </c>
      <c r="M38" s="141" t="s">
        <v>89</v>
      </c>
      <c r="N38" s="10"/>
      <c r="O38" s="34"/>
      <c r="P38" s="115" t="str">
        <f>VLOOKUP(C38,'Train Runs'!$A$13:$AE$9997,31,0)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Q38" s="119" t="str">
        <f>VLOOKUP(C38,'Train Runs'!$A$13:$AE$9997,22,0)</f>
        <v>https://search-rtdc-monitor-bjffxe2xuh6vdkpspy63sjmuny.us-east-1.es.amazonaws.com/_plugin/kibana/#/discover/Steve-Slow-Train-Analysis-(2080s-and-2083s)?_g=(refreshInterval:(display:Off,section:0,value:0),time:(from:'2016-08-18 16:36:32-0600',mode:absolute,to:'2016-08-18 19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8" s="122" t="str">
        <f t="shared" si="0"/>
        <v>"C:\Program Files (x86)\AstroGrep\AstroGrep.exe" /spath="%USERPROFILE%\AppData\Local\Temp\OnboardLogs" /stypes="*4008*201608190*" /stext=" 00:.+((SYSTEM_STATE.+slice.+state.+changed )|(ment ac)|(system.+state.+changed )|(\|lc)|(penalty)|(\[timeout)|(PRM\|1\|D)|(kpr)|(kdp))" /e /r /s</v>
      </c>
      <c r="S38" s="9" t="str">
        <f t="shared" si="1"/>
        <v>4008</v>
      </c>
      <c r="T38" s="39">
        <f t="shared" si="2"/>
        <v>42601.014201388891</v>
      </c>
      <c r="U38" s="53" t="str">
        <f t="shared" si="3"/>
        <v>EC</v>
      </c>
      <c r="V38" s="53" t="str">
        <f t="shared" si="4"/>
        <v>KEEP</v>
      </c>
    </row>
    <row r="39" spans="1:23" x14ac:dyDescent="0.25">
      <c r="A39" s="39">
        <v>42600.795092592591</v>
      </c>
      <c r="B39" s="34" t="s">
        <v>157</v>
      </c>
      <c r="C39" s="34" t="s">
        <v>356</v>
      </c>
      <c r="D39" s="34" t="s">
        <v>49</v>
      </c>
      <c r="E39" s="34" t="s">
        <v>50</v>
      </c>
      <c r="F39" s="50">
        <v>0</v>
      </c>
      <c r="G39" s="50">
        <v>79</v>
      </c>
      <c r="H39" s="50">
        <v>309</v>
      </c>
      <c r="I39" s="34" t="s">
        <v>51</v>
      </c>
      <c r="J39" s="50">
        <v>1</v>
      </c>
      <c r="K39" s="34" t="s">
        <v>53</v>
      </c>
      <c r="L39" s="97" t="str">
        <f>VLOOKUP(C39,'Trips&amp;Operators'!$C$1:$E$9999,3,0)</f>
        <v>STAMBAUGH</v>
      </c>
      <c r="M39" s="141" t="s">
        <v>89</v>
      </c>
      <c r="N39" s="10"/>
      <c r="O39" s="34"/>
      <c r="P39" s="115" t="str">
        <f>VLOOKUP(C39,'Train Runs'!$A$13:$AE$9997,31,0)</f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Q39" s="119" t="str">
        <f>VLOOKUP(C39,'Train Runs'!$A$13:$AE$9997,22,0)</f>
        <v>https://search-rtdc-monitor-bjffxe2xuh6vdkpspy63sjmuny.us-east-1.es.amazonaws.com/_plugin/kibana/#/discover/Steve-Slow-Train-Analysis-(2080s-and-2083s)?_g=(refreshInterval:(display:Off,section:0,value:0),time:(from:'2016-08-18 17:22:04-0600',mode:absolute,to:'2016-08-18 20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9" s="122" t="str">
        <f t="shared" ref="R39:R55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/stypes="*4037*201608190*" /stext=" 01:.+((SYSTEM_STATE.+slice.+state.+changed )|(ment ac)|(system.+state.+changed )|(\|lc)|(penalty)|(\[timeout)|(PRM\|1\|D)|(kpr)|(kdp))" /e /r /s</v>
      </c>
      <c r="S39" s="9" t="str">
        <f t="shared" ref="S39:S55" si="6">MID(B39,13,4)</f>
        <v>4037</v>
      </c>
      <c r="T39" s="39">
        <f t="shared" ref="T39:T55" si="7">A39+6/24</f>
        <v>42601.045092592591</v>
      </c>
      <c r="U39" s="53" t="str">
        <f t="shared" ref="U39:U55" si="8">IF(VALUE(LEFT(IF(LEN(C39)=6,"0"&amp;C39,C39),2))&lt;=2,"EC",IF(OR(VALUE(LEFT(IF(LEN(C39)=6,"0"&amp;C39,C39),2))=8,VALUE(LEFT(IF(LEN(C39)=6,"0"&amp;C39,C39),2))=18),"NW","Other"))</f>
        <v>EC</v>
      </c>
      <c r="V39" s="53" t="str">
        <f t="shared" ref="V39:V55" si="9">IF(AND(E39="TRACK WARRANT AUTHORITY",G39&lt;10),"OMIT","KEEP")</f>
        <v>KEEP</v>
      </c>
    </row>
    <row r="40" spans="1:23" x14ac:dyDescent="0.25">
      <c r="A40" s="39">
        <v>42600.28800925926</v>
      </c>
      <c r="B40" s="34" t="s">
        <v>309</v>
      </c>
      <c r="C40" s="34" t="s">
        <v>318</v>
      </c>
      <c r="D40" s="34" t="s">
        <v>49</v>
      </c>
      <c r="E40" s="34" t="s">
        <v>50</v>
      </c>
      <c r="F40" s="50">
        <v>0</v>
      </c>
      <c r="G40" s="50">
        <v>72</v>
      </c>
      <c r="H40" s="50">
        <v>233249</v>
      </c>
      <c r="I40" s="34" t="s">
        <v>51</v>
      </c>
      <c r="J40" s="50">
        <v>233491</v>
      </c>
      <c r="K40" s="34" t="s">
        <v>52</v>
      </c>
      <c r="L40" s="97" t="str">
        <f>VLOOKUP(C40,'Trips&amp;Operators'!$C$1:$E$9999,3,0)</f>
        <v>STRICKLAND</v>
      </c>
      <c r="M40" s="141" t="s">
        <v>89</v>
      </c>
      <c r="N40" s="10"/>
      <c r="O40" s="34"/>
      <c r="P40" s="115" t="str">
        <f>VLOOKUP(C40,'Train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40" s="119" t="str">
        <f>VLOOKUP(C40,'Train Runs'!$A$13:$AE$9997,22,0)</f>
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0" s="122" t="str">
        <f t="shared" si="5"/>
        <v>"C:\Program Files (x86)\AstroGrep\AstroGrep.exe" /spath="%USERPROFILE%\AppData\Local\Temp\OnboardLogs" /stypes="*4007*201608181*" /stext=" 12:.+((SYSTEM_STATE.+slice.+state.+changed )|(ment ac)|(system.+state.+changed )|(\|lc)|(penalty)|(\[timeout)|(PRM\|1\|D)|(kpr)|(kdp))" /e /r /s</v>
      </c>
      <c r="S40" s="9" t="str">
        <f t="shared" si="6"/>
        <v>4007</v>
      </c>
      <c r="T40" s="39">
        <f t="shared" si="7"/>
        <v>42600.53800925926</v>
      </c>
      <c r="U40" s="53" t="str">
        <f t="shared" si="8"/>
        <v>EC</v>
      </c>
      <c r="V40" s="53" t="str">
        <f t="shared" si="9"/>
        <v>KEEP</v>
      </c>
    </row>
    <row r="41" spans="1:23" x14ac:dyDescent="0.25">
      <c r="A41" s="39">
        <v>42600.402858796297</v>
      </c>
      <c r="B41" s="34" t="s">
        <v>166</v>
      </c>
      <c r="C41" s="34" t="s">
        <v>332</v>
      </c>
      <c r="D41" s="34" t="s">
        <v>49</v>
      </c>
      <c r="E41" s="34" t="s">
        <v>50</v>
      </c>
      <c r="F41" s="50">
        <v>0</v>
      </c>
      <c r="G41" s="50">
        <v>40</v>
      </c>
      <c r="H41" s="50">
        <v>233297</v>
      </c>
      <c r="I41" s="34" t="s">
        <v>51</v>
      </c>
      <c r="J41" s="50">
        <v>233491</v>
      </c>
      <c r="K41" s="34" t="s">
        <v>52</v>
      </c>
      <c r="L41" s="97" t="str">
        <f>VLOOKUP(C41,'Trips&amp;Operators'!$C$1:$E$9999,3,0)</f>
        <v>BRANNON</v>
      </c>
      <c r="M41" s="141" t="s">
        <v>89</v>
      </c>
      <c r="N41" s="10"/>
      <c r="O41" s="34"/>
      <c r="P41" s="115" t="str">
        <f>VLOOKUP(C41,'Train Runs'!$A$13:$AE$9997,31,0)</f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Q41" s="119" t="str">
        <f>VLOOKUP(C41,'Train Runs'!$A$13:$AE$9997,22,0)</f>
        <v>https://search-rtdc-monitor-bjffxe2xuh6vdkpspy63sjmuny.us-east-1.es.amazonaws.com/_plugin/kibana/#/discover/Steve-Slow-Train-Analysis-(2080s-and-2083s)?_g=(refreshInterval:(display:Off,section:0,value:0),time:(from:'2016-08-18 07:57:59-0600',mode:absolute,to:'2016-08-18 10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1" s="122" t="str">
        <f t="shared" si="5"/>
        <v>"C:\Program Files (x86)\AstroGrep\AstroGrep.exe" /spath="%USERPROFILE%\AppData\Local\Temp\OnboardLogs" /stypes="*4042*201608181*" /stext=" 15:.+((SYSTEM_STATE.+slice.+state.+changed )|(ment ac)|(system.+state.+changed )|(\|lc)|(penalty)|(\[timeout)|(PRM\|1\|D)|(kpr)|(kdp))" /e /r /s</v>
      </c>
      <c r="S41" s="9" t="str">
        <f t="shared" si="6"/>
        <v>4042</v>
      </c>
      <c r="T41" s="39">
        <f t="shared" si="7"/>
        <v>42600.652858796297</v>
      </c>
      <c r="U41" s="53" t="str">
        <f t="shared" si="8"/>
        <v>EC</v>
      </c>
      <c r="V41" s="53" t="str">
        <f t="shared" si="9"/>
        <v>KEEP</v>
      </c>
    </row>
    <row r="42" spans="1:23" ht="15" customHeight="1" x14ac:dyDescent="0.25">
      <c r="A42" s="39">
        <v>42600.505324074074</v>
      </c>
      <c r="B42" s="34" t="s">
        <v>309</v>
      </c>
      <c r="C42" s="34" t="s">
        <v>338</v>
      </c>
      <c r="D42" s="34" t="s">
        <v>49</v>
      </c>
      <c r="E42" s="34" t="s">
        <v>50</v>
      </c>
      <c r="F42" s="50">
        <v>0</v>
      </c>
      <c r="G42" s="50">
        <v>45</v>
      </c>
      <c r="H42" s="50">
        <v>233312</v>
      </c>
      <c r="I42" s="34" t="s">
        <v>51</v>
      </c>
      <c r="J42" s="50">
        <v>233491</v>
      </c>
      <c r="K42" s="34" t="s">
        <v>52</v>
      </c>
      <c r="L42" s="97" t="str">
        <f>VLOOKUP(C42,'Trips&amp;Operators'!$C$1:$E$9999,3,0)</f>
        <v>MOSES</v>
      </c>
      <c r="M42" s="141" t="s">
        <v>89</v>
      </c>
      <c r="N42" s="10"/>
      <c r="O42" s="34"/>
      <c r="P42" s="115" t="str">
        <f>VLOOKUP(C42,'Train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42" s="119" t="str">
        <f>VLOOKUP(C42,'Train Runs'!$A$13:$AE$9997,22,0)</f>
        <v>https://search-rtdc-monitor-bjffxe2xuh6vdkpspy63sjmuny.us-east-1.es.amazonaws.com/_plugin/kibana/#/discover/Steve-Slow-Train-Analysis-(2080s-and-2083s)?_g=(refreshInterval:(display:Off,section:0,value:0),time:(from:'2016-08-18 10:24:59-0600',mode:absolute,to:'2016-08-18 13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2" s="122" t="str">
        <f t="shared" si="5"/>
        <v>"C:\Program Files (x86)\AstroGrep\AstroGrep.exe" /spath="%USERPROFILE%\AppData\Local\Temp\OnboardLogs" /stypes="*4007*201608181*" /stext=" 18:.+((SYSTEM_STATE.+slice.+state.+changed )|(ment ac)|(system.+state.+changed )|(\|lc)|(penalty)|(\[timeout)|(PRM\|1\|D)|(kpr)|(kdp))" /e /r /s</v>
      </c>
      <c r="S42" s="9" t="str">
        <f t="shared" si="6"/>
        <v>4007</v>
      </c>
      <c r="T42" s="39">
        <f t="shared" si="7"/>
        <v>42600.755324074074</v>
      </c>
      <c r="U42" s="53" t="str">
        <f t="shared" si="8"/>
        <v>EC</v>
      </c>
      <c r="V42" s="53" t="str">
        <f t="shared" si="9"/>
        <v>KEEP</v>
      </c>
    </row>
    <row r="43" spans="1:23" x14ac:dyDescent="0.25">
      <c r="A43" s="39">
        <v>42600.677291666667</v>
      </c>
      <c r="B43" s="34" t="s">
        <v>196</v>
      </c>
      <c r="C43" s="34" t="s">
        <v>349</v>
      </c>
      <c r="D43" s="34" t="s">
        <v>116</v>
      </c>
      <c r="E43" s="34" t="s">
        <v>56</v>
      </c>
      <c r="F43" s="50">
        <v>400</v>
      </c>
      <c r="G43" s="50">
        <v>462</v>
      </c>
      <c r="H43" s="50">
        <v>47515</v>
      </c>
      <c r="I43" s="34" t="s">
        <v>57</v>
      </c>
      <c r="J43" s="50">
        <v>49775</v>
      </c>
      <c r="K43" s="34" t="s">
        <v>53</v>
      </c>
      <c r="L43" s="97" t="str">
        <f>VLOOKUP(C43,'Trips&amp;Operators'!$C$1:$E$9999,3,0)</f>
        <v>ISHMAEL</v>
      </c>
      <c r="M43" s="141" t="s">
        <v>89</v>
      </c>
      <c r="N43" s="10"/>
      <c r="O43" s="34"/>
      <c r="P43" s="115" t="str">
        <f>VLOOKUP(C43,'Train Runs'!$A$13:$AE$9997,31,0)</f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Q43" s="119" t="str">
        <f>VLOOKUP(C43,'Train Runs'!$A$13:$AE$9997,22,0)</f>
        <v>https://search-rtdc-monitor-bjffxe2xuh6vdkpspy63sjmuny.us-east-1.es.amazonaws.com/_plugin/kibana/#/discover/Steve-Slow-Train-Analysis-(2080s-and-2083s)?_g=(refreshInterval:(display:Off,section:0,value:0),time:(from:'2016-08-18 15:07:20-0600',mode:absolute,to:'2016-08-18 17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43" s="122" t="str">
        <f t="shared" si="5"/>
        <v>"C:\Program Files (x86)\AstroGrep\AstroGrep.exe" /spath="%USERPROFILE%\AppData\Local\Temp\OnboardLogs" /stypes="*4019*201608182*" /stext=" 22:.+((SYSTEM_STATE.+slice.+state.+changed )|(ment ac)|(system.+state.+changed )|(\|lc)|(penalty)|(\[timeout)|(PRM\|1\|D)|(kpr)|(kdp))" /e /r /s</v>
      </c>
      <c r="S43" s="9" t="str">
        <f t="shared" si="6"/>
        <v>4019</v>
      </c>
      <c r="T43" s="39">
        <f t="shared" si="7"/>
        <v>42600.927291666667</v>
      </c>
      <c r="U43" s="53" t="str">
        <f t="shared" si="8"/>
        <v>NW</v>
      </c>
      <c r="V43" s="53" t="str">
        <f t="shared" si="9"/>
        <v>KEEP</v>
      </c>
    </row>
    <row r="44" spans="1:23" ht="15" customHeight="1" x14ac:dyDescent="0.25">
      <c r="A44" s="39">
        <v>42600.314456018517</v>
      </c>
      <c r="B44" s="34" t="s">
        <v>254</v>
      </c>
      <c r="C44" s="34" t="s">
        <v>325</v>
      </c>
      <c r="D44" s="34" t="s">
        <v>49</v>
      </c>
      <c r="E44" s="34" t="s">
        <v>56</v>
      </c>
      <c r="F44" s="50">
        <v>150</v>
      </c>
      <c r="G44" s="50">
        <v>349</v>
      </c>
      <c r="H44" s="50">
        <v>55782</v>
      </c>
      <c r="I44" s="34" t="s">
        <v>57</v>
      </c>
      <c r="J44" s="50">
        <v>57008</v>
      </c>
      <c r="K44" s="34" t="s">
        <v>52</v>
      </c>
      <c r="L44" s="97" t="str">
        <f>VLOOKUP(C44,'Trips&amp;Operators'!$C$1:$E$9999,3,0)</f>
        <v>GEBRETEKLE</v>
      </c>
      <c r="M44" s="141" t="s">
        <v>89</v>
      </c>
      <c r="N44" s="10"/>
      <c r="O44" s="34"/>
      <c r="P44" s="115" t="str">
        <f>VLOOKUP(C44,'Train Runs'!$A$13:$AE$9997,31,0)</f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Q44" s="119" t="str">
        <f>VLOOKUP(C44,'Train Runs'!$A$13:$AE$9997,22,0)</f>
        <v>https://search-rtdc-monitor-bjffxe2xuh6vdkpspy63sjmuny.us-east-1.es.amazonaws.com/_plugin/kibana/#/discover/Steve-Slow-Train-Analysis-(2080s-and-2083s)?_g=(refreshInterval:(display:Off,section:0,value:0),time:(from:'2016-08-18 06:16:16-0600',mode:absolute,to:'2016-08-18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44" s="122" t="str">
        <f t="shared" si="5"/>
        <v>"C:\Program Files (x86)\AstroGrep\AstroGrep.exe" /spath="%USERPROFILE%\AppData\Local\Temp\OnboardLogs" /stypes="*4002*201608181*" /stext=" 13:.+((SYSTEM_STATE.+slice.+state.+changed )|(ment ac)|(system.+state.+changed )|(\|lc)|(penalty)|(\[timeout)|(PRM\|1\|D)|(kpr)|(kdp))" /e /r /s</v>
      </c>
      <c r="S44" s="9" t="str">
        <f t="shared" si="6"/>
        <v>4002</v>
      </c>
      <c r="T44" s="39">
        <f t="shared" si="7"/>
        <v>42600.564456018517</v>
      </c>
      <c r="U44" s="53" t="str">
        <f t="shared" si="8"/>
        <v>NW</v>
      </c>
      <c r="V44" s="53" t="str">
        <f t="shared" si="9"/>
        <v>KEEP</v>
      </c>
    </row>
    <row r="45" spans="1:23" x14ac:dyDescent="0.25">
      <c r="A45" s="39">
        <v>42600.482002314813</v>
      </c>
      <c r="B45" s="34" t="s">
        <v>254</v>
      </c>
      <c r="C45" s="34" t="s">
        <v>336</v>
      </c>
      <c r="D45" s="34" t="s">
        <v>49</v>
      </c>
      <c r="E45" s="34" t="s">
        <v>56</v>
      </c>
      <c r="F45" s="50">
        <v>150</v>
      </c>
      <c r="G45" s="50">
        <v>383</v>
      </c>
      <c r="H45" s="50">
        <v>55249</v>
      </c>
      <c r="I45" s="34" t="s">
        <v>57</v>
      </c>
      <c r="J45" s="50">
        <v>57008</v>
      </c>
      <c r="K45" s="34" t="s">
        <v>52</v>
      </c>
      <c r="L45" s="97" t="str">
        <f>VLOOKUP(C45,'Trips&amp;Operators'!$C$1:$E$9999,3,0)</f>
        <v>HAITHCOX</v>
      </c>
      <c r="M45" s="141" t="s">
        <v>89</v>
      </c>
      <c r="N45" s="10"/>
      <c r="O45" s="34"/>
      <c r="P45" s="115" t="str">
        <f>VLOOKUP(C45,'Train Runs'!$A$13:$AE$9997,31,0)</f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Q45" s="119" t="str">
        <f>VLOOKUP(C45,'Train Runs'!$A$13:$AE$9997,22,0)</f>
        <v>https://search-rtdc-monitor-bjffxe2xuh6vdkpspy63sjmuny.us-east-1.es.amazonaws.com/_plugin/kibana/#/discover/Steve-Slow-Train-Analysis-(2080s-and-2083s)?_g=(refreshInterval:(display:Off,section:0,value:0),time:(from:'2016-08-18 10:19:37-0600',mode:absolute,to:'2016-08-18 12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45" s="122" t="str">
        <f t="shared" si="5"/>
        <v>"C:\Program Files (x86)\AstroGrep\AstroGrep.exe" /spath="%USERPROFILE%\AppData\Local\Temp\OnboardLogs" /stypes="*4002*201608181*" /stext=" 17:.+((SYSTEM_STATE.+slice.+state.+changed )|(ment ac)|(system.+state.+changed )|(\|lc)|(penalty)|(\[timeout)|(PRM\|1\|D)|(kpr)|(kdp))" /e /r /s</v>
      </c>
      <c r="S45" s="9" t="str">
        <f t="shared" si="6"/>
        <v>4002</v>
      </c>
      <c r="T45" s="39">
        <f t="shared" si="7"/>
        <v>42600.732002314813</v>
      </c>
      <c r="U45" s="53" t="str">
        <f t="shared" si="8"/>
        <v>NW</v>
      </c>
      <c r="V45" s="53" t="str">
        <f t="shared" si="9"/>
        <v>KEEP</v>
      </c>
      <c r="W45" s="24"/>
    </row>
    <row r="46" spans="1:23" x14ac:dyDescent="0.25">
      <c r="A46" s="39">
        <v>42600.668206018519</v>
      </c>
      <c r="B46" s="34" t="s">
        <v>195</v>
      </c>
      <c r="C46" s="34" t="s">
        <v>347</v>
      </c>
      <c r="D46" s="34" t="s">
        <v>49</v>
      </c>
      <c r="E46" s="34" t="s">
        <v>56</v>
      </c>
      <c r="F46" s="50">
        <v>150</v>
      </c>
      <c r="G46" s="50">
        <v>358</v>
      </c>
      <c r="H46" s="50">
        <v>55957</v>
      </c>
      <c r="I46" s="34" t="s">
        <v>57</v>
      </c>
      <c r="J46" s="50">
        <v>57008</v>
      </c>
      <c r="K46" s="34" t="s">
        <v>52</v>
      </c>
      <c r="L46" s="97" t="str">
        <f>VLOOKUP(C46,'Trips&amp;Operators'!$C$1:$E$9999,3,0)</f>
        <v>ISHMAEL</v>
      </c>
      <c r="M46" s="141" t="s">
        <v>89</v>
      </c>
      <c r="N46" s="10"/>
      <c r="O46" s="34"/>
      <c r="P46" s="115" t="str">
        <f>VLOOKUP(C46,'Train Runs'!$A$13:$AE$9997,31,0)</f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Q46" s="119" t="str">
        <f>VLOOKUP(C46,'Train Runs'!$A$13:$AE$9997,22,0)</f>
        <v>https://search-rtdc-monitor-bjffxe2xuh6vdkpspy63sjmuny.us-east-1.es.amazonaws.com/_plugin/kibana/#/discover/Steve-Slow-Train-Analysis-(2080s-and-2083s)?_g=(refreshInterval:(display:Off,section:0,value:0),time:(from:'2016-08-18 14:45:11-0600',mode:absolute,to:'2016-08-18 17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6" s="122" t="str">
        <f t="shared" si="5"/>
        <v>"C:\Program Files (x86)\AstroGrep\AstroGrep.exe" /spath="%USERPROFILE%\AppData\Local\Temp\OnboardLogs" /stypes="*4020*201608182*" /stext=" 22:.+((SYSTEM_STATE.+slice.+state.+changed )|(ment ac)|(system.+state.+changed )|(\|lc)|(penalty)|(\[timeout)|(PRM\|1\|D)|(kpr)|(kdp))" /e /r /s</v>
      </c>
      <c r="S46" s="9" t="str">
        <f t="shared" si="6"/>
        <v>4020</v>
      </c>
      <c r="T46" s="39">
        <f t="shared" si="7"/>
        <v>42600.918206018519</v>
      </c>
      <c r="U46" s="53" t="str">
        <f t="shared" si="8"/>
        <v>NW</v>
      </c>
      <c r="V46" s="53" t="str">
        <f t="shared" si="9"/>
        <v>KEEP</v>
      </c>
      <c r="W46" s="24"/>
    </row>
    <row r="47" spans="1:23" x14ac:dyDescent="0.25">
      <c r="A47" s="39">
        <v>42600.309606481482</v>
      </c>
      <c r="B47" s="34" t="s">
        <v>196</v>
      </c>
      <c r="C47" s="34" t="s">
        <v>324</v>
      </c>
      <c r="D47" s="34" t="s">
        <v>49</v>
      </c>
      <c r="E47" s="34" t="s">
        <v>50</v>
      </c>
      <c r="F47" s="50">
        <v>0</v>
      </c>
      <c r="G47" s="50">
        <v>57</v>
      </c>
      <c r="H47" s="50">
        <v>752</v>
      </c>
      <c r="I47" s="34" t="s">
        <v>51</v>
      </c>
      <c r="J47" s="50">
        <v>575</v>
      </c>
      <c r="K47" s="34" t="s">
        <v>53</v>
      </c>
      <c r="L47" s="97" t="str">
        <f>VLOOKUP(C47,'Trips&amp;Operators'!$C$1:$E$9999,3,0)</f>
        <v>YORK</v>
      </c>
      <c r="M47" s="141" t="s">
        <v>89</v>
      </c>
      <c r="N47" s="10"/>
      <c r="O47" s="34"/>
      <c r="P47" s="115" t="str">
        <f>VLOOKUP(C47,'Train Runs'!$A$13:$AE$9997,31,0)</f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Q47" s="119" t="str">
        <f>VLOOKUP(C47,'Train Runs'!$A$13:$AE$9997,22,0)</f>
        <v>https://search-rtdc-monitor-bjffxe2xuh6vdkpspy63sjmuny.us-east-1.es.amazonaws.com/_plugin/kibana/#/discover/Steve-Slow-Train-Analysis-(2080s-and-2083s)?_g=(refreshInterval:(display:Off,section:0,value:0),time:(from:'2016-08-18 06:09:19-0600',mode:absolute,to:'2016-08-18 08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47" s="122" t="str">
        <f t="shared" si="5"/>
        <v>"C:\Program Files (x86)\AstroGrep\AstroGrep.exe" /spath="%USERPROFILE%\AppData\Local\Temp\OnboardLogs" /stypes="*4019*201608181*" /stext=" 13:.+((SYSTEM_STATE.+slice.+state.+changed )|(ment ac)|(system.+state.+changed )|(\|lc)|(penalty)|(\[timeout)|(PRM\|1\|D)|(kpr)|(kdp))" /e /r /s</v>
      </c>
      <c r="S47" s="9" t="str">
        <f t="shared" si="6"/>
        <v>4019</v>
      </c>
      <c r="T47" s="39">
        <f t="shared" si="7"/>
        <v>42600.559606481482</v>
      </c>
      <c r="U47" s="53" t="str">
        <f t="shared" si="8"/>
        <v>NW</v>
      </c>
      <c r="V47" s="53" t="str">
        <f t="shared" si="9"/>
        <v>KEEP</v>
      </c>
      <c r="W47" s="24"/>
    </row>
    <row r="48" spans="1:23" ht="15" customHeight="1" x14ac:dyDescent="0.25">
      <c r="A48" s="39">
        <v>42600.329780092594</v>
      </c>
      <c r="B48" s="34" t="s">
        <v>255</v>
      </c>
      <c r="C48" s="34" t="s">
        <v>326</v>
      </c>
      <c r="D48" s="34" t="s">
        <v>49</v>
      </c>
      <c r="E48" s="34" t="s">
        <v>50</v>
      </c>
      <c r="F48" s="50">
        <v>0</v>
      </c>
      <c r="G48" s="50">
        <v>52</v>
      </c>
      <c r="H48" s="50">
        <v>776</v>
      </c>
      <c r="I48" s="34" t="s">
        <v>51</v>
      </c>
      <c r="J48" s="50">
        <v>575</v>
      </c>
      <c r="K48" s="34" t="s">
        <v>53</v>
      </c>
      <c r="L48" s="97" t="str">
        <f>VLOOKUP(C48,'Trips&amp;Operators'!$C$1:$E$9999,3,0)</f>
        <v>GEBRETEKLE</v>
      </c>
      <c r="M48" s="141" t="s">
        <v>89</v>
      </c>
      <c r="N48" s="10"/>
      <c r="O48" s="34"/>
      <c r="P48" s="115" t="str">
        <f>VLOOKUP(C48,'Train Runs'!$A$13:$AE$9997,31,0)</f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Q48" s="119" t="str">
        <f>VLOOKUP(C48,'Train Runs'!$A$13:$AE$9997,22,0)</f>
        <v>https://search-rtdc-monitor-bjffxe2xuh6vdkpspy63sjmuny.us-east-1.es.amazonaws.com/_plugin/kibana/#/discover/Steve-Slow-Train-Analysis-(2080s-and-2083s)?_g=(refreshInterval:(display:Off,section:0,value:0),time:(from:'2016-08-18 06:38:02-0600',mode:absolute,to:'2016-08-18 08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48" s="122" t="str">
        <f t="shared" si="5"/>
        <v>"C:\Program Files (x86)\AstroGrep\AstroGrep.exe" /spath="%USERPROFILE%\AppData\Local\Temp\OnboardLogs" /stypes="*4001*201608181*" /stext=" 13:.+((SYSTEM_STATE.+slice.+state.+changed )|(ment ac)|(system.+state.+changed )|(\|lc)|(penalty)|(\[timeout)|(PRM\|1\|D)|(kpr)|(kdp))" /e /r /s</v>
      </c>
      <c r="S48" s="9" t="str">
        <f t="shared" si="6"/>
        <v>4001</v>
      </c>
      <c r="T48" s="39">
        <f t="shared" si="7"/>
        <v>42600.579780092594</v>
      </c>
      <c r="U48" s="53" t="str">
        <f t="shared" si="8"/>
        <v>NW</v>
      </c>
      <c r="V48" s="53" t="str">
        <f t="shared" si="9"/>
        <v>KEEP</v>
      </c>
    </row>
    <row r="49" spans="1:22" x14ac:dyDescent="0.25">
      <c r="A49" s="39">
        <v>42600.498240740744</v>
      </c>
      <c r="B49" s="34" t="s">
        <v>255</v>
      </c>
      <c r="C49" s="34" t="s">
        <v>337</v>
      </c>
      <c r="D49" s="34" t="s">
        <v>49</v>
      </c>
      <c r="E49" s="34" t="s">
        <v>50</v>
      </c>
      <c r="F49" s="50">
        <v>0</v>
      </c>
      <c r="G49" s="50">
        <v>35</v>
      </c>
      <c r="H49" s="50">
        <v>713</v>
      </c>
      <c r="I49" s="34" t="s">
        <v>51</v>
      </c>
      <c r="J49" s="50">
        <v>575</v>
      </c>
      <c r="K49" s="34" t="s">
        <v>53</v>
      </c>
      <c r="L49" s="97" t="str">
        <f>VLOOKUP(C49,'Trips&amp;Operators'!$C$1:$E$9999,3,0)</f>
        <v>HAITHCOX</v>
      </c>
      <c r="M49" s="141" t="s">
        <v>89</v>
      </c>
      <c r="N49" s="10"/>
      <c r="O49" s="34"/>
      <c r="P49" s="115" t="str">
        <f>VLOOKUP(C49,'Train Runs'!$A$13:$AE$9997,31,0)</f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Q49" s="119" t="str">
        <f>VLOOKUP(C49,'Train Runs'!$A$13:$AE$9997,22,0)</f>
        <v>https://search-rtdc-monitor-bjffxe2xuh6vdkpspy63sjmuny.us-east-1.es.amazonaws.com/_plugin/kibana/#/discover/Steve-Slow-Train-Analysis-(2080s-and-2083s)?_g=(refreshInterval:(display:Off,section:0,value:0),time:(from:'2016-08-18 10:40:34-0600',mode:absolute,to:'2016-08-18 12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49" s="122" t="str">
        <f t="shared" si="5"/>
        <v>"C:\Program Files (x86)\AstroGrep\AstroGrep.exe" /spath="%USERPROFILE%\AppData\Local\Temp\OnboardLogs" /stypes="*4001*201608181*" /stext=" 17:.+((SYSTEM_STATE.+slice.+state.+changed )|(ment ac)|(system.+state.+changed )|(\|lc)|(penalty)|(\[timeout)|(PRM\|1\|D)|(kpr)|(kdp))" /e /r /s</v>
      </c>
      <c r="S49" s="9" t="str">
        <f t="shared" si="6"/>
        <v>4001</v>
      </c>
      <c r="T49" s="39">
        <f t="shared" si="7"/>
        <v>42600.748240740744</v>
      </c>
      <c r="U49" s="53" t="str">
        <f t="shared" si="8"/>
        <v>NW</v>
      </c>
      <c r="V49" s="53" t="str">
        <f t="shared" si="9"/>
        <v>KEEP</v>
      </c>
    </row>
    <row r="50" spans="1:22" x14ac:dyDescent="0.25">
      <c r="A50" s="39">
        <v>42600.538240740738</v>
      </c>
      <c r="B50" s="34" t="s">
        <v>255</v>
      </c>
      <c r="C50" s="34" t="s">
        <v>341</v>
      </c>
      <c r="D50" s="34" t="s">
        <v>49</v>
      </c>
      <c r="E50" s="34" t="s">
        <v>50</v>
      </c>
      <c r="F50" s="50">
        <v>0</v>
      </c>
      <c r="G50" s="50">
        <v>33</v>
      </c>
      <c r="H50" s="50">
        <v>689</v>
      </c>
      <c r="I50" s="34" t="s">
        <v>51</v>
      </c>
      <c r="J50" s="50">
        <v>575</v>
      </c>
      <c r="K50" s="34" t="s">
        <v>53</v>
      </c>
      <c r="L50" s="97" t="str">
        <f>VLOOKUP(C50,'Trips&amp;Operators'!$C$1:$E$9999,3,0)</f>
        <v>GEBRETEKLE</v>
      </c>
      <c r="M50" s="141" t="s">
        <v>89</v>
      </c>
      <c r="N50" s="10"/>
      <c r="O50" s="34"/>
      <c r="P50" s="115" t="str">
        <f>VLOOKUP(C50,'Train Runs'!$A$13:$AE$9997,31,0)</f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Q50" s="119" t="str">
        <f>VLOOKUP(C50,'Train Runs'!$A$13:$AE$9997,22,0)</f>
        <v>https://search-rtdc-monitor-bjffxe2xuh6vdkpspy63sjmuny.us-east-1.es.amazonaws.com/_plugin/kibana/#/discover/Steve-Slow-Train-Analysis-(2080s-and-2083s)?_g=(refreshInterval:(display:Off,section:0,value:0),time:(from:'2016-08-18 11:37:13-0600',mode:absolute,to:'2016-08-18 13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0" s="122" t="str">
        <f t="shared" si="5"/>
        <v>"C:\Program Files (x86)\AstroGrep\AstroGrep.exe" /spath="%USERPROFILE%\AppData\Local\Temp\OnboardLogs" /stypes="*4001*201608181*" /stext=" 18:.+((SYSTEM_STATE.+slice.+state.+changed )|(ment ac)|(system.+state.+changed )|(\|lc)|(penalty)|(\[timeout)|(PRM\|1\|D)|(kpr)|(kdp))" /e /r /s</v>
      </c>
      <c r="S50" s="9" t="str">
        <f t="shared" si="6"/>
        <v>4001</v>
      </c>
      <c r="T50" s="39">
        <f t="shared" si="7"/>
        <v>42600.788240740738</v>
      </c>
      <c r="U50" s="53" t="str">
        <f t="shared" si="8"/>
        <v>NW</v>
      </c>
      <c r="V50" s="53" t="str">
        <f t="shared" si="9"/>
        <v>KEEP</v>
      </c>
    </row>
    <row r="51" spans="1:22" x14ac:dyDescent="0.25">
      <c r="A51" s="39">
        <v>42600.725671296299</v>
      </c>
      <c r="B51" s="34" t="s">
        <v>196</v>
      </c>
      <c r="C51" s="34" t="s">
        <v>350</v>
      </c>
      <c r="D51" s="34" t="s">
        <v>49</v>
      </c>
      <c r="E51" s="34" t="s">
        <v>50</v>
      </c>
      <c r="F51" s="50">
        <v>0</v>
      </c>
      <c r="G51" s="50">
        <v>69</v>
      </c>
      <c r="H51" s="50">
        <v>771</v>
      </c>
      <c r="I51" s="34" t="s">
        <v>51</v>
      </c>
      <c r="J51" s="50">
        <v>575</v>
      </c>
      <c r="K51" s="34" t="s">
        <v>53</v>
      </c>
      <c r="L51" s="97" t="str">
        <f>VLOOKUP(C51,'Trips&amp;Operators'!$C$1:$E$9999,3,0)</f>
        <v>ISHMAEL</v>
      </c>
      <c r="M51" s="141" t="s">
        <v>89</v>
      </c>
      <c r="N51" s="10"/>
      <c r="O51" s="34"/>
      <c r="P51" s="115" t="str">
        <f>VLOOKUP(C51,'Train Runs'!$A$13:$AE$9997,31,0)</f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Q51" s="119" t="str">
        <f>VLOOKUP(C51,'Train Runs'!$A$13:$AE$9997,22,0)</f>
        <v>https://search-rtdc-monitor-bjffxe2xuh6vdkpspy63sjmuny.us-east-1.es.amazonaws.com/_plugin/kibana/#/discover/Steve-Slow-Train-Analysis-(2080s-and-2083s)?_g=(refreshInterval:(display:Off,section:0,value:0),time:(from:'2016-08-18 16:09:47-0600',mode:absolute,to:'2016-08-18 18:25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1" s="122" t="str">
        <f t="shared" si="5"/>
        <v>"C:\Program Files (x86)\AstroGrep\AstroGrep.exe" /spath="%USERPROFILE%\AppData\Local\Temp\OnboardLogs" /stypes="*4019*201608182*" /stext=" 23:.+((SYSTEM_STATE.+slice.+state.+changed )|(ment ac)|(system.+state.+changed )|(\|lc)|(penalty)|(\[timeout)|(PRM\|1\|D)|(kpr)|(kdp))" /e /r /s</v>
      </c>
      <c r="S51" s="9" t="str">
        <f t="shared" si="6"/>
        <v>4019</v>
      </c>
      <c r="T51" s="39">
        <f t="shared" si="7"/>
        <v>42600.975671296299</v>
      </c>
      <c r="U51" s="53" t="str">
        <f t="shared" si="8"/>
        <v>NW</v>
      </c>
      <c r="V51" s="53" t="str">
        <f t="shared" si="9"/>
        <v>KEEP</v>
      </c>
    </row>
    <row r="52" spans="1:22" x14ac:dyDescent="0.25">
      <c r="A52" s="39">
        <v>42600.357129629629</v>
      </c>
      <c r="B52" s="34" t="s">
        <v>254</v>
      </c>
      <c r="C52" s="34" t="s">
        <v>329</v>
      </c>
      <c r="D52" s="34" t="s">
        <v>49</v>
      </c>
      <c r="E52" s="34" t="s">
        <v>50</v>
      </c>
      <c r="F52" s="50">
        <v>0</v>
      </c>
      <c r="G52" s="50">
        <v>125</v>
      </c>
      <c r="H52" s="50">
        <v>58495</v>
      </c>
      <c r="I52" s="34" t="s">
        <v>51</v>
      </c>
      <c r="J52" s="50">
        <v>59048</v>
      </c>
      <c r="K52" s="34" t="s">
        <v>52</v>
      </c>
      <c r="L52" s="97" t="str">
        <f>VLOOKUP(C52,'Trips&amp;Operators'!$C$1:$E$9999,3,0)</f>
        <v>GEBRETEKLE</v>
      </c>
      <c r="M52" s="141" t="s">
        <v>89</v>
      </c>
      <c r="N52" s="10"/>
      <c r="O52" s="34"/>
      <c r="P52" s="115" t="str">
        <f>VLOOKUP(C52,'Train Runs'!$A$13:$AE$9997,31,0)</f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Q52" s="119" t="str">
        <f>VLOOKUP(C52,'Train Runs'!$A$13:$AE$9997,22,0)</f>
        <v>https://search-rtdc-monitor-bjffxe2xuh6vdkpspy63sjmuny.us-east-1.es.amazonaws.com/_plugin/kibana/#/discover/Steve-Slow-Train-Analysis-(2080s-and-2083s)?_g=(refreshInterval:(display:Off,section:0,value:0),time:(from:'2016-08-18 07:17:30-0600',mode:absolute,to:'2016-08-18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52" s="122" t="str">
        <f t="shared" si="5"/>
        <v>"C:\Program Files (x86)\AstroGrep\AstroGrep.exe" /spath="%USERPROFILE%\AppData\Local\Temp\OnboardLogs" /stypes="*4002*201608181*" /stext=" 14:.+((SYSTEM_STATE.+slice.+state.+changed )|(ment ac)|(system.+state.+changed )|(\|lc)|(penalty)|(\[timeout)|(PRM\|1\|D)|(kpr)|(kdp))" /e /r /s</v>
      </c>
      <c r="S52" s="9" t="str">
        <f t="shared" si="6"/>
        <v>4002</v>
      </c>
      <c r="T52" s="39">
        <f t="shared" si="7"/>
        <v>42600.607129629629</v>
      </c>
      <c r="U52" s="53" t="str">
        <f t="shared" si="8"/>
        <v>NW</v>
      </c>
      <c r="V52" s="53" t="str">
        <f t="shared" si="9"/>
        <v>KEEP</v>
      </c>
    </row>
    <row r="53" spans="1:22" x14ac:dyDescent="0.25">
      <c r="A53" s="39">
        <v>42600.484849537039</v>
      </c>
      <c r="B53" s="34" t="s">
        <v>254</v>
      </c>
      <c r="C53" s="34" t="s">
        <v>336</v>
      </c>
      <c r="D53" s="34" t="s">
        <v>49</v>
      </c>
      <c r="E53" s="34" t="s">
        <v>50</v>
      </c>
      <c r="F53" s="50">
        <v>0</v>
      </c>
      <c r="G53" s="50">
        <v>15</v>
      </c>
      <c r="H53" s="50">
        <v>59033</v>
      </c>
      <c r="I53" s="34" t="s">
        <v>51</v>
      </c>
      <c r="J53" s="50">
        <v>59048</v>
      </c>
      <c r="K53" s="34" t="s">
        <v>52</v>
      </c>
      <c r="L53" s="97" t="str">
        <f>VLOOKUP(C53,'Trips&amp;Operators'!$C$1:$E$9999,3,0)</f>
        <v>HAITHCOX</v>
      </c>
      <c r="M53" s="141" t="s">
        <v>89</v>
      </c>
      <c r="N53" s="10"/>
      <c r="O53" s="34"/>
      <c r="P53" s="115" t="str">
        <f>VLOOKUP(C53,'Train Runs'!$A$13:$AE$9997,31,0)</f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Q53" s="119" t="str">
        <f>VLOOKUP(C53,'Train Runs'!$A$13:$AE$9997,22,0)</f>
        <v>https://search-rtdc-monitor-bjffxe2xuh6vdkpspy63sjmuny.us-east-1.es.amazonaws.com/_plugin/kibana/#/discover/Steve-Slow-Train-Analysis-(2080s-and-2083s)?_g=(refreshInterval:(display:Off,section:0,value:0),time:(from:'2016-08-18 10:19:37-0600',mode:absolute,to:'2016-08-18 12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53" s="122" t="str">
        <f t="shared" si="5"/>
        <v>"C:\Program Files (x86)\AstroGrep\AstroGrep.exe" /spath="%USERPROFILE%\AppData\Local\Temp\OnboardLogs" /stypes="*4002*201608181*" /stext=" 17:.+((SYSTEM_STATE.+slice.+state.+changed )|(ment ac)|(system.+state.+changed )|(\|lc)|(penalty)|(\[timeout)|(PRM\|1\|D)|(kpr)|(kdp))" /e /r /s</v>
      </c>
      <c r="S53" s="9" t="str">
        <f t="shared" si="6"/>
        <v>4002</v>
      </c>
      <c r="T53" s="39">
        <f t="shared" si="7"/>
        <v>42600.734849537039</v>
      </c>
      <c r="U53" s="53" t="str">
        <f t="shared" si="8"/>
        <v>NW</v>
      </c>
      <c r="V53" s="53" t="str">
        <f t="shared" si="9"/>
        <v>KEEP</v>
      </c>
    </row>
    <row r="54" spans="1:22" x14ac:dyDescent="0.25">
      <c r="A54" s="39">
        <v>42600.788136574076</v>
      </c>
      <c r="B54" s="34" t="s">
        <v>166</v>
      </c>
      <c r="C54" s="34" t="s">
        <v>355</v>
      </c>
      <c r="D54" s="34" t="s">
        <v>116</v>
      </c>
      <c r="E54" s="34" t="s">
        <v>54</v>
      </c>
      <c r="F54" s="50">
        <v>0</v>
      </c>
      <c r="G54" s="50">
        <v>9</v>
      </c>
      <c r="H54" s="50">
        <v>1694</v>
      </c>
      <c r="I54" s="34" t="s">
        <v>55</v>
      </c>
      <c r="J54" s="50">
        <v>1692</v>
      </c>
      <c r="K54" s="34" t="s">
        <v>52</v>
      </c>
      <c r="L54" s="97" t="str">
        <f>VLOOKUP(C54,'Trips&amp;Operators'!$C$1:$E$9999,3,0)</f>
        <v>MOSES</v>
      </c>
      <c r="M54" s="141" t="s">
        <v>89</v>
      </c>
      <c r="N54" s="10"/>
      <c r="O54" s="34"/>
      <c r="P54" s="115" t="str">
        <f>VLOOKUP(C54,'Train Runs'!$A$13:$AE$9997,31,0)</f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Q54" s="119" t="str">
        <f>VLOOKUP(C54,'Train Runs'!$A$13:$AE$9997,22,0)</f>
        <v>https://search-rtdc-monitor-bjffxe2xuh6vdkpspy63sjmuny.us-east-1.es.amazonaws.com/_plugin/kibana/#/discover/Steve-Slow-Train-Analysis-(2080s-and-2083s)?_g=(refreshInterval:(display:Off,section:0,value:0),time:(from:'2016-08-18 17:51:12-0600',mode:absolute,to:'2016-08-18 20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4" s="122" t="str">
        <f t="shared" si="5"/>
        <v>"C:\Program Files (x86)\AstroGrep\AstroGrep.exe" /spath="%USERPROFILE%\AppData\Local\Temp\OnboardLogs" /stypes="*4042*201608190*" /stext=" 00:.+((SYSTEM_STATE.+slice.+state.+changed )|(ment ac)|(system.+state.+changed )|(\|lc)|(penalty)|(\[timeout)|(PRM\|1\|D)|(kpr)|(kdp))" /e /r /s</v>
      </c>
      <c r="S54" s="9" t="str">
        <f t="shared" si="6"/>
        <v>4042</v>
      </c>
      <c r="T54" s="39">
        <f t="shared" si="7"/>
        <v>42601.038136574076</v>
      </c>
      <c r="U54" s="53" t="str">
        <f t="shared" si="8"/>
        <v>Other</v>
      </c>
      <c r="V54" s="53" t="str">
        <f t="shared" si="9"/>
        <v>KEEP</v>
      </c>
    </row>
    <row r="55" spans="1:22" x14ac:dyDescent="0.25">
      <c r="A55" s="39">
        <v>42600.756168981483</v>
      </c>
      <c r="B55" s="34" t="s">
        <v>93</v>
      </c>
      <c r="C55" s="34" t="s">
        <v>353</v>
      </c>
      <c r="D55" s="34" t="s">
        <v>49</v>
      </c>
      <c r="E55" s="34" t="s">
        <v>54</v>
      </c>
      <c r="F55" s="50">
        <v>0</v>
      </c>
      <c r="G55" s="50">
        <v>82</v>
      </c>
      <c r="H55" s="50">
        <v>11026</v>
      </c>
      <c r="I55" s="34" t="s">
        <v>55</v>
      </c>
      <c r="J55" s="50">
        <v>11016</v>
      </c>
      <c r="K55" s="34" t="s">
        <v>53</v>
      </c>
      <c r="L55" s="97" t="str">
        <f>VLOOKUP(C55,'Trips&amp;Operators'!$C$1:$E$9999,3,0)</f>
        <v>STURGEON</v>
      </c>
      <c r="M55" s="141" t="s">
        <v>89</v>
      </c>
      <c r="N55" s="10"/>
      <c r="O55" s="34"/>
      <c r="P55" s="115" t="str">
        <f>VLOOKUP(C55,'Train Runs'!$A$13:$AE$9997,31,0)</f>
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</c>
      <c r="Q55" s="119" t="str">
        <f>VLOOKUP(C55,'Train Runs'!$A$13:$AE$9997,22,0)</f>
        <v>https://search-rtdc-monitor-bjffxe2xuh6vdkpspy63sjmuny.us-east-1.es.amazonaws.com/_plugin/kibana/#/discover/Steve-Slow-Train-Analysis-(2080s-and-2083s)?_g=(refreshInterval:(display:Off,section:0,value:0),time:(from:'2016-08-18 16:55:40-0600',mode:absolute,to:'2016-08-18 19:14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55" s="122" t="str">
        <f t="shared" si="5"/>
        <v>"C:\Program Files (x86)\AstroGrep\AstroGrep.exe" /spath="%USERPROFILE%\AppData\Local\Temp\OnboardLogs" /stypes="*4013*201608190*" /stext=" 00:.+((SYSTEM_STATE.+slice.+state.+changed )|(ment ac)|(system.+state.+changed )|(\|lc)|(penalty)|(\[timeout)|(PRM\|1\|D)|(kpr)|(kdp))" /e /r /s</v>
      </c>
      <c r="S55" s="9" t="str">
        <f t="shared" si="6"/>
        <v>4013</v>
      </c>
      <c r="T55" s="39">
        <f t="shared" si="7"/>
        <v>42601.006168981483</v>
      </c>
      <c r="U55" s="53" t="str">
        <f t="shared" si="8"/>
        <v>Other</v>
      </c>
      <c r="V55" s="53" t="str">
        <f t="shared" si="9"/>
        <v>KEEP</v>
      </c>
    </row>
    <row r="56" spans="1:22" x14ac:dyDescent="0.25">
      <c r="A56" s="39"/>
      <c r="B56" s="34"/>
      <c r="C56" s="34"/>
      <c r="D56" s="34"/>
      <c r="E56" s="34"/>
      <c r="F56" s="50"/>
      <c r="G56" s="50"/>
      <c r="H56" s="50"/>
      <c r="I56" s="34"/>
      <c r="J56" s="50"/>
      <c r="K56" s="34"/>
      <c r="L56" s="97"/>
      <c r="M56" s="141"/>
      <c r="N56" s="10"/>
      <c r="O56" s="34"/>
      <c r="P56" s="115"/>
      <c r="Q56" s="119"/>
      <c r="R56" s="122"/>
      <c r="S56" s="9"/>
      <c r="T56" s="39"/>
      <c r="U56" s="53"/>
      <c r="V56" s="53"/>
    </row>
    <row r="57" spans="1:22" x14ac:dyDescent="0.25">
      <c r="A57" s="39"/>
      <c r="B57" s="34"/>
      <c r="C57" s="34"/>
      <c r="D57" s="34"/>
      <c r="E57" s="34"/>
      <c r="F57" s="50"/>
      <c r="G57" s="50"/>
      <c r="H57" s="50"/>
      <c r="I57" s="34"/>
      <c r="J57" s="50"/>
      <c r="K57" s="34"/>
      <c r="L57" s="97"/>
      <c r="M57" s="141"/>
      <c r="N57" s="10"/>
      <c r="O57" s="34"/>
      <c r="P57" s="115"/>
      <c r="Q57" s="119"/>
      <c r="R57" s="122"/>
      <c r="S57" s="9"/>
      <c r="T57" s="39"/>
      <c r="U57" s="53"/>
      <c r="V57" s="53"/>
    </row>
    <row r="58" spans="1:22" x14ac:dyDescent="0.25">
      <c r="A58" s="39"/>
      <c r="B58" s="34"/>
      <c r="C58" s="34"/>
      <c r="D58" s="34"/>
      <c r="E58" s="34"/>
      <c r="F58" s="50"/>
      <c r="G58" s="50"/>
      <c r="H58" s="50"/>
      <c r="I58" s="34"/>
      <c r="J58" s="50"/>
      <c r="K58" s="34"/>
      <c r="L58" s="97"/>
      <c r="M58" s="141"/>
      <c r="N58" s="10"/>
      <c r="O58" s="34"/>
      <c r="P58" s="115"/>
      <c r="Q58" s="119"/>
      <c r="R58" s="122"/>
      <c r="S58" s="9"/>
      <c r="T58" s="39"/>
      <c r="U58" s="53"/>
      <c r="V58" s="53"/>
    </row>
    <row r="59" spans="1:22" x14ac:dyDescent="0.25">
      <c r="A59" s="39"/>
      <c r="B59" s="34"/>
      <c r="C59" s="34"/>
      <c r="D59" s="34"/>
      <c r="E59" s="34"/>
      <c r="F59" s="50"/>
      <c r="G59" s="50"/>
      <c r="H59" s="50"/>
      <c r="I59" s="34"/>
      <c r="J59" s="50"/>
      <c r="K59" s="34"/>
      <c r="L59" s="97"/>
      <c r="M59" s="141"/>
      <c r="N59" s="10"/>
      <c r="O59" s="34"/>
      <c r="P59" s="115"/>
      <c r="Q59" s="119"/>
      <c r="R59" s="122"/>
      <c r="S59" s="9"/>
      <c r="T59" s="39"/>
      <c r="U59" s="53"/>
      <c r="V59" s="53"/>
    </row>
    <row r="60" spans="1:22" x14ac:dyDescent="0.25">
      <c r="A60" s="39"/>
      <c r="B60" s="34"/>
      <c r="C60" s="34"/>
      <c r="D60" s="34"/>
      <c r="E60" s="34"/>
      <c r="F60" s="50"/>
      <c r="G60" s="50"/>
      <c r="H60" s="50"/>
      <c r="I60" s="34"/>
      <c r="J60" s="50"/>
      <c r="K60" s="34"/>
      <c r="L60" s="97"/>
      <c r="M60" s="141"/>
      <c r="N60" s="10"/>
      <c r="O60" s="34"/>
      <c r="P60" s="115"/>
      <c r="Q60" s="119"/>
      <c r="R60" s="122"/>
      <c r="S60" s="9"/>
      <c r="T60" s="39"/>
      <c r="U60" s="53"/>
      <c r="V60" s="53"/>
    </row>
    <row r="61" spans="1:22" x14ac:dyDescent="0.25">
      <c r="A61" s="39"/>
      <c r="B61" s="34"/>
      <c r="C61" s="34"/>
      <c r="D61" s="34"/>
      <c r="E61" s="34"/>
      <c r="F61" s="50"/>
      <c r="G61" s="50"/>
      <c r="H61" s="50"/>
      <c r="I61" s="34"/>
      <c r="J61" s="50"/>
      <c r="K61" s="34"/>
      <c r="L61" s="97"/>
      <c r="M61" s="141"/>
      <c r="N61" s="10"/>
      <c r="O61" s="34"/>
      <c r="P61" s="115"/>
      <c r="Q61" s="119"/>
      <c r="R61" s="122"/>
      <c r="S61" s="9"/>
      <c r="T61" s="39"/>
      <c r="U61" s="53"/>
      <c r="V61" s="53"/>
    </row>
    <row r="62" spans="1:22" x14ac:dyDescent="0.25">
      <c r="A62" s="39"/>
      <c r="B62" s="34"/>
      <c r="C62" s="34"/>
      <c r="D62" s="34"/>
      <c r="E62" s="34"/>
      <c r="F62" s="50"/>
      <c r="G62" s="50"/>
      <c r="H62" s="50"/>
      <c r="I62" s="34"/>
      <c r="J62" s="50"/>
      <c r="K62" s="34"/>
      <c r="L62" s="97"/>
      <c r="M62" s="141"/>
      <c r="N62" s="10"/>
      <c r="O62" s="34"/>
      <c r="P62" s="115"/>
      <c r="Q62" s="119"/>
      <c r="R62" s="122"/>
      <c r="S62" s="9"/>
      <c r="T62" s="39"/>
      <c r="U62" s="53"/>
      <c r="V62" s="53"/>
    </row>
    <row r="63" spans="1:22" x14ac:dyDescent="0.25">
      <c r="A63" s="39"/>
      <c r="B63" s="34"/>
      <c r="C63" s="34"/>
      <c r="D63" s="34"/>
      <c r="E63" s="34"/>
      <c r="F63" s="50"/>
      <c r="G63" s="50"/>
      <c r="H63" s="50"/>
      <c r="I63" s="34"/>
      <c r="J63" s="50"/>
      <c r="K63" s="34"/>
      <c r="L63" s="97"/>
      <c r="M63" s="141"/>
      <c r="N63" s="10"/>
      <c r="O63" s="34"/>
      <c r="P63" s="115"/>
      <c r="Q63" s="119"/>
      <c r="R63" s="122"/>
      <c r="S63" s="9"/>
      <c r="T63" s="39"/>
      <c r="U63" s="53"/>
      <c r="V63" s="53"/>
    </row>
    <row r="64" spans="1:22" x14ac:dyDescent="0.25">
      <c r="A64" s="39"/>
      <c r="B64" s="34"/>
      <c r="C64" s="34"/>
      <c r="D64" s="34"/>
      <c r="E64" s="34"/>
      <c r="F64" s="50"/>
      <c r="G64" s="50"/>
      <c r="H64" s="50"/>
      <c r="I64" s="34"/>
      <c r="J64" s="50"/>
      <c r="K64" s="34"/>
      <c r="L64" s="97"/>
      <c r="M64" s="141"/>
      <c r="N64" s="10"/>
      <c r="O64" s="34"/>
      <c r="P64" s="115"/>
      <c r="Q64" s="119"/>
      <c r="R64" s="122"/>
      <c r="S64" s="9"/>
      <c r="T64" s="39"/>
      <c r="U64" s="53"/>
      <c r="V64" s="53"/>
    </row>
    <row r="65" spans="1:22" x14ac:dyDescent="0.25">
      <c r="A65" s="39"/>
      <c r="B65" s="34"/>
      <c r="C65" s="34"/>
      <c r="D65" s="34"/>
      <c r="E65" s="34"/>
      <c r="F65" s="50"/>
      <c r="G65" s="50"/>
      <c r="H65" s="50"/>
      <c r="I65" s="34"/>
      <c r="J65" s="50"/>
      <c r="K65" s="34"/>
      <c r="L65" s="97"/>
      <c r="M65" s="141"/>
      <c r="N65" s="10"/>
      <c r="O65" s="34"/>
      <c r="P65" s="115"/>
      <c r="Q65" s="119"/>
      <c r="R65" s="122"/>
      <c r="S65" s="9"/>
      <c r="T65" s="39"/>
      <c r="U65" s="53"/>
      <c r="V65" s="53"/>
    </row>
    <row r="66" spans="1:22" x14ac:dyDescent="0.25">
      <c r="A66" s="39"/>
      <c r="B66" s="34"/>
      <c r="C66" s="34"/>
      <c r="D66" s="34"/>
      <c r="E66" s="34"/>
      <c r="F66" s="50"/>
      <c r="G66" s="50"/>
      <c r="H66" s="50"/>
      <c r="I66" s="34"/>
      <c r="J66" s="50"/>
      <c r="K66" s="34"/>
      <c r="L66" s="97"/>
      <c r="M66" s="141"/>
      <c r="N66" s="10"/>
      <c r="O66" s="34"/>
      <c r="P66" s="115"/>
      <c r="Q66" s="119"/>
      <c r="R66" s="122"/>
      <c r="S66" s="9"/>
      <c r="T66" s="39"/>
      <c r="U66" s="53"/>
      <c r="V66" s="53"/>
    </row>
    <row r="67" spans="1:22" x14ac:dyDescent="0.25">
      <c r="A67" s="39"/>
      <c r="B67" s="34"/>
      <c r="C67" s="34"/>
      <c r="D67" s="34"/>
      <c r="E67" s="34"/>
      <c r="F67" s="50"/>
      <c r="G67" s="50"/>
      <c r="H67" s="50"/>
      <c r="I67" s="34"/>
      <c r="J67" s="50"/>
      <c r="K67" s="34"/>
      <c r="L67" s="97"/>
      <c r="M67" s="141"/>
      <c r="N67" s="10"/>
      <c r="O67" s="34"/>
      <c r="P67" s="115"/>
      <c r="Q67" s="119"/>
      <c r="R67" s="122"/>
      <c r="S67" s="9"/>
      <c r="T67" s="39"/>
      <c r="U67" s="53"/>
      <c r="V67" s="53"/>
    </row>
    <row r="68" spans="1:22" x14ac:dyDescent="0.25">
      <c r="A68" s="39"/>
      <c r="B68" s="34"/>
      <c r="C68" s="34"/>
      <c r="D68" s="34"/>
      <c r="E68" s="34"/>
      <c r="F68" s="50"/>
      <c r="G68" s="50"/>
      <c r="H68" s="50"/>
      <c r="I68" s="34"/>
      <c r="J68" s="50"/>
      <c r="K68" s="34"/>
      <c r="L68" s="97"/>
      <c r="M68" s="141"/>
      <c r="N68" s="10"/>
      <c r="O68" s="34"/>
      <c r="P68" s="115"/>
      <c r="Q68" s="119"/>
      <c r="R68" s="122"/>
      <c r="S68" s="9"/>
      <c r="T68" s="39"/>
      <c r="U68" s="53"/>
      <c r="V68" s="53"/>
    </row>
    <row r="69" spans="1:22" x14ac:dyDescent="0.25">
      <c r="A69" s="39"/>
      <c r="B69" s="34"/>
      <c r="C69" s="34"/>
      <c r="D69" s="34"/>
      <c r="E69" s="34"/>
      <c r="F69" s="50"/>
      <c r="G69" s="50"/>
      <c r="H69" s="50"/>
      <c r="I69" s="34"/>
      <c r="J69" s="50"/>
      <c r="K69" s="34"/>
      <c r="L69" s="97"/>
      <c r="M69" s="141"/>
      <c r="N69" s="10"/>
      <c r="O69" s="34"/>
      <c r="P69" s="115"/>
      <c r="Q69" s="119"/>
      <c r="R69" s="122"/>
      <c r="S69" s="9"/>
      <c r="T69" s="39"/>
      <c r="U69" s="53"/>
      <c r="V69" s="53"/>
    </row>
    <row r="70" spans="1:22" x14ac:dyDescent="0.25">
      <c r="A70" s="39"/>
      <c r="B70" s="34"/>
      <c r="C70" s="34"/>
      <c r="D70" s="34"/>
      <c r="E70" s="34"/>
      <c r="F70" s="50"/>
      <c r="G70" s="50"/>
      <c r="H70" s="50"/>
      <c r="I70" s="34"/>
      <c r="J70" s="50"/>
      <c r="K70" s="34"/>
      <c r="L70" s="97"/>
      <c r="M70" s="141"/>
      <c r="N70" s="10"/>
      <c r="O70" s="34"/>
      <c r="P70" s="115"/>
      <c r="Q70" s="119"/>
      <c r="R70" s="122"/>
      <c r="S70" s="9"/>
      <c r="T70" s="39"/>
      <c r="U70" s="53"/>
      <c r="V70" s="53"/>
    </row>
    <row r="71" spans="1:22" x14ac:dyDescent="0.25">
      <c r="A71" s="39"/>
      <c r="B71" s="34"/>
      <c r="C71" s="34"/>
      <c r="D71" s="34"/>
      <c r="E71" s="34"/>
      <c r="F71" s="50"/>
      <c r="G71" s="50"/>
      <c r="H71" s="50"/>
      <c r="I71" s="34"/>
      <c r="J71" s="50"/>
      <c r="K71" s="34"/>
      <c r="L71" s="97"/>
      <c r="M71" s="141"/>
      <c r="N71" s="10"/>
      <c r="O71" s="34"/>
      <c r="P71" s="115"/>
      <c r="Q71" s="119"/>
      <c r="R71" s="122"/>
      <c r="S71" s="9"/>
      <c r="T71" s="39"/>
      <c r="U71" s="53"/>
      <c r="V71" s="53"/>
    </row>
    <row r="72" spans="1:22" x14ac:dyDescent="0.25">
      <c r="A72" s="39"/>
      <c r="B72" s="34"/>
      <c r="C72" s="34"/>
      <c r="D72" s="34"/>
      <c r="E72" s="34"/>
      <c r="F72" s="50"/>
      <c r="G72" s="50"/>
      <c r="H72" s="50"/>
      <c r="I72" s="34"/>
      <c r="J72" s="50"/>
      <c r="K72" s="34"/>
      <c r="L72" s="97"/>
      <c r="M72" s="141"/>
      <c r="N72" s="10"/>
      <c r="O72" s="34"/>
      <c r="P72" s="115"/>
      <c r="Q72" s="119"/>
      <c r="R72" s="122"/>
      <c r="S72" s="9"/>
      <c r="T72" s="39"/>
      <c r="U72" s="53"/>
      <c r="V72" s="53"/>
    </row>
    <row r="73" spans="1:22" x14ac:dyDescent="0.25">
      <c r="A73" s="39"/>
      <c r="B73" s="34"/>
      <c r="C73" s="34"/>
      <c r="D73" s="34"/>
      <c r="E73" s="34"/>
      <c r="F73" s="50"/>
      <c r="G73" s="50"/>
      <c r="H73" s="50"/>
      <c r="I73" s="34"/>
      <c r="J73" s="50"/>
      <c r="K73" s="34"/>
      <c r="L73" s="97"/>
      <c r="M73" s="141"/>
      <c r="N73" s="10"/>
      <c r="O73" s="34"/>
      <c r="P73" s="115"/>
      <c r="Q73" s="119"/>
      <c r="R73" s="122"/>
      <c r="S73" s="9"/>
      <c r="T73" s="39"/>
      <c r="U73" s="53"/>
      <c r="V73" s="53"/>
    </row>
    <row r="74" spans="1:22" x14ac:dyDescent="0.25">
      <c r="A74" s="39"/>
      <c r="B74" s="34"/>
      <c r="C74" s="34"/>
      <c r="D74" s="34"/>
      <c r="E74" s="34"/>
      <c r="F74" s="50"/>
      <c r="G74" s="50"/>
      <c r="H74" s="50"/>
      <c r="I74" s="34"/>
      <c r="J74" s="50"/>
      <c r="K74" s="34"/>
      <c r="L74" s="97"/>
      <c r="M74" s="141"/>
      <c r="N74" s="10"/>
      <c r="O74" s="34"/>
      <c r="P74" s="115"/>
      <c r="Q74" s="119"/>
      <c r="R74" s="122"/>
      <c r="S74" s="9"/>
      <c r="T74" s="39"/>
      <c r="U74" s="53"/>
      <c r="V74" s="53"/>
    </row>
    <row r="75" spans="1:22" x14ac:dyDescent="0.25">
      <c r="A75" s="39"/>
      <c r="B75" s="34"/>
      <c r="C75" s="34"/>
      <c r="D75" s="34"/>
      <c r="E75" s="34"/>
      <c r="F75" s="50"/>
      <c r="G75" s="50"/>
      <c r="H75" s="50"/>
      <c r="I75" s="34"/>
      <c r="J75" s="50"/>
      <c r="K75" s="34"/>
      <c r="L75" s="97"/>
      <c r="M75" s="141"/>
      <c r="N75" s="10"/>
      <c r="O75" s="34"/>
      <c r="P75" s="115"/>
      <c r="Q75" s="119"/>
      <c r="R75" s="122"/>
      <c r="S75" s="9"/>
      <c r="T75" s="39"/>
      <c r="U75" s="53"/>
      <c r="V75" s="53"/>
    </row>
  </sheetData>
  <autoFilter ref="A6:V73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8" priority="14" operator="equal">
      <formula>"Y"</formula>
    </cfRule>
  </conditionalFormatting>
  <conditionalFormatting sqref="A7:N75">
    <cfRule type="expression" dxfId="7" priority="7">
      <formula>$M7="Y"</formula>
    </cfRule>
  </conditionalFormatting>
  <conditionalFormatting sqref="M2:M3">
    <cfRule type="cellIs" dxfId="6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H3" sqref="H3"/>
    </sheetView>
  </sheetViews>
  <sheetFormatPr defaultRowHeight="15" x14ac:dyDescent="0.25"/>
  <cols>
    <col min="1" max="1" width="9.140625" style="71" customWidth="1"/>
    <col min="2" max="2" width="8" style="139" bestFit="1" customWidth="1"/>
    <col min="3" max="3" width="9.85546875" style="130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1" t="str">
        <f>"Trips that did not appear in PTC Data "&amp;TEXT(Variables!$A$2,"YYYY-mm-dd")</f>
        <v>Trips that did not appear in PTC Data 2016-08-18</v>
      </c>
      <c r="B1" s="151"/>
      <c r="C1" s="151"/>
      <c r="D1" s="151"/>
      <c r="E1" s="151"/>
    </row>
    <row r="2" spans="1:10" s="27" customFormat="1" ht="45" x14ac:dyDescent="0.25">
      <c r="A2" s="112" t="s">
        <v>66</v>
      </c>
      <c r="B2" s="136" t="s">
        <v>67</v>
      </c>
      <c r="C2" s="137" t="s">
        <v>68</v>
      </c>
      <c r="D2" s="27" t="s">
        <v>64</v>
      </c>
      <c r="E2" s="27" t="s">
        <v>65</v>
      </c>
      <c r="F2" s="27" t="s">
        <v>69</v>
      </c>
      <c r="G2" s="32" t="s">
        <v>70</v>
      </c>
      <c r="H2" s="32" t="s">
        <v>127</v>
      </c>
    </row>
    <row r="3" spans="1:10" x14ac:dyDescent="0.25">
      <c r="A3" s="40" t="s">
        <v>680</v>
      </c>
      <c r="B3" s="138"/>
      <c r="C3" s="138"/>
      <c r="D3" s="53"/>
      <c r="E3" s="25" t="str">
        <f>VLOOKUP(A3,'Trips&amp;Operators'!$C$2:$E$10000,3,FALSE)</f>
        <v>STURGEON</v>
      </c>
      <c r="F3" s="25" t="str">
        <f>VLOOKUP(A3,'Trips&amp;Operators'!$C$1:$F$10000,4,FALSE)</f>
        <v>rtdc.l.rtdc.4008:itc</v>
      </c>
      <c r="G3" s="33">
        <f>VLOOKUP(A3,'Trips&amp;Operators'!$C$1:$H$10000,5,FALSE)</f>
        <v>42601.059710648151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22244-18%22)),sort:!(Time,asc))</v>
      </c>
      <c r="I3" s="24"/>
      <c r="J3" s="24"/>
    </row>
    <row r="4" spans="1:10" x14ac:dyDescent="0.25">
      <c r="A4" s="40"/>
      <c r="B4" s="138"/>
      <c r="C4" s="138"/>
      <c r="D4" s="53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40"/>
      <c r="B5" s="138"/>
      <c r="C5" s="138"/>
      <c r="D5" s="53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40"/>
      <c r="B6" s="138"/>
      <c r="C6" s="138"/>
      <c r="D6" s="53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77"/>
      <c r="B7" s="138"/>
      <c r="C7" s="138"/>
      <c r="D7" s="53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77"/>
      <c r="B8" s="138"/>
      <c r="C8" s="138"/>
      <c r="D8" s="53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3"/>
      <c r="C9" s="123"/>
      <c r="H9" s="24"/>
      <c r="I9" s="24"/>
      <c r="J9" s="24"/>
    </row>
    <row r="10" spans="1:10" x14ac:dyDescent="0.25">
      <c r="B10" s="123"/>
      <c r="C10" s="123"/>
      <c r="H10" s="24"/>
      <c r="I10" s="24"/>
      <c r="J10" s="24"/>
    </row>
    <row r="11" spans="1:10" x14ac:dyDescent="0.25">
      <c r="B11" s="123"/>
      <c r="C11" s="123"/>
      <c r="H11" s="24"/>
      <c r="I11" s="24"/>
      <c r="J11" s="24"/>
    </row>
    <row r="12" spans="1:10" x14ac:dyDescent="0.25">
      <c r="B12" s="123"/>
      <c r="C12" s="123"/>
      <c r="H12" s="24"/>
      <c r="I12" s="24"/>
      <c r="J12" s="24"/>
    </row>
    <row r="13" spans="1:10" x14ac:dyDescent="0.25">
      <c r="B13" s="123"/>
      <c r="C13" s="123"/>
      <c r="H13" s="24"/>
      <c r="I13" s="24"/>
      <c r="J13" s="24"/>
    </row>
    <row r="14" spans="1:10" x14ac:dyDescent="0.25">
      <c r="B14" s="123"/>
      <c r="C14" s="123"/>
      <c r="H14" s="24"/>
      <c r="I14" s="24"/>
      <c r="J14" s="24"/>
    </row>
    <row r="15" spans="1:10" x14ac:dyDescent="0.25">
      <c r="B15" s="123"/>
      <c r="C15" s="123"/>
      <c r="H15" s="24"/>
      <c r="I15" s="24"/>
      <c r="J15" s="24"/>
    </row>
    <row r="16" spans="1:10" x14ac:dyDescent="0.25">
      <c r="B16" s="123"/>
      <c r="C16" s="123"/>
      <c r="H16" s="24"/>
      <c r="I16" s="24"/>
      <c r="J16" s="24"/>
    </row>
    <row r="17" spans="2:10" x14ac:dyDescent="0.25">
      <c r="B17" s="123"/>
      <c r="C17" s="123"/>
      <c r="H17" s="24"/>
      <c r="I17" s="24"/>
      <c r="J17" s="24"/>
    </row>
    <row r="18" spans="2:10" x14ac:dyDescent="0.25">
      <c r="B18" s="123"/>
      <c r="C18" s="123"/>
      <c r="H18" s="24"/>
      <c r="I18" s="24"/>
      <c r="J18" s="24"/>
    </row>
    <row r="19" spans="2:10" x14ac:dyDescent="0.25">
      <c r="B19" s="123"/>
      <c r="C19" s="123"/>
      <c r="H19" s="24"/>
      <c r="I19" s="24"/>
      <c r="J19" s="24"/>
    </row>
    <row r="20" spans="2:10" x14ac:dyDescent="0.25">
      <c r="B20" s="123"/>
      <c r="C20" s="123"/>
      <c r="H20" s="24"/>
      <c r="I20" s="24"/>
      <c r="J20" s="24"/>
    </row>
    <row r="21" spans="2:10" x14ac:dyDescent="0.25">
      <c r="B21" s="123"/>
      <c r="C21" s="123"/>
      <c r="H21" s="24"/>
      <c r="I21" s="24"/>
      <c r="J21" s="24"/>
    </row>
    <row r="22" spans="2:10" x14ac:dyDescent="0.25">
      <c r="B22" s="123"/>
      <c r="C22" s="123"/>
      <c r="H22" s="24"/>
      <c r="I22" s="24"/>
      <c r="J22" s="24"/>
    </row>
    <row r="23" spans="2:10" x14ac:dyDescent="0.25">
      <c r="B23" s="123"/>
      <c r="C23" s="123"/>
      <c r="H23" s="24"/>
      <c r="I23" s="24"/>
      <c r="J23" s="24"/>
    </row>
    <row r="24" spans="2:10" x14ac:dyDescent="0.25">
      <c r="B24" s="123"/>
      <c r="C24" s="123"/>
      <c r="H24" s="24"/>
      <c r="I24" s="24"/>
      <c r="J24" s="24"/>
    </row>
    <row r="25" spans="2:10" x14ac:dyDescent="0.25">
      <c r="B25" s="123"/>
      <c r="C25" s="123"/>
      <c r="H25" s="24"/>
      <c r="I25" s="24"/>
      <c r="J25" s="24"/>
    </row>
    <row r="26" spans="2:10" x14ac:dyDescent="0.25">
      <c r="B26" s="123"/>
      <c r="C26" s="123"/>
      <c r="H26" s="24"/>
      <c r="I26" s="24"/>
      <c r="J26" s="24"/>
    </row>
    <row r="27" spans="2:10" x14ac:dyDescent="0.25">
      <c r="B27" s="123"/>
      <c r="C27" s="123"/>
      <c r="H27" s="24"/>
      <c r="I27" s="24"/>
      <c r="J27" s="24"/>
    </row>
    <row r="28" spans="2:10" x14ac:dyDescent="0.25">
      <c r="B28" s="123"/>
      <c r="C28" s="123"/>
      <c r="H28" s="24"/>
      <c r="I28" s="24"/>
      <c r="J28" s="24"/>
    </row>
    <row r="29" spans="2:10" x14ac:dyDescent="0.25">
      <c r="B29" s="123"/>
      <c r="C29" s="123"/>
      <c r="H29" s="24"/>
      <c r="I29" s="24"/>
      <c r="J29" s="24"/>
    </row>
    <row r="30" spans="2:10" x14ac:dyDescent="0.25">
      <c r="B30" s="123"/>
      <c r="C30" s="123"/>
      <c r="H30" s="24"/>
      <c r="I30" s="24"/>
      <c r="J30" s="24"/>
    </row>
    <row r="31" spans="2:10" x14ac:dyDescent="0.25">
      <c r="B31" s="123"/>
      <c r="C31" s="123"/>
      <c r="H31" s="24"/>
      <c r="I31" s="24"/>
      <c r="J31" s="24"/>
    </row>
    <row r="32" spans="2:10" x14ac:dyDescent="0.25">
      <c r="B32" s="123"/>
      <c r="C32" s="123"/>
      <c r="H32" s="24"/>
      <c r="I32" s="24"/>
      <c r="J32" s="24"/>
    </row>
    <row r="33" spans="2:10" x14ac:dyDescent="0.25">
      <c r="B33" s="123"/>
      <c r="C33" s="123"/>
      <c r="H33" s="24"/>
      <c r="I33" s="24"/>
      <c r="J33" s="24"/>
    </row>
    <row r="34" spans="2:10" x14ac:dyDescent="0.25">
      <c r="B34" s="123"/>
      <c r="C34" s="123"/>
      <c r="H34" s="24"/>
      <c r="I34" s="24"/>
      <c r="J34" s="24"/>
    </row>
    <row r="35" spans="2:10" x14ac:dyDescent="0.25">
      <c r="B35" s="123"/>
      <c r="C35" s="123"/>
      <c r="H35" s="24"/>
      <c r="I35" s="24"/>
      <c r="J35" s="24"/>
    </row>
    <row r="36" spans="2:10" x14ac:dyDescent="0.25">
      <c r="B36" s="123"/>
      <c r="C36" s="123"/>
      <c r="H36" s="24"/>
      <c r="I36" s="24"/>
      <c r="J36" s="24"/>
    </row>
    <row r="37" spans="2:10" x14ac:dyDescent="0.25">
      <c r="B37" s="123"/>
      <c r="C37" s="123"/>
      <c r="H37" s="24"/>
      <c r="I37" s="24"/>
      <c r="J37" s="24"/>
    </row>
    <row r="38" spans="2:10" x14ac:dyDescent="0.25">
      <c r="B38" s="123"/>
      <c r="C38" s="123"/>
      <c r="H38" s="24"/>
      <c r="I38" s="24"/>
      <c r="J38" s="24"/>
    </row>
    <row r="39" spans="2:10" x14ac:dyDescent="0.25">
      <c r="B39" s="123"/>
      <c r="C39" s="123"/>
      <c r="H39" s="24"/>
      <c r="I39" s="24"/>
      <c r="J39" s="24"/>
    </row>
    <row r="40" spans="2:10" x14ac:dyDescent="0.25">
      <c r="B40" s="123"/>
      <c r="C40" s="123"/>
      <c r="H40" s="24"/>
      <c r="I40" s="24"/>
      <c r="J40" s="24"/>
    </row>
    <row r="41" spans="2:10" x14ac:dyDescent="0.25">
      <c r="B41" s="123"/>
      <c r="C41" s="123"/>
      <c r="H41" s="24"/>
      <c r="I41" s="24"/>
      <c r="J41" s="24"/>
    </row>
    <row r="42" spans="2:10" x14ac:dyDescent="0.25">
      <c r="B42" s="123"/>
      <c r="C42" s="123"/>
      <c r="H42" s="24"/>
      <c r="I42" s="24"/>
      <c r="J42" s="24"/>
    </row>
    <row r="43" spans="2:10" x14ac:dyDescent="0.25">
      <c r="B43" s="123"/>
      <c r="C43" s="123"/>
      <c r="H43" s="24"/>
      <c r="I43" s="24"/>
      <c r="J43" s="24"/>
    </row>
    <row r="44" spans="2:10" x14ac:dyDescent="0.25">
      <c r="B44" s="123"/>
      <c r="C44" s="123"/>
      <c r="H44" s="24"/>
      <c r="I44" s="24"/>
      <c r="J44" s="24"/>
    </row>
    <row r="45" spans="2:10" x14ac:dyDescent="0.25">
      <c r="B45" s="123"/>
      <c r="C45" s="123"/>
      <c r="H45" s="24"/>
      <c r="I45" s="24"/>
      <c r="J45" s="24"/>
    </row>
    <row r="46" spans="2:10" x14ac:dyDescent="0.25">
      <c r="B46" s="123"/>
      <c r="C46" s="123"/>
      <c r="H46" s="24"/>
      <c r="I46" s="24"/>
      <c r="J46" s="24"/>
    </row>
    <row r="47" spans="2:10" x14ac:dyDescent="0.25">
      <c r="B47" s="123"/>
      <c r="C47" s="123"/>
      <c r="H47" s="24"/>
      <c r="I47" s="24"/>
      <c r="J47" s="24"/>
    </row>
    <row r="48" spans="2:10" x14ac:dyDescent="0.25">
      <c r="B48" s="123"/>
      <c r="C48" s="123"/>
      <c r="H48" s="24"/>
      <c r="I48" s="24"/>
      <c r="J48" s="24"/>
    </row>
    <row r="49" spans="2:10" x14ac:dyDescent="0.25">
      <c r="B49" s="123"/>
      <c r="C49" s="123"/>
      <c r="H49" s="24"/>
      <c r="I49" s="24"/>
      <c r="J49" s="24"/>
    </row>
    <row r="50" spans="2:10" x14ac:dyDescent="0.25">
      <c r="B50" s="123"/>
      <c r="C50" s="123"/>
      <c r="H50" s="24"/>
      <c r="I50" s="24"/>
      <c r="J50" s="24"/>
    </row>
    <row r="51" spans="2:10" x14ac:dyDescent="0.25">
      <c r="B51" s="123"/>
      <c r="C51" s="123"/>
      <c r="H51" s="24"/>
      <c r="I51" s="24"/>
      <c r="J51" s="24"/>
    </row>
    <row r="52" spans="2:10" x14ac:dyDescent="0.25">
      <c r="B52" s="123"/>
      <c r="C52" s="123"/>
      <c r="H52" s="24"/>
      <c r="I52" s="24"/>
      <c r="J52" s="24"/>
    </row>
    <row r="53" spans="2:10" x14ac:dyDescent="0.25">
      <c r="B53" s="123"/>
      <c r="C53" s="123"/>
      <c r="H53" s="24"/>
      <c r="I53" s="24"/>
      <c r="J53" s="24"/>
    </row>
    <row r="54" spans="2:10" x14ac:dyDescent="0.25">
      <c r="B54" s="123"/>
      <c r="C54" s="123"/>
      <c r="H54" s="24"/>
      <c r="I54" s="24"/>
      <c r="J54" s="24"/>
    </row>
    <row r="55" spans="2:10" x14ac:dyDescent="0.25">
      <c r="B55" s="123"/>
      <c r="C55" s="123"/>
      <c r="H55" s="24"/>
      <c r="I55" s="24"/>
      <c r="J55" s="24"/>
    </row>
    <row r="56" spans="2:10" x14ac:dyDescent="0.25">
      <c r="B56" s="123"/>
      <c r="C56" s="123"/>
      <c r="H56" s="24"/>
      <c r="I56" s="24"/>
      <c r="J56" s="24"/>
    </row>
    <row r="57" spans="2:10" x14ac:dyDescent="0.25">
      <c r="B57" s="123"/>
      <c r="C57" s="123"/>
      <c r="H57" s="24"/>
      <c r="I57" s="24"/>
      <c r="J57" s="24"/>
    </row>
    <row r="58" spans="2:10" x14ac:dyDescent="0.25">
      <c r="B58" s="123"/>
      <c r="C58" s="123"/>
      <c r="H58" s="24"/>
      <c r="I58" s="24"/>
      <c r="J58" s="24"/>
    </row>
    <row r="59" spans="2:10" x14ac:dyDescent="0.25">
      <c r="B59" s="123"/>
      <c r="C59" s="123"/>
      <c r="H59" s="24"/>
      <c r="I59" s="24"/>
      <c r="J59" s="24"/>
    </row>
    <row r="60" spans="2:10" x14ac:dyDescent="0.25">
      <c r="B60" s="123"/>
      <c r="C60" s="123"/>
      <c r="H60" s="24"/>
      <c r="I60" s="24"/>
      <c r="J60" s="24"/>
    </row>
    <row r="61" spans="2:10" x14ac:dyDescent="0.25">
      <c r="B61" s="123"/>
      <c r="C61" s="123"/>
      <c r="H61" s="24"/>
      <c r="I61" s="24"/>
      <c r="J61" s="24"/>
    </row>
    <row r="62" spans="2:10" x14ac:dyDescent="0.25">
      <c r="B62" s="123"/>
      <c r="C62" s="123"/>
      <c r="H62" s="24"/>
      <c r="I62" s="24"/>
      <c r="J62" s="24"/>
    </row>
    <row r="63" spans="2:10" x14ac:dyDescent="0.25">
      <c r="B63" s="123"/>
      <c r="C63" s="123"/>
      <c r="H63" s="24"/>
      <c r="I63" s="24"/>
      <c r="J63" s="24"/>
    </row>
    <row r="64" spans="2:10" x14ac:dyDescent="0.25">
      <c r="B64" s="123"/>
      <c r="C64" s="123"/>
      <c r="H64" s="24"/>
      <c r="I64" s="24"/>
      <c r="J64" s="24"/>
    </row>
    <row r="65" spans="2:10" x14ac:dyDescent="0.25">
      <c r="B65" s="123"/>
      <c r="C65" s="123"/>
      <c r="H65" s="24"/>
      <c r="I65" s="24"/>
      <c r="J65" s="24"/>
    </row>
    <row r="66" spans="2:10" x14ac:dyDescent="0.25">
      <c r="B66" s="123"/>
      <c r="C66" s="123"/>
      <c r="H66" s="24"/>
      <c r="I66" s="24"/>
      <c r="J66" s="24"/>
    </row>
    <row r="67" spans="2:10" x14ac:dyDescent="0.25">
      <c r="B67" s="123"/>
      <c r="C67" s="123"/>
      <c r="H67" s="24"/>
      <c r="I67" s="24"/>
      <c r="J67" s="24"/>
    </row>
    <row r="68" spans="2:10" x14ac:dyDescent="0.25">
      <c r="B68" s="123"/>
      <c r="C68" s="123"/>
      <c r="H68" s="24"/>
      <c r="I68" s="24"/>
      <c r="J68" s="24"/>
    </row>
    <row r="69" spans="2:10" x14ac:dyDescent="0.25">
      <c r="B69" s="123"/>
      <c r="C69" s="123"/>
      <c r="H69" s="24"/>
      <c r="I69" s="24"/>
      <c r="J69" s="24"/>
    </row>
    <row r="70" spans="2:10" x14ac:dyDescent="0.25">
      <c r="B70" s="123"/>
      <c r="C70" s="123"/>
      <c r="H70" s="24"/>
      <c r="I70" s="24"/>
      <c r="J70" s="24"/>
    </row>
    <row r="71" spans="2:10" x14ac:dyDescent="0.25">
      <c r="B71" s="123"/>
      <c r="C71" s="123"/>
      <c r="H71" s="24"/>
      <c r="I71" s="24"/>
      <c r="J71" s="24"/>
    </row>
    <row r="72" spans="2:10" x14ac:dyDescent="0.25">
      <c r="B72" s="123"/>
      <c r="C72" s="123"/>
      <c r="H72" s="24"/>
      <c r="I72" s="24"/>
      <c r="J72" s="24"/>
    </row>
    <row r="73" spans="2:10" x14ac:dyDescent="0.25">
      <c r="B73" s="123"/>
      <c r="C73" s="123"/>
      <c r="H73" s="24"/>
      <c r="I73" s="24"/>
      <c r="J73" s="24"/>
    </row>
    <row r="74" spans="2:10" x14ac:dyDescent="0.25">
      <c r="B74" s="123"/>
      <c r="C74" s="123"/>
      <c r="H74" s="24"/>
      <c r="I74" s="24"/>
      <c r="J74" s="24"/>
    </row>
    <row r="75" spans="2:10" x14ac:dyDescent="0.25">
      <c r="B75" s="123"/>
      <c r="C75" s="123"/>
      <c r="H75" s="24"/>
      <c r="I75" s="24"/>
      <c r="J75" s="24"/>
    </row>
    <row r="76" spans="2:10" x14ac:dyDescent="0.25">
      <c r="B76" s="123"/>
      <c r="C76" s="123"/>
      <c r="H76" s="24"/>
      <c r="I76" s="24"/>
      <c r="J76" s="24"/>
    </row>
    <row r="77" spans="2:10" x14ac:dyDescent="0.25">
      <c r="B77" s="123"/>
      <c r="C77" s="123"/>
      <c r="H77" s="24"/>
      <c r="I77" s="24"/>
      <c r="J77" s="24"/>
    </row>
    <row r="78" spans="2:10" x14ac:dyDescent="0.25">
      <c r="B78" s="123"/>
      <c r="C78" s="123"/>
      <c r="H78" s="24"/>
      <c r="I78" s="24"/>
      <c r="J78" s="24"/>
    </row>
    <row r="79" spans="2:10" x14ac:dyDescent="0.25">
      <c r="B79" s="123"/>
      <c r="C79" s="123"/>
      <c r="H79" s="24"/>
      <c r="I79" s="24"/>
      <c r="J79" s="24"/>
    </row>
    <row r="80" spans="2:10" x14ac:dyDescent="0.25">
      <c r="B80" s="123"/>
      <c r="C80" s="123"/>
      <c r="H80" s="24"/>
      <c r="I80" s="24"/>
      <c r="J80" s="24"/>
    </row>
    <row r="81" spans="2:10" x14ac:dyDescent="0.25">
      <c r="B81" s="123"/>
      <c r="C81" s="123"/>
      <c r="H81" s="24"/>
      <c r="I81" s="24"/>
      <c r="J81" s="24"/>
    </row>
    <row r="82" spans="2:10" x14ac:dyDescent="0.25">
      <c r="B82" s="123"/>
      <c r="C82" s="123"/>
      <c r="H82" s="24"/>
      <c r="I82" s="24"/>
      <c r="J82" s="24"/>
    </row>
    <row r="83" spans="2:10" x14ac:dyDescent="0.25">
      <c r="B83" s="123"/>
      <c r="C83" s="123"/>
      <c r="H83" s="24"/>
      <c r="I83" s="24"/>
      <c r="J83" s="24"/>
    </row>
    <row r="84" spans="2:10" x14ac:dyDescent="0.25">
      <c r="B84" s="123"/>
      <c r="C84" s="123"/>
      <c r="H84" s="24"/>
      <c r="I84" s="24"/>
      <c r="J84" s="24"/>
    </row>
    <row r="85" spans="2:10" x14ac:dyDescent="0.25">
      <c r="B85" s="123"/>
      <c r="C85" s="123"/>
      <c r="H85" s="24"/>
      <c r="I85" s="24"/>
      <c r="J85" s="24"/>
    </row>
    <row r="86" spans="2:10" x14ac:dyDescent="0.25">
      <c r="B86" s="123"/>
      <c r="C86" s="123"/>
      <c r="H86" s="24"/>
      <c r="I86" s="24"/>
      <c r="J86" s="24"/>
    </row>
    <row r="87" spans="2:10" x14ac:dyDescent="0.25">
      <c r="B87" s="123"/>
      <c r="C87" s="123"/>
      <c r="H87" s="24"/>
      <c r="I87" s="24"/>
      <c r="J87" s="24"/>
    </row>
    <row r="88" spans="2:10" x14ac:dyDescent="0.25">
      <c r="B88" s="123"/>
      <c r="C88" s="123"/>
      <c r="H88" s="24"/>
      <c r="I88" s="24"/>
      <c r="J88" s="24"/>
    </row>
    <row r="89" spans="2:10" x14ac:dyDescent="0.25">
      <c r="B89" s="123"/>
      <c r="C89" s="123"/>
      <c r="H89" s="24"/>
      <c r="I89" s="24"/>
      <c r="J89" s="24"/>
    </row>
    <row r="90" spans="2:10" x14ac:dyDescent="0.25">
      <c r="B90" s="123"/>
      <c r="C90" s="123"/>
      <c r="H90" s="24"/>
      <c r="I90" s="24"/>
      <c r="J90" s="24"/>
    </row>
    <row r="91" spans="2:10" x14ac:dyDescent="0.25">
      <c r="B91" s="123"/>
      <c r="C91" s="123"/>
      <c r="H91" s="24"/>
      <c r="I91" s="24"/>
      <c r="J91" s="24"/>
    </row>
    <row r="92" spans="2:10" x14ac:dyDescent="0.25">
      <c r="B92" s="123"/>
      <c r="C92" s="123"/>
      <c r="H92" s="24"/>
      <c r="I92" s="24"/>
      <c r="J92" s="24"/>
    </row>
    <row r="93" spans="2:10" x14ac:dyDescent="0.25">
      <c r="B93" s="123"/>
      <c r="C93" s="123"/>
      <c r="H93" s="24"/>
      <c r="I93" s="24"/>
      <c r="J93" s="24"/>
    </row>
    <row r="94" spans="2:10" x14ac:dyDescent="0.25">
      <c r="B94" s="123"/>
      <c r="C94" s="123"/>
      <c r="H94" s="24"/>
      <c r="I94" s="24"/>
      <c r="J94" s="24"/>
    </row>
    <row r="95" spans="2:10" x14ac:dyDescent="0.25">
      <c r="B95" s="123"/>
      <c r="C95" s="123"/>
      <c r="H95" s="24"/>
      <c r="I95" s="24"/>
      <c r="J95" s="24"/>
    </row>
    <row r="96" spans="2:10" x14ac:dyDescent="0.25">
      <c r="B96" s="123"/>
      <c r="C96" s="123"/>
      <c r="H96" s="24"/>
      <c r="I96" s="24"/>
      <c r="J96" s="24"/>
    </row>
    <row r="97" spans="2:10" x14ac:dyDescent="0.25">
      <c r="B97" s="123"/>
      <c r="C97" s="123"/>
      <c r="H97" s="24"/>
      <c r="I97" s="24"/>
      <c r="J97" s="24"/>
    </row>
    <row r="98" spans="2:10" x14ac:dyDescent="0.25">
      <c r="B98" s="123"/>
      <c r="C98" s="123"/>
      <c r="H98" s="24"/>
      <c r="I98" s="24"/>
      <c r="J98" s="24"/>
    </row>
    <row r="99" spans="2:10" x14ac:dyDescent="0.25">
      <c r="B99" s="123"/>
      <c r="C99" s="123"/>
      <c r="H99" s="24"/>
      <c r="I99" s="24"/>
      <c r="J99" s="24"/>
    </row>
    <row r="100" spans="2:10" x14ac:dyDescent="0.25">
      <c r="B100" s="123"/>
      <c r="C100" s="123"/>
      <c r="H100" s="24"/>
      <c r="I100" s="24"/>
      <c r="J100" s="24"/>
    </row>
    <row r="101" spans="2:10" x14ac:dyDescent="0.25">
      <c r="B101" s="123"/>
      <c r="C101" s="123"/>
      <c r="H101" s="24"/>
      <c r="I101" s="24"/>
      <c r="J101" s="24"/>
    </row>
    <row r="102" spans="2:10" x14ac:dyDescent="0.25">
      <c r="B102" s="123"/>
      <c r="C102" s="123"/>
      <c r="H102" s="24"/>
      <c r="I102" s="24"/>
      <c r="J102" s="24"/>
    </row>
    <row r="103" spans="2:10" x14ac:dyDescent="0.25">
      <c r="B103" s="123"/>
      <c r="C103" s="123"/>
      <c r="H103" s="24"/>
      <c r="I103" s="24"/>
      <c r="J103" s="24"/>
    </row>
    <row r="104" spans="2:10" x14ac:dyDescent="0.25">
      <c r="B104" s="123"/>
      <c r="C104" s="123"/>
      <c r="H104" s="24"/>
      <c r="I104" s="24"/>
      <c r="J104" s="24"/>
    </row>
    <row r="105" spans="2:10" x14ac:dyDescent="0.25">
      <c r="B105" s="123"/>
      <c r="C105" s="123"/>
      <c r="H105" s="24"/>
      <c r="I105" s="24"/>
      <c r="J105" s="24"/>
    </row>
    <row r="106" spans="2:10" x14ac:dyDescent="0.25">
      <c r="B106" s="123"/>
      <c r="C106" s="123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conditionalFormatting sqref="A5:A6">
    <cfRule type="expression" dxfId="5" priority="9">
      <formula>$O5&gt;0</formula>
    </cfRule>
  </conditionalFormatting>
  <conditionalFormatting sqref="A5:A6">
    <cfRule type="expression" dxfId="4" priority="8">
      <formula>$P5&gt;0</formula>
    </cfRule>
  </conditionalFormatting>
  <conditionalFormatting sqref="A3:A4">
    <cfRule type="expression" dxfId="3" priority="3">
      <formula>$O3&gt;0</formula>
    </cfRule>
  </conditionalFormatting>
  <conditionalFormatting sqref="A3:A4">
    <cfRule type="expression" dxfId="2" priority="2">
      <formula>$P3&gt;0</formula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8B93EFA5-C73B-4B11-BC52-43970A2FDE50}">
            <xm:f>IF($AG5="EC",$N5&gt;Variables!$C$2,$N5&gt;Variables!$D$2)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A5:A6</xm:sqref>
        </x14:conditionalFormatting>
        <x14:conditionalFormatting xmlns:xm="http://schemas.microsoft.com/office/excel/2006/main">
          <x14:cfRule type="expression" priority="1" id="{18EA03FC-6265-46A3-B2A7-060032ACB64E}">
            <xm:f>IF($AG3="EC",$N3&gt;Variables!$C$2,$N3&gt;Variables!$D$2)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A3:A4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42600.032002314816</v>
      </c>
      <c r="B1" s="24" t="s">
        <v>111</v>
      </c>
      <c r="C1" s="24" t="s">
        <v>288</v>
      </c>
      <c r="D1" s="24">
        <v>1300000</v>
      </c>
      <c r="E1" s="24" t="s">
        <v>152</v>
      </c>
      <c r="F1" s="24" t="str">
        <f>B1</f>
        <v>rtdc.l.rtdc.4015:itc</v>
      </c>
      <c r="G1" s="8">
        <f>A1</f>
        <v>42600.032002314816</v>
      </c>
    </row>
    <row r="2" spans="1:7" x14ac:dyDescent="0.25">
      <c r="A2" s="8">
        <v>42600.039780092593</v>
      </c>
      <c r="B2" s="24" t="s">
        <v>211</v>
      </c>
      <c r="C2" s="24" t="s">
        <v>290</v>
      </c>
      <c r="D2" s="24">
        <v>1480000</v>
      </c>
      <c r="E2" s="24" t="s">
        <v>257</v>
      </c>
      <c r="F2" s="24" t="str">
        <f t="shared" ref="F2:F65" si="0">B2</f>
        <v>rtdc.l.rtdc.4009:itc</v>
      </c>
      <c r="G2" s="8">
        <f t="shared" ref="G2:G65" si="1">A2</f>
        <v>42600.039780092593</v>
      </c>
    </row>
    <row r="3" spans="1:7" x14ac:dyDescent="0.25">
      <c r="A3" s="8">
        <v>42600.056909722225</v>
      </c>
      <c r="B3" s="24" t="s">
        <v>117</v>
      </c>
      <c r="C3" s="24" t="s">
        <v>292</v>
      </c>
      <c r="D3" s="24">
        <v>2100000</v>
      </c>
      <c r="E3" s="24" t="s">
        <v>147</v>
      </c>
      <c r="F3" s="24" t="str">
        <f t="shared" si="0"/>
        <v>rtdc.l.rtdc.4014:itc</v>
      </c>
      <c r="G3" s="8">
        <f t="shared" si="1"/>
        <v>42600.056909722225</v>
      </c>
    </row>
    <row r="4" spans="1:7" x14ac:dyDescent="0.25">
      <c r="A4" s="8">
        <v>42600.057430555556</v>
      </c>
      <c r="B4" s="24" t="s">
        <v>120</v>
      </c>
      <c r="C4" s="24" t="s">
        <v>289</v>
      </c>
      <c r="D4" s="24">
        <v>1780000</v>
      </c>
      <c r="E4" s="24" t="s">
        <v>315</v>
      </c>
      <c r="F4" s="24" t="str">
        <f t="shared" si="0"/>
        <v>rtdc.l.rtdc.4032:itc</v>
      </c>
      <c r="G4" s="8">
        <f t="shared" si="1"/>
        <v>42600.057430555556</v>
      </c>
    </row>
    <row r="5" spans="1:7" x14ac:dyDescent="0.25">
      <c r="A5" s="8">
        <v>42600.077986111108</v>
      </c>
      <c r="B5" s="24" t="s">
        <v>220</v>
      </c>
      <c r="C5" s="24" t="s">
        <v>293</v>
      </c>
      <c r="D5" s="24">
        <v>1300000</v>
      </c>
      <c r="E5" s="24" t="s">
        <v>152</v>
      </c>
      <c r="F5" s="24" t="str">
        <f t="shared" si="0"/>
        <v>rtdc.l.rtdc.4016:itc</v>
      </c>
      <c r="G5" s="8">
        <f t="shared" si="1"/>
        <v>42600.077986111108</v>
      </c>
    </row>
    <row r="6" spans="1:7" x14ac:dyDescent="0.25">
      <c r="A6" s="8">
        <v>42600.120925925927</v>
      </c>
      <c r="B6" s="24" t="s">
        <v>157</v>
      </c>
      <c r="C6" s="24" t="s">
        <v>543</v>
      </c>
      <c r="D6" s="24">
        <v>2010000</v>
      </c>
      <c r="E6" s="24" t="s">
        <v>310</v>
      </c>
      <c r="F6" s="24" t="str">
        <f t="shared" si="0"/>
        <v>rtdc.l.rtdc.4037:itc</v>
      </c>
      <c r="G6" s="8">
        <f t="shared" si="1"/>
        <v>42600.120925925927</v>
      </c>
    </row>
    <row r="7" spans="1:7" x14ac:dyDescent="0.25">
      <c r="A7" s="8">
        <v>42600.133553240739</v>
      </c>
      <c r="B7" s="24" t="s">
        <v>308</v>
      </c>
      <c r="C7" s="24" t="s">
        <v>359</v>
      </c>
      <c r="D7" s="24">
        <v>2010000</v>
      </c>
      <c r="E7" s="24" t="s">
        <v>310</v>
      </c>
      <c r="F7" s="24" t="str">
        <f t="shared" si="0"/>
        <v>rtdc.l.rtdc.4025:itc</v>
      </c>
      <c r="G7" s="8">
        <f t="shared" si="1"/>
        <v>42600.133553240739</v>
      </c>
    </row>
    <row r="8" spans="1:7" x14ac:dyDescent="0.25">
      <c r="A8" s="8">
        <v>42600.146087962959</v>
      </c>
      <c r="B8" s="24" t="s">
        <v>208</v>
      </c>
      <c r="C8" s="24" t="s">
        <v>547</v>
      </c>
      <c r="D8" s="24">
        <v>1090000</v>
      </c>
      <c r="E8" s="24" t="s">
        <v>226</v>
      </c>
      <c r="F8" s="24" t="str">
        <f t="shared" si="0"/>
        <v>rtdc.l.rtdc.4043:itc</v>
      </c>
      <c r="G8" s="8">
        <f t="shared" si="1"/>
        <v>42600.146087962959</v>
      </c>
    </row>
    <row r="9" spans="1:7" ht="15.75" thickBot="1" x14ac:dyDescent="0.3">
      <c r="A9" s="28">
        <v>42600.157164351855</v>
      </c>
      <c r="B9" s="24" t="s">
        <v>166</v>
      </c>
      <c r="C9" s="24" t="s">
        <v>365</v>
      </c>
      <c r="D9" s="24">
        <v>1090000</v>
      </c>
      <c r="E9" s="24" t="s">
        <v>226</v>
      </c>
      <c r="F9" s="24" t="str">
        <f t="shared" si="0"/>
        <v>rtdc.l.rtdc.4042:itc</v>
      </c>
      <c r="G9" s="8">
        <f t="shared" si="1"/>
        <v>42600.157164351855</v>
      </c>
    </row>
    <row r="10" spans="1:7" x14ac:dyDescent="0.25">
      <c r="A10" s="8">
        <v>42600.168773148151</v>
      </c>
      <c r="B10" s="24" t="s">
        <v>157</v>
      </c>
      <c r="C10" s="24" t="s">
        <v>362</v>
      </c>
      <c r="D10" s="24">
        <v>2010000</v>
      </c>
      <c r="E10" s="24" t="s">
        <v>310</v>
      </c>
      <c r="F10" s="24" t="str">
        <f t="shared" si="0"/>
        <v>rtdc.l.rtdc.4037:itc</v>
      </c>
      <c r="G10" s="8">
        <f t="shared" si="1"/>
        <v>42600.168773148151</v>
      </c>
    </row>
    <row r="11" spans="1:7" x14ac:dyDescent="0.25">
      <c r="A11" s="8">
        <v>42600.175706018519</v>
      </c>
      <c r="B11" s="24" t="s">
        <v>96</v>
      </c>
      <c r="C11" s="24" t="s">
        <v>369</v>
      </c>
      <c r="D11" s="24">
        <v>1310000</v>
      </c>
      <c r="E11" s="24" t="s">
        <v>672</v>
      </c>
      <c r="F11" s="24" t="str">
        <f t="shared" si="0"/>
        <v>rtdc.l.rtdc.4027:itc</v>
      </c>
      <c r="G11" s="8">
        <f t="shared" si="1"/>
        <v>42600.175706018519</v>
      </c>
    </row>
    <row r="12" spans="1:7" x14ac:dyDescent="0.25">
      <c r="A12" s="8">
        <v>42600.180254629631</v>
      </c>
      <c r="B12" s="24" t="s">
        <v>309</v>
      </c>
      <c r="C12" s="24" t="s">
        <v>372</v>
      </c>
      <c r="D12" s="24">
        <v>1760000</v>
      </c>
      <c r="E12" s="24" t="s">
        <v>311</v>
      </c>
      <c r="F12" s="24" t="str">
        <f t="shared" si="0"/>
        <v>rtdc.l.rtdc.4007:itc</v>
      </c>
      <c r="G12" s="8">
        <f t="shared" si="1"/>
        <v>42600.180254629631</v>
      </c>
    </row>
    <row r="13" spans="1:7" x14ac:dyDescent="0.25">
      <c r="A13" s="8">
        <v>42600.189895833333</v>
      </c>
      <c r="B13" s="24" t="s">
        <v>211</v>
      </c>
      <c r="C13" s="24" t="s">
        <v>373</v>
      </c>
      <c r="D13" s="24">
        <v>900000</v>
      </c>
      <c r="E13" s="24" t="s">
        <v>227</v>
      </c>
      <c r="F13" s="24" t="str">
        <f t="shared" si="0"/>
        <v>rtdc.l.rtdc.4009:itc</v>
      </c>
      <c r="G13" s="8">
        <f t="shared" si="1"/>
        <v>42600.189895833333</v>
      </c>
    </row>
    <row r="14" spans="1:7" x14ac:dyDescent="0.25">
      <c r="A14" s="8">
        <v>42600.192488425928</v>
      </c>
      <c r="B14" s="24" t="s">
        <v>208</v>
      </c>
      <c r="C14" s="24" t="s">
        <v>367</v>
      </c>
      <c r="D14" s="24">
        <v>1090000</v>
      </c>
      <c r="E14" s="24" t="s">
        <v>226</v>
      </c>
      <c r="F14" s="24" t="str">
        <f t="shared" si="0"/>
        <v>rtdc.l.rtdc.4043:itc</v>
      </c>
      <c r="G14" s="8">
        <f t="shared" si="1"/>
        <v>42600.192488425928</v>
      </c>
    </row>
    <row r="15" spans="1:7" x14ac:dyDescent="0.25">
      <c r="A15" s="8">
        <v>42600.212731481479</v>
      </c>
      <c r="B15" s="24" t="s">
        <v>308</v>
      </c>
      <c r="C15" s="24" t="s">
        <v>376</v>
      </c>
      <c r="D15" s="24">
        <v>1110000</v>
      </c>
      <c r="E15" s="24" t="s">
        <v>221</v>
      </c>
      <c r="F15" s="24" t="str">
        <f t="shared" si="0"/>
        <v>rtdc.l.rtdc.4025:itc</v>
      </c>
      <c r="G15" s="8">
        <f t="shared" si="1"/>
        <v>42600.212731481479</v>
      </c>
    </row>
    <row r="16" spans="1:7" x14ac:dyDescent="0.25">
      <c r="A16" s="8">
        <v>42600.212893518517</v>
      </c>
      <c r="B16" s="24" t="s">
        <v>196</v>
      </c>
      <c r="C16" s="24" t="s">
        <v>562</v>
      </c>
      <c r="D16" s="24">
        <v>1830000</v>
      </c>
      <c r="E16" s="24" t="s">
        <v>313</v>
      </c>
      <c r="F16" s="24" t="str">
        <f t="shared" si="0"/>
        <v>rtdc.l.rtdc.4019:itc</v>
      </c>
      <c r="G16" s="8">
        <f t="shared" si="1"/>
        <v>42600.212893518517</v>
      </c>
    </row>
    <row r="17" spans="1:7" x14ac:dyDescent="0.25">
      <c r="A17" s="8">
        <v>42600.214803240742</v>
      </c>
      <c r="B17" s="24" t="s">
        <v>95</v>
      </c>
      <c r="C17" s="24" t="s">
        <v>316</v>
      </c>
      <c r="D17" s="24">
        <v>1310000</v>
      </c>
      <c r="E17" s="24" t="s">
        <v>672</v>
      </c>
      <c r="F17" s="24" t="str">
        <f t="shared" si="0"/>
        <v>rtdc.l.rtdc.4030:itc</v>
      </c>
      <c r="G17" s="8">
        <f t="shared" si="1"/>
        <v>42600.214803240742</v>
      </c>
    </row>
    <row r="18" spans="1:7" x14ac:dyDescent="0.25">
      <c r="A18" s="8">
        <v>42600.215462962966</v>
      </c>
      <c r="B18" s="24" t="s">
        <v>95</v>
      </c>
      <c r="C18" s="24" t="s">
        <v>316</v>
      </c>
      <c r="D18" s="24">
        <v>1310000</v>
      </c>
      <c r="E18" s="24" t="s">
        <v>672</v>
      </c>
      <c r="F18" s="24" t="str">
        <f t="shared" si="0"/>
        <v>rtdc.l.rtdc.4030:itc</v>
      </c>
      <c r="G18" s="8">
        <f t="shared" si="1"/>
        <v>42600.215462962966</v>
      </c>
    </row>
    <row r="19" spans="1:7" x14ac:dyDescent="0.25">
      <c r="A19" s="8">
        <v>42600.215474537035</v>
      </c>
      <c r="B19" s="24" t="s">
        <v>167</v>
      </c>
      <c r="C19" s="24" t="s">
        <v>379</v>
      </c>
      <c r="D19" s="24">
        <v>2010000</v>
      </c>
      <c r="E19" s="24" t="s">
        <v>310</v>
      </c>
      <c r="F19" s="24" t="str">
        <f t="shared" si="0"/>
        <v>rtdc.l.rtdc.4038:itc</v>
      </c>
      <c r="G19" s="8">
        <f t="shared" si="1"/>
        <v>42600.215474537035</v>
      </c>
    </row>
    <row r="20" spans="1:7" x14ac:dyDescent="0.25">
      <c r="A20" s="8">
        <v>42600.217673611114</v>
      </c>
      <c r="B20" s="24" t="s">
        <v>308</v>
      </c>
      <c r="C20" s="24" t="s">
        <v>376</v>
      </c>
      <c r="D20" s="24">
        <v>1110000</v>
      </c>
      <c r="E20" s="24" t="s">
        <v>221</v>
      </c>
      <c r="F20" s="24" t="str">
        <f t="shared" si="0"/>
        <v>rtdc.l.rtdc.4025:itc</v>
      </c>
      <c r="G20" s="8">
        <f t="shared" si="1"/>
        <v>42600.217673611114</v>
      </c>
    </row>
    <row r="21" spans="1:7" x14ac:dyDescent="0.25">
      <c r="A21" s="8">
        <v>42600.224560185183</v>
      </c>
      <c r="B21" s="24" t="s">
        <v>194</v>
      </c>
      <c r="C21" s="24" t="s">
        <v>317</v>
      </c>
      <c r="D21" s="24">
        <v>1760000</v>
      </c>
      <c r="E21" s="24" t="s">
        <v>311</v>
      </c>
      <c r="F21" s="24" t="str">
        <f t="shared" si="0"/>
        <v>rtdc.l.rtdc.4008:itc</v>
      </c>
      <c r="G21" s="8">
        <f t="shared" si="1"/>
        <v>42600.224560185183</v>
      </c>
    </row>
    <row r="22" spans="1:7" x14ac:dyDescent="0.25">
      <c r="A22" s="30">
        <v>42600.2266087963</v>
      </c>
      <c r="B22" s="24" t="s">
        <v>166</v>
      </c>
      <c r="C22" s="24" t="s">
        <v>381</v>
      </c>
      <c r="D22" s="24">
        <v>1190000</v>
      </c>
      <c r="E22" s="24" t="s">
        <v>256</v>
      </c>
      <c r="F22" s="24" t="str">
        <f t="shared" si="0"/>
        <v>rtdc.l.rtdc.4042:itc</v>
      </c>
      <c r="G22" s="8">
        <f t="shared" si="1"/>
        <v>42600.2266087963</v>
      </c>
    </row>
    <row r="23" spans="1:7" x14ac:dyDescent="0.25">
      <c r="A23" s="8">
        <v>42600.227546296293</v>
      </c>
      <c r="B23" s="24" t="s">
        <v>195</v>
      </c>
      <c r="C23" s="24" t="s">
        <v>565</v>
      </c>
      <c r="D23" s="24">
        <v>1830000</v>
      </c>
      <c r="E23" s="24" t="s">
        <v>313</v>
      </c>
      <c r="F23" s="24" t="str">
        <f t="shared" si="0"/>
        <v>rtdc.l.rtdc.4020:itc</v>
      </c>
      <c r="G23" s="8">
        <f t="shared" si="1"/>
        <v>42600.227546296293</v>
      </c>
    </row>
    <row r="24" spans="1:7" x14ac:dyDescent="0.25">
      <c r="A24" s="8">
        <v>42600.232453703706</v>
      </c>
      <c r="B24" s="24" t="s">
        <v>330</v>
      </c>
      <c r="C24" s="24" t="s">
        <v>384</v>
      </c>
      <c r="D24" s="24">
        <v>1090000</v>
      </c>
      <c r="E24" s="24" t="s">
        <v>226</v>
      </c>
      <c r="F24" s="24" t="str">
        <f t="shared" si="0"/>
        <v>rtdc.l.rtdc.4044:itc</v>
      </c>
      <c r="G24" s="8">
        <f t="shared" si="1"/>
        <v>42600.232453703706</v>
      </c>
    </row>
    <row r="25" spans="1:7" x14ac:dyDescent="0.25">
      <c r="A25" s="8">
        <v>42600.236631944441</v>
      </c>
      <c r="B25" s="24" t="s">
        <v>213</v>
      </c>
      <c r="C25" s="24" t="s">
        <v>374</v>
      </c>
      <c r="D25" s="24">
        <v>900000</v>
      </c>
      <c r="E25" s="24" t="s">
        <v>227</v>
      </c>
      <c r="F25" s="24" t="str">
        <f t="shared" si="0"/>
        <v>rtdc.l.rtdc.4010:itc</v>
      </c>
      <c r="G25" s="8">
        <f t="shared" si="1"/>
        <v>42600.236631944441</v>
      </c>
    </row>
    <row r="26" spans="1:7" x14ac:dyDescent="0.25">
      <c r="A26" s="8">
        <v>42600.245891203704</v>
      </c>
      <c r="B26" s="24" t="s">
        <v>306</v>
      </c>
      <c r="C26" s="24" t="s">
        <v>378</v>
      </c>
      <c r="D26" s="24">
        <v>1110000</v>
      </c>
      <c r="E26" s="24" t="s">
        <v>221</v>
      </c>
      <c r="F26" s="24" t="str">
        <f t="shared" si="0"/>
        <v>rtdc.l.rtdc.4026:itc</v>
      </c>
      <c r="G26" s="8">
        <f t="shared" si="1"/>
        <v>42600.245891203704</v>
      </c>
    </row>
    <row r="27" spans="1:7" x14ac:dyDescent="0.25">
      <c r="A27" s="8">
        <v>42600.248900462961</v>
      </c>
      <c r="B27" s="24" t="s">
        <v>96</v>
      </c>
      <c r="C27" s="24" t="s">
        <v>387</v>
      </c>
      <c r="D27" s="24">
        <v>1310000</v>
      </c>
      <c r="E27" s="24" t="s">
        <v>672</v>
      </c>
      <c r="F27" s="24" t="str">
        <f t="shared" si="0"/>
        <v>rtdc.l.rtdc.4027:itc</v>
      </c>
      <c r="G27" s="8">
        <f t="shared" si="1"/>
        <v>42600.248900462961</v>
      </c>
    </row>
    <row r="28" spans="1:7" x14ac:dyDescent="0.25">
      <c r="A28" s="8">
        <v>42600.252129629633</v>
      </c>
      <c r="B28" s="24" t="s">
        <v>157</v>
      </c>
      <c r="C28" s="24" t="s">
        <v>380</v>
      </c>
      <c r="D28" s="24">
        <v>2010000</v>
      </c>
      <c r="E28" s="24" t="s">
        <v>310</v>
      </c>
      <c r="F28" s="24" t="str">
        <f t="shared" si="0"/>
        <v>rtdc.l.rtdc.4037:itc</v>
      </c>
      <c r="G28" s="8">
        <f t="shared" si="1"/>
        <v>42600.252129629633</v>
      </c>
    </row>
    <row r="29" spans="1:7" x14ac:dyDescent="0.25">
      <c r="A29" s="8">
        <v>42600.25240740741</v>
      </c>
      <c r="B29" s="24" t="s">
        <v>254</v>
      </c>
      <c r="C29" s="24" t="s">
        <v>570</v>
      </c>
      <c r="D29" s="24">
        <v>2150000</v>
      </c>
      <c r="E29" s="24" t="s">
        <v>225</v>
      </c>
      <c r="F29" s="24" t="str">
        <f t="shared" si="0"/>
        <v>rtdc.l.rtdc.4002:itc</v>
      </c>
      <c r="G29" s="8">
        <f t="shared" si="1"/>
        <v>42600.25240740741</v>
      </c>
    </row>
    <row r="30" spans="1:7" x14ac:dyDescent="0.25">
      <c r="A30" s="8">
        <v>42600.255185185182</v>
      </c>
      <c r="B30" s="24" t="s">
        <v>254</v>
      </c>
      <c r="C30" s="24" t="s">
        <v>570</v>
      </c>
      <c r="D30" s="24">
        <v>2150000</v>
      </c>
      <c r="E30" s="24" t="s">
        <v>225</v>
      </c>
      <c r="F30" s="24" t="str">
        <f t="shared" si="0"/>
        <v>rtdc.l.rtdc.4002:itc</v>
      </c>
      <c r="G30" s="8">
        <f t="shared" si="1"/>
        <v>42600.255185185182</v>
      </c>
    </row>
    <row r="31" spans="1:7" x14ac:dyDescent="0.25">
      <c r="A31" s="8">
        <v>42600.255891203706</v>
      </c>
      <c r="B31" s="24" t="s">
        <v>196</v>
      </c>
      <c r="C31" s="24" t="s">
        <v>568</v>
      </c>
      <c r="D31" s="24">
        <v>1830000</v>
      </c>
      <c r="E31" s="24" t="s">
        <v>313</v>
      </c>
      <c r="F31" s="24" t="str">
        <f t="shared" si="0"/>
        <v>rtdc.l.rtdc.4019:itc</v>
      </c>
      <c r="G31" s="8">
        <f t="shared" si="1"/>
        <v>42600.255891203706</v>
      </c>
    </row>
    <row r="32" spans="1:7" x14ac:dyDescent="0.25">
      <c r="A32" s="8">
        <v>42600.258055555554</v>
      </c>
      <c r="B32" s="24" t="s">
        <v>309</v>
      </c>
      <c r="C32" s="24" t="s">
        <v>318</v>
      </c>
      <c r="D32" s="24">
        <v>1760000</v>
      </c>
      <c r="E32" s="24" t="s">
        <v>311</v>
      </c>
      <c r="F32" s="24" t="str">
        <f t="shared" si="0"/>
        <v>rtdc.l.rtdc.4007:itc</v>
      </c>
      <c r="G32" s="8">
        <f t="shared" si="1"/>
        <v>42600.258055555554</v>
      </c>
    </row>
    <row r="33" spans="1:7" x14ac:dyDescent="0.25">
      <c r="A33" s="8">
        <v>42600.263599537036</v>
      </c>
      <c r="B33" s="24" t="s">
        <v>307</v>
      </c>
      <c r="C33" s="24" t="s">
        <v>383</v>
      </c>
      <c r="D33" s="24">
        <v>1190000</v>
      </c>
      <c r="E33" s="24" t="s">
        <v>256</v>
      </c>
      <c r="F33" s="24" t="str">
        <f t="shared" si="0"/>
        <v>rtdc.l.rtdc.4041:itc</v>
      </c>
      <c r="G33" s="8">
        <f t="shared" si="1"/>
        <v>42600.263599537036</v>
      </c>
    </row>
    <row r="34" spans="1:7" x14ac:dyDescent="0.25">
      <c r="A34" s="8">
        <v>42600.269560185188</v>
      </c>
      <c r="B34" s="24" t="s">
        <v>195</v>
      </c>
      <c r="C34" s="24" t="s">
        <v>574</v>
      </c>
      <c r="D34" s="24">
        <v>1830000</v>
      </c>
      <c r="E34" s="24" t="s">
        <v>313</v>
      </c>
      <c r="F34" s="24" t="str">
        <f t="shared" si="0"/>
        <v>rtdc.l.rtdc.4020:itc</v>
      </c>
      <c r="G34" s="8">
        <f t="shared" si="1"/>
        <v>42600.269560185188</v>
      </c>
    </row>
    <row r="35" spans="1:7" x14ac:dyDescent="0.25">
      <c r="A35" s="8">
        <v>42600.269942129627</v>
      </c>
      <c r="B35" s="24" t="s">
        <v>211</v>
      </c>
      <c r="C35" s="24" t="s">
        <v>319</v>
      </c>
      <c r="D35" s="24">
        <v>900000</v>
      </c>
      <c r="E35" s="24" t="s">
        <v>227</v>
      </c>
      <c r="F35" s="24" t="str">
        <f t="shared" si="0"/>
        <v>rtdc.l.rtdc.4009:itc</v>
      </c>
      <c r="G35" s="8">
        <f t="shared" si="1"/>
        <v>42600.269942129627</v>
      </c>
    </row>
    <row r="36" spans="1:7" x14ac:dyDescent="0.25">
      <c r="A36" s="8">
        <v>42600.27412037037</v>
      </c>
      <c r="B36" s="24" t="s">
        <v>208</v>
      </c>
      <c r="C36" s="24" t="s">
        <v>386</v>
      </c>
      <c r="D36" s="24">
        <v>1090000</v>
      </c>
      <c r="E36" s="24" t="s">
        <v>226</v>
      </c>
      <c r="F36" s="24" t="str">
        <f t="shared" si="0"/>
        <v>rtdc.l.rtdc.4043:itc</v>
      </c>
      <c r="G36" s="8">
        <f t="shared" si="1"/>
        <v>42600.27412037037</v>
      </c>
    </row>
    <row r="37" spans="1:7" x14ac:dyDescent="0.25">
      <c r="A37" s="8">
        <v>42600.277696759258</v>
      </c>
      <c r="B37" s="24" t="s">
        <v>255</v>
      </c>
      <c r="C37" s="24" t="s">
        <v>572</v>
      </c>
      <c r="D37" s="24">
        <v>2150000</v>
      </c>
      <c r="E37" s="24" t="s">
        <v>225</v>
      </c>
      <c r="F37" s="24" t="str">
        <f t="shared" si="0"/>
        <v>rtdc.l.rtdc.4001:itc</v>
      </c>
      <c r="G37" s="8">
        <f t="shared" si="1"/>
        <v>42600.277696759258</v>
      </c>
    </row>
    <row r="38" spans="1:7" x14ac:dyDescent="0.25">
      <c r="A38" s="8">
        <v>42600.27952546296</v>
      </c>
      <c r="B38" s="24" t="s">
        <v>308</v>
      </c>
      <c r="C38" s="24" t="s">
        <v>322</v>
      </c>
      <c r="D38" s="24">
        <v>1110000</v>
      </c>
      <c r="E38" s="24" t="s">
        <v>221</v>
      </c>
      <c r="F38" s="24" t="str">
        <f t="shared" si="0"/>
        <v>rtdc.l.rtdc.4025:itc</v>
      </c>
      <c r="G38" s="8">
        <f t="shared" si="1"/>
        <v>42600.27952546296</v>
      </c>
    </row>
    <row r="39" spans="1:7" x14ac:dyDescent="0.25">
      <c r="A39" s="8">
        <v>42600.287766203706</v>
      </c>
      <c r="B39" s="24" t="s">
        <v>165</v>
      </c>
      <c r="C39" s="24" t="s">
        <v>320</v>
      </c>
      <c r="D39" s="24">
        <v>1310000</v>
      </c>
      <c r="E39" s="24" t="s">
        <v>672</v>
      </c>
      <c r="F39" s="24" t="str">
        <f t="shared" si="0"/>
        <v>rtdc.l.rtdc.4028:itc</v>
      </c>
      <c r="G39" s="8">
        <f t="shared" si="1"/>
        <v>42600.287766203706</v>
      </c>
    </row>
    <row r="40" spans="1:7" x14ac:dyDescent="0.25">
      <c r="A40" s="8">
        <v>42600.290219907409</v>
      </c>
      <c r="B40" s="29" t="s">
        <v>167</v>
      </c>
      <c r="C40" s="24" t="s">
        <v>390</v>
      </c>
      <c r="D40" s="24">
        <v>2010000</v>
      </c>
      <c r="E40" s="24" t="s">
        <v>310</v>
      </c>
      <c r="F40" s="24" t="str">
        <f t="shared" si="0"/>
        <v>rtdc.l.rtdc.4038:itc</v>
      </c>
      <c r="G40" s="8">
        <f t="shared" si="1"/>
        <v>42600.290219907409</v>
      </c>
    </row>
    <row r="41" spans="1:7" x14ac:dyDescent="0.25">
      <c r="A41" s="8">
        <v>42600.294768518521</v>
      </c>
      <c r="B41" s="24" t="s">
        <v>194</v>
      </c>
      <c r="C41" s="24" t="s">
        <v>323</v>
      </c>
      <c r="D41" s="24">
        <v>1760000</v>
      </c>
      <c r="E41" s="24" t="s">
        <v>311</v>
      </c>
      <c r="F41" s="24" t="str">
        <f t="shared" si="0"/>
        <v>rtdc.l.rtdc.4008:itc</v>
      </c>
      <c r="G41" s="8">
        <f t="shared" si="1"/>
        <v>42600.294768518521</v>
      </c>
    </row>
    <row r="42" spans="1:7" x14ac:dyDescent="0.25">
      <c r="A42" s="8">
        <v>42600.298541666663</v>
      </c>
      <c r="B42" s="24" t="s">
        <v>196</v>
      </c>
      <c r="C42" s="24" t="s">
        <v>324</v>
      </c>
      <c r="D42" s="24">
        <v>1830000</v>
      </c>
      <c r="E42" s="24" t="s">
        <v>313</v>
      </c>
      <c r="F42" s="24" t="str">
        <f t="shared" si="0"/>
        <v>rtdc.l.rtdc.4019:itc</v>
      </c>
      <c r="G42" s="8">
        <f t="shared" si="1"/>
        <v>42600.298541666663</v>
      </c>
    </row>
    <row r="43" spans="1:7" x14ac:dyDescent="0.25">
      <c r="A43" s="8">
        <v>42600.300740740742</v>
      </c>
      <c r="B43" s="24" t="s">
        <v>166</v>
      </c>
      <c r="C43" s="24" t="s">
        <v>321</v>
      </c>
      <c r="D43" s="24">
        <v>1190000</v>
      </c>
      <c r="E43" s="24" t="s">
        <v>256</v>
      </c>
      <c r="F43" s="24" t="str">
        <f t="shared" si="0"/>
        <v>rtdc.l.rtdc.4042:itc</v>
      </c>
      <c r="G43" s="8">
        <f t="shared" si="1"/>
        <v>42600.300740740742</v>
      </c>
    </row>
    <row r="44" spans="1:7" x14ac:dyDescent="0.25">
      <c r="A44" s="8">
        <v>42600.303576388891</v>
      </c>
      <c r="B44" s="24" t="s">
        <v>254</v>
      </c>
      <c r="C44" s="24" t="s">
        <v>325</v>
      </c>
      <c r="D44" s="24">
        <v>1100000</v>
      </c>
      <c r="E44" s="24" t="s">
        <v>673</v>
      </c>
      <c r="F44" s="24" t="str">
        <f t="shared" si="0"/>
        <v>rtdc.l.rtdc.4002:itc</v>
      </c>
      <c r="G44" s="8">
        <f t="shared" si="1"/>
        <v>42600.303576388891</v>
      </c>
    </row>
    <row r="45" spans="1:7" x14ac:dyDescent="0.25">
      <c r="A45" s="8">
        <v>42600.307743055557</v>
      </c>
      <c r="B45" s="24" t="s">
        <v>213</v>
      </c>
      <c r="C45" s="24" t="s">
        <v>389</v>
      </c>
      <c r="D45" s="24">
        <v>900000</v>
      </c>
      <c r="E45" s="24" t="s">
        <v>227</v>
      </c>
      <c r="F45" s="24" t="str">
        <f t="shared" si="0"/>
        <v>rtdc.l.rtdc.4010:itc</v>
      </c>
      <c r="G45" s="8">
        <f t="shared" si="1"/>
        <v>42600.307743055557</v>
      </c>
    </row>
    <row r="46" spans="1:7" x14ac:dyDescent="0.25">
      <c r="A46" s="8">
        <v>42600.310694444444</v>
      </c>
      <c r="B46" s="24" t="s">
        <v>330</v>
      </c>
      <c r="C46" s="24" t="s">
        <v>392</v>
      </c>
      <c r="D46" s="24">
        <v>1090000</v>
      </c>
      <c r="E46" s="24" t="s">
        <v>226</v>
      </c>
      <c r="F46" s="24" t="str">
        <f t="shared" si="0"/>
        <v>rtdc.l.rtdc.4044:itc</v>
      </c>
      <c r="G46" s="8">
        <f t="shared" si="1"/>
        <v>42600.310694444444</v>
      </c>
    </row>
    <row r="47" spans="1:7" x14ac:dyDescent="0.25">
      <c r="A47" s="8">
        <v>42600.314016203702</v>
      </c>
      <c r="B47" s="24" t="s">
        <v>195</v>
      </c>
      <c r="C47" s="24" t="s">
        <v>585</v>
      </c>
      <c r="D47" s="24">
        <v>1830000</v>
      </c>
      <c r="E47" s="24" t="s">
        <v>313</v>
      </c>
      <c r="F47" s="24" t="str">
        <f t="shared" si="0"/>
        <v>rtdc.l.rtdc.4020:itc</v>
      </c>
      <c r="G47" s="8">
        <f t="shared" si="1"/>
        <v>42600.314016203702</v>
      </c>
    </row>
    <row r="48" spans="1:7" x14ac:dyDescent="0.25">
      <c r="A48" s="8">
        <v>42600.315185185187</v>
      </c>
      <c r="B48" s="24" t="s">
        <v>195</v>
      </c>
      <c r="C48" s="24" t="s">
        <v>582</v>
      </c>
      <c r="D48" s="24">
        <v>1830000</v>
      </c>
      <c r="E48" s="24" t="s">
        <v>313</v>
      </c>
      <c r="F48" s="24" t="str">
        <f t="shared" si="0"/>
        <v>rtdc.l.rtdc.4020:itc</v>
      </c>
      <c r="G48" s="8">
        <f t="shared" si="1"/>
        <v>42600.315185185187</v>
      </c>
    </row>
    <row r="49" spans="1:7" x14ac:dyDescent="0.25">
      <c r="A49" s="8">
        <v>42600.318761574075</v>
      </c>
      <c r="B49" s="24" t="s">
        <v>255</v>
      </c>
      <c r="C49" s="24" t="s">
        <v>326</v>
      </c>
      <c r="D49" s="24">
        <v>1100000</v>
      </c>
      <c r="E49" s="24" t="s">
        <v>673</v>
      </c>
      <c r="F49" s="24" t="str">
        <f t="shared" si="0"/>
        <v>rtdc.l.rtdc.4001:itc</v>
      </c>
      <c r="G49" s="8">
        <f t="shared" si="1"/>
        <v>42600.318761574075</v>
      </c>
    </row>
    <row r="50" spans="1:7" x14ac:dyDescent="0.25">
      <c r="A50" s="8">
        <v>42600.318888888891</v>
      </c>
      <c r="B50" s="24" t="s">
        <v>306</v>
      </c>
      <c r="C50" s="24" t="s">
        <v>327</v>
      </c>
      <c r="D50" s="24">
        <v>1110000</v>
      </c>
      <c r="E50" s="24" t="s">
        <v>221</v>
      </c>
      <c r="F50" s="24" t="str">
        <f t="shared" si="0"/>
        <v>rtdc.l.rtdc.4026:itc</v>
      </c>
      <c r="G50" s="8">
        <f t="shared" si="1"/>
        <v>42600.318888888891</v>
      </c>
    </row>
    <row r="51" spans="1:7" x14ac:dyDescent="0.25">
      <c r="A51" s="8">
        <v>42600.322789351849</v>
      </c>
      <c r="B51" s="24" t="s">
        <v>157</v>
      </c>
      <c r="C51" s="24" t="s">
        <v>391</v>
      </c>
      <c r="D51" s="24">
        <v>2010000</v>
      </c>
      <c r="E51" s="24" t="s">
        <v>310</v>
      </c>
      <c r="F51" s="24" t="str">
        <f t="shared" si="0"/>
        <v>rtdc.l.rtdc.4037:itc</v>
      </c>
      <c r="G51" s="8">
        <f t="shared" si="1"/>
        <v>42600.322789351849</v>
      </c>
    </row>
    <row r="52" spans="1:7" x14ac:dyDescent="0.25">
      <c r="A52" s="8">
        <v>42600.322939814818</v>
      </c>
      <c r="B52" s="24" t="s">
        <v>96</v>
      </c>
      <c r="C52" s="24" t="s">
        <v>394</v>
      </c>
      <c r="D52" s="24">
        <v>2150000</v>
      </c>
      <c r="E52" s="24" t="s">
        <v>225</v>
      </c>
      <c r="F52" s="24" t="str">
        <f t="shared" si="0"/>
        <v>rtdc.l.rtdc.4027:itc</v>
      </c>
      <c r="G52" s="8">
        <f t="shared" si="1"/>
        <v>42600.322939814818</v>
      </c>
    </row>
    <row r="53" spans="1:7" x14ac:dyDescent="0.25">
      <c r="A53" s="8">
        <v>42600.330682870372</v>
      </c>
      <c r="B53" s="24" t="s">
        <v>309</v>
      </c>
      <c r="C53" s="24" t="s">
        <v>398</v>
      </c>
      <c r="D53" s="24">
        <v>1760000</v>
      </c>
      <c r="E53" s="24" t="s">
        <v>311</v>
      </c>
      <c r="F53" s="24" t="str">
        <f t="shared" si="0"/>
        <v>rtdc.l.rtdc.4007:itc</v>
      </c>
      <c r="G53" s="8">
        <f t="shared" si="1"/>
        <v>42600.330682870372</v>
      </c>
    </row>
    <row r="54" spans="1:7" x14ac:dyDescent="0.25">
      <c r="A54" s="8">
        <v>42600.335856481484</v>
      </c>
      <c r="B54" s="24" t="s">
        <v>307</v>
      </c>
      <c r="C54" s="24" t="s">
        <v>328</v>
      </c>
      <c r="D54" s="24">
        <v>1190000</v>
      </c>
      <c r="E54" s="24" t="s">
        <v>256</v>
      </c>
      <c r="F54" s="24" t="str">
        <f t="shared" si="0"/>
        <v>rtdc.l.rtdc.4041:itc</v>
      </c>
      <c r="G54" s="8">
        <f t="shared" si="1"/>
        <v>42600.335856481484</v>
      </c>
    </row>
    <row r="55" spans="1:7" x14ac:dyDescent="0.25">
      <c r="A55" s="8">
        <v>42600.337314814817</v>
      </c>
      <c r="B55" s="24" t="s">
        <v>196</v>
      </c>
      <c r="C55" s="24" t="s">
        <v>585</v>
      </c>
      <c r="D55" s="24">
        <v>1830000</v>
      </c>
      <c r="E55" s="24" t="s">
        <v>313</v>
      </c>
      <c r="F55" s="24" t="str">
        <f t="shared" si="0"/>
        <v>rtdc.l.rtdc.4019:itc</v>
      </c>
      <c r="G55" s="8">
        <f t="shared" si="1"/>
        <v>42600.337314814817</v>
      </c>
    </row>
    <row r="56" spans="1:7" x14ac:dyDescent="0.25">
      <c r="A56" s="8">
        <v>42600.342905092592</v>
      </c>
      <c r="B56" s="24" t="s">
        <v>211</v>
      </c>
      <c r="C56" s="24" t="s">
        <v>401</v>
      </c>
      <c r="D56" s="24">
        <v>900000</v>
      </c>
      <c r="E56" s="24" t="s">
        <v>227</v>
      </c>
      <c r="F56" s="24" t="str">
        <f t="shared" si="0"/>
        <v>rtdc.l.rtdc.4009:itc</v>
      </c>
      <c r="G56" s="8">
        <f t="shared" si="1"/>
        <v>42600.342905092592</v>
      </c>
    </row>
    <row r="57" spans="1:7" x14ac:dyDescent="0.25">
      <c r="A57" s="8">
        <v>42600.345949074072</v>
      </c>
      <c r="B57" s="24" t="s">
        <v>254</v>
      </c>
      <c r="C57" s="24" t="s">
        <v>329</v>
      </c>
      <c r="D57" s="24">
        <v>1100000</v>
      </c>
      <c r="E57" s="24" t="s">
        <v>673</v>
      </c>
      <c r="F57" s="24" t="str">
        <f t="shared" si="0"/>
        <v>rtdc.l.rtdc.4002:itc</v>
      </c>
      <c r="G57" s="8">
        <f t="shared" si="1"/>
        <v>42600.345949074072</v>
      </c>
    </row>
    <row r="58" spans="1:7" x14ac:dyDescent="0.25">
      <c r="A58" s="8">
        <v>42600.34646990741</v>
      </c>
      <c r="B58" s="24" t="s">
        <v>208</v>
      </c>
      <c r="C58" s="24" t="s">
        <v>393</v>
      </c>
      <c r="D58" s="24">
        <v>1090000</v>
      </c>
      <c r="E58" s="24" t="s">
        <v>226</v>
      </c>
      <c r="F58" s="24" t="str">
        <f t="shared" si="0"/>
        <v>rtdc.l.rtdc.4043:itc</v>
      </c>
      <c r="G58" s="8">
        <f t="shared" si="1"/>
        <v>42600.34646990741</v>
      </c>
    </row>
    <row r="59" spans="1:7" x14ac:dyDescent="0.25">
      <c r="A59" s="8">
        <v>42600.351377314815</v>
      </c>
      <c r="B59" s="24" t="s">
        <v>308</v>
      </c>
      <c r="C59" s="24" t="s">
        <v>403</v>
      </c>
      <c r="D59" s="24">
        <v>1110000</v>
      </c>
      <c r="E59" s="24" t="s">
        <v>221</v>
      </c>
      <c r="F59" s="24" t="str">
        <f t="shared" si="0"/>
        <v>rtdc.l.rtdc.4025:itc</v>
      </c>
      <c r="G59" s="8">
        <f t="shared" si="1"/>
        <v>42600.351377314815</v>
      </c>
    </row>
    <row r="60" spans="1:7" x14ac:dyDescent="0.25">
      <c r="A60" s="8">
        <v>42600.359097222223</v>
      </c>
      <c r="B60" s="24" t="s">
        <v>165</v>
      </c>
      <c r="C60" s="24" t="s">
        <v>396</v>
      </c>
      <c r="D60" s="24">
        <v>2150000</v>
      </c>
      <c r="E60" s="24" t="s">
        <v>225</v>
      </c>
      <c r="F60" s="24" t="str">
        <f t="shared" si="0"/>
        <v>rtdc.l.rtdc.4028:itc</v>
      </c>
      <c r="G60" s="8">
        <f t="shared" si="1"/>
        <v>42600.359097222223</v>
      </c>
    </row>
    <row r="61" spans="1:7" x14ac:dyDescent="0.25">
      <c r="A61" s="8">
        <v>42600.359375</v>
      </c>
      <c r="B61" s="24" t="s">
        <v>255</v>
      </c>
      <c r="C61" s="24" t="s">
        <v>590</v>
      </c>
      <c r="D61" s="24">
        <v>1100000</v>
      </c>
      <c r="E61" s="24" t="s">
        <v>673</v>
      </c>
      <c r="F61" s="24" t="str">
        <f t="shared" si="0"/>
        <v>rtdc.l.rtdc.4001:itc</v>
      </c>
      <c r="G61" s="8">
        <f t="shared" si="1"/>
        <v>42600.359375</v>
      </c>
    </row>
    <row r="62" spans="1:7" x14ac:dyDescent="0.25">
      <c r="A62" s="8">
        <v>42600.361296296294</v>
      </c>
      <c r="B62" s="24" t="s">
        <v>167</v>
      </c>
      <c r="C62" s="24" t="s">
        <v>405</v>
      </c>
      <c r="D62" s="24">
        <v>2010000</v>
      </c>
      <c r="E62" s="24" t="s">
        <v>310</v>
      </c>
      <c r="F62" s="24" t="str">
        <f t="shared" si="0"/>
        <v>rtdc.l.rtdc.4038:itc</v>
      </c>
      <c r="G62" s="8">
        <f t="shared" si="1"/>
        <v>42600.361296296294</v>
      </c>
    </row>
    <row r="63" spans="1:7" x14ac:dyDescent="0.25">
      <c r="A63" s="8">
        <v>42600.367685185185</v>
      </c>
      <c r="B63" s="24" t="s">
        <v>194</v>
      </c>
      <c r="C63" s="24" t="s">
        <v>399</v>
      </c>
      <c r="D63" s="24">
        <v>1760000</v>
      </c>
      <c r="E63" s="24" t="s">
        <v>311</v>
      </c>
      <c r="F63" s="24" t="str">
        <f t="shared" si="0"/>
        <v>rtdc.l.rtdc.4008:itc</v>
      </c>
      <c r="G63" s="8">
        <f t="shared" si="1"/>
        <v>42600.367685185185</v>
      </c>
    </row>
    <row r="64" spans="1:7" x14ac:dyDescent="0.25">
      <c r="A64" s="30">
        <v>42600.374328703707</v>
      </c>
      <c r="B64" s="24" t="s">
        <v>166</v>
      </c>
      <c r="C64" s="24" t="s">
        <v>332</v>
      </c>
      <c r="D64" s="24">
        <v>1190000</v>
      </c>
      <c r="E64" s="24" t="s">
        <v>256</v>
      </c>
      <c r="F64" s="24" t="str">
        <f t="shared" si="0"/>
        <v>rtdc.l.rtdc.4042:itc</v>
      </c>
      <c r="G64" s="8">
        <f t="shared" si="1"/>
        <v>42600.374328703707</v>
      </c>
    </row>
    <row r="65" spans="1:7" x14ac:dyDescent="0.25">
      <c r="A65" s="8">
        <v>42600.38144675926</v>
      </c>
      <c r="B65" s="24" t="s">
        <v>213</v>
      </c>
      <c r="C65" s="24" t="s">
        <v>402</v>
      </c>
      <c r="D65" s="24">
        <v>900000</v>
      </c>
      <c r="E65" s="24" t="s">
        <v>227</v>
      </c>
      <c r="F65" s="24" t="str">
        <f t="shared" si="0"/>
        <v>rtdc.l.rtdc.4010:itc</v>
      </c>
      <c r="G65" s="8">
        <f t="shared" si="1"/>
        <v>42600.38144675926</v>
      </c>
    </row>
    <row r="66" spans="1:7" x14ac:dyDescent="0.25">
      <c r="A66" s="8">
        <v>42600.382256944446</v>
      </c>
      <c r="B66" s="24" t="s">
        <v>330</v>
      </c>
      <c r="C66" s="24" t="s">
        <v>331</v>
      </c>
      <c r="D66" s="24">
        <v>1090000</v>
      </c>
      <c r="E66" s="24" t="s">
        <v>226</v>
      </c>
      <c r="F66" s="24" t="str">
        <f t="shared" ref="F66:F129" si="2">B66</f>
        <v>rtdc.l.rtdc.4044:itc</v>
      </c>
      <c r="G66" s="8">
        <f t="shared" ref="G66:G129" si="3">A66</f>
        <v>42600.382256944446</v>
      </c>
    </row>
    <row r="67" spans="1:7" x14ac:dyDescent="0.25">
      <c r="A67" s="8">
        <v>42600.389004629629</v>
      </c>
      <c r="B67" s="24" t="s">
        <v>254</v>
      </c>
      <c r="C67" s="24" t="s">
        <v>593</v>
      </c>
      <c r="D67" s="24">
        <v>1100000</v>
      </c>
      <c r="E67" s="24" t="s">
        <v>673</v>
      </c>
      <c r="F67" s="24" t="str">
        <f t="shared" si="2"/>
        <v>rtdc.l.rtdc.4002:itc</v>
      </c>
      <c r="G67" s="8">
        <f t="shared" si="3"/>
        <v>42600.389004629629</v>
      </c>
    </row>
    <row r="68" spans="1:7" x14ac:dyDescent="0.25">
      <c r="A68" s="8">
        <v>42600.39162037037</v>
      </c>
      <c r="B68" s="24" t="s">
        <v>306</v>
      </c>
      <c r="C68" s="24" t="s">
        <v>404</v>
      </c>
      <c r="D68" s="24">
        <v>1110000</v>
      </c>
      <c r="E68" s="24" t="s">
        <v>221</v>
      </c>
      <c r="F68" s="24" t="str">
        <f t="shared" si="2"/>
        <v>rtdc.l.rtdc.4026:itc</v>
      </c>
      <c r="G68" s="8">
        <f t="shared" si="3"/>
        <v>42600.39162037037</v>
      </c>
    </row>
    <row r="69" spans="1:7" x14ac:dyDescent="0.25">
      <c r="A69" s="8">
        <v>42600.395208333335</v>
      </c>
      <c r="B69" s="24" t="s">
        <v>96</v>
      </c>
      <c r="C69" s="24" t="s">
        <v>333</v>
      </c>
      <c r="D69" s="24">
        <v>1310000</v>
      </c>
      <c r="E69" s="24" t="s">
        <v>672</v>
      </c>
      <c r="F69" s="24" t="str">
        <f t="shared" si="2"/>
        <v>rtdc.l.rtdc.4027:itc</v>
      </c>
      <c r="G69" s="8">
        <f t="shared" si="3"/>
        <v>42600.395208333335</v>
      </c>
    </row>
    <row r="70" spans="1:7" x14ac:dyDescent="0.25">
      <c r="A70" s="8">
        <v>42600.396504629629</v>
      </c>
      <c r="B70" s="24" t="s">
        <v>157</v>
      </c>
      <c r="C70" s="24" t="s">
        <v>406</v>
      </c>
      <c r="D70" s="24">
        <v>2010000</v>
      </c>
      <c r="E70" s="24" t="s">
        <v>310</v>
      </c>
      <c r="F70" s="24" t="str">
        <f t="shared" si="2"/>
        <v>rtdc.l.rtdc.4037:itc</v>
      </c>
      <c r="G70" s="8">
        <f t="shared" si="3"/>
        <v>42600.396504629629</v>
      </c>
    </row>
    <row r="71" spans="1:7" x14ac:dyDescent="0.25">
      <c r="A71" s="8">
        <v>42600.402314814812</v>
      </c>
      <c r="B71" s="24" t="s">
        <v>255</v>
      </c>
      <c r="C71" s="24" t="s">
        <v>596</v>
      </c>
      <c r="D71" s="24">
        <v>1100000</v>
      </c>
      <c r="E71" s="24" t="s">
        <v>673</v>
      </c>
      <c r="F71" s="24" t="str">
        <f t="shared" si="2"/>
        <v>rtdc.l.rtdc.4001:itc</v>
      </c>
      <c r="G71" s="8">
        <f t="shared" si="3"/>
        <v>42600.402314814812</v>
      </c>
    </row>
    <row r="72" spans="1:7" x14ac:dyDescent="0.25">
      <c r="A72" s="8">
        <v>42600.403287037036</v>
      </c>
      <c r="B72" s="24" t="s">
        <v>309</v>
      </c>
      <c r="C72" s="24" t="s">
        <v>415</v>
      </c>
      <c r="D72" s="24">
        <v>1760000</v>
      </c>
      <c r="E72" s="24" t="s">
        <v>311</v>
      </c>
      <c r="F72" s="24" t="str">
        <f t="shared" si="2"/>
        <v>rtdc.l.rtdc.4007:itc</v>
      </c>
      <c r="G72" s="8">
        <f t="shared" si="3"/>
        <v>42600.403287037036</v>
      </c>
    </row>
    <row r="73" spans="1:7" x14ac:dyDescent="0.25">
      <c r="A73" s="8">
        <v>42600.404270833336</v>
      </c>
      <c r="B73" s="24" t="s">
        <v>309</v>
      </c>
      <c r="C73" s="24" t="s">
        <v>413</v>
      </c>
      <c r="D73" s="24">
        <v>1760000</v>
      </c>
      <c r="E73" s="24" t="s">
        <v>311</v>
      </c>
      <c r="F73" s="24" t="str">
        <f t="shared" si="2"/>
        <v>rtdc.l.rtdc.4007:itc</v>
      </c>
      <c r="G73" s="8">
        <f t="shared" si="3"/>
        <v>42600.404270833336</v>
      </c>
    </row>
    <row r="74" spans="1:7" x14ac:dyDescent="0.25">
      <c r="A74" s="8">
        <v>42600.408217592594</v>
      </c>
      <c r="B74" s="24" t="s">
        <v>307</v>
      </c>
      <c r="C74" s="24" t="s">
        <v>408</v>
      </c>
      <c r="D74" s="24">
        <v>1190000</v>
      </c>
      <c r="E74" s="24" t="s">
        <v>256</v>
      </c>
      <c r="F74" s="24" t="str">
        <f t="shared" si="2"/>
        <v>rtdc.l.rtdc.4041:itc</v>
      </c>
      <c r="G74" s="8">
        <f t="shared" si="3"/>
        <v>42600.408217592594</v>
      </c>
    </row>
    <row r="75" spans="1:7" x14ac:dyDescent="0.25">
      <c r="A75" s="8">
        <v>42600.41238425926</v>
      </c>
      <c r="B75" s="24" t="s">
        <v>211</v>
      </c>
      <c r="C75" s="24" t="s">
        <v>416</v>
      </c>
      <c r="D75" s="24">
        <v>900000</v>
      </c>
      <c r="E75" s="24" t="s">
        <v>227</v>
      </c>
      <c r="F75" s="24" t="str">
        <f t="shared" si="2"/>
        <v>rtdc.l.rtdc.4009:itc</v>
      </c>
      <c r="G75" s="8">
        <f t="shared" si="3"/>
        <v>42600.41238425926</v>
      </c>
    </row>
    <row r="76" spans="1:7" x14ac:dyDescent="0.25">
      <c r="A76" s="8">
        <v>42600.419745370367</v>
      </c>
      <c r="B76" s="24" t="s">
        <v>208</v>
      </c>
      <c r="C76" s="24" t="s">
        <v>411</v>
      </c>
      <c r="D76" s="24">
        <v>1090000</v>
      </c>
      <c r="E76" s="24" t="s">
        <v>226</v>
      </c>
      <c r="F76" s="24" t="str">
        <f t="shared" si="2"/>
        <v>rtdc.l.rtdc.4043:itc</v>
      </c>
      <c r="G76" s="8">
        <f t="shared" si="3"/>
        <v>42600.419745370367</v>
      </c>
    </row>
    <row r="77" spans="1:7" x14ac:dyDescent="0.25">
      <c r="A77" s="8">
        <v>42600.423738425925</v>
      </c>
      <c r="B77" s="24" t="s">
        <v>308</v>
      </c>
      <c r="C77" s="24" t="s">
        <v>334</v>
      </c>
      <c r="D77" s="24">
        <v>1110000</v>
      </c>
      <c r="E77" s="24" t="s">
        <v>221</v>
      </c>
      <c r="F77" s="24" t="str">
        <f t="shared" si="2"/>
        <v>rtdc.l.rtdc.4025:itc</v>
      </c>
      <c r="G77" s="8">
        <f t="shared" si="3"/>
        <v>42600.423738425925</v>
      </c>
    </row>
    <row r="78" spans="1:7" x14ac:dyDescent="0.25">
      <c r="A78" s="8">
        <v>42600.429039351853</v>
      </c>
      <c r="B78" s="24" t="s">
        <v>254</v>
      </c>
      <c r="C78" s="24" t="s">
        <v>598</v>
      </c>
      <c r="D78" s="24">
        <v>1100000</v>
      </c>
      <c r="E78" s="24" t="s">
        <v>673</v>
      </c>
      <c r="F78" s="24" t="str">
        <f t="shared" si="2"/>
        <v>rtdc.l.rtdc.4002:itc</v>
      </c>
      <c r="G78" s="8">
        <f t="shared" si="3"/>
        <v>42600.429039351853</v>
      </c>
    </row>
    <row r="79" spans="1:7" x14ac:dyDescent="0.25">
      <c r="A79" s="8">
        <v>42600.433379629627</v>
      </c>
      <c r="B79" s="24" t="s">
        <v>165</v>
      </c>
      <c r="C79" s="24" t="s">
        <v>412</v>
      </c>
      <c r="D79" s="24">
        <v>1310000</v>
      </c>
      <c r="E79" s="24" t="s">
        <v>672</v>
      </c>
      <c r="F79" s="24" t="str">
        <f t="shared" si="2"/>
        <v>rtdc.l.rtdc.4028:itc</v>
      </c>
      <c r="G79" s="8">
        <f t="shared" si="3"/>
        <v>42600.433379629627</v>
      </c>
    </row>
    <row r="80" spans="1:7" x14ac:dyDescent="0.25">
      <c r="A80" s="8">
        <v>42600.437430555554</v>
      </c>
      <c r="B80" s="24" t="s">
        <v>167</v>
      </c>
      <c r="C80" s="24" t="s">
        <v>419</v>
      </c>
      <c r="D80" s="24">
        <v>1830000</v>
      </c>
      <c r="E80" s="24" t="s">
        <v>313</v>
      </c>
      <c r="F80" s="24" t="str">
        <f t="shared" si="2"/>
        <v>rtdc.l.rtdc.4038:itc</v>
      </c>
      <c r="G80" s="8">
        <f t="shared" si="3"/>
        <v>42600.437430555554</v>
      </c>
    </row>
    <row r="81" spans="1:7" x14ac:dyDescent="0.25">
      <c r="A81" s="8">
        <v>42600.441377314812</v>
      </c>
      <c r="B81" s="24" t="s">
        <v>194</v>
      </c>
      <c r="C81" s="24" t="s">
        <v>415</v>
      </c>
      <c r="D81" s="24">
        <v>1760000</v>
      </c>
      <c r="E81" s="24" t="s">
        <v>311</v>
      </c>
      <c r="F81" s="24" t="str">
        <f t="shared" si="2"/>
        <v>rtdc.l.rtdc.4008:itc</v>
      </c>
      <c r="G81" s="8">
        <f t="shared" si="3"/>
        <v>42600.441377314812</v>
      </c>
    </row>
    <row r="82" spans="1:7" x14ac:dyDescent="0.25">
      <c r="A82" s="8">
        <v>42600.44253472222</v>
      </c>
      <c r="B82" s="24" t="s">
        <v>255</v>
      </c>
      <c r="C82" s="24" t="s">
        <v>600</v>
      </c>
      <c r="D82" s="24">
        <v>1100000</v>
      </c>
      <c r="E82" s="24" t="s">
        <v>673</v>
      </c>
      <c r="F82" s="24" t="str">
        <f t="shared" si="2"/>
        <v>rtdc.l.rtdc.4001:itc</v>
      </c>
      <c r="G82" s="8">
        <f t="shared" si="3"/>
        <v>42600.44253472222</v>
      </c>
    </row>
    <row r="83" spans="1:7" x14ac:dyDescent="0.25">
      <c r="A83" s="8">
        <v>42600.445856481485</v>
      </c>
      <c r="B83" s="24" t="s">
        <v>94</v>
      </c>
      <c r="C83" s="24" t="s">
        <v>421</v>
      </c>
      <c r="D83" s="24">
        <v>1240000</v>
      </c>
      <c r="E83" s="24" t="s">
        <v>674</v>
      </c>
      <c r="F83" s="24" t="str">
        <f t="shared" si="2"/>
        <v>rtdc.l.rtdc.4029:itc</v>
      </c>
      <c r="G83" s="8">
        <f t="shared" si="3"/>
        <v>42600.445856481485</v>
      </c>
    </row>
    <row r="84" spans="1:7" x14ac:dyDescent="0.25">
      <c r="A84" s="8">
        <v>42600.454791666663</v>
      </c>
      <c r="B84" s="24" t="s">
        <v>213</v>
      </c>
      <c r="C84" s="24" t="s">
        <v>417</v>
      </c>
      <c r="D84" s="24">
        <v>900000</v>
      </c>
      <c r="E84" s="24" t="s">
        <v>227</v>
      </c>
      <c r="F84" s="24" t="str">
        <f t="shared" si="2"/>
        <v>rtdc.l.rtdc.4010:itc</v>
      </c>
      <c r="G84" s="8">
        <f t="shared" si="3"/>
        <v>42600.454791666663</v>
      </c>
    </row>
    <row r="85" spans="1:7" x14ac:dyDescent="0.25">
      <c r="A85" s="8">
        <v>42600.45988425926</v>
      </c>
      <c r="B85" s="24" t="s">
        <v>330</v>
      </c>
      <c r="C85" s="24" t="s">
        <v>335</v>
      </c>
      <c r="D85" s="24">
        <v>940000</v>
      </c>
      <c r="E85" s="24" t="s">
        <v>312</v>
      </c>
      <c r="F85" s="24" t="str">
        <f t="shared" si="2"/>
        <v>rtdc.l.rtdc.4044:itc</v>
      </c>
      <c r="G85" s="8">
        <f t="shared" si="3"/>
        <v>42600.45988425926</v>
      </c>
    </row>
    <row r="86" spans="1:7" x14ac:dyDescent="0.25">
      <c r="A86" s="8">
        <v>42600.464074074072</v>
      </c>
      <c r="B86" s="24" t="s">
        <v>157</v>
      </c>
      <c r="C86" s="24" t="s">
        <v>339</v>
      </c>
      <c r="D86" s="24">
        <v>1830000</v>
      </c>
      <c r="E86" s="24" t="s">
        <v>313</v>
      </c>
      <c r="F86" s="24" t="str">
        <f t="shared" si="2"/>
        <v>rtdc.l.rtdc.4037:itc</v>
      </c>
      <c r="G86" s="8">
        <f t="shared" si="3"/>
        <v>42600.464074074072</v>
      </c>
    </row>
    <row r="87" spans="1:7" x14ac:dyDescent="0.25">
      <c r="A87" s="8">
        <v>42600.464571759258</v>
      </c>
      <c r="B87" s="24" t="s">
        <v>306</v>
      </c>
      <c r="C87" s="24" t="s">
        <v>418</v>
      </c>
      <c r="D87" s="24">
        <v>1110000</v>
      </c>
      <c r="E87" s="24" t="s">
        <v>221</v>
      </c>
      <c r="F87" s="24" t="str">
        <f t="shared" si="2"/>
        <v>rtdc.l.rtdc.4026:itc</v>
      </c>
      <c r="G87" s="8">
        <f t="shared" si="3"/>
        <v>42600.464571759258</v>
      </c>
    </row>
    <row r="88" spans="1:7" x14ac:dyDescent="0.25">
      <c r="A88" s="8">
        <v>42600.468287037038</v>
      </c>
      <c r="B88" s="24" t="s">
        <v>96</v>
      </c>
      <c r="C88" s="24" t="s">
        <v>427</v>
      </c>
      <c r="D88" s="24">
        <v>1360000</v>
      </c>
      <c r="E88" s="24" t="s">
        <v>675</v>
      </c>
      <c r="F88" s="24" t="str">
        <f t="shared" si="2"/>
        <v>rtdc.l.rtdc.4027:itc</v>
      </c>
      <c r="G88" s="8">
        <f t="shared" si="3"/>
        <v>42600.468287037038</v>
      </c>
    </row>
    <row r="89" spans="1:7" x14ac:dyDescent="0.25">
      <c r="A89" s="8">
        <v>42600.472650462965</v>
      </c>
      <c r="B89" s="24" t="s">
        <v>254</v>
      </c>
      <c r="C89" s="24" t="s">
        <v>336</v>
      </c>
      <c r="D89" s="24">
        <v>2090000</v>
      </c>
      <c r="E89" s="24" t="s">
        <v>676</v>
      </c>
      <c r="F89" s="24" t="str">
        <f t="shared" si="2"/>
        <v>rtdc.l.rtdc.4002:itc</v>
      </c>
      <c r="G89" s="8">
        <f t="shared" si="3"/>
        <v>42600.472650462965</v>
      </c>
    </row>
    <row r="90" spans="1:7" x14ac:dyDescent="0.25">
      <c r="A90" s="8">
        <v>42600.472916666666</v>
      </c>
      <c r="B90" s="24" t="s">
        <v>96</v>
      </c>
      <c r="C90" s="24" t="s">
        <v>427</v>
      </c>
      <c r="D90" s="24">
        <v>1360000</v>
      </c>
      <c r="E90" s="24" t="s">
        <v>675</v>
      </c>
      <c r="F90" s="24" t="str">
        <f t="shared" si="2"/>
        <v>rtdc.l.rtdc.4027:itc</v>
      </c>
      <c r="G90" s="8">
        <f t="shared" si="3"/>
        <v>42600.472916666666</v>
      </c>
    </row>
    <row r="91" spans="1:7" x14ac:dyDescent="0.25">
      <c r="A91" s="8">
        <v>42600.476493055554</v>
      </c>
      <c r="B91" s="24" t="s">
        <v>95</v>
      </c>
      <c r="C91" s="24" t="s">
        <v>423</v>
      </c>
      <c r="D91" s="24">
        <v>1240000</v>
      </c>
      <c r="E91" s="24" t="s">
        <v>674</v>
      </c>
      <c r="F91" s="24" t="str">
        <f t="shared" si="2"/>
        <v>rtdc.l.rtdc.4030:itc</v>
      </c>
      <c r="G91" s="8">
        <f t="shared" si="3"/>
        <v>42600.476493055554</v>
      </c>
    </row>
    <row r="92" spans="1:7" x14ac:dyDescent="0.25">
      <c r="A92" s="8">
        <v>42600.476689814815</v>
      </c>
      <c r="B92" s="24" t="s">
        <v>309</v>
      </c>
      <c r="C92" s="24" t="s">
        <v>338</v>
      </c>
      <c r="D92" s="24">
        <v>2040000</v>
      </c>
      <c r="E92" s="24" t="s">
        <v>314</v>
      </c>
      <c r="F92" s="24" t="str">
        <f t="shared" si="2"/>
        <v>rtdc.l.rtdc.4007:itc</v>
      </c>
      <c r="G92" s="8">
        <f t="shared" si="3"/>
        <v>42600.476689814815</v>
      </c>
    </row>
    <row r="93" spans="1:7" x14ac:dyDescent="0.25">
      <c r="A93" s="8">
        <v>42600.477430555555</v>
      </c>
      <c r="B93" s="24" t="s">
        <v>157</v>
      </c>
      <c r="C93" s="24" t="s">
        <v>339</v>
      </c>
      <c r="D93" s="24">
        <v>1830000</v>
      </c>
      <c r="E93" s="24" t="s">
        <v>313</v>
      </c>
      <c r="F93" s="24" t="str">
        <f t="shared" si="2"/>
        <v>rtdc.l.rtdc.4037:itc</v>
      </c>
      <c r="G93" s="8">
        <f t="shared" si="3"/>
        <v>42600.477430555555</v>
      </c>
    </row>
    <row r="94" spans="1:7" x14ac:dyDescent="0.25">
      <c r="A94" s="8">
        <v>42600.486157407409</v>
      </c>
      <c r="B94" s="24" t="s">
        <v>211</v>
      </c>
      <c r="C94" s="24" t="s">
        <v>433</v>
      </c>
      <c r="D94" s="24">
        <v>1810000</v>
      </c>
      <c r="E94" s="24" t="s">
        <v>677</v>
      </c>
      <c r="F94" s="24" t="str">
        <f t="shared" si="2"/>
        <v>rtdc.l.rtdc.4009:itc</v>
      </c>
      <c r="G94" s="8">
        <f t="shared" si="3"/>
        <v>42600.486157407409</v>
      </c>
    </row>
    <row r="95" spans="1:7" x14ac:dyDescent="0.25">
      <c r="A95" s="8">
        <v>42600.48709490741</v>
      </c>
      <c r="B95" s="24" t="s">
        <v>255</v>
      </c>
      <c r="C95" s="24" t="s">
        <v>337</v>
      </c>
      <c r="D95" s="24">
        <v>2090000</v>
      </c>
      <c r="E95" s="24" t="s">
        <v>676</v>
      </c>
      <c r="F95" s="24" t="str">
        <f t="shared" si="2"/>
        <v>rtdc.l.rtdc.4001:itc</v>
      </c>
      <c r="G95" s="8">
        <f t="shared" si="3"/>
        <v>42600.48709490741</v>
      </c>
    </row>
    <row r="96" spans="1:7" x14ac:dyDescent="0.25">
      <c r="A96" s="8">
        <v>42600.491782407407</v>
      </c>
      <c r="B96" s="24" t="s">
        <v>208</v>
      </c>
      <c r="C96" s="24" t="s">
        <v>425</v>
      </c>
      <c r="D96" s="24">
        <v>940000</v>
      </c>
      <c r="E96" s="24" t="s">
        <v>312</v>
      </c>
      <c r="F96" s="24" t="str">
        <f t="shared" si="2"/>
        <v>rtdc.l.rtdc.4043:itc</v>
      </c>
      <c r="G96" s="8">
        <f t="shared" si="3"/>
        <v>42600.491782407407</v>
      </c>
    </row>
    <row r="97" spans="1:7" x14ac:dyDescent="0.25">
      <c r="A97" s="8">
        <v>42600.497812499998</v>
      </c>
      <c r="B97" s="24" t="s">
        <v>165</v>
      </c>
      <c r="C97" s="24" t="s">
        <v>430</v>
      </c>
      <c r="D97" s="24">
        <v>1360000</v>
      </c>
      <c r="E97" s="24" t="s">
        <v>675</v>
      </c>
      <c r="F97" s="24" t="str">
        <f t="shared" si="2"/>
        <v>rtdc.l.rtdc.4028:itc</v>
      </c>
      <c r="G97" s="8">
        <f t="shared" si="3"/>
        <v>42600.497812499998</v>
      </c>
    </row>
    <row r="98" spans="1:7" x14ac:dyDescent="0.25">
      <c r="A98" s="8">
        <v>42600.498032407406</v>
      </c>
      <c r="B98" s="24" t="s">
        <v>308</v>
      </c>
      <c r="C98" s="24" t="s">
        <v>435</v>
      </c>
      <c r="D98" s="24">
        <v>2000000</v>
      </c>
      <c r="E98" s="24" t="s">
        <v>156</v>
      </c>
      <c r="F98" s="24" t="str">
        <f t="shared" si="2"/>
        <v>rtdc.l.rtdc.4025:itc</v>
      </c>
      <c r="G98" s="8">
        <f t="shared" si="3"/>
        <v>42600.498032407406</v>
      </c>
    </row>
    <row r="99" spans="1:7" x14ac:dyDescent="0.25">
      <c r="A99" s="8">
        <v>42600.510983796295</v>
      </c>
      <c r="B99" s="24" t="s">
        <v>167</v>
      </c>
      <c r="C99" s="24" t="s">
        <v>437</v>
      </c>
      <c r="D99" s="24">
        <v>2150000</v>
      </c>
      <c r="E99" s="24" t="s">
        <v>225</v>
      </c>
      <c r="F99" s="24" t="str">
        <f t="shared" si="2"/>
        <v>rtdc.l.rtdc.4038:itc</v>
      </c>
      <c r="G99" s="8">
        <f t="shared" si="3"/>
        <v>42600.510983796295</v>
      </c>
    </row>
    <row r="100" spans="1:7" x14ac:dyDescent="0.25">
      <c r="A100" s="8">
        <v>42600.512800925928</v>
      </c>
      <c r="B100" s="24" t="s">
        <v>254</v>
      </c>
      <c r="C100" s="24" t="s">
        <v>607</v>
      </c>
      <c r="D100" s="24">
        <v>1100000</v>
      </c>
      <c r="E100" s="24" t="s">
        <v>673</v>
      </c>
      <c r="F100" s="24" t="str">
        <f t="shared" si="2"/>
        <v>rtdc.l.rtdc.4002:itc</v>
      </c>
      <c r="G100" s="8">
        <f t="shared" si="3"/>
        <v>42600.512800925928</v>
      </c>
    </row>
    <row r="101" spans="1:7" x14ac:dyDescent="0.25">
      <c r="A101" s="8">
        <v>42600.51489583333</v>
      </c>
      <c r="B101" s="24" t="s">
        <v>194</v>
      </c>
      <c r="C101" s="24" t="s">
        <v>432</v>
      </c>
      <c r="D101" s="24">
        <v>2040000</v>
      </c>
      <c r="E101" s="24" t="s">
        <v>314</v>
      </c>
      <c r="F101" s="24" t="str">
        <f t="shared" si="2"/>
        <v>rtdc.l.rtdc.4008:itc</v>
      </c>
      <c r="G101" s="8">
        <f t="shared" si="3"/>
        <v>42600.51489583333</v>
      </c>
    </row>
    <row r="102" spans="1:7" x14ac:dyDescent="0.25">
      <c r="A102" s="8">
        <v>42600.516122685185</v>
      </c>
      <c r="B102" s="24" t="s">
        <v>213</v>
      </c>
      <c r="C102" s="24" t="s">
        <v>340</v>
      </c>
      <c r="D102" s="24">
        <v>1810000</v>
      </c>
      <c r="E102" s="24" t="s">
        <v>677</v>
      </c>
      <c r="F102" s="24" t="str">
        <f t="shared" si="2"/>
        <v>rtdc.l.rtdc.4010:itc</v>
      </c>
      <c r="G102" s="8">
        <f t="shared" si="3"/>
        <v>42600.516122685185</v>
      </c>
    </row>
    <row r="103" spans="1:7" x14ac:dyDescent="0.25">
      <c r="A103" s="8">
        <v>42600.51798611111</v>
      </c>
      <c r="B103" s="24" t="s">
        <v>94</v>
      </c>
      <c r="C103" s="24" t="s">
        <v>440</v>
      </c>
      <c r="D103" s="24">
        <v>1240000</v>
      </c>
      <c r="E103" s="24" t="s">
        <v>674</v>
      </c>
      <c r="F103" s="24" t="str">
        <f t="shared" si="2"/>
        <v>rtdc.l.rtdc.4029:itc</v>
      </c>
      <c r="G103" s="8">
        <f t="shared" si="3"/>
        <v>42600.51798611111</v>
      </c>
    </row>
    <row r="104" spans="1:7" x14ac:dyDescent="0.25">
      <c r="A104" s="8">
        <v>42600.526516203703</v>
      </c>
      <c r="B104" s="24" t="s">
        <v>255</v>
      </c>
      <c r="C104" s="24" t="s">
        <v>341</v>
      </c>
      <c r="D104" s="24">
        <v>1100000</v>
      </c>
      <c r="E104" s="24" t="s">
        <v>673</v>
      </c>
      <c r="F104" s="24" t="str">
        <f t="shared" si="2"/>
        <v>rtdc.l.rtdc.4001:itc</v>
      </c>
      <c r="G104" s="8">
        <f t="shared" si="3"/>
        <v>42600.526516203703</v>
      </c>
    </row>
    <row r="105" spans="1:7" x14ac:dyDescent="0.25">
      <c r="A105" s="8">
        <v>42600.527141203704</v>
      </c>
      <c r="B105" s="24" t="s">
        <v>330</v>
      </c>
      <c r="C105" s="24" t="s">
        <v>442</v>
      </c>
      <c r="D105" s="24">
        <v>940000</v>
      </c>
      <c r="E105" s="24" t="s">
        <v>312</v>
      </c>
      <c r="F105" s="24" t="str">
        <f t="shared" si="2"/>
        <v>rtdc.l.rtdc.4044:itc</v>
      </c>
      <c r="G105" s="8">
        <f t="shared" si="3"/>
        <v>42600.527141203704</v>
      </c>
    </row>
    <row r="106" spans="1:7" x14ac:dyDescent="0.25">
      <c r="A106" s="8">
        <v>42600.536874999998</v>
      </c>
      <c r="B106" s="24" t="s">
        <v>96</v>
      </c>
      <c r="C106" s="24" t="s">
        <v>342</v>
      </c>
      <c r="D106" s="24">
        <v>1360000</v>
      </c>
      <c r="E106" s="24" t="s">
        <v>675</v>
      </c>
      <c r="F106" s="24" t="str">
        <f t="shared" si="2"/>
        <v>rtdc.l.rtdc.4027:itc</v>
      </c>
      <c r="G106" s="8">
        <f t="shared" si="3"/>
        <v>42600.536874999998</v>
      </c>
    </row>
    <row r="107" spans="1:7" x14ac:dyDescent="0.25">
      <c r="A107" s="8">
        <v>42600.536979166667</v>
      </c>
      <c r="B107" s="24" t="s">
        <v>306</v>
      </c>
      <c r="C107" s="24" t="s">
        <v>436</v>
      </c>
      <c r="D107" s="24">
        <v>2000000</v>
      </c>
      <c r="E107" s="24" t="s">
        <v>156</v>
      </c>
      <c r="F107" s="24" t="str">
        <f t="shared" si="2"/>
        <v>rtdc.l.rtdc.4026:itc</v>
      </c>
      <c r="G107" s="8">
        <f t="shared" si="3"/>
        <v>42600.536979166667</v>
      </c>
    </row>
    <row r="108" spans="1:7" x14ac:dyDescent="0.25">
      <c r="A108" s="8">
        <v>42600.540729166663</v>
      </c>
      <c r="B108" s="24" t="s">
        <v>157</v>
      </c>
      <c r="C108" s="24" t="s">
        <v>439</v>
      </c>
      <c r="D108" s="24">
        <v>2150000</v>
      </c>
      <c r="E108" s="24" t="s">
        <v>225</v>
      </c>
      <c r="F108" s="24" t="str">
        <f t="shared" si="2"/>
        <v>rtdc.l.rtdc.4037:itc</v>
      </c>
      <c r="G108" s="8">
        <f t="shared" si="3"/>
        <v>42600.540729166663</v>
      </c>
    </row>
    <row r="109" spans="1:7" x14ac:dyDescent="0.25">
      <c r="A109" s="8">
        <v>42600.54755787037</v>
      </c>
      <c r="B109" s="24" t="s">
        <v>254</v>
      </c>
      <c r="C109" s="24" t="s">
        <v>611</v>
      </c>
      <c r="D109" s="24">
        <v>1540000</v>
      </c>
      <c r="E109" s="24" t="s">
        <v>228</v>
      </c>
      <c r="F109" s="24" t="str">
        <f t="shared" si="2"/>
        <v>rtdc.l.rtdc.4002:itc</v>
      </c>
      <c r="G109" s="8">
        <f t="shared" si="3"/>
        <v>42600.54755787037</v>
      </c>
    </row>
    <row r="110" spans="1:7" x14ac:dyDescent="0.25">
      <c r="A110" s="8">
        <v>42600.550474537034</v>
      </c>
      <c r="B110" s="24" t="s">
        <v>309</v>
      </c>
      <c r="C110" s="24" t="s">
        <v>446</v>
      </c>
      <c r="D110" s="24">
        <v>2040000</v>
      </c>
      <c r="E110" s="24" t="s">
        <v>314</v>
      </c>
      <c r="F110" s="24" t="str">
        <f t="shared" si="2"/>
        <v>rtdc.l.rtdc.4007:itc</v>
      </c>
      <c r="G110" s="8">
        <f t="shared" si="3"/>
        <v>42600.550474537034</v>
      </c>
    </row>
    <row r="111" spans="1:7" x14ac:dyDescent="0.25">
      <c r="A111" s="8">
        <v>42600.555439814816</v>
      </c>
      <c r="B111" s="24" t="s">
        <v>95</v>
      </c>
      <c r="C111" s="24" t="s">
        <v>441</v>
      </c>
      <c r="D111" s="24">
        <v>1240000</v>
      </c>
      <c r="E111" s="24" t="s">
        <v>674</v>
      </c>
      <c r="F111" s="24" t="str">
        <f t="shared" si="2"/>
        <v>rtdc.l.rtdc.4030:itc</v>
      </c>
      <c r="G111" s="8">
        <f t="shared" si="3"/>
        <v>42600.555439814816</v>
      </c>
    </row>
    <row r="112" spans="1:7" x14ac:dyDescent="0.25">
      <c r="A112" s="8">
        <v>42600.559108796297</v>
      </c>
      <c r="B112" s="24" t="s">
        <v>211</v>
      </c>
      <c r="C112" s="24" t="s">
        <v>448</v>
      </c>
      <c r="D112" s="24">
        <v>1810000</v>
      </c>
      <c r="E112" s="24" t="s">
        <v>677</v>
      </c>
      <c r="F112" s="24" t="str">
        <f t="shared" si="2"/>
        <v>rtdc.l.rtdc.4009:itc</v>
      </c>
      <c r="G112" s="8">
        <f t="shared" si="3"/>
        <v>42600.559108796297</v>
      </c>
    </row>
    <row r="113" spans="1:7" x14ac:dyDescent="0.25">
      <c r="A113" s="8">
        <v>42600.562326388892</v>
      </c>
      <c r="B113" s="24" t="s">
        <v>208</v>
      </c>
      <c r="C113" s="24" t="s">
        <v>443</v>
      </c>
      <c r="D113" s="24">
        <v>940000</v>
      </c>
      <c r="E113" s="24" t="s">
        <v>312</v>
      </c>
      <c r="F113" s="24" t="str">
        <f t="shared" si="2"/>
        <v>rtdc.l.rtdc.4043:itc</v>
      </c>
      <c r="G113" s="8">
        <f t="shared" si="3"/>
        <v>42600.562326388892</v>
      </c>
    </row>
    <row r="114" spans="1:7" x14ac:dyDescent="0.25">
      <c r="A114" s="8">
        <v>42600.568761574075</v>
      </c>
      <c r="B114" s="24" t="s">
        <v>255</v>
      </c>
      <c r="C114" s="24" t="s">
        <v>614</v>
      </c>
      <c r="D114" s="24">
        <v>1540000</v>
      </c>
      <c r="E114" s="24" t="s">
        <v>228</v>
      </c>
      <c r="F114" s="24" t="str">
        <f t="shared" si="2"/>
        <v>rtdc.l.rtdc.4001:itc</v>
      </c>
      <c r="G114" s="8">
        <f t="shared" si="3"/>
        <v>42600.568761574075</v>
      </c>
    </row>
    <row r="115" spans="1:7" x14ac:dyDescent="0.25">
      <c r="A115" s="8">
        <v>42600.569074074076</v>
      </c>
      <c r="B115" s="24" t="s">
        <v>308</v>
      </c>
      <c r="C115" s="24" t="s">
        <v>453</v>
      </c>
      <c r="D115" s="24">
        <v>2000000</v>
      </c>
      <c r="E115" s="24" t="s">
        <v>156</v>
      </c>
      <c r="F115" s="24" t="str">
        <f t="shared" si="2"/>
        <v>rtdc.l.rtdc.4025:itc</v>
      </c>
      <c r="G115" s="8">
        <f t="shared" si="3"/>
        <v>42600.569074074076</v>
      </c>
    </row>
    <row r="116" spans="1:7" x14ac:dyDescent="0.25">
      <c r="A116" s="8">
        <v>42600.57267361111</v>
      </c>
      <c r="B116" s="24" t="s">
        <v>165</v>
      </c>
      <c r="C116" s="24" t="s">
        <v>343</v>
      </c>
      <c r="D116" s="24">
        <v>1360000</v>
      </c>
      <c r="E116" s="24" t="s">
        <v>675</v>
      </c>
      <c r="F116" s="24" t="str">
        <f t="shared" si="2"/>
        <v>rtdc.l.rtdc.4028:itc</v>
      </c>
      <c r="G116" s="8">
        <f t="shared" si="3"/>
        <v>42600.57267361111</v>
      </c>
    </row>
    <row r="117" spans="1:7" x14ac:dyDescent="0.25">
      <c r="A117" s="8">
        <v>42600.581377314818</v>
      </c>
      <c r="B117" s="24" t="s">
        <v>167</v>
      </c>
      <c r="C117" s="24" t="s">
        <v>455</v>
      </c>
      <c r="D117" s="24">
        <v>2090000</v>
      </c>
      <c r="E117" s="24" t="s">
        <v>676</v>
      </c>
      <c r="F117" s="24" t="str">
        <f t="shared" si="2"/>
        <v>rtdc.l.rtdc.4038:itc</v>
      </c>
      <c r="G117" s="8">
        <f t="shared" si="3"/>
        <v>42600.581377314818</v>
      </c>
    </row>
    <row r="118" spans="1:7" x14ac:dyDescent="0.25">
      <c r="A118" s="8">
        <v>42600.585729166669</v>
      </c>
      <c r="B118" s="24" t="s">
        <v>194</v>
      </c>
      <c r="C118" s="24" t="s">
        <v>447</v>
      </c>
      <c r="D118" s="24">
        <v>2040000</v>
      </c>
      <c r="E118" s="24" t="s">
        <v>314</v>
      </c>
      <c r="F118" s="24" t="str">
        <f t="shared" si="2"/>
        <v>rtdc.l.rtdc.4008:itc</v>
      </c>
      <c r="G118" s="8">
        <f t="shared" si="3"/>
        <v>42600.585729166669</v>
      </c>
    </row>
    <row r="119" spans="1:7" x14ac:dyDescent="0.25">
      <c r="A119" s="8">
        <v>42600.588761574072</v>
      </c>
      <c r="B119" s="24" t="s">
        <v>213</v>
      </c>
      <c r="C119" s="24" t="s">
        <v>450</v>
      </c>
      <c r="D119" s="24">
        <v>1810000</v>
      </c>
      <c r="E119" s="24" t="s">
        <v>677</v>
      </c>
      <c r="F119" s="24" t="str">
        <f t="shared" si="2"/>
        <v>rtdc.l.rtdc.4010:itc</v>
      </c>
      <c r="G119" s="8">
        <f t="shared" si="3"/>
        <v>42600.588761574072</v>
      </c>
    </row>
    <row r="120" spans="1:7" x14ac:dyDescent="0.25">
      <c r="A120" s="8">
        <v>42600.592430555553</v>
      </c>
      <c r="B120" s="24" t="s">
        <v>94</v>
      </c>
      <c r="C120" s="24" t="s">
        <v>458</v>
      </c>
      <c r="D120" s="24">
        <v>1240000</v>
      </c>
      <c r="E120" s="24" t="s">
        <v>674</v>
      </c>
      <c r="F120" s="24" t="str">
        <f t="shared" si="2"/>
        <v>rtdc.l.rtdc.4029:itc</v>
      </c>
      <c r="G120" s="8">
        <f t="shared" si="3"/>
        <v>42600.592430555553</v>
      </c>
    </row>
    <row r="121" spans="1:7" x14ac:dyDescent="0.25">
      <c r="A121" s="8">
        <v>42600.595324074071</v>
      </c>
      <c r="B121" s="24" t="s">
        <v>254</v>
      </c>
      <c r="C121" s="24" t="s">
        <v>617</v>
      </c>
      <c r="D121" s="24">
        <v>1540000</v>
      </c>
      <c r="E121" s="24" t="s">
        <v>228</v>
      </c>
      <c r="F121" s="24" t="str">
        <f t="shared" si="2"/>
        <v>rtdc.l.rtdc.4002:itc</v>
      </c>
      <c r="G121" s="8">
        <f t="shared" si="3"/>
        <v>42600.595324074071</v>
      </c>
    </row>
    <row r="122" spans="1:7" x14ac:dyDescent="0.25">
      <c r="A122" s="8">
        <v>42600.599398148152</v>
      </c>
      <c r="B122" s="29" t="s">
        <v>330</v>
      </c>
      <c r="C122" s="24" t="s">
        <v>344</v>
      </c>
      <c r="D122" s="24">
        <v>940000</v>
      </c>
      <c r="E122" s="24" t="s">
        <v>312</v>
      </c>
      <c r="F122" s="24" t="str">
        <f t="shared" si="2"/>
        <v>rtdc.l.rtdc.4044:itc</v>
      </c>
      <c r="G122" s="8">
        <f t="shared" si="3"/>
        <v>42600.599398148152</v>
      </c>
    </row>
    <row r="123" spans="1:7" x14ac:dyDescent="0.25">
      <c r="A123" s="8">
        <v>42600.609490740739</v>
      </c>
      <c r="B123" s="24" t="s">
        <v>255</v>
      </c>
      <c r="C123" s="24" t="s">
        <v>619</v>
      </c>
      <c r="D123" s="24">
        <v>1540000</v>
      </c>
      <c r="E123" s="24" t="s">
        <v>228</v>
      </c>
      <c r="F123" s="24" t="str">
        <f t="shared" si="2"/>
        <v>rtdc.l.rtdc.4001:itc</v>
      </c>
      <c r="G123" s="8">
        <f t="shared" si="3"/>
        <v>42600.609490740739</v>
      </c>
    </row>
    <row r="124" spans="1:7" x14ac:dyDescent="0.25">
      <c r="A124" s="8">
        <v>42600.610335648147</v>
      </c>
      <c r="B124" s="24" t="s">
        <v>306</v>
      </c>
      <c r="C124" s="24" t="s">
        <v>346</v>
      </c>
      <c r="D124" s="24">
        <v>2000000</v>
      </c>
      <c r="E124" s="24" t="s">
        <v>156</v>
      </c>
      <c r="F124" s="24" t="str">
        <f t="shared" si="2"/>
        <v>rtdc.l.rtdc.4026:itc</v>
      </c>
      <c r="G124" s="8">
        <f t="shared" si="3"/>
        <v>42600.610335648147</v>
      </c>
    </row>
    <row r="125" spans="1:7" x14ac:dyDescent="0.25">
      <c r="A125" s="8">
        <v>42600.610983796294</v>
      </c>
      <c r="B125" s="24" t="s">
        <v>96</v>
      </c>
      <c r="C125" s="24" t="s">
        <v>465</v>
      </c>
      <c r="D125" s="24">
        <v>1360000</v>
      </c>
      <c r="E125" s="24" t="s">
        <v>675</v>
      </c>
      <c r="F125" s="24" t="str">
        <f t="shared" si="2"/>
        <v>rtdc.l.rtdc.4027:itc</v>
      </c>
      <c r="G125" s="8">
        <f t="shared" si="3"/>
        <v>42600.610983796294</v>
      </c>
    </row>
    <row r="126" spans="1:7" x14ac:dyDescent="0.25">
      <c r="A126" s="8">
        <v>42600.616238425922</v>
      </c>
      <c r="B126" s="24" t="s">
        <v>157</v>
      </c>
      <c r="C126" s="24" t="s">
        <v>456</v>
      </c>
      <c r="D126" s="24">
        <v>2090000</v>
      </c>
      <c r="E126" s="24" t="s">
        <v>676</v>
      </c>
      <c r="F126" s="24" t="str">
        <f t="shared" si="2"/>
        <v>rtdc.l.rtdc.4037:itc</v>
      </c>
      <c r="G126" s="8">
        <f t="shared" si="3"/>
        <v>42600.616238425922</v>
      </c>
    </row>
    <row r="127" spans="1:7" x14ac:dyDescent="0.25">
      <c r="A127" s="8">
        <v>42600.623171296298</v>
      </c>
      <c r="B127" s="24" t="s">
        <v>309</v>
      </c>
      <c r="C127" s="24" t="s">
        <v>345</v>
      </c>
      <c r="D127" s="24">
        <v>2040000</v>
      </c>
      <c r="E127" s="24" t="s">
        <v>314</v>
      </c>
      <c r="F127" s="24" t="str">
        <f t="shared" si="2"/>
        <v>rtdc.l.rtdc.4007:itc</v>
      </c>
      <c r="G127" s="8">
        <f t="shared" si="3"/>
        <v>42600.623171296298</v>
      </c>
    </row>
    <row r="128" spans="1:7" x14ac:dyDescent="0.25">
      <c r="A128" s="8">
        <v>42600.627534722225</v>
      </c>
      <c r="B128" s="24" t="s">
        <v>95</v>
      </c>
      <c r="C128" s="24" t="s">
        <v>460</v>
      </c>
      <c r="D128" s="24">
        <v>1240000</v>
      </c>
      <c r="E128" s="24" t="s">
        <v>674</v>
      </c>
      <c r="F128" s="24" t="str">
        <f t="shared" si="2"/>
        <v>rtdc.l.rtdc.4030:itc</v>
      </c>
      <c r="G128" s="8">
        <f t="shared" si="3"/>
        <v>42600.627534722225</v>
      </c>
    </row>
    <row r="129" spans="1:7" x14ac:dyDescent="0.25">
      <c r="A129" s="8">
        <v>42600.630393518521</v>
      </c>
      <c r="B129" s="24" t="s">
        <v>254</v>
      </c>
      <c r="C129" s="24" t="s">
        <v>620</v>
      </c>
      <c r="D129" s="24">
        <v>1540000</v>
      </c>
      <c r="E129" s="24" t="s">
        <v>228</v>
      </c>
      <c r="F129" s="24" t="str">
        <f t="shared" si="2"/>
        <v>rtdc.l.rtdc.4002:itc</v>
      </c>
      <c r="G129" s="8">
        <f t="shared" si="3"/>
        <v>42600.630393518521</v>
      </c>
    </row>
    <row r="130" spans="1:7" x14ac:dyDescent="0.25">
      <c r="A130" s="8">
        <v>42600.63071759259</v>
      </c>
      <c r="B130" s="24" t="s">
        <v>211</v>
      </c>
      <c r="C130" s="24" t="s">
        <v>470</v>
      </c>
      <c r="D130" s="24">
        <v>1810000</v>
      </c>
      <c r="E130" s="24" t="s">
        <v>677</v>
      </c>
      <c r="F130" s="24" t="str">
        <f t="shared" ref="F130:F193" si="4">B130</f>
        <v>rtdc.l.rtdc.4009:itc</v>
      </c>
      <c r="G130" s="8">
        <f t="shared" ref="G130:G193" si="5">A130</f>
        <v>42600.63071759259</v>
      </c>
    </row>
    <row r="131" spans="1:7" x14ac:dyDescent="0.25">
      <c r="A131" s="8">
        <v>42600.635983796295</v>
      </c>
      <c r="B131" s="24" t="s">
        <v>196</v>
      </c>
      <c r="C131" s="24" t="s">
        <v>663</v>
      </c>
      <c r="D131" s="24">
        <v>2100000</v>
      </c>
      <c r="E131" s="24" t="s">
        <v>147</v>
      </c>
      <c r="F131" s="24" t="str">
        <f t="shared" si="4"/>
        <v>rtdc.l.rtdc.4019:itc</v>
      </c>
      <c r="G131" s="8">
        <f t="shared" si="5"/>
        <v>42600.635983796295</v>
      </c>
    </row>
    <row r="132" spans="1:7" x14ac:dyDescent="0.25">
      <c r="A132" s="8">
        <v>42600.637824074074</v>
      </c>
      <c r="B132" s="24" t="s">
        <v>208</v>
      </c>
      <c r="C132" s="24" t="s">
        <v>463</v>
      </c>
      <c r="D132" s="24">
        <v>940000</v>
      </c>
      <c r="E132" s="24" t="s">
        <v>312</v>
      </c>
      <c r="F132" s="24" t="str">
        <f t="shared" si="4"/>
        <v>rtdc.l.rtdc.4043:itc</v>
      </c>
      <c r="G132" s="8">
        <f t="shared" si="5"/>
        <v>42600.637824074074</v>
      </c>
    </row>
    <row r="133" spans="1:7" x14ac:dyDescent="0.25">
      <c r="A133" s="8">
        <v>42600.640706018516</v>
      </c>
      <c r="B133" s="24" t="s">
        <v>308</v>
      </c>
      <c r="C133" s="24" t="s">
        <v>472</v>
      </c>
      <c r="D133" s="24">
        <v>2000000</v>
      </c>
      <c r="E133" s="24" t="s">
        <v>156</v>
      </c>
      <c r="F133" s="24" t="str">
        <f t="shared" si="4"/>
        <v>rtdc.l.rtdc.4025:itc</v>
      </c>
      <c r="G133" s="8">
        <f t="shared" si="5"/>
        <v>42600.640706018516</v>
      </c>
    </row>
    <row r="134" spans="1:7" x14ac:dyDescent="0.25">
      <c r="A134" s="8">
        <v>42600.64167824074</v>
      </c>
      <c r="B134" s="24" t="s">
        <v>165</v>
      </c>
      <c r="C134" s="24" t="s">
        <v>348</v>
      </c>
      <c r="D134" s="24">
        <v>1360000</v>
      </c>
      <c r="E134" s="24" t="s">
        <v>675</v>
      </c>
      <c r="F134" s="24" t="str">
        <f t="shared" si="4"/>
        <v>rtdc.l.rtdc.4028:itc</v>
      </c>
      <c r="G134" s="8">
        <f t="shared" si="5"/>
        <v>42600.64167824074</v>
      </c>
    </row>
    <row r="135" spans="1:7" x14ac:dyDescent="0.25">
      <c r="A135" s="8">
        <v>42600.652673611112</v>
      </c>
      <c r="B135" s="24" t="s">
        <v>255</v>
      </c>
      <c r="C135" s="24" t="s">
        <v>623</v>
      </c>
      <c r="D135" s="24">
        <v>1540000</v>
      </c>
      <c r="E135" s="24" t="s">
        <v>228</v>
      </c>
      <c r="F135" s="24" t="str">
        <f t="shared" si="4"/>
        <v>rtdc.l.rtdc.4001:itc</v>
      </c>
      <c r="G135" s="8">
        <f t="shared" si="5"/>
        <v>42600.652673611112</v>
      </c>
    </row>
    <row r="136" spans="1:7" x14ac:dyDescent="0.25">
      <c r="A136" s="8">
        <v>42600.654050925928</v>
      </c>
      <c r="B136" s="24" t="s">
        <v>167</v>
      </c>
      <c r="C136" s="24" t="s">
        <v>476</v>
      </c>
      <c r="D136" s="24">
        <v>2090000</v>
      </c>
      <c r="E136" s="24" t="s">
        <v>676</v>
      </c>
      <c r="F136" s="24" t="str">
        <f t="shared" si="4"/>
        <v>rtdc.l.rtdc.4038:itc</v>
      </c>
      <c r="G136" s="8">
        <f t="shared" si="5"/>
        <v>42600.654050925928</v>
      </c>
    </row>
    <row r="137" spans="1:7" x14ac:dyDescent="0.25">
      <c r="A137" s="8">
        <v>42600.656944444447</v>
      </c>
      <c r="B137" s="24" t="s">
        <v>195</v>
      </c>
      <c r="C137" s="24" t="s">
        <v>347</v>
      </c>
      <c r="D137" s="24">
        <v>2100000</v>
      </c>
      <c r="E137" s="24" t="s">
        <v>147</v>
      </c>
      <c r="F137" s="24" t="str">
        <f t="shared" si="4"/>
        <v>rtdc.l.rtdc.4020:itc</v>
      </c>
      <c r="G137" s="8">
        <f t="shared" si="5"/>
        <v>42600.656944444447</v>
      </c>
    </row>
    <row r="138" spans="1:7" x14ac:dyDescent="0.25">
      <c r="A138" s="8">
        <v>42600.660138888888</v>
      </c>
      <c r="B138" s="24" t="s">
        <v>194</v>
      </c>
      <c r="C138" s="24" t="s">
        <v>468</v>
      </c>
      <c r="D138" s="24">
        <v>2040000</v>
      </c>
      <c r="E138" s="24" t="s">
        <v>314</v>
      </c>
      <c r="F138" s="24" t="str">
        <f t="shared" si="4"/>
        <v>rtdc.l.rtdc.4008:itc</v>
      </c>
      <c r="G138" s="8">
        <f t="shared" si="5"/>
        <v>42600.660138888888</v>
      </c>
    </row>
    <row r="139" spans="1:7" x14ac:dyDescent="0.25">
      <c r="A139" s="8">
        <v>42600.663981481484</v>
      </c>
      <c r="B139" s="24" t="s">
        <v>94</v>
      </c>
      <c r="C139" s="24" t="s">
        <v>479</v>
      </c>
      <c r="D139" s="24">
        <v>1240000</v>
      </c>
      <c r="E139" s="24" t="s">
        <v>674</v>
      </c>
      <c r="F139" s="24" t="str">
        <f t="shared" si="4"/>
        <v>rtdc.l.rtdc.4029:itc</v>
      </c>
      <c r="G139" s="8">
        <f t="shared" si="5"/>
        <v>42600.663981481484</v>
      </c>
    </row>
    <row r="140" spans="1:7" x14ac:dyDescent="0.25">
      <c r="A140" s="8">
        <v>42600.666550925926</v>
      </c>
      <c r="B140" s="24" t="s">
        <v>213</v>
      </c>
      <c r="C140" s="24" t="s">
        <v>471</v>
      </c>
      <c r="D140" s="24">
        <v>1810000</v>
      </c>
      <c r="E140" s="24" t="s">
        <v>677</v>
      </c>
      <c r="F140" s="24" t="str">
        <f t="shared" si="4"/>
        <v>rtdc.l.rtdc.4010:itc</v>
      </c>
      <c r="G140" s="8">
        <f t="shared" si="5"/>
        <v>42600.666550925926</v>
      </c>
    </row>
    <row r="141" spans="1:7" x14ac:dyDescent="0.25">
      <c r="A141" s="8">
        <v>42600.671782407408</v>
      </c>
      <c r="B141" s="24" t="s">
        <v>254</v>
      </c>
      <c r="C141" s="24" t="s">
        <v>625</v>
      </c>
      <c r="D141" s="24">
        <v>1540000</v>
      </c>
      <c r="E141" s="24" t="s">
        <v>228</v>
      </c>
      <c r="F141" s="24" t="str">
        <f t="shared" si="4"/>
        <v>rtdc.l.rtdc.4002:itc</v>
      </c>
      <c r="G141" s="8">
        <f t="shared" si="5"/>
        <v>42600.671782407408</v>
      </c>
    </row>
    <row r="142" spans="1:7" x14ac:dyDescent="0.25">
      <c r="A142" s="8">
        <v>42600.672175925924</v>
      </c>
      <c r="B142" s="24" t="s">
        <v>196</v>
      </c>
      <c r="C142" s="24" t="s">
        <v>349</v>
      </c>
      <c r="D142" s="24">
        <v>2100000</v>
      </c>
      <c r="E142" s="24" t="s">
        <v>147</v>
      </c>
      <c r="F142" s="24" t="str">
        <f t="shared" si="4"/>
        <v>rtdc.l.rtdc.4019:itc</v>
      </c>
      <c r="G142" s="8">
        <f t="shared" si="5"/>
        <v>42600.672175925924</v>
      </c>
    </row>
    <row r="143" spans="1:7" x14ac:dyDescent="0.25">
      <c r="A143" s="8">
        <v>42600.674050925925</v>
      </c>
      <c r="B143" s="24" t="s">
        <v>330</v>
      </c>
      <c r="C143" s="24" t="s">
        <v>483</v>
      </c>
      <c r="D143" s="24">
        <v>940000</v>
      </c>
      <c r="E143" s="24" t="s">
        <v>312</v>
      </c>
      <c r="F143" s="24" t="str">
        <f t="shared" si="4"/>
        <v>rtdc.l.rtdc.4044:itc</v>
      </c>
      <c r="G143" s="8">
        <f t="shared" si="5"/>
        <v>42600.674050925925</v>
      </c>
    </row>
    <row r="144" spans="1:7" x14ac:dyDescent="0.25">
      <c r="A144" s="8">
        <v>42600.68141203704</v>
      </c>
      <c r="B144" s="24" t="s">
        <v>306</v>
      </c>
      <c r="C144" s="24" t="s">
        <v>474</v>
      </c>
      <c r="D144" s="24">
        <v>2000000</v>
      </c>
      <c r="E144" s="24" t="s">
        <v>156</v>
      </c>
      <c r="F144" s="24" t="str">
        <f t="shared" si="4"/>
        <v>rtdc.l.rtdc.4026:itc</v>
      </c>
      <c r="G144" s="8">
        <f t="shared" si="5"/>
        <v>42600.68141203704</v>
      </c>
    </row>
    <row r="145" spans="1:7" x14ac:dyDescent="0.25">
      <c r="A145" s="8">
        <v>42600.684027777781</v>
      </c>
      <c r="B145" s="24" t="s">
        <v>96</v>
      </c>
      <c r="C145" s="24" t="s">
        <v>486</v>
      </c>
      <c r="D145" s="24">
        <v>1360000</v>
      </c>
      <c r="E145" s="24" t="s">
        <v>675</v>
      </c>
      <c r="F145" s="24" t="str">
        <f t="shared" si="4"/>
        <v>rtdc.l.rtdc.4027:itc</v>
      </c>
      <c r="G145" s="8">
        <f t="shared" si="5"/>
        <v>42600.684027777781</v>
      </c>
    </row>
    <row r="146" spans="1:7" x14ac:dyDescent="0.25">
      <c r="A146" s="8">
        <v>42600.694965277777</v>
      </c>
      <c r="B146" s="24" t="s">
        <v>309</v>
      </c>
      <c r="C146" s="24" t="s">
        <v>487</v>
      </c>
      <c r="D146" s="24">
        <v>2040000</v>
      </c>
      <c r="E146" s="24" t="s">
        <v>314</v>
      </c>
      <c r="F146" s="24" t="str">
        <f t="shared" si="4"/>
        <v>rtdc.l.rtdc.4007:itc</v>
      </c>
      <c r="G146" s="8">
        <f t="shared" si="5"/>
        <v>42600.694965277777</v>
      </c>
    </row>
    <row r="147" spans="1:7" x14ac:dyDescent="0.25">
      <c r="A147" s="8">
        <v>42600.695057870369</v>
      </c>
      <c r="B147" s="24" t="s">
        <v>157</v>
      </c>
      <c r="C147" s="24" t="s">
        <v>478</v>
      </c>
      <c r="D147" s="24">
        <v>2090000</v>
      </c>
      <c r="E147" s="24" t="s">
        <v>676</v>
      </c>
      <c r="F147" s="24" t="str">
        <f t="shared" si="4"/>
        <v>rtdc.l.rtdc.4037:itc</v>
      </c>
      <c r="G147" s="8">
        <f t="shared" si="5"/>
        <v>42600.695057870369</v>
      </c>
    </row>
    <row r="148" spans="1:7" x14ac:dyDescent="0.25">
      <c r="A148" s="8">
        <v>42600.696342592593</v>
      </c>
      <c r="B148" s="24" t="s">
        <v>255</v>
      </c>
      <c r="C148" s="24" t="s">
        <v>627</v>
      </c>
      <c r="D148" s="24">
        <v>1540000</v>
      </c>
      <c r="E148" s="24" t="s">
        <v>228</v>
      </c>
      <c r="F148" s="24" t="str">
        <f t="shared" si="4"/>
        <v>rtdc.l.rtdc.4001:itc</v>
      </c>
      <c r="G148" s="8">
        <f t="shared" si="5"/>
        <v>42600.696342592593</v>
      </c>
    </row>
    <row r="149" spans="1:7" x14ac:dyDescent="0.25">
      <c r="A149" s="8">
        <v>42600.696539351855</v>
      </c>
      <c r="B149" s="24" t="s">
        <v>195</v>
      </c>
      <c r="C149" s="24" t="s">
        <v>629</v>
      </c>
      <c r="D149" s="24">
        <v>2100000</v>
      </c>
      <c r="E149" s="24" t="s">
        <v>147</v>
      </c>
      <c r="F149" s="24" t="str">
        <f t="shared" si="4"/>
        <v>rtdc.l.rtdc.4020:itc</v>
      </c>
      <c r="G149" s="8">
        <f t="shared" si="5"/>
        <v>42600.696539351855</v>
      </c>
    </row>
    <row r="150" spans="1:7" x14ac:dyDescent="0.25">
      <c r="A150" s="8">
        <v>42600.700092592589</v>
      </c>
      <c r="B150" s="24" t="s">
        <v>95</v>
      </c>
      <c r="C150" s="24" t="s">
        <v>481</v>
      </c>
      <c r="D150" s="24">
        <v>1240000</v>
      </c>
      <c r="E150" s="24" t="s">
        <v>674</v>
      </c>
      <c r="F150" s="24" t="str">
        <f t="shared" si="4"/>
        <v>rtdc.l.rtdc.4030:itc</v>
      </c>
      <c r="G150" s="8">
        <f t="shared" si="5"/>
        <v>42600.700092592589</v>
      </c>
    </row>
    <row r="151" spans="1:7" x14ac:dyDescent="0.25">
      <c r="A151" s="8">
        <v>42600.703240740739</v>
      </c>
      <c r="B151" s="24" t="s">
        <v>211</v>
      </c>
      <c r="C151" s="24" t="s">
        <v>490</v>
      </c>
      <c r="D151" s="24">
        <v>1810000</v>
      </c>
      <c r="E151" s="24" t="s">
        <v>677</v>
      </c>
      <c r="F151" s="24" t="str">
        <f t="shared" si="4"/>
        <v>rtdc.l.rtdc.4009:itc</v>
      </c>
      <c r="G151" s="8">
        <f t="shared" si="5"/>
        <v>42600.703240740739</v>
      </c>
    </row>
    <row r="152" spans="1:7" x14ac:dyDescent="0.25">
      <c r="A152" s="8">
        <v>42600.712268518517</v>
      </c>
      <c r="B152" s="24" t="s">
        <v>208</v>
      </c>
      <c r="C152" s="24" t="s">
        <v>352</v>
      </c>
      <c r="D152" s="24">
        <v>940000</v>
      </c>
      <c r="E152" s="24" t="s">
        <v>312</v>
      </c>
      <c r="F152" s="24" t="str">
        <f t="shared" si="4"/>
        <v>rtdc.l.rtdc.4043:itc</v>
      </c>
      <c r="G152" s="8">
        <f t="shared" si="5"/>
        <v>42600.712268518517</v>
      </c>
    </row>
    <row r="153" spans="1:7" x14ac:dyDescent="0.25">
      <c r="A153" s="8">
        <v>42600.715497685182</v>
      </c>
      <c r="B153" s="24" t="s">
        <v>196</v>
      </c>
      <c r="C153" s="24" t="s">
        <v>350</v>
      </c>
      <c r="D153" s="24">
        <v>2100000</v>
      </c>
      <c r="E153" s="24" t="s">
        <v>147</v>
      </c>
      <c r="F153" s="24" t="str">
        <f t="shared" si="4"/>
        <v>rtdc.l.rtdc.4019:itc</v>
      </c>
      <c r="G153" s="8">
        <f t="shared" si="5"/>
        <v>42600.715497685182</v>
      </c>
    </row>
    <row r="154" spans="1:7" x14ac:dyDescent="0.25">
      <c r="A154" s="8">
        <v>42600.716469907406</v>
      </c>
      <c r="B154" s="24" t="s">
        <v>308</v>
      </c>
      <c r="C154" s="24" t="s">
        <v>494</v>
      </c>
      <c r="D154" s="24">
        <v>730000</v>
      </c>
      <c r="E154" s="24" t="s">
        <v>200</v>
      </c>
      <c r="F154" s="24" t="str">
        <f t="shared" si="4"/>
        <v>rtdc.l.rtdc.4025:itc</v>
      </c>
      <c r="G154" s="8">
        <f t="shared" si="5"/>
        <v>42600.716469907406</v>
      </c>
    </row>
    <row r="155" spans="1:7" x14ac:dyDescent="0.25">
      <c r="A155" s="8">
        <v>42600.716967592591</v>
      </c>
      <c r="B155" s="24" t="s">
        <v>254</v>
      </c>
      <c r="C155" s="24" t="s">
        <v>632</v>
      </c>
      <c r="D155" s="24">
        <v>1540000</v>
      </c>
      <c r="E155" s="24" t="s">
        <v>228</v>
      </c>
      <c r="F155" s="24" t="str">
        <f t="shared" si="4"/>
        <v>rtdc.l.rtdc.4002:itc</v>
      </c>
      <c r="G155" s="8">
        <f t="shared" si="5"/>
        <v>42600.716967592591</v>
      </c>
    </row>
    <row r="156" spans="1:7" x14ac:dyDescent="0.25">
      <c r="A156" s="8">
        <v>42600.719189814816</v>
      </c>
      <c r="B156" s="24" t="s">
        <v>165</v>
      </c>
      <c r="C156" s="24" t="s">
        <v>351</v>
      </c>
      <c r="D156" s="24">
        <v>1360000</v>
      </c>
      <c r="E156" s="24" t="s">
        <v>675</v>
      </c>
      <c r="F156" s="24" t="str">
        <f t="shared" si="4"/>
        <v>rtdc.l.rtdc.4028:itc</v>
      </c>
      <c r="G156" s="8">
        <f t="shared" si="5"/>
        <v>42600.719189814816</v>
      </c>
    </row>
    <row r="157" spans="1:7" x14ac:dyDescent="0.25">
      <c r="A157" s="8">
        <v>42600.722627314812</v>
      </c>
      <c r="B157" s="24" t="s">
        <v>165</v>
      </c>
      <c r="C157" s="24" t="s">
        <v>351</v>
      </c>
      <c r="D157" s="24">
        <v>1360000</v>
      </c>
      <c r="E157" s="24" t="s">
        <v>675</v>
      </c>
      <c r="F157" s="24" t="str">
        <f t="shared" si="4"/>
        <v>rtdc.l.rtdc.4028:itc</v>
      </c>
      <c r="G157" s="8">
        <f t="shared" si="5"/>
        <v>42600.722627314812</v>
      </c>
    </row>
    <row r="158" spans="1:7" x14ac:dyDescent="0.25">
      <c r="A158" s="8">
        <v>42600.726273148146</v>
      </c>
      <c r="B158" s="24" t="s">
        <v>167</v>
      </c>
      <c r="C158" s="24" t="s">
        <v>498</v>
      </c>
      <c r="D158" s="24">
        <v>2000000</v>
      </c>
      <c r="E158" s="24" t="s">
        <v>156</v>
      </c>
      <c r="F158" s="24" t="str">
        <f t="shared" si="4"/>
        <v>rtdc.l.rtdc.4038:itc</v>
      </c>
      <c r="G158" s="8">
        <f t="shared" si="5"/>
        <v>42600.726273148146</v>
      </c>
    </row>
    <row r="159" spans="1:7" x14ac:dyDescent="0.25">
      <c r="A159" s="8">
        <v>42600.734143518515</v>
      </c>
      <c r="B159" s="24" t="s">
        <v>194</v>
      </c>
      <c r="C159" s="24" t="s">
        <v>354</v>
      </c>
      <c r="D159" s="24">
        <v>2040000</v>
      </c>
      <c r="E159" s="24" t="s">
        <v>314</v>
      </c>
      <c r="F159" s="24" t="str">
        <f t="shared" si="4"/>
        <v>rtdc.l.rtdc.4008:itc</v>
      </c>
      <c r="G159" s="8">
        <f t="shared" si="5"/>
        <v>42600.734143518515</v>
      </c>
    </row>
    <row r="160" spans="1:7" x14ac:dyDescent="0.25">
      <c r="A160" s="8">
        <v>42600.735451388886</v>
      </c>
      <c r="B160" s="24" t="s">
        <v>255</v>
      </c>
      <c r="C160" s="24" t="s">
        <v>635</v>
      </c>
      <c r="D160" s="24">
        <v>1540000</v>
      </c>
      <c r="E160" s="24" t="s">
        <v>228</v>
      </c>
      <c r="F160" s="24" t="str">
        <f t="shared" si="4"/>
        <v>rtdc.l.rtdc.4001:itc</v>
      </c>
      <c r="G160" s="8">
        <f t="shared" si="5"/>
        <v>42600.735451388886</v>
      </c>
    </row>
    <row r="161" spans="1:7" x14ac:dyDescent="0.25">
      <c r="A161" s="8">
        <v>42600.735821759263</v>
      </c>
      <c r="B161" s="24" t="s">
        <v>213</v>
      </c>
      <c r="C161" s="24" t="s">
        <v>492</v>
      </c>
      <c r="D161" s="24">
        <v>1810000</v>
      </c>
      <c r="E161" s="24" t="s">
        <v>677</v>
      </c>
      <c r="F161" s="24" t="str">
        <f t="shared" si="4"/>
        <v>rtdc.l.rtdc.4010:itc</v>
      </c>
      <c r="G161" s="8">
        <f t="shared" si="5"/>
        <v>42600.735821759263</v>
      </c>
    </row>
    <row r="162" spans="1:7" x14ac:dyDescent="0.25">
      <c r="A162" s="8">
        <v>42600.738009259258</v>
      </c>
      <c r="B162" s="24" t="s">
        <v>195</v>
      </c>
      <c r="C162" s="24" t="s">
        <v>638</v>
      </c>
      <c r="D162" s="24">
        <v>2100000</v>
      </c>
      <c r="E162" s="24" t="s">
        <v>147</v>
      </c>
      <c r="F162" s="24" t="str">
        <f t="shared" si="4"/>
        <v>rtdc.l.rtdc.4020:itc</v>
      </c>
      <c r="G162" s="8">
        <f t="shared" si="5"/>
        <v>42600.738009259258</v>
      </c>
    </row>
    <row r="163" spans="1:7" x14ac:dyDescent="0.25">
      <c r="A163" s="8">
        <v>42600.740914351853</v>
      </c>
      <c r="B163" s="24" t="s">
        <v>94</v>
      </c>
      <c r="C163" s="24" t="s">
        <v>502</v>
      </c>
      <c r="D163" s="24">
        <v>1240000</v>
      </c>
      <c r="E163" s="24" t="s">
        <v>674</v>
      </c>
      <c r="F163" s="24" t="str">
        <f t="shared" si="4"/>
        <v>rtdc.l.rtdc.4029:itc</v>
      </c>
      <c r="G163" s="8">
        <f t="shared" si="5"/>
        <v>42600.740914351853</v>
      </c>
    </row>
    <row r="164" spans="1:7" x14ac:dyDescent="0.25">
      <c r="A164" s="8">
        <v>42600.74664351852</v>
      </c>
      <c r="B164" s="24" t="s">
        <v>330</v>
      </c>
      <c r="C164" s="24" t="s">
        <v>504</v>
      </c>
      <c r="D164" s="24">
        <v>1780000</v>
      </c>
      <c r="E164" s="24" t="s">
        <v>315</v>
      </c>
      <c r="F164" s="24" t="str">
        <f t="shared" si="4"/>
        <v>rtdc.l.rtdc.4044:itc</v>
      </c>
      <c r="G164" s="8">
        <f t="shared" si="5"/>
        <v>42600.74664351852</v>
      </c>
    </row>
    <row r="165" spans="1:7" x14ac:dyDescent="0.25">
      <c r="A165" s="8">
        <v>42600.747499999998</v>
      </c>
      <c r="B165" s="24" t="s">
        <v>93</v>
      </c>
      <c r="C165" s="24" t="s">
        <v>353</v>
      </c>
      <c r="D165" s="24">
        <v>1480000</v>
      </c>
      <c r="E165" s="24" t="s">
        <v>257</v>
      </c>
      <c r="F165" s="24" t="str">
        <f t="shared" si="4"/>
        <v>rtdc.l.rtdc.4013:itc</v>
      </c>
      <c r="G165" s="8">
        <f t="shared" si="5"/>
        <v>42600.747499999998</v>
      </c>
    </row>
    <row r="166" spans="1:7" x14ac:dyDescent="0.25">
      <c r="A166" s="8">
        <v>42600.748460648145</v>
      </c>
      <c r="B166" s="24" t="s">
        <v>306</v>
      </c>
      <c r="C166" s="24" t="s">
        <v>496</v>
      </c>
      <c r="D166" s="24">
        <v>730000</v>
      </c>
      <c r="E166" s="24" t="s">
        <v>200</v>
      </c>
      <c r="F166" s="24" t="str">
        <f t="shared" si="4"/>
        <v>rtdc.l.rtdc.4026:itc</v>
      </c>
      <c r="G166" s="8">
        <f t="shared" si="5"/>
        <v>42600.748460648145</v>
      </c>
    </row>
    <row r="167" spans="1:7" x14ac:dyDescent="0.25">
      <c r="A167" s="8">
        <v>42600.75509259259</v>
      </c>
      <c r="B167" s="24" t="s">
        <v>196</v>
      </c>
      <c r="C167" s="24" t="s">
        <v>639</v>
      </c>
      <c r="D167" s="24">
        <v>2100000</v>
      </c>
      <c r="E167" s="24" t="s">
        <v>147</v>
      </c>
      <c r="F167" s="24" t="str">
        <f t="shared" si="4"/>
        <v>rtdc.l.rtdc.4019:itc</v>
      </c>
      <c r="G167" s="8">
        <f t="shared" si="5"/>
        <v>42600.75509259259</v>
      </c>
    </row>
    <row r="168" spans="1:7" x14ac:dyDescent="0.25">
      <c r="A168" s="8">
        <v>42600.756736111114</v>
      </c>
      <c r="B168" s="24" t="s">
        <v>96</v>
      </c>
      <c r="C168" s="24" t="s">
        <v>507</v>
      </c>
      <c r="D168" s="24">
        <v>1300000</v>
      </c>
      <c r="E168" s="24" t="s">
        <v>152</v>
      </c>
      <c r="F168" s="24" t="str">
        <f t="shared" si="4"/>
        <v>rtdc.l.rtdc.4027:itc</v>
      </c>
      <c r="G168" s="8">
        <f t="shared" si="5"/>
        <v>42600.756736111114</v>
      </c>
    </row>
    <row r="169" spans="1:7" x14ac:dyDescent="0.25">
      <c r="A169" s="8">
        <v>42600.761504629627</v>
      </c>
      <c r="B169" s="24" t="s">
        <v>254</v>
      </c>
      <c r="C169" s="24" t="s">
        <v>641</v>
      </c>
      <c r="D169" s="24">
        <v>1540000</v>
      </c>
      <c r="E169" s="24" t="s">
        <v>228</v>
      </c>
      <c r="F169" s="24" t="str">
        <f t="shared" si="4"/>
        <v>rtdc.l.rtdc.4002:itc</v>
      </c>
      <c r="G169" s="8">
        <f t="shared" si="5"/>
        <v>42600.761504629627</v>
      </c>
    </row>
    <row r="170" spans="1:7" x14ac:dyDescent="0.25">
      <c r="A170" s="8">
        <v>42600.765983796293</v>
      </c>
      <c r="B170" s="24" t="s">
        <v>157</v>
      </c>
      <c r="C170" s="24" t="s">
        <v>356</v>
      </c>
      <c r="D170" s="24">
        <v>2000000</v>
      </c>
      <c r="E170" s="24" t="s">
        <v>156</v>
      </c>
      <c r="F170" s="24" t="str">
        <f t="shared" si="4"/>
        <v>rtdc.l.rtdc.4037:itc</v>
      </c>
      <c r="G170" s="8">
        <f t="shared" si="5"/>
        <v>42600.765983796293</v>
      </c>
    </row>
    <row r="171" spans="1:7" x14ac:dyDescent="0.25">
      <c r="A171" s="8">
        <v>42600.769143518519</v>
      </c>
      <c r="B171" s="24" t="s">
        <v>309</v>
      </c>
      <c r="C171" s="24" t="s">
        <v>509</v>
      </c>
      <c r="D171" s="24">
        <v>1480000</v>
      </c>
      <c r="E171" s="24" t="s">
        <v>257</v>
      </c>
      <c r="F171" s="24" t="str">
        <f t="shared" si="4"/>
        <v>rtdc.l.rtdc.4007:itc</v>
      </c>
      <c r="G171" s="8">
        <f t="shared" si="5"/>
        <v>42600.769143518519</v>
      </c>
    </row>
    <row r="172" spans="1:7" x14ac:dyDescent="0.25">
      <c r="A172" s="8">
        <v>42600.775694444441</v>
      </c>
      <c r="B172" s="24" t="s">
        <v>95</v>
      </c>
      <c r="C172" s="24" t="s">
        <v>503</v>
      </c>
      <c r="D172" s="24">
        <v>1780000</v>
      </c>
      <c r="E172" s="24" t="s">
        <v>315</v>
      </c>
      <c r="F172" s="24" t="str">
        <f t="shared" si="4"/>
        <v>rtdc.l.rtdc.4030:itc</v>
      </c>
      <c r="G172" s="8">
        <f t="shared" si="5"/>
        <v>42600.775694444441</v>
      </c>
    </row>
    <row r="173" spans="1:7" x14ac:dyDescent="0.25">
      <c r="A173" s="8">
        <v>42600.776990740742</v>
      </c>
      <c r="B173" s="24" t="s">
        <v>255</v>
      </c>
      <c r="C173" s="24" t="s">
        <v>643</v>
      </c>
      <c r="D173" s="24">
        <v>1540000</v>
      </c>
      <c r="E173" s="24" t="s">
        <v>228</v>
      </c>
      <c r="F173" s="24" t="str">
        <f t="shared" si="4"/>
        <v>rtdc.l.rtdc.4001:itc</v>
      </c>
      <c r="G173" s="8">
        <f t="shared" si="5"/>
        <v>42600.776990740742</v>
      </c>
    </row>
    <row r="174" spans="1:7" x14ac:dyDescent="0.25">
      <c r="A174" s="8">
        <v>42600.778217592589</v>
      </c>
      <c r="B174" s="24" t="s">
        <v>211</v>
      </c>
      <c r="C174" s="24" t="s">
        <v>546</v>
      </c>
      <c r="D174" s="24">
        <v>1810000</v>
      </c>
      <c r="E174" s="24" t="s">
        <v>677</v>
      </c>
      <c r="F174" s="24" t="str">
        <f t="shared" si="4"/>
        <v>rtdc.l.rtdc.4009:itc</v>
      </c>
      <c r="G174" s="8">
        <f t="shared" si="5"/>
        <v>42600.778217592589</v>
      </c>
    </row>
    <row r="175" spans="1:7" x14ac:dyDescent="0.25">
      <c r="A175" s="8">
        <v>42600.780659722222</v>
      </c>
      <c r="B175" s="24" t="s">
        <v>195</v>
      </c>
      <c r="C175" s="24" t="s">
        <v>645</v>
      </c>
      <c r="D175" s="24">
        <v>2100000</v>
      </c>
      <c r="E175" s="24" t="s">
        <v>147</v>
      </c>
      <c r="F175" s="24" t="str">
        <f t="shared" si="4"/>
        <v>rtdc.l.rtdc.4020:itc</v>
      </c>
      <c r="G175" s="8">
        <f t="shared" si="5"/>
        <v>42600.780659722222</v>
      </c>
    </row>
    <row r="176" spans="1:7" x14ac:dyDescent="0.25">
      <c r="A176" s="8">
        <v>42600.781006944446</v>
      </c>
      <c r="B176" s="24" t="s">
        <v>208</v>
      </c>
      <c r="C176" s="24" t="s">
        <v>357</v>
      </c>
      <c r="D176" s="24">
        <v>940000</v>
      </c>
      <c r="E176" s="24" t="s">
        <v>312</v>
      </c>
      <c r="F176" s="24" t="str">
        <f t="shared" si="4"/>
        <v>rtdc.l.rtdc.4043:itc</v>
      </c>
      <c r="G176" s="8">
        <f t="shared" si="5"/>
        <v>42600.781006944446</v>
      </c>
    </row>
    <row r="177" spans="1:7" x14ac:dyDescent="0.25">
      <c r="A177" s="8">
        <v>42600.786157407405</v>
      </c>
      <c r="B177" s="24" t="s">
        <v>166</v>
      </c>
      <c r="C177" s="24" t="s">
        <v>355</v>
      </c>
      <c r="D177" s="24">
        <v>2040000</v>
      </c>
      <c r="E177" s="24" t="s">
        <v>314</v>
      </c>
      <c r="F177" s="24" t="str">
        <f t="shared" si="4"/>
        <v>rtdc.l.rtdc.4042:itc</v>
      </c>
      <c r="G177" s="8">
        <f t="shared" si="5"/>
        <v>42600.786157407405</v>
      </c>
    </row>
    <row r="178" spans="1:7" x14ac:dyDescent="0.25">
      <c r="A178" s="8">
        <v>42600.790810185186</v>
      </c>
      <c r="B178" s="24" t="s">
        <v>308</v>
      </c>
      <c r="C178" s="24" t="s">
        <v>511</v>
      </c>
      <c r="D178" s="24">
        <v>730000</v>
      </c>
      <c r="E178" s="24" t="s">
        <v>200</v>
      </c>
      <c r="F178" s="24" t="str">
        <f t="shared" si="4"/>
        <v>rtdc.l.rtdc.4025:itc</v>
      </c>
      <c r="G178" s="8">
        <f t="shared" si="5"/>
        <v>42600.790810185186</v>
      </c>
    </row>
    <row r="179" spans="1:7" x14ac:dyDescent="0.25">
      <c r="A179" s="8">
        <v>42600.79383101852</v>
      </c>
      <c r="B179" s="24" t="s">
        <v>165</v>
      </c>
      <c r="C179" s="24" t="s">
        <v>358</v>
      </c>
      <c r="D179" s="24">
        <v>1300000</v>
      </c>
      <c r="E179" s="24" t="s">
        <v>152</v>
      </c>
      <c r="F179" s="24" t="str">
        <f t="shared" si="4"/>
        <v>rtdc.l.rtdc.4028:itc</v>
      </c>
      <c r="G179" s="8">
        <f t="shared" si="5"/>
        <v>42600.79383101852</v>
      </c>
    </row>
    <row r="180" spans="1:7" x14ac:dyDescent="0.25">
      <c r="A180" s="8">
        <v>42600.796793981484</v>
      </c>
      <c r="B180" s="24" t="s">
        <v>196</v>
      </c>
      <c r="C180" s="24" t="s">
        <v>666</v>
      </c>
      <c r="D180" s="24">
        <v>2100000</v>
      </c>
      <c r="E180" s="24" t="s">
        <v>147</v>
      </c>
      <c r="F180" s="24" t="str">
        <f t="shared" si="4"/>
        <v>rtdc.l.rtdc.4019:itc</v>
      </c>
      <c r="G180" s="8">
        <f t="shared" si="5"/>
        <v>42600.796793981484</v>
      </c>
    </row>
    <row r="181" spans="1:7" x14ac:dyDescent="0.25">
      <c r="A181" s="8">
        <v>42600.797685185185</v>
      </c>
      <c r="B181" s="24" t="s">
        <v>167</v>
      </c>
      <c r="C181" s="24" t="s">
        <v>678</v>
      </c>
      <c r="D181" s="24">
        <v>2000000</v>
      </c>
      <c r="E181" s="24" t="s">
        <v>156</v>
      </c>
      <c r="F181" s="24" t="str">
        <f t="shared" si="4"/>
        <v>rtdc.l.rtdc.4038:itc</v>
      </c>
      <c r="G181" s="8">
        <f t="shared" si="5"/>
        <v>42600.797685185185</v>
      </c>
    </row>
    <row r="182" spans="1:7" x14ac:dyDescent="0.25">
      <c r="A182" s="8">
        <v>42600.799247685187</v>
      </c>
      <c r="B182" s="24" t="s">
        <v>254</v>
      </c>
      <c r="C182" s="24" t="s">
        <v>650</v>
      </c>
      <c r="D182" s="24">
        <v>1540000</v>
      </c>
      <c r="E182" s="24" t="s">
        <v>228</v>
      </c>
      <c r="F182" s="24" t="str">
        <f t="shared" si="4"/>
        <v>rtdc.l.rtdc.4002:itc</v>
      </c>
      <c r="G182" s="8">
        <f t="shared" si="5"/>
        <v>42600.799247685187</v>
      </c>
    </row>
    <row r="183" spans="1:7" x14ac:dyDescent="0.25">
      <c r="A183" s="8">
        <v>42600.803252314814</v>
      </c>
      <c r="B183" s="24" t="s">
        <v>194</v>
      </c>
      <c r="C183" s="24" t="s">
        <v>510</v>
      </c>
      <c r="D183" s="24">
        <v>1480000</v>
      </c>
      <c r="E183" s="24" t="s">
        <v>257</v>
      </c>
      <c r="F183" s="24" t="str">
        <f t="shared" si="4"/>
        <v>rtdc.l.rtdc.4008:itc</v>
      </c>
      <c r="G183" s="8">
        <f t="shared" si="5"/>
        <v>42600.803252314814</v>
      </c>
    </row>
    <row r="184" spans="1:7" x14ac:dyDescent="0.25">
      <c r="A184" s="8">
        <v>42600.810173611113</v>
      </c>
      <c r="B184" s="24" t="s">
        <v>94</v>
      </c>
      <c r="C184" s="24" t="s">
        <v>516</v>
      </c>
      <c r="D184" s="24">
        <v>1780000</v>
      </c>
      <c r="E184" s="24" t="s">
        <v>315</v>
      </c>
      <c r="F184" s="24" t="str">
        <f t="shared" si="4"/>
        <v>rtdc.l.rtdc.4029:itc</v>
      </c>
      <c r="G184" s="8">
        <f t="shared" si="5"/>
        <v>42600.810173611113</v>
      </c>
    </row>
    <row r="185" spans="1:7" x14ac:dyDescent="0.25">
      <c r="A185" s="8">
        <v>42600.818067129629</v>
      </c>
      <c r="B185" s="24" t="s">
        <v>255</v>
      </c>
      <c r="C185" s="24" t="s">
        <v>647</v>
      </c>
      <c r="D185" s="24">
        <v>1540000</v>
      </c>
      <c r="E185" s="24" t="s">
        <v>228</v>
      </c>
      <c r="F185" s="24" t="str">
        <f t="shared" si="4"/>
        <v>rtdc.l.rtdc.4001:itc</v>
      </c>
      <c r="G185" s="8">
        <f t="shared" si="5"/>
        <v>42600.818067129629</v>
      </c>
    </row>
    <row r="186" spans="1:7" x14ac:dyDescent="0.25">
      <c r="A186" s="8">
        <v>42600.820798611108</v>
      </c>
      <c r="B186" s="24" t="s">
        <v>330</v>
      </c>
      <c r="C186" s="24" t="s">
        <v>549</v>
      </c>
      <c r="D186" s="24">
        <v>1780000</v>
      </c>
      <c r="E186" s="24" t="s">
        <v>315</v>
      </c>
      <c r="F186" s="24" t="str">
        <f t="shared" si="4"/>
        <v>rtdc.l.rtdc.4044:itc</v>
      </c>
      <c r="G186" s="8">
        <f t="shared" si="5"/>
        <v>42600.820798611108</v>
      </c>
    </row>
    <row r="187" spans="1:7" x14ac:dyDescent="0.25">
      <c r="A187" s="8">
        <v>42600.823854166665</v>
      </c>
      <c r="B187" s="24" t="s">
        <v>306</v>
      </c>
      <c r="C187" s="24" t="s">
        <v>514</v>
      </c>
      <c r="D187" s="24">
        <v>730000</v>
      </c>
      <c r="E187" s="24" t="s">
        <v>200</v>
      </c>
      <c r="F187" s="24" t="str">
        <f t="shared" si="4"/>
        <v>rtdc.l.rtdc.4026:itc</v>
      </c>
      <c r="G187" s="8">
        <f t="shared" si="5"/>
        <v>42600.823854166665</v>
      </c>
    </row>
    <row r="188" spans="1:7" x14ac:dyDescent="0.25">
      <c r="A188" s="8">
        <v>42600.827962962961</v>
      </c>
      <c r="B188" s="24" t="s">
        <v>96</v>
      </c>
      <c r="C188" s="24" t="s">
        <v>518</v>
      </c>
      <c r="D188" s="24">
        <v>2110000</v>
      </c>
      <c r="E188" s="24" t="s">
        <v>229</v>
      </c>
      <c r="F188" s="24" t="str">
        <f t="shared" si="4"/>
        <v>rtdc.l.rtdc.4027:itc</v>
      </c>
      <c r="G188" s="8">
        <f t="shared" si="5"/>
        <v>42600.827962962961</v>
      </c>
    </row>
    <row r="189" spans="1:7" x14ac:dyDescent="0.25">
      <c r="A189" s="8">
        <v>42600.841307870367</v>
      </c>
      <c r="B189" s="24" t="s">
        <v>254</v>
      </c>
      <c r="C189" s="24" t="s">
        <v>655</v>
      </c>
      <c r="D189" s="24">
        <v>1540000</v>
      </c>
      <c r="E189" s="24" t="s">
        <v>228</v>
      </c>
      <c r="F189" s="24" t="str">
        <f t="shared" si="4"/>
        <v>rtdc.l.rtdc.4002:itc</v>
      </c>
      <c r="G189" s="8">
        <f t="shared" si="5"/>
        <v>42600.841307870367</v>
      </c>
    </row>
    <row r="190" spans="1:7" x14ac:dyDescent="0.25">
      <c r="A190" s="8">
        <v>42600.847071759257</v>
      </c>
      <c r="B190" s="24" t="s">
        <v>95</v>
      </c>
      <c r="C190" s="24" t="s">
        <v>517</v>
      </c>
      <c r="D190" s="24">
        <v>1780000</v>
      </c>
      <c r="E190" s="24" t="s">
        <v>315</v>
      </c>
      <c r="F190" s="24" t="str">
        <f t="shared" si="4"/>
        <v>rtdc.l.rtdc.4030:itc</v>
      </c>
      <c r="G190" s="8">
        <f t="shared" si="5"/>
        <v>42600.847071759257</v>
      </c>
    </row>
    <row r="191" spans="1:7" x14ac:dyDescent="0.25">
      <c r="A191" s="8">
        <v>42600.847858796296</v>
      </c>
      <c r="B191" s="24" t="s">
        <v>309</v>
      </c>
      <c r="C191" s="24" t="s">
        <v>520</v>
      </c>
      <c r="D191" s="24">
        <v>1480000</v>
      </c>
      <c r="E191" s="24" t="s">
        <v>257</v>
      </c>
      <c r="F191" s="24" t="str">
        <f t="shared" si="4"/>
        <v>rtdc.l.rtdc.4007:itc</v>
      </c>
      <c r="G191" s="8">
        <f t="shared" si="5"/>
        <v>42600.847858796296</v>
      </c>
    </row>
    <row r="192" spans="1:7" x14ac:dyDescent="0.25">
      <c r="A192" s="8">
        <v>42600.860138888886</v>
      </c>
      <c r="B192" s="24" t="s">
        <v>255</v>
      </c>
      <c r="C192" s="24" t="s">
        <v>653</v>
      </c>
      <c r="D192" s="24">
        <v>1540000</v>
      </c>
      <c r="E192" s="24" t="s">
        <v>228</v>
      </c>
      <c r="F192" s="24" t="str">
        <f t="shared" si="4"/>
        <v>rtdc.l.rtdc.4001:itc</v>
      </c>
      <c r="G192" s="8">
        <f t="shared" si="5"/>
        <v>42600.860138888886</v>
      </c>
    </row>
    <row r="193" spans="1:7" x14ac:dyDescent="0.25">
      <c r="A193" s="8">
        <v>42600.862604166665</v>
      </c>
      <c r="B193" s="24" t="s">
        <v>308</v>
      </c>
      <c r="C193" s="24" t="s">
        <v>523</v>
      </c>
      <c r="D193" s="24">
        <v>730000</v>
      </c>
      <c r="E193" s="24" t="s">
        <v>200</v>
      </c>
      <c r="F193" s="24" t="str">
        <f t="shared" si="4"/>
        <v>rtdc.l.rtdc.4025:itc</v>
      </c>
      <c r="G193" s="8">
        <f t="shared" si="5"/>
        <v>42600.862604166665</v>
      </c>
    </row>
    <row r="194" spans="1:7" x14ac:dyDescent="0.25">
      <c r="A194" s="8">
        <v>42600.869016203702</v>
      </c>
      <c r="B194" s="24" t="s">
        <v>165</v>
      </c>
      <c r="C194" s="24" t="s">
        <v>519</v>
      </c>
      <c r="D194" s="24">
        <v>2110000</v>
      </c>
      <c r="E194" s="24" t="s">
        <v>229</v>
      </c>
      <c r="F194" s="24" t="str">
        <f t="shared" ref="F194:F235" si="6">B194</f>
        <v>rtdc.l.rtdc.4028:itc</v>
      </c>
      <c r="G194" s="8">
        <f t="shared" ref="G194:G235" si="7">A194</f>
        <v>42600.869016203702</v>
      </c>
    </row>
    <row r="195" spans="1:7" x14ac:dyDescent="0.25">
      <c r="A195" s="8">
        <v>42600.879224537035</v>
      </c>
      <c r="B195" s="24" t="s">
        <v>254</v>
      </c>
      <c r="C195" s="24" t="s">
        <v>659</v>
      </c>
      <c r="D195" s="24">
        <v>2100000</v>
      </c>
      <c r="E195" s="24" t="s">
        <v>147</v>
      </c>
      <c r="F195" s="24" t="str">
        <f t="shared" si="6"/>
        <v>rtdc.l.rtdc.4002:itc</v>
      </c>
      <c r="G195" s="8">
        <f t="shared" si="7"/>
        <v>42600.879224537035</v>
      </c>
    </row>
    <row r="196" spans="1:7" x14ac:dyDescent="0.25">
      <c r="A196" s="8">
        <v>42600.887361111112</v>
      </c>
      <c r="B196" s="24" t="s">
        <v>194</v>
      </c>
      <c r="C196" s="24" t="s">
        <v>522</v>
      </c>
      <c r="D196" s="24">
        <v>1480000</v>
      </c>
      <c r="E196" s="24" t="s">
        <v>257</v>
      </c>
      <c r="F196" s="24" t="str">
        <f t="shared" si="6"/>
        <v>rtdc.l.rtdc.4008:itc</v>
      </c>
      <c r="G196" s="8">
        <f t="shared" si="7"/>
        <v>42600.887361111112</v>
      </c>
    </row>
    <row r="197" spans="1:7" x14ac:dyDescent="0.25">
      <c r="A197" s="8">
        <v>42600.892685185187</v>
      </c>
      <c r="B197" s="24" t="s">
        <v>94</v>
      </c>
      <c r="C197" s="24" t="s">
        <v>527</v>
      </c>
      <c r="D197" s="24">
        <v>1780000</v>
      </c>
      <c r="E197" s="24" t="s">
        <v>315</v>
      </c>
      <c r="F197" s="24" t="str">
        <f t="shared" si="6"/>
        <v>rtdc.l.rtdc.4029:itc</v>
      </c>
      <c r="G197" s="8">
        <f t="shared" si="7"/>
        <v>42600.892685185187</v>
      </c>
    </row>
    <row r="198" spans="1:7" x14ac:dyDescent="0.25">
      <c r="A198" s="8">
        <v>42600.902037037034</v>
      </c>
      <c r="B198" s="24" t="s">
        <v>255</v>
      </c>
      <c r="C198" s="24" t="s">
        <v>657</v>
      </c>
      <c r="D198" s="24">
        <v>2100000</v>
      </c>
      <c r="E198" s="24" t="s">
        <v>147</v>
      </c>
      <c r="F198" s="24" t="str">
        <f t="shared" si="6"/>
        <v>rtdc.l.rtdc.4001:itc</v>
      </c>
      <c r="G198" s="8">
        <f t="shared" si="7"/>
        <v>42600.902037037034</v>
      </c>
    </row>
    <row r="199" spans="1:7" x14ac:dyDescent="0.25">
      <c r="A199" s="8">
        <v>42600.905902777777</v>
      </c>
      <c r="B199" s="24" t="s">
        <v>306</v>
      </c>
      <c r="C199" s="24" t="s">
        <v>525</v>
      </c>
      <c r="D199" s="24">
        <v>730000</v>
      </c>
      <c r="E199" s="24" t="s">
        <v>200</v>
      </c>
      <c r="F199" s="24" t="str">
        <f t="shared" si="6"/>
        <v>rtdc.l.rtdc.4026:itc</v>
      </c>
      <c r="G199" s="8">
        <f t="shared" si="7"/>
        <v>42600.905902777777</v>
      </c>
    </row>
    <row r="200" spans="1:7" x14ac:dyDescent="0.25">
      <c r="A200" s="8">
        <v>42600.911851851852</v>
      </c>
      <c r="B200" s="24" t="s">
        <v>96</v>
      </c>
      <c r="C200" s="24" t="s">
        <v>529</v>
      </c>
      <c r="D200" s="24">
        <v>2110000</v>
      </c>
      <c r="E200" s="24" t="s">
        <v>229</v>
      </c>
      <c r="F200" s="24" t="str">
        <f t="shared" si="6"/>
        <v>rtdc.l.rtdc.4027:itc</v>
      </c>
      <c r="G200" s="8">
        <f t="shared" si="7"/>
        <v>42600.911851851852</v>
      </c>
    </row>
    <row r="201" spans="1:7" x14ac:dyDescent="0.25">
      <c r="A201" s="8">
        <v>42600.92701388889</v>
      </c>
      <c r="B201" s="24" t="s">
        <v>254</v>
      </c>
      <c r="C201" s="24" t="s">
        <v>662</v>
      </c>
      <c r="D201" s="24">
        <v>2100000</v>
      </c>
      <c r="E201" s="24" t="s">
        <v>147</v>
      </c>
      <c r="F201" s="24" t="str">
        <f t="shared" si="6"/>
        <v>rtdc.l.rtdc.4002:itc</v>
      </c>
      <c r="G201" s="8">
        <f t="shared" si="7"/>
        <v>42600.92701388889</v>
      </c>
    </row>
    <row r="202" spans="1:7" x14ac:dyDescent="0.25">
      <c r="A202" s="30">
        <v>42600.931747685187</v>
      </c>
      <c r="B202" s="24" t="s">
        <v>95</v>
      </c>
      <c r="C202" s="24" t="s">
        <v>528</v>
      </c>
      <c r="D202" s="24">
        <v>1780000</v>
      </c>
      <c r="E202" s="24" t="s">
        <v>315</v>
      </c>
      <c r="F202" s="24" t="str">
        <f t="shared" si="6"/>
        <v>rtdc.l.rtdc.4030:itc</v>
      </c>
      <c r="G202" s="8">
        <f t="shared" si="7"/>
        <v>42600.931747685187</v>
      </c>
    </row>
    <row r="203" spans="1:7" x14ac:dyDescent="0.25">
      <c r="A203" s="8">
        <v>42600.933958333335</v>
      </c>
      <c r="B203" s="24" t="s">
        <v>309</v>
      </c>
      <c r="C203" s="24" t="s">
        <v>531</v>
      </c>
      <c r="D203" s="24">
        <v>1480000</v>
      </c>
      <c r="E203" s="24" t="s">
        <v>257</v>
      </c>
      <c r="F203" s="24" t="str">
        <f t="shared" si="6"/>
        <v>rtdc.l.rtdc.4007:itc</v>
      </c>
      <c r="G203" s="8">
        <f t="shared" si="7"/>
        <v>42600.933958333335</v>
      </c>
    </row>
    <row r="204" spans="1:7" x14ac:dyDescent="0.25">
      <c r="A204" s="8">
        <v>42600.942303240743</v>
      </c>
      <c r="B204" s="24" t="s">
        <v>255</v>
      </c>
      <c r="C204" s="24" t="s">
        <v>669</v>
      </c>
      <c r="D204" s="24">
        <v>2100000</v>
      </c>
      <c r="E204" s="24" t="s">
        <v>147</v>
      </c>
      <c r="F204" s="24" t="str">
        <f t="shared" si="6"/>
        <v>rtdc.l.rtdc.4001:itc</v>
      </c>
      <c r="G204" s="8">
        <f t="shared" si="7"/>
        <v>42600.942303240743</v>
      </c>
    </row>
    <row r="205" spans="1:7" x14ac:dyDescent="0.25">
      <c r="A205" s="8">
        <v>42600.949756944443</v>
      </c>
      <c r="B205" s="24" t="s">
        <v>308</v>
      </c>
      <c r="C205" s="24" t="s">
        <v>535</v>
      </c>
      <c r="D205" s="24">
        <v>1410000</v>
      </c>
      <c r="E205" s="24" t="s">
        <v>679</v>
      </c>
      <c r="F205" s="24" t="str">
        <f t="shared" si="6"/>
        <v>rtdc.l.rtdc.4025:itc</v>
      </c>
      <c r="G205" s="8">
        <f t="shared" si="7"/>
        <v>42600.949756944443</v>
      </c>
    </row>
    <row r="206" spans="1:7" x14ac:dyDescent="0.25">
      <c r="A206" s="8">
        <v>42600.950960648152</v>
      </c>
      <c r="B206" s="24" t="s">
        <v>165</v>
      </c>
      <c r="C206" s="24" t="s">
        <v>530</v>
      </c>
      <c r="D206" s="24">
        <v>2110000</v>
      </c>
      <c r="E206" s="24" t="s">
        <v>229</v>
      </c>
      <c r="F206" s="24" t="str">
        <f t="shared" si="6"/>
        <v>rtdc.l.rtdc.4028:itc</v>
      </c>
      <c r="G206" s="8">
        <f t="shared" si="7"/>
        <v>42600.950960648152</v>
      </c>
    </row>
    <row r="207" spans="1:7" x14ac:dyDescent="0.25">
      <c r="A207" s="8">
        <v>42600.97148148148</v>
      </c>
      <c r="B207" s="24" t="s">
        <v>194</v>
      </c>
      <c r="C207" s="24" t="s">
        <v>533</v>
      </c>
      <c r="D207" s="24">
        <v>1480000</v>
      </c>
      <c r="E207" s="24" t="s">
        <v>257</v>
      </c>
      <c r="F207" s="24" t="str">
        <f t="shared" si="6"/>
        <v>rtdc.l.rtdc.4008:itc</v>
      </c>
      <c r="G207" s="8">
        <f t="shared" si="7"/>
        <v>42600.97148148148</v>
      </c>
    </row>
    <row r="208" spans="1:7" x14ac:dyDescent="0.25">
      <c r="A208" s="8">
        <v>42600.974398148152</v>
      </c>
      <c r="B208" s="24" t="s">
        <v>94</v>
      </c>
      <c r="C208" s="24" t="s">
        <v>537</v>
      </c>
      <c r="D208" s="24">
        <v>1780000</v>
      </c>
      <c r="E208" s="24" t="s">
        <v>315</v>
      </c>
      <c r="F208" s="24" t="str">
        <f t="shared" si="6"/>
        <v>rtdc.l.rtdc.4029:itc</v>
      </c>
      <c r="G208" s="8">
        <f t="shared" si="7"/>
        <v>42600.974398148152</v>
      </c>
    </row>
    <row r="209" spans="1:7" x14ac:dyDescent="0.25">
      <c r="A209" s="8">
        <v>42600.991331018522</v>
      </c>
      <c r="B209" s="24" t="s">
        <v>306</v>
      </c>
      <c r="C209" s="24" t="s">
        <v>536</v>
      </c>
      <c r="D209" s="24">
        <v>1410000</v>
      </c>
      <c r="E209" s="24" t="s">
        <v>679</v>
      </c>
      <c r="F209" s="24" t="str">
        <f t="shared" si="6"/>
        <v>rtdc.l.rtdc.4026:itc</v>
      </c>
      <c r="G209" s="8">
        <f t="shared" si="7"/>
        <v>42600.991331018522</v>
      </c>
    </row>
    <row r="210" spans="1:7" x14ac:dyDescent="0.25">
      <c r="A210" s="8">
        <v>42600.993900462963</v>
      </c>
      <c r="B210" s="24" t="s">
        <v>96</v>
      </c>
      <c r="C210" s="24" t="s">
        <v>540</v>
      </c>
      <c r="D210" s="24">
        <v>1300000</v>
      </c>
      <c r="E210" s="24" t="s">
        <v>152</v>
      </c>
      <c r="F210" s="24" t="str">
        <f t="shared" si="6"/>
        <v>rtdc.l.rtdc.4027:itc</v>
      </c>
      <c r="G210" s="8">
        <f t="shared" si="7"/>
        <v>42600.993900462963</v>
      </c>
    </row>
    <row r="211" spans="1:7" x14ac:dyDescent="0.25">
      <c r="A211" s="8">
        <v>42600.997303240743</v>
      </c>
      <c r="B211" s="24" t="s">
        <v>96</v>
      </c>
      <c r="C211" s="24" t="s">
        <v>540</v>
      </c>
      <c r="D211" s="24">
        <v>1300000</v>
      </c>
      <c r="E211" s="24" t="s">
        <v>152</v>
      </c>
      <c r="F211" s="24" t="str">
        <f t="shared" si="6"/>
        <v>rtdc.l.rtdc.4027:itc</v>
      </c>
      <c r="G211" s="8">
        <f t="shared" si="7"/>
        <v>42600.997303240743</v>
      </c>
    </row>
    <row r="212" spans="1:7" x14ac:dyDescent="0.25">
      <c r="A212" s="8">
        <v>42601.012673611112</v>
      </c>
      <c r="B212" s="24" t="s">
        <v>309</v>
      </c>
      <c r="C212" s="24" t="s">
        <v>542</v>
      </c>
      <c r="D212" s="24">
        <v>1480000</v>
      </c>
      <c r="E212" s="24" t="s">
        <v>257</v>
      </c>
      <c r="F212" s="24" t="str">
        <f t="shared" si="6"/>
        <v>rtdc.l.rtdc.4007:itc</v>
      </c>
      <c r="G212" s="8">
        <f t="shared" si="7"/>
        <v>42601.012673611112</v>
      </c>
    </row>
    <row r="213" spans="1:7" x14ac:dyDescent="0.25">
      <c r="A213" s="8">
        <v>42601.017418981479</v>
      </c>
      <c r="B213" s="24" t="s">
        <v>95</v>
      </c>
      <c r="C213" s="24" t="s">
        <v>538</v>
      </c>
      <c r="D213" s="24">
        <v>1780000</v>
      </c>
      <c r="E213" s="24" t="s">
        <v>315</v>
      </c>
      <c r="F213" s="24" t="str">
        <f t="shared" si="6"/>
        <v>rtdc.l.rtdc.4030:itc</v>
      </c>
      <c r="G213" s="8">
        <f t="shared" si="7"/>
        <v>42601.017418981479</v>
      </c>
    </row>
    <row r="214" spans="1:7" x14ac:dyDescent="0.25">
      <c r="A214" s="8">
        <v>42601.029027777775</v>
      </c>
      <c r="B214" s="24" t="s">
        <v>308</v>
      </c>
      <c r="C214" s="24" t="s">
        <v>550</v>
      </c>
      <c r="D214" s="24">
        <v>1410000</v>
      </c>
      <c r="E214" s="24" t="s">
        <v>679</v>
      </c>
      <c r="F214" s="24" t="str">
        <f t="shared" si="6"/>
        <v>rtdc.l.rtdc.4025:itc</v>
      </c>
      <c r="G214" s="8">
        <f t="shared" si="7"/>
        <v>42601.029027777775</v>
      </c>
    </row>
    <row r="215" spans="1:7" x14ac:dyDescent="0.25">
      <c r="A215" s="8">
        <v>42601.030115740738</v>
      </c>
      <c r="B215" s="24" t="s">
        <v>308</v>
      </c>
      <c r="C215" s="24" t="s">
        <v>550</v>
      </c>
      <c r="D215" s="24">
        <v>1410000</v>
      </c>
      <c r="E215" s="24" t="s">
        <v>679</v>
      </c>
      <c r="F215" s="24" t="str">
        <f t="shared" si="6"/>
        <v>rtdc.l.rtdc.4025:itc</v>
      </c>
      <c r="G215" s="8">
        <f t="shared" si="7"/>
        <v>42601.030115740738</v>
      </c>
    </row>
    <row r="216" spans="1:7" x14ac:dyDescent="0.25">
      <c r="A216" s="8">
        <v>42601.038078703707</v>
      </c>
      <c r="B216" s="24" t="s">
        <v>165</v>
      </c>
      <c r="C216" s="24" t="s">
        <v>541</v>
      </c>
      <c r="D216" s="24">
        <v>2110000</v>
      </c>
      <c r="E216" s="24" t="s">
        <v>229</v>
      </c>
      <c r="F216" s="24" t="str">
        <f t="shared" si="6"/>
        <v>rtdc.l.rtdc.4028:itc</v>
      </c>
      <c r="G216" s="8">
        <f t="shared" si="7"/>
        <v>42601.038078703707</v>
      </c>
    </row>
    <row r="217" spans="1:7" x14ac:dyDescent="0.25">
      <c r="A217" s="8">
        <v>42601.051516203705</v>
      </c>
      <c r="B217" s="24" t="s">
        <v>94</v>
      </c>
      <c r="C217" s="24" t="s">
        <v>552</v>
      </c>
      <c r="D217" s="24">
        <v>1780000</v>
      </c>
      <c r="E217" s="24" t="s">
        <v>315</v>
      </c>
      <c r="F217" s="24" t="str">
        <f t="shared" si="6"/>
        <v>rtdc.l.rtdc.4029:itc</v>
      </c>
      <c r="G217" s="8">
        <f t="shared" si="7"/>
        <v>42601.051516203705</v>
      </c>
    </row>
    <row r="218" spans="1:7" x14ac:dyDescent="0.25">
      <c r="A218" s="8">
        <v>42601.059710648151</v>
      </c>
      <c r="B218" s="24" t="s">
        <v>194</v>
      </c>
      <c r="C218" s="24" t="s">
        <v>680</v>
      </c>
      <c r="D218" s="24">
        <v>1480000</v>
      </c>
      <c r="E218" s="24" t="s">
        <v>257</v>
      </c>
      <c r="F218" s="24" t="str">
        <f t="shared" si="6"/>
        <v>rtdc.l.rtdc.4008:itc</v>
      </c>
      <c r="G218" s="8">
        <f t="shared" si="7"/>
        <v>42601.059710648151</v>
      </c>
    </row>
    <row r="219" spans="1:7" x14ac:dyDescent="0.25">
      <c r="A219" s="8">
        <v>42601.068773148145</v>
      </c>
      <c r="B219" s="24" t="s">
        <v>96</v>
      </c>
      <c r="C219" s="24" t="s">
        <v>554</v>
      </c>
      <c r="D219" s="24">
        <v>2110000</v>
      </c>
      <c r="E219" s="24" t="s">
        <v>229</v>
      </c>
      <c r="F219" s="24" t="str">
        <f t="shared" si="6"/>
        <v>rtdc.l.rtdc.4027:itc</v>
      </c>
      <c r="G219" s="8">
        <f t="shared" si="7"/>
        <v>42601.068773148145</v>
      </c>
    </row>
    <row r="220" spans="1:7" x14ac:dyDescent="0.25">
      <c r="A220" s="8">
        <v>42601.069467592592</v>
      </c>
      <c r="B220" s="24" t="s">
        <v>96</v>
      </c>
      <c r="C220" s="24" t="s">
        <v>554</v>
      </c>
      <c r="D220" s="24">
        <v>2110000</v>
      </c>
      <c r="E220" s="24" t="s">
        <v>229</v>
      </c>
      <c r="F220" s="24" t="str">
        <f t="shared" si="6"/>
        <v>rtdc.l.rtdc.4027:itc</v>
      </c>
      <c r="G220" s="8">
        <f t="shared" si="7"/>
        <v>42601.069467592592</v>
      </c>
    </row>
    <row r="221" spans="1:7" x14ac:dyDescent="0.25">
      <c r="A221" s="8">
        <v>42601.070625</v>
      </c>
      <c r="B221" s="24" t="s">
        <v>96</v>
      </c>
      <c r="C221" s="24" t="s">
        <v>554</v>
      </c>
      <c r="D221" s="24">
        <v>2110000</v>
      </c>
      <c r="E221" s="24" t="s">
        <v>229</v>
      </c>
      <c r="F221" s="24" t="str">
        <f t="shared" si="6"/>
        <v>rtdc.l.rtdc.4027:itc</v>
      </c>
      <c r="G221" s="8">
        <f t="shared" si="7"/>
        <v>42601.070625</v>
      </c>
    </row>
    <row r="222" spans="1:7" x14ac:dyDescent="0.25">
      <c r="A222" s="8">
        <v>42601.096006944441</v>
      </c>
      <c r="B222" s="24" t="s">
        <v>309</v>
      </c>
      <c r="C222" s="24" t="s">
        <v>556</v>
      </c>
      <c r="D222" s="24">
        <v>1480000</v>
      </c>
      <c r="E222" s="24" t="s">
        <v>257</v>
      </c>
      <c r="F222" s="24" t="str">
        <f t="shared" si="6"/>
        <v>rtdc.l.rtdc.4007:itc</v>
      </c>
      <c r="G222" s="8">
        <f t="shared" si="7"/>
        <v>42601.096006944441</v>
      </c>
    </row>
    <row r="223" spans="1:7" x14ac:dyDescent="0.25">
      <c r="B223" s="24"/>
      <c r="C223" s="24"/>
      <c r="D223" s="24"/>
      <c r="E223" s="24"/>
      <c r="F223" s="24">
        <f t="shared" si="6"/>
        <v>0</v>
      </c>
      <c r="G223" s="8">
        <f t="shared" si="7"/>
        <v>0</v>
      </c>
    </row>
    <row r="224" spans="1:7" x14ac:dyDescent="0.25">
      <c r="A224" s="8">
        <v>42598.994328703702</v>
      </c>
      <c r="B224" t="s">
        <v>167</v>
      </c>
      <c r="C224" t="s">
        <v>248</v>
      </c>
      <c r="D224">
        <v>2100000</v>
      </c>
      <c r="E224" t="s">
        <v>147</v>
      </c>
      <c r="F224" s="24" t="str">
        <f t="shared" si="6"/>
        <v>rtdc.l.rtdc.4038:itc</v>
      </c>
      <c r="G224" s="8">
        <f t="shared" si="7"/>
        <v>42598.994328703702</v>
      </c>
    </row>
    <row r="225" spans="1:7" x14ac:dyDescent="0.25">
      <c r="A225" s="8">
        <v>42599.011666666665</v>
      </c>
      <c r="B225" t="s">
        <v>111</v>
      </c>
      <c r="C225" t="s">
        <v>258</v>
      </c>
      <c r="D225">
        <v>1740000</v>
      </c>
      <c r="E225" t="s">
        <v>212</v>
      </c>
      <c r="F225" s="24" t="str">
        <f t="shared" si="6"/>
        <v>rtdc.l.rtdc.4015:itc</v>
      </c>
      <c r="G225" s="8">
        <f t="shared" si="7"/>
        <v>42599.011666666665</v>
      </c>
    </row>
    <row r="226" spans="1:7" x14ac:dyDescent="0.25">
      <c r="A226" s="8">
        <v>42599.02071759259</v>
      </c>
      <c r="B226" t="s">
        <v>94</v>
      </c>
      <c r="C226" t="s">
        <v>259</v>
      </c>
      <c r="D226">
        <v>1800000</v>
      </c>
      <c r="E226" t="s">
        <v>230</v>
      </c>
      <c r="F226" s="24" t="str">
        <f t="shared" si="6"/>
        <v>rtdc.l.rtdc.4029:itc</v>
      </c>
      <c r="G226" s="8">
        <f t="shared" si="7"/>
        <v>42599.02071759259</v>
      </c>
    </row>
    <row r="227" spans="1:7" x14ac:dyDescent="0.25">
      <c r="A227" s="8">
        <v>42599.059386574074</v>
      </c>
      <c r="B227" t="s">
        <v>95</v>
      </c>
      <c r="C227" t="s">
        <v>249</v>
      </c>
      <c r="D227">
        <v>1800000</v>
      </c>
      <c r="E227" t="s">
        <v>230</v>
      </c>
      <c r="F227" s="24" t="str">
        <f t="shared" si="6"/>
        <v>rtdc.l.rtdc.4030:itc</v>
      </c>
      <c r="G227" s="8">
        <f t="shared" si="7"/>
        <v>42599.059386574074</v>
      </c>
    </row>
    <row r="228" spans="1:7" x14ac:dyDescent="0.25">
      <c r="A228" s="8">
        <v>42599.081250000003</v>
      </c>
      <c r="B228" t="s">
        <v>167</v>
      </c>
      <c r="C228" t="s">
        <v>250</v>
      </c>
      <c r="D228">
        <v>2100000</v>
      </c>
      <c r="E228" t="s">
        <v>147</v>
      </c>
      <c r="F228" s="24" t="str">
        <f t="shared" si="6"/>
        <v>rtdc.l.rtdc.4038:itc</v>
      </c>
      <c r="G228" s="8">
        <f t="shared" si="7"/>
        <v>42599.081250000003</v>
      </c>
    </row>
    <row r="229" spans="1:7" x14ac:dyDescent="0.25">
      <c r="A229" s="8">
        <v>42599.092766203707</v>
      </c>
      <c r="B229" t="s">
        <v>94</v>
      </c>
      <c r="C229" t="s">
        <v>249</v>
      </c>
      <c r="D229">
        <v>1800000</v>
      </c>
      <c r="E229" t="s">
        <v>230</v>
      </c>
      <c r="F229" s="24" t="str">
        <f t="shared" si="6"/>
        <v>rtdc.l.rtdc.4029:itc</v>
      </c>
      <c r="G229" s="8">
        <f t="shared" si="7"/>
        <v>42599.092766203707</v>
      </c>
    </row>
    <row r="230" spans="1:7" x14ac:dyDescent="0.25">
      <c r="A230" s="8">
        <v>42599.095381944448</v>
      </c>
      <c r="B230" t="s">
        <v>94</v>
      </c>
      <c r="C230" t="s">
        <v>251</v>
      </c>
      <c r="D230">
        <v>1800000</v>
      </c>
      <c r="E230" t="s">
        <v>260</v>
      </c>
      <c r="F230" s="24" t="str">
        <f t="shared" si="6"/>
        <v>rtdc.l.rtdc.4029:itc</v>
      </c>
      <c r="G230" s="8">
        <f t="shared" si="7"/>
        <v>42599.095381944448</v>
      </c>
    </row>
    <row r="231" spans="1:7" x14ac:dyDescent="0.25">
      <c r="A231" s="8">
        <v>42594.933275462965</v>
      </c>
      <c r="B231" t="s">
        <v>157</v>
      </c>
      <c r="C231" t="s">
        <v>176</v>
      </c>
      <c r="D231">
        <v>1300000</v>
      </c>
      <c r="E231" t="s">
        <v>152</v>
      </c>
      <c r="F231" s="24" t="str">
        <f t="shared" si="6"/>
        <v>rtdc.l.rtdc.4037:itc</v>
      </c>
      <c r="G231" s="8">
        <f t="shared" si="7"/>
        <v>42594.933275462965</v>
      </c>
    </row>
    <row r="232" spans="1:7" x14ac:dyDescent="0.25">
      <c r="A232" s="8">
        <v>42594.933877314812</v>
      </c>
      <c r="B232" t="s">
        <v>199</v>
      </c>
      <c r="C232" t="s">
        <v>192</v>
      </c>
      <c r="D232">
        <v>730000</v>
      </c>
      <c r="E232" t="s">
        <v>200</v>
      </c>
      <c r="F232" s="24" t="str">
        <f t="shared" si="6"/>
        <v>rtdc.l.rtdc.4022:itc</v>
      </c>
      <c r="G232" s="8">
        <f t="shared" si="7"/>
        <v>42594.933877314812</v>
      </c>
    </row>
    <row r="233" spans="1:7" x14ac:dyDescent="0.25">
      <c r="A233" s="8">
        <v>42594.934988425928</v>
      </c>
      <c r="B233" t="s">
        <v>199</v>
      </c>
      <c r="C233" t="s">
        <v>192</v>
      </c>
      <c r="D233">
        <v>730000</v>
      </c>
      <c r="E233" t="s">
        <v>200</v>
      </c>
      <c r="F233" s="24" t="str">
        <f t="shared" si="6"/>
        <v>rtdc.l.rtdc.4022:itc</v>
      </c>
      <c r="G233" s="8">
        <f t="shared" si="7"/>
        <v>42594.934988425928</v>
      </c>
    </row>
    <row r="234" spans="1:7" x14ac:dyDescent="0.25">
      <c r="A234" s="8">
        <v>42594.944837962961</v>
      </c>
      <c r="B234" t="s">
        <v>194</v>
      </c>
      <c r="C234" t="s">
        <v>193</v>
      </c>
      <c r="D234">
        <v>1460000</v>
      </c>
      <c r="E234" t="s">
        <v>197</v>
      </c>
      <c r="F234" s="24" t="str">
        <f t="shared" si="6"/>
        <v>rtdc.l.rtdc.4008:itc</v>
      </c>
      <c r="G234" s="8">
        <f t="shared" si="7"/>
        <v>42594.944837962961</v>
      </c>
    </row>
    <row r="235" spans="1:7" x14ac:dyDescent="0.25">
      <c r="A235" s="8">
        <v>42594.945891203701</v>
      </c>
      <c r="B235" t="s">
        <v>194</v>
      </c>
      <c r="C235" t="s">
        <v>193</v>
      </c>
      <c r="D235">
        <v>1460000</v>
      </c>
      <c r="E235" t="s">
        <v>197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120</v>
      </c>
      <c r="C236" t="s">
        <v>177</v>
      </c>
      <c r="D236">
        <v>2000000</v>
      </c>
      <c r="E236" t="s">
        <v>156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167</v>
      </c>
      <c r="C237" t="s">
        <v>179</v>
      </c>
      <c r="D237">
        <v>1300000</v>
      </c>
      <c r="E237" t="s">
        <v>152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94</v>
      </c>
      <c r="C238" t="s">
        <v>181</v>
      </c>
      <c r="D238">
        <v>1230000</v>
      </c>
      <c r="E238" t="s">
        <v>198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93</v>
      </c>
      <c r="C239" t="s">
        <v>178</v>
      </c>
      <c r="D239">
        <v>2100000</v>
      </c>
      <c r="E239" t="s">
        <v>147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157</v>
      </c>
      <c r="C240" t="s">
        <v>180</v>
      </c>
      <c r="D240">
        <v>1300000</v>
      </c>
      <c r="E240" t="s">
        <v>152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119</v>
      </c>
      <c r="C241" t="s">
        <v>183</v>
      </c>
      <c r="D241">
        <v>2000000</v>
      </c>
      <c r="E241" t="s">
        <v>156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95</v>
      </c>
      <c r="C242" t="s">
        <v>182</v>
      </c>
      <c r="D242">
        <v>1230000</v>
      </c>
      <c r="E242" t="s">
        <v>198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117</v>
      </c>
      <c r="C243" t="s">
        <v>185</v>
      </c>
      <c r="D243">
        <v>2100000</v>
      </c>
      <c r="E243" t="s">
        <v>147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167</v>
      </c>
      <c r="C244" t="s">
        <v>187</v>
      </c>
      <c r="D244">
        <v>1300000</v>
      </c>
      <c r="E244" t="s">
        <v>152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120</v>
      </c>
      <c r="C245" t="s">
        <v>184</v>
      </c>
      <c r="D245">
        <v>2000000</v>
      </c>
      <c r="E245" t="s">
        <v>156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94</v>
      </c>
      <c r="C246" t="s">
        <v>189</v>
      </c>
      <c r="D246">
        <v>1230000</v>
      </c>
      <c r="E246" t="s">
        <v>198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93</v>
      </c>
      <c r="C247" t="s">
        <v>186</v>
      </c>
      <c r="D247">
        <v>2100000</v>
      </c>
      <c r="E247" t="s">
        <v>147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119</v>
      </c>
      <c r="C248" t="s">
        <v>190</v>
      </c>
      <c r="D248">
        <v>2000000</v>
      </c>
      <c r="E248" t="s">
        <v>156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157</v>
      </c>
      <c r="C249" t="s">
        <v>188</v>
      </c>
      <c r="D249">
        <v>1300000</v>
      </c>
      <c r="E249" t="s">
        <v>152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117</v>
      </c>
      <c r="C250" t="s">
        <v>201</v>
      </c>
      <c r="D250">
        <v>2100000</v>
      </c>
      <c r="E250" t="s">
        <v>147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167</v>
      </c>
      <c r="C251" t="s">
        <v>191</v>
      </c>
      <c r="D251">
        <v>1300000</v>
      </c>
      <c r="E251" t="s">
        <v>152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8" t="s">
        <v>122</v>
      </c>
      <c r="D1" s="79" t="s">
        <v>123</v>
      </c>
      <c r="J1" s="35" t="s">
        <v>124</v>
      </c>
      <c r="K1" s="35" t="s">
        <v>74</v>
      </c>
      <c r="L1" s="35" t="s">
        <v>75</v>
      </c>
      <c r="O1" s="82" t="s">
        <v>125</v>
      </c>
    </row>
    <row r="2" spans="1:16" ht="15.75" thickBot="1" x14ac:dyDescent="0.3">
      <c r="A2" s="15">
        <v>42600</v>
      </c>
      <c r="B2" s="4"/>
      <c r="C2" s="80">
        <v>50</v>
      </c>
      <c r="D2" s="81">
        <v>25</v>
      </c>
      <c r="F2" t="s">
        <v>158</v>
      </c>
      <c r="J2" s="35"/>
      <c r="K2" s="35" t="s">
        <v>74</v>
      </c>
      <c r="L2" s="35" t="s">
        <v>75</v>
      </c>
    </row>
    <row r="3" spans="1:16" x14ac:dyDescent="0.25">
      <c r="F3" t="s">
        <v>58</v>
      </c>
      <c r="J3" s="36" t="s">
        <v>76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126</v>
      </c>
      <c r="P3" s="71">
        <f>AVERAGE(1.0714,1.1016)</f>
        <v>1.0865</v>
      </c>
    </row>
    <row r="4" spans="1:16" x14ac:dyDescent="0.25">
      <c r="F4" t="s">
        <v>59</v>
      </c>
      <c r="J4" s="36" t="s">
        <v>77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78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159</v>
      </c>
      <c r="J6" s="36" t="s">
        <v>79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160</v>
      </c>
      <c r="J7" s="36" t="s">
        <v>80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161</v>
      </c>
      <c r="J8" s="36" t="s">
        <v>81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82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83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84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85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86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87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100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101</v>
      </c>
      <c r="K19" s="37"/>
      <c r="L19" s="37"/>
      <c r="M19" s="71" t="s">
        <v>137</v>
      </c>
    </row>
    <row r="20" spans="10:13" x14ac:dyDescent="0.25">
      <c r="J20" t="s">
        <v>102</v>
      </c>
      <c r="M20" s="71" t="s">
        <v>261</v>
      </c>
    </row>
    <row r="21" spans="10:13" x14ac:dyDescent="0.25">
      <c r="J21" s="24" t="s">
        <v>105</v>
      </c>
      <c r="K21" s="24" t="s">
        <v>106</v>
      </c>
      <c r="M21" s="71" t="s">
        <v>106</v>
      </c>
    </row>
    <row r="22" spans="10:13" x14ac:dyDescent="0.25">
      <c r="J22" s="24" t="s">
        <v>107</v>
      </c>
      <c r="K22" s="24" t="s">
        <v>108</v>
      </c>
      <c r="M22" s="71" t="s">
        <v>136</v>
      </c>
    </row>
    <row r="23" spans="10:13" x14ac:dyDescent="0.25">
      <c r="J23" s="32" t="s">
        <v>110</v>
      </c>
      <c r="K23" s="24"/>
      <c r="M23" s="123">
        <v>-6</v>
      </c>
    </row>
    <row r="24" spans="10:13" x14ac:dyDescent="0.25">
      <c r="J24" s="24" t="s">
        <v>133</v>
      </c>
      <c r="K24" s="24"/>
      <c r="M24" s="71" t="s">
        <v>135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2016-08-23T18:50:39Z</dcterms:modified>
</cp:coreProperties>
</file>