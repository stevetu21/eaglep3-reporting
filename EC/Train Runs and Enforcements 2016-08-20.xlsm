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Enforcements!$A$6:$V$74</definedName>
    <definedName name="_xlnm._FilterDatabase" localSheetId="2" hidden="1">'Missing Trips'!$A$2:$H$2</definedName>
    <definedName name="_xlnm._FilterDatabase" localSheetId="0" hidden="1">'Train Runs'!$A$12:$AG$219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6" i="1" l="1"/>
  <c r="X175" i="1"/>
  <c r="X176" i="1"/>
  <c r="X177" i="1"/>
  <c r="X178" i="1"/>
  <c r="X179" i="1"/>
  <c r="X180" i="1"/>
  <c r="X181" i="1"/>
  <c r="X157" i="1"/>
  <c r="X158" i="1"/>
  <c r="X162" i="1"/>
  <c r="X165" i="1"/>
  <c r="X166" i="1"/>
  <c r="L13" i="3"/>
  <c r="S13" i="3"/>
  <c r="R13" i="3" s="1"/>
  <c r="T13" i="3"/>
  <c r="U13" i="3"/>
  <c r="V13" i="3"/>
  <c r="L29" i="3"/>
  <c r="S29" i="3"/>
  <c r="R29" i="3" s="1"/>
  <c r="T29" i="3"/>
  <c r="U29" i="3"/>
  <c r="V29" i="3"/>
  <c r="L14" i="3"/>
  <c r="S14" i="3"/>
  <c r="R14" i="3" s="1"/>
  <c r="T14" i="3"/>
  <c r="U14" i="3"/>
  <c r="V14" i="3"/>
  <c r="L21" i="3"/>
  <c r="S21" i="3"/>
  <c r="R21" i="3" s="1"/>
  <c r="T21" i="3"/>
  <c r="U21" i="3"/>
  <c r="V21" i="3"/>
  <c r="L19" i="3"/>
  <c r="S19" i="3"/>
  <c r="R19" i="3" s="1"/>
  <c r="T19" i="3"/>
  <c r="U19" i="3"/>
  <c r="V19" i="3"/>
  <c r="L17" i="3"/>
  <c r="S17" i="3"/>
  <c r="R17" i="3" s="1"/>
  <c r="T17" i="3"/>
  <c r="U17" i="3"/>
  <c r="V17" i="3"/>
  <c r="L16" i="3"/>
  <c r="S16" i="3"/>
  <c r="R16" i="3" s="1"/>
  <c r="T16" i="3"/>
  <c r="U16" i="3"/>
  <c r="V16" i="3"/>
  <c r="L25" i="3"/>
  <c r="S25" i="3"/>
  <c r="R25" i="3" s="1"/>
  <c r="T25" i="3"/>
  <c r="U25" i="3"/>
  <c r="V25" i="3"/>
  <c r="L22" i="3"/>
  <c r="S22" i="3"/>
  <c r="R22" i="3" s="1"/>
  <c r="T22" i="3"/>
  <c r="U22" i="3"/>
  <c r="V22" i="3"/>
  <c r="L26" i="3"/>
  <c r="S26" i="3"/>
  <c r="R26" i="3" s="1"/>
  <c r="T26" i="3"/>
  <c r="U26" i="3"/>
  <c r="V26" i="3"/>
  <c r="L12" i="3"/>
  <c r="S12" i="3"/>
  <c r="R12" i="3" s="1"/>
  <c r="T12" i="3"/>
  <c r="U12" i="3"/>
  <c r="V12" i="3"/>
  <c r="L7" i="3"/>
  <c r="S7" i="3"/>
  <c r="R7" i="3" s="1"/>
  <c r="T7" i="3"/>
  <c r="U7" i="3"/>
  <c r="V7" i="3"/>
  <c r="L15" i="3"/>
  <c r="S15" i="3"/>
  <c r="R15" i="3" s="1"/>
  <c r="T15" i="3"/>
  <c r="U15" i="3"/>
  <c r="V15" i="3"/>
  <c r="L33" i="3"/>
  <c r="S33" i="3"/>
  <c r="R33" i="3" s="1"/>
  <c r="T33" i="3"/>
  <c r="U33" i="3"/>
  <c r="V33" i="3"/>
  <c r="L30" i="3"/>
  <c r="S30" i="3"/>
  <c r="R30" i="3" s="1"/>
  <c r="T30" i="3"/>
  <c r="U30" i="3"/>
  <c r="V30" i="3"/>
  <c r="L27" i="3"/>
  <c r="S27" i="3"/>
  <c r="R27" i="3" s="1"/>
  <c r="T27" i="3"/>
  <c r="U27" i="3"/>
  <c r="V27" i="3"/>
  <c r="L18" i="3"/>
  <c r="S18" i="3"/>
  <c r="R18" i="3" s="1"/>
  <c r="T18" i="3"/>
  <c r="U18" i="3"/>
  <c r="V18" i="3"/>
  <c r="L11" i="3"/>
  <c r="S11" i="3"/>
  <c r="R11" i="3" s="1"/>
  <c r="T11" i="3"/>
  <c r="U11" i="3"/>
  <c r="V11" i="3"/>
  <c r="L20" i="3"/>
  <c r="S20" i="3"/>
  <c r="R20" i="3" s="1"/>
  <c r="T20" i="3"/>
  <c r="U20" i="3"/>
  <c r="V20" i="3"/>
  <c r="L8" i="3"/>
  <c r="S8" i="3"/>
  <c r="R8" i="3" s="1"/>
  <c r="T8" i="3"/>
  <c r="U8" i="3"/>
  <c r="V8" i="3"/>
  <c r="L28" i="3"/>
  <c r="S28" i="3"/>
  <c r="R28" i="3" s="1"/>
  <c r="T28" i="3"/>
  <c r="U28" i="3"/>
  <c r="V28" i="3"/>
  <c r="L31" i="3"/>
  <c r="S31" i="3"/>
  <c r="R31" i="3" s="1"/>
  <c r="T31" i="3"/>
  <c r="U31" i="3"/>
  <c r="V31" i="3"/>
  <c r="L35" i="3"/>
  <c r="S35" i="3"/>
  <c r="R35" i="3" s="1"/>
  <c r="T35" i="3"/>
  <c r="U35" i="3"/>
  <c r="V35" i="3"/>
  <c r="L9" i="3"/>
  <c r="S9" i="3"/>
  <c r="R9" i="3" s="1"/>
  <c r="T9" i="3"/>
  <c r="U9" i="3"/>
  <c r="V9" i="3"/>
  <c r="L24" i="3"/>
  <c r="S24" i="3"/>
  <c r="R24" i="3" s="1"/>
  <c r="T24" i="3"/>
  <c r="U24" i="3"/>
  <c r="V24" i="3"/>
  <c r="L34" i="3"/>
  <c r="S34" i="3"/>
  <c r="R34" i="3" s="1"/>
  <c r="T34" i="3"/>
  <c r="U34" i="3"/>
  <c r="V34" i="3"/>
  <c r="L32" i="3"/>
  <c r="S32" i="3"/>
  <c r="R32" i="3" s="1"/>
  <c r="T32" i="3"/>
  <c r="U32" i="3"/>
  <c r="V32" i="3"/>
  <c r="L10" i="3"/>
  <c r="S10" i="3"/>
  <c r="R10" i="3" s="1"/>
  <c r="T10" i="3"/>
  <c r="U10" i="3"/>
  <c r="V10" i="3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Q13" i="3" s="1"/>
  <c r="Y29" i="1"/>
  <c r="Z29" i="1"/>
  <c r="AB29" i="1"/>
  <c r="AC29" i="1"/>
  <c r="AD29" i="1"/>
  <c r="AE29" i="1"/>
  <c r="P13" i="3" s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Q14" i="3" s="1"/>
  <c r="Y44" i="1"/>
  <c r="Z44" i="1"/>
  <c r="AB44" i="1"/>
  <c r="AC44" i="1"/>
  <c r="AD44" i="1"/>
  <c r="T44" i="1" s="1"/>
  <c r="AE44" i="1"/>
  <c r="P14" i="3" s="1"/>
  <c r="AF44" i="1"/>
  <c r="AH44" i="1"/>
  <c r="K45" i="1"/>
  <c r="L45" i="1"/>
  <c r="M45" i="1"/>
  <c r="N45" i="1" s="1"/>
  <c r="V45" i="1"/>
  <c r="Q21" i="3" s="1"/>
  <c r="Y45" i="1"/>
  <c r="Z45" i="1"/>
  <c r="AB45" i="1"/>
  <c r="AC45" i="1"/>
  <c r="AD45" i="1"/>
  <c r="AG45" i="1" s="1"/>
  <c r="AE45" i="1"/>
  <c r="P21" i="3" s="1"/>
  <c r="AF45" i="1"/>
  <c r="AH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Q16" i="3" s="1"/>
  <c r="Y67" i="1"/>
  <c r="Z67" i="1"/>
  <c r="AB67" i="1"/>
  <c r="AC67" i="1"/>
  <c r="AD67" i="1"/>
  <c r="AG67" i="1" s="1"/>
  <c r="AE67" i="1"/>
  <c r="P16" i="3" s="1"/>
  <c r="AF67" i="1"/>
  <c r="AH67" i="1"/>
  <c r="K68" i="1"/>
  <c r="L68" i="1"/>
  <c r="M68" i="1"/>
  <c r="P68" i="1" s="1"/>
  <c r="V68" i="1"/>
  <c r="Q17" i="3" s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Q25" i="3" s="1"/>
  <c r="Y76" i="1"/>
  <c r="Z76" i="1"/>
  <c r="AB76" i="1"/>
  <c r="AC76" i="1"/>
  <c r="AD76" i="1"/>
  <c r="AG76" i="1" s="1"/>
  <c r="AE76" i="1"/>
  <c r="P25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Q12" i="3" s="1"/>
  <c r="Y83" i="1"/>
  <c r="Z83" i="1"/>
  <c r="AB83" i="1"/>
  <c r="AC83" i="1"/>
  <c r="AD83" i="1"/>
  <c r="AE83" i="1"/>
  <c r="P22" i="3" s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Q26" i="3" s="1"/>
  <c r="Y88" i="1"/>
  <c r="Z88" i="1"/>
  <c r="AB88" i="1"/>
  <c r="AC88" i="1"/>
  <c r="AD88" i="1"/>
  <c r="AG88" i="1" s="1"/>
  <c r="AE88" i="1"/>
  <c r="P26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5" i="1"/>
  <c r="K163" i="1"/>
  <c r="L163" i="1"/>
  <c r="M163" i="1"/>
  <c r="N163" i="1" s="1"/>
  <c r="V163" i="1"/>
  <c r="Q29" i="3" s="1"/>
  <c r="Y163" i="1"/>
  <c r="Z163" i="1"/>
  <c r="AB163" i="1"/>
  <c r="AC163" i="1"/>
  <c r="AD163" i="1"/>
  <c r="X163" i="1" s="1"/>
  <c r="AE163" i="1"/>
  <c r="P29" i="3" s="1"/>
  <c r="AF163" i="1"/>
  <c r="AH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09" i="1"/>
  <c r="AH11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14" i="1"/>
  <c r="K180" i="1"/>
  <c r="L180" i="1"/>
  <c r="M180" i="1"/>
  <c r="N180" i="1" s="1"/>
  <c r="V180" i="1"/>
  <c r="Q33" i="3" s="1"/>
  <c r="Y180" i="1"/>
  <c r="Z180" i="1"/>
  <c r="AB180" i="1"/>
  <c r="AC180" i="1"/>
  <c r="AD180" i="1"/>
  <c r="AG180" i="1" s="1"/>
  <c r="AE180" i="1"/>
  <c r="P33" i="3" s="1"/>
  <c r="AF180" i="1"/>
  <c r="AH115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6" i="1"/>
  <c r="K181" i="1"/>
  <c r="L181" i="1"/>
  <c r="M181" i="1"/>
  <c r="N181" i="1" s="1"/>
  <c r="V181" i="1"/>
  <c r="Q30" i="3" s="1"/>
  <c r="Y181" i="1"/>
  <c r="Z181" i="1"/>
  <c r="AB181" i="1"/>
  <c r="AC181" i="1"/>
  <c r="AD181" i="1"/>
  <c r="AG181" i="1" s="1"/>
  <c r="AE181" i="1"/>
  <c r="P30" i="3" s="1"/>
  <c r="AF181" i="1"/>
  <c r="AH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K185" i="1"/>
  <c r="L185" i="1"/>
  <c r="M185" i="1"/>
  <c r="N185" i="1" s="1"/>
  <c r="V185" i="1"/>
  <c r="Y185" i="1"/>
  <c r="AA185" i="1"/>
  <c r="W185" i="1" s="1"/>
  <c r="AB185" i="1"/>
  <c r="AC185" i="1"/>
  <c r="AD185" i="1"/>
  <c r="AG185" i="1" s="1"/>
  <c r="AE185" i="1"/>
  <c r="AF185" i="1"/>
  <c r="AH121" i="1"/>
  <c r="K186" i="1"/>
  <c r="L186" i="1"/>
  <c r="M186" i="1"/>
  <c r="V186" i="1"/>
  <c r="Q31" i="3" s="1"/>
  <c r="Y186" i="1"/>
  <c r="Z186" i="1"/>
  <c r="AB186" i="1"/>
  <c r="AC186" i="1"/>
  <c r="AD186" i="1"/>
  <c r="X186" i="1" s="1"/>
  <c r="AE186" i="1"/>
  <c r="P31" i="3" s="1"/>
  <c r="AF186" i="1"/>
  <c r="AH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K190" i="1"/>
  <c r="L190" i="1"/>
  <c r="M190" i="1"/>
  <c r="N190" i="1" s="1"/>
  <c r="V190" i="1"/>
  <c r="Q34" i="3" s="1"/>
  <c r="Y190" i="1"/>
  <c r="Z190" i="1"/>
  <c r="AB190" i="1"/>
  <c r="AC190" i="1"/>
  <c r="AD190" i="1"/>
  <c r="AG190" i="1" s="1"/>
  <c r="AE190" i="1"/>
  <c r="P34" i="3" s="1"/>
  <c r="AF190" i="1"/>
  <c r="AH126" i="1"/>
  <c r="K96" i="1"/>
  <c r="L96" i="1"/>
  <c r="M96" i="1"/>
  <c r="N96" i="1" s="1"/>
  <c r="V96" i="1"/>
  <c r="Q15" i="3" s="1"/>
  <c r="Y96" i="1"/>
  <c r="Z96" i="1"/>
  <c r="AB96" i="1"/>
  <c r="AC96" i="1"/>
  <c r="AD96" i="1"/>
  <c r="AE96" i="1"/>
  <c r="P15" i="3" s="1"/>
  <c r="AF96" i="1"/>
  <c r="AH127" i="1"/>
  <c r="K191" i="1"/>
  <c r="L191" i="1"/>
  <c r="M191" i="1"/>
  <c r="N191" i="1" s="1"/>
  <c r="V191" i="1"/>
  <c r="Q32" i="3" s="1"/>
  <c r="Y191" i="1"/>
  <c r="Z191" i="1"/>
  <c r="AB191" i="1"/>
  <c r="AC191" i="1"/>
  <c r="AD191" i="1"/>
  <c r="AG191" i="1" s="1"/>
  <c r="AE191" i="1"/>
  <c r="P32" i="3" s="1"/>
  <c r="AF191" i="1"/>
  <c r="AH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2" i="1"/>
  <c r="K98" i="1"/>
  <c r="L98" i="1"/>
  <c r="M98" i="1"/>
  <c r="N98" i="1" s="1"/>
  <c r="V98" i="1"/>
  <c r="Q7" i="3" s="1"/>
  <c r="Y98" i="1"/>
  <c r="Z98" i="1"/>
  <c r="AB98" i="1"/>
  <c r="AC98" i="1"/>
  <c r="AD98" i="1"/>
  <c r="AE98" i="1"/>
  <c r="P7" i="3" s="1"/>
  <c r="AF98" i="1"/>
  <c r="AH133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6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7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39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K110" i="1"/>
  <c r="L110" i="1"/>
  <c r="M110" i="1"/>
  <c r="N110" i="1" s="1"/>
  <c r="V110" i="1"/>
  <c r="Q27" i="3" s="1"/>
  <c r="Y110" i="1"/>
  <c r="Z110" i="1"/>
  <c r="AB110" i="1"/>
  <c r="AC110" i="1"/>
  <c r="AD110" i="1"/>
  <c r="AG110" i="1" s="1"/>
  <c r="AE110" i="1"/>
  <c r="P27" i="3" s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K112" i="1"/>
  <c r="L112" i="1"/>
  <c r="M112" i="1"/>
  <c r="N112" i="1" s="1"/>
  <c r="V112" i="1"/>
  <c r="Q18" i="3" s="1"/>
  <c r="Y112" i="1"/>
  <c r="Z112" i="1"/>
  <c r="AB112" i="1"/>
  <c r="AC112" i="1"/>
  <c r="AD112" i="1"/>
  <c r="AG112" i="1" s="1"/>
  <c r="AE112" i="1"/>
  <c r="P18" i="3" s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3" i="1"/>
  <c r="K119" i="1"/>
  <c r="L119" i="1"/>
  <c r="M119" i="1"/>
  <c r="N119" i="1" s="1"/>
  <c r="V119" i="1"/>
  <c r="Q8" i="3" s="1"/>
  <c r="Y119" i="1"/>
  <c r="Z119" i="1"/>
  <c r="AB119" i="1"/>
  <c r="AC119" i="1"/>
  <c r="AD119" i="1"/>
  <c r="AG119" i="1" s="1"/>
  <c r="AE119" i="1"/>
  <c r="P8" i="3" s="1"/>
  <c r="AF119" i="1"/>
  <c r="AH154" i="1"/>
  <c r="K120" i="1"/>
  <c r="L120" i="1"/>
  <c r="M120" i="1"/>
  <c r="N120" i="1" s="1"/>
  <c r="V120" i="1"/>
  <c r="Q11" i="3" s="1"/>
  <c r="Y120" i="1"/>
  <c r="Z120" i="1"/>
  <c r="AB120" i="1"/>
  <c r="AC120" i="1"/>
  <c r="AD120" i="1"/>
  <c r="AG120" i="1" s="1"/>
  <c r="AE120" i="1"/>
  <c r="P11" i="3" s="1"/>
  <c r="AF120" i="1"/>
  <c r="AH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K123" i="1"/>
  <c r="L123" i="1"/>
  <c r="M123" i="1"/>
  <c r="N123" i="1" s="1"/>
  <c r="V123" i="1"/>
  <c r="Q9" i="3" s="1"/>
  <c r="Y123" i="1"/>
  <c r="Z123" i="1"/>
  <c r="AB123" i="1"/>
  <c r="AC123" i="1"/>
  <c r="AD123" i="1"/>
  <c r="AG123" i="1" s="1"/>
  <c r="AE123" i="1"/>
  <c r="P9" i="3" s="1"/>
  <c r="AF123" i="1"/>
  <c r="AH158" i="1"/>
  <c r="K124" i="1"/>
  <c r="L124" i="1"/>
  <c r="M124" i="1"/>
  <c r="N124" i="1" s="1"/>
  <c r="V124" i="1"/>
  <c r="Q20" i="3" s="1"/>
  <c r="Y124" i="1"/>
  <c r="Z124" i="1"/>
  <c r="AB124" i="1"/>
  <c r="AC124" i="1"/>
  <c r="AD124" i="1"/>
  <c r="AG124" i="1" s="1"/>
  <c r="AE124" i="1"/>
  <c r="P20" i="3" s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0" i="1"/>
  <c r="K127" i="1"/>
  <c r="L127" i="1"/>
  <c r="M127" i="1"/>
  <c r="N127" i="1"/>
  <c r="V127" i="1"/>
  <c r="Y127" i="1"/>
  <c r="Z127" i="1"/>
  <c r="AB127" i="1"/>
  <c r="AC127" i="1"/>
  <c r="AD127" i="1"/>
  <c r="AG127" i="1" s="1"/>
  <c r="AE127" i="1"/>
  <c r="AF127" i="1"/>
  <c r="AH161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2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3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4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5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6" i="1"/>
  <c r="K133" i="1"/>
  <c r="L133" i="1"/>
  <c r="M133" i="1"/>
  <c r="N133" i="1" s="1"/>
  <c r="V133" i="1"/>
  <c r="Q24" i="3" s="1"/>
  <c r="Y133" i="1"/>
  <c r="Z133" i="1"/>
  <c r="AB133" i="1"/>
  <c r="AC133" i="1"/>
  <c r="AD133" i="1"/>
  <c r="AG133" i="1" s="1"/>
  <c r="AE133" i="1"/>
  <c r="P24" i="3" s="1"/>
  <c r="AF133" i="1"/>
  <c r="AH167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K136" i="1"/>
  <c r="L136" i="1"/>
  <c r="M136" i="1"/>
  <c r="V136" i="1"/>
  <c r="Y136" i="1"/>
  <c r="Z136" i="1"/>
  <c r="AB136" i="1"/>
  <c r="AC136" i="1"/>
  <c r="AD136" i="1"/>
  <c r="AG136" i="1" s="1"/>
  <c r="AE136" i="1"/>
  <c r="AF136" i="1"/>
  <c r="AH170" i="1"/>
  <c r="K137" i="1"/>
  <c r="L137" i="1"/>
  <c r="M137" i="1"/>
  <c r="V137" i="1"/>
  <c r="Y137" i="1"/>
  <c r="Z137" i="1"/>
  <c r="AB137" i="1"/>
  <c r="AC137" i="1"/>
  <c r="AD137" i="1"/>
  <c r="AE137" i="1"/>
  <c r="AF137" i="1"/>
  <c r="AH171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2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3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74" i="1"/>
  <c r="K141" i="1"/>
  <c r="L141" i="1"/>
  <c r="M141" i="1"/>
  <c r="N141" i="1" s="1"/>
  <c r="V141" i="1"/>
  <c r="Y141" i="1"/>
  <c r="Z141" i="1"/>
  <c r="AA141" i="1" s="1"/>
  <c r="W141" i="1" s="1"/>
  <c r="AB141" i="1"/>
  <c r="AC141" i="1"/>
  <c r="AD141" i="1"/>
  <c r="AG141" i="1" s="1"/>
  <c r="AE141" i="1"/>
  <c r="AF141" i="1"/>
  <c r="AH175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6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7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8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79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0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1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2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3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4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85" i="1"/>
  <c r="AH186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87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8" i="1"/>
  <c r="K155" i="1"/>
  <c r="L155" i="1"/>
  <c r="M155" i="1"/>
  <c r="N155" i="1" s="1"/>
  <c r="V155" i="1"/>
  <c r="Q10" i="3" s="1"/>
  <c r="Y155" i="1"/>
  <c r="Z155" i="1"/>
  <c r="AB155" i="1"/>
  <c r="AC155" i="1"/>
  <c r="AD155" i="1"/>
  <c r="AG155" i="1" s="1"/>
  <c r="AE155" i="1"/>
  <c r="P10" i="3" s="1"/>
  <c r="AF155" i="1"/>
  <c r="AH189" i="1"/>
  <c r="K156" i="1"/>
  <c r="L156" i="1"/>
  <c r="M156" i="1"/>
  <c r="N156" i="1" s="1"/>
  <c r="V156" i="1"/>
  <c r="Y156" i="1"/>
  <c r="Z156" i="1"/>
  <c r="AA156" i="1" s="1"/>
  <c r="W156" i="1" s="1"/>
  <c r="AB156" i="1"/>
  <c r="AC156" i="1"/>
  <c r="AD156" i="1"/>
  <c r="AG156" i="1" s="1"/>
  <c r="AE156" i="1"/>
  <c r="AF156" i="1"/>
  <c r="AH190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1" i="1"/>
  <c r="K158" i="1"/>
  <c r="L158" i="1"/>
  <c r="M158" i="1"/>
  <c r="N158" i="1" s="1"/>
  <c r="V158" i="1"/>
  <c r="Y158" i="1"/>
  <c r="Z158" i="1"/>
  <c r="AA158" i="1" s="1"/>
  <c r="W158" i="1" s="1"/>
  <c r="AB158" i="1"/>
  <c r="AC158" i="1"/>
  <c r="AD158" i="1"/>
  <c r="AG158" i="1" s="1"/>
  <c r="AE158" i="1"/>
  <c r="AF158" i="1"/>
  <c r="AH192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93" i="1"/>
  <c r="AH19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2" i="1"/>
  <c r="K202" i="1"/>
  <c r="L202" i="1"/>
  <c r="M202" i="1"/>
  <c r="N202" i="1"/>
  <c r="V202" i="1"/>
  <c r="Y202" i="1"/>
  <c r="Z202" i="1"/>
  <c r="AB202" i="1"/>
  <c r="AC202" i="1"/>
  <c r="AD202" i="1"/>
  <c r="AG202" i="1" s="1"/>
  <c r="AE202" i="1"/>
  <c r="AF202" i="1"/>
  <c r="AH203" i="1"/>
  <c r="K204" i="1"/>
  <c r="L204" i="1"/>
  <c r="M204" i="1"/>
  <c r="N204" i="1" s="1"/>
  <c r="V204" i="1"/>
  <c r="Q35" i="3" s="1"/>
  <c r="Y204" i="1"/>
  <c r="Z204" i="1"/>
  <c r="AB204" i="1"/>
  <c r="AC204" i="1"/>
  <c r="AD204" i="1"/>
  <c r="AG204" i="1" s="1"/>
  <c r="AE204" i="1"/>
  <c r="P35" i="3" s="1"/>
  <c r="AF204" i="1"/>
  <c r="AH204" i="1"/>
  <c r="X41" i="1" l="1"/>
  <c r="X161" i="1"/>
  <c r="AA144" i="1"/>
  <c r="AA129" i="1"/>
  <c r="X164" i="1"/>
  <c r="X160" i="1"/>
  <c r="X156" i="1"/>
  <c r="AA199" i="1"/>
  <c r="W199" i="1" s="1"/>
  <c r="X167" i="1"/>
  <c r="X155" i="1"/>
  <c r="P136" i="1"/>
  <c r="T80" i="1"/>
  <c r="X154" i="1"/>
  <c r="AA195" i="1"/>
  <c r="AA89" i="1"/>
  <c r="AA18" i="1"/>
  <c r="W18" i="1" s="1"/>
  <c r="AA16" i="1"/>
  <c r="W16" i="1" s="1"/>
  <c r="X39" i="1"/>
  <c r="X43" i="1"/>
  <c r="X151" i="1"/>
  <c r="P31" i="1"/>
  <c r="AA117" i="1"/>
  <c r="W117" i="1" s="1"/>
  <c r="AA111" i="1"/>
  <c r="W111" i="1" s="1"/>
  <c r="T107" i="1"/>
  <c r="T82" i="1"/>
  <c r="U82" i="1" s="1"/>
  <c r="S82" i="1" s="1"/>
  <c r="AA70" i="1"/>
  <c r="W70" i="1" s="1"/>
  <c r="AA67" i="1"/>
  <c r="W67" i="1" s="1"/>
  <c r="AA66" i="1"/>
  <c r="W66" i="1" s="1"/>
  <c r="AA65" i="1"/>
  <c r="W65" i="1" s="1"/>
  <c r="X42" i="1"/>
  <c r="X40" i="1"/>
  <c r="X196" i="1"/>
  <c r="AA91" i="1"/>
  <c r="AA152" i="1"/>
  <c r="AA149" i="1"/>
  <c r="AA148" i="1"/>
  <c r="AA135" i="1"/>
  <c r="AA132" i="1"/>
  <c r="W132" i="1" s="1"/>
  <c r="AA130" i="1"/>
  <c r="W130" i="1" s="1"/>
  <c r="AA115" i="1"/>
  <c r="AA94" i="1"/>
  <c r="W94" i="1" s="1"/>
  <c r="AA170" i="1"/>
  <c r="AA169" i="1"/>
  <c r="W169" i="1" s="1"/>
  <c r="AA167" i="1"/>
  <c r="W167" i="1" s="1"/>
  <c r="AA80" i="1"/>
  <c r="W80" i="1" s="1"/>
  <c r="AA58" i="1"/>
  <c r="AA57" i="1"/>
  <c r="W57" i="1" s="1"/>
  <c r="AA32" i="1"/>
  <c r="W32" i="1" s="1"/>
  <c r="AA196" i="1"/>
  <c r="W196" i="1" s="1"/>
  <c r="AA119" i="1"/>
  <c r="W119" i="1" s="1"/>
  <c r="AA165" i="1"/>
  <c r="W165" i="1" s="1"/>
  <c r="AA164" i="1"/>
  <c r="AA26" i="1"/>
  <c r="W26" i="1" s="1"/>
  <c r="AA25" i="1"/>
  <c r="AA24" i="1"/>
  <c r="W24" i="1" s="1"/>
  <c r="X49" i="1"/>
  <c r="W115" i="1"/>
  <c r="X201" i="1"/>
  <c r="AA204" i="1"/>
  <c r="W204" i="1" s="1"/>
  <c r="AA147" i="1"/>
  <c r="W147" i="1" s="1"/>
  <c r="X133" i="1"/>
  <c r="AA128" i="1"/>
  <c r="W128" i="1" s="1"/>
  <c r="AA109" i="1"/>
  <c r="W109" i="1" s="1"/>
  <c r="AA107" i="1"/>
  <c r="W107" i="1" s="1"/>
  <c r="AG60" i="1"/>
  <c r="U60" i="1" s="1"/>
  <c r="S60" i="1" s="1"/>
  <c r="AA151" i="1"/>
  <c r="X143" i="1"/>
  <c r="AA142" i="1"/>
  <c r="AA90" i="1"/>
  <c r="W90" i="1" s="1"/>
  <c r="AA56" i="1"/>
  <c r="X34" i="1"/>
  <c r="X204" i="1"/>
  <c r="X198" i="1"/>
  <c r="AA159" i="1"/>
  <c r="X132" i="1"/>
  <c r="AA105" i="1"/>
  <c r="AA203" i="1"/>
  <c r="AA176" i="1"/>
  <c r="W176" i="1" s="1"/>
  <c r="AA175" i="1"/>
  <c r="W175" i="1" s="1"/>
  <c r="AA163" i="1"/>
  <c r="AA161" i="1"/>
  <c r="W161" i="1" s="1"/>
  <c r="AA93" i="1"/>
  <c r="AA76" i="1"/>
  <c r="W76" i="1" s="1"/>
  <c r="AA74" i="1"/>
  <c r="X53" i="1"/>
  <c r="AA51" i="1"/>
  <c r="W51" i="1" s="1"/>
  <c r="AA47" i="1"/>
  <c r="W47" i="1" s="1"/>
  <c r="AA36" i="1"/>
  <c r="W36" i="1" s="1"/>
  <c r="AA20" i="1"/>
  <c r="W20" i="1" s="1"/>
  <c r="X136" i="1"/>
  <c r="AG135" i="1"/>
  <c r="X135" i="1"/>
  <c r="P17" i="3"/>
  <c r="P19" i="3"/>
  <c r="X202" i="1"/>
  <c r="X141" i="1"/>
  <c r="X185" i="1"/>
  <c r="AG197" i="1"/>
  <c r="X197" i="1"/>
  <c r="AG157" i="1"/>
  <c r="AG78" i="1"/>
  <c r="T78" i="1"/>
  <c r="X200" i="1"/>
  <c r="X145" i="1"/>
  <c r="AG173" i="1"/>
  <c r="X173" i="1"/>
  <c r="AG71" i="1"/>
  <c r="T71" i="1"/>
  <c r="AG195" i="1"/>
  <c r="X195" i="1"/>
  <c r="AG159" i="1"/>
  <c r="AA155" i="1"/>
  <c r="W155" i="1" s="1"/>
  <c r="AA154" i="1"/>
  <c r="W154" i="1" s="1"/>
  <c r="AG153" i="1"/>
  <c r="AA127" i="1"/>
  <c r="W127" i="1" s="1"/>
  <c r="X199" i="1"/>
  <c r="AA150" i="1"/>
  <c r="AG149" i="1"/>
  <c r="X149" i="1"/>
  <c r="AA122" i="1"/>
  <c r="W122" i="1" s="1"/>
  <c r="AA121" i="1"/>
  <c r="W121" i="1" s="1"/>
  <c r="AA116" i="1"/>
  <c r="W116" i="1" s="1"/>
  <c r="X106" i="1"/>
  <c r="AG105" i="1"/>
  <c r="T105" i="1"/>
  <c r="AG163" i="1"/>
  <c r="W163" i="1" s="1"/>
  <c r="W74" i="1"/>
  <c r="Q28" i="3"/>
  <c r="P12" i="3"/>
  <c r="AA200" i="1"/>
  <c r="W200" i="1" s="1"/>
  <c r="AA143" i="1"/>
  <c r="W143" i="1" s="1"/>
  <c r="AA137" i="1"/>
  <c r="AA114" i="1"/>
  <c r="AA113" i="1"/>
  <c r="W113" i="1" s="1"/>
  <c r="AA108" i="1"/>
  <c r="W108" i="1" s="1"/>
  <c r="AA194" i="1"/>
  <c r="AA193" i="1"/>
  <c r="AA192" i="1"/>
  <c r="AA183" i="1"/>
  <c r="W183" i="1" s="1"/>
  <c r="AA182" i="1"/>
  <c r="AA181" i="1"/>
  <c r="W181" i="1" s="1"/>
  <c r="T169" i="1"/>
  <c r="U169" i="1" s="1"/>
  <c r="S169" i="1" s="1"/>
  <c r="AA78" i="1"/>
  <c r="AA71" i="1"/>
  <c r="AA69" i="1"/>
  <c r="W69" i="1" s="1"/>
  <c r="T67" i="1"/>
  <c r="U67" i="1" s="1"/>
  <c r="S67" i="1" s="1"/>
  <c r="AA62" i="1"/>
  <c r="W62" i="1" s="1"/>
  <c r="AA61" i="1"/>
  <c r="W61" i="1" s="1"/>
  <c r="AG56" i="1"/>
  <c r="U56" i="1" s="1"/>
  <c r="S56" i="1" s="1"/>
  <c r="AA53" i="1"/>
  <c r="W53" i="1" s="1"/>
  <c r="AA52" i="1"/>
  <c r="AA41" i="1"/>
  <c r="W41" i="1" s="1"/>
  <c r="AA40" i="1"/>
  <c r="X38" i="1"/>
  <c r="X30" i="1"/>
  <c r="AA28" i="1"/>
  <c r="W28" i="1" s="1"/>
  <c r="X24" i="1"/>
  <c r="AA22" i="1"/>
  <c r="W22" i="1" s="1"/>
  <c r="AA15" i="1"/>
  <c r="P28" i="3"/>
  <c r="Q22" i="3"/>
  <c r="Q19" i="3"/>
  <c r="AA103" i="1"/>
  <c r="W103" i="1" s="1"/>
  <c r="AA102" i="1"/>
  <c r="AA101" i="1"/>
  <c r="W101" i="1" s="1"/>
  <c r="AA190" i="1"/>
  <c r="W190" i="1" s="1"/>
  <c r="AA180" i="1"/>
  <c r="W180" i="1" s="1"/>
  <c r="AA83" i="1"/>
  <c r="AA82" i="1"/>
  <c r="W82" i="1" s="1"/>
  <c r="AA68" i="1"/>
  <c r="W68" i="1" s="1"/>
  <c r="X64" i="1"/>
  <c r="AA63" i="1"/>
  <c r="W63" i="1" s="1"/>
  <c r="AA54" i="1"/>
  <c r="AA45" i="1"/>
  <c r="W45" i="1" s="1"/>
  <c r="AA43" i="1"/>
  <c r="W43" i="1" s="1"/>
  <c r="AA39" i="1"/>
  <c r="X22" i="1"/>
  <c r="AG148" i="1"/>
  <c r="W148" i="1" s="1"/>
  <c r="X148" i="1"/>
  <c r="AG142" i="1"/>
  <c r="X142" i="1"/>
  <c r="AG139" i="1"/>
  <c r="X139" i="1"/>
  <c r="AA201" i="1"/>
  <c r="W201" i="1" s="1"/>
  <c r="AA197" i="1"/>
  <c r="W151" i="1"/>
  <c r="AG144" i="1"/>
  <c r="W144" i="1" s="1"/>
  <c r="X144" i="1"/>
  <c r="AG137" i="1"/>
  <c r="X138" i="1"/>
  <c r="X137" i="1"/>
  <c r="AA136" i="1"/>
  <c r="W136" i="1" s="1"/>
  <c r="AG134" i="1"/>
  <c r="X134" i="1"/>
  <c r="AA134" i="1"/>
  <c r="AA133" i="1"/>
  <c r="W133" i="1" s="1"/>
  <c r="AA131" i="1"/>
  <c r="W131" i="1" s="1"/>
  <c r="AA126" i="1"/>
  <c r="W126" i="1" s="1"/>
  <c r="AG150" i="1"/>
  <c r="X150" i="1"/>
  <c r="AG140" i="1"/>
  <c r="W140" i="1" s="1"/>
  <c r="X140" i="1"/>
  <c r="AA124" i="1"/>
  <c r="W124" i="1" s="1"/>
  <c r="AA202" i="1"/>
  <c r="W202" i="1" s="1"/>
  <c r="AA198" i="1"/>
  <c r="W198" i="1" s="1"/>
  <c r="AA160" i="1"/>
  <c r="W160" i="1" s="1"/>
  <c r="AA157" i="1"/>
  <c r="AA153" i="1"/>
  <c r="AG152" i="1"/>
  <c r="X147" i="1"/>
  <c r="AG146" i="1"/>
  <c r="X146" i="1"/>
  <c r="AA146" i="1"/>
  <c r="AA145" i="1"/>
  <c r="W145" i="1" s="1"/>
  <c r="AA139" i="1"/>
  <c r="W129" i="1"/>
  <c r="AA123" i="1"/>
  <c r="W123" i="1" s="1"/>
  <c r="AA118" i="1"/>
  <c r="W118" i="1" s="1"/>
  <c r="AA110" i="1"/>
  <c r="W110" i="1" s="1"/>
  <c r="AA188" i="1"/>
  <c r="W188" i="1" s="1"/>
  <c r="X171" i="1"/>
  <c r="X84" i="1"/>
  <c r="AA72" i="1"/>
  <c r="W72" i="1" s="1"/>
  <c r="X68" i="1"/>
  <c r="AG58" i="1"/>
  <c r="U58" i="1" s="1"/>
  <c r="S58" i="1" s="1"/>
  <c r="AA138" i="1"/>
  <c r="W138" i="1" s="1"/>
  <c r="AA125" i="1"/>
  <c r="W125" i="1" s="1"/>
  <c r="AA120" i="1"/>
  <c r="W120" i="1" s="1"/>
  <c r="AA112" i="1"/>
  <c r="W112" i="1" s="1"/>
  <c r="X107" i="1"/>
  <c r="AA106" i="1"/>
  <c r="W106" i="1" s="1"/>
  <c r="T106" i="1"/>
  <c r="U106" i="1" s="1"/>
  <c r="S106" i="1" s="1"/>
  <c r="X105" i="1"/>
  <c r="AA104" i="1"/>
  <c r="W104" i="1" s="1"/>
  <c r="AA100" i="1"/>
  <c r="AA99" i="1"/>
  <c r="W99" i="1" s="1"/>
  <c r="AA191" i="1"/>
  <c r="W191" i="1" s="1"/>
  <c r="AA96" i="1"/>
  <c r="AA173" i="1"/>
  <c r="AA162" i="1"/>
  <c r="AA92" i="1"/>
  <c r="W92" i="1" s="1"/>
  <c r="AA88" i="1"/>
  <c r="W88" i="1" s="1"/>
  <c r="AA87" i="1"/>
  <c r="AA86" i="1"/>
  <c r="W86" i="1" s="1"/>
  <c r="T75" i="1"/>
  <c r="U75" i="1" s="1"/>
  <c r="S75" i="1" s="1"/>
  <c r="X72" i="1"/>
  <c r="X61" i="1"/>
  <c r="AA59" i="1"/>
  <c r="X57" i="1"/>
  <c r="AA49" i="1"/>
  <c r="W49" i="1" s="1"/>
  <c r="T48" i="1"/>
  <c r="X45" i="1"/>
  <c r="AA44" i="1"/>
  <c r="AA42" i="1"/>
  <c r="AA34" i="1"/>
  <c r="W34" i="1" s="1"/>
  <c r="T33" i="1"/>
  <c r="AA31" i="1"/>
  <c r="W114" i="1"/>
  <c r="AA98" i="1"/>
  <c r="AA97" i="1"/>
  <c r="W97" i="1" s="1"/>
  <c r="AA189" i="1"/>
  <c r="AA184" i="1"/>
  <c r="AA171" i="1"/>
  <c r="W171" i="1" s="1"/>
  <c r="T171" i="1"/>
  <c r="U171" i="1" s="1"/>
  <c r="S171" i="1" s="1"/>
  <c r="X169" i="1"/>
  <c r="AA166" i="1"/>
  <c r="X92" i="1"/>
  <c r="AA84" i="1"/>
  <c r="W84" i="1" s="1"/>
  <c r="T84" i="1"/>
  <c r="U84" i="1" s="1"/>
  <c r="S84" i="1" s="1"/>
  <c r="X82" i="1"/>
  <c r="AA81" i="1"/>
  <c r="W81" i="1" s="1"/>
  <c r="T81" i="1"/>
  <c r="U81" i="1" s="1"/>
  <c r="S81" i="1" s="1"/>
  <c r="X80" i="1"/>
  <c r="AA79" i="1"/>
  <c r="W79" i="1" s="1"/>
  <c r="T79" i="1"/>
  <c r="X78" i="1"/>
  <c r="AA77" i="1"/>
  <c r="X76" i="1"/>
  <c r="AA75" i="1"/>
  <c r="W75" i="1" s="1"/>
  <c r="AA73" i="1"/>
  <c r="W73" i="1" s="1"/>
  <c r="AA64" i="1"/>
  <c r="W64" i="1" s="1"/>
  <c r="T63" i="1"/>
  <c r="U63" i="1" s="1"/>
  <c r="S63" i="1" s="1"/>
  <c r="AA60" i="1"/>
  <c r="AA55" i="1"/>
  <c r="AA48" i="1"/>
  <c r="AA46" i="1"/>
  <c r="AA38" i="1"/>
  <c r="W38" i="1" s="1"/>
  <c r="T37" i="1"/>
  <c r="AA33" i="1"/>
  <c r="AA30" i="1"/>
  <c r="W30" i="1" s="1"/>
  <c r="AA23" i="1"/>
  <c r="X16" i="1"/>
  <c r="AA50" i="1"/>
  <c r="AA37" i="1"/>
  <c r="AA35" i="1"/>
  <c r="U107" i="1"/>
  <c r="S107" i="1" s="1"/>
  <c r="W193" i="1"/>
  <c r="AA186" i="1"/>
  <c r="X183" i="1"/>
  <c r="T181" i="1"/>
  <c r="U181" i="1" s="1"/>
  <c r="S181" i="1" s="1"/>
  <c r="X94" i="1"/>
  <c r="X88" i="1"/>
  <c r="T86" i="1"/>
  <c r="U86" i="1" s="1"/>
  <c r="S86" i="1" s="1"/>
  <c r="AG77" i="1"/>
  <c r="T77" i="1"/>
  <c r="T204" i="1"/>
  <c r="U204" i="1" s="1"/>
  <c r="S204" i="1" s="1"/>
  <c r="T202" i="1"/>
  <c r="U202" i="1" s="1"/>
  <c r="S202" i="1" s="1"/>
  <c r="T201" i="1"/>
  <c r="U201" i="1" s="1"/>
  <c r="S201" i="1" s="1"/>
  <c r="T200" i="1"/>
  <c r="U200" i="1" s="1"/>
  <c r="S200" i="1" s="1"/>
  <c r="T199" i="1"/>
  <c r="U199" i="1" s="1"/>
  <c r="S199" i="1" s="1"/>
  <c r="T198" i="1"/>
  <c r="U198" i="1" s="1"/>
  <c r="S198" i="1" s="1"/>
  <c r="T197" i="1"/>
  <c r="U197" i="1" s="1"/>
  <c r="S197" i="1" s="1"/>
  <c r="T196" i="1"/>
  <c r="T195" i="1"/>
  <c r="T160" i="1"/>
  <c r="U160" i="1" s="1"/>
  <c r="S160" i="1" s="1"/>
  <c r="T159" i="1"/>
  <c r="T158" i="1"/>
  <c r="T157" i="1"/>
  <c r="T156" i="1"/>
  <c r="U156" i="1" s="1"/>
  <c r="S156" i="1" s="1"/>
  <c r="T155" i="1"/>
  <c r="U155" i="1" s="1"/>
  <c r="S155" i="1" s="1"/>
  <c r="T154" i="1"/>
  <c r="T153" i="1"/>
  <c r="T152" i="1"/>
  <c r="U152" i="1" s="1"/>
  <c r="S152" i="1" s="1"/>
  <c r="T151" i="1"/>
  <c r="U151" i="1" s="1"/>
  <c r="S151" i="1" s="1"/>
  <c r="T150" i="1"/>
  <c r="T149" i="1"/>
  <c r="T148" i="1"/>
  <c r="T147" i="1"/>
  <c r="U147" i="1" s="1"/>
  <c r="S147" i="1" s="1"/>
  <c r="T146" i="1"/>
  <c r="T145" i="1"/>
  <c r="U145" i="1" s="1"/>
  <c r="S145" i="1" s="1"/>
  <c r="T144" i="1"/>
  <c r="T143" i="1"/>
  <c r="U143" i="1" s="1"/>
  <c r="S143" i="1" s="1"/>
  <c r="T142" i="1"/>
  <c r="T141" i="1"/>
  <c r="U141" i="1" s="1"/>
  <c r="S141" i="1" s="1"/>
  <c r="T140" i="1"/>
  <c r="T139" i="1"/>
  <c r="T138" i="1"/>
  <c r="U138" i="1" s="1"/>
  <c r="S138" i="1" s="1"/>
  <c r="T137" i="1"/>
  <c r="T136" i="1"/>
  <c r="U136" i="1" s="1"/>
  <c r="T135" i="1"/>
  <c r="T134" i="1"/>
  <c r="T133" i="1"/>
  <c r="U133" i="1" s="1"/>
  <c r="S133" i="1" s="1"/>
  <c r="T132" i="1"/>
  <c r="U132" i="1" s="1"/>
  <c r="S132" i="1" s="1"/>
  <c r="T131" i="1"/>
  <c r="U131" i="1" s="1"/>
  <c r="S131" i="1" s="1"/>
  <c r="T130" i="1"/>
  <c r="U130" i="1" s="1"/>
  <c r="S130" i="1" s="1"/>
  <c r="T129" i="1"/>
  <c r="U129" i="1" s="1"/>
  <c r="S129" i="1" s="1"/>
  <c r="T128" i="1"/>
  <c r="U128" i="1" s="1"/>
  <c r="S128" i="1" s="1"/>
  <c r="T127" i="1"/>
  <c r="U127" i="1" s="1"/>
  <c r="S127" i="1" s="1"/>
  <c r="T126" i="1"/>
  <c r="U126" i="1" s="1"/>
  <c r="S126" i="1" s="1"/>
  <c r="T125" i="1"/>
  <c r="U125" i="1" s="1"/>
  <c r="S125" i="1" s="1"/>
  <c r="T124" i="1"/>
  <c r="U124" i="1" s="1"/>
  <c r="S124" i="1" s="1"/>
  <c r="T123" i="1"/>
  <c r="U123" i="1" s="1"/>
  <c r="S123" i="1" s="1"/>
  <c r="T122" i="1"/>
  <c r="U122" i="1" s="1"/>
  <c r="S122" i="1" s="1"/>
  <c r="T121" i="1"/>
  <c r="U121" i="1" s="1"/>
  <c r="S121" i="1" s="1"/>
  <c r="T120" i="1"/>
  <c r="U120" i="1" s="1"/>
  <c r="S120" i="1" s="1"/>
  <c r="T119" i="1"/>
  <c r="U119" i="1" s="1"/>
  <c r="S119" i="1" s="1"/>
  <c r="T118" i="1"/>
  <c r="U118" i="1" s="1"/>
  <c r="S118" i="1" s="1"/>
  <c r="T117" i="1"/>
  <c r="U117" i="1" s="1"/>
  <c r="S117" i="1" s="1"/>
  <c r="T116" i="1"/>
  <c r="U116" i="1" s="1"/>
  <c r="S116" i="1" s="1"/>
  <c r="T115" i="1"/>
  <c r="U115" i="1" s="1"/>
  <c r="S115" i="1" s="1"/>
  <c r="T114" i="1"/>
  <c r="U114" i="1" s="1"/>
  <c r="S114" i="1" s="1"/>
  <c r="T113" i="1"/>
  <c r="U113" i="1" s="1"/>
  <c r="S113" i="1" s="1"/>
  <c r="T112" i="1"/>
  <c r="U112" i="1" s="1"/>
  <c r="S112" i="1" s="1"/>
  <c r="T111" i="1"/>
  <c r="U111" i="1" s="1"/>
  <c r="S111" i="1" s="1"/>
  <c r="T110" i="1"/>
  <c r="U110" i="1" s="1"/>
  <c r="S110" i="1" s="1"/>
  <c r="T109" i="1"/>
  <c r="U109" i="1" s="1"/>
  <c r="S109" i="1" s="1"/>
  <c r="T108" i="1"/>
  <c r="U108" i="1" s="1"/>
  <c r="S108" i="1" s="1"/>
  <c r="AG186" i="1"/>
  <c r="T185" i="1"/>
  <c r="U185" i="1" s="1"/>
  <c r="S185" i="1" s="1"/>
  <c r="T180" i="1"/>
  <c r="U180" i="1" s="1"/>
  <c r="S180" i="1" s="1"/>
  <c r="T173" i="1"/>
  <c r="X59" i="1"/>
  <c r="AG59" i="1"/>
  <c r="X60" i="1"/>
  <c r="AA187" i="1"/>
  <c r="T183" i="1"/>
  <c r="U183" i="1" s="1"/>
  <c r="S183" i="1" s="1"/>
  <c r="AA178" i="1"/>
  <c r="W178" i="1" s="1"/>
  <c r="T178" i="1"/>
  <c r="U178" i="1" s="1"/>
  <c r="S178" i="1" s="1"/>
  <c r="T175" i="1"/>
  <c r="U175" i="1" s="1"/>
  <c r="S175" i="1" s="1"/>
  <c r="T94" i="1"/>
  <c r="U94" i="1" s="1"/>
  <c r="S94" i="1" s="1"/>
  <c r="T88" i="1"/>
  <c r="U88" i="1" s="1"/>
  <c r="S88" i="1" s="1"/>
  <c r="X86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AA95" i="1"/>
  <c r="T176" i="1"/>
  <c r="T59" i="1"/>
  <c r="X55" i="1"/>
  <c r="AG55" i="1"/>
  <c r="X56" i="1"/>
  <c r="AA172" i="1"/>
  <c r="AA168" i="1"/>
  <c r="T165" i="1"/>
  <c r="U165" i="1" s="1"/>
  <c r="S165" i="1" s="1"/>
  <c r="T161" i="1"/>
  <c r="T90" i="1"/>
  <c r="T74" i="1"/>
  <c r="T70" i="1"/>
  <c r="U70" i="1" s="1"/>
  <c r="S70" i="1" s="1"/>
  <c r="T66" i="1"/>
  <c r="U66" i="1" s="1"/>
  <c r="S66" i="1" s="1"/>
  <c r="T62" i="1"/>
  <c r="T58" i="1"/>
  <c r="T51" i="1"/>
  <c r="U51" i="1" s="1"/>
  <c r="S51" i="1" s="1"/>
  <c r="T47" i="1"/>
  <c r="U47" i="1" s="1"/>
  <c r="S47" i="1" s="1"/>
  <c r="T43" i="1"/>
  <c r="T36" i="1"/>
  <c r="U36" i="1" s="1"/>
  <c r="S36" i="1" s="1"/>
  <c r="T32" i="1"/>
  <c r="U32" i="1" s="1"/>
  <c r="T26" i="1"/>
  <c r="U26" i="1" s="1"/>
  <c r="S26" i="1" s="1"/>
  <c r="T18" i="1"/>
  <c r="T61" i="1"/>
  <c r="U61" i="1" s="1"/>
  <c r="S61" i="1" s="1"/>
  <c r="T57" i="1"/>
  <c r="U57" i="1" s="1"/>
  <c r="S57" i="1" s="1"/>
  <c r="AA29" i="1"/>
  <c r="X28" i="1"/>
  <c r="T24" i="1"/>
  <c r="U24" i="1" s="1"/>
  <c r="S24" i="1" s="1"/>
  <c r="AA21" i="1"/>
  <c r="X20" i="1"/>
  <c r="T16" i="1"/>
  <c r="U16" i="1" s="1"/>
  <c r="S16" i="1" s="1"/>
  <c r="AA14" i="1"/>
  <c r="AA177" i="1"/>
  <c r="AA174" i="1"/>
  <c r="T167" i="1"/>
  <c r="U167" i="1" s="1"/>
  <c r="S167" i="1" s="1"/>
  <c r="T163" i="1"/>
  <c r="T92" i="1"/>
  <c r="U92" i="1" s="1"/>
  <c r="S92" i="1" s="1"/>
  <c r="X90" i="1"/>
  <c r="AA85" i="1"/>
  <c r="T76" i="1"/>
  <c r="U76" i="1" s="1"/>
  <c r="S76" i="1" s="1"/>
  <c r="X74" i="1"/>
  <c r="T73" i="1"/>
  <c r="U73" i="1" s="1"/>
  <c r="S73" i="1" s="1"/>
  <c r="T72" i="1"/>
  <c r="U72" i="1" s="1"/>
  <c r="S72" i="1" s="1"/>
  <c r="X70" i="1"/>
  <c r="T69" i="1"/>
  <c r="U69" i="1" s="1"/>
  <c r="S69" i="1" s="1"/>
  <c r="T68" i="1"/>
  <c r="X66" i="1"/>
  <c r="T65" i="1"/>
  <c r="U65" i="1" s="1"/>
  <c r="S65" i="1" s="1"/>
  <c r="T64" i="1"/>
  <c r="U64" i="1" s="1"/>
  <c r="S64" i="1" s="1"/>
  <c r="X62" i="1"/>
  <c r="T53" i="1"/>
  <c r="U53" i="1" s="1"/>
  <c r="S53" i="1" s="1"/>
  <c r="X51" i="1"/>
  <c r="T49" i="1"/>
  <c r="U49" i="1" s="1"/>
  <c r="S49" i="1" s="1"/>
  <c r="X47" i="1"/>
  <c r="T45" i="1"/>
  <c r="U45" i="1" s="1"/>
  <c r="S45" i="1" s="1"/>
  <c r="T41" i="1"/>
  <c r="U41" i="1" s="1"/>
  <c r="S41" i="1" s="1"/>
  <c r="T38" i="1"/>
  <c r="U38" i="1" s="1"/>
  <c r="S38" i="1" s="1"/>
  <c r="X36" i="1"/>
  <c r="T34" i="1"/>
  <c r="U34" i="1" s="1"/>
  <c r="S34" i="1" s="1"/>
  <c r="X32" i="1"/>
  <c r="T30" i="1"/>
  <c r="U30" i="1" s="1"/>
  <c r="S30" i="1" s="1"/>
  <c r="AA27" i="1"/>
  <c r="X26" i="1"/>
  <c r="T22" i="1"/>
  <c r="U22" i="1" s="1"/>
  <c r="S22" i="1" s="1"/>
  <c r="AA19" i="1"/>
  <c r="X18" i="1"/>
  <c r="T28" i="1"/>
  <c r="U28" i="1" s="1"/>
  <c r="S28" i="1" s="1"/>
  <c r="T20" i="1"/>
  <c r="U20" i="1" s="1"/>
  <c r="S20" i="1" s="1"/>
  <c r="AA17" i="1"/>
  <c r="U196" i="1"/>
  <c r="S196" i="1" s="1"/>
  <c r="U158" i="1"/>
  <c r="S158" i="1" s="1"/>
  <c r="U154" i="1"/>
  <c r="S154" i="1" s="1"/>
  <c r="U153" i="1"/>
  <c r="S153" i="1" s="1"/>
  <c r="T203" i="1"/>
  <c r="X203" i="1"/>
  <c r="T189" i="1"/>
  <c r="X189" i="1"/>
  <c r="T187" i="1"/>
  <c r="X187" i="1"/>
  <c r="AG95" i="1"/>
  <c r="X95" i="1"/>
  <c r="T104" i="1"/>
  <c r="U104" i="1" s="1"/>
  <c r="S104" i="1" s="1"/>
  <c r="X104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193" i="1"/>
  <c r="U193" i="1" s="1"/>
  <c r="S193" i="1" s="1"/>
  <c r="X193" i="1"/>
  <c r="T191" i="1"/>
  <c r="U191" i="1" s="1"/>
  <c r="S191" i="1" s="1"/>
  <c r="X191" i="1"/>
  <c r="T190" i="1"/>
  <c r="U190" i="1" s="1"/>
  <c r="S190" i="1" s="1"/>
  <c r="X190" i="1"/>
  <c r="T188" i="1"/>
  <c r="U188" i="1" s="1"/>
  <c r="S188" i="1" s="1"/>
  <c r="X188" i="1"/>
  <c r="T186" i="1"/>
  <c r="AG182" i="1"/>
  <c r="X182" i="1"/>
  <c r="T182" i="1"/>
  <c r="AG179" i="1"/>
  <c r="W179" i="1" s="1"/>
  <c r="AG177" i="1"/>
  <c r="AG174" i="1"/>
  <c r="W174" i="1" s="1"/>
  <c r="X174" i="1"/>
  <c r="AG172" i="1"/>
  <c r="X172" i="1"/>
  <c r="AG164" i="1"/>
  <c r="AG85" i="1"/>
  <c r="X85" i="1"/>
  <c r="T102" i="1"/>
  <c r="X102" i="1"/>
  <c r="T194" i="1"/>
  <c r="X194" i="1"/>
  <c r="T192" i="1"/>
  <c r="X192" i="1"/>
  <c r="AG89" i="1"/>
  <c r="W89" i="1" s="1"/>
  <c r="X89" i="1"/>
  <c r="AG168" i="1"/>
  <c r="X168" i="1"/>
  <c r="T100" i="1"/>
  <c r="X100" i="1"/>
  <c r="T98" i="1"/>
  <c r="X98" i="1"/>
  <c r="T96" i="1"/>
  <c r="X96" i="1"/>
  <c r="AG184" i="1"/>
  <c r="X184" i="1"/>
  <c r="T184" i="1"/>
  <c r="T95" i="1"/>
  <c r="AG203" i="1"/>
  <c r="AG102" i="1"/>
  <c r="AG100" i="1"/>
  <c r="AG98" i="1"/>
  <c r="AG194" i="1"/>
  <c r="AG192" i="1"/>
  <c r="AG96" i="1"/>
  <c r="AG189" i="1"/>
  <c r="AG187" i="1"/>
  <c r="T168" i="1"/>
  <c r="AG93" i="1"/>
  <c r="X93" i="1"/>
  <c r="U176" i="1"/>
  <c r="S176" i="1" s="1"/>
  <c r="AG170" i="1"/>
  <c r="X170" i="1"/>
  <c r="T170" i="1"/>
  <c r="AG166" i="1"/>
  <c r="T166" i="1"/>
  <c r="AG162" i="1"/>
  <c r="T162" i="1"/>
  <c r="AG91" i="1"/>
  <c r="X91" i="1"/>
  <c r="T91" i="1"/>
  <c r="AG87" i="1"/>
  <c r="X87" i="1"/>
  <c r="T87" i="1"/>
  <c r="AG83" i="1"/>
  <c r="X83" i="1"/>
  <c r="T83" i="1"/>
  <c r="AG54" i="1"/>
  <c r="W54" i="1" s="1"/>
  <c r="X54" i="1"/>
  <c r="AG52" i="1"/>
  <c r="X52" i="1"/>
  <c r="AG50" i="1"/>
  <c r="X50" i="1"/>
  <c r="AG48" i="1"/>
  <c r="X48" i="1"/>
  <c r="AG46" i="1"/>
  <c r="X46" i="1"/>
  <c r="AG44" i="1"/>
  <c r="X44" i="1"/>
  <c r="AG42" i="1"/>
  <c r="AG40" i="1"/>
  <c r="AG39" i="1"/>
  <c r="AG37" i="1"/>
  <c r="X37" i="1"/>
  <c r="AG35" i="1"/>
  <c r="X35" i="1"/>
  <c r="AG33" i="1"/>
  <c r="X33" i="1"/>
  <c r="AG31" i="1"/>
  <c r="X31" i="1"/>
  <c r="U79" i="1"/>
  <c r="S79" i="1" s="1"/>
  <c r="AG27" i="1"/>
  <c r="W27" i="1" s="1"/>
  <c r="T27" i="1"/>
  <c r="X27" i="1"/>
  <c r="AG23" i="1"/>
  <c r="T23" i="1"/>
  <c r="X23" i="1"/>
  <c r="AG19" i="1"/>
  <c r="T19" i="1"/>
  <c r="X19" i="1"/>
  <c r="AG15" i="1"/>
  <c r="T15" i="1"/>
  <c r="X15" i="1"/>
  <c r="U161" i="1"/>
  <c r="S161" i="1" s="1"/>
  <c r="U90" i="1"/>
  <c r="S90" i="1" s="1"/>
  <c r="X81" i="1"/>
  <c r="U80" i="1"/>
  <c r="S80" i="1" s="1"/>
  <c r="X79" i="1"/>
  <c r="X77" i="1"/>
  <c r="X75" i="1"/>
  <c r="U74" i="1"/>
  <c r="S74" i="1" s="1"/>
  <c r="X73" i="1"/>
  <c r="X71" i="1"/>
  <c r="X69" i="1"/>
  <c r="U68" i="1"/>
  <c r="S68" i="1" s="1"/>
  <c r="X67" i="1"/>
  <c r="X65" i="1"/>
  <c r="X63" i="1"/>
  <c r="U62" i="1"/>
  <c r="S62" i="1" s="1"/>
  <c r="AG29" i="1"/>
  <c r="T29" i="1"/>
  <c r="X29" i="1"/>
  <c r="AG25" i="1"/>
  <c r="T25" i="1"/>
  <c r="X25" i="1"/>
  <c r="AG21" i="1"/>
  <c r="T21" i="1"/>
  <c r="X21" i="1"/>
  <c r="AG17" i="1"/>
  <c r="T17" i="1"/>
  <c r="X17" i="1"/>
  <c r="U43" i="1"/>
  <c r="S43" i="1" s="1"/>
  <c r="U18" i="1"/>
  <c r="S18" i="1" s="1"/>
  <c r="W14" i="1"/>
  <c r="T14" i="1"/>
  <c r="U14" i="1" s="1"/>
  <c r="S14" i="1" s="1"/>
  <c r="H4" i="6"/>
  <c r="H5" i="6"/>
  <c r="H3" i="6"/>
  <c r="W153" i="1" l="1"/>
  <c r="W35" i="1"/>
  <c r="W93" i="1"/>
  <c r="W192" i="1"/>
  <c r="W78" i="1"/>
  <c r="W159" i="1"/>
  <c r="U148" i="1"/>
  <c r="S148" i="1" s="1"/>
  <c r="W37" i="1"/>
  <c r="W195" i="1"/>
  <c r="U78" i="1"/>
  <c r="S78" i="1" s="1"/>
  <c r="W135" i="1"/>
  <c r="W29" i="1"/>
  <c r="U195" i="1"/>
  <c r="S195" i="1" s="1"/>
  <c r="W173" i="1"/>
  <c r="W56" i="1"/>
  <c r="U173" i="1"/>
  <c r="S173" i="1" s="1"/>
  <c r="U135" i="1"/>
  <c r="S135" i="1" s="1"/>
  <c r="U105" i="1"/>
  <c r="S105" i="1" s="1"/>
  <c r="W58" i="1"/>
  <c r="W177" i="1"/>
  <c r="W137" i="1"/>
  <c r="W85" i="1"/>
  <c r="W172" i="1"/>
  <c r="W60" i="1"/>
  <c r="W150" i="1"/>
  <c r="U140" i="1"/>
  <c r="S140" i="1" s="1"/>
  <c r="W46" i="1"/>
  <c r="W98" i="1"/>
  <c r="U137" i="1"/>
  <c r="S136" i="1" s="1"/>
  <c r="W44" i="1"/>
  <c r="W157" i="1"/>
  <c r="W105" i="1"/>
  <c r="W142" i="1"/>
  <c r="W19" i="1"/>
  <c r="U77" i="1"/>
  <c r="S77" i="1" s="1"/>
  <c r="U149" i="1"/>
  <c r="S149" i="1" s="1"/>
  <c r="U139" i="1"/>
  <c r="S139" i="1" s="1"/>
  <c r="W139" i="1"/>
  <c r="W152" i="1"/>
  <c r="W197" i="1"/>
  <c r="U134" i="1"/>
  <c r="S134" i="1" s="1"/>
  <c r="U142" i="1"/>
  <c r="S142" i="1" s="1"/>
  <c r="W52" i="1"/>
  <c r="U71" i="1"/>
  <c r="S71" i="1" s="1"/>
  <c r="W96" i="1"/>
  <c r="W39" i="1"/>
  <c r="W102" i="1"/>
  <c r="W77" i="1"/>
  <c r="U146" i="1"/>
  <c r="S146" i="1" s="1"/>
  <c r="W42" i="1"/>
  <c r="U144" i="1"/>
  <c r="S144" i="1" s="1"/>
  <c r="U150" i="1"/>
  <c r="S150" i="1" s="1"/>
  <c r="W50" i="1"/>
  <c r="U157" i="1"/>
  <c r="S157" i="1" s="1"/>
  <c r="U163" i="1"/>
  <c r="S163" i="1" s="1"/>
  <c r="W71" i="1"/>
  <c r="W166" i="1"/>
  <c r="U186" i="1"/>
  <c r="S186" i="1" s="1"/>
  <c r="U159" i="1"/>
  <c r="S159" i="1" s="1"/>
  <c r="W149" i="1"/>
  <c r="W59" i="1"/>
  <c r="W55" i="1"/>
  <c r="W146" i="1"/>
  <c r="W134" i="1"/>
  <c r="U55" i="1"/>
  <c r="S55" i="1" s="1"/>
  <c r="W186" i="1"/>
  <c r="U59" i="1"/>
  <c r="S59" i="1" s="1"/>
  <c r="U31" i="1"/>
  <c r="S31" i="1" s="1"/>
  <c r="U42" i="1"/>
  <c r="S42" i="1" s="1"/>
  <c r="U162" i="1"/>
  <c r="S162" i="1" s="1"/>
  <c r="W162" i="1"/>
  <c r="U85" i="1"/>
  <c r="S85" i="1" s="1"/>
  <c r="U182" i="1"/>
  <c r="S182" i="1" s="1"/>
  <c r="W182" i="1"/>
  <c r="U25" i="1"/>
  <c r="S25" i="1" s="1"/>
  <c r="W31" i="1"/>
  <c r="U33" i="1"/>
  <c r="S33" i="1" s="1"/>
  <c r="U37" i="1"/>
  <c r="S37" i="1" s="1"/>
  <c r="U40" i="1"/>
  <c r="S40" i="1" s="1"/>
  <c r="U44" i="1"/>
  <c r="S44" i="1" s="1"/>
  <c r="U48" i="1"/>
  <c r="S48" i="1" s="1"/>
  <c r="U52" i="1"/>
  <c r="S52" i="1" s="1"/>
  <c r="W25" i="1"/>
  <c r="U87" i="1"/>
  <c r="S87" i="1" s="1"/>
  <c r="W87" i="1"/>
  <c r="U170" i="1"/>
  <c r="S170" i="1" s="1"/>
  <c r="W170" i="1"/>
  <c r="U93" i="1"/>
  <c r="S93" i="1" s="1"/>
  <c r="U187" i="1"/>
  <c r="S187" i="1" s="1"/>
  <c r="U194" i="1"/>
  <c r="S194" i="1" s="1"/>
  <c r="U203" i="1"/>
  <c r="S203" i="1" s="1"/>
  <c r="U184" i="1"/>
  <c r="S184" i="1" s="1"/>
  <c r="U164" i="1"/>
  <c r="S164" i="1" s="1"/>
  <c r="U95" i="1"/>
  <c r="S95" i="1" s="1"/>
  <c r="W187" i="1"/>
  <c r="W184" i="1"/>
  <c r="U17" i="1"/>
  <c r="S17" i="1" s="1"/>
  <c r="U39" i="1"/>
  <c r="S39" i="1" s="1"/>
  <c r="U46" i="1"/>
  <c r="S46" i="1" s="1"/>
  <c r="U54" i="1"/>
  <c r="S54" i="1" s="1"/>
  <c r="U100" i="1"/>
  <c r="S100" i="1" s="1"/>
  <c r="U19" i="1"/>
  <c r="S19" i="1" s="1"/>
  <c r="U21" i="1"/>
  <c r="S21" i="1" s="1"/>
  <c r="W33" i="1"/>
  <c r="W40" i="1"/>
  <c r="W48" i="1"/>
  <c r="U15" i="1"/>
  <c r="S15" i="1" s="1"/>
  <c r="W15" i="1"/>
  <c r="W21" i="1"/>
  <c r="U83" i="1"/>
  <c r="S83" i="1" s="1"/>
  <c r="W83" i="1"/>
  <c r="U166" i="1"/>
  <c r="S166" i="1" s="1"/>
  <c r="W164" i="1"/>
  <c r="U189" i="1"/>
  <c r="S189" i="1" s="1"/>
  <c r="U98" i="1"/>
  <c r="S98" i="1" s="1"/>
  <c r="U168" i="1"/>
  <c r="S168" i="1" s="1"/>
  <c r="U89" i="1"/>
  <c r="S89" i="1" s="1"/>
  <c r="W168" i="1"/>
  <c r="U174" i="1"/>
  <c r="S174" i="1" s="1"/>
  <c r="U177" i="1"/>
  <c r="S177" i="1" s="1"/>
  <c r="W189" i="1"/>
  <c r="W100" i="1"/>
  <c r="U27" i="1"/>
  <c r="S27" i="1" s="1"/>
  <c r="U35" i="1"/>
  <c r="S35" i="1" s="1"/>
  <c r="U50" i="1"/>
  <c r="S50" i="1" s="1"/>
  <c r="U96" i="1"/>
  <c r="S96" i="1" s="1"/>
  <c r="U29" i="1"/>
  <c r="S29" i="1" s="1"/>
  <c r="U23" i="1"/>
  <c r="S23" i="1" s="1"/>
  <c r="W23" i="1"/>
  <c r="W17" i="1"/>
  <c r="U91" i="1"/>
  <c r="S91" i="1" s="1"/>
  <c r="W91" i="1"/>
  <c r="U192" i="1"/>
  <c r="S192" i="1" s="1"/>
  <c r="U102" i="1"/>
  <c r="S102" i="1" s="1"/>
  <c r="U172" i="1"/>
  <c r="S172" i="1" s="1"/>
  <c r="U179" i="1"/>
  <c r="S179" i="1" s="1"/>
  <c r="W95" i="1"/>
  <c r="W194" i="1"/>
  <c r="W203" i="1"/>
  <c r="E4" i="6"/>
  <c r="F4" i="6"/>
  <c r="G4" i="6"/>
  <c r="E5" i="6"/>
  <c r="F5" i="6"/>
  <c r="G5" i="6"/>
  <c r="L23" i="3"/>
  <c r="S23" i="3"/>
  <c r="R23" i="3" s="1"/>
  <c r="T23" i="3"/>
  <c r="U23" i="3"/>
  <c r="V23" i="3"/>
  <c r="Q23" i="3" l="1"/>
  <c r="P23" i="3"/>
  <c r="V13" i="1" l="1"/>
  <c r="K13" i="1" l="1"/>
  <c r="AH13" i="1" l="1"/>
  <c r="E3" i="6" l="1"/>
  <c r="X6" i="1" l="1"/>
  <c r="W6" i="1"/>
  <c r="V6" i="1"/>
  <c r="S6" i="1"/>
  <c r="R2" i="1"/>
  <c r="I2" i="1"/>
  <c r="O6" i="1"/>
  <c r="N6" i="1"/>
  <c r="M6" i="1"/>
  <c r="J6" i="1"/>
  <c r="P3" i="5" l="1"/>
  <c r="AF13" i="1" l="1"/>
  <c r="AE13" i="1" l="1"/>
  <c r="M18" i="5" l="1"/>
  <c r="AD13" i="1" l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F3" i="6" s="1"/>
  <c r="G3" i="4"/>
  <c r="G3" i="6" s="1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<sst xmlns="http://schemas.openxmlformats.org/spreadsheetml/2006/main" count="1874" uniqueCount="651">
  <si>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</si>
  <si>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</si>
  <si>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</si>
  <si>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</si>
  <si>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</si>
  <si>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</si>
  <si>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</si>
  <si>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</si>
  <si>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</si>
  <si>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</si>
  <si>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</si>
  <si>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</si>
  <si>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</si>
  <si>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</si>
  <si>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</si>
  <si>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</si>
  <si>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</si>
  <si>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</si>
  <si>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</si>
  <si>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</si>
  <si>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</si>
  <si>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</si>
  <si>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</si>
  <si>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</si>
  <si>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</si>
  <si>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</si>
  <si>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</si>
  <si>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</si>
  <si>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</si>
  <si>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</si>
  <si>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</si>
  <si>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</si>
  <si>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</si>
  <si>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</si>
  <si>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</si>
  <si>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</si>
  <si>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</si>
  <si>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</si>
  <si>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</si>
  <si>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</si>
  <si>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</si>
  <si>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</si>
  <si>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</si>
  <si>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</si>
  <si>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</si>
  <si>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</si>
  <si>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</si>
  <si>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</si>
  <si>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</si>
  <si>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</si>
  <si>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</si>
  <si>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</si>
  <si>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</si>
  <si>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</si>
  <si>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</si>
  <si>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</si>
  <si>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</si>
  <si>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</si>
  <si>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</si>
  <si>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</si>
  <si>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</si>
  <si>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</si>
  <si>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</si>
  <si>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</si>
  <si>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</si>
  <si>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</si>
  <si>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</si>
  <si>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</si>
  <si>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</si>
  <si>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</si>
  <si>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</si>
  <si>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</si>
  <si>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</si>
  <si>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</si>
  <si>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</si>
  <si>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</si>
  <si>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</si>
  <si>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</si>
  <si>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</si>
  <si>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</si>
  <si>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</si>
  <si>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</si>
  <si>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</si>
  <si>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</si>
  <si>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</si>
  <si>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</si>
  <si>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</si>
  <si>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</si>
  <si>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</si>
  <si>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</si>
  <si>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</si>
  <si>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</si>
  <si>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</si>
  <si>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</si>
  <si>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</si>
  <si>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</si>
  <si>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</si>
  <si>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</si>
  <si>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</si>
  <si>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</si>
  <si>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</si>
  <si>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</si>
  <si>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</si>
  <si>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</si>
  <si>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</si>
  <si>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</si>
  <si>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</si>
  <si>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</si>
  <si>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</si>
  <si>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</si>
  <si>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</si>
  <si>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204:464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</si>
  <si>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</si>
  <si>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</si>
  <si>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</si>
  <si>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</si>
  <si>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</si>
  <si>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</si>
  <si>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</si>
  <si>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</si>
  <si>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</si>
  <si>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</si>
  <si>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</si>
  <si>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</si>
  <si>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</si>
  <si>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</si>
  <si>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</si>
  <si>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</si>
  <si>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</si>
  <si>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</si>
  <si>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</si>
  <si>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</si>
  <si>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</si>
  <si>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</si>
  <si>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</si>
  <si>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</si>
  <si>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</si>
  <si>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</si>
  <si>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</si>
  <si>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</si>
  <si>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</si>
  <si>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</si>
  <si>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</si>
  <si>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204:233312</t>
  </si>
  <si>
    <t>ISHMAEL</t>
  </si>
  <si>
    <t>204:469</t>
  </si>
  <si>
    <t>204:458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</si>
  <si>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</si>
  <si>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</si>
  <si>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</si>
  <si>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</si>
  <si>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</si>
  <si>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</si>
  <si>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</si>
  <si>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</si>
  <si>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</si>
  <si>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</si>
  <si>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</si>
  <si>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204:442</t>
  </si>
  <si>
    <t>rtdc.l.rtdc.4028:itc</t>
  </si>
  <si>
    <t>rtdc.l.rtdc.4042:itc</t>
  </si>
  <si>
    <t>rtdc.l.rtdc.4038:itc</t>
  </si>
  <si>
    <t>204:150</t>
  </si>
  <si>
    <t>204:156</t>
  </si>
  <si>
    <t>204:232981</t>
  </si>
  <si>
    <t>204:451</t>
  </si>
  <si>
    <t>204:233291</t>
  </si>
  <si>
    <t>204:154</t>
  </si>
  <si>
    <t>204:232965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</si>
  <si>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</si>
  <si>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</si>
  <si>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</si>
  <si>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</si>
  <si>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</si>
  <si>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</si>
  <si>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</si>
  <si>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</si>
  <si>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</si>
  <si>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</si>
  <si>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</si>
  <si>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</si>
  <si>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</si>
  <si>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</si>
  <si>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</si>
  <si>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</si>
  <si>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</si>
  <si>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rtdc.l.rtdc.4020:itc</t>
  </si>
  <si>
    <t>rtdc.l.rtdc.4019:itc</t>
  </si>
  <si>
    <t>NELSON</t>
  </si>
  <si>
    <t>YANAI</t>
  </si>
  <si>
    <t>313-12</t>
  </si>
  <si>
    <t>204:233295</t>
  </si>
  <si>
    <t>204:446</t>
  </si>
  <si>
    <t>204:152</t>
  </si>
  <si>
    <t>204:475</t>
  </si>
  <si>
    <t>204:233305</t>
  </si>
  <si>
    <t>rtdc.l.rtdc.4043:itc</t>
  </si>
  <si>
    <t>GRADE CROSSING</t>
  </si>
  <si>
    <t>Bulletin (2)</t>
  </si>
  <si>
    <t>rtdc.l.rtdc.4009:itc</t>
  </si>
  <si>
    <t>rtdc.l.rtdc.4010:itc</t>
  </si>
  <si>
    <t>204:232987</t>
  </si>
  <si>
    <t>204:232989</t>
  </si>
  <si>
    <t>204:141</t>
  </si>
  <si>
    <t>204:161</t>
  </si>
  <si>
    <t>OUN</t>
  </si>
  <si>
    <t>CHANDLER</t>
  </si>
  <si>
    <t>Onboard in-route failure</t>
  </si>
  <si>
    <t>204:232991</t>
  </si>
  <si>
    <t>204:232990</t>
  </si>
  <si>
    <t>204:232973</t>
  </si>
  <si>
    <t>204:233314</t>
  </si>
  <si>
    <t>204:233299</t>
  </si>
  <si>
    <t>204:233322</t>
  </si>
  <si>
    <t>204:232980</t>
  </si>
  <si>
    <t>204:437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</si>
  <si>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</si>
  <si>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</si>
  <si>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</si>
  <si>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</si>
  <si>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</si>
  <si>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</si>
  <si>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204:138</t>
  </si>
  <si>
    <t>204:232974</t>
  </si>
  <si>
    <t>204:447</t>
  </si>
  <si>
    <t>204:232982</t>
  </si>
  <si>
    <t>204:233315</t>
  </si>
  <si>
    <t>204:233302</t>
  </si>
  <si>
    <t>204:232969</t>
  </si>
  <si>
    <t>204:233280</t>
  </si>
  <si>
    <t>rtdc.l.rtdc.4026:itc</t>
  </si>
  <si>
    <t>rtdc.l.rtdc.4041:itc</t>
  </si>
  <si>
    <t>rtdc.l.rtdc.4025:itc</t>
  </si>
  <si>
    <t>rtdc.l.rtdc.4007:itc</t>
  </si>
  <si>
    <t>MAELZER</t>
  </si>
  <si>
    <t>MOSES</t>
  </si>
  <si>
    <t>rtdc.l.rtdc.4044:itc</t>
  </si>
  <si>
    <t>204:233297</t>
  </si>
  <si>
    <t>204:160</t>
  </si>
  <si>
    <t>204:233017</t>
  </si>
  <si>
    <t>204:233000</t>
  </si>
  <si>
    <t>204:233293</t>
  </si>
  <si>
    <t>204:232976</t>
  </si>
  <si>
    <t>204:233284</t>
  </si>
  <si>
    <t>204:438</t>
  </si>
  <si>
    <t>204:233323</t>
  </si>
  <si>
    <t>204:130</t>
  </si>
  <si>
    <t>300:23308</t>
  </si>
  <si>
    <t>204:761</t>
  </si>
  <si>
    <t>204:1053</t>
  </si>
  <si>
    <t>MALAVE</t>
  </si>
  <si>
    <t>GEBRETEKLE</t>
  </si>
  <si>
    <t>SANTIZO</t>
  </si>
  <si>
    <t>NEWELL</t>
  </si>
  <si>
    <t>204:723</t>
  </si>
  <si>
    <t>204:232975</t>
  </si>
  <si>
    <t>204:477</t>
  </si>
  <si>
    <t>204:19129</t>
  </si>
  <si>
    <t>204:233309</t>
  </si>
  <si>
    <t>204:232984</t>
  </si>
  <si>
    <t>204:134</t>
  </si>
  <si>
    <t>204:233286</t>
  </si>
  <si>
    <t>204:233308</t>
  </si>
  <si>
    <t>204:232971</t>
  </si>
  <si>
    <t>204:233298</t>
  </si>
  <si>
    <t>204:233334</t>
  </si>
  <si>
    <t>204:232967</t>
  </si>
  <si>
    <t>204:480</t>
  </si>
  <si>
    <t>204:233318</t>
  </si>
  <si>
    <t>204:233288</t>
  </si>
  <si>
    <t>232-19</t>
  </si>
  <si>
    <t>234-19</t>
  </si>
  <si>
    <t>235-19</t>
  </si>
  <si>
    <t>236-19</t>
  </si>
  <si>
    <t>237-19</t>
  </si>
  <si>
    <t>238-19</t>
  </si>
  <si>
    <t>239-19</t>
  </si>
  <si>
    <t>240-19</t>
  </si>
  <si>
    <t>241-19</t>
  </si>
  <si>
    <t>242-19</t>
  </si>
  <si>
    <t>243-19</t>
  </si>
  <si>
    <t>244-19</t>
  </si>
  <si>
    <t>245-19</t>
  </si>
  <si>
    <t>246-19</t>
  </si>
  <si>
    <t>309-19</t>
  </si>
  <si>
    <t>311-19</t>
  </si>
  <si>
    <t>313-19</t>
  </si>
  <si>
    <t>204:1208</t>
  </si>
  <si>
    <t>300:22629</t>
  </si>
  <si>
    <t>315-19</t>
  </si>
  <si>
    <t>204:551</t>
  </si>
  <si>
    <t>300:23304</t>
  </si>
  <si>
    <t>300:58939</t>
  </si>
  <si>
    <t>204:785</t>
  </si>
  <si>
    <t>300:58937</t>
  </si>
  <si>
    <t>300:58619</t>
  </si>
  <si>
    <t>300:58615</t>
  </si>
  <si>
    <t>300:58928</t>
  </si>
  <si>
    <t>300:58611</t>
  </si>
  <si>
    <t>204:747</t>
  </si>
  <si>
    <t>204:841</t>
  </si>
  <si>
    <t>908-19</t>
  </si>
  <si>
    <t>rtdc.l.rtdc.4017:itc</t>
  </si>
  <si>
    <t>rtdc.l.rtdc.4018:itc</t>
  </si>
  <si>
    <t>rtdc.l.rtdc.4003:itc</t>
  </si>
  <si>
    <t>rtdc.l.rtdc.4004:itc</t>
  </si>
  <si>
    <t>DAVIS</t>
  </si>
  <si>
    <t>STEWART</t>
  </si>
  <si>
    <t>MAYBERRY</t>
  </si>
  <si>
    <t>SHOOK</t>
  </si>
  <si>
    <t>Early arrival</t>
  </si>
  <si>
    <t>Form C</t>
  </si>
  <si>
    <t>Wi-MAX outage</t>
  </si>
  <si>
    <t>Pena 4S was STOP, cleared a minute later</t>
  </si>
  <si>
    <t>101-20</t>
  </si>
  <si>
    <t>204:726</t>
  </si>
  <si>
    <t>102-20</t>
  </si>
  <si>
    <t>204:232679</t>
  </si>
  <si>
    <t>103-20</t>
  </si>
  <si>
    <t>204:763</t>
  </si>
  <si>
    <t>104-20</t>
  </si>
  <si>
    <t>204:232633</t>
  </si>
  <si>
    <t>105-20</t>
  </si>
  <si>
    <t>204:693</t>
  </si>
  <si>
    <t>204:233385</t>
  </si>
  <si>
    <t>106-20</t>
  </si>
  <si>
    <t>204:232704</t>
  </si>
  <si>
    <t>107-20</t>
  </si>
  <si>
    <t>204:233317</t>
  </si>
  <si>
    <t>108-20</t>
  </si>
  <si>
    <t>109-20</t>
  </si>
  <si>
    <t>204:460</t>
  </si>
  <si>
    <t>110-20</t>
  </si>
  <si>
    <t>111-20</t>
  </si>
  <si>
    <t>204:755</t>
  </si>
  <si>
    <t>112-20</t>
  </si>
  <si>
    <t>113-20</t>
  </si>
  <si>
    <t>114-20</t>
  </si>
  <si>
    <t>115-20</t>
  </si>
  <si>
    <t>204:768</t>
  </si>
  <si>
    <t>116-20</t>
  </si>
  <si>
    <t>117-20</t>
  </si>
  <si>
    <t>118-20</t>
  </si>
  <si>
    <t>119-20</t>
  </si>
  <si>
    <t>204:19138</t>
  </si>
  <si>
    <t>204:754</t>
  </si>
  <si>
    <t>204:1215</t>
  </si>
  <si>
    <t>120-20</t>
  </si>
  <si>
    <t>121-20</t>
  </si>
  <si>
    <t>204:466</t>
  </si>
  <si>
    <t>122-20</t>
  </si>
  <si>
    <t>204:232961</t>
  </si>
  <si>
    <t>123-20</t>
  </si>
  <si>
    <t>124-20</t>
  </si>
  <si>
    <t>125-20</t>
  </si>
  <si>
    <t>126-20</t>
  </si>
  <si>
    <t>204:232992</t>
  </si>
  <si>
    <t>127-20</t>
  </si>
  <si>
    <t>128-20</t>
  </si>
  <si>
    <t>129-20</t>
  </si>
  <si>
    <t>130-20</t>
  </si>
  <si>
    <t>204:232996</t>
  </si>
  <si>
    <t>131-20</t>
  </si>
  <si>
    <t>132-20</t>
  </si>
  <si>
    <t>133-20</t>
  </si>
  <si>
    <t>204:478</t>
  </si>
  <si>
    <t>134-20</t>
  </si>
  <si>
    <t>204:232986</t>
  </si>
  <si>
    <t>135-20</t>
  </si>
  <si>
    <t>204:233331</t>
  </si>
  <si>
    <t>136-20</t>
  </si>
  <si>
    <t>137-20</t>
  </si>
  <si>
    <t>204:233301</t>
  </si>
  <si>
    <t>138-20</t>
  </si>
  <si>
    <t>139-20</t>
  </si>
  <si>
    <t>204:440</t>
  </si>
  <si>
    <t>140-20</t>
  </si>
  <si>
    <t>204:232983</t>
  </si>
  <si>
    <t>141-20</t>
  </si>
  <si>
    <t>142-20</t>
  </si>
  <si>
    <t>143-20</t>
  </si>
  <si>
    <t>204:473</t>
  </si>
  <si>
    <t>204:233325</t>
  </si>
  <si>
    <t>144-20</t>
  </si>
  <si>
    <t>204:233010</t>
  </si>
  <si>
    <t>204:172</t>
  </si>
  <si>
    <t>145-20</t>
  </si>
  <si>
    <t>146-20</t>
  </si>
  <si>
    <t>147-20</t>
  </si>
  <si>
    <t>204:233306</t>
  </si>
  <si>
    <t>148-20</t>
  </si>
  <si>
    <t>204:163</t>
  </si>
  <si>
    <t>149-20</t>
  </si>
  <si>
    <t>150-20</t>
  </si>
  <si>
    <t>204:232978</t>
  </si>
  <si>
    <t>151-20</t>
  </si>
  <si>
    <t>204:233268</t>
  </si>
  <si>
    <t>152-20</t>
  </si>
  <si>
    <t>153-20</t>
  </si>
  <si>
    <t>154-20</t>
  </si>
  <si>
    <t>204:232950</t>
  </si>
  <si>
    <t>155-20</t>
  </si>
  <si>
    <t>156-20</t>
  </si>
  <si>
    <t>157-20</t>
  </si>
  <si>
    <t>158-20</t>
  </si>
  <si>
    <t>159-20</t>
  </si>
  <si>
    <t>160-20</t>
  </si>
  <si>
    <t>161-20</t>
  </si>
  <si>
    <t>162-20</t>
  </si>
  <si>
    <t>204:233007</t>
  </si>
  <si>
    <t>163-20</t>
  </si>
  <si>
    <t>204:233187</t>
  </si>
  <si>
    <t>164-20</t>
  </si>
  <si>
    <t>204:232857</t>
  </si>
  <si>
    <t>165-20</t>
  </si>
  <si>
    <t>204:233359</t>
  </si>
  <si>
    <t>166-20</t>
  </si>
  <si>
    <t>204:233049</t>
  </si>
  <si>
    <t>204:127</t>
  </si>
  <si>
    <t>167-20</t>
  </si>
  <si>
    <t>168-20</t>
  </si>
  <si>
    <t>169-20</t>
  </si>
  <si>
    <t>170-20</t>
  </si>
  <si>
    <t>171-20</t>
  </si>
  <si>
    <t>172-20</t>
  </si>
  <si>
    <t>173-20</t>
  </si>
  <si>
    <t>204:489</t>
  </si>
  <si>
    <t>174-20</t>
  </si>
  <si>
    <t>175-20</t>
  </si>
  <si>
    <t>204:233287</t>
  </si>
  <si>
    <t>176-20</t>
  </si>
  <si>
    <t>177-20</t>
  </si>
  <si>
    <t>178-20</t>
  </si>
  <si>
    <t>204:129</t>
  </si>
  <si>
    <t>179-20</t>
  </si>
  <si>
    <t>204:233368</t>
  </si>
  <si>
    <t>180-20</t>
  </si>
  <si>
    <t>204:233055</t>
  </si>
  <si>
    <t>1800-20</t>
  </si>
  <si>
    <t>300:58638</t>
  </si>
  <si>
    <t>1801-20</t>
  </si>
  <si>
    <t>204:1097</t>
  </si>
  <si>
    <t>1802-20</t>
  </si>
  <si>
    <t>1803-20</t>
  </si>
  <si>
    <t>204:1060</t>
  </si>
  <si>
    <t>1804-20</t>
  </si>
  <si>
    <t>300:58632</t>
  </si>
  <si>
    <t>204:790</t>
  </si>
  <si>
    <t>1805-20</t>
  </si>
  <si>
    <t>204:1069</t>
  </si>
  <si>
    <t>300:58944</t>
  </si>
  <si>
    <t>1806-20</t>
  </si>
  <si>
    <t>300:58630</t>
  </si>
  <si>
    <t>204:787</t>
  </si>
  <si>
    <t>1807-20</t>
  </si>
  <si>
    <t>300:58948</t>
  </si>
  <si>
    <t>1808-20</t>
  </si>
  <si>
    <t>300:58634</t>
  </si>
  <si>
    <t>1809-20</t>
  </si>
  <si>
    <t>204:1076</t>
  </si>
  <si>
    <t>181-20</t>
  </si>
  <si>
    <t>1810-20</t>
  </si>
  <si>
    <t>204:801</t>
  </si>
  <si>
    <t>1811-20</t>
  </si>
  <si>
    <t>204:1109</t>
  </si>
  <si>
    <t>300:58931</t>
  </si>
  <si>
    <t>1812-20</t>
  </si>
  <si>
    <t>1813-20</t>
  </si>
  <si>
    <t>204:1105</t>
  </si>
  <si>
    <t>300:58924</t>
  </si>
  <si>
    <t>1814-20</t>
  </si>
  <si>
    <t>300:58609</t>
  </si>
  <si>
    <t>204:815</t>
  </si>
  <si>
    <t>1815-20</t>
  </si>
  <si>
    <t>204:1118</t>
  </si>
  <si>
    <t>1816-20</t>
  </si>
  <si>
    <t>300:58623</t>
  </si>
  <si>
    <t>1817-20</t>
  </si>
  <si>
    <t>204:1135</t>
  </si>
  <si>
    <t>300:58933</t>
  </si>
  <si>
    <t>1818-20</t>
  </si>
  <si>
    <t>204:738</t>
  </si>
  <si>
    <t>1819-20</t>
  </si>
  <si>
    <t>204:1016</t>
  </si>
  <si>
    <t>182-20</t>
  </si>
  <si>
    <t>1820-20</t>
  </si>
  <si>
    <t>204:748</t>
  </si>
  <si>
    <t>1821-20</t>
  </si>
  <si>
    <t>204:1044</t>
  </si>
  <si>
    <t>300:58888</t>
  </si>
  <si>
    <t>1822-20</t>
  </si>
  <si>
    <t>300:58583</t>
  </si>
  <si>
    <t>1823-20</t>
  </si>
  <si>
    <t>204:1027</t>
  </si>
  <si>
    <t>300:58899</t>
  </si>
  <si>
    <t>1824-20</t>
  </si>
  <si>
    <t>300:58577</t>
  </si>
  <si>
    <t>300:48153</t>
  </si>
  <si>
    <t>1825-20</t>
  </si>
  <si>
    <t>204:1013</t>
  </si>
  <si>
    <t>300:22603</t>
  </si>
  <si>
    <t>1826-20</t>
  </si>
  <si>
    <t>300:58604</t>
  </si>
  <si>
    <t>204:701</t>
  </si>
  <si>
    <t>1827-20</t>
  </si>
  <si>
    <t>204:1004</t>
  </si>
  <si>
    <t>300:58896</t>
  </si>
  <si>
    <t>1828-20</t>
  </si>
  <si>
    <t>204:733</t>
  </si>
  <si>
    <t>1829-20</t>
  </si>
  <si>
    <t>204:1025</t>
  </si>
  <si>
    <t>300:58822</t>
  </si>
  <si>
    <t>183-20</t>
  </si>
  <si>
    <t>1830-20</t>
  </si>
  <si>
    <t>300:58534</t>
  </si>
  <si>
    <t>204:750</t>
  </si>
  <si>
    <t>1831-20</t>
  </si>
  <si>
    <t>204:1035</t>
  </si>
  <si>
    <t>300:58862</t>
  </si>
  <si>
    <t>1832-20</t>
  </si>
  <si>
    <t>300:58540</t>
  </si>
  <si>
    <t>204:663</t>
  </si>
  <si>
    <t>1833-20</t>
  </si>
  <si>
    <t>204:962</t>
  </si>
  <si>
    <t>300:58865</t>
  </si>
  <si>
    <t>184-20</t>
  </si>
  <si>
    <t>185-20</t>
  </si>
  <si>
    <t>204:233303</t>
  </si>
  <si>
    <t>186-20</t>
  </si>
  <si>
    <t>187-20</t>
  </si>
  <si>
    <t>188-20</t>
  </si>
  <si>
    <t>204:167</t>
  </si>
  <si>
    <t>189-20</t>
  </si>
  <si>
    <t>190-20</t>
  </si>
  <si>
    <t>204:136</t>
  </si>
  <si>
    <t>1902-20</t>
  </si>
  <si>
    <t>300:58559</t>
  </si>
  <si>
    <t>300:21676</t>
  </si>
  <si>
    <t>191-20</t>
  </si>
  <si>
    <t>204:427</t>
  </si>
  <si>
    <t>204:233340</t>
  </si>
  <si>
    <t>192-20</t>
  </si>
  <si>
    <t>204:233027</t>
  </si>
  <si>
    <t>193-20</t>
  </si>
  <si>
    <t>204:233372</t>
  </si>
  <si>
    <t>194-20</t>
  </si>
  <si>
    <t>204:233023</t>
  </si>
  <si>
    <t>195-20</t>
  </si>
  <si>
    <t>196-20</t>
  </si>
  <si>
    <t>204:233002</t>
  </si>
  <si>
    <t>197-20</t>
  </si>
  <si>
    <t>204:482</t>
  </si>
  <si>
    <t>198-20</t>
  </si>
  <si>
    <t>199-20</t>
  </si>
  <si>
    <t>200-20</t>
  </si>
  <si>
    <t>201-20</t>
  </si>
  <si>
    <t>202-20</t>
  </si>
  <si>
    <t>203-20</t>
  </si>
  <si>
    <t>204:233321</t>
  </si>
  <si>
    <t>204-20</t>
  </si>
  <si>
    <t>205-20</t>
  </si>
  <si>
    <t>204:233376</t>
  </si>
  <si>
    <t>206-20</t>
  </si>
  <si>
    <t>204:233026</t>
  </si>
  <si>
    <t>207-20</t>
  </si>
  <si>
    <t>204:233383</t>
  </si>
  <si>
    <t>208-20</t>
  </si>
  <si>
    <t>204:233070</t>
  </si>
  <si>
    <t>209-20</t>
  </si>
  <si>
    <t>204:233282</t>
  </si>
  <si>
    <t>210-20</t>
  </si>
  <si>
    <t>211-20</t>
  </si>
  <si>
    <t>204:233283</t>
  </si>
  <si>
    <t>212-20</t>
  </si>
  <si>
    <t>204:232970</t>
  </si>
  <si>
    <t>204:180</t>
  </si>
  <si>
    <t>213-20</t>
  </si>
  <si>
    <t>214-20</t>
  </si>
  <si>
    <t>215-20</t>
  </si>
  <si>
    <t>216-20</t>
  </si>
  <si>
    <t>217-20</t>
  </si>
  <si>
    <t>218-20</t>
  </si>
  <si>
    <t>219-20</t>
  </si>
  <si>
    <t>220-20</t>
  </si>
  <si>
    <t>204:214</t>
  </si>
  <si>
    <t>221-20</t>
  </si>
  <si>
    <t>222-20</t>
  </si>
  <si>
    <t>223-20</t>
  </si>
  <si>
    <t>204:433</t>
  </si>
  <si>
    <t>204:46534</t>
  </si>
  <si>
    <t>204:64692</t>
  </si>
  <si>
    <t>204:233337</t>
  </si>
  <si>
    <t>224-20</t>
  </si>
  <si>
    <t>225-20</t>
  </si>
  <si>
    <t>226-20</t>
  </si>
  <si>
    <t>204:256</t>
  </si>
  <si>
    <t>227-20</t>
  </si>
  <si>
    <t>204:539</t>
  </si>
  <si>
    <t>228-20</t>
  </si>
  <si>
    <t>204:233021</t>
  </si>
  <si>
    <t>229-20</t>
  </si>
  <si>
    <t>230-20</t>
  </si>
  <si>
    <t>231-20</t>
  </si>
  <si>
    <t>204:233311</t>
  </si>
  <si>
    <t>232-20</t>
  </si>
  <si>
    <t>233-20</t>
  </si>
  <si>
    <t>234-20</t>
  </si>
  <si>
    <t>235-20</t>
  </si>
  <si>
    <t>204:431</t>
  </si>
  <si>
    <t>204:233316</t>
  </si>
  <si>
    <t>236-20</t>
  </si>
  <si>
    <t>237-20</t>
  </si>
  <si>
    <t>238-20</t>
  </si>
  <si>
    <t>239-20</t>
  </si>
  <si>
    <t>240-20</t>
  </si>
  <si>
    <t>241-20</t>
  </si>
  <si>
    <t>242-20</t>
  </si>
  <si>
    <t>243-20</t>
  </si>
  <si>
    <t>244-20</t>
  </si>
  <si>
    <t>204:189</t>
  </si>
  <si>
    <t>245-20</t>
  </si>
  <si>
    <t>246-20</t>
  </si>
  <si>
    <t>302-20</t>
  </si>
  <si>
    <t>300:23146</t>
  </si>
  <si>
    <t>300:25124</t>
  </si>
  <si>
    <t>300:24536</t>
  </si>
  <si>
    <t>311-20</t>
  </si>
  <si>
    <t>300:22843</t>
  </si>
  <si>
    <t>313-20</t>
  </si>
  <si>
    <t>315-20</t>
  </si>
  <si>
    <t>66-20</t>
  </si>
  <si>
    <t>300:24388</t>
  </si>
  <si>
    <t>300:23873</t>
  </si>
  <si>
    <t>SWITCH UNKNOWN</t>
  </si>
  <si>
    <t>Track device (7)</t>
  </si>
  <si>
    <t>308-20</t>
  </si>
  <si>
    <t>ACKERMAN</t>
  </si>
  <si>
    <t>KILLION</t>
  </si>
  <si>
    <t>STORY</t>
  </si>
  <si>
    <t>YORK</t>
  </si>
  <si>
    <t>BEAM</t>
  </si>
  <si>
    <t>BARTLETT</t>
  </si>
  <si>
    <t>BRUDER</t>
  </si>
  <si>
    <t>WEBSTER</t>
  </si>
  <si>
    <t>303-20</t>
  </si>
  <si>
    <t>307-20</t>
  </si>
  <si>
    <t>305-20</t>
  </si>
  <si>
    <t>HOMIK</t>
  </si>
  <si>
    <t>309-20</t>
  </si>
  <si>
    <t>Link failure at ML0816</t>
  </si>
  <si>
    <t>DUS 2N was STOP, was not cleared until after train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</si>
</sst>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2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19"/>
  <sheetViews>
    <sheetView zoomScaleNormal="100" workbookViewId="0"/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2" customWidth="1"/>
    <col min="22" max="22" width="5.7109375" style="108" customWidth="1"/>
    <col min="23" max="23" width="3.85546875" style="23" customWidth="1"/>
    <col min="24" max="24" width="5.28515625" style="126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1" customWidth="1"/>
    <col min="32" max="32" width="6.28515625" style="98" customWidth="1"/>
    <col min="33" max="33" width="5.42578125" customWidth="1"/>
    <col min="34" max="34" width="5" style="104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126</v>
      </c>
      <c r="J1" s="44"/>
      <c r="K1" s="31"/>
      <c r="L1" s="31"/>
      <c r="M1" s="43"/>
      <c r="N1" s="44"/>
      <c r="O1" s="2"/>
      <c r="P1" s="2"/>
      <c r="R1" s="41" t="s">
        <v>127</v>
      </c>
      <c r="S1" s="44"/>
      <c r="T1" s="31"/>
      <c r="U1" s="129"/>
      <c r="V1" s="43"/>
      <c r="W1" s="44"/>
      <c r="X1" s="122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2">
        <f>Variables!$A$2</f>
        <v>42602</v>
      </c>
      <c r="J2" s="83"/>
      <c r="K2" s="84"/>
      <c r="L2" s="84"/>
      <c r="M2" s="85" t="s">
        <v>8</v>
      </c>
      <c r="N2" s="86"/>
      <c r="O2" s="87"/>
      <c r="P2" s="2"/>
      <c r="R2" s="82">
        <f>Variables!$A$2</f>
        <v>42602</v>
      </c>
      <c r="S2" s="83"/>
      <c r="T2" s="84"/>
      <c r="U2" s="130"/>
      <c r="V2" s="106" t="s">
        <v>8</v>
      </c>
      <c r="W2" s="86"/>
      <c r="X2" s="123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8" t="s">
        <v>10</v>
      </c>
      <c r="J3" s="89"/>
      <c r="K3" s="90"/>
      <c r="L3" s="90"/>
      <c r="M3" s="45" t="s">
        <v>11</v>
      </c>
      <c r="N3" s="46" t="s">
        <v>12</v>
      </c>
      <c r="O3" s="3" t="s">
        <v>13</v>
      </c>
      <c r="P3" s="2"/>
      <c r="R3" s="88" t="s">
        <v>10</v>
      </c>
      <c r="S3" s="89"/>
      <c r="T3" s="90"/>
      <c r="U3" s="131"/>
      <c r="V3" s="45" t="s">
        <v>11</v>
      </c>
      <c r="W3" s="46" t="s">
        <v>12</v>
      </c>
      <c r="X3" s="124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1" t="s">
        <v>14</v>
      </c>
      <c r="J4" s="58">
        <f>SUM(J5:J7)</f>
        <v>146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1" t="s">
        <v>14</v>
      </c>
      <c r="S4" s="58">
        <f>SUM(S5:S7)</f>
        <v>34</v>
      </c>
      <c r="T4" s="47"/>
      <c r="U4" s="132"/>
      <c r="V4" s="48" t="s">
        <v>15</v>
      </c>
      <c r="W4" s="46" t="s">
        <v>15</v>
      </c>
      <c r="X4" s="124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1" t="s">
        <v>17</v>
      </c>
      <c r="J5" s="58">
        <f>COUNTIFS($N$13:$N$9374,"&gt;0",$AG$13:$AG$9374,I1)</f>
        <v>143</v>
      </c>
      <c r="K5" s="47"/>
      <c r="L5" s="47"/>
      <c r="M5" s="48">
        <f>AVERAGEIFS($N$13:$N$9374,$AG$13:$AG$9374,I1)</f>
        <v>43.544289044477374</v>
      </c>
      <c r="N5" s="46">
        <f t="array" ref="N5">MIN(IF($AG$13:$AG$9374=I1,IF(ISNUMBER($N$13:$N$9374),IF($N$13:$N$9374&gt;0,$N$13:$N$9374))))</f>
        <v>35.783333326689899</v>
      </c>
      <c r="O5" s="3">
        <f t="array" ref="O5">MAX(IF($AG$13:$AG$9374=I1,IF(ISNUMBER($N$13:$N$9374),IF($N$13:$N$9374&gt;0,$N$13:$N$9374))))</f>
        <v>58.899999990826473</v>
      </c>
      <c r="P5" s="2"/>
      <c r="R5" s="91" t="s">
        <v>17</v>
      </c>
      <c r="S5" s="58">
        <f>COUNTIFS($N$13:$N$9374,"&gt;0",$AG$13:$AG$9374,R1)</f>
        <v>33</v>
      </c>
      <c r="T5" s="47"/>
      <c r="U5" s="132"/>
      <c r="V5" s="48">
        <f>AVERAGEIFS($N$13:$N$9374,$AG$13:$AG$9374,R1)</f>
        <v>27.058080806799065</v>
      </c>
      <c r="W5" s="46">
        <f t="array" ref="W5">MIN(IF($AG$13:$AG$9374=R1,IF(ISNUMBER($N$13:$N$9374),IF($N$13:$N$9374&gt;0,$N$13:$N$9374))))</f>
        <v>14.449999993667006</v>
      </c>
      <c r="X5" s="124">
        <f t="array" ref="X5">MAX(IF($AG$13:$AG$9374=R1,IF(ISNUMBER($N$13:$N$9374),IF($N$13:$N$9374&gt;0,$N$13:$N$9374))))</f>
        <v>77.983333332231268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2" t="s">
        <v>43</v>
      </c>
      <c r="J6" s="58">
        <f>COUNT($O$13:$O$129)</f>
        <v>0</v>
      </c>
      <c r="K6" s="47"/>
      <c r="L6" s="47"/>
      <c r="M6" s="48">
        <f>IFERROR(AVERAGE($O$13:$O$129),0)</f>
        <v>0</v>
      </c>
      <c r="N6" s="46">
        <f>MIN($O$13:$O$129)</f>
        <v>0</v>
      </c>
      <c r="O6" s="3">
        <f>MAX($O$13:$O$129)</f>
        <v>0</v>
      </c>
      <c r="P6" s="2"/>
      <c r="R6" s="92" t="s">
        <v>43</v>
      </c>
      <c r="S6" s="58">
        <f>COUNT($O$13:$O$129)</f>
        <v>0</v>
      </c>
      <c r="T6" s="47"/>
      <c r="U6" s="132"/>
      <c r="V6" s="48">
        <f>IFERROR(AVERAGE($O$13:$O$129),0)</f>
        <v>0</v>
      </c>
      <c r="W6" s="46">
        <f>MIN($O$13:$O$129)</f>
        <v>0</v>
      </c>
      <c r="X6" s="124">
        <f>MAX($O$13:$O$129)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3" t="s">
        <v>9</v>
      </c>
      <c r="J7" s="58">
        <f>COUNTIFS($P$13:$P$9374,"&gt;0",$AG$13:$AG$9374,I1)</f>
        <v>3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3" t="s">
        <v>9</v>
      </c>
      <c r="S7" s="58">
        <f>COUNTIFS($P$13:$P$9374,"&gt;0",$AG$13:$AG$9374,R1)</f>
        <v>1</v>
      </c>
      <c r="T7" s="47"/>
      <c r="U7" s="132"/>
      <c r="V7" s="48" t="s">
        <v>15</v>
      </c>
      <c r="W7" s="46" t="s">
        <v>15</v>
      </c>
      <c r="X7" s="124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1" t="s">
        <v>16</v>
      </c>
      <c r="J8" s="58">
        <f>J5</f>
        <v>143</v>
      </c>
      <c r="K8" s="47"/>
      <c r="L8" s="47"/>
      <c r="M8" s="48">
        <f>M5</f>
        <v>43.544289044477374</v>
      </c>
      <c r="N8" s="46">
        <f>N5</f>
        <v>35.783333326689899</v>
      </c>
      <c r="O8" s="3">
        <f>O5</f>
        <v>58.899999990826473</v>
      </c>
      <c r="P8" s="2"/>
      <c r="R8" s="91" t="s">
        <v>16</v>
      </c>
      <c r="S8" s="58">
        <f>S5</f>
        <v>33</v>
      </c>
      <c r="T8" s="47"/>
      <c r="U8" s="132"/>
      <c r="V8" s="48">
        <f>V5</f>
        <v>27.058080806799065</v>
      </c>
      <c r="W8" s="46">
        <f>W5</f>
        <v>14.449999993667006</v>
      </c>
      <c r="X8" s="124">
        <f>X5</f>
        <v>77.983333332231268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1" t="s">
        <v>19</v>
      </c>
      <c r="J9" s="72">
        <f>J8/J4</f>
        <v>0.97945205479452058</v>
      </c>
      <c r="K9" s="49"/>
      <c r="L9" s="49"/>
      <c r="M9" s="94"/>
      <c r="N9" s="44"/>
      <c r="O9" s="95"/>
      <c r="P9" s="2"/>
      <c r="R9" s="91" t="s">
        <v>19</v>
      </c>
      <c r="S9" s="72">
        <f>S8/S4</f>
        <v>0.97058823529411764</v>
      </c>
      <c r="T9" s="49"/>
      <c r="U9" s="129"/>
      <c r="V9" s="94"/>
      <c r="W9" s="44"/>
      <c r="X9" s="125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2"/>
      <c r="V10" s="107"/>
      <c r="W10" s="23"/>
      <c r="X10" s="126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49" t="str">
        <f>"Eagle P3 System Performance - "&amp;TEXT(Variables!A2,"yyyy-mm-dd")</f>
        <v>Eagle P3 System Performance - 2016-08-20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S11" s="76">
        <f>AVERAGE(S13:S85)</f>
        <v>1</v>
      </c>
      <c r="V11" s="107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7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70</v>
      </c>
      <c r="T12" s="57" t="s">
        <v>71</v>
      </c>
      <c r="U12" s="133" t="s">
        <v>72</v>
      </c>
      <c r="V12" s="109" t="s">
        <v>45</v>
      </c>
      <c r="W12" s="54" t="s">
        <v>23</v>
      </c>
      <c r="X12" s="127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96</v>
      </c>
      <c r="AE12" s="102" t="s">
        <v>103</v>
      </c>
      <c r="AF12" s="99" t="s">
        <v>108</v>
      </c>
      <c r="AG12" s="4" t="s">
        <v>128</v>
      </c>
      <c r="AH12" s="105" t="s">
        <v>132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314</v>
      </c>
      <c r="B13" s="7">
        <v>4027</v>
      </c>
      <c r="C13" s="25" t="s">
        <v>116</v>
      </c>
      <c r="D13" s="25" t="s">
        <v>315</v>
      </c>
      <c r="E13" s="16">
        <v>42602.142847222225</v>
      </c>
      <c r="F13" s="16">
        <v>42602.143761574072</v>
      </c>
      <c r="G13" s="7">
        <v>1</v>
      </c>
      <c r="H13" s="16" t="s">
        <v>265</v>
      </c>
      <c r="I13" s="16">
        <v>42602.170231481483</v>
      </c>
      <c r="J13" s="7">
        <v>0</v>
      </c>
      <c r="K13" s="141" t="str">
        <f t="shared" ref="K13:K44" si="0">IF(ISEVEN(B13),(B13-1)&amp;"/"&amp;B13,B13&amp;"/"&amp;(B13+1))</f>
        <v>4027/4028</v>
      </c>
      <c r="L13" s="25" t="str">
        <f>VLOOKUP(A13,'Trips&amp;Operators'!$C$1:$E$10000,3,FALSE)</f>
        <v>MAELZER</v>
      </c>
      <c r="M13" s="6">
        <f t="shared" ref="M13:M44" si="1">I13-F13</f>
        <v>2.6469907410501037E-2</v>
      </c>
      <c r="N13" s="7">
        <f t="shared" ref="N13:N30" si="2">24*60*SUM($M13:$M13)</f>
        <v>38.116666671121493</v>
      </c>
      <c r="O13" s="7"/>
      <c r="P13" s="7"/>
      <c r="Q13" s="26"/>
      <c r="R13" s="26"/>
      <c r="S13" s="38">
        <f t="shared" ref="S13:S31" si="3">SUM(U13:U13)/IF(AG13="EC",12,1)</f>
        <v>1</v>
      </c>
      <c r="T13" s="53" t="str">
        <f t="shared" ref="T13:T44" si="4">IF(ISEVEN(LEFT(AD13,4)),"Southbound","NorthBound")</f>
        <v>NorthBound</v>
      </c>
      <c r="U13" s="13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0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https://search-rtdc-monitor-bjffxe2xuh6vdkpspy63sjmuny.us-east-1.es.amazonaws.com/_plugin/kibana/#/discover/Steve-Slow-Train-Analysis-(2080s-and-2083s)?_g=(refreshInterval:(display:Off,section:0,value:0),time:(from:'2016-08-20 02:25:42-0600',mode:absolute,to:'2016-08-20 05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" s="55" t="str">
        <f t="shared" ref="W13:W44" si="6">IF(AA13&lt;IF(AG13="EC",23,5.65),"Y","N")</f>
        <v>N</v>
      </c>
      <c r="X13" s="128" t="e">
        <f t="shared" ref="X13:X38" si="7">VALUE(LEFT(AD13,4))-VALUE(LEFT(AD12,4))</f>
        <v>#VALUE!</v>
      </c>
      <c r="Y13" s="70">
        <f t="shared" ref="Y13:Y44" si="8">RIGHT(D13,LEN(D13)-4)/10000</f>
        <v>7.2599999999999998E-2</v>
      </c>
      <c r="Z13" s="70">
        <f t="shared" ref="Z13:Z44" si="9">RIGHT(H13,LEN(H13)-4)/10000</f>
        <v>23.333400000000001</v>
      </c>
      <c r="AA13" s="70">
        <f t="shared" ref="AA13:AA44" si="10">ABS(Z13-Y13)</f>
        <v>23.2608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44" si="11">IF(LEN(A13)=6,"0"&amp;A13,A13)</f>
        <v>0101-20</v>
      </c>
      <c r="AE13" s="103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13" s="100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/stypes="*4027*20160820*" /stext=" 10:.+((SYSTEM_STATE.+slice.+state.+changed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4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101-20 --locoid 4027 --swversion DE.1.0.7.0 --startMP 204:726 --initTime 2016-08-20T03:25:42 --startdatetime 2016-08-20T03:27:01 --delay 1 --endMP 204:233334 --enddatetime 2016-08-20T04:05:08 --enforcementcount 0</v>
      </c>
    </row>
    <row r="14" spans="1:91" s="1" customFormat="1" x14ac:dyDescent="0.25">
      <c r="A14" s="40" t="s">
        <v>316</v>
      </c>
      <c r="B14" s="7">
        <v>4043</v>
      </c>
      <c r="C14" s="25" t="s">
        <v>116</v>
      </c>
      <c r="D14" s="25" t="s">
        <v>317</v>
      </c>
      <c r="E14" s="16">
        <v>42602.172094907408</v>
      </c>
      <c r="F14" s="16">
        <v>42602.172974537039</v>
      </c>
      <c r="G14" s="7">
        <v>1</v>
      </c>
      <c r="H14" s="16" t="s">
        <v>246</v>
      </c>
      <c r="I14" s="16">
        <v>42602.202824074076</v>
      </c>
      <c r="J14" s="7">
        <v>0</v>
      </c>
      <c r="K14" s="141" t="str">
        <f t="shared" si="0"/>
        <v>4043/4044</v>
      </c>
      <c r="L14" s="25" t="str">
        <f>VLOOKUP(A14,'Trips&amp;Operators'!$C$1:$E$10000,3,FALSE)</f>
        <v>MAELZER</v>
      </c>
      <c r="M14" s="6">
        <f t="shared" si="1"/>
        <v>2.9849537037080154E-2</v>
      </c>
      <c r="N14" s="7">
        <f t="shared" si="2"/>
        <v>42.983333333395422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03:07:49-0600',mode:absolute,to:'2016-08-20 05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" s="55" t="str">
        <f t="shared" si="6"/>
        <v>N</v>
      </c>
      <c r="X14" s="128">
        <f t="shared" si="7"/>
        <v>1</v>
      </c>
      <c r="Y14" s="70">
        <f t="shared" si="8"/>
        <v>23.267900000000001</v>
      </c>
      <c r="Z14" s="70">
        <f t="shared" si="9"/>
        <v>1.2999999999999999E-2</v>
      </c>
      <c r="AA14" s="70">
        <f t="shared" si="10"/>
        <v>23.254899999999999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1"/>
        <v>0102-20</v>
      </c>
      <c r="AE14" s="103" t="str">
        <f t="shared" si="12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14" s="100" t="str">
        <f t="shared" si="13"/>
        <v>"C:\Program Files (x86)\AstroGrep\AstroGrep.exe" /spath="%USERPROFILE%\AppData\Local\Temp\OnboardLogs" /stypes="*4043*20160820*"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4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102-20 --locoid 4043 --swversion DE.1.0.7.0 --startMP 204:232679 --initTime 2016-08-20T04:07:49 --startdatetime 2016-08-20T04:09:05 --delay 1 --endMP 204:130 --enddatetime 2016-08-20T04:52:04 --enforcementcount 0</v>
      </c>
    </row>
    <row r="15" spans="1:91" s="1" customFormat="1" x14ac:dyDescent="0.25">
      <c r="A15" s="40" t="s">
        <v>318</v>
      </c>
      <c r="B15" s="7">
        <v>4009</v>
      </c>
      <c r="C15" s="25" t="s">
        <v>116</v>
      </c>
      <c r="D15" s="25" t="s">
        <v>319</v>
      </c>
      <c r="E15" s="16">
        <v>42602.159363425926</v>
      </c>
      <c r="F15" s="16">
        <v>42602.160370370373</v>
      </c>
      <c r="G15" s="7">
        <v>1</v>
      </c>
      <c r="H15" s="16" t="s">
        <v>269</v>
      </c>
      <c r="I15" s="16">
        <v>42602.187893518516</v>
      </c>
      <c r="J15" s="7">
        <v>0</v>
      </c>
      <c r="K15" s="141" t="str">
        <f t="shared" si="0"/>
        <v>4009/4010</v>
      </c>
      <c r="L15" s="25" t="str">
        <f>VLOOKUP(A15,'Trips&amp;Operators'!$C$1:$E$10000,3,FALSE)</f>
        <v>MALAVE</v>
      </c>
      <c r="M15" s="6">
        <f t="shared" si="1"/>
        <v>2.7523148142790888E-2</v>
      </c>
      <c r="N15" s="7">
        <f t="shared" si="2"/>
        <v>39.633333325618878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02:49:29-0600',mode:absolute,to:'2016-08-20 05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" s="55" t="str">
        <f t="shared" si="6"/>
        <v>N</v>
      </c>
      <c r="X15" s="128">
        <f t="shared" si="7"/>
        <v>1</v>
      </c>
      <c r="Y15" s="70">
        <f t="shared" si="8"/>
        <v>7.6300000000000007E-2</v>
      </c>
      <c r="Z15" s="70">
        <f t="shared" si="9"/>
        <v>23.328800000000001</v>
      </c>
      <c r="AA15" s="70">
        <f t="shared" si="10"/>
        <v>23.252500000000001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1"/>
        <v>0103-20</v>
      </c>
      <c r="AE15" s="103" t="str">
        <f t="shared" si="12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5" s="100" t="str">
        <f t="shared" si="13"/>
        <v>"C:\Program Files (x86)\AstroGrep\AstroGrep.exe" /spath="%USERPROFILE%\AppData\Local\Temp\OnboardLogs" /stypes="*4009*20160820*"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4" t="str">
        <f t="shared" si="16"/>
        <v>"%USERPROFILE%\Documents\GitHub\eaglep3\Utilities\RefineRTDCRunTimes.py" --tripid 103-20 --locoid 4009 --swversion DE.1.0.7.0 --startMP 204:763 --initTime 2016-08-20T03:49:29 --startdatetime 2016-08-20T03:50:56 --delay 1 --endMP 204:233288 --enddatetime 2016-08-20T04:30:34 --enforcementcount 0</v>
      </c>
    </row>
    <row r="16" spans="1:91" s="1" customFormat="1" x14ac:dyDescent="0.25">
      <c r="A16" s="40" t="s">
        <v>320</v>
      </c>
      <c r="B16" s="7">
        <v>4017</v>
      </c>
      <c r="C16" s="25" t="s">
        <v>116</v>
      </c>
      <c r="D16" s="25" t="s">
        <v>321</v>
      </c>
      <c r="E16" s="16">
        <v>42602.190925925926</v>
      </c>
      <c r="F16" s="16">
        <v>42602.192499999997</v>
      </c>
      <c r="G16" s="7">
        <v>2</v>
      </c>
      <c r="H16" s="16" t="s">
        <v>137</v>
      </c>
      <c r="I16" s="16">
        <v>42602.224236111113</v>
      </c>
      <c r="J16" s="7">
        <v>0</v>
      </c>
      <c r="K16" s="141" t="str">
        <f t="shared" si="0"/>
        <v>4017/4018</v>
      </c>
      <c r="L16" s="25" t="str">
        <f>VLOOKUP(A16,'Trips&amp;Operators'!$C$1:$E$10000,3,FALSE)</f>
        <v>MALAVE</v>
      </c>
      <c r="M16" s="6">
        <f t="shared" si="1"/>
        <v>3.1736111115606036E-2</v>
      </c>
      <c r="N16" s="7">
        <f t="shared" si="2"/>
        <v>45.700000006472692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03:34:56-0600',mode:absolute,to:'2016-08-20 06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" s="55" t="str">
        <f t="shared" si="6"/>
        <v>N</v>
      </c>
      <c r="X16" s="128">
        <f t="shared" si="7"/>
        <v>1</v>
      </c>
      <c r="Y16" s="70">
        <f t="shared" si="8"/>
        <v>23.263300000000001</v>
      </c>
      <c r="Z16" s="70">
        <f t="shared" si="9"/>
        <v>1.47E-2</v>
      </c>
      <c r="AA16" s="70">
        <f t="shared" si="10"/>
        <v>23.2486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si="11"/>
        <v>0104-20</v>
      </c>
      <c r="AE16" s="103" t="str">
        <f t="shared" si="12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16" s="100" t="str">
        <f t="shared" si="13"/>
        <v>"C:\Program Files (x86)\AstroGrep\AstroGrep.exe" /spath="%USERPROFILE%\AppData\Local\Temp\OnboardLogs" /stypes="*4017*20160820*"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4" t="str">
        <f t="shared" si="16"/>
        <v>"%USERPROFILE%\Documents\GitHub\eaglep3\Utilities\RefineRTDCRunTimes.py" --tripid 104-20 --locoid 4017 --swversion DE.1.0.7.0 --startMP 204:232633 --initTime 2016-08-20T04:34:56 --startdatetime 2016-08-20T04:37:12 --delay 2 --endMP 204:147 --enddatetime 2016-08-20T05:22:54 --enforcementcount 0</v>
      </c>
    </row>
    <row r="17" spans="1:34" s="1" customFormat="1" x14ac:dyDescent="0.25">
      <c r="A17" s="40" t="s">
        <v>322</v>
      </c>
      <c r="B17" s="7">
        <v>4031</v>
      </c>
      <c r="C17" s="25" t="s">
        <v>116</v>
      </c>
      <c r="D17" s="25" t="s">
        <v>323</v>
      </c>
      <c r="E17" s="16">
        <v>42602.182002314818</v>
      </c>
      <c r="F17" s="16">
        <v>42602.183055555557</v>
      </c>
      <c r="G17" s="7">
        <v>1</v>
      </c>
      <c r="H17" s="16" t="s">
        <v>324</v>
      </c>
      <c r="I17" s="16">
        <v>42602.209606481483</v>
      </c>
      <c r="J17" s="7">
        <v>0</v>
      </c>
      <c r="K17" s="141" t="str">
        <f t="shared" si="0"/>
        <v>4031/4032</v>
      </c>
      <c r="L17" s="25" t="str">
        <f>VLOOKUP(A17,'Trips&amp;Operators'!$C$1:$E$10000,3,FALSE)</f>
        <v>ACKERMAN</v>
      </c>
      <c r="M17" s="6">
        <f t="shared" si="1"/>
        <v>2.6550925926130731E-2</v>
      </c>
      <c r="N17" s="7">
        <f t="shared" si="2"/>
        <v>38.233333333628252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03:22:05-0600',mode:absolute,to:'2016-08-20 06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7" s="55" t="str">
        <f t="shared" si="6"/>
        <v>N</v>
      </c>
      <c r="X17" s="128">
        <f t="shared" si="7"/>
        <v>1</v>
      </c>
      <c r="Y17" s="70">
        <f t="shared" si="8"/>
        <v>6.93E-2</v>
      </c>
      <c r="Z17" s="70">
        <f t="shared" si="9"/>
        <v>23.3385</v>
      </c>
      <c r="AA17" s="70">
        <f t="shared" si="10"/>
        <v>23.269200000000001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1"/>
        <v>0105-20</v>
      </c>
      <c r="AE17" s="103" t="str">
        <f t="shared" si="12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17" s="100" t="str">
        <f t="shared" si="13"/>
        <v>"C:\Program Files (x86)\AstroGrep\AstroGrep.exe" /spath="%USERPROFILE%\AppData\Local\Temp\OnboardLogs" /stypes="*4031*20160820*" /stext=" 11:.+((SYSTEM_STATE.+slice.+state.+changed )|(ment ac)|(system.+state.+changed )|(\|lc)|(penalty)|(\[timeout)|(PRM\|1\|D)|(kpr)|(kdp))" /e /r /s</v>
      </c>
      <c r="AG17" s="1" t="str">
        <f t="shared" si="14"/>
        <v>EC</v>
      </c>
      <c r="AH17" s="104" t="str">
        <f t="shared" si="16"/>
        <v>"%USERPROFILE%\Documents\GitHub\eaglep3\Utilities\RefineRTDCRunTimes.py" --tripid 105-20 --locoid 4031 --swversion DE.1.0.7.0 --startMP 204:693 --initTime 2016-08-20T04:22:05 --startdatetime 2016-08-20T04:23:36 --delay 1 --endMP 204:233385 --enddatetime 2016-08-20T05:01:50 --enforcementcount 0</v>
      </c>
    </row>
    <row r="18" spans="1:34" s="1" customFormat="1" x14ac:dyDescent="0.25">
      <c r="A18" s="40" t="s">
        <v>325</v>
      </c>
      <c r="B18" s="7">
        <v>4037</v>
      </c>
      <c r="C18" s="25" t="s">
        <v>116</v>
      </c>
      <c r="D18" s="25" t="s">
        <v>326</v>
      </c>
      <c r="E18" s="16">
        <v>42602.213750000003</v>
      </c>
      <c r="F18" s="16">
        <v>42602.214756944442</v>
      </c>
      <c r="G18" s="7">
        <v>1</v>
      </c>
      <c r="H18" s="16" t="s">
        <v>260</v>
      </c>
      <c r="I18" s="16">
        <v>42602.244039351855</v>
      </c>
      <c r="J18" s="7">
        <v>0</v>
      </c>
      <c r="K18" s="141" t="str">
        <f t="shared" si="0"/>
        <v>4037/4038</v>
      </c>
      <c r="L18" s="25" t="str">
        <f>VLOOKUP(A18,'Trips&amp;Operators'!$C$1:$E$10000,3,FALSE)</f>
        <v>ACKERMAN</v>
      </c>
      <c r="M18" s="6">
        <f t="shared" si="1"/>
        <v>2.9282407413120382E-2</v>
      </c>
      <c r="N18" s="7">
        <f t="shared" si="2"/>
        <v>42.166666674893349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04:07:48-0600',mode:absolute,to:'2016-08-20 06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" s="55" t="str">
        <f t="shared" si="6"/>
        <v>N</v>
      </c>
      <c r="X18" s="128">
        <f t="shared" si="7"/>
        <v>1</v>
      </c>
      <c r="Y18" s="70">
        <f t="shared" si="8"/>
        <v>23.270399999999999</v>
      </c>
      <c r="Z18" s="70">
        <f t="shared" si="9"/>
        <v>1.34E-2</v>
      </c>
      <c r="AA18" s="70">
        <f t="shared" si="10"/>
        <v>23.256999999999998</v>
      </c>
      <c r="AB18" s="67">
        <f>VLOOKUP(A18,Enforcements!$C$7:$J$24,8,0)</f>
        <v>1</v>
      </c>
      <c r="AC18" s="63" t="str">
        <f>VLOOKUP(A18,Enforcements!$C$7:$E$24,3,0)</f>
        <v>TRACK WARRANT AUTHORITY</v>
      </c>
      <c r="AD18" s="64" t="str">
        <f t="shared" si="11"/>
        <v>0106-20</v>
      </c>
      <c r="AE18" s="103" t="str">
        <f t="shared" si="12"/>
        <v>aws s3 cp s3://rtdc.mdm.uploadarchive/RTDC4037/2016-08-20/ "%USERPROFILE%\AppData\Local\Temp\OnboardLogs"\RTDC4037\2016-08-20 --recursive &amp; "%USERPROFILE%\Documents\GitHub\mrs-test-scripts\Headless Mode &amp; Sideloading\WalkAndUnGZ.bat" "%USERPROFILE%\AppData\Local\Temp\OnboardLogs"\RTDC4037\2016-08-20 &amp; 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</v>
      </c>
      <c r="AF18" s="100" t="str">
        <f t="shared" si="13"/>
        <v>"C:\Program Files (x86)\AstroGrep\AstroGrep.exe" /spath="%USERPROFILE%\AppData\Local\Temp\OnboardLogs" /stypes="*4037*20160820*"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4" t="str">
        <f t="shared" si="16"/>
        <v>"%USERPROFILE%\Documents\GitHub\eaglep3\Utilities\RefineRTDCRunTimes.py" --tripid 106-20 --locoid 4037 --swversion DE.1.0.7.0 --startMP 204:232704 --initTime 2016-08-20T05:07:48 --startdatetime 2016-08-20T05:09:15 --delay 1 --endMP 204:134 --enddatetime 2016-08-20T05:51:25 --enforcementcount 0</v>
      </c>
    </row>
    <row r="19" spans="1:34" s="1" customFormat="1" x14ac:dyDescent="0.25">
      <c r="A19" s="40" t="s">
        <v>327</v>
      </c>
      <c r="B19" s="7">
        <v>4007</v>
      </c>
      <c r="C19" s="25" t="s">
        <v>116</v>
      </c>
      <c r="D19" s="25" t="s">
        <v>224</v>
      </c>
      <c r="E19" s="16">
        <v>42602.1872337963</v>
      </c>
      <c r="F19" s="16">
        <v>42602.188483796293</v>
      </c>
      <c r="G19" s="7">
        <v>1</v>
      </c>
      <c r="H19" s="16" t="s">
        <v>328</v>
      </c>
      <c r="I19" s="16">
        <v>42602.216157407405</v>
      </c>
      <c r="J19" s="7">
        <v>0</v>
      </c>
      <c r="K19" s="141" t="str">
        <f t="shared" si="0"/>
        <v>4007/4008</v>
      </c>
      <c r="L19" s="25" t="str">
        <f>VLOOKUP(A19,'Trips&amp;Operators'!$C$1:$E$10000,3,FALSE)</f>
        <v>DAVIS</v>
      </c>
      <c r="M19" s="6">
        <f t="shared" si="1"/>
        <v>2.7673611111822538E-2</v>
      </c>
      <c r="N19" s="7">
        <f t="shared" si="2"/>
        <v>39.850000001024455</v>
      </c>
      <c r="O19" s="7"/>
      <c r="P19" s="7"/>
      <c r="Q19" s="26"/>
      <c r="R19" s="26"/>
      <c r="S19" s="38">
        <f t="shared" si="3"/>
        <v>1</v>
      </c>
      <c r="T19" s="53" t="str">
        <f t="shared" si="4"/>
        <v>NorthBound</v>
      </c>
      <c r="U19" s="13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03:29:37-0600',mode:absolute,to:'2016-08-20 06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" s="55" t="str">
        <f t="shared" si="6"/>
        <v>N</v>
      </c>
      <c r="X19" s="128">
        <f t="shared" si="7"/>
        <v>1</v>
      </c>
      <c r="Y19" s="70">
        <f t="shared" si="8"/>
        <v>4.4699999999999997E-2</v>
      </c>
      <c r="Z19" s="70">
        <f t="shared" si="9"/>
        <v>23.331700000000001</v>
      </c>
      <c r="AA19" s="70">
        <f t="shared" si="10"/>
        <v>23.287000000000003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1"/>
        <v>0107-20</v>
      </c>
      <c r="AE19" s="103" t="str">
        <f t="shared" si="12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19" s="100" t="str">
        <f t="shared" si="13"/>
        <v>"C:\Program Files (x86)\AstroGrep\AstroGrep.exe" /spath="%USERPROFILE%\AppData\Local\Temp\OnboardLogs" /stypes="*4007*20160820*"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4" t="str">
        <f t="shared" si="16"/>
        <v>"%USERPROFILE%\Documents\GitHub\eaglep3\Utilities\RefineRTDCRunTimes.py" --tripid 107-20 --locoid 4007 --swversion DE.1.0.7.0 --startMP 204:447 --initTime 2016-08-20T04:29:37 --startdatetime 2016-08-20T04:31:25 --delay 1 --endMP 204:233317 --enddatetime 2016-08-20T05:11:16 --enforcementcount 0</v>
      </c>
    </row>
    <row r="20" spans="1:34" s="1" customFormat="1" x14ac:dyDescent="0.25">
      <c r="A20" s="40" t="s">
        <v>329</v>
      </c>
      <c r="B20" s="7">
        <v>4008</v>
      </c>
      <c r="C20" s="25" t="s">
        <v>116</v>
      </c>
      <c r="D20" s="25" t="s">
        <v>240</v>
      </c>
      <c r="E20" s="16">
        <v>42602.224606481483</v>
      </c>
      <c r="F20" s="16">
        <v>42602.22552083333</v>
      </c>
      <c r="G20" s="7">
        <v>1</v>
      </c>
      <c r="H20" s="16" t="s">
        <v>162</v>
      </c>
      <c r="I20" s="16">
        <v>42602.25503472222</v>
      </c>
      <c r="J20" s="7">
        <v>0</v>
      </c>
      <c r="K20" s="141" t="str">
        <f t="shared" si="0"/>
        <v>4007/4008</v>
      </c>
      <c r="L20" s="25" t="str">
        <f>VLOOKUP(A20,'Trips&amp;Operators'!$C$1:$E$10000,3,FALSE)</f>
        <v>DAVIS</v>
      </c>
      <c r="M20" s="6">
        <f t="shared" si="1"/>
        <v>2.9513888890505768E-2</v>
      </c>
      <c r="N20" s="7">
        <f t="shared" si="2"/>
        <v>42.500000002328306</v>
      </c>
      <c r="O20" s="7"/>
      <c r="P20" s="7"/>
      <c r="Q20" s="26"/>
      <c r="R20" s="26"/>
      <c r="S20" s="38">
        <f t="shared" si="3"/>
        <v>1</v>
      </c>
      <c r="T20" s="53" t="str">
        <f t="shared" si="4"/>
        <v>Southbound</v>
      </c>
      <c r="U20" s="13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04:23:26-0600',mode:absolute,to:'2016-08-20 07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0" s="55" t="str">
        <f t="shared" si="6"/>
        <v>N</v>
      </c>
      <c r="X20" s="128">
        <f t="shared" si="7"/>
        <v>1</v>
      </c>
      <c r="Y20" s="70">
        <f t="shared" si="8"/>
        <v>23.3</v>
      </c>
      <c r="Z20" s="70">
        <f t="shared" si="9"/>
        <v>1.4999999999999999E-2</v>
      </c>
      <c r="AA20" s="70">
        <f t="shared" si="10"/>
        <v>23.285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11"/>
        <v>0108-20</v>
      </c>
      <c r="AE20" s="103" t="str">
        <f t="shared" si="12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20" s="100" t="str">
        <f t="shared" si="13"/>
        <v>"C:\Program Files (x86)\AstroGrep\AstroGrep.exe" /spath="%USERPROFILE%\AppData\Local\Temp\OnboardLogs" /stypes="*4008*20160820*"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4" t="str">
        <f t="shared" si="16"/>
        <v>"%USERPROFILE%\Documents\GitHub\eaglep3\Utilities\RefineRTDCRunTimes.py" --tripid 108-20 --locoid 4008 --swversion DE.1.0.7.0 --startMP 204:233000 --initTime 2016-08-20T05:23:26 --startdatetime 2016-08-20T05:24:45 --delay 1 --endMP 204:150 --enddatetime 2016-08-20T06:07:15 --enforcementcount 0</v>
      </c>
    </row>
    <row r="21" spans="1:34" s="1" customFormat="1" x14ac:dyDescent="0.25">
      <c r="A21" s="40" t="s">
        <v>330</v>
      </c>
      <c r="B21" s="7">
        <v>4003</v>
      </c>
      <c r="C21" s="25" t="s">
        <v>116</v>
      </c>
      <c r="D21" s="25" t="s">
        <v>331</v>
      </c>
      <c r="E21" s="16">
        <v>42602.1953587963</v>
      </c>
      <c r="F21" s="16">
        <v>42602.196574074071</v>
      </c>
      <c r="G21" s="7">
        <v>1</v>
      </c>
      <c r="H21" s="16" t="s">
        <v>211</v>
      </c>
      <c r="I21" s="16">
        <v>42602.22446759259</v>
      </c>
      <c r="J21" s="7">
        <v>0</v>
      </c>
      <c r="K21" s="141" t="str">
        <f t="shared" si="0"/>
        <v>4003/4004</v>
      </c>
      <c r="L21" s="25" t="str">
        <f>VLOOKUP(A21,'Trips&amp;Operators'!$C$1:$E$10000,3,FALSE)</f>
        <v>KILLION</v>
      </c>
      <c r="M21" s="6">
        <f t="shared" si="1"/>
        <v>2.789351851970423E-2</v>
      </c>
      <c r="N21" s="7">
        <f t="shared" si="2"/>
        <v>40.166666668374091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03:41:19-0600',mode:absolute,to:'2016-08-20 06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" s="55" t="str">
        <f t="shared" si="6"/>
        <v>N</v>
      </c>
      <c r="X21" s="128">
        <f t="shared" si="7"/>
        <v>1</v>
      </c>
      <c r="Y21" s="70">
        <f t="shared" si="8"/>
        <v>4.5999999999999999E-2</v>
      </c>
      <c r="Z21" s="70">
        <f t="shared" si="9"/>
        <v>23.331399999999999</v>
      </c>
      <c r="AA21" s="70">
        <f t="shared" si="10"/>
        <v>23.285399999999999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1"/>
        <v>0109-20</v>
      </c>
      <c r="AE21" s="103" t="str">
        <f t="shared" si="12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21" s="100" t="str">
        <f t="shared" si="13"/>
        <v>"C:\Program Files (x86)\AstroGrep\AstroGrep.exe" /spath="%USERPROFILE%\AppData\Local\Temp\OnboardLogs" /stypes="*4003*20160820*"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4" t="str">
        <f t="shared" si="16"/>
        <v>"%USERPROFILE%\Documents\GitHub\eaglep3\Utilities\RefineRTDCRunTimes.py" --tripid 109-20 --locoid 4003 --swversion DE.1.0.7.0 --startMP 204:460 --initTime 2016-08-20T04:41:19 --startdatetime 2016-08-20T04:43:04 --delay 1 --endMP 204:233314 --enddatetime 2016-08-20T05:23:14 --enforcementcount 0</v>
      </c>
    </row>
    <row r="22" spans="1:34" s="1" customFormat="1" x14ac:dyDescent="0.25">
      <c r="A22" s="40" t="s">
        <v>332</v>
      </c>
      <c r="B22" s="7">
        <v>4004</v>
      </c>
      <c r="C22" s="25" t="s">
        <v>116</v>
      </c>
      <c r="D22" s="25" t="s">
        <v>210</v>
      </c>
      <c r="E22" s="16">
        <v>42602.235266203701</v>
      </c>
      <c r="F22" s="16">
        <v>42602.236296296294</v>
      </c>
      <c r="G22" s="7">
        <v>1</v>
      </c>
      <c r="H22" s="16" t="s">
        <v>137</v>
      </c>
      <c r="I22" s="16">
        <v>42602.265729166669</v>
      </c>
      <c r="J22" s="7">
        <v>0</v>
      </c>
      <c r="K22" s="141" t="str">
        <f t="shared" si="0"/>
        <v>4003/4004</v>
      </c>
      <c r="L22" s="25" t="str">
        <f>VLOOKUP(A22,'Trips&amp;Operators'!$C$1:$E$10000,3,FALSE)</f>
        <v>KILLION</v>
      </c>
      <c r="M22" s="6">
        <f t="shared" si="1"/>
        <v>2.9432870374876074E-2</v>
      </c>
      <c r="N22" s="7">
        <f t="shared" si="2"/>
        <v>42.383333339821547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04:38:47-0600',mode:absolute,to:'2016-08-20 07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2" s="55" t="str">
        <f t="shared" si="6"/>
        <v>N</v>
      </c>
      <c r="X22" s="128">
        <f t="shared" si="7"/>
        <v>1</v>
      </c>
      <c r="Y22" s="70">
        <f t="shared" si="8"/>
        <v>23.2973</v>
      </c>
      <c r="Z22" s="70">
        <f t="shared" si="9"/>
        <v>1.47E-2</v>
      </c>
      <c r="AA22" s="70">
        <f t="shared" si="10"/>
        <v>23.282599999999999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11"/>
        <v>0110-20</v>
      </c>
      <c r="AE22" s="103" t="str">
        <f t="shared" si="12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22" s="100" t="str">
        <f t="shared" si="13"/>
        <v>"C:\Program Files (x86)\AstroGrep\AstroGrep.exe" /spath="%USERPROFILE%\AppData\Local\Temp\OnboardLogs" /stypes="*4004*20160820*"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4" t="str">
        <f t="shared" si="16"/>
        <v>"%USERPROFILE%\Documents\GitHub\eaglep3\Utilities\RefineRTDCRunTimes.py" --tripid 110-20 --locoid 4004 --swversion DE.1.0.7.0 --startMP 204:232973 --initTime 2016-08-20T05:38:47 --startdatetime 2016-08-20T05:40:16 --delay 1 --endMP 204:147 --enddatetime 2016-08-20T06:22:39 --enforcementcount 0</v>
      </c>
    </row>
    <row r="23" spans="1:34" s="1" customFormat="1" x14ac:dyDescent="0.25">
      <c r="A23" s="40" t="s">
        <v>333</v>
      </c>
      <c r="B23" s="7">
        <v>4027</v>
      </c>
      <c r="C23" s="25" t="s">
        <v>116</v>
      </c>
      <c r="D23" s="25" t="s">
        <v>334</v>
      </c>
      <c r="E23" s="16">
        <v>42602.206030092595</v>
      </c>
      <c r="F23" s="16">
        <v>42602.207152777781</v>
      </c>
      <c r="G23" s="7">
        <v>1</v>
      </c>
      <c r="H23" s="16" t="s">
        <v>245</v>
      </c>
      <c r="I23" s="16">
        <v>42602.234548611108</v>
      </c>
      <c r="J23" s="7">
        <v>0</v>
      </c>
      <c r="K23" s="141" t="str">
        <f t="shared" si="0"/>
        <v>4027/4028</v>
      </c>
      <c r="L23" s="25" t="str">
        <f>VLOOKUP(A23,'Trips&amp;Operators'!$C$1:$E$10000,3,FALSE)</f>
        <v>GEBRETEKLE</v>
      </c>
      <c r="M23" s="6">
        <f t="shared" si="1"/>
        <v>2.7395833327318542E-2</v>
      </c>
      <c r="N23" s="7">
        <f t="shared" si="2"/>
        <v>39.4499999913387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03:56:41-0600',mode:absolute,to:'2016-08-20 06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3" s="55" t="str">
        <f t="shared" si="6"/>
        <v>N</v>
      </c>
      <c r="X23" s="128">
        <f t="shared" si="7"/>
        <v>1</v>
      </c>
      <c r="Y23" s="70">
        <f t="shared" si="8"/>
        <v>7.5499999999999998E-2</v>
      </c>
      <c r="Z23" s="70">
        <f t="shared" si="9"/>
        <v>23.3323</v>
      </c>
      <c r="AA23" s="70">
        <f t="shared" si="10"/>
        <v>23.256799999999998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11"/>
        <v>0111-20</v>
      </c>
      <c r="AE23" s="103" t="str">
        <f t="shared" si="12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23" s="100" t="str">
        <f t="shared" si="13"/>
        <v>"C:\Program Files (x86)\AstroGrep\AstroGrep.exe" /spath="%USERPROFILE%\AppData\Local\Temp\OnboardLogs" /stypes="*4027*20160820*"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4" t="str">
        <f t="shared" si="16"/>
        <v>"%USERPROFILE%\Documents\GitHub\eaglep3\Utilities\RefineRTDCRunTimes.py" --tripid 111-20 --locoid 4027 --swversion DE.1.0.7.0 --startMP 204:755 --initTime 2016-08-20T04:56:41 --startdatetime 2016-08-20T04:58:18 --delay 1 --endMP 204:233323 --enddatetime 2016-08-20T05:37:45 --enforcementcount 0</v>
      </c>
    </row>
    <row r="24" spans="1:34" s="1" customFormat="1" x14ac:dyDescent="0.25">
      <c r="A24" s="40" t="s">
        <v>335</v>
      </c>
      <c r="B24" s="7">
        <v>4028</v>
      </c>
      <c r="C24" s="25" t="s">
        <v>116</v>
      </c>
      <c r="D24" s="25" t="s">
        <v>140</v>
      </c>
      <c r="E24" s="16">
        <v>42602.243680555555</v>
      </c>
      <c r="F24" s="16">
        <v>42602.244791666664</v>
      </c>
      <c r="G24" s="7">
        <v>1</v>
      </c>
      <c r="H24" s="16" t="s">
        <v>221</v>
      </c>
      <c r="I24" s="16">
        <v>42602.275659722225</v>
      </c>
      <c r="J24" s="7">
        <v>0</v>
      </c>
      <c r="K24" s="141" t="str">
        <f t="shared" si="0"/>
        <v>4027/4028</v>
      </c>
      <c r="L24" s="25" t="str">
        <f>VLOOKUP(A24,'Trips&amp;Operators'!$C$1:$E$10000,3,FALSE)</f>
        <v>GEBRETEKLE</v>
      </c>
      <c r="M24" s="6">
        <f t="shared" si="1"/>
        <v>3.086805556085892E-2</v>
      </c>
      <c r="N24" s="7">
        <f t="shared" si="2"/>
        <v>44.450000007636845</v>
      </c>
      <c r="O24" s="7"/>
      <c r="P24" s="7"/>
      <c r="Q24" s="26"/>
      <c r="R24" s="26"/>
      <c r="S24" s="38">
        <f t="shared" si="3"/>
        <v>1</v>
      </c>
      <c r="T24" s="53" t="str">
        <f t="shared" si="4"/>
        <v>Southbound</v>
      </c>
      <c r="U24" s="13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04:50:54-0600',mode:absolute,to:'2016-08-20 07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4" s="55" t="str">
        <f t="shared" si="6"/>
        <v>N</v>
      </c>
      <c r="X24" s="128">
        <f t="shared" si="7"/>
        <v>1</v>
      </c>
      <c r="Y24" s="70">
        <f t="shared" si="8"/>
        <v>23.299399999999999</v>
      </c>
      <c r="Z24" s="70">
        <f t="shared" si="9"/>
        <v>1.4500000000000001E-2</v>
      </c>
      <c r="AA24" s="70">
        <f t="shared" si="10"/>
        <v>23.284899999999997</v>
      </c>
      <c r="AB24" s="67" t="e">
        <f>VLOOKUP(A24,Enforcements!$C$7:$J$24,8,0)</f>
        <v>#N/A</v>
      </c>
      <c r="AC24" s="63" t="e">
        <f>VLOOKUP(A24,Enforcements!$C$7:$E$24,3,0)</f>
        <v>#N/A</v>
      </c>
      <c r="AD24" s="64" t="str">
        <f t="shared" si="11"/>
        <v>0112-20</v>
      </c>
      <c r="AE24" s="103" t="str">
        <f t="shared" si="12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24" s="100" t="str">
        <f t="shared" si="13"/>
        <v>"C:\Program Files (x86)\AstroGrep\AstroGrep.exe" /spath="%USERPROFILE%\AppData\Local\Temp\OnboardLogs" /stypes="*4028*20160820*"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4" t="str">
        <f t="shared" si="16"/>
        <v>"%USERPROFILE%\Documents\GitHub\eaglep3\Utilities\RefineRTDCRunTimes.py" --tripid 112-20 --locoid 4028 --swversion DE.1.0.7.0 --startMP 204:232994 --initTime 2016-08-20T05:50:54 --startdatetime 2016-08-20T05:52:30 --delay 1 --endMP 204:145 --enddatetime 2016-08-20T06:36:57 --enforcementcount 0</v>
      </c>
    </row>
    <row r="25" spans="1:34" s="1" customFormat="1" x14ac:dyDescent="0.25">
      <c r="A25" s="40" t="s">
        <v>336</v>
      </c>
      <c r="B25" s="7">
        <v>4044</v>
      </c>
      <c r="C25" s="25" t="s">
        <v>116</v>
      </c>
      <c r="D25" s="25" t="s">
        <v>138</v>
      </c>
      <c r="E25" s="16">
        <v>42602.214780092596</v>
      </c>
      <c r="F25" s="16">
        <v>42602.215775462966</v>
      </c>
      <c r="G25" s="7">
        <v>1</v>
      </c>
      <c r="H25" s="16" t="s">
        <v>261</v>
      </c>
      <c r="I25" s="16">
        <v>42602.246354166666</v>
      </c>
      <c r="J25" s="7">
        <v>0</v>
      </c>
      <c r="K25" s="141" t="str">
        <f t="shared" si="0"/>
        <v>4043/4044</v>
      </c>
      <c r="L25" s="25" t="str">
        <f>VLOOKUP(A25,'Trips&amp;Operators'!$C$1:$E$10000,3,FALSE)</f>
        <v>MAELZER</v>
      </c>
      <c r="M25" s="6">
        <f t="shared" si="1"/>
        <v>3.0578703699575271E-2</v>
      </c>
      <c r="N25" s="7">
        <f t="shared" si="2"/>
        <v>44.033333327388391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04:09:17-0600',mode:absolute,to:'2016-08-20 06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5" s="55" t="str">
        <f t="shared" si="6"/>
        <v>N</v>
      </c>
      <c r="X25" s="128">
        <f t="shared" si="7"/>
        <v>1</v>
      </c>
      <c r="Y25" s="70">
        <f t="shared" si="8"/>
        <v>4.53E-2</v>
      </c>
      <c r="Z25" s="70">
        <f t="shared" si="9"/>
        <v>23.328600000000002</v>
      </c>
      <c r="AA25" s="70">
        <f t="shared" si="10"/>
        <v>23.283300000000001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1"/>
        <v>0113-20</v>
      </c>
      <c r="AE25" s="103" t="str">
        <f t="shared" si="12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25" s="100" t="str">
        <f t="shared" si="13"/>
        <v>"C:\Program Files (x86)\AstroGrep\AstroGrep.exe" /spath="%USERPROFILE%\AppData\Local\Temp\OnboardLogs" /stypes="*4044*20160820*"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4" t="str">
        <f t="shared" si="16"/>
        <v>"%USERPROFILE%\Documents\GitHub\eaglep3\Utilities\RefineRTDCRunTimes.py" --tripid 113-20 --locoid 4044 --swversion DE.1.0.7.0 --startMP 204:453 --initTime 2016-08-20T05:09:17 --startdatetime 2016-08-20T05:10:43 --delay 1 --endMP 204:233286 --enddatetime 2016-08-20T05:54:45 --enforcementcount 0</v>
      </c>
    </row>
    <row r="26" spans="1:34" s="1" customFormat="1" x14ac:dyDescent="0.25">
      <c r="A26" s="40" t="s">
        <v>337</v>
      </c>
      <c r="B26" s="7">
        <v>4043</v>
      </c>
      <c r="C26" s="25" t="s">
        <v>116</v>
      </c>
      <c r="D26" s="25" t="s">
        <v>228</v>
      </c>
      <c r="E26" s="16">
        <v>42602.252129629633</v>
      </c>
      <c r="F26" s="16">
        <v>42602.253275462965</v>
      </c>
      <c r="G26" s="7">
        <v>1</v>
      </c>
      <c r="H26" s="16" t="s">
        <v>142</v>
      </c>
      <c r="I26" s="16">
        <v>42602.285358796296</v>
      </c>
      <c r="J26" s="7">
        <v>0</v>
      </c>
      <c r="K26" s="141" t="str">
        <f t="shared" si="0"/>
        <v>4043/4044</v>
      </c>
      <c r="L26" s="25" t="str">
        <f>VLOOKUP(A26,'Trips&amp;Operators'!$C$1:$E$10000,3,FALSE)</f>
        <v>MAELZER</v>
      </c>
      <c r="M26" s="6">
        <f t="shared" si="1"/>
        <v>3.2083333331684116E-2</v>
      </c>
      <c r="N26" s="7">
        <f t="shared" si="2"/>
        <v>46.199999997625127</v>
      </c>
      <c r="O26" s="7"/>
      <c r="P26" s="7"/>
      <c r="Q26" s="26"/>
      <c r="R26" s="26"/>
      <c r="S26" s="38">
        <f t="shared" si="3"/>
        <v>1</v>
      </c>
      <c r="T26" s="53" t="str">
        <f t="shared" si="4"/>
        <v>Southbound</v>
      </c>
      <c r="U26" s="13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05:03:04-0600',mode:absolute,to:'2016-08-20 07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6" s="55" t="str">
        <f t="shared" si="6"/>
        <v>N</v>
      </c>
      <c r="X26" s="128">
        <f t="shared" si="7"/>
        <v>1</v>
      </c>
      <c r="Y26" s="70">
        <f t="shared" si="8"/>
        <v>23.296900000000001</v>
      </c>
      <c r="Z26" s="70">
        <f t="shared" si="9"/>
        <v>1.49E-2</v>
      </c>
      <c r="AA26" s="70">
        <f t="shared" si="10"/>
        <v>23.282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1"/>
        <v>0114-20</v>
      </c>
      <c r="AE26" s="103" t="str">
        <f t="shared" si="12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26" s="100" t="str">
        <f t="shared" si="13"/>
        <v>"C:\Program Files (x86)\AstroGrep\AstroGrep.exe" /spath="%USERPROFILE%\AppData\Local\Temp\OnboardLogs" /stypes="*4043*20160820*"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4" t="str">
        <f t="shared" si="16"/>
        <v>"%USERPROFILE%\Documents\GitHub\eaglep3\Utilities\RefineRTDCRunTimes.py" --tripid 114-20 --locoid 4043 --swversion DE.1.0.7.0 --startMP 204:232969 --initTime 2016-08-20T06:03:04 --startdatetime 2016-08-20T06:04:43 --delay 1 --endMP 204:149 --enddatetime 2016-08-20T06:50:55 --enforcementcount 0</v>
      </c>
    </row>
    <row r="27" spans="1:34" s="1" customFormat="1" x14ac:dyDescent="0.25">
      <c r="A27" s="40" t="s">
        <v>338</v>
      </c>
      <c r="B27" s="7">
        <v>4009</v>
      </c>
      <c r="C27" s="25" t="s">
        <v>116</v>
      </c>
      <c r="D27" s="25" t="s">
        <v>339</v>
      </c>
      <c r="E27" s="16">
        <v>42602.230092592596</v>
      </c>
      <c r="F27" s="16">
        <v>42602.231423611112</v>
      </c>
      <c r="G27" s="7">
        <v>1</v>
      </c>
      <c r="H27" s="16" t="s">
        <v>226</v>
      </c>
      <c r="I27" s="16">
        <v>42602.256273148145</v>
      </c>
      <c r="J27" s="7">
        <v>0</v>
      </c>
      <c r="K27" s="141" t="str">
        <f t="shared" si="0"/>
        <v>4009/4010</v>
      </c>
      <c r="L27" s="25" t="str">
        <f>VLOOKUP(A27,'Trips&amp;Operators'!$C$1:$E$10000,3,FALSE)</f>
        <v>STORY</v>
      </c>
      <c r="M27" s="6">
        <f t="shared" si="1"/>
        <v>2.4849537032423541E-2</v>
      </c>
      <c r="N27" s="7">
        <f t="shared" si="2"/>
        <v>35.783333326689899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04:31:20-0600',mode:absolute,to:'2016-08-20 07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7" s="55" t="str">
        <f t="shared" si="6"/>
        <v>N</v>
      </c>
      <c r="X27" s="128">
        <f t="shared" si="7"/>
        <v>1</v>
      </c>
      <c r="Y27" s="70">
        <f t="shared" si="8"/>
        <v>7.6799999999999993E-2</v>
      </c>
      <c r="Z27" s="70">
        <f t="shared" si="9"/>
        <v>23.331499999999998</v>
      </c>
      <c r="AA27" s="70">
        <f t="shared" si="10"/>
        <v>23.2547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1"/>
        <v>0115-20</v>
      </c>
      <c r="AE27" s="103" t="str">
        <f t="shared" si="12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27" s="100" t="str">
        <f t="shared" si="13"/>
        <v>"C:\Program Files (x86)\AstroGrep\AstroGrep.exe" /spath="%USERPROFILE%\AppData\Local\Temp\OnboardLogs" /stypes="*4009*20160820*"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4" t="str">
        <f t="shared" si="16"/>
        <v>"%USERPROFILE%\Documents\GitHub\eaglep3\Utilities\RefineRTDCRunTimes.py" --tripid 115-20 --locoid 4009 --swversion DE.1.0.7.0 --startMP 204:768 --initTime 2016-08-20T05:31:20 --startdatetime 2016-08-20T05:33:15 --delay 1 --endMP 204:233315 --enddatetime 2016-08-20T06:09:02 --enforcementcount 0</v>
      </c>
    </row>
    <row r="28" spans="1:34" s="1" customFormat="1" x14ac:dyDescent="0.25">
      <c r="A28" s="40" t="s">
        <v>340</v>
      </c>
      <c r="B28" s="7">
        <v>4010</v>
      </c>
      <c r="C28" s="25" t="s">
        <v>116</v>
      </c>
      <c r="D28" s="25" t="s">
        <v>119</v>
      </c>
      <c r="E28" s="16">
        <v>42602.264780092592</v>
      </c>
      <c r="F28" s="16">
        <v>42602.265960648147</v>
      </c>
      <c r="G28" s="7">
        <v>1</v>
      </c>
      <c r="H28" s="16" t="s">
        <v>193</v>
      </c>
      <c r="I28" s="16">
        <v>42602.295324074075</v>
      </c>
      <c r="J28" s="7">
        <v>0</v>
      </c>
      <c r="K28" s="141" t="str">
        <f t="shared" si="0"/>
        <v>4009/4010</v>
      </c>
      <c r="L28" s="25" t="str">
        <f>VLOOKUP(A28,'Trips&amp;Operators'!$C$1:$E$10000,3,FALSE)</f>
        <v>STORY</v>
      </c>
      <c r="M28" s="6">
        <f t="shared" si="1"/>
        <v>2.9363425928750075E-2</v>
      </c>
      <c r="N28" s="7">
        <f t="shared" si="2"/>
        <v>42.283333337400109</v>
      </c>
      <c r="O28" s="7"/>
      <c r="P28" s="7"/>
      <c r="Q28" s="26"/>
      <c r="R28" s="26"/>
      <c r="S28" s="38">
        <f t="shared" si="3"/>
        <v>1</v>
      </c>
      <c r="T28" s="53" t="str">
        <f t="shared" si="4"/>
        <v>Southbound</v>
      </c>
      <c r="U28" s="13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05:21:17-0600',mode:absolute,to:'2016-08-20 08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8" s="55" t="str">
        <f t="shared" si="6"/>
        <v>N</v>
      </c>
      <c r="X28" s="128">
        <f t="shared" si="7"/>
        <v>1</v>
      </c>
      <c r="Y28" s="70">
        <f t="shared" si="8"/>
        <v>23.299299999999999</v>
      </c>
      <c r="Z28" s="70">
        <f t="shared" si="9"/>
        <v>1.52E-2</v>
      </c>
      <c r="AA28" s="70">
        <f t="shared" si="10"/>
        <v>23.284099999999999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1"/>
        <v>0116-20</v>
      </c>
      <c r="AE28" s="103" t="str">
        <f t="shared" si="12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28" s="100" t="str">
        <f t="shared" si="13"/>
        <v>"C:\Program Files (x86)\AstroGrep\AstroGrep.exe" /spath="%USERPROFILE%\AppData\Local\Temp\OnboardLogs" /stypes="*4010*20160820*"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4" t="str">
        <f t="shared" si="16"/>
        <v>"%USERPROFILE%\Documents\GitHub\eaglep3\Utilities\RefineRTDCRunTimes.py" --tripid 116-20 --locoid 4010 --swversion DE.1.0.7.0 --startMP 204:232993 --initTime 2016-08-20T06:21:17 --startdatetime 2016-08-20T06:22:59 --delay 1 --endMP 204:152 --enddatetime 2016-08-20T07:05:16 --enforcementcount 0</v>
      </c>
    </row>
    <row r="29" spans="1:34" s="1" customFormat="1" ht="16.5" customHeight="1" x14ac:dyDescent="0.25">
      <c r="A29" s="40" t="s">
        <v>341</v>
      </c>
      <c r="B29" s="7">
        <v>4018</v>
      </c>
      <c r="C29" s="25" t="s">
        <v>116</v>
      </c>
      <c r="D29" s="25" t="s">
        <v>224</v>
      </c>
      <c r="E29" s="16">
        <v>42602.233599537038</v>
      </c>
      <c r="F29" s="16">
        <v>42602.234733796293</v>
      </c>
      <c r="G29" s="7">
        <v>1</v>
      </c>
      <c r="H29" s="16" t="s">
        <v>269</v>
      </c>
      <c r="I29" s="16">
        <v>42602.266412037039</v>
      </c>
      <c r="J29" s="7">
        <v>0</v>
      </c>
      <c r="K29" s="141" t="str">
        <f t="shared" si="0"/>
        <v>4017/4018</v>
      </c>
      <c r="L29" s="25" t="str">
        <f>VLOOKUP(A29,'Trips&amp;Operators'!$C$1:$E$10000,3,FALSE)</f>
        <v>MALAVE</v>
      </c>
      <c r="M29" s="6">
        <f t="shared" si="1"/>
        <v>3.1678240746259689E-2</v>
      </c>
      <c r="N29" s="7">
        <f t="shared" si="2"/>
        <v>45.616666674613953</v>
      </c>
      <c r="O29" s="7"/>
      <c r="P29" s="7"/>
      <c r="Q29" s="26"/>
      <c r="R29" s="26"/>
      <c r="S29" s="38">
        <f t="shared" si="3"/>
        <v>1</v>
      </c>
      <c r="T29" s="53" t="str">
        <f t="shared" si="4"/>
        <v>NorthBound</v>
      </c>
      <c r="U29" s="13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04:36:23-0600',mode:absolute,to:'2016-08-20 07:23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9" s="55" t="str">
        <f t="shared" si="6"/>
        <v>N</v>
      </c>
      <c r="X29" s="128">
        <f t="shared" si="7"/>
        <v>1</v>
      </c>
      <c r="Y29" s="70">
        <f t="shared" si="8"/>
        <v>4.4699999999999997E-2</v>
      </c>
      <c r="Z29" s="70">
        <f t="shared" si="9"/>
        <v>23.328800000000001</v>
      </c>
      <c r="AA29" s="70">
        <f t="shared" si="10"/>
        <v>23.284100000000002</v>
      </c>
      <c r="AB29" s="67">
        <f>VLOOKUP(A29,Enforcements!$C$7:$J$24,8,0)</f>
        <v>116838</v>
      </c>
      <c r="AC29" s="63" t="str">
        <f>VLOOKUP(A29,Enforcements!$C$7:$E$24,3,0)</f>
        <v>PERMANENT SPEED RESTRICTION</v>
      </c>
      <c r="AD29" s="64" t="str">
        <f t="shared" si="11"/>
        <v>0117-20</v>
      </c>
      <c r="AE29" s="103" t="str">
        <f t="shared" si="12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29" s="100" t="str">
        <f t="shared" si="13"/>
        <v>"C:\Program Files (x86)\AstroGrep\AstroGrep.exe" /spath="%USERPROFILE%\AppData\Local\Temp\OnboardLogs" /stypes="*4018*20160820*"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4" t="str">
        <f t="shared" si="16"/>
        <v>"%USERPROFILE%\Documents\GitHub\eaglep3\Utilities\RefineRTDCRunTimes.py" --tripid 117-20 --locoid 4018 --swversion DE.1.0.7.0 --startMP 204:447 --initTime 2016-08-20T05:36:23 --startdatetime 2016-08-20T05:38:01 --delay 1 --endMP 204:233288 --enddatetime 2016-08-20T06:23:38 --enforcementcount 0</v>
      </c>
    </row>
    <row r="30" spans="1:34" s="1" customFormat="1" x14ac:dyDescent="0.25">
      <c r="A30" s="40" t="s">
        <v>342</v>
      </c>
      <c r="B30" s="7">
        <v>4017</v>
      </c>
      <c r="C30" s="25" t="s">
        <v>116</v>
      </c>
      <c r="D30" s="25" t="s">
        <v>61</v>
      </c>
      <c r="E30" s="16">
        <v>42602.27715277778</v>
      </c>
      <c r="F30" s="16">
        <v>42602.278067129628</v>
      </c>
      <c r="G30" s="7">
        <v>1</v>
      </c>
      <c r="H30" s="16" t="s">
        <v>193</v>
      </c>
      <c r="I30" s="16">
        <v>42602.30641203704</v>
      </c>
      <c r="J30" s="7">
        <v>0</v>
      </c>
      <c r="K30" s="141" t="str">
        <f t="shared" si="0"/>
        <v>4017/4018</v>
      </c>
      <c r="L30" s="25" t="str">
        <f>VLOOKUP(A30,'Trips&amp;Operators'!$C$1:$E$10000,3,FALSE)</f>
        <v>MALAVE</v>
      </c>
      <c r="M30" s="6">
        <f t="shared" si="1"/>
        <v>2.8344907412247267E-2</v>
      </c>
      <c r="N30" s="7">
        <f t="shared" si="2"/>
        <v>40.816666673636064</v>
      </c>
      <c r="O30" s="7"/>
      <c r="P30" s="7"/>
      <c r="Q30" s="26"/>
      <c r="R30" s="26"/>
      <c r="S30" s="38">
        <f t="shared" si="3"/>
        <v>1</v>
      </c>
      <c r="T30" s="53" t="str">
        <f t="shared" si="4"/>
        <v>Southbound</v>
      </c>
      <c r="U30" s="13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05:39:06-0600',mode:absolute,to:'2016-08-20 08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0" s="55" t="str">
        <f t="shared" si="6"/>
        <v>N</v>
      </c>
      <c r="X30" s="128">
        <f t="shared" si="7"/>
        <v>1</v>
      </c>
      <c r="Y30" s="70">
        <f t="shared" si="8"/>
        <v>23.297699999999999</v>
      </c>
      <c r="Z30" s="70">
        <f t="shared" si="9"/>
        <v>1.52E-2</v>
      </c>
      <c r="AA30" s="70">
        <f t="shared" si="10"/>
        <v>23.282499999999999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1"/>
        <v>0118-20</v>
      </c>
      <c r="AE30" s="103" t="str">
        <f t="shared" si="12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30" s="100" t="str">
        <f t="shared" si="13"/>
        <v>"C:\Program Files (x86)\AstroGrep\AstroGrep.exe" /spath="%USERPROFILE%\AppData\Local\Temp\OnboardLogs" /stypes="*4017*20160820*"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4" t="str">
        <f t="shared" si="16"/>
        <v>"%USERPROFILE%\Documents\GitHub\eaglep3\Utilities\RefineRTDCRunTimes.py" --tripid 118-20 --locoid 4017 --swversion DE.1.0.7.0 --startMP 204:232977 --initTime 2016-08-20T06:39:06 --startdatetime 2016-08-20T06:40:25 --delay 1 --endMP 204:152 --enddatetime 2016-08-20T07:21:14 --enforcementcount 0</v>
      </c>
    </row>
    <row r="31" spans="1:34" s="32" customFormat="1" x14ac:dyDescent="0.25">
      <c r="A31" s="40" t="s">
        <v>343</v>
      </c>
      <c r="B31" s="7">
        <v>4031</v>
      </c>
      <c r="C31" s="25" t="s">
        <v>116</v>
      </c>
      <c r="D31" s="25" t="s">
        <v>344</v>
      </c>
      <c r="E31" s="16">
        <v>42602.254467592589</v>
      </c>
      <c r="F31" s="16">
        <v>42602.255219907405</v>
      </c>
      <c r="G31" s="7">
        <v>1</v>
      </c>
      <c r="H31" s="16" t="s">
        <v>211</v>
      </c>
      <c r="I31" s="16">
        <v>42602.277314814812</v>
      </c>
      <c r="J31" s="7">
        <v>0</v>
      </c>
      <c r="K31" s="141" t="str">
        <f t="shared" si="0"/>
        <v>4031/4032</v>
      </c>
      <c r="L31" s="25" t="str">
        <f>VLOOKUP(A31,'Trips&amp;Operators'!$C$1:$E$10000,3,FALSE)</f>
        <v>ACKERMAN</v>
      </c>
      <c r="M31" s="6">
        <f t="shared" si="1"/>
        <v>2.2094907406426501E-2</v>
      </c>
      <c r="N31" s="7"/>
      <c r="O31" s="7"/>
      <c r="P31" s="7">
        <f>24*60*SUM($M31:$M32)</f>
        <v>34.016666666138917</v>
      </c>
      <c r="Q31" s="26"/>
      <c r="R31" s="26" t="s">
        <v>650</v>
      </c>
      <c r="S31" s="38">
        <f t="shared" si="3"/>
        <v>1</v>
      </c>
      <c r="T31" s="53" t="str">
        <f t="shared" si="4"/>
        <v>NorthBound</v>
      </c>
      <c r="U31" s="13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05:06:26-0600',mode:absolute,to:'2016-08-20 07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1" s="55" t="str">
        <f t="shared" si="6"/>
        <v>Y</v>
      </c>
      <c r="X31" s="128">
        <f t="shared" si="7"/>
        <v>1</v>
      </c>
      <c r="Y31" s="70">
        <f t="shared" si="8"/>
        <v>1.9137999999999999</v>
      </c>
      <c r="Z31" s="70">
        <f t="shared" si="9"/>
        <v>23.331399999999999</v>
      </c>
      <c r="AA31" s="70">
        <f t="shared" si="10"/>
        <v>21.4176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11"/>
        <v>0119-20</v>
      </c>
      <c r="AE31" s="103" t="str">
        <f t="shared" si="12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31" s="100" t="str">
        <f t="shared" si="13"/>
        <v>"C:\Program Files (x86)\AstroGrep\AstroGrep.exe" /spath="%USERPROFILE%\AppData\Local\Temp\OnboardLogs" /stypes="*4031*20160820*"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4" t="str">
        <f t="shared" si="16"/>
        <v>"%USERPROFILE%\Documents\GitHub\eaglep3\Utilities\RefineRTDCRunTimes.py" --tripid 119-20 --locoid 4031 --swversion DE.1.0.7.0 --startMP 204:19138 --initTime 2016-08-20T06:06:26 --startdatetime 2016-08-20T06:07:31 --delay 1 --endMP 204:233314 --enddatetime 2016-08-20T06:39:20 --enforcementcount 0</v>
      </c>
    </row>
    <row r="32" spans="1:34" s="1" customFormat="1" x14ac:dyDescent="0.25">
      <c r="A32" s="40" t="s">
        <v>343</v>
      </c>
      <c r="B32" s="7">
        <v>4031</v>
      </c>
      <c r="C32" s="25" t="s">
        <v>116</v>
      </c>
      <c r="D32" s="25" t="s">
        <v>345</v>
      </c>
      <c r="E32" s="16">
        <v>42602.24800925926</v>
      </c>
      <c r="F32" s="16">
        <v>42602.248993055553</v>
      </c>
      <c r="G32" s="7">
        <v>1</v>
      </c>
      <c r="H32" s="16" t="s">
        <v>346</v>
      </c>
      <c r="I32" s="16">
        <v>42602.250520833331</v>
      </c>
      <c r="J32" s="7">
        <v>0</v>
      </c>
      <c r="K32" s="141" t="str">
        <f t="shared" si="0"/>
        <v>4031/4032</v>
      </c>
      <c r="L32" s="25" t="str">
        <f>VLOOKUP(A32,'Trips&amp;Operators'!$C$1:$E$10000,3,FALSE)</f>
        <v>ACKERMAN</v>
      </c>
      <c r="M32" s="6">
        <f t="shared" si="1"/>
        <v>1.527777778392192E-3</v>
      </c>
      <c r="N32" s="7"/>
      <c r="O32" s="7"/>
      <c r="P32" s="7"/>
      <c r="Q32" s="26"/>
      <c r="R32" s="26"/>
      <c r="S32" s="38"/>
      <c r="T32" s="53" t="str">
        <f t="shared" si="4"/>
        <v>NorthBound</v>
      </c>
      <c r="U32" s="13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04:57:08-0600',mode:absolute,to:'2016-08-20 07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2" s="55" t="str">
        <f t="shared" si="6"/>
        <v>Y</v>
      </c>
      <c r="X32" s="128">
        <f t="shared" si="7"/>
        <v>0</v>
      </c>
      <c r="Y32" s="70">
        <f t="shared" si="8"/>
        <v>7.5399999999999995E-2</v>
      </c>
      <c r="Z32" s="70">
        <f t="shared" si="9"/>
        <v>0.1215</v>
      </c>
      <c r="AA32" s="70">
        <f t="shared" si="10"/>
        <v>4.6100000000000002E-2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si="11"/>
        <v>0119-20</v>
      </c>
      <c r="AE32" s="103" t="str">
        <f t="shared" si="12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32" s="100" t="str">
        <f t="shared" si="13"/>
        <v>"C:\Program Files (x86)\AstroGrep\AstroGrep.exe" /spath="%USERPROFILE%\AppData\Local\Temp\OnboardLogs" /stypes="*4031*20160820*" /stext=" 12:.+((SYSTEM_STATE.+slice.+state.+changed )|(ment ac)|(system.+state.+changed )|(\|lc)|(penalty)|(\[timeout)|(PRM\|1\|D)|(kpr)|(kdp))" /e /r /s</v>
      </c>
      <c r="AG32" s="1" t="str">
        <f t="shared" si="14"/>
        <v>EC</v>
      </c>
      <c r="AH32" s="104" t="str">
        <f t="shared" si="16"/>
        <v>"%USERPROFILE%\Documents\GitHub\eaglep3\Utilities\RefineRTDCRunTimes.py" --tripid 119-20 --locoid 4031 --swversion DE.1.0.7.0 --startMP 204:754 --initTime 2016-08-20T05:57:08 --startdatetime 2016-08-20T05:58:33 --delay 1 --endMP 204:1215 --enddatetime 2016-08-20T06:00:45 --enforcementcount 0</v>
      </c>
    </row>
    <row r="33" spans="1:34" s="1" customFormat="1" x14ac:dyDescent="0.25">
      <c r="A33" s="40" t="s">
        <v>347</v>
      </c>
      <c r="B33" s="7">
        <v>4032</v>
      </c>
      <c r="C33" s="25" t="s">
        <v>116</v>
      </c>
      <c r="D33" s="25" t="s">
        <v>201</v>
      </c>
      <c r="E33" s="16">
        <v>42602.283935185187</v>
      </c>
      <c r="F33" s="16">
        <v>42602.285173611112</v>
      </c>
      <c r="G33" s="7">
        <v>1</v>
      </c>
      <c r="H33" s="16" t="s">
        <v>137</v>
      </c>
      <c r="I33" s="16">
        <v>42602.316168981481</v>
      </c>
      <c r="J33" s="7">
        <v>0</v>
      </c>
      <c r="K33" s="141" t="str">
        <f t="shared" si="0"/>
        <v>4031/4032</v>
      </c>
      <c r="L33" s="25" t="str">
        <f>VLOOKUP(A33,'Trips&amp;Operators'!$C$1:$E$10000,3,FALSE)</f>
        <v>ACKERMAN</v>
      </c>
      <c r="M33" s="6">
        <f t="shared" si="1"/>
        <v>3.0995370369055308E-2</v>
      </c>
      <c r="N33" s="7">
        <f t="shared" ref="N33:N67" si="17">24*60*SUM($M33:$M33)</f>
        <v>44.633333331439644</v>
      </c>
      <c r="O33" s="7"/>
      <c r="P33" s="7"/>
      <c r="Q33" s="26"/>
      <c r="R33" s="26"/>
      <c r="S33" s="38">
        <f t="shared" ref="S33:S64" si="18">SUM(U33:U33)/IF(AG33="EC",12,1)</f>
        <v>1</v>
      </c>
      <c r="T33" s="53" t="str">
        <f t="shared" si="4"/>
        <v>Southbound</v>
      </c>
      <c r="U33" s="13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05:48:52-0600',mode:absolute,to:'2016-08-20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3" s="55" t="str">
        <f t="shared" si="6"/>
        <v>N</v>
      </c>
      <c r="X33" s="128">
        <f t="shared" si="7"/>
        <v>1</v>
      </c>
      <c r="Y33" s="70">
        <f t="shared" si="8"/>
        <v>23.2987</v>
      </c>
      <c r="Z33" s="70">
        <f t="shared" si="9"/>
        <v>1.47E-2</v>
      </c>
      <c r="AA33" s="70">
        <f t="shared" si="10"/>
        <v>23.283999999999999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11"/>
        <v>0120-20</v>
      </c>
      <c r="AE33" s="103" t="str">
        <f t="shared" si="12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33" s="100" t="str">
        <f t="shared" si="13"/>
        <v>"C:\Program Files (x86)\AstroGrep\AstroGrep.exe" /spath="%USERPROFILE%\AppData\Local\Temp\OnboardLogs" /stypes="*4032*20160820*"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4" t="str">
        <f t="shared" si="16"/>
        <v>"%USERPROFILE%\Documents\GitHub\eaglep3\Utilities\RefineRTDCRunTimes.py" --tripid 120-20 --locoid 4032 --swversion DE.1.0.7.0 --startMP 204:232987 --initTime 2016-08-20T06:48:52 --startdatetime 2016-08-20T06:50:39 --delay 1 --endMP 204:147 --enddatetime 2016-08-20T07:35:17 --enforcementcount 0</v>
      </c>
    </row>
    <row r="34" spans="1:34" s="1" customFormat="1" x14ac:dyDescent="0.25">
      <c r="A34" s="40" t="s">
        <v>348</v>
      </c>
      <c r="B34" s="7">
        <v>4007</v>
      </c>
      <c r="C34" s="25" t="s">
        <v>116</v>
      </c>
      <c r="D34" s="25" t="s">
        <v>349</v>
      </c>
      <c r="E34" s="16">
        <v>42602.256666666668</v>
      </c>
      <c r="F34" s="16">
        <v>42602.257557870369</v>
      </c>
      <c r="G34" s="7">
        <v>1</v>
      </c>
      <c r="H34" s="16" t="s">
        <v>243</v>
      </c>
      <c r="I34" s="16">
        <v>42602.285810185182</v>
      </c>
      <c r="J34" s="7">
        <v>0</v>
      </c>
      <c r="K34" s="141" t="str">
        <f t="shared" si="0"/>
        <v>4007/4008</v>
      </c>
      <c r="L34" s="25" t="str">
        <f>VLOOKUP(A34,'Trips&amp;Operators'!$C$1:$E$10000,3,FALSE)</f>
        <v>DAVIS</v>
      </c>
      <c r="M34" s="6">
        <f t="shared" si="1"/>
        <v>2.8252314812561963E-2</v>
      </c>
      <c r="N34" s="7">
        <f t="shared" si="17"/>
        <v>40.683333330089226</v>
      </c>
      <c r="O34" s="7"/>
      <c r="P34" s="7"/>
      <c r="Q34" s="26"/>
      <c r="R34" s="26"/>
      <c r="S34" s="38">
        <f t="shared" si="18"/>
        <v>1</v>
      </c>
      <c r="T34" s="53" t="str">
        <f t="shared" si="4"/>
        <v>NorthBound</v>
      </c>
      <c r="U34" s="13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05:09:36-0600',mode:absolute,to:'2016-08-20 07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4" s="55" t="str">
        <f t="shared" si="6"/>
        <v>N</v>
      </c>
      <c r="X34" s="128">
        <f t="shared" si="7"/>
        <v>1</v>
      </c>
      <c r="Y34" s="70">
        <f t="shared" si="8"/>
        <v>4.6600000000000003E-2</v>
      </c>
      <c r="Z34" s="70">
        <f t="shared" si="9"/>
        <v>23.328399999999998</v>
      </c>
      <c r="AA34" s="70">
        <f t="shared" si="10"/>
        <v>23.281799999999997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11"/>
        <v>0121-20</v>
      </c>
      <c r="AE34" s="103" t="str">
        <f t="shared" si="12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34" s="100" t="str">
        <f t="shared" si="13"/>
        <v>"C:\Program Files (x86)\AstroGrep\AstroGrep.exe" /spath="%USERPROFILE%\AppData\Local\Temp\OnboardLogs" /stypes="*4007*20160820*" /stext=" 12:.+((SYSTEM_STATE.+slice.+state.+changed )|(ment ac)|(system.+state.+changed )|(\|lc)|(penalty)|(\[timeout)|(PRM\|1\|D)|(kpr)|(kdp))" /e /r /s</v>
      </c>
      <c r="AG34" s="1" t="str">
        <f t="shared" si="14"/>
        <v>EC</v>
      </c>
      <c r="AH34" s="104" t="str">
        <f t="shared" si="16"/>
        <v>"%USERPROFILE%\Documents\GitHub\eaglep3\Utilities\RefineRTDCRunTimes.py" --tripid 121-20 --locoid 4007 --swversion DE.1.0.7.0 --startMP 204:466 --initTime 2016-08-20T06:09:36 --startdatetime 2016-08-20T06:10:53 --delay 1 --endMP 204:233284 --enddatetime 2016-08-20T06:51:34 --enforcementcount 0</v>
      </c>
    </row>
    <row r="35" spans="1:34" s="1" customFormat="1" x14ac:dyDescent="0.25">
      <c r="A35" s="40" t="s">
        <v>350</v>
      </c>
      <c r="B35" s="7">
        <v>4008</v>
      </c>
      <c r="C35" s="25" t="s">
        <v>116</v>
      </c>
      <c r="D35" s="25" t="s">
        <v>351</v>
      </c>
      <c r="E35" s="16">
        <v>42602.292743055557</v>
      </c>
      <c r="F35" s="16">
        <v>42602.29383101852</v>
      </c>
      <c r="G35" s="7">
        <v>1</v>
      </c>
      <c r="H35" s="16" t="s">
        <v>167</v>
      </c>
      <c r="I35" s="16">
        <v>42602.326597222222</v>
      </c>
      <c r="J35" s="7">
        <v>0</v>
      </c>
      <c r="K35" s="141" t="str">
        <f t="shared" si="0"/>
        <v>4007/4008</v>
      </c>
      <c r="L35" s="25" t="str">
        <f>VLOOKUP(A35,'Trips&amp;Operators'!$C$1:$E$10000,3,FALSE)</f>
        <v>DAVIS</v>
      </c>
      <c r="M35" s="6">
        <f t="shared" si="1"/>
        <v>3.276620370161254E-2</v>
      </c>
      <c r="N35" s="7">
        <f t="shared" si="17"/>
        <v>47.183333330322057</v>
      </c>
      <c r="O35" s="7"/>
      <c r="P35" s="7"/>
      <c r="Q35" s="26"/>
      <c r="R35" s="26"/>
      <c r="S35" s="38">
        <f t="shared" si="18"/>
        <v>1</v>
      </c>
      <c r="T35" s="53" t="str">
        <f t="shared" si="4"/>
        <v>Southbound</v>
      </c>
      <c r="U35" s="13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06:01:33-0600',mode:absolute,to:'2016-08-20 08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5" s="55" t="str">
        <f t="shared" si="6"/>
        <v>N</v>
      </c>
      <c r="X35" s="128">
        <f t="shared" si="7"/>
        <v>1</v>
      </c>
      <c r="Y35" s="70">
        <f t="shared" si="8"/>
        <v>23.296099999999999</v>
      </c>
      <c r="Z35" s="70">
        <f t="shared" si="9"/>
        <v>1.54E-2</v>
      </c>
      <c r="AA35" s="70">
        <f t="shared" si="10"/>
        <v>23.2807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11"/>
        <v>0122-20</v>
      </c>
      <c r="AE35" s="103" t="str">
        <f t="shared" si="12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35" s="100" t="str">
        <f t="shared" si="13"/>
        <v>"C:\Program Files (x86)\AstroGrep\AstroGrep.exe" /spath="%USERPROFILE%\AppData\Local\Temp\OnboardLogs" /stypes="*4008*20160820*"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4" t="str">
        <f t="shared" si="16"/>
        <v>"%USERPROFILE%\Documents\GitHub\eaglep3\Utilities\RefineRTDCRunTimes.py" --tripid 122-20 --locoid 4008 --swversion DE.1.0.7.0 --startMP 204:232961 --initTime 2016-08-20T07:01:33 --startdatetime 2016-08-20T07:03:07 --delay 1 --endMP 204:154 --enddatetime 2016-08-20T07:50:18 --enforcementcount 0</v>
      </c>
    </row>
    <row r="36" spans="1:34" s="1" customFormat="1" ht="14.25" customHeight="1" x14ac:dyDescent="0.25">
      <c r="A36" s="40" t="s">
        <v>352</v>
      </c>
      <c r="B36" s="7">
        <v>4003</v>
      </c>
      <c r="C36" s="25" t="s">
        <v>116</v>
      </c>
      <c r="D36" s="25" t="s">
        <v>112</v>
      </c>
      <c r="E36" s="16">
        <v>42602.268101851849</v>
      </c>
      <c r="F36" s="16">
        <v>42602.269166666665</v>
      </c>
      <c r="G36" s="7">
        <v>1</v>
      </c>
      <c r="H36" s="16" t="s">
        <v>328</v>
      </c>
      <c r="I36" s="16">
        <v>42602.297002314815</v>
      </c>
      <c r="J36" s="7">
        <v>0</v>
      </c>
      <c r="K36" s="141" t="str">
        <f t="shared" si="0"/>
        <v>4003/4004</v>
      </c>
      <c r="L36" s="25" t="str">
        <f>VLOOKUP(A36,'Trips&amp;Operators'!$C$1:$E$10000,3,FALSE)</f>
        <v>KILLION</v>
      </c>
      <c r="M36" s="6">
        <f t="shared" si="1"/>
        <v>2.7835648150357883E-2</v>
      </c>
      <c r="N36" s="7">
        <f t="shared" si="17"/>
        <v>40.083333336515352</v>
      </c>
      <c r="O36" s="7"/>
      <c r="P36" s="7"/>
      <c r="Q36" s="26"/>
      <c r="R36" s="26"/>
      <c r="S36" s="38">
        <f t="shared" si="18"/>
        <v>1</v>
      </c>
      <c r="T36" s="53" t="str">
        <f t="shared" si="4"/>
        <v>NorthBound</v>
      </c>
      <c r="U36" s="13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05:26:04-0600',mode:absolute,to:'2016-08-20 08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36" s="55" t="str">
        <f t="shared" si="6"/>
        <v>N</v>
      </c>
      <c r="X36" s="128">
        <f t="shared" si="7"/>
        <v>1</v>
      </c>
      <c r="Y36" s="70">
        <f t="shared" si="8"/>
        <v>4.6199999999999998E-2</v>
      </c>
      <c r="Z36" s="70">
        <f t="shared" si="9"/>
        <v>23.331700000000001</v>
      </c>
      <c r="AA36" s="70">
        <f t="shared" si="10"/>
        <v>23.285500000000003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11"/>
        <v>0123-20</v>
      </c>
      <c r="AE36" s="103" t="str">
        <f t="shared" si="12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36" s="100" t="str">
        <f t="shared" si="13"/>
        <v>"C:\Program Files (x86)\AstroGrep\AstroGrep.exe" /spath="%USERPROFILE%\AppData\Local\Temp\OnboardLogs" /stypes="*4003*20160820*" /stext=" 13:.+((SYSTEM_STATE.+slice.+state.+changed )|(ment ac)|(system.+state.+changed )|(\|lc)|(penalty)|(\[timeout)|(PRM\|1\|D)|(kpr)|(kdp))" /e /r /s</v>
      </c>
      <c r="AG36" s="1" t="str">
        <f t="shared" si="14"/>
        <v>EC</v>
      </c>
      <c r="AH36" s="104" t="str">
        <f t="shared" si="16"/>
        <v>"%USERPROFILE%\Documents\GitHub\eaglep3\Utilities\RefineRTDCRunTimes.py" --tripid 123-20 --locoid 4003 --swversion DE.1.0.7.0 --startMP 204:462 --initTime 2016-08-20T06:26:04 --startdatetime 2016-08-20T06:27:36 --delay 1 --endMP 204:233317 --enddatetime 2016-08-20T07:07:41 --enforcementcount 0</v>
      </c>
    </row>
    <row r="37" spans="1:34" s="1" customFormat="1" x14ac:dyDescent="0.25">
      <c r="A37" s="40" t="s">
        <v>353</v>
      </c>
      <c r="B37" s="7">
        <v>4004</v>
      </c>
      <c r="C37" s="25" t="s">
        <v>116</v>
      </c>
      <c r="D37" s="25" t="s">
        <v>223</v>
      </c>
      <c r="E37" s="16">
        <v>42602.301481481481</v>
      </c>
      <c r="F37" s="16">
        <v>42602.302442129629</v>
      </c>
      <c r="G37" s="7">
        <v>1</v>
      </c>
      <c r="H37" s="16" t="s">
        <v>162</v>
      </c>
      <c r="I37" s="16">
        <v>42602.336527777778</v>
      </c>
      <c r="J37" s="7">
        <v>0</v>
      </c>
      <c r="K37" s="141" t="str">
        <f t="shared" si="0"/>
        <v>4003/4004</v>
      </c>
      <c r="L37" s="25" t="str">
        <f>VLOOKUP(A37,'Trips&amp;Operators'!$C$1:$E$10000,3,FALSE)</f>
        <v>KILLION</v>
      </c>
      <c r="M37" s="6">
        <f t="shared" si="1"/>
        <v>3.4085648148902692E-2</v>
      </c>
      <c r="N37" s="7">
        <f t="shared" si="17"/>
        <v>49.083333334419876</v>
      </c>
      <c r="O37" s="7"/>
      <c r="P37" s="7"/>
      <c r="Q37" s="26"/>
      <c r="R37" s="26"/>
      <c r="S37" s="38">
        <f t="shared" si="18"/>
        <v>1</v>
      </c>
      <c r="T37" s="53" t="str">
        <f t="shared" si="4"/>
        <v>Southbound</v>
      </c>
      <c r="U37" s="13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06:14:08-0600',mode:absolute,to:'2016-08-20 09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37" s="55" t="str">
        <f t="shared" si="6"/>
        <v>N</v>
      </c>
      <c r="X37" s="128">
        <f t="shared" si="7"/>
        <v>1</v>
      </c>
      <c r="Y37" s="70">
        <f t="shared" si="8"/>
        <v>23.2974</v>
      </c>
      <c r="Z37" s="70">
        <f t="shared" si="9"/>
        <v>1.4999999999999999E-2</v>
      </c>
      <c r="AA37" s="70">
        <f t="shared" si="10"/>
        <v>23.282399999999999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11"/>
        <v>0124-20</v>
      </c>
      <c r="AE37" s="103" t="str">
        <f t="shared" si="12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37" s="100" t="str">
        <f t="shared" si="13"/>
        <v>"C:\Program Files (x86)\AstroGrep\AstroGrep.exe" /spath="%USERPROFILE%\AppData\Local\Temp\OnboardLogs" /stypes="*4004*20160820*" /stext=" 14:.+((SYSTEM_STATE.+slice.+state.+changed )|(ment ac)|(system.+state.+changed )|(\|lc)|(penalty)|(\[timeout)|(PRM\|1\|D)|(kpr)|(kdp))" /e /r /s</v>
      </c>
      <c r="AG37" s="1" t="str">
        <f t="shared" si="14"/>
        <v>EC</v>
      </c>
      <c r="AH37" s="104" t="str">
        <f t="shared" si="16"/>
        <v>"%USERPROFILE%\Documents\GitHub\eaglep3\Utilities\RefineRTDCRunTimes.py" --tripid 124-20 --locoid 4004 --swversion DE.1.0.7.0 --startMP 204:232974 --initTime 2016-08-20T07:14:08 --startdatetime 2016-08-20T07:15:31 --delay 1 --endMP 204:150 --enddatetime 2016-08-20T08:04:36 --enforcementcount 0</v>
      </c>
    </row>
    <row r="38" spans="1:34" s="1" customFormat="1" x14ac:dyDescent="0.25">
      <c r="A38" s="40" t="s">
        <v>354</v>
      </c>
      <c r="B38" s="7">
        <v>4027</v>
      </c>
      <c r="C38" s="25" t="s">
        <v>116</v>
      </c>
      <c r="D38" s="25" t="s">
        <v>141</v>
      </c>
      <c r="E38" s="16">
        <v>42602.277511574073</v>
      </c>
      <c r="F38" s="16">
        <v>42602.278773148151</v>
      </c>
      <c r="G38" s="7">
        <v>1</v>
      </c>
      <c r="H38" s="16" t="s">
        <v>143</v>
      </c>
      <c r="I38" s="16">
        <v>42602.305914351855</v>
      </c>
      <c r="J38" s="7">
        <v>0</v>
      </c>
      <c r="K38" s="141" t="str">
        <f t="shared" si="0"/>
        <v>4027/4028</v>
      </c>
      <c r="L38" s="25" t="str">
        <f>VLOOKUP(A38,'Trips&amp;Operators'!$C$1:$E$10000,3,FALSE)</f>
        <v>GEBRETEKLE</v>
      </c>
      <c r="M38" s="6">
        <f t="shared" si="1"/>
        <v>2.7141203703649808E-2</v>
      </c>
      <c r="N38" s="7">
        <f t="shared" si="17"/>
        <v>39.083333333255723</v>
      </c>
      <c r="O38" s="7"/>
      <c r="P38" s="7"/>
      <c r="Q38" s="26"/>
      <c r="R38" s="26"/>
      <c r="S38" s="38">
        <f t="shared" si="18"/>
        <v>1</v>
      </c>
      <c r="T38" s="53" t="str">
        <f t="shared" si="4"/>
        <v>NorthBound</v>
      </c>
      <c r="U38" s="13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05:39:37-0600',mode:absolute,to:'2016-08-20 08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8" s="55" t="str">
        <f t="shared" si="6"/>
        <v>N</v>
      </c>
      <c r="X38" s="128">
        <f t="shared" si="7"/>
        <v>1</v>
      </c>
      <c r="Y38" s="70">
        <f t="shared" si="8"/>
        <v>4.4900000000000002E-2</v>
      </c>
      <c r="Z38" s="70">
        <f t="shared" si="9"/>
        <v>23.331199999999999</v>
      </c>
      <c r="AA38" s="70">
        <f t="shared" si="10"/>
        <v>23.286300000000001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si="11"/>
        <v>0125-20</v>
      </c>
      <c r="AE38" s="103" t="str">
        <f t="shared" si="12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38" s="100" t="str">
        <f t="shared" si="13"/>
        <v>"C:\Program Files (x86)\AstroGrep\AstroGrep.exe" /spath="%USERPROFILE%\AppData\Local\Temp\OnboardLogs" /stypes="*4027*20160820*" /stext=" 13:.+((SYSTEM_STATE.+slice.+state.+changed )|(ment ac)|(system.+state.+changed )|(\|lc)|(penalty)|(\[timeout)|(PRM\|1\|D)|(kpr)|(kdp))" /e /r /s</v>
      </c>
      <c r="AG38" s="1" t="str">
        <f t="shared" si="14"/>
        <v>EC</v>
      </c>
      <c r="AH38" s="104" t="str">
        <f t="shared" si="16"/>
        <v>"%USERPROFILE%\Documents\GitHub\eaglep3\Utilities\RefineRTDCRunTimes.py" --tripid 125-20 --locoid 4027 --swversion DE.1.0.7.0 --startMP 204:449 --initTime 2016-08-20T06:39:37 --startdatetime 2016-08-20T06:41:26 --delay 1 --endMP 204:233312 --enddatetime 2016-08-20T07:20:31 --enforcementcount 0</v>
      </c>
    </row>
    <row r="39" spans="1:34" s="1" customFormat="1" x14ac:dyDescent="0.25">
      <c r="A39" s="40" t="s">
        <v>355</v>
      </c>
      <c r="B39" s="7">
        <v>4028</v>
      </c>
      <c r="C39" s="25" t="s">
        <v>116</v>
      </c>
      <c r="D39" s="25" t="s">
        <v>356</v>
      </c>
      <c r="E39" s="16">
        <v>42602.314826388887</v>
      </c>
      <c r="F39" s="16">
        <v>42602.315787037034</v>
      </c>
      <c r="G39" s="7">
        <v>1</v>
      </c>
      <c r="H39" s="16" t="s">
        <v>162</v>
      </c>
      <c r="I39" s="16">
        <v>42602.347222222219</v>
      </c>
      <c r="J39" s="7">
        <v>0</v>
      </c>
      <c r="K39" s="141" t="str">
        <f t="shared" si="0"/>
        <v>4027/4028</v>
      </c>
      <c r="L39" s="25" t="str">
        <f>VLOOKUP(A39,'Trips&amp;Operators'!$C$1:$E$10000,3,FALSE)</f>
        <v>GEBRETEKLE</v>
      </c>
      <c r="M39" s="6">
        <f t="shared" si="1"/>
        <v>3.1435185184818693E-2</v>
      </c>
      <c r="N39" s="7">
        <f t="shared" si="17"/>
        <v>45.266666666138917</v>
      </c>
      <c r="O39" s="7"/>
      <c r="P39" s="7"/>
      <c r="Q39" s="26"/>
      <c r="R39" s="26"/>
      <c r="S39" s="38">
        <f t="shared" si="18"/>
        <v>1</v>
      </c>
      <c r="T39" s="53" t="str">
        <f t="shared" si="4"/>
        <v>Southbound</v>
      </c>
      <c r="U39" s="13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06:33:21-0600',mode:absolute,to:'2016-08-20 09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9" s="55" t="str">
        <f t="shared" si="6"/>
        <v>N</v>
      </c>
      <c r="X39" s="128">
        <f t="shared" ref="X39:X43" si="19">VALUE(LEFT(AD39,4))-VALUE(LEFT(AD38,4))</f>
        <v>1</v>
      </c>
      <c r="Y39" s="70">
        <f t="shared" si="8"/>
        <v>23.299199999999999</v>
      </c>
      <c r="Z39" s="70">
        <f t="shared" si="9"/>
        <v>1.4999999999999999E-2</v>
      </c>
      <c r="AA39" s="70">
        <f t="shared" si="10"/>
        <v>23.284199999999998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11"/>
        <v>0126-20</v>
      </c>
      <c r="AE39" s="103" t="str">
        <f t="shared" si="12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39" s="100" t="str">
        <f t="shared" si="13"/>
        <v>"C:\Program Files (x86)\AstroGrep\AstroGrep.exe" /spath="%USERPROFILE%\AppData\Local\Temp\OnboardLogs" /stypes="*4028*20160820*" /stext=" 14:.+((SYSTEM_STATE.+slice.+state.+changed )|(ment ac)|(system.+state.+changed )|(\|lc)|(penalty)|(\[timeout)|(PRM\|1\|D)|(kpr)|(kdp))" /e /r /s</v>
      </c>
      <c r="AG39" s="1" t="str">
        <f t="shared" si="14"/>
        <v>EC</v>
      </c>
      <c r="AH39" s="104" t="str">
        <f t="shared" si="16"/>
        <v>"%USERPROFILE%\Documents\GitHub\eaglep3\Utilities\RefineRTDCRunTimes.py" --tripid 126-20 --locoid 4028 --swversion DE.1.0.7.0 --startMP 204:232992 --initTime 2016-08-20T07:33:21 --startdatetime 2016-08-20T07:34:44 --delay 1 --endMP 204:150 --enddatetime 2016-08-20T08:20:00 --enforcementcount 0</v>
      </c>
    </row>
    <row r="40" spans="1:34" s="1" customFormat="1" x14ac:dyDescent="0.25">
      <c r="A40" s="40" t="s">
        <v>357</v>
      </c>
      <c r="B40" s="7">
        <v>4044</v>
      </c>
      <c r="C40" s="25" t="s">
        <v>116</v>
      </c>
      <c r="D40" s="25" t="s">
        <v>112</v>
      </c>
      <c r="E40" s="16">
        <v>42602.287638888891</v>
      </c>
      <c r="F40" s="16">
        <v>42602.288703703707</v>
      </c>
      <c r="G40" s="7">
        <v>1</v>
      </c>
      <c r="H40" s="16" t="s">
        <v>150</v>
      </c>
      <c r="I40" s="16">
        <v>42602.317314814813</v>
      </c>
      <c r="J40" s="7">
        <v>0</v>
      </c>
      <c r="K40" s="141" t="str">
        <f t="shared" si="0"/>
        <v>4043/4044</v>
      </c>
      <c r="L40" s="25" t="str">
        <f>VLOOKUP(A40,'Trips&amp;Operators'!$C$1:$E$10000,3,FALSE)</f>
        <v>MAELZER</v>
      </c>
      <c r="M40" s="6">
        <f t="shared" si="1"/>
        <v>2.8611111105419695E-2</v>
      </c>
      <c r="N40" s="7">
        <f t="shared" si="17"/>
        <v>41.199999991804361</v>
      </c>
      <c r="O40" s="7"/>
      <c r="P40" s="7"/>
      <c r="Q40" s="26"/>
      <c r="R40" s="26"/>
      <c r="S40" s="38">
        <f t="shared" si="18"/>
        <v>1</v>
      </c>
      <c r="T40" s="53" t="str">
        <f t="shared" si="4"/>
        <v>NorthBound</v>
      </c>
      <c r="U40" s="13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05:54:12-0600',mode:absolute,to:'2016-08-20 08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0" s="55" t="str">
        <f t="shared" si="6"/>
        <v>N</v>
      </c>
      <c r="X40" s="128">
        <f t="shared" si="19"/>
        <v>1</v>
      </c>
      <c r="Y40" s="70">
        <f t="shared" si="8"/>
        <v>4.6199999999999998E-2</v>
      </c>
      <c r="Z40" s="70">
        <f t="shared" si="9"/>
        <v>23.331</v>
      </c>
      <c r="AA40" s="70">
        <f t="shared" si="10"/>
        <v>23.284800000000001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11"/>
        <v>0127-20</v>
      </c>
      <c r="AE40" s="103" t="str">
        <f t="shared" si="12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40" s="100" t="str">
        <f t="shared" si="13"/>
        <v>"C:\Program Files (x86)\AstroGrep\AstroGrep.exe" /spath="%USERPROFILE%\AppData\Local\Temp\OnboardLogs" /stypes="*4044*20160820*" /stext=" 13:.+((SYSTEM_STATE.+slice.+state.+changed )|(ment ac)|(system.+state.+changed )|(\|lc)|(penalty)|(\[timeout)|(PRM\|1\|D)|(kpr)|(kdp))" /e /r /s</v>
      </c>
      <c r="AG40" s="1" t="str">
        <f t="shared" si="14"/>
        <v>EC</v>
      </c>
      <c r="AH40" s="104" t="str">
        <f t="shared" si="16"/>
        <v>"%USERPROFILE%\Documents\GitHub\eaglep3\Utilities\RefineRTDCRunTimes.py" --tripid 127-20 --locoid 4044 --swversion DE.1.0.7.0 --startMP 204:462 --initTime 2016-08-20T06:54:12 --startdatetime 2016-08-20T06:55:44 --delay 1 --endMP 204:233310 --enddatetime 2016-08-20T07:36:56 --enforcementcount 0</v>
      </c>
    </row>
    <row r="41" spans="1:34" s="1" customFormat="1" x14ac:dyDescent="0.25">
      <c r="A41" s="40" t="s">
        <v>358</v>
      </c>
      <c r="B41" s="7">
        <v>4043</v>
      </c>
      <c r="C41" s="25" t="s">
        <v>116</v>
      </c>
      <c r="D41" s="25" t="s">
        <v>239</v>
      </c>
      <c r="E41" s="16">
        <v>42602.321898148148</v>
      </c>
      <c r="F41" s="16">
        <v>42602.322569444441</v>
      </c>
      <c r="G41" s="7">
        <v>0</v>
      </c>
      <c r="H41" s="16" t="s">
        <v>204</v>
      </c>
      <c r="I41" s="16">
        <v>42602.357662037037</v>
      </c>
      <c r="J41" s="7">
        <v>0</v>
      </c>
      <c r="K41" s="141" t="str">
        <f t="shared" si="0"/>
        <v>4043/4044</v>
      </c>
      <c r="L41" s="25" t="str">
        <f>VLOOKUP(A41,'Trips&amp;Operators'!$C$1:$E$10000,3,FALSE)</f>
        <v>MAELZER</v>
      </c>
      <c r="M41" s="6">
        <f t="shared" si="1"/>
        <v>3.5092592595901806E-2</v>
      </c>
      <c r="N41" s="7">
        <f t="shared" si="17"/>
        <v>50.533333338098601</v>
      </c>
      <c r="O41" s="7"/>
      <c r="P41" s="7"/>
      <c r="Q41" s="26"/>
      <c r="R41" s="26"/>
      <c r="S41" s="38">
        <f t="shared" si="18"/>
        <v>1</v>
      </c>
      <c r="T41" s="53" t="str">
        <f t="shared" si="4"/>
        <v>Southbound</v>
      </c>
      <c r="U41" s="13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06:43:32-0600',mode:absolute,to:'2016-08-20 09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1" s="55" t="str">
        <f t="shared" si="6"/>
        <v>N</v>
      </c>
      <c r="X41" s="128">
        <f t="shared" si="19"/>
        <v>1</v>
      </c>
      <c r="Y41" s="70">
        <f t="shared" si="8"/>
        <v>23.3017</v>
      </c>
      <c r="Z41" s="70">
        <f t="shared" si="9"/>
        <v>1.61E-2</v>
      </c>
      <c r="AA41" s="70">
        <f t="shared" si="10"/>
        <v>23.285599999999999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11"/>
        <v>0128-20</v>
      </c>
      <c r="AE41" s="103" t="str">
        <f t="shared" si="12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41" s="100" t="str">
        <f t="shared" si="13"/>
        <v>"C:\Program Files (x86)\AstroGrep\AstroGrep.exe" /spath="%USERPROFILE%\AppData\Local\Temp\OnboardLogs" /stypes="*4043*20160820*" /stext=" 14:.+((SYSTEM_STATE.+slice.+state.+changed )|(ment ac)|(system.+state.+changed )|(\|lc)|(penalty)|(\[timeout)|(PRM\|1\|D)|(kpr)|(kdp))" /e /r /s</v>
      </c>
      <c r="AG41" s="1" t="str">
        <f t="shared" si="14"/>
        <v>EC</v>
      </c>
      <c r="AH41" s="104" t="str">
        <f t="shared" si="16"/>
        <v>"%USERPROFILE%\Documents\GitHub\eaglep3\Utilities\RefineRTDCRunTimes.py" --tripid 128-20 --locoid 4043 --swversion DE.1.0.7.0 --startMP 204:233017 --initTime 2016-08-20T07:43:32 --startdatetime 2016-08-20T07:44:30 --delay 0 --endMP 204:161 --enddatetime 2016-08-20T08:35:02 --enforcementcount 0</v>
      </c>
    </row>
    <row r="42" spans="1:34" s="1" customFormat="1" x14ac:dyDescent="0.25">
      <c r="A42" s="40" t="s">
        <v>359</v>
      </c>
      <c r="B42" s="7">
        <v>4009</v>
      </c>
      <c r="C42" s="25" t="s">
        <v>116</v>
      </c>
      <c r="D42" s="25" t="s">
        <v>349</v>
      </c>
      <c r="E42" s="16">
        <v>42602.297303240739</v>
      </c>
      <c r="F42" s="16">
        <v>42602.298379629632</v>
      </c>
      <c r="G42" s="7">
        <v>1</v>
      </c>
      <c r="H42" s="16" t="s">
        <v>143</v>
      </c>
      <c r="I42" s="16">
        <v>42602.326979166668</v>
      </c>
      <c r="J42" s="7">
        <v>0</v>
      </c>
      <c r="K42" s="141" t="str">
        <f t="shared" si="0"/>
        <v>4009/4010</v>
      </c>
      <c r="L42" s="25" t="str">
        <f>VLOOKUP(A42,'Trips&amp;Operators'!$C$1:$E$10000,3,FALSE)</f>
        <v>STORY</v>
      </c>
      <c r="M42" s="6">
        <f t="shared" si="1"/>
        <v>2.8599537035916001E-2</v>
      </c>
      <c r="N42" s="7">
        <f t="shared" si="17"/>
        <v>41.183333331719041</v>
      </c>
      <c r="O42" s="7"/>
      <c r="P42" s="7"/>
      <c r="Q42" s="26"/>
      <c r="R42" s="26"/>
      <c r="S42" s="38">
        <f t="shared" si="18"/>
        <v>1</v>
      </c>
      <c r="T42" s="53" t="str">
        <f t="shared" si="4"/>
        <v>NorthBound</v>
      </c>
      <c r="U42" s="13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06:08:07-0600',mode:absolute,to:'2016-08-20 08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2" s="55" t="str">
        <f t="shared" si="6"/>
        <v>N</v>
      </c>
      <c r="X42" s="128">
        <f t="shared" si="19"/>
        <v>1</v>
      </c>
      <c r="Y42" s="70">
        <f t="shared" si="8"/>
        <v>4.6600000000000003E-2</v>
      </c>
      <c r="Z42" s="70">
        <f t="shared" si="9"/>
        <v>23.331199999999999</v>
      </c>
      <c r="AA42" s="70">
        <f t="shared" si="10"/>
        <v>23.284599999999998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11"/>
        <v>0129-20</v>
      </c>
      <c r="AE42" s="103" t="str">
        <f t="shared" si="12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42" s="100" t="str">
        <f t="shared" si="13"/>
        <v>"C:\Program Files (x86)\AstroGrep\AstroGrep.exe" /spath="%USERPROFILE%\AppData\Local\Temp\OnboardLogs" /stypes="*4009*20160820*" /stext=" 13:.+((SYSTEM_STATE.+slice.+state.+changed )|(ment ac)|(system.+state.+changed )|(\|lc)|(penalty)|(\[timeout)|(PRM\|1\|D)|(kpr)|(kdp))" /e /r /s</v>
      </c>
      <c r="AG42" s="1" t="str">
        <f t="shared" si="14"/>
        <v>EC</v>
      </c>
      <c r="AH42" s="104" t="str">
        <f t="shared" si="16"/>
        <v>"%USERPROFILE%\Documents\GitHub\eaglep3\Utilities\RefineRTDCRunTimes.py" --tripid 129-20 --locoid 4009 --swversion DE.1.0.7.0 --startMP 204:466 --initTime 2016-08-20T07:08:07 --startdatetime 2016-08-20T07:09:40 --delay 1 --endMP 204:233312 --enddatetime 2016-08-20T07:50:51 --enforcementcount 0</v>
      </c>
    </row>
    <row r="43" spans="1:34" s="1" customFormat="1" x14ac:dyDescent="0.25">
      <c r="A43" s="40" t="s">
        <v>360</v>
      </c>
      <c r="B43" s="7">
        <v>4010</v>
      </c>
      <c r="C43" s="25" t="s">
        <v>116</v>
      </c>
      <c r="D43" s="25" t="s">
        <v>361</v>
      </c>
      <c r="E43" s="16">
        <v>42602.331331018519</v>
      </c>
      <c r="F43" s="16">
        <v>42602.332824074074</v>
      </c>
      <c r="G43" s="7">
        <v>2</v>
      </c>
      <c r="H43" s="16" t="s">
        <v>162</v>
      </c>
      <c r="I43" s="16">
        <v>42602.367476851854</v>
      </c>
      <c r="J43" s="7">
        <v>0</v>
      </c>
      <c r="K43" s="141" t="str">
        <f t="shared" si="0"/>
        <v>4009/4010</v>
      </c>
      <c r="L43" s="25" t="str">
        <f>VLOOKUP(A43,'Trips&amp;Operators'!$C$1:$E$10000,3,FALSE)</f>
        <v>STORY</v>
      </c>
      <c r="M43" s="6">
        <f t="shared" si="1"/>
        <v>3.4652777780138422E-2</v>
      </c>
      <c r="N43" s="7">
        <f t="shared" si="17"/>
        <v>49.900000003399327</v>
      </c>
      <c r="O43" s="7"/>
      <c r="P43" s="7"/>
      <c r="Q43" s="26"/>
      <c r="R43" s="26"/>
      <c r="S43" s="38">
        <f t="shared" si="18"/>
        <v>1</v>
      </c>
      <c r="T43" s="53" t="str">
        <f t="shared" si="4"/>
        <v>Southbound</v>
      </c>
      <c r="U43" s="13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06:57:07-0600',mode:absolute,to:'2016-08-20 09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3" s="55" t="str">
        <f t="shared" si="6"/>
        <v>N</v>
      </c>
      <c r="X43" s="128">
        <f t="shared" si="19"/>
        <v>1</v>
      </c>
      <c r="Y43" s="70">
        <f t="shared" si="8"/>
        <v>23.299600000000002</v>
      </c>
      <c r="Z43" s="70">
        <f t="shared" si="9"/>
        <v>1.4999999999999999E-2</v>
      </c>
      <c r="AA43" s="70">
        <f t="shared" si="10"/>
        <v>23.284600000000001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11"/>
        <v>0130-20</v>
      </c>
      <c r="AE43" s="103" t="str">
        <f t="shared" si="12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43" s="100" t="str">
        <f t="shared" si="13"/>
        <v>"C:\Program Files (x86)\AstroGrep\AstroGrep.exe" /spath="%USERPROFILE%\AppData\Local\Temp\OnboardLogs" /stypes="*4010*20160820*"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4" t="str">
        <f t="shared" si="16"/>
        <v>"%USERPROFILE%\Documents\GitHub\eaglep3\Utilities\RefineRTDCRunTimes.py" --tripid 130-20 --locoid 4010 --swversion DE.1.0.7.0 --startMP 204:232996 --initTime 2016-08-20T07:57:07 --startdatetime 2016-08-20T07:59:16 --delay 2 --endMP 204:150 --enddatetime 2016-08-20T08:49:10 --enforcementcount 0</v>
      </c>
    </row>
    <row r="44" spans="1:34" s="1" customFormat="1" x14ac:dyDescent="0.25">
      <c r="A44" s="40" t="s">
        <v>362</v>
      </c>
      <c r="B44" s="7">
        <v>4018</v>
      </c>
      <c r="C44" s="25" t="s">
        <v>116</v>
      </c>
      <c r="D44" s="25" t="s">
        <v>349</v>
      </c>
      <c r="E44" s="16">
        <v>42602.307974537034</v>
      </c>
      <c r="F44" s="16">
        <v>42602.308877314812</v>
      </c>
      <c r="G44" s="7">
        <v>1</v>
      </c>
      <c r="H44" s="16" t="s">
        <v>237</v>
      </c>
      <c r="I44" s="16">
        <v>42602.338622685187</v>
      </c>
      <c r="J44" s="7">
        <v>0</v>
      </c>
      <c r="K44" s="141" t="str">
        <f t="shared" si="0"/>
        <v>4017/4018</v>
      </c>
      <c r="L44" s="25" t="str">
        <f>VLOOKUP(A44,'Trips&amp;Operators'!$C$1:$E$10000,3,FALSE)</f>
        <v>MALAVE</v>
      </c>
      <c r="M44" s="6">
        <f t="shared" si="1"/>
        <v>2.9745370375167113E-2</v>
      </c>
      <c r="N44" s="7">
        <f t="shared" si="17"/>
        <v>42.833333340240642</v>
      </c>
      <c r="O44" s="7"/>
      <c r="P44" s="7"/>
      <c r="Q44" s="26"/>
      <c r="R44" s="26"/>
      <c r="S44" s="38">
        <f t="shared" si="18"/>
        <v>1</v>
      </c>
      <c r="T44" s="53" t="str">
        <f t="shared" si="4"/>
        <v>NorthBound</v>
      </c>
      <c r="U44" s="13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https://search-rtdc-monitor-bjffxe2xuh6vdkpspy63sjmuny.us-east-1.es.amazonaws.com/_plugin/kibana/#/discover/Steve-Slow-Train-Analysis-(2080s-and-2083s)?_g=(refreshInterval:(display:Off,section:0,value:0),time:(from:'2016-08-20 06:23:29-0600',mode:absolute,to:'2016-08-20 09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4" s="55" t="str">
        <f t="shared" si="6"/>
        <v>N</v>
      </c>
      <c r="X44" s="128">
        <f t="shared" ref="X44:X75" si="20">VALUE(LEFT(AD44,4))-VALUE(LEFT(AD43,4))</f>
        <v>1</v>
      </c>
      <c r="Y44" s="70">
        <f t="shared" si="8"/>
        <v>4.6600000000000003E-2</v>
      </c>
      <c r="Z44" s="70">
        <f t="shared" si="9"/>
        <v>23.329699999999999</v>
      </c>
      <c r="AA44" s="70">
        <f t="shared" si="10"/>
        <v>23.283099999999997</v>
      </c>
      <c r="AB44" s="67">
        <f>VLOOKUP(A44,Enforcements!$C$7:$J$24,8,0)</f>
        <v>116838</v>
      </c>
      <c r="AC44" s="63" t="str">
        <f>VLOOKUP(A44,Enforcements!$C$7:$E$24,3,0)</f>
        <v>PERMANENT SPEED RESTRICTION</v>
      </c>
      <c r="AD44" s="64" t="str">
        <f t="shared" si="11"/>
        <v>0131-20</v>
      </c>
      <c r="AE44" s="103" t="str">
        <f t="shared" si="12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44" s="100" t="str">
        <f t="shared" si="13"/>
        <v>"C:\Program Files (x86)\AstroGrep\AstroGrep.exe" /spath="%USERPROFILE%\AppData\Local\Temp\OnboardLogs" /stypes="*4018*20160820*"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04" t="str">
        <f t="shared" si="16"/>
        <v>"%USERPROFILE%\Documents\GitHub\eaglep3\Utilities\RefineRTDCRunTimes.py" --tripid 131-20 --locoid 4018 --swversion DE.1.0.7.0 --startMP 204:466 --initTime 2016-08-20T07:23:29 --startdatetime 2016-08-20T07:24:47 --delay 1 --endMP 204:233297 --enddatetime 2016-08-20T08:07:37 --enforcementcount 0</v>
      </c>
    </row>
    <row r="45" spans="1:34" s="1" customFormat="1" x14ac:dyDescent="0.25">
      <c r="A45" s="40" t="s">
        <v>363</v>
      </c>
      <c r="B45" s="7">
        <v>4017</v>
      </c>
      <c r="C45" s="25" t="s">
        <v>116</v>
      </c>
      <c r="D45" s="25" t="s">
        <v>61</v>
      </c>
      <c r="E45" s="16">
        <v>42602.350092592591</v>
      </c>
      <c r="F45" s="16">
        <v>42602.351099537038</v>
      </c>
      <c r="G45" s="7">
        <v>1</v>
      </c>
      <c r="H45" s="16" t="s">
        <v>204</v>
      </c>
      <c r="I45" s="16">
        <v>42602.378483796296</v>
      </c>
      <c r="J45" s="7">
        <v>0</v>
      </c>
      <c r="K45" s="141" t="str">
        <f t="shared" ref="K45:K76" si="21">IF(ISEVEN(B45),(B45-1)&amp;"/"&amp;B45,B45&amp;"/"&amp;(B45+1))</f>
        <v>4017/4018</v>
      </c>
      <c r="L45" s="25" t="str">
        <f>VLOOKUP(A45,'Trips&amp;Operators'!$C$1:$E$10000,3,FALSE)</f>
        <v>MALAVE</v>
      </c>
      <c r="M45" s="6">
        <f t="shared" ref="M45:M76" si="22">I45-F45</f>
        <v>2.7384259257814847E-2</v>
      </c>
      <c r="N45" s="7">
        <f t="shared" si="17"/>
        <v>39.43333333125338</v>
      </c>
      <c r="O45" s="7"/>
      <c r="P45" s="7"/>
      <c r="Q45" s="26"/>
      <c r="R45" s="26"/>
      <c r="S45" s="38">
        <f t="shared" si="18"/>
        <v>1</v>
      </c>
      <c r="T45" s="53" t="str">
        <f t="shared" ref="T45:T76" si="23">IF(ISEVEN(LEFT(AD45,4)),"Southbound","NorthBound")</f>
        <v>Southbound</v>
      </c>
      <c r="U45" s="13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0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https://search-rtdc-monitor-bjffxe2xuh6vdkpspy63sjmuny.us-east-1.es.amazonaws.com/_plugin/kibana/#/discover/Steve-Slow-Train-Analysis-(2080s-and-2083s)?_g=(refreshInterval:(display:Off,section:0,value:0),time:(from:'2016-08-20 07:24:08-0600',mode:absolute,to:'2016-08-20 10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5" s="55" t="str">
        <f t="shared" ref="W45:W76" si="25">IF(AA45&lt;IF(AG45="EC",23,5.65),"Y","N")</f>
        <v>N</v>
      </c>
      <c r="X45" s="128">
        <f t="shared" si="20"/>
        <v>1</v>
      </c>
      <c r="Y45" s="70">
        <f t="shared" ref="Y45:Y76" si="26">RIGHT(D45,LEN(D45)-4)/10000</f>
        <v>23.297699999999999</v>
      </c>
      <c r="Z45" s="70">
        <f t="shared" ref="Z45:Z76" si="27">RIGHT(H45,LEN(H45)-4)/10000</f>
        <v>1.61E-2</v>
      </c>
      <c r="AA45" s="70">
        <f t="shared" ref="AA45:AA76" si="28">ABS(Z45-Y45)</f>
        <v>23.281599999999997</v>
      </c>
      <c r="AB45" s="67">
        <f>VLOOKUP(A45,Enforcements!$C$7:$J$24,8,0)</f>
        <v>191723</v>
      </c>
      <c r="AC45" s="63" t="str">
        <f>VLOOKUP(A45,Enforcements!$C$7:$E$24,3,0)</f>
        <v>SIGNAL</v>
      </c>
      <c r="AD45" s="64" t="str">
        <f t="shared" ref="AD45:AD76" si="29">IF(LEN(A45)=6,"0"&amp;A45,A45)</f>
        <v>0132-20</v>
      </c>
      <c r="AE45" s="103" t="str">
        <f t="shared" ref="AE45:AE76" si="30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45" s="100" t="str">
        <f t="shared" ref="AF45:AF76" si="31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/stypes="*4017*20160820*" /stext=" 15:.+((SYSTEM_STATE.+slice.+state.+changed )|(ment ac)|(system.+state.+changed )|(\|lc)|(penalty)|(\[timeout)|(PRM\|1\|D)|(kpr)|(kdp))" /e /r /s</v>
      </c>
      <c r="AG45" s="1" t="str">
        <f t="shared" ref="AG45:AG76" si="32">IFERROR(IF(VALUE(LEFT(AD45,2))&lt;=2,"EC",IF(OR(VALUE(LEFT(AD45,2))=8,VALUE(LEFT(AD45,2))=18),"NW","Other")),"Other")</f>
        <v>EC</v>
      </c>
      <c r="AH45" s="104" t="str">
        <f t="shared" si="16"/>
        <v>"%USERPROFILE%\Documents\GitHub\eaglep3\Utilities\RefineRTDCRunTimes.py" --tripid 132-20 --locoid 4017 --swversion DE.1.0.7.0 --startMP 204:232977 --initTime 2016-08-20T08:24:08 --startdatetime 2016-08-20T08:25:35 --delay 1 --endMP 204:161 --enddatetime 2016-08-20T09:05:01 --enforcementcount 0</v>
      </c>
    </row>
    <row r="46" spans="1:34" s="1" customFormat="1" x14ac:dyDescent="0.25">
      <c r="A46" s="40" t="s">
        <v>364</v>
      </c>
      <c r="B46" s="7">
        <v>4031</v>
      </c>
      <c r="C46" s="25" t="s">
        <v>116</v>
      </c>
      <c r="D46" s="25" t="s">
        <v>365</v>
      </c>
      <c r="E46" s="16">
        <v>42602.318599537037</v>
      </c>
      <c r="F46" s="16">
        <v>42602.319745370369</v>
      </c>
      <c r="G46" s="7">
        <v>1</v>
      </c>
      <c r="H46" s="16" t="s">
        <v>143</v>
      </c>
      <c r="I46" s="16">
        <v>42602.348043981481</v>
      </c>
      <c r="J46" s="7">
        <v>0</v>
      </c>
      <c r="K46" s="141" t="str">
        <f t="shared" si="21"/>
        <v>4031/4032</v>
      </c>
      <c r="L46" s="25" t="str">
        <f>VLOOKUP(A46,'Trips&amp;Operators'!$C$1:$E$10000,3,FALSE)</f>
        <v>ACKERMAN</v>
      </c>
      <c r="M46" s="6">
        <f t="shared" si="22"/>
        <v>2.8298611112404615E-2</v>
      </c>
      <c r="N46" s="7">
        <f t="shared" si="17"/>
        <v>40.750000001862645</v>
      </c>
      <c r="O46" s="7"/>
      <c r="P46" s="7"/>
      <c r="Q46" s="26"/>
      <c r="R46" s="26"/>
      <c r="S46" s="38">
        <f t="shared" si="18"/>
        <v>1</v>
      </c>
      <c r="T46" s="53" t="str">
        <f t="shared" si="23"/>
        <v>NorthBound</v>
      </c>
      <c r="U46" s="13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06:38:47-0600',mode:absolute,to:'2016-08-20 09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6" s="55" t="str">
        <f t="shared" si="25"/>
        <v>N</v>
      </c>
      <c r="X46" s="128">
        <f t="shared" si="20"/>
        <v>1</v>
      </c>
      <c r="Y46" s="70">
        <f t="shared" si="26"/>
        <v>4.7800000000000002E-2</v>
      </c>
      <c r="Z46" s="70">
        <f t="shared" si="27"/>
        <v>23.331199999999999</v>
      </c>
      <c r="AA46" s="70">
        <f t="shared" si="28"/>
        <v>23.2834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29"/>
        <v>0133-20</v>
      </c>
      <c r="AE46" s="103" t="str">
        <f t="shared" si="30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46" s="100" t="str">
        <f t="shared" si="31"/>
        <v>"C:\Program Files (x86)\AstroGrep\AstroGrep.exe" /spath="%USERPROFILE%\AppData\Local\Temp\OnboardLogs" /stypes="*4031*20160820*" /stext=" 14:.+((SYSTEM_STATE.+slice.+state.+changed )|(ment ac)|(system.+state.+changed )|(\|lc)|(penalty)|(\[timeout)|(PRM\|1\|D)|(kpr)|(kdp))" /e /r /s</v>
      </c>
      <c r="AG46" s="1" t="str">
        <f t="shared" si="32"/>
        <v>EC</v>
      </c>
      <c r="AH46" s="104" t="str">
        <f t="shared" si="16"/>
        <v>"%USERPROFILE%\Documents\GitHub\eaglep3\Utilities\RefineRTDCRunTimes.py" --tripid 133-20 --locoid 4031 --swversion DE.1.0.7.0 --startMP 204:478 --initTime 2016-08-20T07:38:47 --startdatetime 2016-08-20T07:40:26 --delay 1 --endMP 204:233312 --enddatetime 2016-08-20T08:21:11 --enforcementcount 0</v>
      </c>
    </row>
    <row r="47" spans="1:34" s="1" customFormat="1" x14ac:dyDescent="0.25">
      <c r="A47" s="40" t="s">
        <v>366</v>
      </c>
      <c r="B47" s="7">
        <v>4032</v>
      </c>
      <c r="C47" s="25" t="s">
        <v>116</v>
      </c>
      <c r="D47" s="25" t="s">
        <v>367</v>
      </c>
      <c r="E47" s="16">
        <v>42602.355833333335</v>
      </c>
      <c r="F47" s="16">
        <v>42602.356759259259</v>
      </c>
      <c r="G47" s="7">
        <v>1</v>
      </c>
      <c r="H47" s="16" t="s">
        <v>260</v>
      </c>
      <c r="I47" s="16">
        <v>42602.389155092591</v>
      </c>
      <c r="J47" s="7">
        <v>0</v>
      </c>
      <c r="K47" s="141" t="str">
        <f t="shared" si="21"/>
        <v>4031/4032</v>
      </c>
      <c r="L47" s="25" t="str">
        <f>VLOOKUP(A47,'Trips&amp;Operators'!$C$1:$E$10000,3,FALSE)</f>
        <v>ACKERMAN</v>
      </c>
      <c r="M47" s="6">
        <f t="shared" si="22"/>
        <v>3.2395833331975155E-2</v>
      </c>
      <c r="N47" s="7">
        <f t="shared" si="17"/>
        <v>46.649999998044223</v>
      </c>
      <c r="O47" s="7"/>
      <c r="P47" s="7"/>
      <c r="Q47" s="26"/>
      <c r="R47" s="26"/>
      <c r="S47" s="38">
        <f t="shared" si="18"/>
        <v>1</v>
      </c>
      <c r="T47" s="53" t="str">
        <f t="shared" si="23"/>
        <v>Southbound</v>
      </c>
      <c r="U47" s="13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07:32:24-0600',mode:absolute,to:'2016-08-20 10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7" s="55" t="str">
        <f t="shared" si="25"/>
        <v>N</v>
      </c>
      <c r="X47" s="128">
        <f t="shared" si="20"/>
        <v>1</v>
      </c>
      <c r="Y47" s="70">
        <f t="shared" si="26"/>
        <v>23.2986</v>
      </c>
      <c r="Z47" s="70">
        <f t="shared" si="27"/>
        <v>1.34E-2</v>
      </c>
      <c r="AA47" s="70">
        <f t="shared" si="28"/>
        <v>23.2852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29"/>
        <v>0134-20</v>
      </c>
      <c r="AE47" s="103" t="str">
        <f t="shared" si="30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47" s="100" t="str">
        <f t="shared" si="31"/>
        <v>"C:\Program Files (x86)\AstroGrep\AstroGrep.exe" /spath="%USERPROFILE%\AppData\Local\Temp\OnboardLogs" /stypes="*4032*20160820*" /stext=" 15:.+((SYSTEM_STATE.+slice.+state.+changed )|(ment ac)|(system.+state.+changed )|(\|lc)|(penalty)|(\[timeout)|(PRM\|1\|D)|(kpr)|(kdp))" /e /r /s</v>
      </c>
      <c r="AG47" s="1" t="str">
        <f t="shared" si="32"/>
        <v>EC</v>
      </c>
      <c r="AH47" s="104" t="str">
        <f t="shared" si="16"/>
        <v>"%USERPROFILE%\Documents\GitHub\eaglep3\Utilities\RefineRTDCRunTimes.py" --tripid 134-20 --locoid 4032 --swversion DE.1.0.7.0 --startMP 204:232986 --initTime 2016-08-20T08:32:24 --startdatetime 2016-08-20T08:33:44 --delay 1 --endMP 204:134 --enddatetime 2016-08-20T09:20:23 --enforcementcount 0</v>
      </c>
    </row>
    <row r="48" spans="1:34" s="1" customFormat="1" x14ac:dyDescent="0.25">
      <c r="A48" s="40" t="s">
        <v>368</v>
      </c>
      <c r="B48" s="7">
        <v>4007</v>
      </c>
      <c r="C48" s="25" t="s">
        <v>116</v>
      </c>
      <c r="D48" s="25" t="s">
        <v>215</v>
      </c>
      <c r="E48" s="16">
        <v>42602.327835648146</v>
      </c>
      <c r="F48" s="16">
        <v>42602.328935185185</v>
      </c>
      <c r="G48" s="7">
        <v>1</v>
      </c>
      <c r="H48" s="16" t="s">
        <v>369</v>
      </c>
      <c r="I48" s="16">
        <v>42602.359074074076</v>
      </c>
      <c r="J48" s="7">
        <v>0</v>
      </c>
      <c r="K48" s="141" t="str">
        <f t="shared" si="21"/>
        <v>4007/4008</v>
      </c>
      <c r="L48" s="25" t="str">
        <f>VLOOKUP(A48,'Trips&amp;Operators'!$C$1:$E$10000,3,FALSE)</f>
        <v>DAVIS</v>
      </c>
      <c r="M48" s="6">
        <f t="shared" si="22"/>
        <v>3.0138888891087845E-2</v>
      </c>
      <c r="N48" s="7">
        <f t="shared" si="17"/>
        <v>43.400000003166497</v>
      </c>
      <c r="O48" s="7"/>
      <c r="P48" s="7"/>
      <c r="Q48" s="26"/>
      <c r="R48" s="26"/>
      <c r="S48" s="38">
        <f t="shared" si="18"/>
        <v>1</v>
      </c>
      <c r="T48" s="53" t="str">
        <f t="shared" si="23"/>
        <v>NorthBound</v>
      </c>
      <c r="U48" s="13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06:52:05-0600',mode:absolute,to:'2016-08-20 09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8" s="55" t="str">
        <f t="shared" si="25"/>
        <v>N</v>
      </c>
      <c r="X48" s="128">
        <f t="shared" si="20"/>
        <v>1</v>
      </c>
      <c r="Y48" s="70">
        <f t="shared" si="26"/>
        <v>4.3700000000000003E-2</v>
      </c>
      <c r="Z48" s="70">
        <f t="shared" si="27"/>
        <v>23.333100000000002</v>
      </c>
      <c r="AA48" s="70">
        <f t="shared" si="28"/>
        <v>23.289400000000001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29"/>
        <v>0135-20</v>
      </c>
      <c r="AE48" s="103" t="str">
        <f t="shared" si="30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48" s="100" t="str">
        <f t="shared" si="31"/>
        <v>"C:\Program Files (x86)\AstroGrep\AstroGrep.exe" /spath="%USERPROFILE%\AppData\Local\Temp\OnboardLogs" /stypes="*4007*20160820*" /stext=" 14:.+((SYSTEM_STATE.+slice.+state.+changed )|(ment ac)|(system.+state.+changed )|(\|lc)|(penalty)|(\[timeout)|(PRM\|1\|D)|(kpr)|(kdp))" /e /r /s</v>
      </c>
      <c r="AG48" s="1" t="str">
        <f t="shared" si="32"/>
        <v>EC</v>
      </c>
      <c r="AH48" s="104" t="str">
        <f t="shared" si="16"/>
        <v>"%USERPROFILE%\Documents\GitHub\eaglep3\Utilities\RefineRTDCRunTimes.py" --tripid 135-20 --locoid 4007 --swversion DE.1.0.7.0 --startMP 204:437 --initTime 2016-08-20T07:52:05 --startdatetime 2016-08-20T07:53:40 --delay 1 --endMP 204:233331 --enddatetime 2016-08-20T08:37:04 --enforcementcount 0</v>
      </c>
    </row>
    <row r="49" spans="1:34" s="1" customFormat="1" x14ac:dyDescent="0.25">
      <c r="A49" s="40" t="s">
        <v>370</v>
      </c>
      <c r="B49" s="7">
        <v>4008</v>
      </c>
      <c r="C49" s="25" t="s">
        <v>116</v>
      </c>
      <c r="D49" s="25" t="s">
        <v>129</v>
      </c>
      <c r="E49" s="16">
        <v>42602.367280092592</v>
      </c>
      <c r="F49" s="16">
        <v>42602.368055555555</v>
      </c>
      <c r="G49" s="7">
        <v>1</v>
      </c>
      <c r="H49" s="16" t="s">
        <v>137</v>
      </c>
      <c r="I49" s="16">
        <v>42602.399317129632</v>
      </c>
      <c r="J49" s="7">
        <v>0</v>
      </c>
      <c r="K49" s="141" t="str">
        <f t="shared" si="21"/>
        <v>4007/4008</v>
      </c>
      <c r="L49" s="25" t="str">
        <f>VLOOKUP(A49,'Trips&amp;Operators'!$C$1:$E$10000,3,FALSE)</f>
        <v>DAVIS</v>
      </c>
      <c r="M49" s="6">
        <f t="shared" si="22"/>
        <v>3.1261574076779652E-2</v>
      </c>
      <c r="N49" s="7">
        <f t="shared" si="17"/>
        <v>45.016666670562699</v>
      </c>
      <c r="O49" s="7"/>
      <c r="P49" s="7"/>
      <c r="Q49" s="26"/>
      <c r="R49" s="26"/>
      <c r="S49" s="38">
        <f t="shared" si="18"/>
        <v>1</v>
      </c>
      <c r="T49" s="53" t="str">
        <f t="shared" si="23"/>
        <v>Southbound</v>
      </c>
      <c r="U49" s="13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07:48:53-0600',mode:absolute,to:'2016-08-20 10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9" s="55" t="str">
        <f t="shared" si="25"/>
        <v>N</v>
      </c>
      <c r="X49" s="128">
        <f t="shared" si="20"/>
        <v>1</v>
      </c>
      <c r="Y49" s="70">
        <f t="shared" si="26"/>
        <v>23.299800000000001</v>
      </c>
      <c r="Z49" s="70">
        <f t="shared" si="27"/>
        <v>1.47E-2</v>
      </c>
      <c r="AA49" s="70">
        <f t="shared" si="28"/>
        <v>23.2851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29"/>
        <v>0136-20</v>
      </c>
      <c r="AE49" s="103" t="str">
        <f t="shared" si="30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49" s="100" t="str">
        <f t="shared" si="31"/>
        <v>"C:\Program Files (x86)\AstroGrep\AstroGrep.exe" /spath="%USERPROFILE%\AppData\Local\Temp\OnboardLogs" /stypes="*4008*20160820*" /stext=" 15:.+((SYSTEM_STATE.+slice.+state.+changed )|(ment ac)|(system.+state.+changed )|(\|lc)|(penalty)|(\[timeout)|(PRM\|1\|D)|(kpr)|(kdp))" /e /r /s</v>
      </c>
      <c r="AG49" s="1" t="str">
        <f t="shared" si="32"/>
        <v>EC</v>
      </c>
      <c r="AH49" s="104" t="str">
        <f t="shared" si="16"/>
        <v>"%USERPROFILE%\Documents\GitHub\eaglep3\Utilities\RefineRTDCRunTimes.py" --tripid 136-20 --locoid 4008 --swversion DE.1.0.7.0 --startMP 204:232998 --initTime 2016-08-20T08:48:53 --startdatetime 2016-08-20T08:50:00 --delay 1 --endMP 204:147 --enddatetime 2016-08-20T09:35:01 --enforcementcount 0</v>
      </c>
    </row>
    <row r="50" spans="1:34" s="1" customFormat="1" x14ac:dyDescent="0.25">
      <c r="A50" s="40" t="s">
        <v>371</v>
      </c>
      <c r="B50" s="7">
        <v>4003</v>
      </c>
      <c r="C50" s="25" t="s">
        <v>116</v>
      </c>
      <c r="D50" s="25" t="s">
        <v>165</v>
      </c>
      <c r="E50" s="16">
        <v>42602.337812500002</v>
      </c>
      <c r="F50" s="16">
        <v>42602.338576388887</v>
      </c>
      <c r="G50" s="7">
        <v>1</v>
      </c>
      <c r="H50" s="16" t="s">
        <v>372</v>
      </c>
      <c r="I50" s="16">
        <v>42602.36859953704</v>
      </c>
      <c r="J50" s="7">
        <v>0</v>
      </c>
      <c r="K50" s="141" t="str">
        <f t="shared" si="21"/>
        <v>4003/4004</v>
      </c>
      <c r="L50" s="25" t="str">
        <f>VLOOKUP(A50,'Trips&amp;Operators'!$C$1:$E$10000,3,FALSE)</f>
        <v>KILLION</v>
      </c>
      <c r="M50" s="6">
        <f t="shared" si="22"/>
        <v>3.0023148152395152E-2</v>
      </c>
      <c r="N50" s="7">
        <f t="shared" si="17"/>
        <v>43.233333339449018</v>
      </c>
      <c r="O50" s="7"/>
      <c r="P50" s="7"/>
      <c r="Q50" s="26"/>
      <c r="R50" s="26"/>
      <c r="S50" s="38">
        <f t="shared" si="18"/>
        <v>1</v>
      </c>
      <c r="T50" s="53" t="str">
        <f t="shared" si="23"/>
        <v>NorthBound</v>
      </c>
      <c r="U50" s="13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07:06:27-0600',mode:absolute,to:'2016-08-20 09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50" s="55" t="str">
        <f t="shared" si="25"/>
        <v>N</v>
      </c>
      <c r="X50" s="128">
        <f t="shared" si="20"/>
        <v>1</v>
      </c>
      <c r="Y50" s="70">
        <f t="shared" si="26"/>
        <v>4.5100000000000001E-2</v>
      </c>
      <c r="Z50" s="70">
        <f t="shared" si="27"/>
        <v>23.330100000000002</v>
      </c>
      <c r="AA50" s="70">
        <f t="shared" si="28"/>
        <v>23.285</v>
      </c>
      <c r="AB50" s="67" t="e">
        <f>VLOOKUP(A50,Enforcements!$C$7:$J$24,8,0)</f>
        <v>#N/A</v>
      </c>
      <c r="AC50" s="63" t="e">
        <f>VLOOKUP(A50,Enforcements!$C$7:$E$24,3,0)</f>
        <v>#N/A</v>
      </c>
      <c r="AD50" s="64" t="str">
        <f t="shared" si="29"/>
        <v>0137-20</v>
      </c>
      <c r="AE50" s="103" t="str">
        <f t="shared" si="30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50" s="100" t="str">
        <f t="shared" si="31"/>
        <v>"C:\Program Files (x86)\AstroGrep\AstroGrep.exe" /spath="%USERPROFILE%\AppData\Local\Temp\OnboardLogs" /stypes="*4003*20160820*" /stext=" 14:.+((SYSTEM_STATE.+slice.+state.+changed )|(ment ac)|(system.+state.+changed )|(\|lc)|(penalty)|(\[timeout)|(PRM\|1\|D)|(kpr)|(kdp))" /e /r /s</v>
      </c>
      <c r="AG50" s="1" t="str">
        <f t="shared" si="32"/>
        <v>EC</v>
      </c>
      <c r="AH50" s="104" t="str">
        <f t="shared" si="16"/>
        <v>"%USERPROFILE%\Documents\GitHub\eaglep3\Utilities\RefineRTDCRunTimes.py" --tripid 137-20 --locoid 4003 --swversion DE.1.0.7.0 --startMP 204:451 --initTime 2016-08-20T08:06:27 --startdatetime 2016-08-20T08:07:33 --delay 1 --endMP 204:233301 --enddatetime 2016-08-20T08:50:47 --enforcementcount 0</v>
      </c>
    </row>
    <row r="51" spans="1:34" s="1" customFormat="1" x14ac:dyDescent="0.25">
      <c r="A51" s="40" t="s">
        <v>373</v>
      </c>
      <c r="B51" s="7">
        <v>4004</v>
      </c>
      <c r="C51" s="25" t="s">
        <v>116</v>
      </c>
      <c r="D51" s="25" t="s">
        <v>263</v>
      </c>
      <c r="E51" s="16">
        <v>42602.374143518522</v>
      </c>
      <c r="F51" s="16">
        <v>42602.375104166669</v>
      </c>
      <c r="G51" s="7">
        <v>1</v>
      </c>
      <c r="H51" s="16" t="s">
        <v>167</v>
      </c>
      <c r="I51" s="16">
        <v>42602.41065972222</v>
      </c>
      <c r="J51" s="7">
        <v>0</v>
      </c>
      <c r="K51" s="141" t="str">
        <f t="shared" si="21"/>
        <v>4003/4004</v>
      </c>
      <c r="L51" s="25" t="str">
        <f>VLOOKUP(A51,'Trips&amp;Operators'!$C$1:$E$10000,3,FALSE)</f>
        <v>KILLION</v>
      </c>
      <c r="M51" s="6">
        <f t="shared" si="22"/>
        <v>3.555555555067258E-2</v>
      </c>
      <c r="N51" s="7">
        <f t="shared" si="17"/>
        <v>51.199999992968515</v>
      </c>
      <c r="O51" s="7"/>
      <c r="P51" s="7"/>
      <c r="Q51" s="26"/>
      <c r="R51" s="26"/>
      <c r="S51" s="38">
        <f t="shared" si="18"/>
        <v>1</v>
      </c>
      <c r="T51" s="53" t="str">
        <f t="shared" si="23"/>
        <v>Southbound</v>
      </c>
      <c r="U51" s="13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07:58:46-0600',mode:absolute,to:'2016-08-20 10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51" s="55" t="str">
        <f t="shared" si="25"/>
        <v>N</v>
      </c>
      <c r="X51" s="128">
        <f t="shared" si="20"/>
        <v>1</v>
      </c>
      <c r="Y51" s="70">
        <f t="shared" si="26"/>
        <v>23.2971</v>
      </c>
      <c r="Z51" s="70">
        <f t="shared" si="27"/>
        <v>1.54E-2</v>
      </c>
      <c r="AA51" s="70">
        <f t="shared" si="28"/>
        <v>23.281700000000001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29"/>
        <v>0138-20</v>
      </c>
      <c r="AE51" s="103" t="str">
        <f t="shared" si="30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51" s="100" t="str">
        <f t="shared" si="31"/>
        <v>"C:\Program Files (x86)\AstroGrep\AstroGrep.exe" /spath="%USERPROFILE%\AppData\Local\Temp\OnboardLogs" /stypes="*4004*20160820*" /stext=" 15:.+((SYSTEM_STATE.+slice.+state.+changed )|(ment ac)|(system.+state.+changed )|(\|lc)|(penalty)|(\[timeout)|(PRM\|1\|D)|(kpr)|(kdp))" /e /r /s</v>
      </c>
      <c r="AG51" s="1" t="str">
        <f t="shared" si="32"/>
        <v>EC</v>
      </c>
      <c r="AH51" s="104" t="str">
        <f t="shared" si="16"/>
        <v>"%USERPROFILE%\Documents\GitHub\eaglep3\Utilities\RefineRTDCRunTimes.py" --tripid 138-20 --locoid 4004 --swversion DE.1.0.7.0 --startMP 204:232971 --initTime 2016-08-20T08:58:46 --startdatetime 2016-08-20T09:00:09 --delay 1 --endMP 204:154 --enddatetime 2016-08-20T09:51:21 --enforcementcount 0</v>
      </c>
    </row>
    <row r="52" spans="1:34" s="1" customFormat="1" x14ac:dyDescent="0.25">
      <c r="A52" s="40" t="s">
        <v>374</v>
      </c>
      <c r="B52" s="7">
        <v>4027</v>
      </c>
      <c r="C52" s="25" t="s">
        <v>116</v>
      </c>
      <c r="D52" s="25" t="s">
        <v>375</v>
      </c>
      <c r="E52" s="16">
        <v>42602.349444444444</v>
      </c>
      <c r="F52" s="16">
        <v>42602.350486111114</v>
      </c>
      <c r="G52" s="7">
        <v>1</v>
      </c>
      <c r="H52" s="16" t="s">
        <v>157</v>
      </c>
      <c r="I52" s="16">
        <v>42602.379421296297</v>
      </c>
      <c r="J52" s="7">
        <v>0</v>
      </c>
      <c r="K52" s="141" t="str">
        <f t="shared" si="21"/>
        <v>4027/4028</v>
      </c>
      <c r="L52" s="25" t="str">
        <f>VLOOKUP(A52,'Trips&amp;Operators'!$C$1:$E$10000,3,FALSE)</f>
        <v>GEBRETEKLE</v>
      </c>
      <c r="M52" s="6">
        <f t="shared" si="22"/>
        <v>2.8935185182490386E-2</v>
      </c>
      <c r="N52" s="7">
        <f t="shared" si="17"/>
        <v>41.666666662786156</v>
      </c>
      <c r="O52" s="7"/>
      <c r="P52" s="7"/>
      <c r="Q52" s="26"/>
      <c r="R52" s="26"/>
      <c r="S52" s="38">
        <f t="shared" si="18"/>
        <v>1</v>
      </c>
      <c r="T52" s="53" t="str">
        <f t="shared" si="23"/>
        <v>NorthBound</v>
      </c>
      <c r="U52" s="13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07:23:12-0600',mode:absolute,to:'2016-08-20 10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2" s="55" t="str">
        <f t="shared" si="25"/>
        <v>N</v>
      </c>
      <c r="X52" s="128">
        <f t="shared" si="20"/>
        <v>1</v>
      </c>
      <c r="Y52" s="70">
        <f t="shared" si="26"/>
        <v>4.3999999999999997E-2</v>
      </c>
      <c r="Z52" s="70">
        <f t="shared" si="27"/>
        <v>23.33</v>
      </c>
      <c r="AA52" s="70">
        <f t="shared" si="28"/>
        <v>23.285999999999998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29"/>
        <v>0139-20</v>
      </c>
      <c r="AE52" s="103" t="str">
        <f t="shared" si="30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52" s="100" t="str">
        <f t="shared" si="31"/>
        <v>"C:\Program Files (x86)\AstroGrep\AstroGrep.exe" /spath="%USERPROFILE%\AppData\Local\Temp\OnboardLogs" /stypes="*4027*20160820*" /stext=" 15:.+((SYSTEM_STATE.+slice.+state.+changed )|(ment ac)|(system.+state.+changed )|(\|lc)|(penalty)|(\[timeout)|(PRM\|1\|D)|(kpr)|(kdp))" /e /r /s</v>
      </c>
      <c r="AG52" s="1" t="str">
        <f t="shared" si="32"/>
        <v>EC</v>
      </c>
      <c r="AH52" s="104" t="str">
        <f t="shared" si="16"/>
        <v>"%USERPROFILE%\Documents\GitHub\eaglep3\Utilities\RefineRTDCRunTimes.py" --tripid 139-20 --locoid 4027 --swversion DE.1.0.7.0 --startMP 204:440 --initTime 2016-08-20T08:23:12 --startdatetime 2016-08-20T08:24:42 --delay 1 --endMP 204:233300 --enddatetime 2016-08-20T09:06:22 --enforcementcount 0</v>
      </c>
    </row>
    <row r="53" spans="1:34" s="1" customFormat="1" x14ac:dyDescent="0.25">
      <c r="A53" s="40" t="s">
        <v>376</v>
      </c>
      <c r="B53" s="7">
        <v>4028</v>
      </c>
      <c r="C53" s="25" t="s">
        <v>116</v>
      </c>
      <c r="D53" s="25" t="s">
        <v>377</v>
      </c>
      <c r="E53" s="16">
        <v>42602.387731481482</v>
      </c>
      <c r="F53" s="16">
        <v>42602.388715277775</v>
      </c>
      <c r="G53" s="7">
        <v>1</v>
      </c>
      <c r="H53" s="16" t="s">
        <v>193</v>
      </c>
      <c r="I53" s="16">
        <v>42602.420578703706</v>
      </c>
      <c r="J53" s="7">
        <v>0</v>
      </c>
      <c r="K53" s="141" t="str">
        <f t="shared" si="21"/>
        <v>4027/4028</v>
      </c>
      <c r="L53" s="25" t="str">
        <f>VLOOKUP(A53,'Trips&amp;Operators'!$C$1:$E$10000,3,FALSE)</f>
        <v>GEBRETEKLE</v>
      </c>
      <c r="M53" s="6">
        <f t="shared" si="22"/>
        <v>3.1863425931078382E-2</v>
      </c>
      <c r="N53" s="7">
        <f t="shared" si="17"/>
        <v>45.88333334075287</v>
      </c>
      <c r="O53" s="7"/>
      <c r="P53" s="7"/>
      <c r="Q53" s="26"/>
      <c r="R53" s="26"/>
      <c r="S53" s="38">
        <f t="shared" si="18"/>
        <v>1</v>
      </c>
      <c r="T53" s="53" t="str">
        <f t="shared" si="23"/>
        <v>Southbound</v>
      </c>
      <c r="U53" s="13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08:18:20-0600',mode:absolute,to:'2016-08-20 11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3" s="55" t="str">
        <f t="shared" si="25"/>
        <v>N</v>
      </c>
      <c r="X53" s="128">
        <f t="shared" si="20"/>
        <v>1</v>
      </c>
      <c r="Y53" s="70">
        <f t="shared" si="26"/>
        <v>23.298300000000001</v>
      </c>
      <c r="Z53" s="70">
        <f t="shared" si="27"/>
        <v>1.52E-2</v>
      </c>
      <c r="AA53" s="70">
        <f t="shared" si="28"/>
        <v>23.283100000000001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29"/>
        <v>0140-20</v>
      </c>
      <c r="AE53" s="103" t="str">
        <f t="shared" si="30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53" s="100" t="str">
        <f t="shared" si="31"/>
        <v>"C:\Program Files (x86)\AstroGrep\AstroGrep.exe" /spath="%USERPROFILE%\AppData\Local\Temp\OnboardLogs" /stypes="*4028*20160820*" /stext=" 16:.+((SYSTEM_STATE.+slice.+state.+changed )|(ment ac)|(system.+state.+changed )|(\|lc)|(penalty)|(\[timeout)|(PRM\|1\|D)|(kpr)|(kdp))" /e /r /s</v>
      </c>
      <c r="AG53" s="1" t="str">
        <f t="shared" si="32"/>
        <v>EC</v>
      </c>
      <c r="AH53" s="104" t="str">
        <f t="shared" si="16"/>
        <v>"%USERPROFILE%\Documents\GitHub\eaglep3\Utilities\RefineRTDCRunTimes.py" --tripid 140-20 --locoid 4028 --swversion DE.1.0.7.0 --startMP 204:232983 --initTime 2016-08-20T09:18:20 --startdatetime 2016-08-20T09:19:45 --delay 1 --endMP 204:152 --enddatetime 2016-08-20T10:05:38 --enforcementcount 0</v>
      </c>
    </row>
    <row r="54" spans="1:34" s="1" customFormat="1" x14ac:dyDescent="0.25">
      <c r="A54" s="40" t="s">
        <v>378</v>
      </c>
      <c r="B54" s="7">
        <v>4044</v>
      </c>
      <c r="C54" s="25" t="s">
        <v>116</v>
      </c>
      <c r="D54" s="25" t="s">
        <v>149</v>
      </c>
      <c r="E54" s="16">
        <v>42602.3594212963</v>
      </c>
      <c r="F54" s="16">
        <v>42602.360300925924</v>
      </c>
      <c r="G54" s="7">
        <v>1</v>
      </c>
      <c r="H54" s="16" t="s">
        <v>258</v>
      </c>
      <c r="I54" s="16">
        <v>42602.390196759261</v>
      </c>
      <c r="J54" s="7">
        <v>0</v>
      </c>
      <c r="K54" s="141" t="str">
        <f t="shared" si="21"/>
        <v>4043/4044</v>
      </c>
      <c r="L54" s="25" t="str">
        <f>VLOOKUP(A54,'Trips&amp;Operators'!$C$1:$E$10000,3,FALSE)</f>
        <v>MAELZER</v>
      </c>
      <c r="M54" s="6">
        <f t="shared" si="22"/>
        <v>2.9895833336922806E-2</v>
      </c>
      <c r="N54" s="7">
        <f t="shared" si="17"/>
        <v>43.05000000516884</v>
      </c>
      <c r="O54" s="7"/>
      <c r="P54" s="7"/>
      <c r="Q54" s="26"/>
      <c r="R54" s="26"/>
      <c r="S54" s="38">
        <f t="shared" si="18"/>
        <v>1</v>
      </c>
      <c r="T54" s="53" t="str">
        <f t="shared" si="23"/>
        <v>NorthBound</v>
      </c>
      <c r="U54" s="13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07:37:34-0600',mode:absolute,to:'2016-08-20 10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4" s="55" t="str">
        <f t="shared" si="25"/>
        <v>N</v>
      </c>
      <c r="X54" s="128">
        <f t="shared" si="20"/>
        <v>1</v>
      </c>
      <c r="Y54" s="70">
        <f t="shared" si="26"/>
        <v>4.5699999999999998E-2</v>
      </c>
      <c r="Z54" s="70">
        <f t="shared" si="27"/>
        <v>23.3309</v>
      </c>
      <c r="AA54" s="70">
        <f t="shared" si="28"/>
        <v>23.2852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29"/>
        <v>0141-20</v>
      </c>
      <c r="AE54" s="103" t="str">
        <f t="shared" si="30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54" s="100" t="str">
        <f t="shared" si="31"/>
        <v>"C:\Program Files (x86)\AstroGrep\AstroGrep.exe" /spath="%USERPROFILE%\AppData\Local\Temp\OnboardLogs" /stypes="*4044*20160820*" /stext=" 15:.+((SYSTEM_STATE.+slice.+state.+changed )|(ment ac)|(system.+state.+changed )|(\|lc)|(penalty)|(\[timeout)|(PRM\|1\|D)|(kpr)|(kdp))" /e /r /s</v>
      </c>
      <c r="AG54" s="1" t="str">
        <f t="shared" si="32"/>
        <v>EC</v>
      </c>
      <c r="AH54" s="104" t="str">
        <f t="shared" si="16"/>
        <v>"%USERPROFILE%\Documents\GitHub\eaglep3\Utilities\RefineRTDCRunTimes.py" --tripid 141-20 --locoid 4044 --swversion DE.1.0.7.0 --startMP 204:457 --initTime 2016-08-20T08:37:34 --startdatetime 2016-08-20T08:38:50 --delay 1 --endMP 204:233309 --enddatetime 2016-08-20T09:21:53 --enforcementcount 0</v>
      </c>
    </row>
    <row r="55" spans="1:34" s="1" customFormat="1" x14ac:dyDescent="0.25">
      <c r="A55" s="40" t="s">
        <v>379</v>
      </c>
      <c r="B55" s="7">
        <v>4043</v>
      </c>
      <c r="C55" s="25" t="s">
        <v>116</v>
      </c>
      <c r="D55" s="25" t="s">
        <v>129</v>
      </c>
      <c r="E55" s="16">
        <v>42602.394652777781</v>
      </c>
      <c r="F55" s="16">
        <v>42602.395416666666</v>
      </c>
      <c r="G55" s="7">
        <v>1</v>
      </c>
      <c r="H55" s="16" t="s">
        <v>167</v>
      </c>
      <c r="I55" s="16">
        <v>42602.430752314816</v>
      </c>
      <c r="J55" s="7">
        <v>0</v>
      </c>
      <c r="K55" s="141" t="str">
        <f t="shared" si="21"/>
        <v>4043/4044</v>
      </c>
      <c r="L55" s="25" t="str">
        <f>VLOOKUP(A55,'Trips&amp;Operators'!$C$1:$E$10000,3,FALSE)</f>
        <v>MAELZER</v>
      </c>
      <c r="M55" s="6">
        <f t="shared" si="22"/>
        <v>3.5335648150066845E-2</v>
      </c>
      <c r="N55" s="7">
        <f t="shared" si="17"/>
        <v>50.883333336096257</v>
      </c>
      <c r="O55" s="7"/>
      <c r="P55" s="7"/>
      <c r="Q55" s="26"/>
      <c r="R55" s="26"/>
      <c r="S55" s="38">
        <f t="shared" si="18"/>
        <v>1</v>
      </c>
      <c r="T55" s="53" t="str">
        <f t="shared" si="23"/>
        <v>Southbound</v>
      </c>
      <c r="U55" s="13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08:28:18-0600',mode:absolute,to:'2016-08-20 11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5" s="55" t="str">
        <f t="shared" si="25"/>
        <v>N</v>
      </c>
      <c r="X55" s="128">
        <f t="shared" si="20"/>
        <v>1</v>
      </c>
      <c r="Y55" s="70">
        <f t="shared" si="26"/>
        <v>23.299800000000001</v>
      </c>
      <c r="Z55" s="70">
        <f t="shared" si="27"/>
        <v>1.54E-2</v>
      </c>
      <c r="AA55" s="70">
        <f t="shared" si="28"/>
        <v>23.284400000000002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29"/>
        <v>0142-20</v>
      </c>
      <c r="AE55" s="103" t="str">
        <f t="shared" si="30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55" s="100" t="str">
        <f t="shared" si="31"/>
        <v>"C:\Program Files (x86)\AstroGrep\AstroGrep.exe" /spath="%USERPROFILE%\AppData\Local\Temp\OnboardLogs" /stypes="*4043*20160820*" /stext=" 16:.+((SYSTEM_STATE.+slice.+state.+changed )|(ment ac)|(system.+state.+changed )|(\|lc)|(penalty)|(\[timeout)|(PRM\|1\|D)|(kpr)|(kdp))" /e /r /s</v>
      </c>
      <c r="AG55" s="1" t="str">
        <f t="shared" si="32"/>
        <v>EC</v>
      </c>
      <c r="AH55" s="104" t="str">
        <f t="shared" si="16"/>
        <v>"%USERPROFILE%\Documents\GitHub\eaglep3\Utilities\RefineRTDCRunTimes.py" --tripid 142-20 --locoid 4043 --swversion DE.1.0.7.0 --startMP 204:232998 --initTime 2016-08-20T09:28:18 --startdatetime 2016-08-20T09:29:24 --delay 1 --endMP 204:154 --enddatetime 2016-08-20T10:20:17 --enforcementcount 0</v>
      </c>
    </row>
    <row r="56" spans="1:34" s="1" customFormat="1" x14ac:dyDescent="0.25">
      <c r="A56" s="40" t="s">
        <v>380</v>
      </c>
      <c r="B56" s="7">
        <v>4009</v>
      </c>
      <c r="C56" s="25" t="s">
        <v>116</v>
      </c>
      <c r="D56" s="25" t="s">
        <v>381</v>
      </c>
      <c r="E56" s="16">
        <v>42602.369363425925</v>
      </c>
      <c r="F56" s="16">
        <v>42602.370370370372</v>
      </c>
      <c r="G56" s="7">
        <v>1</v>
      </c>
      <c r="H56" s="16" t="s">
        <v>382</v>
      </c>
      <c r="I56" s="16">
        <v>42602.401469907411</v>
      </c>
      <c r="J56" s="7">
        <v>0</v>
      </c>
      <c r="K56" s="141" t="str">
        <f t="shared" si="21"/>
        <v>4009/4010</v>
      </c>
      <c r="L56" s="25" t="str">
        <f>VLOOKUP(A56,'Trips&amp;Operators'!$C$1:$E$10000,3,FALSE)</f>
        <v>STORY</v>
      </c>
      <c r="M56" s="6">
        <f t="shared" si="22"/>
        <v>3.1099537038244307E-2</v>
      </c>
      <c r="N56" s="7">
        <f t="shared" si="17"/>
        <v>44.783333335071802</v>
      </c>
      <c r="O56" s="7"/>
      <c r="P56" s="7"/>
      <c r="Q56" s="26"/>
      <c r="R56" s="26"/>
      <c r="S56" s="38">
        <f t="shared" si="18"/>
        <v>1</v>
      </c>
      <c r="T56" s="53" t="str">
        <f t="shared" si="23"/>
        <v>NorthBound</v>
      </c>
      <c r="U56" s="13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07:51:53-0600',mode:absolute,to:'2016-08-20 10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6" s="55" t="str">
        <f t="shared" si="25"/>
        <v>N</v>
      </c>
      <c r="X56" s="128">
        <f t="shared" si="20"/>
        <v>1</v>
      </c>
      <c r="Y56" s="70">
        <f t="shared" si="26"/>
        <v>4.7300000000000002E-2</v>
      </c>
      <c r="Z56" s="70">
        <f t="shared" si="27"/>
        <v>23.3325</v>
      </c>
      <c r="AA56" s="70">
        <f t="shared" si="28"/>
        <v>23.2852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29"/>
        <v>0143-20</v>
      </c>
      <c r="AE56" s="103" t="str">
        <f t="shared" si="30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56" s="100" t="str">
        <f t="shared" si="31"/>
        <v>"C:\Program Files (x86)\AstroGrep\AstroGrep.exe" /spath="%USERPROFILE%\AppData\Local\Temp\OnboardLogs" /stypes="*4009*20160820*" /stext=" 15:.+((SYSTEM_STATE.+slice.+state.+changed )|(ment ac)|(system.+state.+changed )|(\|lc)|(penalty)|(\[timeout)|(PRM\|1\|D)|(kpr)|(kdp))" /e /r /s</v>
      </c>
      <c r="AG56" s="1" t="str">
        <f t="shared" si="32"/>
        <v>EC</v>
      </c>
      <c r="AH56" s="104" t="str">
        <f t="shared" si="16"/>
        <v>"%USERPROFILE%\Documents\GitHub\eaglep3\Utilities\RefineRTDCRunTimes.py" --tripid 143-20 --locoid 4009 --swversion DE.1.0.7.0 --startMP 204:473 --initTime 2016-08-20T08:51:53 --startdatetime 2016-08-20T08:53:20 --delay 1 --endMP 204:233325 --enddatetime 2016-08-20T09:38:07 --enforcementcount 0</v>
      </c>
    </row>
    <row r="57" spans="1:34" s="1" customFormat="1" x14ac:dyDescent="0.25">
      <c r="A57" s="40" t="s">
        <v>383</v>
      </c>
      <c r="B57" s="7">
        <v>4010</v>
      </c>
      <c r="C57" s="25" t="s">
        <v>116</v>
      </c>
      <c r="D57" s="25" t="s">
        <v>384</v>
      </c>
      <c r="E57" s="16">
        <v>42602.407048611109</v>
      </c>
      <c r="F57" s="16">
        <v>42602.408078703702</v>
      </c>
      <c r="G57" s="7">
        <v>1</v>
      </c>
      <c r="H57" s="16" t="s">
        <v>385</v>
      </c>
      <c r="I57" s="16">
        <v>42602.440416666665</v>
      </c>
      <c r="J57" s="7">
        <v>0</v>
      </c>
      <c r="K57" s="141" t="str">
        <f t="shared" si="21"/>
        <v>4009/4010</v>
      </c>
      <c r="L57" s="25" t="str">
        <f>VLOOKUP(A57,'Trips&amp;Operators'!$C$1:$E$10000,3,FALSE)</f>
        <v>STORY</v>
      </c>
      <c r="M57" s="6">
        <f t="shared" si="22"/>
        <v>3.2337962962628808E-2</v>
      </c>
      <c r="N57" s="7">
        <f t="shared" si="17"/>
        <v>46.566666666185483</v>
      </c>
      <c r="O57" s="7"/>
      <c r="P57" s="7"/>
      <c r="Q57" s="26"/>
      <c r="R57" s="26"/>
      <c r="S57" s="38">
        <f t="shared" si="18"/>
        <v>1</v>
      </c>
      <c r="T57" s="53" t="str">
        <f t="shared" si="23"/>
        <v>Southbound</v>
      </c>
      <c r="U57" s="13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08:46:09-0600',mode:absolute,to:'2016-08-20 11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7" s="55" t="str">
        <f t="shared" si="25"/>
        <v>N</v>
      </c>
      <c r="X57" s="128">
        <f t="shared" si="20"/>
        <v>1</v>
      </c>
      <c r="Y57" s="70">
        <f t="shared" si="26"/>
        <v>23.300999999999998</v>
      </c>
      <c r="Z57" s="70">
        <f t="shared" si="27"/>
        <v>1.72E-2</v>
      </c>
      <c r="AA57" s="70">
        <f t="shared" si="28"/>
        <v>23.283799999999999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29"/>
        <v>0144-20</v>
      </c>
      <c r="AE57" s="103" t="str">
        <f t="shared" si="30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57" s="100" t="str">
        <f t="shared" si="31"/>
        <v>"C:\Program Files (x86)\AstroGrep\AstroGrep.exe" /spath="%USERPROFILE%\AppData\Local\Temp\OnboardLogs" /stypes="*4010*20160820*" /stext=" 16:.+((SYSTEM_STATE.+slice.+state.+changed )|(ment ac)|(system.+state.+changed )|(\|lc)|(penalty)|(\[timeout)|(PRM\|1\|D)|(kpr)|(kdp))" /e /r /s</v>
      </c>
      <c r="AG57" s="1" t="str">
        <f t="shared" si="32"/>
        <v>EC</v>
      </c>
      <c r="AH57" s="104" t="str">
        <f t="shared" si="16"/>
        <v>"%USERPROFILE%\Documents\GitHub\eaglep3\Utilities\RefineRTDCRunTimes.py" --tripid 144-20 --locoid 4010 --swversion DE.1.0.7.0 --startMP 204:233010 --initTime 2016-08-20T09:46:09 --startdatetime 2016-08-20T09:47:38 --delay 1 --endMP 204:172 --enddatetime 2016-08-20T10:34:12 --enforcementcount 0</v>
      </c>
    </row>
    <row r="58" spans="1:34" s="1" customFormat="1" x14ac:dyDescent="0.25">
      <c r="A58" s="40" t="s">
        <v>386</v>
      </c>
      <c r="B58" s="7">
        <v>4018</v>
      </c>
      <c r="C58" s="25" t="s">
        <v>116</v>
      </c>
      <c r="D58" s="25" t="s">
        <v>146</v>
      </c>
      <c r="E58" s="16">
        <v>42602.379537037035</v>
      </c>
      <c r="F58" s="16">
        <v>42602.380439814813</v>
      </c>
      <c r="G58" s="7">
        <v>1</v>
      </c>
      <c r="H58" s="16" t="s">
        <v>229</v>
      </c>
      <c r="I58" s="16">
        <v>42602.411423611113</v>
      </c>
      <c r="J58" s="7">
        <v>0</v>
      </c>
      <c r="K58" s="141" t="str">
        <f t="shared" si="21"/>
        <v>4017/4018</v>
      </c>
      <c r="L58" s="25" t="str">
        <f>VLOOKUP(A58,'Trips&amp;Operators'!$C$1:$E$10000,3,FALSE)</f>
        <v>MALAVE</v>
      </c>
      <c r="M58" s="6">
        <f t="shared" si="22"/>
        <v>3.0983796299551614E-2</v>
      </c>
      <c r="N58" s="7">
        <f t="shared" si="17"/>
        <v>44.616666671354324</v>
      </c>
      <c r="O58" s="7"/>
      <c r="P58" s="7"/>
      <c r="Q58" s="26"/>
      <c r="R58" s="26"/>
      <c r="S58" s="38">
        <f t="shared" si="18"/>
        <v>1</v>
      </c>
      <c r="T58" s="53" t="str">
        <f t="shared" si="23"/>
        <v>NorthBound</v>
      </c>
      <c r="U58" s="13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08:06:32-0600',mode:absolute,to:'2016-08-20 10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8" s="55" t="str">
        <f t="shared" si="25"/>
        <v>N</v>
      </c>
      <c r="X58" s="128">
        <f t="shared" si="20"/>
        <v>1</v>
      </c>
      <c r="Y58" s="70">
        <f t="shared" si="26"/>
        <v>4.58E-2</v>
      </c>
      <c r="Z58" s="70">
        <f t="shared" si="27"/>
        <v>23.327999999999999</v>
      </c>
      <c r="AA58" s="70">
        <f t="shared" si="28"/>
        <v>23.2822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29"/>
        <v>0145-20</v>
      </c>
      <c r="AE58" s="103" t="str">
        <f t="shared" si="30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58" s="100" t="str">
        <f t="shared" si="31"/>
        <v>"C:\Program Files (x86)\AstroGrep\AstroGrep.exe" /spath="%USERPROFILE%\AppData\Local\Temp\OnboardLogs" /stypes="*4018*20160820*" /stext=" 15:.+((SYSTEM_STATE.+slice.+state.+changed )|(ment ac)|(system.+state.+changed )|(\|lc)|(penalty)|(\[timeout)|(PRM\|1\|D)|(kpr)|(kdp))" /e /r /s</v>
      </c>
      <c r="AG58" s="1" t="str">
        <f t="shared" si="32"/>
        <v>EC</v>
      </c>
      <c r="AH58" s="104" t="str">
        <f t="shared" si="16"/>
        <v>"%USERPROFILE%\Documents\GitHub\eaglep3\Utilities\RefineRTDCRunTimes.py" --tripid 145-20 --locoid 4018 --swversion DE.1.0.7.0 --startMP 204:458 --initTime 2016-08-20T09:06:32 --startdatetime 2016-08-20T09:07:50 --delay 1 --endMP 204:233280 --enddatetime 2016-08-20T09:52:27 --enforcementcount 0</v>
      </c>
    </row>
    <row r="59" spans="1:34" s="1" customFormat="1" x14ac:dyDescent="0.25">
      <c r="A59" s="40" t="s">
        <v>387</v>
      </c>
      <c r="B59" s="7">
        <v>4017</v>
      </c>
      <c r="C59" s="25" t="s">
        <v>116</v>
      </c>
      <c r="D59" s="25" t="s">
        <v>266</v>
      </c>
      <c r="E59" s="16">
        <v>42602.423101851855</v>
      </c>
      <c r="F59" s="16">
        <v>42602.424444444441</v>
      </c>
      <c r="G59" s="7">
        <v>1</v>
      </c>
      <c r="H59" s="16" t="s">
        <v>136</v>
      </c>
      <c r="I59" s="16">
        <v>42602.451655092591</v>
      </c>
      <c r="J59" s="7">
        <v>0</v>
      </c>
      <c r="K59" s="141" t="str">
        <f t="shared" si="21"/>
        <v>4017/4018</v>
      </c>
      <c r="L59" s="25" t="str">
        <f>VLOOKUP(A59,'Trips&amp;Operators'!$C$1:$E$10000,3,FALSE)</f>
        <v>MALAVE</v>
      </c>
      <c r="M59" s="6">
        <f t="shared" si="22"/>
        <v>2.7210648149775807E-2</v>
      </c>
      <c r="N59" s="7">
        <f t="shared" si="17"/>
        <v>39.183333335677162</v>
      </c>
      <c r="O59" s="7"/>
      <c r="P59" s="7"/>
      <c r="Q59" s="26"/>
      <c r="R59" s="26"/>
      <c r="S59" s="38">
        <f t="shared" si="18"/>
        <v>1</v>
      </c>
      <c r="T59" s="53" t="str">
        <f t="shared" si="23"/>
        <v>Southbound</v>
      </c>
      <c r="U59" s="13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09:09:16-0600',mode:absolute,to:'2016-08-20 11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59" s="55" t="str">
        <f t="shared" si="25"/>
        <v>N</v>
      </c>
      <c r="X59" s="128">
        <f t="shared" si="20"/>
        <v>1</v>
      </c>
      <c r="Y59" s="70">
        <f t="shared" si="26"/>
        <v>23.296700000000001</v>
      </c>
      <c r="Z59" s="70">
        <f t="shared" si="27"/>
        <v>1.5800000000000002E-2</v>
      </c>
      <c r="AA59" s="70">
        <f t="shared" si="28"/>
        <v>23.280900000000003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29"/>
        <v>0146-20</v>
      </c>
      <c r="AE59" s="103" t="str">
        <f t="shared" si="30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59" s="100" t="str">
        <f t="shared" si="31"/>
        <v>"C:\Program Files (x86)\AstroGrep\AstroGrep.exe" /spath="%USERPROFILE%\AppData\Local\Temp\OnboardLogs" /stypes="*4017*20160820*" /stext=" 16:.+((SYSTEM_STATE.+slice.+state.+changed )|(ment ac)|(system.+state.+changed )|(\|lc)|(penalty)|(\[timeout)|(PRM\|1\|D)|(kpr)|(kdp))" /e /r /s</v>
      </c>
      <c r="AG59" s="1" t="str">
        <f t="shared" si="32"/>
        <v>EC</v>
      </c>
      <c r="AH59" s="104" t="str">
        <f t="shared" si="16"/>
        <v>"%USERPROFILE%\Documents\GitHub\eaglep3\Utilities\RefineRTDCRunTimes.py" --tripid 146-20 --locoid 4017 --swversion DE.1.0.7.0 --startMP 204:232967 --initTime 2016-08-20T10:09:16 --startdatetime 2016-08-20T10:11:12 --delay 1 --endMP 204:158 --enddatetime 2016-08-20T10:50:23 --enforcementcount 0</v>
      </c>
    </row>
    <row r="60" spans="1:34" s="1" customFormat="1" x14ac:dyDescent="0.25">
      <c r="A60" s="40" t="s">
        <v>388</v>
      </c>
      <c r="B60" s="7">
        <v>4031</v>
      </c>
      <c r="C60" s="25" t="s">
        <v>116</v>
      </c>
      <c r="D60" s="25" t="s">
        <v>256</v>
      </c>
      <c r="E60" s="16">
        <v>42602.392870370371</v>
      </c>
      <c r="F60" s="16">
        <v>42602.394108796296</v>
      </c>
      <c r="G60" s="7">
        <v>1</v>
      </c>
      <c r="H60" s="16" t="s">
        <v>389</v>
      </c>
      <c r="I60" s="16">
        <v>42602.421400462961</v>
      </c>
      <c r="J60" s="7">
        <v>0</v>
      </c>
      <c r="K60" s="141" t="str">
        <f t="shared" si="21"/>
        <v>4031/4032</v>
      </c>
      <c r="L60" s="25" t="str">
        <f>VLOOKUP(A60,'Trips&amp;Operators'!$C$1:$E$10000,3,FALSE)</f>
        <v>BEAM</v>
      </c>
      <c r="M60" s="6">
        <f t="shared" si="22"/>
        <v>2.7291666665405501E-2</v>
      </c>
      <c r="N60" s="7">
        <f t="shared" si="17"/>
        <v>39.299999998183921</v>
      </c>
      <c r="O60" s="7"/>
      <c r="P60" s="7"/>
      <c r="Q60" s="26"/>
      <c r="R60" s="26"/>
      <c r="S60" s="38">
        <f t="shared" si="18"/>
        <v>1</v>
      </c>
      <c r="T60" s="53" t="str">
        <f t="shared" si="23"/>
        <v>NorthBound</v>
      </c>
      <c r="U60" s="13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08:25:44-0600',mode:absolute,to:'2016-08-20 11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0" s="55" t="str">
        <f t="shared" si="25"/>
        <v>N</v>
      </c>
      <c r="X60" s="128">
        <f t="shared" si="20"/>
        <v>1</v>
      </c>
      <c r="Y60" s="70">
        <f t="shared" si="26"/>
        <v>4.7699999999999999E-2</v>
      </c>
      <c r="Z60" s="70">
        <f t="shared" si="27"/>
        <v>23.3306</v>
      </c>
      <c r="AA60" s="70">
        <f t="shared" si="28"/>
        <v>23.282900000000001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29"/>
        <v>0147-20</v>
      </c>
      <c r="AE60" s="103" t="str">
        <f t="shared" si="30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60" s="100" t="str">
        <f t="shared" si="31"/>
        <v>"C:\Program Files (x86)\AstroGrep\AstroGrep.exe" /spath="%USERPROFILE%\AppData\Local\Temp\OnboardLogs" /stypes="*4031*20160820*" /stext=" 16:.+((SYSTEM_STATE.+slice.+state.+changed )|(ment ac)|(system.+state.+changed )|(\|lc)|(penalty)|(\[timeout)|(PRM\|1\|D)|(kpr)|(kdp))" /e /r /s</v>
      </c>
      <c r="AG60" s="1" t="str">
        <f t="shared" si="32"/>
        <v>EC</v>
      </c>
      <c r="AH60" s="104" t="str">
        <f t="shared" si="16"/>
        <v>"%USERPROFILE%\Documents\GitHub\eaglep3\Utilities\RefineRTDCRunTimes.py" --tripid 147-20 --locoid 4031 --swversion DE.1.0.7.0 --startMP 204:477 --initTime 2016-08-20T09:25:44 --startdatetime 2016-08-20T09:27:31 --delay 1 --endMP 204:233306 --enddatetime 2016-08-20T10:06:49 --enforcementcount 0</v>
      </c>
    </row>
    <row r="61" spans="1:34" s="1" customFormat="1" x14ac:dyDescent="0.25">
      <c r="A61" s="40" t="s">
        <v>390</v>
      </c>
      <c r="B61" s="7">
        <v>4032</v>
      </c>
      <c r="C61" s="25" t="s">
        <v>116</v>
      </c>
      <c r="D61" s="25" t="s">
        <v>129</v>
      </c>
      <c r="E61" s="16">
        <v>42602.425358796296</v>
      </c>
      <c r="F61" s="16">
        <v>42602.42664351852</v>
      </c>
      <c r="G61" s="7">
        <v>1</v>
      </c>
      <c r="H61" s="16" t="s">
        <v>391</v>
      </c>
      <c r="I61" s="16">
        <v>42602.462291666663</v>
      </c>
      <c r="J61" s="7">
        <v>0</v>
      </c>
      <c r="K61" s="141" t="str">
        <f t="shared" si="21"/>
        <v>4031/4032</v>
      </c>
      <c r="L61" s="25" t="str">
        <f>VLOOKUP(A61,'Trips&amp;Operators'!$C$1:$E$10000,3,FALSE)</f>
        <v>BEAM</v>
      </c>
      <c r="M61" s="6">
        <f t="shared" si="22"/>
        <v>3.5648148143081926E-2</v>
      </c>
      <c r="N61" s="7">
        <f t="shared" si="17"/>
        <v>51.333333326037973</v>
      </c>
      <c r="O61" s="7"/>
      <c r="P61" s="7"/>
      <c r="Q61" s="26"/>
      <c r="R61" s="26"/>
      <c r="S61" s="38">
        <f t="shared" si="18"/>
        <v>1</v>
      </c>
      <c r="T61" s="53" t="str">
        <f t="shared" si="23"/>
        <v>Southbound</v>
      </c>
      <c r="U61" s="13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09:12:31-0600',mode:absolute,to:'2016-08-20 12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1" s="55" t="str">
        <f t="shared" si="25"/>
        <v>N</v>
      </c>
      <c r="X61" s="128">
        <f t="shared" si="20"/>
        <v>1</v>
      </c>
      <c r="Y61" s="70">
        <f t="shared" si="26"/>
        <v>23.299800000000001</v>
      </c>
      <c r="Z61" s="70">
        <f t="shared" si="27"/>
        <v>1.6299999999999999E-2</v>
      </c>
      <c r="AA61" s="70">
        <f t="shared" si="28"/>
        <v>23.2835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29"/>
        <v>0148-20</v>
      </c>
      <c r="AE61" s="103" t="str">
        <f t="shared" si="30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61" s="100" t="str">
        <f t="shared" si="31"/>
        <v>"C:\Program Files (x86)\AstroGrep\AstroGrep.exe" /spath="%USERPROFILE%\AppData\Local\Temp\OnboardLogs" /stypes="*4032*20160820*" /stext=" 17:.+((SYSTEM_STATE.+slice.+state.+changed )|(ment ac)|(system.+state.+changed )|(\|lc)|(penalty)|(\[timeout)|(PRM\|1\|D)|(kpr)|(kdp))" /e /r /s</v>
      </c>
      <c r="AG61" s="1" t="str">
        <f t="shared" si="32"/>
        <v>EC</v>
      </c>
      <c r="AH61" s="104" t="str">
        <f t="shared" si="16"/>
        <v>"%USERPROFILE%\Documents\GitHub\eaglep3\Utilities\RefineRTDCRunTimes.py" --tripid 148-20 --locoid 4032 --swversion DE.1.0.7.0 --startMP 204:232998 --initTime 2016-08-20T10:12:31 --startdatetime 2016-08-20T10:14:22 --delay 1 --endMP 204:163 --enddatetime 2016-08-20T11:05:42 --enforcementcount 0</v>
      </c>
    </row>
    <row r="62" spans="1:34" s="1" customFormat="1" x14ac:dyDescent="0.25">
      <c r="A62" s="40" t="s">
        <v>392</v>
      </c>
      <c r="B62" s="7">
        <v>4007</v>
      </c>
      <c r="C62" s="25" t="s">
        <v>116</v>
      </c>
      <c r="D62" s="25" t="s">
        <v>192</v>
      </c>
      <c r="E62" s="16">
        <v>42602.401192129626</v>
      </c>
      <c r="F62" s="16">
        <v>42602.402314814812</v>
      </c>
      <c r="G62" s="7">
        <v>1</v>
      </c>
      <c r="H62" s="16" t="s">
        <v>166</v>
      </c>
      <c r="I62" s="16">
        <v>42602.431423611109</v>
      </c>
      <c r="J62" s="7">
        <v>0</v>
      </c>
      <c r="K62" s="141" t="str">
        <f t="shared" si="21"/>
        <v>4007/4008</v>
      </c>
      <c r="L62" s="25" t="str">
        <f>VLOOKUP(A62,'Trips&amp;Operators'!$C$1:$E$10000,3,FALSE)</f>
        <v>DAVIS</v>
      </c>
      <c r="M62" s="6">
        <f t="shared" si="22"/>
        <v>2.9108796297805384E-2</v>
      </c>
      <c r="N62" s="7">
        <f t="shared" si="17"/>
        <v>41.916666668839753</v>
      </c>
      <c r="O62" s="7"/>
      <c r="P62" s="7"/>
      <c r="Q62" s="26"/>
      <c r="R62" s="26"/>
      <c r="S62" s="38">
        <f t="shared" si="18"/>
        <v>1</v>
      </c>
      <c r="T62" s="53" t="str">
        <f t="shared" si="23"/>
        <v>NorthBound</v>
      </c>
      <c r="U62" s="13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08:37:43-0600',mode:absolute,to:'2016-08-20 11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2" s="55" t="str">
        <f t="shared" si="25"/>
        <v>N</v>
      </c>
      <c r="X62" s="128">
        <f t="shared" si="20"/>
        <v>1</v>
      </c>
      <c r="Y62" s="70">
        <f t="shared" si="26"/>
        <v>4.4600000000000001E-2</v>
      </c>
      <c r="Z62" s="70">
        <f t="shared" si="27"/>
        <v>23.3291</v>
      </c>
      <c r="AA62" s="70">
        <f t="shared" si="28"/>
        <v>23.284500000000001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29"/>
        <v>0149-20</v>
      </c>
      <c r="AE62" s="103" t="str">
        <f t="shared" si="30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62" s="100" t="str">
        <f t="shared" si="31"/>
        <v>"C:\Program Files (x86)\AstroGrep\AstroGrep.exe" /spath="%USERPROFILE%\AppData\Local\Temp\OnboardLogs" /stypes="*4007*20160820*" /stext=" 16:.+((SYSTEM_STATE.+slice.+state.+changed )|(ment ac)|(system.+state.+changed )|(\|lc)|(penalty)|(\[timeout)|(PRM\|1\|D)|(kpr)|(kdp))" /e /r /s</v>
      </c>
      <c r="AG62" s="1" t="str">
        <f t="shared" si="32"/>
        <v>EC</v>
      </c>
      <c r="AH62" s="104" t="str">
        <f t="shared" si="16"/>
        <v>"%USERPROFILE%\Documents\GitHub\eaglep3\Utilities\RefineRTDCRunTimes.py" --tripid 149-20 --locoid 4007 --swversion DE.1.0.7.0 --startMP 204:446 --initTime 2016-08-20T09:37:43 --startdatetime 2016-08-20T09:39:20 --delay 1 --endMP 204:233291 --enddatetime 2016-08-20T10:21:15 --enforcementcount 0</v>
      </c>
    </row>
    <row r="63" spans="1:34" s="1" customFormat="1" x14ac:dyDescent="0.25">
      <c r="A63" s="40" t="s">
        <v>393</v>
      </c>
      <c r="B63" s="7">
        <v>4008</v>
      </c>
      <c r="C63" s="25" t="s">
        <v>116</v>
      </c>
      <c r="D63" s="25" t="s">
        <v>394</v>
      </c>
      <c r="E63" s="16">
        <v>42602.439155092594</v>
      </c>
      <c r="F63" s="16">
        <v>42602.44</v>
      </c>
      <c r="G63" s="7">
        <v>1</v>
      </c>
      <c r="H63" s="16" t="s">
        <v>162</v>
      </c>
      <c r="I63" s="16">
        <v>42602.473229166666</v>
      </c>
      <c r="J63" s="7">
        <v>0</v>
      </c>
      <c r="K63" s="141" t="str">
        <f t="shared" si="21"/>
        <v>4007/4008</v>
      </c>
      <c r="L63" s="25" t="str">
        <f>VLOOKUP(A63,'Trips&amp;Operators'!$C$1:$E$10000,3,FALSE)</f>
        <v>DAVIS</v>
      </c>
      <c r="M63" s="6">
        <f t="shared" si="22"/>
        <v>3.3229166663659271E-2</v>
      </c>
      <c r="N63" s="7">
        <f t="shared" si="17"/>
        <v>47.84999999566935</v>
      </c>
      <c r="O63" s="7"/>
      <c r="P63" s="7"/>
      <c r="Q63" s="26"/>
      <c r="R63" s="26"/>
      <c r="S63" s="38">
        <f t="shared" si="18"/>
        <v>1</v>
      </c>
      <c r="T63" s="53" t="str">
        <f t="shared" si="23"/>
        <v>Southbound</v>
      </c>
      <c r="U63" s="13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09:32:23-0600',mode:absolute,to:'2016-08-20 12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3" s="55" t="str">
        <f t="shared" si="25"/>
        <v>N</v>
      </c>
      <c r="X63" s="128">
        <f t="shared" si="20"/>
        <v>1</v>
      </c>
      <c r="Y63" s="70">
        <f t="shared" si="26"/>
        <v>23.297799999999999</v>
      </c>
      <c r="Z63" s="70">
        <f t="shared" si="27"/>
        <v>1.4999999999999999E-2</v>
      </c>
      <c r="AA63" s="70">
        <f t="shared" si="28"/>
        <v>23.282799999999998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29"/>
        <v>0150-20</v>
      </c>
      <c r="AE63" s="103" t="str">
        <f t="shared" si="30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63" s="100" t="str">
        <f t="shared" si="31"/>
        <v>"C:\Program Files (x86)\AstroGrep\AstroGrep.exe" /spath="%USERPROFILE%\AppData\Local\Temp\OnboardLogs" /stypes="*4008*20160820*" /stext=" 17:.+((SYSTEM_STATE.+slice.+state.+changed )|(ment ac)|(system.+state.+changed )|(\|lc)|(penalty)|(\[timeout)|(PRM\|1\|D)|(kpr)|(kdp))" /e /r /s</v>
      </c>
      <c r="AG63" s="1" t="str">
        <f t="shared" si="32"/>
        <v>EC</v>
      </c>
      <c r="AH63" s="104" t="str">
        <f t="shared" si="16"/>
        <v>"%USERPROFILE%\Documents\GitHub\eaglep3\Utilities\RefineRTDCRunTimes.py" --tripid 150-20 --locoid 4008 --swversion DE.1.0.7.0 --startMP 204:232978 --initTime 2016-08-20T10:32:23 --startdatetime 2016-08-20T10:33:36 --delay 1 --endMP 204:150 --enddatetime 2016-08-20T11:21:27 --enforcementcount 0</v>
      </c>
    </row>
    <row r="64" spans="1:34" s="1" customFormat="1" x14ac:dyDescent="0.25">
      <c r="A64" s="40" t="s">
        <v>395</v>
      </c>
      <c r="B64" s="7">
        <v>4003</v>
      </c>
      <c r="C64" s="25" t="s">
        <v>116</v>
      </c>
      <c r="D64" s="25" t="s">
        <v>141</v>
      </c>
      <c r="E64" s="16">
        <v>42602.412291666667</v>
      </c>
      <c r="F64" s="16">
        <v>42602.413391203707</v>
      </c>
      <c r="G64" s="7">
        <v>1</v>
      </c>
      <c r="H64" s="16" t="s">
        <v>396</v>
      </c>
      <c r="I64" s="16">
        <v>42602.443171296298</v>
      </c>
      <c r="J64" s="7">
        <v>0</v>
      </c>
      <c r="K64" s="141" t="str">
        <f t="shared" si="21"/>
        <v>4003/4004</v>
      </c>
      <c r="L64" s="25" t="str">
        <f>VLOOKUP(A64,'Trips&amp;Operators'!$C$1:$E$10000,3,FALSE)</f>
        <v>KILLION</v>
      </c>
      <c r="M64" s="6">
        <f t="shared" si="22"/>
        <v>2.9780092590954155E-2</v>
      </c>
      <c r="N64" s="7">
        <f t="shared" si="17"/>
        <v>42.883333330973983</v>
      </c>
      <c r="O64" s="7"/>
      <c r="P64" s="7"/>
      <c r="Q64" s="26"/>
      <c r="R64" s="26"/>
      <c r="S64" s="38">
        <f t="shared" si="18"/>
        <v>1</v>
      </c>
      <c r="T64" s="53" t="str">
        <f t="shared" si="23"/>
        <v>NorthBound</v>
      </c>
      <c r="U64" s="13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08:53:42-0600',mode:absolute,to:'2016-08-20 11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64" s="55" t="str">
        <f t="shared" si="25"/>
        <v>N</v>
      </c>
      <c r="X64" s="128">
        <f t="shared" si="20"/>
        <v>1</v>
      </c>
      <c r="Y64" s="70">
        <f t="shared" si="26"/>
        <v>4.4900000000000002E-2</v>
      </c>
      <c r="Z64" s="70">
        <f t="shared" si="27"/>
        <v>23.326799999999999</v>
      </c>
      <c r="AA64" s="70">
        <f t="shared" si="28"/>
        <v>23.2819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29"/>
        <v>0151-20</v>
      </c>
      <c r="AE64" s="103" t="str">
        <f t="shared" si="30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64" s="100" t="str">
        <f t="shared" si="31"/>
        <v>"C:\Program Files (x86)\AstroGrep\AstroGrep.exe" /spath="%USERPROFILE%\AppData\Local\Temp\OnboardLogs" /stypes="*4003*20160820*" /stext=" 16:.+((SYSTEM_STATE.+slice.+state.+changed )|(ment ac)|(system.+state.+changed )|(\|lc)|(penalty)|(\[timeout)|(PRM\|1\|D)|(kpr)|(kdp))" /e /r /s</v>
      </c>
      <c r="AG64" s="1" t="str">
        <f t="shared" si="32"/>
        <v>EC</v>
      </c>
      <c r="AH64" s="104" t="str">
        <f t="shared" si="16"/>
        <v>"%USERPROFILE%\Documents\GitHub\eaglep3\Utilities\RefineRTDCRunTimes.py" --tripid 151-20 --locoid 4003 --swversion DE.1.0.7.0 --startMP 204:449 --initTime 2016-08-20T09:53:42 --startdatetime 2016-08-20T09:55:17 --delay 1 --endMP 204:233268 --enddatetime 2016-08-20T10:38:10 --enforcementcount 0</v>
      </c>
    </row>
    <row r="65" spans="1:34" s="1" customFormat="1" x14ac:dyDescent="0.25">
      <c r="A65" s="40" t="s">
        <v>397</v>
      </c>
      <c r="B65" s="7">
        <v>4004</v>
      </c>
      <c r="C65" s="25" t="s">
        <v>116</v>
      </c>
      <c r="D65" s="25" t="s">
        <v>140</v>
      </c>
      <c r="E65" s="16">
        <v>42602.448483796295</v>
      </c>
      <c r="F65" s="16">
        <v>42602.449293981481</v>
      </c>
      <c r="G65" s="7">
        <v>1</v>
      </c>
      <c r="H65" s="16" t="s">
        <v>136</v>
      </c>
      <c r="I65" s="16">
        <v>42602.482164351852</v>
      </c>
      <c r="J65" s="7">
        <v>0</v>
      </c>
      <c r="K65" s="141" t="str">
        <f t="shared" si="21"/>
        <v>4003/4004</v>
      </c>
      <c r="L65" s="25" t="str">
        <f>VLOOKUP(A65,'Trips&amp;Operators'!$C$1:$E$10000,3,FALSE)</f>
        <v>KILLION</v>
      </c>
      <c r="M65" s="6">
        <f t="shared" si="22"/>
        <v>3.2870370370801538E-2</v>
      </c>
      <c r="N65" s="7">
        <f t="shared" si="17"/>
        <v>47.333333333954215</v>
      </c>
      <c r="O65" s="7"/>
      <c r="P65" s="7"/>
      <c r="Q65" s="26"/>
      <c r="R65" s="26"/>
      <c r="S65" s="38">
        <f t="shared" ref="S65:S96" si="33">SUM(U65:U65)/IF(AG65="EC",12,1)</f>
        <v>1</v>
      </c>
      <c r="T65" s="53" t="str">
        <f t="shared" si="23"/>
        <v>Southbound</v>
      </c>
      <c r="U65" s="13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09:45:49-0600',mode:absolute,to:'2016-08-20 12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65" s="55" t="str">
        <f t="shared" si="25"/>
        <v>N</v>
      </c>
      <c r="X65" s="128">
        <f t="shared" si="20"/>
        <v>1</v>
      </c>
      <c r="Y65" s="70">
        <f t="shared" si="26"/>
        <v>23.299399999999999</v>
      </c>
      <c r="Z65" s="70">
        <f t="shared" si="27"/>
        <v>1.5800000000000002E-2</v>
      </c>
      <c r="AA65" s="70">
        <f t="shared" si="28"/>
        <v>23.2836</v>
      </c>
      <c r="AB65" s="67" t="e">
        <f>VLOOKUP(A65,Enforcements!$C$7:$J$24,8,0)</f>
        <v>#N/A</v>
      </c>
      <c r="AC65" s="63" t="e">
        <f>VLOOKUP(A65,Enforcements!$C$7:$E$24,3,0)</f>
        <v>#N/A</v>
      </c>
      <c r="AD65" s="64" t="str">
        <f t="shared" si="29"/>
        <v>0152-20</v>
      </c>
      <c r="AE65" s="103" t="str">
        <f t="shared" si="30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65" s="100" t="str">
        <f t="shared" si="31"/>
        <v>"C:\Program Files (x86)\AstroGrep\AstroGrep.exe" /spath="%USERPROFILE%\AppData\Local\Temp\OnboardLogs" /stypes="*4004*20160820*" /stext=" 17:.+((SYSTEM_STATE.+slice.+state.+changed )|(ment ac)|(system.+state.+changed )|(\|lc)|(penalty)|(\[timeout)|(PRM\|1\|D)|(kpr)|(kdp))" /e /r /s</v>
      </c>
      <c r="AG65" s="1" t="str">
        <f t="shared" si="32"/>
        <v>EC</v>
      </c>
      <c r="AH65" s="104" t="str">
        <f t="shared" si="16"/>
        <v>"%USERPROFILE%\Documents\GitHub\eaglep3\Utilities\RefineRTDCRunTimes.py" --tripid 152-20 --locoid 4004 --swversion DE.1.0.7.0 --startMP 204:232994 --initTime 2016-08-20T10:45:49 --startdatetime 2016-08-20T10:46:59 --delay 1 --endMP 204:158 --enddatetime 2016-08-20T11:34:19 --enforcementcount 0</v>
      </c>
    </row>
    <row r="66" spans="1:34" s="1" customFormat="1" x14ac:dyDescent="0.25">
      <c r="A66" s="40" t="s">
        <v>398</v>
      </c>
      <c r="B66" s="7">
        <v>4027</v>
      </c>
      <c r="C66" s="25" t="s">
        <v>116</v>
      </c>
      <c r="D66" s="25" t="s">
        <v>331</v>
      </c>
      <c r="E66" s="16">
        <v>42602.423750000002</v>
      </c>
      <c r="F66" s="16">
        <v>42602.424826388888</v>
      </c>
      <c r="G66" s="7">
        <v>1</v>
      </c>
      <c r="H66" s="16" t="s">
        <v>139</v>
      </c>
      <c r="I66" s="16">
        <v>42602.453206018516</v>
      </c>
      <c r="J66" s="7">
        <v>0</v>
      </c>
      <c r="K66" s="141" t="str">
        <f t="shared" si="21"/>
        <v>4027/4028</v>
      </c>
      <c r="L66" s="25" t="str">
        <f>VLOOKUP(A66,'Trips&amp;Operators'!$C$1:$E$10000,3,FALSE)</f>
        <v>GEBRETEKLE</v>
      </c>
      <c r="M66" s="6">
        <f t="shared" si="22"/>
        <v>2.8379629628034309E-2</v>
      </c>
      <c r="N66" s="7">
        <f t="shared" si="17"/>
        <v>40.866666664369404</v>
      </c>
      <c r="O66" s="7"/>
      <c r="P66" s="7"/>
      <c r="Q66" s="26"/>
      <c r="R66" s="26"/>
      <c r="S66" s="38">
        <f t="shared" si="33"/>
        <v>1</v>
      </c>
      <c r="T66" s="53" t="str">
        <f t="shared" si="23"/>
        <v>NorthBound</v>
      </c>
      <c r="U66" s="13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09:10:12-0600',mode:absolute,to:'2016-08-20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6" s="55" t="str">
        <f t="shared" si="25"/>
        <v>N</v>
      </c>
      <c r="X66" s="128">
        <f t="shared" si="20"/>
        <v>1</v>
      </c>
      <c r="Y66" s="70">
        <f t="shared" si="26"/>
        <v>4.5999999999999999E-2</v>
      </c>
      <c r="Z66" s="70">
        <f t="shared" si="27"/>
        <v>23.328900000000001</v>
      </c>
      <c r="AA66" s="70">
        <f t="shared" si="28"/>
        <v>23.282900000000001</v>
      </c>
      <c r="AB66" s="67" t="e">
        <f>VLOOKUP(A66,Enforcements!$C$7:$J$24,8,0)</f>
        <v>#N/A</v>
      </c>
      <c r="AC66" s="63" t="e">
        <f>VLOOKUP(A66,Enforcements!$C$7:$E$24,3,0)</f>
        <v>#N/A</v>
      </c>
      <c r="AD66" s="64" t="str">
        <f t="shared" si="29"/>
        <v>0153-20</v>
      </c>
      <c r="AE66" s="103" t="str">
        <f t="shared" si="30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66" s="100" t="str">
        <f t="shared" si="31"/>
        <v>"C:\Program Files (x86)\AstroGrep\AstroGrep.exe" /spath="%USERPROFILE%\AppData\Local\Temp\OnboardLogs" /stypes="*4027*20160820*" /stext=" 16:.+((SYSTEM_STATE.+slice.+state.+changed )|(ment ac)|(system.+state.+changed )|(\|lc)|(penalty)|(\[timeout)|(PRM\|1\|D)|(kpr)|(kdp))" /e /r /s</v>
      </c>
      <c r="AG66" s="1" t="str">
        <f t="shared" si="32"/>
        <v>EC</v>
      </c>
      <c r="AH66" s="104" t="str">
        <f t="shared" si="16"/>
        <v>"%USERPROFILE%\Documents\GitHub\eaglep3\Utilities\RefineRTDCRunTimes.py" --tripid 153-20 --locoid 4027 --swversion DE.1.0.7.0 --startMP 204:460 --initTime 2016-08-20T10:10:12 --startdatetime 2016-08-20T10:11:45 --delay 1 --endMP 204:233289 --enddatetime 2016-08-20T10:52:37 --enforcementcount 0</v>
      </c>
    </row>
    <row r="67" spans="1:34" x14ac:dyDescent="0.25">
      <c r="A67" s="40" t="s">
        <v>399</v>
      </c>
      <c r="B67" s="7">
        <v>4028</v>
      </c>
      <c r="C67" s="25" t="s">
        <v>116</v>
      </c>
      <c r="D67" s="25" t="s">
        <v>400</v>
      </c>
      <c r="E67" s="16">
        <v>42602.460138888891</v>
      </c>
      <c r="F67" s="16">
        <v>42602.461018518516</v>
      </c>
      <c r="G67" s="7">
        <v>1</v>
      </c>
      <c r="H67" s="16" t="s">
        <v>246</v>
      </c>
      <c r="I67" s="16">
        <v>42602.493773148148</v>
      </c>
      <c r="J67" s="7">
        <v>0</v>
      </c>
      <c r="K67" s="141" t="str">
        <f t="shared" si="21"/>
        <v>4027/4028</v>
      </c>
      <c r="L67" s="25" t="str">
        <f>VLOOKUP(A67,'Trips&amp;Operators'!$C$1:$E$10000,3,FALSE)</f>
        <v>GEBRETEKLE</v>
      </c>
      <c r="M67" s="6">
        <f t="shared" si="22"/>
        <v>3.2754629632108845E-2</v>
      </c>
      <c r="N67" s="7">
        <f t="shared" si="17"/>
        <v>47.166666670236737</v>
      </c>
      <c r="O67" s="7"/>
      <c r="P67" s="7"/>
      <c r="Q67" s="26"/>
      <c r="R67" s="26"/>
      <c r="S67" s="38">
        <f t="shared" si="33"/>
        <v>1</v>
      </c>
      <c r="T67" s="53" t="str">
        <f t="shared" si="23"/>
        <v>Southbound</v>
      </c>
      <c r="U67" s="13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10:02:36-0600',mode:absolute,to:'2016-08-20 12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7" s="55" t="str">
        <f t="shared" si="25"/>
        <v>N</v>
      </c>
      <c r="X67" s="128">
        <f t="shared" si="20"/>
        <v>1</v>
      </c>
      <c r="Y67" s="70">
        <f t="shared" si="26"/>
        <v>23.295000000000002</v>
      </c>
      <c r="Z67" s="70">
        <f t="shared" si="27"/>
        <v>1.2999999999999999E-2</v>
      </c>
      <c r="AA67" s="70">
        <f t="shared" si="28"/>
        <v>23.282</v>
      </c>
      <c r="AB67" s="67">
        <f>VLOOKUP(A67,Enforcements!$C$7:$J$24,8,0)</f>
        <v>224578</v>
      </c>
      <c r="AC67" s="63" t="str">
        <f>VLOOKUP(A67,Enforcements!$C$7:$E$24,3,0)</f>
        <v>PERMANENT SPEED RESTRICTION</v>
      </c>
      <c r="AD67" s="64" t="str">
        <f t="shared" si="29"/>
        <v>0154-20</v>
      </c>
      <c r="AE67" s="103" t="str">
        <f t="shared" si="30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67" s="100" t="str">
        <f t="shared" si="31"/>
        <v>"C:\Program Files (x86)\AstroGrep\AstroGrep.exe" /spath="%USERPROFILE%\AppData\Local\Temp\OnboardLogs" /stypes="*4028*20160820*" /stext=" 17:.+((SYSTEM_STATE.+slice.+state.+changed )|(ment ac)|(system.+state.+changed )|(\|lc)|(penalty)|(\[timeout)|(PRM\|1\|D)|(kpr)|(kdp))" /e /r /s</v>
      </c>
      <c r="AG67" s="1" t="str">
        <f t="shared" si="32"/>
        <v>EC</v>
      </c>
      <c r="AH67" s="104" t="str">
        <f t="shared" si="16"/>
        <v>"%USERPROFILE%\Documents\GitHub\eaglep3\Utilities\RefineRTDCRunTimes.py" --tripid 154-20 --locoid 4028 --swversion DE.1.0.7.0 --startMP 204:232950 --initTime 2016-08-20T11:02:36 --startdatetime 2016-08-20T11:03:52 --delay 1 --endMP 204:130 --enddatetime 2016-08-20T11:51:02 --enforcementcount 0</v>
      </c>
    </row>
    <row r="68" spans="1:34" s="1" customFormat="1" x14ac:dyDescent="0.25">
      <c r="A68" s="40" t="s">
        <v>401</v>
      </c>
      <c r="B68" s="7">
        <v>4044</v>
      </c>
      <c r="C68" s="25" t="s">
        <v>116</v>
      </c>
      <c r="D68" s="25" t="s">
        <v>257</v>
      </c>
      <c r="E68" s="16">
        <v>42602.432905092595</v>
      </c>
      <c r="F68" s="16">
        <v>42602.442731481482</v>
      </c>
      <c r="G68" s="7">
        <v>14</v>
      </c>
      <c r="H68" s="16" t="s">
        <v>264</v>
      </c>
      <c r="I68" s="16">
        <v>42602.470266203702</v>
      </c>
      <c r="J68" s="7">
        <v>0</v>
      </c>
      <c r="K68" s="141" t="str">
        <f t="shared" si="21"/>
        <v>4043/4044</v>
      </c>
      <c r="L68" s="25" t="str">
        <f>VLOOKUP(A68,'Trips&amp;Operators'!$C$1:$E$10000,3,FALSE)</f>
        <v>MAYBERRY</v>
      </c>
      <c r="M68" s="6">
        <f t="shared" si="22"/>
        <v>2.753472221957054E-2</v>
      </c>
      <c r="N68" s="7"/>
      <c r="O68" s="7"/>
      <c r="P68" s="7">
        <f>24*60*SUM($M68:$M68)</f>
        <v>39.649999996181577</v>
      </c>
      <c r="Q68" s="26"/>
      <c r="R68" s="26" t="s">
        <v>207</v>
      </c>
      <c r="S68" s="38">
        <f t="shared" si="33"/>
        <v>1</v>
      </c>
      <c r="T68" s="53" t="str">
        <f t="shared" si="23"/>
        <v>NorthBound</v>
      </c>
      <c r="U68" s="13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09:23:23-0600',mode:absolute,to:'2016-08-20 12:17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8" s="55" t="str">
        <f t="shared" si="25"/>
        <v>Y</v>
      </c>
      <c r="X68" s="128">
        <f t="shared" si="20"/>
        <v>1</v>
      </c>
      <c r="Y68" s="70">
        <f t="shared" si="26"/>
        <v>1.9129</v>
      </c>
      <c r="Z68" s="70">
        <f t="shared" si="27"/>
        <v>23.329799999999999</v>
      </c>
      <c r="AA68" s="70">
        <f t="shared" si="28"/>
        <v>21.416899999999998</v>
      </c>
      <c r="AB68" s="67">
        <f>VLOOKUP(A68,Enforcements!$C$7:$J$24,8,0)</f>
        <v>224581</v>
      </c>
      <c r="AC68" s="63" t="str">
        <f>VLOOKUP(A68,Enforcements!$C$7:$E$24,3,0)</f>
        <v>PERMANENT SPEED RESTRICTION</v>
      </c>
      <c r="AD68" s="64" t="str">
        <f t="shared" si="29"/>
        <v>0155-20</v>
      </c>
      <c r="AE68" s="103" t="str">
        <f t="shared" si="30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68" s="100" t="str">
        <f t="shared" si="31"/>
        <v>"C:\Program Files (x86)\AstroGrep\AstroGrep.exe" /spath="%USERPROFILE%\AppData\Local\Temp\OnboardLogs" /stypes="*4044*20160820*" /stext=" 17:.+((SYSTEM_STATE.+slice.+state.+changed )|(ment ac)|(system.+state.+changed )|(\|lc)|(penalty)|(\[timeout)|(PRM\|1\|D)|(kpr)|(kdp))" /e /r /s</v>
      </c>
      <c r="AG68" s="1" t="str">
        <f t="shared" si="32"/>
        <v>EC</v>
      </c>
      <c r="AH68" s="104" t="str">
        <f t="shared" si="16"/>
        <v>"%USERPROFILE%\Documents\GitHub\eaglep3\Utilities\RefineRTDCRunTimes.py" --tripid 155-20 --locoid 4044 --swversion DE.1.0.7.0 --startMP 204:19129 --initTime 2016-08-20T10:23:23 --startdatetime 2016-08-20T10:37:32 --delay 14 --endMP 204:233298 --enddatetime 2016-08-20T11:17:11 --enforcementcount 0</v>
      </c>
    </row>
    <row r="69" spans="1:34" s="1" customFormat="1" x14ac:dyDescent="0.25">
      <c r="A69" s="40" t="s">
        <v>402</v>
      </c>
      <c r="B69" s="7">
        <v>4043</v>
      </c>
      <c r="C69" s="25" t="s">
        <v>116</v>
      </c>
      <c r="D69" s="25" t="s">
        <v>202</v>
      </c>
      <c r="E69" s="16">
        <v>42602.474328703705</v>
      </c>
      <c r="F69" s="16">
        <v>42602.475347222222</v>
      </c>
      <c r="G69" s="7">
        <v>1</v>
      </c>
      <c r="H69" s="16" t="s">
        <v>91</v>
      </c>
      <c r="I69" s="16">
        <v>42602.503946759258</v>
      </c>
      <c r="J69" s="7">
        <v>0</v>
      </c>
      <c r="K69" s="141" t="str">
        <f t="shared" si="21"/>
        <v>4043/4044</v>
      </c>
      <c r="L69" s="25" t="str">
        <f>VLOOKUP(A69,'Trips&amp;Operators'!$C$1:$E$10000,3,FALSE)</f>
        <v>MAYBERRY</v>
      </c>
      <c r="M69" s="6">
        <f t="shared" si="22"/>
        <v>2.8599537035916001E-2</v>
      </c>
      <c r="N69" s="7">
        <f t="shared" ref="N69:N100" si="34">24*60*SUM($M69:$M69)</f>
        <v>41.183333331719041</v>
      </c>
      <c r="O69" s="7"/>
      <c r="P69" s="7"/>
      <c r="Q69" s="26"/>
      <c r="R69" s="26"/>
      <c r="S69" s="38">
        <f t="shared" si="33"/>
        <v>1</v>
      </c>
      <c r="T69" s="53" t="str">
        <f t="shared" si="23"/>
        <v>Southbound</v>
      </c>
      <c r="U69" s="13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10:23:02-0600',mode:absolute,to:'2016-08-20 13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9" s="55" t="str">
        <f t="shared" si="25"/>
        <v>N</v>
      </c>
      <c r="X69" s="128">
        <f t="shared" si="20"/>
        <v>1</v>
      </c>
      <c r="Y69" s="70">
        <f t="shared" si="26"/>
        <v>23.2989</v>
      </c>
      <c r="Z69" s="70">
        <f t="shared" si="27"/>
        <v>1.43E-2</v>
      </c>
      <c r="AA69" s="70">
        <f t="shared" si="28"/>
        <v>23.284600000000001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29"/>
        <v>0156-20</v>
      </c>
      <c r="AE69" s="103" t="str">
        <f t="shared" si="30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69" s="100" t="str">
        <f t="shared" si="31"/>
        <v>"C:\Program Files (x86)\AstroGrep\AstroGrep.exe" /spath="%USERPROFILE%\AppData\Local\Temp\OnboardLogs" /stypes="*4043*20160820*" /stext=" 18:.+((SYSTEM_STATE.+slice.+state.+changed )|(ment ac)|(system.+state.+changed )|(\|lc)|(penalty)|(\[timeout)|(PRM\|1\|D)|(kpr)|(kdp))" /e /r /s</v>
      </c>
      <c r="AG69" s="1" t="str">
        <f t="shared" si="32"/>
        <v>EC</v>
      </c>
      <c r="AH69" s="104" t="str">
        <f t="shared" si="16"/>
        <v>"%USERPROFILE%\Documents\GitHub\eaglep3\Utilities\RefineRTDCRunTimes.py" --tripid 156-20 --locoid 4043 --swversion DE.1.0.7.0 --startMP 204:232989 --initTime 2016-08-20T11:23:02 --startdatetime 2016-08-20T11:24:30 --delay 1 --endMP 204:143 --enddatetime 2016-08-20T12:05:41 --enforcementcount 0</v>
      </c>
    </row>
    <row r="70" spans="1:34" s="1" customFormat="1" x14ac:dyDescent="0.25">
      <c r="A70" s="40" t="s">
        <v>403</v>
      </c>
      <c r="B70" s="7">
        <v>4009</v>
      </c>
      <c r="C70" s="25" t="s">
        <v>116</v>
      </c>
      <c r="D70" s="25" t="s">
        <v>244</v>
      </c>
      <c r="E70" s="16">
        <v>42602.441377314812</v>
      </c>
      <c r="F70" s="16">
        <v>42602.442395833335</v>
      </c>
      <c r="G70" s="7">
        <v>1</v>
      </c>
      <c r="H70" s="16" t="s">
        <v>237</v>
      </c>
      <c r="I70" s="16">
        <v>42602.473796296297</v>
      </c>
      <c r="J70" s="7">
        <v>0</v>
      </c>
      <c r="K70" s="141" t="str">
        <f t="shared" si="21"/>
        <v>4009/4010</v>
      </c>
      <c r="L70" s="25" t="str">
        <f>VLOOKUP(A70,'Trips&amp;Operators'!$C$1:$E$10000,3,FALSE)</f>
        <v>STORY</v>
      </c>
      <c r="M70" s="6">
        <f t="shared" si="22"/>
        <v>3.1400462961755693E-2</v>
      </c>
      <c r="N70" s="7">
        <f t="shared" si="34"/>
        <v>45.216666664928198</v>
      </c>
      <c r="O70" s="7"/>
      <c r="P70" s="7"/>
      <c r="Q70" s="26"/>
      <c r="R70" s="26"/>
      <c r="S70" s="38">
        <f t="shared" si="33"/>
        <v>1</v>
      </c>
      <c r="T70" s="53" t="str">
        <f t="shared" si="23"/>
        <v>NorthBound</v>
      </c>
      <c r="U70" s="13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09:35:35-0600',mode:absolute,to:'2016-08-20 12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0" s="55" t="str">
        <f t="shared" si="25"/>
        <v>N</v>
      </c>
      <c r="X70" s="128">
        <f t="shared" si="20"/>
        <v>1</v>
      </c>
      <c r="Y70" s="70">
        <f t="shared" si="26"/>
        <v>4.3799999999999999E-2</v>
      </c>
      <c r="Z70" s="70">
        <f t="shared" si="27"/>
        <v>23.329699999999999</v>
      </c>
      <c r="AA70" s="70">
        <f t="shared" si="28"/>
        <v>23.285899999999998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29"/>
        <v>0157-20</v>
      </c>
      <c r="AE70" s="103" t="str">
        <f t="shared" si="30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70" s="100" t="str">
        <f t="shared" si="31"/>
        <v>"C:\Program Files (x86)\AstroGrep\AstroGrep.exe" /spath="%USERPROFILE%\AppData\Local\Temp\OnboardLogs" /stypes="*4009*20160820*" /stext=" 17:.+((SYSTEM_STATE.+slice.+state.+changed )|(ment ac)|(system.+state.+changed )|(\|lc)|(penalty)|(\[timeout)|(PRM\|1\|D)|(kpr)|(kdp))" /e /r /s</v>
      </c>
      <c r="AG70" s="1" t="str">
        <f t="shared" si="32"/>
        <v>EC</v>
      </c>
      <c r="AH70" s="104" t="str">
        <f t="shared" si="16"/>
        <v>"%USERPROFILE%\Documents\GitHub\eaglep3\Utilities\RefineRTDCRunTimes.py" --tripid 157-20 --locoid 4009 --swversion DE.1.0.7.0 --startMP 204:438 --initTime 2016-08-20T10:35:35 --startdatetime 2016-08-20T10:37:03 --delay 1 --endMP 204:233297 --enddatetime 2016-08-20T11:22:16 --enforcementcount 0</v>
      </c>
    </row>
    <row r="71" spans="1:34" x14ac:dyDescent="0.25">
      <c r="A71" s="40" t="s">
        <v>404</v>
      </c>
      <c r="B71" s="7">
        <v>4010</v>
      </c>
      <c r="C71" s="25" t="s">
        <v>116</v>
      </c>
      <c r="D71" s="25" t="s">
        <v>168</v>
      </c>
      <c r="E71" s="16">
        <v>42602.478055555555</v>
      </c>
      <c r="F71" s="16">
        <v>42602.479027777779</v>
      </c>
      <c r="G71" s="7">
        <v>1</v>
      </c>
      <c r="H71" s="16" t="s">
        <v>193</v>
      </c>
      <c r="I71" s="16">
        <v>42602.513553240744</v>
      </c>
      <c r="J71" s="7">
        <v>0</v>
      </c>
      <c r="K71" s="141" t="str">
        <f t="shared" si="21"/>
        <v>4009/4010</v>
      </c>
      <c r="L71" s="25" t="str">
        <f>VLOOKUP(A71,'Trips&amp;Operators'!$C$1:$E$10000,3,FALSE)</f>
        <v>STORY</v>
      </c>
      <c r="M71" s="6">
        <f t="shared" si="22"/>
        <v>3.4525462964666076E-2</v>
      </c>
      <c r="N71" s="7">
        <f t="shared" si="34"/>
        <v>49.716666669119149</v>
      </c>
      <c r="O71" s="7"/>
      <c r="P71" s="7"/>
      <c r="Q71" s="26"/>
      <c r="R71" s="26"/>
      <c r="S71" s="38">
        <f t="shared" si="33"/>
        <v>1</v>
      </c>
      <c r="T71" s="53" t="str">
        <f t="shared" si="23"/>
        <v>Southbound</v>
      </c>
      <c r="U71" s="13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10:28:24-0600',mode:absolute,to:'2016-08-20 13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1" s="55" t="str">
        <f t="shared" si="25"/>
        <v>N</v>
      </c>
      <c r="X71" s="128">
        <f t="shared" si="20"/>
        <v>1</v>
      </c>
      <c r="Y71" s="70">
        <f t="shared" si="26"/>
        <v>23.296500000000002</v>
      </c>
      <c r="Z71" s="70">
        <f t="shared" si="27"/>
        <v>1.52E-2</v>
      </c>
      <c r="AA71" s="70">
        <f t="shared" si="28"/>
        <v>23.281300000000002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29"/>
        <v>0158-20</v>
      </c>
      <c r="AE71" s="103" t="str">
        <f t="shared" si="30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71" s="100" t="str">
        <f t="shared" si="31"/>
        <v>"C:\Program Files (x86)\AstroGrep\AstroGrep.exe" /spath="%USERPROFILE%\AppData\Local\Temp\OnboardLogs" /stypes="*4010*20160820*" /stext=" 18:.+((SYSTEM_STATE.+slice.+state.+changed )|(ment ac)|(system.+state.+changed )|(\|lc)|(penalty)|(\[timeout)|(PRM\|1\|D)|(kpr)|(kdp))" /e /r /s</v>
      </c>
      <c r="AG71" s="1" t="str">
        <f t="shared" si="32"/>
        <v>EC</v>
      </c>
      <c r="AH71" s="104" t="str">
        <f t="shared" si="16"/>
        <v>"%USERPROFILE%\Documents\GitHub\eaglep3\Utilities\RefineRTDCRunTimes.py" --tripid 158-20 --locoid 4010 --swversion DE.1.0.7.0 --startMP 204:232965 --initTime 2016-08-20T11:28:24 --startdatetime 2016-08-20T11:29:48 --delay 1 --endMP 204:152 --enddatetime 2016-08-20T12:19:31 --enforcementcount 0</v>
      </c>
    </row>
    <row r="72" spans="1:34" s="24" customFormat="1" x14ac:dyDescent="0.25">
      <c r="A72" s="40" t="s">
        <v>405</v>
      </c>
      <c r="B72" s="7">
        <v>4018</v>
      </c>
      <c r="C72" s="25" t="s">
        <v>116</v>
      </c>
      <c r="D72" s="25" t="s">
        <v>375</v>
      </c>
      <c r="E72" s="16">
        <v>42602.454027777778</v>
      </c>
      <c r="F72" s="16">
        <v>42602.455000000002</v>
      </c>
      <c r="G72" s="7">
        <v>1</v>
      </c>
      <c r="H72" s="16" t="s">
        <v>389</v>
      </c>
      <c r="I72" s="16">
        <v>42602.484861111108</v>
      </c>
      <c r="J72" s="7">
        <v>0</v>
      </c>
      <c r="K72" s="141" t="str">
        <f t="shared" si="21"/>
        <v>4017/4018</v>
      </c>
      <c r="L72" s="25" t="str">
        <f>VLOOKUP(A72,'Trips&amp;Operators'!$C$1:$E$10000,3,FALSE)</f>
        <v>STEWART</v>
      </c>
      <c r="M72" s="6">
        <f t="shared" si="22"/>
        <v>2.9861111106583849E-2</v>
      </c>
      <c r="N72" s="7">
        <f t="shared" si="34"/>
        <v>42.999999993480742</v>
      </c>
      <c r="O72" s="7"/>
      <c r="P72" s="7"/>
      <c r="Q72" s="26"/>
      <c r="R72" s="26"/>
      <c r="S72" s="38">
        <f t="shared" si="33"/>
        <v>1</v>
      </c>
      <c r="T72" s="53" t="str">
        <f t="shared" si="23"/>
        <v>NorthBound</v>
      </c>
      <c r="U72" s="13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09:53:48-0600',mode:absolute,to:'2016-08-20 12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2" s="55" t="str">
        <f t="shared" si="25"/>
        <v>N</v>
      </c>
      <c r="X72" s="128">
        <f t="shared" si="20"/>
        <v>1</v>
      </c>
      <c r="Y72" s="70">
        <f t="shared" si="26"/>
        <v>4.3999999999999997E-2</v>
      </c>
      <c r="Z72" s="70">
        <f t="shared" si="27"/>
        <v>23.3306</v>
      </c>
      <c r="AA72" s="70">
        <f t="shared" si="28"/>
        <v>23.2866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29"/>
        <v>0159-20</v>
      </c>
      <c r="AE72" s="103" t="str">
        <f t="shared" si="30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72" s="100" t="str">
        <f t="shared" si="31"/>
        <v>"C:\Program Files (x86)\AstroGrep\AstroGrep.exe" /spath="%USERPROFILE%\AppData\Local\Temp\OnboardLogs" /stypes="*4018*20160820*" /stext=" 17:.+((SYSTEM_STATE.+slice.+state.+changed )|(ment ac)|(system.+state.+changed )|(\|lc)|(penalty)|(\[timeout)|(PRM\|1\|D)|(kpr)|(kdp))" /e /r /s</v>
      </c>
      <c r="AG72" s="1" t="str">
        <f t="shared" si="32"/>
        <v>EC</v>
      </c>
      <c r="AH72" s="104" t="str">
        <f t="shared" si="16"/>
        <v>"%USERPROFILE%\Documents\GitHub\eaglep3\Utilities\RefineRTDCRunTimes.py" --tripid 159-20 --locoid 4018 --swversion DE.1.0.7.0 --startMP 204:440 --initTime 2016-08-20T10:53:48 --startdatetime 2016-08-20T10:55:12 --delay 1 --endMP 204:233306 --enddatetime 2016-08-20T11:38:12 --enforcementcount 0</v>
      </c>
    </row>
    <row r="73" spans="1:34" x14ac:dyDescent="0.25">
      <c r="A73" s="40" t="s">
        <v>406</v>
      </c>
      <c r="B73" s="7">
        <v>4017</v>
      </c>
      <c r="C73" s="25" t="s">
        <v>116</v>
      </c>
      <c r="D73" s="25" t="s">
        <v>208</v>
      </c>
      <c r="E73" s="16">
        <v>42602.495787037034</v>
      </c>
      <c r="F73" s="16">
        <v>42602.497071759259</v>
      </c>
      <c r="G73" s="7">
        <v>1</v>
      </c>
      <c r="H73" s="16" t="s">
        <v>137</v>
      </c>
      <c r="I73" s="16">
        <v>42602.524791666663</v>
      </c>
      <c r="J73" s="7">
        <v>0</v>
      </c>
      <c r="K73" s="141" t="str">
        <f t="shared" si="21"/>
        <v>4017/4018</v>
      </c>
      <c r="L73" s="25" t="str">
        <f>VLOOKUP(A73,'Trips&amp;Operators'!$C$1:$E$10000,3,FALSE)</f>
        <v>STEWART</v>
      </c>
      <c r="M73" s="6">
        <f t="shared" si="22"/>
        <v>2.7719907404389232E-2</v>
      </c>
      <c r="N73" s="7">
        <f t="shared" si="34"/>
        <v>39.916666662320495</v>
      </c>
      <c r="O73" s="7"/>
      <c r="P73" s="7"/>
      <c r="Q73" s="26"/>
      <c r="R73" s="26"/>
      <c r="S73" s="38">
        <f t="shared" si="33"/>
        <v>1</v>
      </c>
      <c r="T73" s="53" t="str">
        <f t="shared" si="23"/>
        <v>Southbound</v>
      </c>
      <c r="U73" s="13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10:53:56-0600',mode:absolute,to:'2016-08-20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3" s="55" t="str">
        <f t="shared" si="25"/>
        <v>N</v>
      </c>
      <c r="X73" s="128">
        <f t="shared" si="20"/>
        <v>1</v>
      </c>
      <c r="Y73" s="70">
        <f t="shared" si="26"/>
        <v>23.299099999999999</v>
      </c>
      <c r="Z73" s="70">
        <f t="shared" si="27"/>
        <v>1.47E-2</v>
      </c>
      <c r="AA73" s="70">
        <f t="shared" si="28"/>
        <v>23.284399999999998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29"/>
        <v>0160-20</v>
      </c>
      <c r="AE73" s="103" t="str">
        <f t="shared" si="30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73" s="100" t="str">
        <f t="shared" si="31"/>
        <v>"C:\Program Files (x86)\AstroGrep\AstroGrep.exe" /spath="%USERPROFILE%\AppData\Local\Temp\OnboardLogs" /stypes="*4017*20160820*" /stext=" 18:.+((SYSTEM_STATE.+slice.+state.+changed )|(ment ac)|(system.+state.+changed )|(\|lc)|(penalty)|(\[timeout)|(PRM\|1\|D)|(kpr)|(kdp))" /e /r /s</v>
      </c>
      <c r="AG73" s="1" t="str">
        <f t="shared" si="32"/>
        <v>EC</v>
      </c>
      <c r="AH73" s="104" t="str">
        <f t="shared" si="16"/>
        <v>"%USERPROFILE%\Documents\GitHub\eaglep3\Utilities\RefineRTDCRunTimes.py" --tripid 160-20 --locoid 4017 --swversion DE.1.0.7.0 --startMP 204:232991 --initTime 2016-08-20T11:53:56 --startdatetime 2016-08-20T11:55:47 --delay 1 --endMP 204:147 --enddatetime 2016-08-20T12:35:42 --enforcementcount 0</v>
      </c>
    </row>
    <row r="74" spans="1:34" x14ac:dyDescent="0.25">
      <c r="A74" s="40" t="s">
        <v>407</v>
      </c>
      <c r="B74" s="7">
        <v>4031</v>
      </c>
      <c r="C74" s="25" t="s">
        <v>116</v>
      </c>
      <c r="D74" s="25" t="s">
        <v>267</v>
      </c>
      <c r="E74" s="16">
        <v>42602.46434027778</v>
      </c>
      <c r="F74" s="16">
        <v>42602.46533564815</v>
      </c>
      <c r="G74" s="7">
        <v>1</v>
      </c>
      <c r="H74" s="16" t="s">
        <v>258</v>
      </c>
      <c r="I74" s="16">
        <v>42602.494756944441</v>
      </c>
      <c r="J74" s="7">
        <v>0</v>
      </c>
      <c r="K74" s="141" t="str">
        <f t="shared" si="21"/>
        <v>4031/4032</v>
      </c>
      <c r="L74" s="25" t="str">
        <f>VLOOKUP(A74,'Trips&amp;Operators'!$C$1:$E$10000,3,FALSE)</f>
        <v>BARTLETT</v>
      </c>
      <c r="M74" s="6">
        <f t="shared" si="22"/>
        <v>2.9421296290820464E-2</v>
      </c>
      <c r="N74" s="7">
        <f t="shared" si="34"/>
        <v>42.366666658781469</v>
      </c>
      <c r="O74" s="7"/>
      <c r="P74" s="7"/>
      <c r="Q74" s="26"/>
      <c r="R74" s="26"/>
      <c r="S74" s="38">
        <f t="shared" si="33"/>
        <v>1</v>
      </c>
      <c r="T74" s="53" t="str">
        <f t="shared" si="23"/>
        <v>NorthBound</v>
      </c>
      <c r="U74" s="13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10:08:39-0600',mode:absolute,to:'2016-08-20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4" s="55" t="str">
        <f t="shared" si="25"/>
        <v>N</v>
      </c>
      <c r="X74" s="128">
        <f t="shared" si="20"/>
        <v>1</v>
      </c>
      <c r="Y74" s="70">
        <f t="shared" si="26"/>
        <v>4.8000000000000001E-2</v>
      </c>
      <c r="Z74" s="70">
        <f t="shared" si="27"/>
        <v>23.3309</v>
      </c>
      <c r="AA74" s="70">
        <f t="shared" si="28"/>
        <v>23.282900000000001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29"/>
        <v>0161-20</v>
      </c>
      <c r="AE74" s="103" t="str">
        <f t="shared" si="30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74" s="100" t="str">
        <f t="shared" si="31"/>
        <v>"C:\Program Files (x86)\AstroGrep\AstroGrep.exe" /spath="%USERPROFILE%\AppData\Local\Temp\OnboardLogs" /stypes="*4031*20160820*" /stext=" 17:.+((SYSTEM_STATE.+slice.+state.+changed )|(ment ac)|(system.+state.+changed )|(\|lc)|(penalty)|(\[timeout)|(PRM\|1\|D)|(kpr)|(kdp))" /e /r /s</v>
      </c>
      <c r="AG74" s="1" t="str">
        <f t="shared" si="32"/>
        <v>EC</v>
      </c>
      <c r="AH74" s="104" t="str">
        <f t="shared" si="16"/>
        <v>"%USERPROFILE%\Documents\GitHub\eaglep3\Utilities\RefineRTDCRunTimes.py" --tripid 161-20 --locoid 4031 --swversion DE.1.0.7.0 --startMP 204:480 --initTime 2016-08-20T11:08:39 --startdatetime 2016-08-20T11:10:05 --delay 1 --endMP 204:233309 --enddatetime 2016-08-20T11:52:27 --enforcementcount 0</v>
      </c>
    </row>
    <row r="75" spans="1:34" x14ac:dyDescent="0.25">
      <c r="A75" s="40" t="s">
        <v>408</v>
      </c>
      <c r="B75" s="7">
        <v>4032</v>
      </c>
      <c r="C75" s="25" t="s">
        <v>116</v>
      </c>
      <c r="D75" s="25" t="s">
        <v>409</v>
      </c>
      <c r="E75" s="16">
        <v>42602.505243055559</v>
      </c>
      <c r="F75" s="16">
        <v>42602.50640046296</v>
      </c>
      <c r="G75" s="7">
        <v>1</v>
      </c>
      <c r="H75" s="16" t="s">
        <v>137</v>
      </c>
      <c r="I75" s="16">
        <v>42602.535150462965</v>
      </c>
      <c r="J75" s="7">
        <v>0</v>
      </c>
      <c r="K75" s="141" t="str">
        <f t="shared" si="21"/>
        <v>4031/4032</v>
      </c>
      <c r="L75" s="25" t="str">
        <f>VLOOKUP(A75,'Trips&amp;Operators'!$C$1:$E$10000,3,FALSE)</f>
        <v>BARTLETT</v>
      </c>
      <c r="M75" s="6">
        <f t="shared" si="22"/>
        <v>2.8750000004947651E-2</v>
      </c>
      <c r="N75" s="7">
        <f t="shared" si="34"/>
        <v>41.400000007124618</v>
      </c>
      <c r="O75" s="7"/>
      <c r="P75" s="7"/>
      <c r="Q75" s="26"/>
      <c r="R75" s="26"/>
      <c r="S75" s="38">
        <f t="shared" si="33"/>
        <v>1</v>
      </c>
      <c r="T75" s="53" t="str">
        <f t="shared" si="23"/>
        <v>Southbound</v>
      </c>
      <c r="U75" s="13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11:07:33-0600',mode:absolute,to:'2016-08-20 13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5" s="55" t="str">
        <f t="shared" si="25"/>
        <v>N</v>
      </c>
      <c r="X75" s="128">
        <f t="shared" si="20"/>
        <v>1</v>
      </c>
      <c r="Y75" s="70">
        <f t="shared" si="26"/>
        <v>23.300699999999999</v>
      </c>
      <c r="Z75" s="70">
        <f t="shared" si="27"/>
        <v>1.47E-2</v>
      </c>
      <c r="AA75" s="70">
        <f t="shared" si="28"/>
        <v>23.285999999999998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29"/>
        <v>0162-20</v>
      </c>
      <c r="AE75" s="103" t="str">
        <f t="shared" si="30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75" s="100" t="str">
        <f t="shared" si="31"/>
        <v>"C:\Program Files (x86)\AstroGrep\AstroGrep.exe" /spath="%USERPROFILE%\AppData\Local\Temp\OnboardLogs" /stypes="*4032*20160820*" /stext=" 18:.+((SYSTEM_STATE.+slice.+state.+changed )|(ment ac)|(system.+state.+changed )|(\|lc)|(penalty)|(\[timeout)|(PRM\|1\|D)|(kpr)|(kdp))" /e /r /s</v>
      </c>
      <c r="AG75" s="1" t="str">
        <f t="shared" si="32"/>
        <v>EC</v>
      </c>
      <c r="AH75" s="104" t="str">
        <f t="shared" si="16"/>
        <v>"%USERPROFILE%\Documents\GitHub\eaglep3\Utilities\RefineRTDCRunTimes.py" --tripid 162-20 --locoid 4032 --swversion DE.1.0.7.0 --startMP 204:233007 --initTime 2016-08-20T12:07:33 --startdatetime 2016-08-20T12:09:13 --delay 1 --endMP 204:147 --enddatetime 2016-08-20T12:50:37 --enforcementcount 0</v>
      </c>
    </row>
    <row r="76" spans="1:34" s="24" customFormat="1" x14ac:dyDescent="0.25">
      <c r="A76" s="40" t="s">
        <v>410</v>
      </c>
      <c r="B76" s="7">
        <v>4007</v>
      </c>
      <c r="C76" s="25" t="s">
        <v>116</v>
      </c>
      <c r="D76" s="25" t="s">
        <v>146</v>
      </c>
      <c r="E76" s="16">
        <v>42602.477418981478</v>
      </c>
      <c r="F76" s="16">
        <v>42602.478865740741</v>
      </c>
      <c r="G76" s="7">
        <v>2</v>
      </c>
      <c r="H76" s="16" t="s">
        <v>411</v>
      </c>
      <c r="I76" s="16">
        <v>42602.505069444444</v>
      </c>
      <c r="J76" s="7">
        <v>0</v>
      </c>
      <c r="K76" s="141" t="str">
        <f t="shared" si="21"/>
        <v>4007/4008</v>
      </c>
      <c r="L76" s="25" t="str">
        <f>VLOOKUP(A76,'Trips&amp;Operators'!$C$1:$E$10000,3,FALSE)</f>
        <v>MOSES</v>
      </c>
      <c r="M76" s="6">
        <f t="shared" si="22"/>
        <v>2.6203703702776693E-2</v>
      </c>
      <c r="N76" s="7">
        <f t="shared" si="34"/>
        <v>37.733333331998438</v>
      </c>
      <c r="O76" s="7"/>
      <c r="P76" s="7"/>
      <c r="Q76" s="26"/>
      <c r="R76" s="26"/>
      <c r="S76" s="38">
        <f t="shared" si="33"/>
        <v>1</v>
      </c>
      <c r="T76" s="53" t="str">
        <f t="shared" si="23"/>
        <v>NorthBound</v>
      </c>
      <c r="U76" s="13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0" t="str">
        <f t="shared" si="24"/>
        <v>https://search-rtdc-monitor-bjffxe2xuh6vdkpspy63sjmuny.us-east-1.es.amazonaws.com/_plugin/kibana/#/discover/Steve-Slow-Train-Analysis-(2080s-and-2083s)?_g=(refreshInterval:(display:Off,section:0,value:0),time:(from:'2016-08-20 10:27:29-0600',mode:absolute,to:'2016-08-20 13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6" s="55" t="str">
        <f t="shared" si="25"/>
        <v>N</v>
      </c>
      <c r="X76" s="128">
        <f t="shared" ref="X76:X107" si="35">VALUE(LEFT(AD76,4))-VALUE(LEFT(AD75,4))</f>
        <v>1</v>
      </c>
      <c r="Y76" s="70">
        <f t="shared" si="26"/>
        <v>4.58E-2</v>
      </c>
      <c r="Z76" s="70">
        <f t="shared" si="27"/>
        <v>23.3187</v>
      </c>
      <c r="AA76" s="70">
        <f t="shared" si="28"/>
        <v>23.2729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29"/>
        <v>0163-20</v>
      </c>
      <c r="AE76" s="103" t="str">
        <f t="shared" si="30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76" s="100" t="str">
        <f t="shared" si="31"/>
        <v>"C:\Program Files (x86)\AstroGrep\AstroGrep.exe" /spath="%USERPROFILE%\AppData\Local\Temp\OnboardLogs" /stypes="*4007*20160820*" /stext=" 18:.+((SYSTEM_STATE.+slice.+state.+changed )|(ment ac)|(system.+state.+changed )|(\|lc)|(penalty)|(\[timeout)|(PRM\|1\|D)|(kpr)|(kdp))" /e /r /s</v>
      </c>
      <c r="AG76" s="1" t="str">
        <f t="shared" si="32"/>
        <v>EC</v>
      </c>
      <c r="AH76" s="104" t="str">
        <f t="shared" si="16"/>
        <v>"%USERPROFILE%\Documents\GitHub\eaglep3\Utilities\RefineRTDCRunTimes.py" --tripid 163-20 --locoid 4007 --swversion DE.1.0.7.0 --startMP 204:458 --initTime 2016-08-20T11:27:29 --startdatetime 2016-08-20T11:29:34 --delay 2 --endMP 204:233187 --enddatetime 2016-08-20T12:07:18 --enforcementcount 0</v>
      </c>
    </row>
    <row r="77" spans="1:34" x14ac:dyDescent="0.25">
      <c r="A77" s="40" t="s">
        <v>412</v>
      </c>
      <c r="B77" s="7">
        <v>4008</v>
      </c>
      <c r="C77" s="25" t="s">
        <v>116</v>
      </c>
      <c r="D77" s="25" t="s">
        <v>413</v>
      </c>
      <c r="E77" s="16">
        <v>42602.516250000001</v>
      </c>
      <c r="F77" s="16">
        <v>42602.517442129632</v>
      </c>
      <c r="G77" s="7">
        <v>1</v>
      </c>
      <c r="H77" s="16" t="s">
        <v>167</v>
      </c>
      <c r="I77" s="16">
        <v>42602.545428240737</v>
      </c>
      <c r="J77" s="7">
        <v>0</v>
      </c>
      <c r="K77" s="141" t="str">
        <f t="shared" ref="K77:K108" si="36">IF(ISEVEN(B77),(B77-1)&amp;"/"&amp;B77,B77&amp;"/"&amp;(B77+1))</f>
        <v>4007/4008</v>
      </c>
      <c r="L77" s="25" t="str">
        <f>VLOOKUP(A77,'Trips&amp;Operators'!$C$1:$E$10000,3,FALSE)</f>
        <v>MOSES</v>
      </c>
      <c r="M77" s="6">
        <f t="shared" ref="M77:M108" si="37">I77-F77</f>
        <v>2.7986111104837619E-2</v>
      </c>
      <c r="N77" s="7">
        <f t="shared" si="34"/>
        <v>40.299999990966171</v>
      </c>
      <c r="O77" s="7"/>
      <c r="P77" s="7"/>
      <c r="Q77" s="26"/>
      <c r="R77" s="26"/>
      <c r="S77" s="38">
        <f t="shared" si="33"/>
        <v>1</v>
      </c>
      <c r="T77" s="53" t="str">
        <f t="shared" ref="T77:T108" si="38">IF(ISEVEN(LEFT(AD77,4)),"Southbound","NorthBound")</f>
        <v>Southbound</v>
      </c>
      <c r="U77" s="13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0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https://search-rtdc-monitor-bjffxe2xuh6vdkpspy63sjmuny.us-east-1.es.amazonaws.com/_plugin/kibana/#/discover/Steve-Slow-Train-Analysis-(2080s-and-2083s)?_g=(refreshInterval:(display:Off,section:0,value:0),time:(from:'2016-08-20 11:23:24-0600',mode:absolute,to:'2016-08-20 14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7" s="55" t="str">
        <f t="shared" ref="W77:W108" si="40">IF(AA77&lt;IF(AG77="EC",23,5.65),"Y","N")</f>
        <v>N</v>
      </c>
      <c r="X77" s="128">
        <f t="shared" si="35"/>
        <v>1</v>
      </c>
      <c r="Y77" s="70">
        <f t="shared" ref="Y77:Y108" si="41">RIGHT(D77,LEN(D77)-4)/10000</f>
        <v>23.285699999999999</v>
      </c>
      <c r="Z77" s="70">
        <f t="shared" ref="Z77:Z108" si="42">RIGHT(H77,LEN(H77)-4)/10000</f>
        <v>1.54E-2</v>
      </c>
      <c r="AA77" s="70">
        <f t="shared" ref="AA77:AA108" si="43">ABS(Z77-Y77)</f>
        <v>23.270299999999999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ref="AD77:AD108" si="44">IF(LEN(A77)=6,"0"&amp;A77,A77)</f>
        <v>0164-20</v>
      </c>
      <c r="AE77" s="103" t="str">
        <f t="shared" ref="AE77:AE108" si="4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77" s="100" t="str">
        <f t="shared" ref="AF77:AF108" si="46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/stypes="*4008*20160820*" /stext=" 19:.+((SYSTEM_STATE.+slice.+state.+changed )|(ment ac)|(system.+state.+changed )|(\|lc)|(penalty)|(\[timeout)|(PRM\|1\|D)|(kpr)|(kdp))"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104" t="str">
        <f t="shared" ref="AH77:AH140" si="4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</f>
        <v>"%USERPROFILE%\Documents\GitHub\eaglep3\Utilities\RefineRTDCRunTimes.py" --tripid 164-20 --locoid 4008 --swversion DE.1.0.7.0 --startMP 204:232857 --initTime 2016-08-20T12:23:24 --startdatetime 2016-08-20T12:25:07 --delay 1 --endMP 204:154 --enddatetime 2016-08-20T13:05:25 --enforcementcount 0</v>
      </c>
    </row>
    <row r="78" spans="1:34" x14ac:dyDescent="0.25">
      <c r="A78" s="40" t="s">
        <v>414</v>
      </c>
      <c r="B78" s="7">
        <v>4003</v>
      </c>
      <c r="C78" s="25" t="s">
        <v>116</v>
      </c>
      <c r="D78" s="25" t="s">
        <v>138</v>
      </c>
      <c r="E78" s="16">
        <v>42602.484074074076</v>
      </c>
      <c r="F78" s="16">
        <v>42602.485196759262</v>
      </c>
      <c r="G78" s="7">
        <v>1</v>
      </c>
      <c r="H78" s="16" t="s">
        <v>415</v>
      </c>
      <c r="I78" s="16">
        <v>42602.515300925923</v>
      </c>
      <c r="J78" s="7">
        <v>0</v>
      </c>
      <c r="K78" s="141" t="str">
        <f t="shared" si="36"/>
        <v>4003/4004</v>
      </c>
      <c r="L78" s="25" t="str">
        <f>VLOOKUP(A78,'Trips&amp;Operators'!$C$1:$E$10000,3,FALSE)</f>
        <v>SHOOK</v>
      </c>
      <c r="M78" s="6">
        <f t="shared" si="37"/>
        <v>3.0104166660748888E-2</v>
      </c>
      <c r="N78" s="7">
        <f t="shared" si="34"/>
        <v>43.349999991478398</v>
      </c>
      <c r="O78" s="7"/>
      <c r="P78" s="7"/>
      <c r="Q78" s="26"/>
      <c r="R78" s="26"/>
      <c r="S78" s="38">
        <f t="shared" si="33"/>
        <v>1</v>
      </c>
      <c r="T78" s="53" t="str">
        <f t="shared" si="38"/>
        <v>NorthBound</v>
      </c>
      <c r="U78" s="13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10:37:04-0600',mode:absolute,to:'2016-08-20 13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78" s="55" t="str">
        <f t="shared" si="40"/>
        <v>N</v>
      </c>
      <c r="X78" s="128">
        <f t="shared" si="35"/>
        <v>1</v>
      </c>
      <c r="Y78" s="70">
        <f t="shared" si="41"/>
        <v>4.53E-2</v>
      </c>
      <c r="Z78" s="70">
        <f t="shared" si="42"/>
        <v>23.335899999999999</v>
      </c>
      <c r="AA78" s="70">
        <f t="shared" si="43"/>
        <v>23.290599999999998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44"/>
        <v>0165-20</v>
      </c>
      <c r="AE78" s="103" t="str">
        <f t="shared" si="45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78" s="100" t="str">
        <f t="shared" si="46"/>
        <v>"C:\Program Files (x86)\AstroGrep\AstroGrep.exe" /spath="%USERPROFILE%\AppData\Local\Temp\OnboardLogs" /stypes="*4003*20160820*" /stext=" 18:.+((SYSTEM_STATE.+slice.+state.+changed )|(ment ac)|(system.+state.+changed )|(\|lc)|(penalty)|(\[timeout)|(PRM\|1\|D)|(kpr)|(kdp))" /e /r /s</v>
      </c>
      <c r="AG78" s="1" t="str">
        <f t="shared" si="47"/>
        <v>EC</v>
      </c>
      <c r="AH78" s="104" t="str">
        <f t="shared" si="48"/>
        <v>"%USERPROFILE%\Documents\GitHub\eaglep3\Utilities\RefineRTDCRunTimes.py" --tripid 165-20 --locoid 4003 --swversion DE.1.0.7.0 --startMP 204:453 --initTime 2016-08-20T11:37:04 --startdatetime 2016-08-20T11:38:41 --delay 1 --endMP 204:233359 --enddatetime 2016-08-20T12:22:02 --enforcementcount 0</v>
      </c>
    </row>
    <row r="79" spans="1:34" x14ac:dyDescent="0.25">
      <c r="A79" s="40" t="s">
        <v>416</v>
      </c>
      <c r="B79" s="7">
        <v>4004</v>
      </c>
      <c r="C79" s="25" t="s">
        <v>116</v>
      </c>
      <c r="D79" s="25" t="s">
        <v>417</v>
      </c>
      <c r="E79" s="16">
        <v>42602.52270833333</v>
      </c>
      <c r="F79" s="16">
        <v>42602.523668981485</v>
      </c>
      <c r="G79" s="7">
        <v>1</v>
      </c>
      <c r="H79" s="16" t="s">
        <v>418</v>
      </c>
      <c r="I79" s="16">
        <v>42602.556157407409</v>
      </c>
      <c r="J79" s="7">
        <v>0</v>
      </c>
      <c r="K79" s="141" t="str">
        <f t="shared" si="36"/>
        <v>4003/4004</v>
      </c>
      <c r="L79" s="25" t="str">
        <f>VLOOKUP(A79,'Trips&amp;Operators'!$C$1:$E$10000,3,FALSE)</f>
        <v>SHOOK</v>
      </c>
      <c r="M79" s="6">
        <f t="shared" si="37"/>
        <v>3.2488425924384501E-2</v>
      </c>
      <c r="N79" s="7">
        <f t="shared" si="34"/>
        <v>46.783333331113681</v>
      </c>
      <c r="O79" s="7"/>
      <c r="P79" s="7"/>
      <c r="Q79" s="26"/>
      <c r="R79" s="26"/>
      <c r="S79" s="38">
        <f t="shared" si="33"/>
        <v>1</v>
      </c>
      <c r="T79" s="53" t="str">
        <f t="shared" si="38"/>
        <v>Southbound</v>
      </c>
      <c r="U79" s="13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11:32:42-0600',mode:absolute,to:'2016-08-20 14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79" s="55" t="str">
        <f t="shared" si="40"/>
        <v>N</v>
      </c>
      <c r="X79" s="128">
        <f t="shared" si="35"/>
        <v>1</v>
      </c>
      <c r="Y79" s="70">
        <f t="shared" si="41"/>
        <v>23.3049</v>
      </c>
      <c r="Z79" s="70">
        <f t="shared" si="42"/>
        <v>1.2699999999999999E-2</v>
      </c>
      <c r="AA79" s="70">
        <f t="shared" si="43"/>
        <v>23.292200000000001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44"/>
        <v>0166-20</v>
      </c>
      <c r="AE79" s="103" t="str">
        <f t="shared" si="45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79" s="100" t="str">
        <f t="shared" si="46"/>
        <v>"C:\Program Files (x86)\AstroGrep\AstroGrep.exe" /spath="%USERPROFILE%\AppData\Local\Temp\OnboardLogs" /stypes="*4004*20160820*" /stext=" 19:.+((SYSTEM_STATE.+slice.+state.+changed )|(ment ac)|(system.+state.+changed )|(\|lc)|(penalty)|(\[timeout)|(PRM\|1\|D)|(kpr)|(kdp))" /e /r /s</v>
      </c>
      <c r="AG79" s="1" t="str">
        <f t="shared" si="47"/>
        <v>EC</v>
      </c>
      <c r="AH79" s="104" t="str">
        <f t="shared" si="48"/>
        <v>"%USERPROFILE%\Documents\GitHub\eaglep3\Utilities\RefineRTDCRunTimes.py" --tripid 166-20 --locoid 4004 --swversion DE.1.0.7.0 --startMP 204:233049 --initTime 2016-08-20T12:32:42 --startdatetime 2016-08-20T12:34:05 --delay 1 --endMP 204:127 --enddatetime 2016-08-20T13:20:52 --enforcementcount 0</v>
      </c>
    </row>
    <row r="80" spans="1:34" x14ac:dyDescent="0.25">
      <c r="A80" s="40" t="s">
        <v>419</v>
      </c>
      <c r="B80" s="7">
        <v>4027</v>
      </c>
      <c r="C80" s="25" t="s">
        <v>116</v>
      </c>
      <c r="D80" s="25" t="s">
        <v>375</v>
      </c>
      <c r="E80" s="16">
        <v>42602.49695601852</v>
      </c>
      <c r="F80" s="16">
        <v>42602.498726851853</v>
      </c>
      <c r="G80" s="7">
        <v>2</v>
      </c>
      <c r="H80" s="16" t="s">
        <v>262</v>
      </c>
      <c r="I80" s="16">
        <v>42602.525821759256</v>
      </c>
      <c r="J80" s="7">
        <v>0</v>
      </c>
      <c r="K80" s="141" t="str">
        <f t="shared" si="36"/>
        <v>4027/4028</v>
      </c>
      <c r="L80" s="25" t="str">
        <f>VLOOKUP(A80,'Trips&amp;Operators'!$C$1:$E$10000,3,FALSE)</f>
        <v>BRUDER</v>
      </c>
      <c r="M80" s="6">
        <f t="shared" si="37"/>
        <v>2.7094907403807156E-2</v>
      </c>
      <c r="N80" s="7">
        <f t="shared" si="34"/>
        <v>39.016666661482304</v>
      </c>
      <c r="O80" s="7"/>
      <c r="P80" s="7"/>
      <c r="Q80" s="26"/>
      <c r="R80" s="26"/>
      <c r="S80" s="38">
        <f t="shared" si="33"/>
        <v>1</v>
      </c>
      <c r="T80" s="53" t="str">
        <f t="shared" si="38"/>
        <v>NorthBound</v>
      </c>
      <c r="U80" s="13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10:55:37-0600',mode:absolute,to:'2016-08-20 13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0" s="55" t="str">
        <f t="shared" si="40"/>
        <v>N</v>
      </c>
      <c r="X80" s="128">
        <f t="shared" si="35"/>
        <v>1</v>
      </c>
      <c r="Y80" s="70">
        <f t="shared" si="41"/>
        <v>4.3999999999999997E-2</v>
      </c>
      <c r="Z80" s="70">
        <f t="shared" si="42"/>
        <v>23.3308</v>
      </c>
      <c r="AA80" s="70">
        <f t="shared" si="43"/>
        <v>23.286799999999999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44"/>
        <v>0167-20</v>
      </c>
      <c r="AE80" s="103" t="str">
        <f t="shared" si="45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80" s="100" t="str">
        <f t="shared" si="46"/>
        <v>"C:\Program Files (x86)\AstroGrep\AstroGrep.exe" /spath="%USERPROFILE%\AppData\Local\Temp\OnboardLogs" /stypes="*4027*20160820*" /stext=" 18:.+((SYSTEM_STATE.+slice.+state.+changed )|(ment ac)|(system.+state.+changed )|(\|lc)|(penalty)|(\[timeout)|(PRM\|1\|D)|(kpr)|(kdp))" /e /r /s</v>
      </c>
      <c r="AG80" s="1" t="str">
        <f t="shared" si="47"/>
        <v>EC</v>
      </c>
      <c r="AH80" s="104" t="str">
        <f t="shared" si="48"/>
        <v>"%USERPROFILE%\Documents\GitHub\eaglep3\Utilities\RefineRTDCRunTimes.py" --tripid 167-20 --locoid 4027 --swversion DE.1.0.7.0 --startMP 204:440 --initTime 2016-08-20T11:55:37 --startdatetime 2016-08-20T11:58:10 --delay 2 --endMP 204:233308 --enddatetime 2016-08-20T12:37:11 --enforcementcount 0</v>
      </c>
    </row>
    <row r="81" spans="1:34" x14ac:dyDescent="0.25">
      <c r="A81" s="40" t="s">
        <v>420</v>
      </c>
      <c r="B81" s="7">
        <v>4028</v>
      </c>
      <c r="C81" s="25" t="s">
        <v>116</v>
      </c>
      <c r="D81" s="25" t="s">
        <v>140</v>
      </c>
      <c r="E81" s="16">
        <v>42602.533541666664</v>
      </c>
      <c r="F81" s="16">
        <v>42602.534768518519</v>
      </c>
      <c r="G81" s="7">
        <v>1</v>
      </c>
      <c r="H81" s="16" t="s">
        <v>167</v>
      </c>
      <c r="I81" s="16">
        <v>42602.567025462966</v>
      </c>
      <c r="J81" s="7">
        <v>0</v>
      </c>
      <c r="K81" s="141" t="str">
        <f t="shared" si="36"/>
        <v>4027/4028</v>
      </c>
      <c r="L81" s="25" t="str">
        <f>VLOOKUP(A81,'Trips&amp;Operators'!$C$1:$E$10000,3,FALSE)</f>
        <v>BRUDER</v>
      </c>
      <c r="M81" s="6">
        <f t="shared" si="37"/>
        <v>3.2256944446999114E-2</v>
      </c>
      <c r="N81" s="7">
        <f t="shared" si="34"/>
        <v>46.450000003678724</v>
      </c>
      <c r="O81" s="7"/>
      <c r="P81" s="7"/>
      <c r="Q81" s="26"/>
      <c r="R81" s="26"/>
      <c r="S81" s="38">
        <f t="shared" si="33"/>
        <v>1</v>
      </c>
      <c r="T81" s="53" t="str">
        <f t="shared" si="38"/>
        <v>Southbound</v>
      </c>
      <c r="U81" s="13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11:48:18-0600',mode:absolute,to:'2016-08-20 14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1" s="55" t="str">
        <f t="shared" si="40"/>
        <v>N</v>
      </c>
      <c r="X81" s="128">
        <f t="shared" si="35"/>
        <v>1</v>
      </c>
      <c r="Y81" s="70">
        <f t="shared" si="41"/>
        <v>23.299399999999999</v>
      </c>
      <c r="Z81" s="70">
        <f t="shared" si="42"/>
        <v>1.54E-2</v>
      </c>
      <c r="AA81" s="70">
        <f t="shared" si="43"/>
        <v>23.283999999999999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44"/>
        <v>0168-20</v>
      </c>
      <c r="AE81" s="103" t="str">
        <f t="shared" si="45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81" s="100" t="str">
        <f t="shared" si="46"/>
        <v>"C:\Program Files (x86)\AstroGrep\AstroGrep.exe" /spath="%USERPROFILE%\AppData\Local\Temp\OnboardLogs" /stypes="*4028*20160820*" /stext=" 19:.+((SYSTEM_STATE.+slice.+state.+changed )|(ment ac)|(system.+state.+changed )|(\|lc)|(penalty)|(\[timeout)|(PRM\|1\|D)|(kpr)|(kdp))" /e /r /s</v>
      </c>
      <c r="AG81" s="1" t="str">
        <f t="shared" si="47"/>
        <v>EC</v>
      </c>
      <c r="AH81" s="104" t="str">
        <f t="shared" si="48"/>
        <v>"%USERPROFILE%\Documents\GitHub\eaglep3\Utilities\RefineRTDCRunTimes.py" --tripid 168-20 --locoid 4028 --swversion DE.1.0.7.0 --startMP 204:232994 --initTime 2016-08-20T12:48:18 --startdatetime 2016-08-20T12:50:04 --delay 1 --endMP 204:154 --enddatetime 2016-08-20T13:36:31 --enforcementcount 0</v>
      </c>
    </row>
    <row r="82" spans="1:34" x14ac:dyDescent="0.25">
      <c r="A82" s="40" t="s">
        <v>421</v>
      </c>
      <c r="B82" s="7">
        <v>4044</v>
      </c>
      <c r="C82" s="25" t="s">
        <v>116</v>
      </c>
      <c r="D82" s="25" t="s">
        <v>130</v>
      </c>
      <c r="E82" s="16">
        <v>42602.504988425928</v>
      </c>
      <c r="F82" s="16">
        <v>42602.509479166663</v>
      </c>
      <c r="G82" s="7">
        <v>6</v>
      </c>
      <c r="H82" s="16" t="s">
        <v>166</v>
      </c>
      <c r="I82" s="16">
        <v>42602.535474537035</v>
      </c>
      <c r="J82" s="7">
        <v>0</v>
      </c>
      <c r="K82" s="141" t="str">
        <f t="shared" si="36"/>
        <v>4043/4044</v>
      </c>
      <c r="L82" s="25" t="str">
        <f>VLOOKUP(A82,'Trips&amp;Operators'!$C$1:$E$10000,3,FALSE)</f>
        <v>MAYBERRY</v>
      </c>
      <c r="M82" s="6">
        <f t="shared" si="37"/>
        <v>2.5995370371674653E-2</v>
      </c>
      <c r="N82" s="7">
        <f t="shared" si="34"/>
        <v>37.433333335211501</v>
      </c>
      <c r="O82" s="7"/>
      <c r="P82" s="7"/>
      <c r="Q82" s="26"/>
      <c r="R82" s="26"/>
      <c r="S82" s="38">
        <f t="shared" si="33"/>
        <v>1</v>
      </c>
      <c r="T82" s="53" t="str">
        <f t="shared" si="38"/>
        <v>NorthBound</v>
      </c>
      <c r="U82" s="13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11:07:11-0600',mode:absolute,to:'2016-08-20 13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2" s="55" t="str">
        <f t="shared" si="40"/>
        <v>N</v>
      </c>
      <c r="X82" s="128">
        <f t="shared" si="35"/>
        <v>1</v>
      </c>
      <c r="Y82" s="70">
        <f t="shared" si="41"/>
        <v>4.5499999999999999E-2</v>
      </c>
      <c r="Z82" s="70">
        <f t="shared" si="42"/>
        <v>23.3291</v>
      </c>
      <c r="AA82" s="70">
        <f t="shared" si="43"/>
        <v>23.2836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44"/>
        <v>0169-20</v>
      </c>
      <c r="AE82" s="103" t="str">
        <f t="shared" si="45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82" s="100" t="str">
        <f t="shared" si="46"/>
        <v>"C:\Program Files (x86)\AstroGrep\AstroGrep.exe" /spath="%USERPROFILE%\AppData\Local\Temp\OnboardLogs" /stypes="*4044*20160820*" /stext=" 18:.+((SYSTEM_STATE.+slice.+state.+changed )|(ment ac)|(system.+state.+changed )|(\|lc)|(penalty)|(\[timeout)|(PRM\|1\|D)|(kpr)|(kdp))" /e /r /s</v>
      </c>
      <c r="AG82" s="1" t="str">
        <f t="shared" si="47"/>
        <v>EC</v>
      </c>
      <c r="AH82" s="104" t="str">
        <f t="shared" si="48"/>
        <v>"%USERPROFILE%\Documents\GitHub\eaglep3\Utilities\RefineRTDCRunTimes.py" --tripid 169-20 --locoid 4044 --swversion DE.1.0.7.0 --startMP 204:455 --initTime 2016-08-20T12:07:11 --startdatetime 2016-08-20T12:13:39 --delay 6 --endMP 204:233291 --enddatetime 2016-08-20T12:51:05 --enforcementcount 0</v>
      </c>
    </row>
    <row r="83" spans="1:34" s="24" customFormat="1" x14ac:dyDescent="0.25">
      <c r="A83" s="40" t="s">
        <v>422</v>
      </c>
      <c r="B83" s="7">
        <v>4043</v>
      </c>
      <c r="C83" s="25" t="s">
        <v>116</v>
      </c>
      <c r="D83" s="25" t="s">
        <v>394</v>
      </c>
      <c r="E83" s="16">
        <v>42602.547303240739</v>
      </c>
      <c r="F83" s="16">
        <v>42602.548159722224</v>
      </c>
      <c r="G83" s="7">
        <v>1</v>
      </c>
      <c r="H83" s="16" t="s">
        <v>204</v>
      </c>
      <c r="I83" s="16">
        <v>42602.576145833336</v>
      </c>
      <c r="J83" s="7">
        <v>0</v>
      </c>
      <c r="K83" s="141" t="str">
        <f t="shared" si="36"/>
        <v>4043/4044</v>
      </c>
      <c r="L83" s="25" t="str">
        <f>VLOOKUP(A83,'Trips&amp;Operators'!$C$1:$E$10000,3,FALSE)</f>
        <v>MAYBERRY</v>
      </c>
      <c r="M83" s="6">
        <f t="shared" si="37"/>
        <v>2.7986111112113576E-2</v>
      </c>
      <c r="N83" s="7">
        <f t="shared" si="34"/>
        <v>40.30000000144355</v>
      </c>
      <c r="O83" s="7"/>
      <c r="P83" s="7"/>
      <c r="Q83" s="26"/>
      <c r="R83" s="26"/>
      <c r="S83" s="38">
        <f t="shared" si="33"/>
        <v>1</v>
      </c>
      <c r="T83" s="53" t="str">
        <f t="shared" si="38"/>
        <v>Southbound</v>
      </c>
      <c r="U83" s="13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12:08:07-0600',mode:absolute,to:'2016-08-20 14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3" s="55" t="str">
        <f t="shared" si="40"/>
        <v>N</v>
      </c>
      <c r="X83" s="128">
        <f t="shared" si="35"/>
        <v>1</v>
      </c>
      <c r="Y83" s="70">
        <f t="shared" si="41"/>
        <v>23.297799999999999</v>
      </c>
      <c r="Z83" s="70">
        <f t="shared" si="42"/>
        <v>1.61E-2</v>
      </c>
      <c r="AA83" s="70">
        <f t="shared" si="43"/>
        <v>23.281699999999997</v>
      </c>
      <c r="AB83" s="67">
        <f>VLOOKUP(A83,Enforcements!$C$7:$J$24,8,0)</f>
        <v>21848</v>
      </c>
      <c r="AC83" s="63" t="str">
        <f>VLOOKUP(A83,Enforcements!$C$7:$E$24,3,0)</f>
        <v>PERMANENT SPEED RESTRICTION</v>
      </c>
      <c r="AD83" s="64" t="str">
        <f t="shared" si="44"/>
        <v>0170-20</v>
      </c>
      <c r="AE83" s="103" t="str">
        <f t="shared" si="45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83" s="100" t="str">
        <f t="shared" si="46"/>
        <v>"C:\Program Files (x86)\AstroGrep\AstroGrep.exe" /spath="%USERPROFILE%\AppData\Local\Temp\OnboardLogs" /stypes="*4043*20160820*" /stext=" 19:.+((SYSTEM_STATE.+slice.+state.+changed )|(ment ac)|(system.+state.+changed )|(\|lc)|(penalty)|(\[timeout)|(PRM\|1\|D)|(kpr)|(kdp))" /e /r /s</v>
      </c>
      <c r="AG83" s="1" t="str">
        <f t="shared" si="47"/>
        <v>EC</v>
      </c>
      <c r="AH83" s="104" t="str">
        <f t="shared" si="48"/>
        <v>"%USERPROFILE%\Documents\GitHub\eaglep3\Utilities\RefineRTDCRunTimes.py" --tripid 170-20 --locoid 4043 --swversion DE.1.0.7.0 --startMP 204:232978 --initTime 2016-08-20T13:08:07 --startdatetime 2016-08-20T13:09:21 --delay 1 --endMP 204:161 --enddatetime 2016-08-20T13:49:39 --enforcementcount 0</v>
      </c>
    </row>
    <row r="84" spans="1:34" s="24" customFormat="1" x14ac:dyDescent="0.25">
      <c r="A84" s="40" t="s">
        <v>423</v>
      </c>
      <c r="B84" s="7">
        <v>4009</v>
      </c>
      <c r="C84" s="25" t="s">
        <v>116</v>
      </c>
      <c r="D84" s="25" t="s">
        <v>216</v>
      </c>
      <c r="E84" s="16">
        <v>42602.51902777778</v>
      </c>
      <c r="F84" s="16">
        <v>42602.520497685182</v>
      </c>
      <c r="G84" s="7">
        <v>2</v>
      </c>
      <c r="H84" s="16" t="s">
        <v>262</v>
      </c>
      <c r="I84" s="16">
        <v>42602.548194444447</v>
      </c>
      <c r="J84" s="7">
        <v>0</v>
      </c>
      <c r="K84" s="141" t="str">
        <f t="shared" si="36"/>
        <v>4009/4010</v>
      </c>
      <c r="L84" s="25" t="str">
        <f>VLOOKUP(A84,'Trips&amp;Operators'!$C$1:$E$10000,3,FALSE)</f>
        <v>WEBSTER</v>
      </c>
      <c r="M84" s="6">
        <f t="shared" si="37"/>
        <v>2.7696759265381843E-2</v>
      </c>
      <c r="N84" s="7">
        <f t="shared" si="34"/>
        <v>39.883333342149854</v>
      </c>
      <c r="O84" s="7"/>
      <c r="P84" s="7"/>
      <c r="Q84" s="26"/>
      <c r="R84" s="26"/>
      <c r="S84" s="38">
        <f t="shared" si="33"/>
        <v>1</v>
      </c>
      <c r="T84" s="53" t="str">
        <f t="shared" si="38"/>
        <v>NorthBound</v>
      </c>
      <c r="U84" s="13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11:27:24-0600',mode:absolute,to:'2016-08-20 14:09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4" s="55" t="str">
        <f t="shared" si="40"/>
        <v>N</v>
      </c>
      <c r="X84" s="128">
        <f t="shared" si="35"/>
        <v>1</v>
      </c>
      <c r="Y84" s="70">
        <f t="shared" si="41"/>
        <v>4.7100000000000003E-2</v>
      </c>
      <c r="Z84" s="70">
        <f t="shared" si="42"/>
        <v>23.3308</v>
      </c>
      <c r="AA84" s="70">
        <f t="shared" si="43"/>
        <v>23.2837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44"/>
        <v>0171-20</v>
      </c>
      <c r="AE84" s="103" t="str">
        <f t="shared" si="45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84" s="100" t="str">
        <f t="shared" si="46"/>
        <v>"C:\Program Files (x86)\AstroGrep\AstroGrep.exe" /spath="%USERPROFILE%\AppData\Local\Temp\OnboardLogs" /stypes="*4009*20160820*" /stext=" 19:.+((SYSTEM_STATE.+slice.+state.+changed )|(ment ac)|(system.+state.+changed )|(\|lc)|(penalty)|(\[timeout)|(PRM\|1\|D)|(kpr)|(kdp))" /e /r /s</v>
      </c>
      <c r="AG84" s="1" t="str">
        <f t="shared" si="47"/>
        <v>EC</v>
      </c>
      <c r="AH84" s="104" t="str">
        <f t="shared" si="48"/>
        <v>"%USERPROFILE%\Documents\GitHub\eaglep3\Utilities\RefineRTDCRunTimes.py" --tripid 171-20 --locoid 4009 --swversion DE.1.0.7.0 --startMP 204:471 --initTime 2016-08-20T12:27:24 --startdatetime 2016-08-20T12:29:31 --delay 2 --endMP 204:233308 --enddatetime 2016-08-20T13:09:24 --enforcementcount 0</v>
      </c>
    </row>
    <row r="85" spans="1:34" x14ac:dyDescent="0.25">
      <c r="A85" s="40" t="s">
        <v>424</v>
      </c>
      <c r="B85" s="7">
        <v>4010</v>
      </c>
      <c r="C85" s="25" t="s">
        <v>116</v>
      </c>
      <c r="D85" s="25" t="s">
        <v>202</v>
      </c>
      <c r="E85" s="16">
        <v>42602.554583333331</v>
      </c>
      <c r="F85" s="16">
        <v>42602.555671296293</v>
      </c>
      <c r="G85" s="7">
        <v>1</v>
      </c>
      <c r="H85" s="16" t="s">
        <v>142</v>
      </c>
      <c r="I85" s="16">
        <v>42602.587187500001</v>
      </c>
      <c r="J85" s="7">
        <v>0</v>
      </c>
      <c r="K85" s="141" t="str">
        <f t="shared" si="36"/>
        <v>4009/4010</v>
      </c>
      <c r="L85" s="25" t="str">
        <f>VLOOKUP(A85,'Trips&amp;Operators'!$C$1:$E$10000,3,FALSE)</f>
        <v>WEBSTER</v>
      </c>
      <c r="M85" s="6">
        <f t="shared" si="37"/>
        <v>3.1516203707724344E-2</v>
      </c>
      <c r="N85" s="7">
        <f t="shared" si="34"/>
        <v>45.383333339123055</v>
      </c>
      <c r="O85" s="7"/>
      <c r="P85" s="7"/>
      <c r="Q85" s="26"/>
      <c r="R85" s="26"/>
      <c r="S85" s="38">
        <f t="shared" si="33"/>
        <v>1</v>
      </c>
      <c r="T85" s="53" t="str">
        <f t="shared" si="38"/>
        <v>Southbound</v>
      </c>
      <c r="U85" s="13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12:18:36-0600',mode:absolute,to:'2016-08-20 15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5" s="55" t="str">
        <f t="shared" si="40"/>
        <v>N</v>
      </c>
      <c r="X85" s="128">
        <f t="shared" si="35"/>
        <v>1</v>
      </c>
      <c r="Y85" s="70">
        <f t="shared" si="41"/>
        <v>23.2989</v>
      </c>
      <c r="Z85" s="70">
        <f t="shared" si="42"/>
        <v>1.49E-2</v>
      </c>
      <c r="AA85" s="70">
        <f t="shared" si="43"/>
        <v>23.283999999999999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44"/>
        <v>0172-20</v>
      </c>
      <c r="AE85" s="103" t="str">
        <f t="shared" si="45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85" s="100" t="str">
        <f t="shared" si="46"/>
        <v>"C:\Program Files (x86)\AstroGrep\AstroGrep.exe" /spath="%USERPROFILE%\AppData\Local\Temp\OnboardLogs" /stypes="*4010*20160820*" /stext=" 20:.+((SYSTEM_STATE.+slice.+state.+changed )|(ment ac)|(system.+state.+changed )|(\|lc)|(penalty)|(\[timeout)|(PRM\|1\|D)|(kpr)|(kdp))" /e /r /s</v>
      </c>
      <c r="AG85" s="1" t="str">
        <f t="shared" si="47"/>
        <v>EC</v>
      </c>
      <c r="AH85" s="104" t="str">
        <f t="shared" si="48"/>
        <v>"%USERPROFILE%\Documents\GitHub\eaglep3\Utilities\RefineRTDCRunTimes.py" --tripid 172-20 --locoid 4010 --swversion DE.1.0.7.0 --startMP 204:232989 --initTime 2016-08-20T13:18:36 --startdatetime 2016-08-20T13:20:10 --delay 1 --endMP 204:149 --enddatetime 2016-08-20T14:05:33 --enforcementcount 0</v>
      </c>
    </row>
    <row r="86" spans="1:34" x14ac:dyDescent="0.25">
      <c r="A86" s="40" t="s">
        <v>425</v>
      </c>
      <c r="B86" s="7">
        <v>4018</v>
      </c>
      <c r="C86" s="25" t="s">
        <v>116</v>
      </c>
      <c r="D86" s="25" t="s">
        <v>426</v>
      </c>
      <c r="E86" s="16">
        <v>42602.528229166666</v>
      </c>
      <c r="F86" s="16">
        <v>42602.529409722221</v>
      </c>
      <c r="G86" s="7">
        <v>1</v>
      </c>
      <c r="H86" s="16" t="s">
        <v>258</v>
      </c>
      <c r="I86" s="16">
        <v>42602.55709490741</v>
      </c>
      <c r="J86" s="7">
        <v>0</v>
      </c>
      <c r="K86" s="141" t="str">
        <f t="shared" si="36"/>
        <v>4017/4018</v>
      </c>
      <c r="L86" s="25" t="str">
        <f>VLOOKUP(A86,'Trips&amp;Operators'!$C$1:$E$10000,3,FALSE)</f>
        <v>STEWART</v>
      </c>
      <c r="M86" s="6">
        <f t="shared" si="37"/>
        <v>2.768518518860219E-2</v>
      </c>
      <c r="N86" s="7">
        <f t="shared" si="34"/>
        <v>39.866666671587154</v>
      </c>
      <c r="O86" s="7"/>
      <c r="P86" s="7"/>
      <c r="Q86" s="26"/>
      <c r="R86" s="26"/>
      <c r="S86" s="38">
        <f t="shared" si="33"/>
        <v>1</v>
      </c>
      <c r="T86" s="53" t="str">
        <f t="shared" si="38"/>
        <v>NorthBound</v>
      </c>
      <c r="U86" s="13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11:40:39-0600',mode:absolute,to:'2016-08-20 14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6" s="55" t="str">
        <f t="shared" si="40"/>
        <v>N</v>
      </c>
      <c r="X86" s="128">
        <f t="shared" si="35"/>
        <v>1</v>
      </c>
      <c r="Y86" s="70">
        <f t="shared" si="41"/>
        <v>4.8899999999999999E-2</v>
      </c>
      <c r="Z86" s="70">
        <f t="shared" si="42"/>
        <v>23.3309</v>
      </c>
      <c r="AA86" s="70">
        <f t="shared" si="43"/>
        <v>23.282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44"/>
        <v>0173-20</v>
      </c>
      <c r="AE86" s="103" t="str">
        <f t="shared" si="45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86" s="100" t="str">
        <f t="shared" si="46"/>
        <v>"C:\Program Files (x86)\AstroGrep\AstroGrep.exe" /spath="%USERPROFILE%\AppData\Local\Temp\OnboardLogs" /stypes="*4018*20160820*" /stext=" 19:.+((SYSTEM_STATE.+slice.+state.+changed )|(ment ac)|(system.+state.+changed )|(\|lc)|(penalty)|(\[timeout)|(PRM\|1\|D)|(kpr)|(kdp))" /e /r /s</v>
      </c>
      <c r="AG86" s="1" t="str">
        <f t="shared" si="47"/>
        <v>EC</v>
      </c>
      <c r="AH86" s="104" t="str">
        <f t="shared" si="48"/>
        <v>"%USERPROFILE%\Documents\GitHub\eaglep3\Utilities\RefineRTDCRunTimes.py" --tripid 173-20 --locoid 4018 --swversion DE.1.0.7.0 --startMP 204:489 --initTime 2016-08-20T12:40:39 --startdatetime 2016-08-20T12:42:21 --delay 1 --endMP 204:233309 --enddatetime 2016-08-20T13:22:13 --enforcementcount 0</v>
      </c>
    </row>
    <row r="87" spans="1:34" x14ac:dyDescent="0.25">
      <c r="A87" s="40" t="s">
        <v>427</v>
      </c>
      <c r="B87" s="7">
        <v>4017</v>
      </c>
      <c r="C87" s="25" t="s">
        <v>116</v>
      </c>
      <c r="D87" s="25" t="s">
        <v>263</v>
      </c>
      <c r="E87" s="16">
        <v>42602.567916666667</v>
      </c>
      <c r="F87" s="16">
        <v>42602.570173611108</v>
      </c>
      <c r="G87" s="7">
        <v>3</v>
      </c>
      <c r="H87" s="16" t="s">
        <v>391</v>
      </c>
      <c r="I87" s="16">
        <v>42602.597534722219</v>
      </c>
      <c r="J87" s="7">
        <v>0</v>
      </c>
      <c r="K87" s="141" t="str">
        <f t="shared" si="36"/>
        <v>4017/4018</v>
      </c>
      <c r="L87" s="25" t="str">
        <f>VLOOKUP(A87,'Trips&amp;Operators'!$C$1:$E$10000,3,FALSE)</f>
        <v>STEWART</v>
      </c>
      <c r="M87" s="6">
        <f t="shared" si="37"/>
        <v>2.73611111115315E-2</v>
      </c>
      <c r="N87" s="7">
        <f t="shared" si="34"/>
        <v>39.40000000060536</v>
      </c>
      <c r="O87" s="7"/>
      <c r="P87" s="7"/>
      <c r="Q87" s="26"/>
      <c r="R87" s="26"/>
      <c r="S87" s="38">
        <f t="shared" si="33"/>
        <v>1</v>
      </c>
      <c r="T87" s="53" t="str">
        <f t="shared" si="38"/>
        <v>Southbound</v>
      </c>
      <c r="U87" s="13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12:37:48-0600',mode:absolute,to:'2016-08-20 15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7" s="55" t="str">
        <f t="shared" si="40"/>
        <v>N</v>
      </c>
      <c r="X87" s="128">
        <f t="shared" si="35"/>
        <v>1</v>
      </c>
      <c r="Y87" s="70">
        <f t="shared" si="41"/>
        <v>23.2971</v>
      </c>
      <c r="Z87" s="70">
        <f t="shared" si="42"/>
        <v>1.6299999999999999E-2</v>
      </c>
      <c r="AA87" s="70">
        <f t="shared" si="43"/>
        <v>23.280799999999999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44"/>
        <v>0174-20</v>
      </c>
      <c r="AE87" s="103" t="str">
        <f t="shared" si="45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87" s="100" t="str">
        <f t="shared" si="46"/>
        <v>"C:\Program Files (x86)\AstroGrep\AstroGrep.exe" /spath="%USERPROFILE%\AppData\Local\Temp\OnboardLogs" /stypes="*4017*20160820*" /stext=" 20:.+((SYSTEM_STATE.+slice.+state.+changed )|(ment ac)|(system.+state.+changed )|(\|lc)|(penalty)|(\[timeout)|(PRM\|1\|D)|(kpr)|(kdp))" /e /r /s</v>
      </c>
      <c r="AG87" s="1" t="str">
        <f t="shared" si="47"/>
        <v>EC</v>
      </c>
      <c r="AH87" s="104" t="str">
        <f t="shared" si="48"/>
        <v>"%USERPROFILE%\Documents\GitHub\eaglep3\Utilities\RefineRTDCRunTimes.py" --tripid 174-20 --locoid 4017 --swversion DE.1.0.7.0 --startMP 204:232971 --initTime 2016-08-20T13:37:48 --startdatetime 2016-08-20T13:41:03 --delay 3 --endMP 204:163 --enddatetime 2016-08-20T14:20:27 --enforcementcount 0</v>
      </c>
    </row>
    <row r="88" spans="1:34" s="24" customFormat="1" x14ac:dyDescent="0.25">
      <c r="A88" s="40" t="s">
        <v>428</v>
      </c>
      <c r="B88" s="7">
        <v>4031</v>
      </c>
      <c r="C88" s="25" t="s">
        <v>116</v>
      </c>
      <c r="D88" s="25" t="s">
        <v>349</v>
      </c>
      <c r="E88" s="16">
        <v>42602.537187499998</v>
      </c>
      <c r="F88" s="16">
        <v>42602.538229166668</v>
      </c>
      <c r="G88" s="7">
        <v>1</v>
      </c>
      <c r="H88" s="16" t="s">
        <v>429</v>
      </c>
      <c r="I88" s="16">
        <v>42602.567627314813</v>
      </c>
      <c r="J88" s="7">
        <v>0</v>
      </c>
      <c r="K88" s="141" t="str">
        <f t="shared" si="36"/>
        <v>4031/4032</v>
      </c>
      <c r="L88" s="25" t="str">
        <f>VLOOKUP(A88,'Trips&amp;Operators'!$C$1:$E$10000,3,FALSE)</f>
        <v>BARTLETT</v>
      </c>
      <c r="M88" s="6">
        <f t="shared" si="37"/>
        <v>2.9398148144537117E-2</v>
      </c>
      <c r="N88" s="7">
        <f t="shared" si="34"/>
        <v>42.333333328133449</v>
      </c>
      <c r="O88" s="7"/>
      <c r="P88" s="7"/>
      <c r="Q88" s="26"/>
      <c r="R88" s="26"/>
      <c r="S88" s="38">
        <f t="shared" si="33"/>
        <v>1</v>
      </c>
      <c r="T88" s="53" t="str">
        <f t="shared" si="38"/>
        <v>NorthBound</v>
      </c>
      <c r="U88" s="13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11:53:33-0600',mode:absolute,to:'2016-08-20 14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8" s="55" t="str">
        <f t="shared" si="40"/>
        <v>N</v>
      </c>
      <c r="X88" s="128">
        <f t="shared" si="35"/>
        <v>1</v>
      </c>
      <c r="Y88" s="70">
        <f t="shared" si="41"/>
        <v>4.6600000000000003E-2</v>
      </c>
      <c r="Z88" s="70">
        <f t="shared" si="42"/>
        <v>23.328700000000001</v>
      </c>
      <c r="AA88" s="70">
        <f t="shared" si="43"/>
        <v>23.2821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44"/>
        <v>0175-20</v>
      </c>
      <c r="AE88" s="103" t="str">
        <f t="shared" si="45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88" s="100" t="str">
        <f t="shared" si="46"/>
        <v>"C:\Program Files (x86)\AstroGrep\AstroGrep.exe" /spath="%USERPROFILE%\AppData\Local\Temp\OnboardLogs" /stypes="*4031*20160820*" /stext=" 19:.+((SYSTEM_STATE.+slice.+state.+changed )|(ment ac)|(system.+state.+changed )|(\|lc)|(penalty)|(\[timeout)|(PRM\|1\|D)|(kpr)|(kdp))" /e /r /s</v>
      </c>
      <c r="AG88" s="1" t="str">
        <f t="shared" si="47"/>
        <v>EC</v>
      </c>
      <c r="AH88" s="104" t="str">
        <f t="shared" si="48"/>
        <v>"%USERPROFILE%\Documents\GitHub\eaglep3\Utilities\RefineRTDCRunTimes.py" --tripid 175-20 --locoid 4031 --swversion DE.1.0.7.0 --startMP 204:466 --initTime 2016-08-20T12:53:33 --startdatetime 2016-08-20T12:55:03 --delay 1 --endMP 204:233287 --enddatetime 2016-08-20T13:37:23 --enforcementcount 0</v>
      </c>
    </row>
    <row r="89" spans="1:34" x14ac:dyDescent="0.25">
      <c r="A89" s="40" t="s">
        <v>430</v>
      </c>
      <c r="B89" s="7">
        <v>4032</v>
      </c>
      <c r="C89" s="25" t="s">
        <v>116</v>
      </c>
      <c r="D89" s="25" t="s">
        <v>242</v>
      </c>
      <c r="E89" s="16">
        <v>42602.570069444446</v>
      </c>
      <c r="F89" s="16">
        <v>42602.57099537037</v>
      </c>
      <c r="G89" s="7">
        <v>1</v>
      </c>
      <c r="H89" s="16" t="s">
        <v>167</v>
      </c>
      <c r="I89" s="16">
        <v>42602.608402777776</v>
      </c>
      <c r="J89" s="7">
        <v>0</v>
      </c>
      <c r="K89" s="141" t="str">
        <f t="shared" si="36"/>
        <v>4031/4032</v>
      </c>
      <c r="L89" s="25" t="str">
        <f>VLOOKUP(A89,'Trips&amp;Operators'!$C$1:$E$10000,3,FALSE)</f>
        <v>BARTLETT</v>
      </c>
      <c r="M89" s="6">
        <f t="shared" si="37"/>
        <v>3.7407407406135462E-2</v>
      </c>
      <c r="N89" s="7">
        <f t="shared" si="34"/>
        <v>53.866666664835066</v>
      </c>
      <c r="O89" s="7"/>
      <c r="P89" s="7"/>
      <c r="Q89" s="26"/>
      <c r="R89" s="26"/>
      <c r="S89" s="38">
        <f t="shared" si="33"/>
        <v>1</v>
      </c>
      <c r="T89" s="53" t="str">
        <f t="shared" si="38"/>
        <v>Southbound</v>
      </c>
      <c r="U89" s="13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12:40:54-0600',mode:absolute,to:'2016-08-20 15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9" s="55" t="str">
        <f t="shared" si="40"/>
        <v>N</v>
      </c>
      <c r="X89" s="128">
        <f t="shared" si="35"/>
        <v>1</v>
      </c>
      <c r="Y89" s="70">
        <f t="shared" si="41"/>
        <v>23.297599999999999</v>
      </c>
      <c r="Z89" s="70">
        <f t="shared" si="42"/>
        <v>1.54E-2</v>
      </c>
      <c r="AA89" s="70">
        <f t="shared" si="43"/>
        <v>23.2822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44"/>
        <v>0176-20</v>
      </c>
      <c r="AE89" s="103" t="str">
        <f t="shared" si="45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89" s="100" t="str">
        <f t="shared" si="46"/>
        <v>"C:\Program Files (x86)\AstroGrep\AstroGrep.exe" /spath="%USERPROFILE%\AppData\Local\Temp\OnboardLogs" /stypes="*4032*20160820*" /stext=" 20:.+((SYSTEM_STATE.+slice.+state.+changed )|(ment ac)|(system.+state.+changed )|(\|lc)|(penalty)|(\[timeout)|(PRM\|1\|D)|(kpr)|(kdp))" /e /r /s</v>
      </c>
      <c r="AG89" s="1" t="str">
        <f t="shared" si="47"/>
        <v>EC</v>
      </c>
      <c r="AH89" s="104" t="str">
        <f t="shared" si="48"/>
        <v>"%USERPROFILE%\Documents\GitHub\eaglep3\Utilities\RefineRTDCRunTimes.py" --tripid 176-20 --locoid 4032 --swversion DE.1.0.7.0 --startMP 204:232976 --initTime 2016-08-20T13:40:54 --startdatetime 2016-08-20T13:42:14 --delay 1 --endMP 204:154 --enddatetime 2016-08-20T14:36:06 --enforcementcount 0</v>
      </c>
    </row>
    <row r="90" spans="1:34" s="24" customFormat="1" x14ac:dyDescent="0.25">
      <c r="A90" s="40" t="s">
        <v>431</v>
      </c>
      <c r="B90" s="7">
        <v>4007</v>
      </c>
      <c r="C90" s="25" t="s">
        <v>116</v>
      </c>
      <c r="D90" s="25" t="s">
        <v>112</v>
      </c>
      <c r="E90" s="16">
        <v>42602.548379629632</v>
      </c>
      <c r="F90" s="16">
        <v>42602.550347222219</v>
      </c>
      <c r="G90" s="7">
        <v>2</v>
      </c>
      <c r="H90" s="16" t="s">
        <v>139</v>
      </c>
      <c r="I90" s="16">
        <v>42602.577615740738</v>
      </c>
      <c r="J90" s="7">
        <v>0</v>
      </c>
      <c r="K90" s="141" t="str">
        <f t="shared" si="36"/>
        <v>4007/4008</v>
      </c>
      <c r="L90" s="25" t="str">
        <f>VLOOKUP(A90,'Trips&amp;Operators'!$C$1:$E$10000,3,FALSE)</f>
        <v>MOSES</v>
      </c>
      <c r="M90" s="6">
        <f t="shared" si="37"/>
        <v>2.7268518519122154E-2</v>
      </c>
      <c r="N90" s="7">
        <f t="shared" si="34"/>
        <v>39.266666667535901</v>
      </c>
      <c r="O90" s="7"/>
      <c r="P90" s="7"/>
      <c r="Q90" s="26"/>
      <c r="R90" s="26"/>
      <c r="S90" s="38">
        <f t="shared" si="33"/>
        <v>1</v>
      </c>
      <c r="T90" s="53" t="str">
        <f t="shared" si="38"/>
        <v>NorthBound</v>
      </c>
      <c r="U90" s="13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12:09:40-0600',mode:absolute,to:'2016-08-20 14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0" s="55" t="str">
        <f t="shared" si="40"/>
        <v>N</v>
      </c>
      <c r="X90" s="128">
        <f t="shared" si="35"/>
        <v>1</v>
      </c>
      <c r="Y90" s="70">
        <f t="shared" si="41"/>
        <v>4.6199999999999998E-2</v>
      </c>
      <c r="Z90" s="70">
        <f t="shared" si="42"/>
        <v>23.328900000000001</v>
      </c>
      <c r="AA90" s="70">
        <f t="shared" si="43"/>
        <v>23.282700000000002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44"/>
        <v>0177-20</v>
      </c>
      <c r="AE90" s="103" t="str">
        <f t="shared" si="45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90" s="100" t="str">
        <f t="shared" si="46"/>
        <v>"C:\Program Files (x86)\AstroGrep\AstroGrep.exe" /spath="%USERPROFILE%\AppData\Local\Temp\OnboardLogs" /stypes="*4007*20160820*" /stext=" 19:.+((SYSTEM_STATE.+slice.+state.+changed )|(ment ac)|(system.+state.+changed )|(\|lc)|(penalty)|(\[timeout)|(PRM\|1\|D)|(kpr)|(kdp))" /e /r /s</v>
      </c>
      <c r="AG90" s="1" t="str">
        <f t="shared" si="47"/>
        <v>EC</v>
      </c>
      <c r="AH90" s="104" t="str">
        <f t="shared" si="48"/>
        <v>"%USERPROFILE%\Documents\GitHub\eaglep3\Utilities\RefineRTDCRunTimes.py" --tripid 177-20 --locoid 4007 --swversion DE.1.0.7.0 --startMP 204:462 --initTime 2016-08-20T13:09:40 --startdatetime 2016-08-20T13:12:30 --delay 2 --endMP 204:233289 --enddatetime 2016-08-20T13:51:46 --enforcementcount 0</v>
      </c>
    </row>
    <row r="91" spans="1:34" x14ac:dyDescent="0.25">
      <c r="A91" s="40" t="s">
        <v>432</v>
      </c>
      <c r="B91" s="7">
        <v>4008</v>
      </c>
      <c r="C91" s="25" t="s">
        <v>116</v>
      </c>
      <c r="D91" s="25" t="s">
        <v>255</v>
      </c>
      <c r="E91" s="16">
        <v>42602.588576388887</v>
      </c>
      <c r="F91" s="16">
        <v>42602.589386574073</v>
      </c>
      <c r="G91" s="7">
        <v>1</v>
      </c>
      <c r="H91" s="16" t="s">
        <v>433</v>
      </c>
      <c r="I91" s="16">
        <v>42602.618472222224</v>
      </c>
      <c r="J91" s="7">
        <v>0</v>
      </c>
      <c r="K91" s="141" t="str">
        <f t="shared" si="36"/>
        <v>4007/4008</v>
      </c>
      <c r="L91" s="25" t="str">
        <f>VLOOKUP(A91,'Trips&amp;Operators'!$C$1:$E$10000,3,FALSE)</f>
        <v>MOSES</v>
      </c>
      <c r="M91" s="6">
        <f t="shared" si="37"/>
        <v>2.9085648151522037E-2</v>
      </c>
      <c r="N91" s="7">
        <f t="shared" si="34"/>
        <v>41.883333338191733</v>
      </c>
      <c r="O91" s="7"/>
      <c r="P91" s="7"/>
      <c r="Q91" s="26"/>
      <c r="R91" s="26"/>
      <c r="S91" s="38">
        <f t="shared" si="33"/>
        <v>1</v>
      </c>
      <c r="T91" s="53" t="str">
        <f t="shared" si="38"/>
        <v>Southbound</v>
      </c>
      <c r="U91" s="13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13:07:33-0600',mode:absolute,to:'2016-08-20 15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1" s="55" t="str">
        <f t="shared" si="40"/>
        <v>N</v>
      </c>
      <c r="X91" s="128">
        <f t="shared" si="35"/>
        <v>1</v>
      </c>
      <c r="Y91" s="70">
        <f t="shared" si="41"/>
        <v>23.297499999999999</v>
      </c>
      <c r="Z91" s="70">
        <f t="shared" si="42"/>
        <v>1.29E-2</v>
      </c>
      <c r="AA91" s="70">
        <f t="shared" si="43"/>
        <v>23.284600000000001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44"/>
        <v>0178-20</v>
      </c>
      <c r="AE91" s="103" t="str">
        <f t="shared" si="45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91" s="100" t="str">
        <f t="shared" si="46"/>
        <v>"C:\Program Files (x86)\AstroGrep\AstroGrep.exe" /spath="%USERPROFILE%\AppData\Local\Temp\OnboardLogs" /stypes="*4008*20160820*"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104" t="str">
        <f t="shared" si="48"/>
        <v>"%USERPROFILE%\Documents\GitHub\eaglep3\Utilities\RefineRTDCRunTimes.py" --tripid 178-20 --locoid 4008 --swversion DE.1.0.7.0 --startMP 204:232975 --initTime 2016-08-20T14:07:33 --startdatetime 2016-08-20T14:08:43 --delay 1 --endMP 204:129 --enddatetime 2016-08-20T14:50:36 --enforcementcount 0</v>
      </c>
    </row>
    <row r="92" spans="1:34" x14ac:dyDescent="0.25">
      <c r="A92" s="40" t="s">
        <v>434</v>
      </c>
      <c r="B92" s="7">
        <v>4003</v>
      </c>
      <c r="C92" s="25" t="s">
        <v>116</v>
      </c>
      <c r="D92" s="25" t="s">
        <v>158</v>
      </c>
      <c r="E92" s="16">
        <v>42602.557858796295</v>
      </c>
      <c r="F92" s="16">
        <v>42602.558807870373</v>
      </c>
      <c r="G92" s="7">
        <v>1</v>
      </c>
      <c r="H92" s="16" t="s">
        <v>435</v>
      </c>
      <c r="I92" s="16">
        <v>42602.589444444442</v>
      </c>
      <c r="J92" s="7">
        <v>0</v>
      </c>
      <c r="K92" s="141" t="str">
        <f t="shared" si="36"/>
        <v>4003/4004</v>
      </c>
      <c r="L92" s="25" t="str">
        <f>VLOOKUP(A92,'Trips&amp;Operators'!$C$1:$E$10000,3,FALSE)</f>
        <v>SHOOK</v>
      </c>
      <c r="M92" s="6">
        <f t="shared" si="37"/>
        <v>3.0636574068921618E-2</v>
      </c>
      <c r="N92" s="7">
        <f t="shared" si="34"/>
        <v>44.11666665924713</v>
      </c>
      <c r="O92" s="7"/>
      <c r="P92" s="7"/>
      <c r="Q92" s="26"/>
      <c r="R92" s="26"/>
      <c r="S92" s="38">
        <f t="shared" si="33"/>
        <v>1</v>
      </c>
      <c r="T92" s="53" t="str">
        <f t="shared" si="38"/>
        <v>NorthBound</v>
      </c>
      <c r="U92" s="13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12:23:19-0600',mode:absolute,to:'2016-08-20 15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92" s="55" t="str">
        <f t="shared" si="40"/>
        <v>N</v>
      </c>
      <c r="X92" s="128">
        <f t="shared" si="35"/>
        <v>1</v>
      </c>
      <c r="Y92" s="70">
        <f t="shared" si="41"/>
        <v>4.4200000000000003E-2</v>
      </c>
      <c r="Z92" s="70">
        <f t="shared" si="42"/>
        <v>23.3368</v>
      </c>
      <c r="AA92" s="70">
        <f t="shared" si="43"/>
        <v>23.2926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44"/>
        <v>0179-20</v>
      </c>
      <c r="AE92" s="103" t="str">
        <f t="shared" si="45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92" s="100" t="str">
        <f t="shared" si="46"/>
        <v>"C:\Program Files (x86)\AstroGrep\AstroGrep.exe" /spath="%USERPROFILE%\AppData\Local\Temp\OnboardLogs" /stypes="*4003*20160820*" /stext=" 20:.+((SYSTEM_STATE.+slice.+state.+changed )|(ment ac)|(system.+state.+changed )|(\|lc)|(penalty)|(\[timeout)|(PRM\|1\|D)|(kpr)|(kdp))" /e /r /s</v>
      </c>
      <c r="AG92" s="1" t="str">
        <f t="shared" si="47"/>
        <v>EC</v>
      </c>
      <c r="AH92" s="104" t="str">
        <f t="shared" si="48"/>
        <v>"%USERPROFILE%\Documents\GitHub\eaglep3\Utilities\RefineRTDCRunTimes.py" --tripid 179-20 --locoid 4003 --swversion DE.1.0.7.0 --startMP 204:442 --initTime 2016-08-20T13:23:19 --startdatetime 2016-08-20T13:24:41 --delay 1 --endMP 204:233368 --enddatetime 2016-08-20T14:08:48 --enforcementcount 0</v>
      </c>
    </row>
    <row r="93" spans="1:34" x14ac:dyDescent="0.25">
      <c r="A93" s="40" t="s">
        <v>436</v>
      </c>
      <c r="B93" s="7">
        <v>4004</v>
      </c>
      <c r="C93" s="25" t="s">
        <v>116</v>
      </c>
      <c r="D93" s="25" t="s">
        <v>437</v>
      </c>
      <c r="E93" s="16">
        <v>42602.597731481481</v>
      </c>
      <c r="F93" s="16">
        <v>42602.598645833335</v>
      </c>
      <c r="G93" s="7">
        <v>1</v>
      </c>
      <c r="H93" s="16" t="s">
        <v>391</v>
      </c>
      <c r="I93" s="16">
        <v>42602.629745370374</v>
      </c>
      <c r="J93" s="7">
        <v>0</v>
      </c>
      <c r="K93" s="141" t="str">
        <f t="shared" si="36"/>
        <v>4003/4004</v>
      </c>
      <c r="L93" s="25" t="str">
        <f>VLOOKUP(A93,'Trips&amp;Operators'!$C$1:$E$10000,3,FALSE)</f>
        <v>SHOOK</v>
      </c>
      <c r="M93" s="6">
        <f t="shared" si="37"/>
        <v>3.1099537038244307E-2</v>
      </c>
      <c r="N93" s="7">
        <f t="shared" si="34"/>
        <v>44.783333335071802</v>
      </c>
      <c r="O93" s="7"/>
      <c r="P93" s="7"/>
      <c r="Q93" s="26"/>
      <c r="R93" s="26"/>
      <c r="S93" s="38">
        <f t="shared" si="33"/>
        <v>1</v>
      </c>
      <c r="T93" s="53" t="str">
        <f t="shared" si="38"/>
        <v>Southbound</v>
      </c>
      <c r="U93" s="13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13:20:44-0600',mode:absolute,to:'2016-08-20 16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93" s="55" t="str">
        <f t="shared" si="40"/>
        <v>N</v>
      </c>
      <c r="X93" s="128">
        <f t="shared" si="35"/>
        <v>1</v>
      </c>
      <c r="Y93" s="70">
        <f t="shared" si="41"/>
        <v>23.305499999999999</v>
      </c>
      <c r="Z93" s="70">
        <f t="shared" si="42"/>
        <v>1.6299999999999999E-2</v>
      </c>
      <c r="AA93" s="70">
        <f t="shared" si="43"/>
        <v>23.289199999999997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44"/>
        <v>0180-20</v>
      </c>
      <c r="AE93" s="103" t="str">
        <f t="shared" si="45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93" s="100" t="str">
        <f t="shared" si="46"/>
        <v>"C:\Program Files (x86)\AstroGrep\AstroGrep.exe" /spath="%USERPROFILE%\AppData\Local\Temp\OnboardLogs" /stypes="*4004*20160820*" /stext=" 21:.+((SYSTEM_STATE.+slice.+state.+changed )|(ment ac)|(system.+state.+changed )|(\|lc)|(penalty)|(\[timeout)|(PRM\|1\|D)|(kpr)|(kdp))" /e /r /s</v>
      </c>
      <c r="AG93" s="1" t="str">
        <f t="shared" si="47"/>
        <v>EC</v>
      </c>
      <c r="AH93" s="104" t="str">
        <f t="shared" si="48"/>
        <v>"%USERPROFILE%\Documents\GitHub\eaglep3\Utilities\RefineRTDCRunTimes.py" --tripid 180-20 --locoid 4004 --swversion DE.1.0.7.0 --startMP 204:233055 --initTime 2016-08-20T14:20:44 --startdatetime 2016-08-20T14:22:03 --delay 1 --endMP 204:163 --enddatetime 2016-08-20T15:06:50 --enforcementcount 0</v>
      </c>
    </row>
    <row r="94" spans="1:34" x14ac:dyDescent="0.25">
      <c r="A94" s="40" t="s">
        <v>460</v>
      </c>
      <c r="B94" s="7">
        <v>4027</v>
      </c>
      <c r="C94" s="25" t="s">
        <v>116</v>
      </c>
      <c r="D94" s="25" t="s">
        <v>158</v>
      </c>
      <c r="E94" s="16">
        <v>42602.568819444445</v>
      </c>
      <c r="F94" s="16">
        <v>42602.571851851855</v>
      </c>
      <c r="G94" s="7">
        <v>4</v>
      </c>
      <c r="H94" s="16" t="s">
        <v>241</v>
      </c>
      <c r="I94" s="16">
        <v>42602.597997685189</v>
      </c>
      <c r="J94" s="7">
        <v>0</v>
      </c>
      <c r="K94" s="141" t="str">
        <f t="shared" si="36"/>
        <v>4027/4028</v>
      </c>
      <c r="L94" s="25" t="str">
        <f>VLOOKUP(A94,'Trips&amp;Operators'!$C$1:$E$10000,3,FALSE)</f>
        <v>BRUDER</v>
      </c>
      <c r="M94" s="6">
        <f t="shared" si="37"/>
        <v>2.6145833333430346E-2</v>
      </c>
      <c r="N94" s="7">
        <f t="shared" si="34"/>
        <v>37.650000000139698</v>
      </c>
      <c r="O94" s="7"/>
      <c r="P94" s="7"/>
      <c r="Q94" s="26"/>
      <c r="R94" s="26"/>
      <c r="S94" s="38">
        <f t="shared" si="33"/>
        <v>1</v>
      </c>
      <c r="T94" s="53" t="str">
        <f t="shared" si="38"/>
        <v>NorthBound</v>
      </c>
      <c r="U94" s="13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12:39:06-0600',mode:absolute,to:'2016-08-20 15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4" s="55" t="str">
        <f t="shared" si="40"/>
        <v>N</v>
      </c>
      <c r="X94" s="128">
        <f t="shared" si="35"/>
        <v>1</v>
      </c>
      <c r="Y94" s="70">
        <f t="shared" si="41"/>
        <v>4.4200000000000003E-2</v>
      </c>
      <c r="Z94" s="70">
        <f t="shared" si="42"/>
        <v>23.3293</v>
      </c>
      <c r="AA94" s="70">
        <f t="shared" si="43"/>
        <v>23.2851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44"/>
        <v>0181-20</v>
      </c>
      <c r="AE94" s="103" t="str">
        <f t="shared" si="45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94" s="100" t="str">
        <f t="shared" si="46"/>
        <v>"C:\Program Files (x86)\AstroGrep\AstroGrep.exe" /spath="%USERPROFILE%\AppData\Local\Temp\OnboardLogs" /stypes="*4027*20160820*" /stext=" 20:.+((SYSTEM_STATE.+slice.+state.+changed )|(ment ac)|(system.+state.+changed )|(\|lc)|(penalty)|(\[timeout)|(PRM\|1\|D)|(kpr)|(kdp))" /e /r /s</v>
      </c>
      <c r="AG94" s="1" t="str">
        <f t="shared" si="47"/>
        <v>EC</v>
      </c>
      <c r="AH94" s="104" t="str">
        <f t="shared" si="48"/>
        <v>"%USERPROFILE%\Documents\GitHub\eaglep3\Utilities\RefineRTDCRunTimes.py" --tripid 181-20 --locoid 4027 --swversion DE.1.0.7.0 --startMP 204:442 --initTime 2016-08-20T13:39:06 --startdatetime 2016-08-20T13:43:28 --delay 4 --endMP 204:233293 --enddatetime 2016-08-20T14:21:07 --enforcementcount 0</v>
      </c>
    </row>
    <row r="95" spans="1:34" x14ac:dyDescent="0.25">
      <c r="A95" s="40" t="s">
        <v>484</v>
      </c>
      <c r="B95" s="7">
        <v>4028</v>
      </c>
      <c r="C95" s="25" t="s">
        <v>116</v>
      </c>
      <c r="D95" s="25" t="s">
        <v>259</v>
      </c>
      <c r="E95" s="16">
        <v>42602.607974537037</v>
      </c>
      <c r="F95" s="16">
        <v>42602.609016203707</v>
      </c>
      <c r="G95" s="7">
        <v>1</v>
      </c>
      <c r="H95" s="16" t="s">
        <v>162</v>
      </c>
      <c r="I95" s="16">
        <v>42602.63962962963</v>
      </c>
      <c r="J95" s="7">
        <v>0</v>
      </c>
      <c r="K95" s="141" t="str">
        <f t="shared" si="36"/>
        <v>4027/4028</v>
      </c>
      <c r="L95" s="25" t="str">
        <f>VLOOKUP(A95,'Trips&amp;Operators'!$C$1:$E$10000,3,FALSE)</f>
        <v>BRUDER</v>
      </c>
      <c r="M95" s="6">
        <f t="shared" si="37"/>
        <v>3.0613425922638271E-2</v>
      </c>
      <c r="N95" s="7">
        <f t="shared" si="34"/>
        <v>44.08333332859911</v>
      </c>
      <c r="O95" s="7"/>
      <c r="P95" s="7"/>
      <c r="Q95" s="26"/>
      <c r="R95" s="26"/>
      <c r="S95" s="38">
        <f t="shared" si="33"/>
        <v>1</v>
      </c>
      <c r="T95" s="53" t="str">
        <f t="shared" si="38"/>
        <v>Southbound</v>
      </c>
      <c r="U95" s="13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13:35:29-0600',mode:absolute,to:'2016-08-20 16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5" s="55" t="str">
        <f t="shared" si="40"/>
        <v>N</v>
      </c>
      <c r="X95" s="128">
        <f t="shared" si="35"/>
        <v>1</v>
      </c>
      <c r="Y95" s="70">
        <f t="shared" si="41"/>
        <v>23.298400000000001</v>
      </c>
      <c r="Z95" s="70">
        <f t="shared" si="42"/>
        <v>1.4999999999999999E-2</v>
      </c>
      <c r="AA95" s="70">
        <f t="shared" si="43"/>
        <v>23.2834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44"/>
        <v>0182-20</v>
      </c>
      <c r="AE95" s="103" t="str">
        <f t="shared" si="45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95" s="100" t="str">
        <f t="shared" si="46"/>
        <v>"C:\Program Files (x86)\AstroGrep\AstroGrep.exe" /spath="%USERPROFILE%\AppData\Local\Temp\OnboardLogs" /stypes="*4028*20160820*" /stext=" 21:.+((SYSTEM_STATE.+slice.+state.+changed )|(ment ac)|(system.+state.+changed )|(\|lc)|(penalty)|(\[timeout)|(PRM\|1\|D)|(kpr)|(kdp))" /e /r /s</v>
      </c>
      <c r="AG95" s="1" t="str">
        <f t="shared" si="47"/>
        <v>EC</v>
      </c>
      <c r="AH95" s="104" t="str">
        <f t="shared" si="48"/>
        <v>"%USERPROFILE%\Documents\GitHub\eaglep3\Utilities\RefineRTDCRunTimes.py" --tripid 182-20 --locoid 4028 --swversion DE.1.0.7.0 --startMP 204:232984 --initTime 2016-08-20T14:35:29 --startdatetime 2016-08-20T14:36:59 --delay 1 --endMP 204:150 --enddatetime 2016-08-20T15:21:04 --enforcementcount 0</v>
      </c>
    </row>
    <row r="96" spans="1:34" x14ac:dyDescent="0.25">
      <c r="A96" s="40" t="s">
        <v>512</v>
      </c>
      <c r="B96" s="7">
        <v>4044</v>
      </c>
      <c r="C96" s="25" t="s">
        <v>116</v>
      </c>
      <c r="D96" s="25" t="s">
        <v>111</v>
      </c>
      <c r="E96" s="16">
        <v>42602.57744212963</v>
      </c>
      <c r="F96" s="16">
        <v>42602.580069444448</v>
      </c>
      <c r="G96" s="7">
        <v>3</v>
      </c>
      <c r="H96" s="16" t="s">
        <v>166</v>
      </c>
      <c r="I96" s="16">
        <v>42602.610243055555</v>
      </c>
      <c r="J96" s="7">
        <v>0</v>
      </c>
      <c r="K96" s="141" t="str">
        <f t="shared" si="36"/>
        <v>4043/4044</v>
      </c>
      <c r="L96" s="25" t="str">
        <f>VLOOKUP(A96,'Trips&amp;Operators'!$C$1:$E$10000,3,FALSE)</f>
        <v>MAYBERRY</v>
      </c>
      <c r="M96" s="6">
        <f t="shared" si="37"/>
        <v>3.0173611106874887E-2</v>
      </c>
      <c r="N96" s="7">
        <f t="shared" si="34"/>
        <v>43.449999993899837</v>
      </c>
      <c r="O96" s="7"/>
      <c r="P96" s="7"/>
      <c r="Q96" s="26"/>
      <c r="R96" s="26"/>
      <c r="S96" s="38">
        <f t="shared" si="33"/>
        <v>1</v>
      </c>
      <c r="T96" s="53" t="str">
        <f t="shared" si="38"/>
        <v>NorthBound</v>
      </c>
      <c r="U96" s="13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12:51:31-0600',mode:absolute,to:'2016-08-20 15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6" s="55" t="str">
        <f t="shared" si="40"/>
        <v>N</v>
      </c>
      <c r="X96" s="128">
        <f t="shared" si="35"/>
        <v>1</v>
      </c>
      <c r="Y96" s="70">
        <f t="shared" si="41"/>
        <v>4.6399999999999997E-2</v>
      </c>
      <c r="Z96" s="70">
        <f t="shared" si="42"/>
        <v>23.3291</v>
      </c>
      <c r="AA96" s="70">
        <f t="shared" si="43"/>
        <v>23.282700000000002</v>
      </c>
      <c r="AB96" s="67">
        <f>VLOOKUP(A96,Enforcements!$C$7:$J$24,8,0)</f>
        <v>161962</v>
      </c>
      <c r="AC96" s="63" t="str">
        <f>VLOOKUP(A96,Enforcements!$C$7:$E$24,3,0)</f>
        <v>PERMANENT SPEED RESTRICTION</v>
      </c>
      <c r="AD96" s="64" t="str">
        <f t="shared" si="44"/>
        <v>0183-20</v>
      </c>
      <c r="AE96" s="103" t="str">
        <f t="shared" si="45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96" s="100" t="str">
        <f t="shared" si="46"/>
        <v>"C:\Program Files (x86)\AstroGrep\AstroGrep.exe" /spath="%USERPROFILE%\AppData\Local\Temp\OnboardLogs" /stypes="*4044*20160820*" /stext=" 20:.+((SYSTEM_STATE.+slice.+state.+changed )|(ment ac)|(system.+state.+changed )|(\|lc)|(penalty)|(\[timeout)|(PRM\|1\|D)|(kpr)|(kdp))" /e /r /s</v>
      </c>
      <c r="AG96" s="1" t="str">
        <f t="shared" si="47"/>
        <v>EC</v>
      </c>
      <c r="AH96" s="104" t="str">
        <f t="shared" si="48"/>
        <v>"%USERPROFILE%\Documents\GitHub\eaglep3\Utilities\RefineRTDCRunTimes.py" --tripid 183-20 --locoid 4044 --swversion DE.1.0.7.0 --startMP 204:464 --initTime 2016-08-20T13:51:31 --startdatetime 2016-08-20T13:55:18 --delay 3 --endMP 204:233291 --enddatetime 2016-08-20T14:38:45 --enforcementcount 0</v>
      </c>
    </row>
    <row r="97" spans="1:34" x14ac:dyDescent="0.25">
      <c r="A97" s="40" t="s">
        <v>525</v>
      </c>
      <c r="B97" s="7">
        <v>4043</v>
      </c>
      <c r="C97" s="25" t="s">
        <v>116</v>
      </c>
      <c r="D97" s="25" t="s">
        <v>164</v>
      </c>
      <c r="E97" s="16">
        <v>42602.612719907411</v>
      </c>
      <c r="F97" s="16">
        <v>42602.613969907405</v>
      </c>
      <c r="G97" s="7">
        <v>1</v>
      </c>
      <c r="H97" s="16" t="s">
        <v>193</v>
      </c>
      <c r="I97" s="16">
        <v>42602.649930555555</v>
      </c>
      <c r="J97" s="7">
        <v>0</v>
      </c>
      <c r="K97" s="141" t="str">
        <f t="shared" si="36"/>
        <v>4043/4044</v>
      </c>
      <c r="L97" s="25" t="str">
        <f>VLOOKUP(A97,'Trips&amp;Operators'!$C$1:$E$10000,3,FALSE)</f>
        <v>MAYBERRY</v>
      </c>
      <c r="M97" s="6">
        <f t="shared" si="37"/>
        <v>3.5960648150648922E-2</v>
      </c>
      <c r="N97" s="7">
        <f t="shared" si="34"/>
        <v>51.783333336934447</v>
      </c>
      <c r="O97" s="7"/>
      <c r="P97" s="7"/>
      <c r="Q97" s="26"/>
      <c r="R97" s="26"/>
      <c r="S97" s="38">
        <f t="shared" ref="S97:S128" si="49">SUM(U97:U97)/IF(AG97="EC",12,1)</f>
        <v>1</v>
      </c>
      <c r="T97" s="53" t="str">
        <f t="shared" si="38"/>
        <v>Southbound</v>
      </c>
      <c r="U97" s="13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13:42:19-0600',mode:absolute,to:'2016-08-20 16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7" s="55" t="str">
        <f t="shared" si="40"/>
        <v>N</v>
      </c>
      <c r="X97" s="128">
        <f t="shared" si="35"/>
        <v>1</v>
      </c>
      <c r="Y97" s="70">
        <f t="shared" si="41"/>
        <v>23.298100000000002</v>
      </c>
      <c r="Z97" s="70">
        <f t="shared" si="42"/>
        <v>1.52E-2</v>
      </c>
      <c r="AA97" s="70">
        <f t="shared" si="43"/>
        <v>23.282900000000001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44"/>
        <v>0184-20</v>
      </c>
      <c r="AE97" s="103" t="str">
        <f t="shared" si="45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97" s="100" t="str">
        <f t="shared" si="46"/>
        <v>"C:\Program Files (x86)\AstroGrep\AstroGrep.exe" /spath="%USERPROFILE%\AppData\Local\Temp\OnboardLogs" /stypes="*4043*20160820*" /stext=" 21:.+((SYSTEM_STATE.+slice.+state.+changed )|(ment ac)|(system.+state.+changed )|(\|lc)|(penalty)|(\[timeout)|(PRM\|1\|D)|(kpr)|(kdp))" /e /r /s</v>
      </c>
      <c r="AG97" s="1" t="str">
        <f t="shared" si="47"/>
        <v>EC</v>
      </c>
      <c r="AH97" s="104" t="str">
        <f t="shared" si="48"/>
        <v>"%USERPROFILE%\Documents\GitHub\eaglep3\Utilities\RefineRTDCRunTimes.py" --tripid 184-20 --locoid 4043 --swversion DE.1.0.7.0 --startMP 204:232981 --initTime 2016-08-20T14:42:19 --startdatetime 2016-08-20T14:44:07 --delay 1 --endMP 204:152 --enddatetime 2016-08-20T15:35:54 --enforcementcount 0</v>
      </c>
    </row>
    <row r="98" spans="1:34" x14ac:dyDescent="0.25">
      <c r="A98" s="40" t="s">
        <v>526</v>
      </c>
      <c r="B98" s="7">
        <v>4009</v>
      </c>
      <c r="C98" s="25" t="s">
        <v>116</v>
      </c>
      <c r="D98" s="25" t="s">
        <v>192</v>
      </c>
      <c r="E98" s="16">
        <v>42602.58965277778</v>
      </c>
      <c r="F98" s="16">
        <v>42602.590636574074</v>
      </c>
      <c r="G98" s="7">
        <v>1</v>
      </c>
      <c r="H98" s="16" t="s">
        <v>527</v>
      </c>
      <c r="I98" s="16">
        <v>42602.620034722226</v>
      </c>
      <c r="J98" s="7">
        <v>0</v>
      </c>
      <c r="K98" s="141" t="str">
        <f t="shared" si="36"/>
        <v>4009/4010</v>
      </c>
      <c r="L98" s="25" t="str">
        <f>VLOOKUP(A98,'Trips&amp;Operators'!$C$1:$E$10000,3,FALSE)</f>
        <v>WEBSTER</v>
      </c>
      <c r="M98" s="6">
        <f t="shared" si="37"/>
        <v>2.9398148151813075E-2</v>
      </c>
      <c r="N98" s="7">
        <f t="shared" si="34"/>
        <v>42.333333338610828</v>
      </c>
      <c r="O98" s="7"/>
      <c r="P98" s="7"/>
      <c r="Q98" s="26"/>
      <c r="R98" s="26"/>
      <c r="S98" s="38">
        <f t="shared" si="49"/>
        <v>1</v>
      </c>
      <c r="T98" s="53" t="str">
        <f t="shared" si="38"/>
        <v>NorthBound</v>
      </c>
      <c r="U98" s="13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13:09:06-0600',mode:absolute,to:'2016-08-20 15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8" s="55" t="str">
        <f t="shared" si="40"/>
        <v>N</v>
      </c>
      <c r="X98" s="128">
        <f t="shared" si="35"/>
        <v>1</v>
      </c>
      <c r="Y98" s="70">
        <f t="shared" si="41"/>
        <v>4.4600000000000001E-2</v>
      </c>
      <c r="Z98" s="70">
        <f t="shared" si="42"/>
        <v>23.330300000000001</v>
      </c>
      <c r="AA98" s="70">
        <f t="shared" si="43"/>
        <v>23.285700000000002</v>
      </c>
      <c r="AB98" s="67">
        <f>VLOOKUP(A98,Enforcements!$C$7:$J$24,8,0)</f>
        <v>33137</v>
      </c>
      <c r="AC98" s="63" t="str">
        <f>VLOOKUP(A98,Enforcements!$C$7:$E$24,3,0)</f>
        <v>GRADE CROSSING</v>
      </c>
      <c r="AD98" s="64" t="str">
        <f t="shared" si="44"/>
        <v>0185-20</v>
      </c>
      <c r="AE98" s="103" t="str">
        <f t="shared" si="45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98" s="100" t="str">
        <f t="shared" si="46"/>
        <v>"C:\Program Files (x86)\AstroGrep\AstroGrep.exe" /spath="%USERPROFILE%\AppData\Local\Temp\OnboardLogs" /stypes="*4009*20160820*" /stext=" 20:.+((SYSTEM_STATE.+slice.+state.+changed )|(ment ac)|(system.+state.+changed )|(\|lc)|(penalty)|(\[timeout)|(PRM\|1\|D)|(kpr)|(kdp))" /e /r /s</v>
      </c>
      <c r="AG98" s="1" t="str">
        <f t="shared" si="47"/>
        <v>EC</v>
      </c>
      <c r="AH98" s="104" t="str">
        <f t="shared" si="48"/>
        <v>"%USERPROFILE%\Documents\GitHub\eaglep3\Utilities\RefineRTDCRunTimes.py" --tripid 185-20 --locoid 4009 --swversion DE.1.0.7.0 --startMP 204:446 --initTime 2016-08-20T14:09:06 --startdatetime 2016-08-20T14:10:31 --delay 1 --endMP 204:233303 --enddatetime 2016-08-20T14:52:51 --enforcementcount 0</v>
      </c>
    </row>
    <row r="99" spans="1:34" s="24" customFormat="1" x14ac:dyDescent="0.25">
      <c r="A99" s="40" t="s">
        <v>528</v>
      </c>
      <c r="B99" s="7">
        <v>4010</v>
      </c>
      <c r="C99" s="25" t="s">
        <v>116</v>
      </c>
      <c r="D99" s="25" t="s">
        <v>214</v>
      </c>
      <c r="E99" s="16">
        <v>42602.63071759259</v>
      </c>
      <c r="F99" s="16">
        <v>42602.631562499999</v>
      </c>
      <c r="G99" s="7">
        <v>1</v>
      </c>
      <c r="H99" s="16" t="s">
        <v>204</v>
      </c>
      <c r="I99" s="16">
        <v>42602.660833333335</v>
      </c>
      <c r="J99" s="7">
        <v>0</v>
      </c>
      <c r="K99" s="141" t="str">
        <f t="shared" si="36"/>
        <v>4009/4010</v>
      </c>
      <c r="L99" s="25" t="str">
        <f>VLOOKUP(A99,'Trips&amp;Operators'!$C$1:$E$10000,3,FALSE)</f>
        <v>WEBSTER</v>
      </c>
      <c r="M99" s="6">
        <f t="shared" si="37"/>
        <v>2.9270833336340729E-2</v>
      </c>
      <c r="N99" s="7">
        <f t="shared" si="34"/>
        <v>42.15000000433065</v>
      </c>
      <c r="O99" s="7"/>
      <c r="P99" s="7"/>
      <c r="Q99" s="26"/>
      <c r="R99" s="26"/>
      <c r="S99" s="38">
        <f t="shared" si="49"/>
        <v>1</v>
      </c>
      <c r="T99" s="53" t="str">
        <f t="shared" si="38"/>
        <v>Southbound</v>
      </c>
      <c r="U99" s="13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14:08:14-0600',mode:absolute,to:'2016-08-20 16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9" s="55" t="str">
        <f t="shared" si="40"/>
        <v>N</v>
      </c>
      <c r="X99" s="128">
        <f t="shared" si="35"/>
        <v>1</v>
      </c>
      <c r="Y99" s="70">
        <f t="shared" si="41"/>
        <v>23.297999999999998</v>
      </c>
      <c r="Z99" s="70">
        <f t="shared" si="42"/>
        <v>1.61E-2</v>
      </c>
      <c r="AA99" s="70">
        <f t="shared" si="43"/>
        <v>23.281899999999997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44"/>
        <v>0186-20</v>
      </c>
      <c r="AE99" s="103" t="str">
        <f t="shared" si="45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99" s="100" t="str">
        <f t="shared" si="46"/>
        <v>"C:\Program Files (x86)\AstroGrep\AstroGrep.exe" /spath="%USERPROFILE%\AppData\Local\Temp\OnboardLogs" /stypes="*4010*20160820*" /stext=" 21:.+((SYSTEM_STATE.+slice.+state.+changed )|(ment ac)|(system.+state.+changed )|(\|lc)|(penalty)|(\[timeout)|(PRM\|1\|D)|(kpr)|(kdp))" /e /r /s</v>
      </c>
      <c r="AG99" s="1" t="str">
        <f t="shared" si="47"/>
        <v>EC</v>
      </c>
      <c r="AH99" s="104" t="str">
        <f t="shared" si="48"/>
        <v>"%USERPROFILE%\Documents\GitHub\eaglep3\Utilities\RefineRTDCRunTimes.py" --tripid 186-20 --locoid 4010 --swversion DE.1.0.7.0 --startMP 204:232980 --initTime 2016-08-20T15:08:14 --startdatetime 2016-08-20T15:09:27 --delay 1 --endMP 204:161 --enddatetime 2016-08-20T15:51:36 --enforcementcount 0</v>
      </c>
    </row>
    <row r="100" spans="1:34" s="24" customFormat="1" x14ac:dyDescent="0.25">
      <c r="A100" s="40" t="s">
        <v>529</v>
      </c>
      <c r="B100" s="7">
        <v>4018</v>
      </c>
      <c r="C100" s="25" t="s">
        <v>116</v>
      </c>
      <c r="D100" s="25" t="s">
        <v>112</v>
      </c>
      <c r="E100" s="16">
        <v>42602.601678240739</v>
      </c>
      <c r="F100" s="16">
        <v>42602.602858796294</v>
      </c>
      <c r="G100" s="7">
        <v>1</v>
      </c>
      <c r="H100" s="16" t="s">
        <v>227</v>
      </c>
      <c r="I100" s="16">
        <v>42602.630486111113</v>
      </c>
      <c r="J100" s="7">
        <v>0</v>
      </c>
      <c r="K100" s="141" t="str">
        <f t="shared" si="36"/>
        <v>4017/4018</v>
      </c>
      <c r="L100" s="25" t="str">
        <f>VLOOKUP(A100,'Trips&amp;Operators'!$C$1:$E$10000,3,FALSE)</f>
        <v>STEWART</v>
      </c>
      <c r="M100" s="6">
        <f t="shared" si="37"/>
        <v>2.7627314819255844E-2</v>
      </c>
      <c r="N100" s="7">
        <f t="shared" si="34"/>
        <v>39.783333339728415</v>
      </c>
      <c r="O100" s="7"/>
      <c r="P100" s="7"/>
      <c r="Q100" s="26"/>
      <c r="R100" s="26"/>
      <c r="S100" s="38">
        <f t="shared" si="49"/>
        <v>1</v>
      </c>
      <c r="T100" s="53" t="str">
        <f t="shared" si="38"/>
        <v>NorthBound</v>
      </c>
      <c r="U100" s="13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13:26:25-0600',mode:absolute,to:'2016-08-20 16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0" s="55" t="str">
        <f t="shared" si="40"/>
        <v>N</v>
      </c>
      <c r="X100" s="128">
        <f t="shared" si="35"/>
        <v>1</v>
      </c>
      <c r="Y100" s="70">
        <f t="shared" si="41"/>
        <v>4.6199999999999998E-2</v>
      </c>
      <c r="Z100" s="70">
        <f t="shared" si="42"/>
        <v>23.330200000000001</v>
      </c>
      <c r="AA100" s="70">
        <f t="shared" si="43"/>
        <v>23.284000000000002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44"/>
        <v>0187-20</v>
      </c>
      <c r="AE100" s="103" t="str">
        <f t="shared" si="45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100" s="100" t="str">
        <f t="shared" si="46"/>
        <v>"C:\Program Files (x86)\AstroGrep\AstroGrep.exe" /spath="%USERPROFILE%\AppData\Local\Temp\OnboardLogs" /stypes="*4018*20160820*" /stext=" 21:.+((SYSTEM_STATE.+slice.+state.+changed )|(ment ac)|(system.+state.+changed )|(\|lc)|(penalty)|(\[timeout)|(PRM\|1\|D)|(kpr)|(kdp))" /e /r /s</v>
      </c>
      <c r="AG100" s="1" t="str">
        <f t="shared" si="47"/>
        <v>EC</v>
      </c>
      <c r="AH100" s="104" t="str">
        <f t="shared" si="48"/>
        <v>"%USERPROFILE%\Documents\GitHub\eaglep3\Utilities\RefineRTDCRunTimes.py" --tripid 187-20 --locoid 4018 --swversion DE.1.0.7.0 --startMP 204:462 --initTime 2016-08-20T14:26:25 --startdatetime 2016-08-20T14:28:07 --delay 1 --endMP 204:233302 --enddatetime 2016-08-20T15:07:54 --enforcementcount 0</v>
      </c>
    </row>
    <row r="101" spans="1:34" s="24" customFormat="1" x14ac:dyDescent="0.25">
      <c r="A101" s="40" t="s">
        <v>530</v>
      </c>
      <c r="B101" s="7">
        <v>4017</v>
      </c>
      <c r="C101" s="25" t="s">
        <v>116</v>
      </c>
      <c r="D101" s="25" t="s">
        <v>119</v>
      </c>
      <c r="E101" s="16">
        <v>42602.641319444447</v>
      </c>
      <c r="F101" s="16">
        <v>42602.64234953704</v>
      </c>
      <c r="G101" s="7">
        <v>1</v>
      </c>
      <c r="H101" s="16" t="s">
        <v>531</v>
      </c>
      <c r="I101" s="16">
        <v>42602.670648148145</v>
      </c>
      <c r="J101" s="7">
        <v>0</v>
      </c>
      <c r="K101" s="141" t="str">
        <f t="shared" si="36"/>
        <v>4017/4018</v>
      </c>
      <c r="L101" s="25" t="str">
        <f>VLOOKUP(A101,'Trips&amp;Operators'!$C$1:$E$10000,3,FALSE)</f>
        <v>STEWART</v>
      </c>
      <c r="M101" s="6">
        <f t="shared" si="37"/>
        <v>2.8298611105128657E-2</v>
      </c>
      <c r="N101" s="7">
        <f t="shared" ref="N101:N135" si="50">24*60*SUM($M101:$M101)</f>
        <v>40.749999991385266</v>
      </c>
      <c r="O101" s="7"/>
      <c r="P101" s="7"/>
      <c r="Q101" s="26"/>
      <c r="R101" s="26"/>
      <c r="S101" s="38">
        <f t="shared" si="49"/>
        <v>1</v>
      </c>
      <c r="T101" s="53" t="str">
        <f t="shared" si="38"/>
        <v>Southbound</v>
      </c>
      <c r="U101" s="13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14:23:30-0600',mode:absolute,to:'2016-08-20 17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1" s="55" t="str">
        <f t="shared" si="40"/>
        <v>N</v>
      </c>
      <c r="X101" s="128">
        <f t="shared" si="35"/>
        <v>1</v>
      </c>
      <c r="Y101" s="70">
        <f t="shared" si="41"/>
        <v>23.299299999999999</v>
      </c>
      <c r="Z101" s="70">
        <f t="shared" si="42"/>
        <v>1.67E-2</v>
      </c>
      <c r="AA101" s="70">
        <f t="shared" si="43"/>
        <v>23.282599999999999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44"/>
        <v>0188-20</v>
      </c>
      <c r="AE101" s="103" t="str">
        <f t="shared" si="45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101" s="100" t="str">
        <f t="shared" si="46"/>
        <v>"C:\Program Files (x86)\AstroGrep\AstroGrep.exe" /spath="%USERPROFILE%\AppData\Local\Temp\OnboardLogs" /stypes="*4017*20160820*" /stext=" 22:.+((SYSTEM_STATE.+slice.+state.+changed )|(ment ac)|(system.+state.+changed )|(\|lc)|(penalty)|(\[timeout)|(PRM\|1\|D)|(kpr)|(kdp))" /e /r /s</v>
      </c>
      <c r="AG101" s="1" t="str">
        <f t="shared" si="47"/>
        <v>EC</v>
      </c>
      <c r="AH101" s="104" t="str">
        <f t="shared" si="48"/>
        <v>"%USERPROFILE%\Documents\GitHub\eaglep3\Utilities\RefineRTDCRunTimes.py" --tripid 188-20 --locoid 4017 --swversion DE.1.0.7.0 --startMP 204:232993 --initTime 2016-08-20T15:23:30 --startdatetime 2016-08-20T15:24:59 --delay 1 --endMP 204:167 --enddatetime 2016-08-20T16:05:44 --enforcementcount 0</v>
      </c>
    </row>
    <row r="102" spans="1:34" s="24" customFormat="1" x14ac:dyDescent="0.25">
      <c r="A102" s="40" t="s">
        <v>532</v>
      </c>
      <c r="B102" s="7">
        <v>4031</v>
      </c>
      <c r="C102" s="25" t="s">
        <v>116</v>
      </c>
      <c r="D102" s="25" t="s">
        <v>145</v>
      </c>
      <c r="E102" s="16">
        <v>42602.609791666669</v>
      </c>
      <c r="F102" s="16">
        <v>42602.610625000001</v>
      </c>
      <c r="G102" s="7">
        <v>1</v>
      </c>
      <c r="H102" s="16" t="s">
        <v>212</v>
      </c>
      <c r="I102" s="16">
        <v>42602.640416666669</v>
      </c>
      <c r="J102" s="7">
        <v>0</v>
      </c>
      <c r="K102" s="141" t="str">
        <f t="shared" si="36"/>
        <v>4031/4032</v>
      </c>
      <c r="L102" s="25" t="str">
        <f>VLOOKUP(A102,'Trips&amp;Operators'!$C$1:$E$10000,3,FALSE)</f>
        <v>BARTLETT</v>
      </c>
      <c r="M102" s="6">
        <f t="shared" si="37"/>
        <v>2.9791666667733807E-2</v>
      </c>
      <c r="N102" s="7">
        <f t="shared" si="50"/>
        <v>42.900000001536682</v>
      </c>
      <c r="O102" s="7"/>
      <c r="P102" s="7"/>
      <c r="Q102" s="26"/>
      <c r="R102" s="26"/>
      <c r="S102" s="38">
        <f t="shared" si="49"/>
        <v>1</v>
      </c>
      <c r="T102" s="53" t="str">
        <f t="shared" si="38"/>
        <v>NorthBound</v>
      </c>
      <c r="U102" s="13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13:38:06-0600',mode:absolute,to:'2016-08-20 16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2" s="55" t="str">
        <f t="shared" si="40"/>
        <v>N</v>
      </c>
      <c r="X102" s="128">
        <f t="shared" si="35"/>
        <v>1</v>
      </c>
      <c r="Y102" s="70">
        <f t="shared" si="41"/>
        <v>4.6899999999999997E-2</v>
      </c>
      <c r="Z102" s="70">
        <f t="shared" si="42"/>
        <v>23.329899999999999</v>
      </c>
      <c r="AA102" s="70">
        <f t="shared" si="43"/>
        <v>23.282999999999998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44"/>
        <v>0189-20</v>
      </c>
      <c r="AE102" s="103" t="str">
        <f t="shared" si="45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102" s="100" t="str">
        <f t="shared" si="46"/>
        <v>"C:\Program Files (x86)\AstroGrep\AstroGrep.exe" /spath="%USERPROFILE%\AppData\Local\Temp\OnboardLogs" /stypes="*4031*20160820*" /stext=" 21:.+((SYSTEM_STATE.+slice.+state.+changed )|(ment ac)|(system.+state.+changed )|(\|lc)|(penalty)|(\[timeout)|(PRM\|1\|D)|(kpr)|(kdp))" /e /r /s</v>
      </c>
      <c r="AG102" s="1" t="str">
        <f t="shared" si="47"/>
        <v>EC</v>
      </c>
      <c r="AH102" s="104" t="str">
        <f t="shared" si="48"/>
        <v>"%USERPROFILE%\Documents\GitHub\eaglep3\Utilities\RefineRTDCRunTimes.py" --tripid 189-20 --locoid 4031 --swversion DE.1.0.7.0 --startMP 204:469 --initTime 2016-08-20T14:38:06 --startdatetime 2016-08-20T14:39:18 --delay 1 --endMP 204:233299 --enddatetime 2016-08-20T15:22:12 --enforcementcount 0</v>
      </c>
    </row>
    <row r="103" spans="1:34" x14ac:dyDescent="0.25">
      <c r="A103" s="40" t="s">
        <v>533</v>
      </c>
      <c r="B103" s="7">
        <v>4032</v>
      </c>
      <c r="C103" s="25" t="s">
        <v>116</v>
      </c>
      <c r="D103" s="25" t="s">
        <v>210</v>
      </c>
      <c r="E103" s="16">
        <v>42602.642141203702</v>
      </c>
      <c r="F103" s="16">
        <v>42602.643055555556</v>
      </c>
      <c r="G103" s="7">
        <v>1</v>
      </c>
      <c r="H103" s="16" t="s">
        <v>534</v>
      </c>
      <c r="I103" s="16">
        <v>42602.681597222225</v>
      </c>
      <c r="J103" s="7">
        <v>0</v>
      </c>
      <c r="K103" s="141" t="str">
        <f t="shared" si="36"/>
        <v>4031/4032</v>
      </c>
      <c r="L103" s="25" t="str">
        <f>VLOOKUP(A103,'Trips&amp;Operators'!$C$1:$E$10000,3,FALSE)</f>
        <v>BARTLETT</v>
      </c>
      <c r="M103" s="6">
        <f t="shared" si="37"/>
        <v>3.8541666668606922E-2</v>
      </c>
      <c r="N103" s="7">
        <f t="shared" si="50"/>
        <v>55.500000002793968</v>
      </c>
      <c r="O103" s="7"/>
      <c r="P103" s="7"/>
      <c r="Q103" s="26"/>
      <c r="R103" s="26"/>
      <c r="S103" s="38">
        <f t="shared" si="49"/>
        <v>1</v>
      </c>
      <c r="T103" s="53" t="str">
        <f t="shared" si="38"/>
        <v>Southbound</v>
      </c>
      <c r="U103" s="13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14:24:41-0600',mode:absolute,to:'2016-08-20 17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3" s="55" t="str">
        <f t="shared" si="40"/>
        <v>N</v>
      </c>
      <c r="X103" s="128">
        <f t="shared" si="35"/>
        <v>1</v>
      </c>
      <c r="Y103" s="70">
        <f t="shared" si="41"/>
        <v>23.2973</v>
      </c>
      <c r="Z103" s="70">
        <f t="shared" si="42"/>
        <v>1.3599999999999999E-2</v>
      </c>
      <c r="AA103" s="70">
        <f t="shared" si="43"/>
        <v>23.2837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44"/>
        <v>0190-20</v>
      </c>
      <c r="AE103" s="103" t="str">
        <f t="shared" si="45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103" s="100" t="str">
        <f t="shared" si="46"/>
        <v>"C:\Program Files (x86)\AstroGrep\AstroGrep.exe" /spath="%USERPROFILE%\AppData\Local\Temp\OnboardLogs" /stypes="*4032*20160820*" /stext=" 22:.+((SYSTEM_STATE.+slice.+state.+changed )|(ment ac)|(system.+state.+changed )|(\|lc)|(penalty)|(\[timeout)|(PRM\|1\|D)|(kpr)|(kdp))" /e /r /s</v>
      </c>
      <c r="AG103" s="1" t="str">
        <f t="shared" si="47"/>
        <v>EC</v>
      </c>
      <c r="AH103" s="104" t="str">
        <f t="shared" si="48"/>
        <v>"%USERPROFILE%\Documents\GitHub\eaglep3\Utilities\RefineRTDCRunTimes.py" --tripid 190-20 --locoid 4032 --swversion DE.1.0.7.0 --startMP 204:232973 --initTime 2016-08-20T15:24:41 --startdatetime 2016-08-20T15:26:00 --delay 1 --endMP 204:136 --enddatetime 2016-08-20T16:21:30 --enforcementcount 0</v>
      </c>
    </row>
    <row r="104" spans="1:34" x14ac:dyDescent="0.25">
      <c r="A104" s="40" t="s">
        <v>538</v>
      </c>
      <c r="B104" s="7">
        <v>4007</v>
      </c>
      <c r="C104" s="25" t="s">
        <v>116</v>
      </c>
      <c r="D104" s="25" t="s">
        <v>539</v>
      </c>
      <c r="E104" s="16">
        <v>42602.622337962966</v>
      </c>
      <c r="F104" s="16">
        <v>42602.623715277776</v>
      </c>
      <c r="G104" s="7">
        <v>1</v>
      </c>
      <c r="H104" s="16" t="s">
        <v>540</v>
      </c>
      <c r="I104" s="16">
        <v>42602.651273148149</v>
      </c>
      <c r="J104" s="7">
        <v>0</v>
      </c>
      <c r="K104" s="141" t="str">
        <f t="shared" si="36"/>
        <v>4007/4008</v>
      </c>
      <c r="L104" s="25" t="str">
        <f>VLOOKUP(A104,'Trips&amp;Operators'!$C$1:$E$10000,3,FALSE)</f>
        <v>MOSES</v>
      </c>
      <c r="M104" s="6">
        <f t="shared" si="37"/>
        <v>2.7557870373129845E-2</v>
      </c>
      <c r="N104" s="7">
        <f t="shared" si="50"/>
        <v>39.683333337306976</v>
      </c>
      <c r="O104" s="7"/>
      <c r="P104" s="7"/>
      <c r="Q104" s="26"/>
      <c r="R104" s="26"/>
      <c r="S104" s="38">
        <f t="shared" si="49"/>
        <v>1</v>
      </c>
      <c r="T104" s="53" t="str">
        <f t="shared" si="38"/>
        <v>NorthBound</v>
      </c>
      <c r="U104" s="13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13:56:10-0600',mode:absolute,to:'2016-08-20 16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4" s="55" t="str">
        <f t="shared" si="40"/>
        <v>N</v>
      </c>
      <c r="X104" s="128">
        <f t="shared" si="35"/>
        <v>1</v>
      </c>
      <c r="Y104" s="70">
        <f t="shared" si="41"/>
        <v>4.2700000000000002E-2</v>
      </c>
      <c r="Z104" s="70">
        <f t="shared" si="42"/>
        <v>23.334</v>
      </c>
      <c r="AA104" s="70">
        <f t="shared" si="43"/>
        <v>23.2913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44"/>
        <v>0191-20</v>
      </c>
      <c r="AE104" s="103" t="str">
        <f t="shared" si="45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104" s="100" t="str">
        <f t="shared" si="46"/>
        <v>"C:\Program Files (x86)\AstroGrep\AstroGrep.exe" /spath="%USERPROFILE%\AppData\Local\Temp\OnboardLogs" /stypes="*4007*20160820*" /stext=" 21:.+((SYSTEM_STATE.+slice.+state.+changed )|(ment ac)|(system.+state.+changed )|(\|lc)|(penalty)|(\[timeout)|(PRM\|1\|D)|(kpr)|(kdp))" /e /r /s</v>
      </c>
      <c r="AG104" s="1" t="str">
        <f t="shared" si="47"/>
        <v>EC</v>
      </c>
      <c r="AH104" s="104" t="str">
        <f t="shared" si="48"/>
        <v>"%USERPROFILE%\Documents\GitHub\eaglep3\Utilities\RefineRTDCRunTimes.py" --tripid 191-20 --locoid 4007 --swversion DE.1.0.7.0 --startMP 204:427 --initTime 2016-08-20T14:56:10 --startdatetime 2016-08-20T14:58:09 --delay 1 --endMP 204:233340 --enddatetime 2016-08-20T15:37:50 --enforcementcount 0</v>
      </c>
    </row>
    <row r="105" spans="1:34" s="24" customFormat="1" x14ac:dyDescent="0.25">
      <c r="A105" s="40" t="s">
        <v>541</v>
      </c>
      <c r="B105" s="7">
        <v>4008</v>
      </c>
      <c r="C105" s="25" t="s">
        <v>116</v>
      </c>
      <c r="D105" s="25" t="s">
        <v>542</v>
      </c>
      <c r="E105" s="16">
        <v>42602.660740740743</v>
      </c>
      <c r="F105" s="16">
        <v>42602.662511574075</v>
      </c>
      <c r="G105" s="7">
        <v>2</v>
      </c>
      <c r="H105" s="16" t="s">
        <v>162</v>
      </c>
      <c r="I105" s="16">
        <v>42602.691666666666</v>
      </c>
      <c r="J105" s="7">
        <v>0</v>
      </c>
      <c r="K105" s="141" t="str">
        <f t="shared" si="36"/>
        <v>4007/4008</v>
      </c>
      <c r="L105" s="25" t="str">
        <f>VLOOKUP(A105,'Trips&amp;Operators'!$C$1:$E$10000,3,FALSE)</f>
        <v>MOSES</v>
      </c>
      <c r="M105" s="6">
        <f t="shared" si="37"/>
        <v>2.9155092590372078E-2</v>
      </c>
      <c r="N105" s="7">
        <f t="shared" si="50"/>
        <v>41.983333330135792</v>
      </c>
      <c r="O105" s="7"/>
      <c r="P105" s="7"/>
      <c r="Q105" s="26"/>
      <c r="R105" s="26"/>
      <c r="S105" s="38">
        <f t="shared" si="49"/>
        <v>1</v>
      </c>
      <c r="T105" s="53" t="str">
        <f t="shared" si="38"/>
        <v>Southbound</v>
      </c>
      <c r="U105" s="13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14:51:28-0600',mode:absolute,to:'2016-08-20 17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5" s="55" t="str">
        <f t="shared" si="40"/>
        <v>N</v>
      </c>
      <c r="X105" s="128">
        <f t="shared" si="35"/>
        <v>1</v>
      </c>
      <c r="Y105" s="70">
        <f t="shared" si="41"/>
        <v>23.302700000000002</v>
      </c>
      <c r="Z105" s="70">
        <f t="shared" si="42"/>
        <v>1.4999999999999999E-2</v>
      </c>
      <c r="AA105" s="70">
        <f t="shared" si="43"/>
        <v>23.287700000000001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44"/>
        <v>0192-20</v>
      </c>
      <c r="AE105" s="103" t="str">
        <f t="shared" si="45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105" s="100" t="str">
        <f t="shared" si="46"/>
        <v>"C:\Program Files (x86)\AstroGrep\AstroGrep.exe" /spath="%USERPROFILE%\AppData\Local\Temp\OnboardLogs" /stypes="*4008*20160820*" /stext=" 22:.+((SYSTEM_STATE.+slice.+state.+changed )|(ment ac)|(system.+state.+changed )|(\|lc)|(penalty)|(\[timeout)|(PRM\|1\|D)|(kpr)|(kdp))" /e /r /s</v>
      </c>
      <c r="AG105" s="1" t="str">
        <f t="shared" si="47"/>
        <v>EC</v>
      </c>
      <c r="AH105" s="104" t="str">
        <f t="shared" si="48"/>
        <v>"%USERPROFILE%\Documents\GitHub\eaglep3\Utilities\RefineRTDCRunTimes.py" --tripid 192-20 --locoid 4008 --swversion DE.1.0.7.0 --startMP 204:233027 --initTime 2016-08-20T15:51:28 --startdatetime 2016-08-20T15:54:01 --delay 2 --endMP 204:150 --enddatetime 2016-08-20T16:36:00 --enforcementcount 0</v>
      </c>
    </row>
    <row r="106" spans="1:34" x14ac:dyDescent="0.25">
      <c r="A106" s="40" t="s">
        <v>543</v>
      </c>
      <c r="B106" s="7">
        <v>4003</v>
      </c>
      <c r="C106" s="25" t="s">
        <v>116</v>
      </c>
      <c r="D106" s="25" t="s">
        <v>220</v>
      </c>
      <c r="E106" s="16">
        <v>42602.631018518521</v>
      </c>
      <c r="F106" s="16">
        <v>42602.632002314815</v>
      </c>
      <c r="G106" s="7">
        <v>1</v>
      </c>
      <c r="H106" s="16" t="s">
        <v>544</v>
      </c>
      <c r="I106" s="16">
        <v>42602.662048611113</v>
      </c>
      <c r="J106" s="7">
        <v>0</v>
      </c>
      <c r="K106" s="141" t="str">
        <f t="shared" si="36"/>
        <v>4003/4004</v>
      </c>
      <c r="L106" s="25" t="str">
        <f>VLOOKUP(A106,'Trips&amp;Operators'!$C$1:$E$10000,3,FALSE)</f>
        <v>SHOOK</v>
      </c>
      <c r="M106" s="6">
        <f t="shared" si="37"/>
        <v>3.0046296298678499E-2</v>
      </c>
      <c r="N106" s="7">
        <f t="shared" si="50"/>
        <v>43.266666670097038</v>
      </c>
      <c r="O106" s="7"/>
      <c r="P106" s="7"/>
      <c r="Q106" s="26"/>
      <c r="R106" s="26"/>
      <c r="S106" s="38">
        <f t="shared" si="49"/>
        <v>1</v>
      </c>
      <c r="T106" s="53" t="str">
        <f t="shared" si="38"/>
        <v>NorthBound</v>
      </c>
      <c r="U106" s="13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14:08:40-0600',mode:absolute,to:'2016-08-20 16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06" s="55" t="str">
        <f t="shared" si="40"/>
        <v>N</v>
      </c>
      <c r="X106" s="128">
        <f t="shared" si="35"/>
        <v>1</v>
      </c>
      <c r="Y106" s="70">
        <f t="shared" si="41"/>
        <v>4.4400000000000002E-2</v>
      </c>
      <c r="Z106" s="70">
        <f t="shared" si="42"/>
        <v>23.337199999999999</v>
      </c>
      <c r="AA106" s="70">
        <f t="shared" si="43"/>
        <v>23.2928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44"/>
        <v>0193-20</v>
      </c>
      <c r="AE106" s="103" t="str">
        <f t="shared" si="45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106" s="100" t="str">
        <f t="shared" si="46"/>
        <v>"C:\Program Files (x86)\AstroGrep\AstroGrep.exe" /spath="%USERPROFILE%\AppData\Local\Temp\OnboardLogs" /stypes="*4003*20160820*" /stext=" 21:.+((SYSTEM_STATE.+slice.+state.+changed )|(ment ac)|(system.+state.+changed )|(\|lc)|(penalty)|(\[timeout)|(PRM\|1\|D)|(kpr)|(kdp))" /e /r /s</v>
      </c>
      <c r="AG106" s="1" t="str">
        <f t="shared" si="47"/>
        <v>EC</v>
      </c>
      <c r="AH106" s="104" t="str">
        <f t="shared" si="48"/>
        <v>"%USERPROFILE%\Documents\GitHub\eaglep3\Utilities\RefineRTDCRunTimes.py" --tripid 193-20 --locoid 4003 --swversion DE.1.0.7.0 --startMP 204:444 --initTime 2016-08-20T15:08:40 --startdatetime 2016-08-20T15:10:05 --delay 1 --endMP 204:233372 --enddatetime 2016-08-20T15:53:21 --enforcementcount 0</v>
      </c>
    </row>
    <row r="107" spans="1:34" x14ac:dyDescent="0.25">
      <c r="A107" s="40" t="s">
        <v>545</v>
      </c>
      <c r="B107" s="7">
        <v>4004</v>
      </c>
      <c r="C107" s="25" t="s">
        <v>116</v>
      </c>
      <c r="D107" s="25" t="s">
        <v>546</v>
      </c>
      <c r="E107" s="16">
        <v>42602.668043981481</v>
      </c>
      <c r="F107" s="16">
        <v>42602.669259259259</v>
      </c>
      <c r="G107" s="7">
        <v>1</v>
      </c>
      <c r="H107" s="16" t="s">
        <v>203</v>
      </c>
      <c r="I107" s="16">
        <v>42602.702164351853</v>
      </c>
      <c r="J107" s="7">
        <v>0</v>
      </c>
      <c r="K107" s="141" t="str">
        <f t="shared" si="36"/>
        <v>4003/4004</v>
      </c>
      <c r="L107" s="25" t="str">
        <f>VLOOKUP(A107,'Trips&amp;Operators'!$C$1:$E$10000,3,FALSE)</f>
        <v>SHOOK</v>
      </c>
      <c r="M107" s="6">
        <f t="shared" si="37"/>
        <v>3.2905092593864538E-2</v>
      </c>
      <c r="N107" s="7">
        <f t="shared" si="50"/>
        <v>47.383333335164934</v>
      </c>
      <c r="O107" s="7"/>
      <c r="P107" s="7"/>
      <c r="Q107" s="26"/>
      <c r="R107" s="26"/>
      <c r="S107" s="38">
        <f t="shared" si="49"/>
        <v>1</v>
      </c>
      <c r="T107" s="53" t="str">
        <f t="shared" si="38"/>
        <v>Southbound</v>
      </c>
      <c r="U107" s="13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15:01:59-0600',mode:absolute,to:'2016-08-20 17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07" s="55" t="str">
        <f t="shared" si="40"/>
        <v>N</v>
      </c>
      <c r="X107" s="128">
        <f t="shared" si="35"/>
        <v>1</v>
      </c>
      <c r="Y107" s="70">
        <f t="shared" si="41"/>
        <v>23.302299999999999</v>
      </c>
      <c r="Z107" s="70">
        <f t="shared" si="42"/>
        <v>1.41E-2</v>
      </c>
      <c r="AA107" s="70">
        <f t="shared" si="43"/>
        <v>23.2882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44"/>
        <v>0194-20</v>
      </c>
      <c r="AE107" s="103" t="str">
        <f t="shared" si="45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107" s="100" t="str">
        <f t="shared" si="46"/>
        <v>"C:\Program Files (x86)\AstroGrep\AstroGrep.exe" /spath="%USERPROFILE%\AppData\Local\Temp\OnboardLogs" /stypes="*4004*20160820*" /stext=" 22:.+((SYSTEM_STATE.+slice.+state.+changed )|(ment ac)|(system.+state.+changed )|(\|lc)|(penalty)|(\[timeout)|(PRM\|1\|D)|(kpr)|(kdp))" /e /r /s</v>
      </c>
      <c r="AG107" s="1" t="str">
        <f t="shared" si="47"/>
        <v>EC</v>
      </c>
      <c r="AH107" s="104" t="str">
        <f t="shared" si="48"/>
        <v>"%USERPROFILE%\Documents\GitHub\eaglep3\Utilities\RefineRTDCRunTimes.py" --tripid 194-20 --locoid 4004 --swversion DE.1.0.7.0 --startMP 204:233023 --initTime 2016-08-20T16:01:59 --startdatetime 2016-08-20T16:03:44 --delay 1 --endMP 204:141 --enddatetime 2016-08-20T16:51:07 --enforcementcount 0</v>
      </c>
    </row>
    <row r="108" spans="1:34" x14ac:dyDescent="0.25">
      <c r="A108" s="40" t="s">
        <v>547</v>
      </c>
      <c r="B108" s="7">
        <v>4027</v>
      </c>
      <c r="C108" s="25" t="s">
        <v>116</v>
      </c>
      <c r="D108" s="25" t="s">
        <v>141</v>
      </c>
      <c r="E108" s="16">
        <v>42602.641608796293</v>
      </c>
      <c r="F108" s="16">
        <v>42602.64266203704</v>
      </c>
      <c r="G108" s="7">
        <v>1</v>
      </c>
      <c r="H108" s="16" t="s">
        <v>382</v>
      </c>
      <c r="I108" s="16">
        <v>42602.670810185184</v>
      </c>
      <c r="J108" s="7">
        <v>0</v>
      </c>
      <c r="K108" s="141" t="str">
        <f t="shared" si="36"/>
        <v>4027/4028</v>
      </c>
      <c r="L108" s="25" t="str">
        <f>VLOOKUP(A108,'Trips&amp;Operators'!$C$1:$E$10000,3,FALSE)</f>
        <v>BRUDER</v>
      </c>
      <c r="M108" s="6">
        <f t="shared" si="37"/>
        <v>2.8148148143372964E-2</v>
      </c>
      <c r="N108" s="7">
        <f t="shared" si="50"/>
        <v>40.533333326457068</v>
      </c>
      <c r="O108" s="7"/>
      <c r="P108" s="7"/>
      <c r="Q108" s="26"/>
      <c r="R108" s="26"/>
      <c r="S108" s="38">
        <f t="shared" si="49"/>
        <v>1</v>
      </c>
      <c r="T108" s="53" t="str">
        <f t="shared" si="38"/>
        <v>NorthBound</v>
      </c>
      <c r="U108" s="13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0" t="str">
        <f t="shared" si="39"/>
        <v>https://search-rtdc-monitor-bjffxe2xuh6vdkpspy63sjmuny.us-east-1.es.amazonaws.com/_plugin/kibana/#/discover/Steve-Slow-Train-Analysis-(2080s-and-2083s)?_g=(refreshInterval:(display:Off,section:0,value:0),time:(from:'2016-08-20 14:23:55-0600',mode:absolute,to:'2016-08-20 17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8" s="55" t="str">
        <f t="shared" si="40"/>
        <v>N</v>
      </c>
      <c r="X108" s="128">
        <f t="shared" ref="X108:X139" si="51">VALUE(LEFT(AD108,4))-VALUE(LEFT(AD107,4))</f>
        <v>1</v>
      </c>
      <c r="Y108" s="70">
        <f t="shared" si="41"/>
        <v>4.4900000000000002E-2</v>
      </c>
      <c r="Z108" s="70">
        <f t="shared" si="42"/>
        <v>23.3325</v>
      </c>
      <c r="AA108" s="70">
        <f t="shared" si="43"/>
        <v>23.287600000000001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44"/>
        <v>0195-20</v>
      </c>
      <c r="AE108" s="103" t="str">
        <f t="shared" si="45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108" s="100" t="str">
        <f t="shared" si="46"/>
        <v>"C:\Program Files (x86)\AstroGrep\AstroGrep.exe" /spath="%USERPROFILE%\AppData\Local\Temp\OnboardLogs" /stypes="*4027*20160820*" /stext=" 22:.+((SYSTEM_STATE.+slice.+state.+changed )|(ment ac)|(system.+state.+changed )|(\|lc)|(penalty)|(\[timeout)|(PRM\|1\|D)|(kpr)|(kdp))" /e /r /s</v>
      </c>
      <c r="AG108" s="1" t="str">
        <f t="shared" si="47"/>
        <v>EC</v>
      </c>
      <c r="AH108" s="104" t="str">
        <f t="shared" si="48"/>
        <v>"%USERPROFILE%\Documents\GitHub\eaglep3\Utilities\RefineRTDCRunTimes.py" --tripid 195-20 --locoid 4027 --swversion DE.1.0.7.0 --startMP 204:449 --initTime 2016-08-20T15:23:55 --startdatetime 2016-08-20T15:25:26 --delay 1 --endMP 204:233325 --enddatetime 2016-08-20T16:05:58 --enforcementcount 0</v>
      </c>
    </row>
    <row r="109" spans="1:34" x14ac:dyDescent="0.25">
      <c r="A109" s="40" t="s">
        <v>548</v>
      </c>
      <c r="B109" s="7">
        <v>4028</v>
      </c>
      <c r="C109" s="25" t="s">
        <v>116</v>
      </c>
      <c r="D109" s="25" t="s">
        <v>549</v>
      </c>
      <c r="E109" s="16">
        <v>42602.679652777777</v>
      </c>
      <c r="F109" s="16">
        <v>42602.680613425924</v>
      </c>
      <c r="G109" s="7">
        <v>1</v>
      </c>
      <c r="H109" s="16" t="s">
        <v>238</v>
      </c>
      <c r="I109" s="16">
        <v>42602.712268518517</v>
      </c>
      <c r="J109" s="7">
        <v>0</v>
      </c>
      <c r="K109" s="141" t="str">
        <f t="shared" ref="K109:K140" si="52">IF(ISEVEN(B109),(B109-1)&amp;"/"&amp;B109,B109&amp;"/"&amp;(B109+1))</f>
        <v>4027/4028</v>
      </c>
      <c r="L109" s="25" t="str">
        <f>VLOOKUP(A109,'Trips&amp;Operators'!$C$1:$E$10000,3,FALSE)</f>
        <v>BRUDER</v>
      </c>
      <c r="M109" s="6">
        <f t="shared" ref="M109:M140" si="53">I109-F109</f>
        <v>3.1655092592700385E-2</v>
      </c>
      <c r="N109" s="7">
        <f t="shared" si="50"/>
        <v>45.583333333488554</v>
      </c>
      <c r="O109" s="7"/>
      <c r="P109" s="7"/>
      <c r="Q109" s="26"/>
      <c r="R109" s="26"/>
      <c r="S109" s="38">
        <f t="shared" si="49"/>
        <v>1</v>
      </c>
      <c r="T109" s="53" t="str">
        <f t="shared" ref="T109:T140" si="54">IF(ISEVEN(LEFT(AD109,4)),"Southbound","NorthBound")</f>
        <v>Southbound</v>
      </c>
      <c r="U109" s="13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0" t="str">
        <f t="shared" ref="V109:V140" si="55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https://search-rtdc-monitor-bjffxe2xuh6vdkpspy63sjmuny.us-east-1.es.amazonaws.com/_plugin/kibana/#/discover/Steve-Slow-Train-Analysis-(2080s-and-2083s)?_g=(refreshInterval:(display:Off,section:0,value:0),time:(from:'2016-08-20 15:18:42-0600',mode:absolute,to:'2016-08-20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9" s="55" t="str">
        <f t="shared" ref="W109:W140" si="56">IF(AA109&lt;IF(AG109="EC",23,5.65),"Y","N")</f>
        <v>N</v>
      </c>
      <c r="X109" s="128">
        <f t="shared" si="51"/>
        <v>1</v>
      </c>
      <c r="Y109" s="70">
        <f t="shared" ref="Y109:Y140" si="57">RIGHT(D109,LEN(D109)-4)/10000</f>
        <v>23.3002</v>
      </c>
      <c r="Z109" s="70">
        <f t="shared" ref="Z109:Z140" si="58">RIGHT(H109,LEN(H109)-4)/10000</f>
        <v>1.6E-2</v>
      </c>
      <c r="AA109" s="70">
        <f t="shared" ref="AA109:AA140" si="59">ABS(Z109-Y109)</f>
        <v>23.284200000000002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ref="AD109:AD140" si="60">IF(LEN(A109)=6,"0"&amp;A109,A109)</f>
        <v>0196-20</v>
      </c>
      <c r="AE109" s="103" t="str">
        <f t="shared" ref="AE109:AE140" si="61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109" s="100" t="str">
        <f t="shared" ref="AF109:AF140" si="62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/stypes="*4028*20160820*" /stext=" 23:.+((SYSTEM_STATE.+slice.+state.+changed )|(ment ac)|(system.+state.+changed )|(\|lc)|(penalty)|(\[timeout)|(PRM\|1\|D)|(kpr)|(kdp))" /e /r /s</v>
      </c>
      <c r="AG109" s="1" t="str">
        <f t="shared" ref="AG109:AG140" si="63">IFERROR(IF(VALUE(LEFT(AD109,2))&lt;=2,"EC",IF(OR(VALUE(LEFT(AD109,2))=8,VALUE(LEFT(AD109,2))=18),"NW","Other")),"Other")</f>
        <v>EC</v>
      </c>
      <c r="AH109" s="104" t="str">
        <f t="shared" si="48"/>
        <v>"%USERPROFILE%\Documents\GitHub\eaglep3\Utilities\RefineRTDCRunTimes.py" --tripid 196-20 --locoid 4028 --swversion DE.1.0.7.0 --startMP 204:233002 --initTime 2016-08-20T16:18:42 --startdatetime 2016-08-20T16:20:05 --delay 1 --endMP 204:160 --enddatetime 2016-08-20T17:05:40 --enforcementcount 0</v>
      </c>
    </row>
    <row r="110" spans="1:34" x14ac:dyDescent="0.25">
      <c r="A110" s="40" t="s">
        <v>550</v>
      </c>
      <c r="B110" s="7">
        <v>4044</v>
      </c>
      <c r="C110" s="25" t="s">
        <v>116</v>
      </c>
      <c r="D110" s="25" t="s">
        <v>551</v>
      </c>
      <c r="E110" s="16">
        <v>42602.650810185187</v>
      </c>
      <c r="F110" s="16">
        <v>42602.652025462965</v>
      </c>
      <c r="G110" s="7">
        <v>1</v>
      </c>
      <c r="H110" s="16" t="s">
        <v>241</v>
      </c>
      <c r="I110" s="16">
        <v>42602.681354166663</v>
      </c>
      <c r="J110" s="7">
        <v>0</v>
      </c>
      <c r="K110" s="141" t="str">
        <f t="shared" si="52"/>
        <v>4043/4044</v>
      </c>
      <c r="L110" s="25" t="str">
        <f>VLOOKUP(A110,'Trips&amp;Operators'!$C$1:$E$10000,3,FALSE)</f>
        <v>MAYBERRY</v>
      </c>
      <c r="M110" s="6">
        <f t="shared" si="53"/>
        <v>2.9328703698411118E-2</v>
      </c>
      <c r="N110" s="7">
        <f t="shared" si="50"/>
        <v>42.23333332571201</v>
      </c>
      <c r="O110" s="7"/>
      <c r="P110" s="7"/>
      <c r="Q110" s="26"/>
      <c r="R110" s="26"/>
      <c r="S110" s="38">
        <f t="shared" si="49"/>
        <v>1</v>
      </c>
      <c r="T110" s="53" t="str">
        <f t="shared" si="54"/>
        <v>NorthBound</v>
      </c>
      <c r="U110" s="13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14:37:10-0600',mode:absolute,to:'2016-08-20 17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0" s="55" t="str">
        <f t="shared" si="56"/>
        <v>N</v>
      </c>
      <c r="X110" s="128">
        <f t="shared" si="51"/>
        <v>1</v>
      </c>
      <c r="Y110" s="70">
        <f t="shared" si="57"/>
        <v>4.82E-2</v>
      </c>
      <c r="Z110" s="70">
        <f t="shared" si="58"/>
        <v>23.3293</v>
      </c>
      <c r="AA110" s="70">
        <f t="shared" si="59"/>
        <v>23.281099999999999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60"/>
        <v>0197-20</v>
      </c>
      <c r="AE110" s="103" t="str">
        <f t="shared" si="61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110" s="100" t="str">
        <f t="shared" si="62"/>
        <v>"C:\Program Files (x86)\AstroGrep\AstroGrep.exe" /spath="%USERPROFILE%\AppData\Local\Temp\OnboardLogs" /stypes="*4044*20160820*" /stext=" 22:.+((SYSTEM_STATE.+slice.+state.+changed )|(ment ac)|(system.+state.+changed )|(\|lc)|(penalty)|(\[timeout)|(PRM\|1\|D)|(kpr)|(kdp))" /e /r /s</v>
      </c>
      <c r="AG110" s="1" t="str">
        <f t="shared" si="63"/>
        <v>EC</v>
      </c>
      <c r="AH110" s="104" t="str">
        <f t="shared" si="48"/>
        <v>"%USERPROFILE%\Documents\GitHub\eaglep3\Utilities\RefineRTDCRunTimes.py" --tripid 197-20 --locoid 4044 --swversion DE.1.0.7.0 --startMP 204:482 --initTime 2016-08-20T15:37:10 --startdatetime 2016-08-20T15:38:55 --delay 1 --endMP 204:233293 --enddatetime 2016-08-20T16:21:09 --enforcementcount 0</v>
      </c>
    </row>
    <row r="111" spans="1:34" s="24" customFormat="1" x14ac:dyDescent="0.25">
      <c r="A111" s="40" t="s">
        <v>552</v>
      </c>
      <c r="B111" s="7">
        <v>4043</v>
      </c>
      <c r="C111" s="25" t="s">
        <v>116</v>
      </c>
      <c r="D111" s="25" t="s">
        <v>266</v>
      </c>
      <c r="E111" s="16">
        <v>42602.692430555559</v>
      </c>
      <c r="F111" s="16">
        <v>42602.693854166668</v>
      </c>
      <c r="G111" s="7">
        <v>2</v>
      </c>
      <c r="H111" s="16" t="s">
        <v>193</v>
      </c>
      <c r="I111" s="16">
        <v>42602.72351851852</v>
      </c>
      <c r="J111" s="7">
        <v>0</v>
      </c>
      <c r="K111" s="141" t="str">
        <f t="shared" si="52"/>
        <v>4043/4044</v>
      </c>
      <c r="L111" s="25" t="str">
        <f>VLOOKUP(A111,'Trips&amp;Operators'!$C$1:$E$10000,3,FALSE)</f>
        <v>MAYBERRY</v>
      </c>
      <c r="M111" s="6">
        <f t="shared" si="53"/>
        <v>2.9664351852261461E-2</v>
      </c>
      <c r="N111" s="7">
        <f t="shared" si="50"/>
        <v>42.716666667256504</v>
      </c>
      <c r="O111" s="7"/>
      <c r="P111" s="7"/>
      <c r="Q111" s="26"/>
      <c r="R111" s="26"/>
      <c r="S111" s="38">
        <f t="shared" si="49"/>
        <v>1</v>
      </c>
      <c r="T111" s="53" t="str">
        <f t="shared" si="54"/>
        <v>Southbound</v>
      </c>
      <c r="U111" s="13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15:37:06-0600',mode:absolute,to:'2016-08-20 18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1" s="55" t="str">
        <f t="shared" si="56"/>
        <v>N</v>
      </c>
      <c r="X111" s="128">
        <f t="shared" si="51"/>
        <v>1</v>
      </c>
      <c r="Y111" s="70">
        <f t="shared" si="57"/>
        <v>23.296700000000001</v>
      </c>
      <c r="Z111" s="70">
        <f t="shared" si="58"/>
        <v>1.52E-2</v>
      </c>
      <c r="AA111" s="70">
        <f t="shared" si="59"/>
        <v>23.281500000000001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60"/>
        <v>0198-20</v>
      </c>
      <c r="AE111" s="103" t="str">
        <f t="shared" si="61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111" s="100" t="str">
        <f t="shared" si="62"/>
        <v>"C:\Program Files (x86)\AstroGrep\AstroGrep.exe" /spath="%USERPROFILE%\AppData\Local\Temp\OnboardLogs" /stypes="*4043*20160820*" /stext=" 23:.+((SYSTEM_STATE.+slice.+state.+changed )|(ment ac)|(system.+state.+changed )|(\|lc)|(penalty)|(\[timeout)|(PRM\|1\|D)|(kpr)|(kdp))" /e /r /s</v>
      </c>
      <c r="AG111" s="1" t="str">
        <f t="shared" si="63"/>
        <v>EC</v>
      </c>
      <c r="AH111" s="104" t="str">
        <f t="shared" si="48"/>
        <v>"%USERPROFILE%\Documents\GitHub\eaglep3\Utilities\RefineRTDCRunTimes.py" --tripid 198-20 --locoid 4043 --swversion DE.1.0.7.0 --startMP 204:232967 --initTime 2016-08-20T16:37:06 --startdatetime 2016-08-20T16:39:09 --delay 2 --endMP 204:152 --enddatetime 2016-08-20T17:21:52 --enforcementcount 0</v>
      </c>
    </row>
    <row r="112" spans="1:34" s="24" customFormat="1" x14ac:dyDescent="0.25">
      <c r="A112" s="40" t="s">
        <v>553</v>
      </c>
      <c r="B112" s="7">
        <v>4009</v>
      </c>
      <c r="C112" s="25" t="s">
        <v>116</v>
      </c>
      <c r="D112" s="25" t="s">
        <v>145</v>
      </c>
      <c r="E112" s="16">
        <v>42602.663078703707</v>
      </c>
      <c r="F112" s="16">
        <v>42602.664120370369</v>
      </c>
      <c r="G112" s="7">
        <v>1</v>
      </c>
      <c r="H112" s="16" t="s">
        <v>191</v>
      </c>
      <c r="I112" s="16">
        <v>42602.693287037036</v>
      </c>
      <c r="J112" s="7">
        <v>0</v>
      </c>
      <c r="K112" s="141" t="str">
        <f t="shared" si="52"/>
        <v>4009/4010</v>
      </c>
      <c r="L112" s="25" t="str">
        <f>VLOOKUP(A112,'Trips&amp;Operators'!$C$1:$E$10000,3,FALSE)</f>
        <v>WEBSTER</v>
      </c>
      <c r="M112" s="6">
        <f t="shared" si="53"/>
        <v>2.9166666667151731E-2</v>
      </c>
      <c r="N112" s="7">
        <f t="shared" si="50"/>
        <v>42.000000000698492</v>
      </c>
      <c r="O112" s="7"/>
      <c r="P112" s="7"/>
      <c r="Q112" s="26"/>
      <c r="R112" s="26"/>
      <c r="S112" s="38">
        <f t="shared" si="49"/>
        <v>1</v>
      </c>
      <c r="T112" s="53" t="str">
        <f t="shared" si="54"/>
        <v>NorthBound</v>
      </c>
      <c r="U112" s="13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14:54:50-0600',mode:absolute,to:'2016-08-20 17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2" s="55" t="str">
        <f t="shared" si="56"/>
        <v>N</v>
      </c>
      <c r="X112" s="128">
        <f t="shared" si="51"/>
        <v>1</v>
      </c>
      <c r="Y112" s="70">
        <f t="shared" si="57"/>
        <v>4.6899999999999997E-2</v>
      </c>
      <c r="Z112" s="70">
        <f t="shared" si="58"/>
        <v>23.329499999999999</v>
      </c>
      <c r="AA112" s="70">
        <f t="shared" si="59"/>
        <v>23.282599999999999</v>
      </c>
      <c r="AB112" s="67">
        <f>VLOOKUP(A112,Enforcements!$C$7:$J$24,8,0)</f>
        <v>230436</v>
      </c>
      <c r="AC112" s="63" t="str">
        <f>VLOOKUP(A112,Enforcements!$C$7:$E$24,3,0)</f>
        <v>PERMANENT SPEED RESTRICTION</v>
      </c>
      <c r="AD112" s="64" t="str">
        <f t="shared" si="60"/>
        <v>0199-20</v>
      </c>
      <c r="AE112" s="103" t="str">
        <f t="shared" si="61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12" s="100" t="str">
        <f t="shared" si="62"/>
        <v>"C:\Program Files (x86)\AstroGrep\AstroGrep.exe" /spath="%USERPROFILE%\AppData\Local\Temp\OnboardLogs" /stypes="*4009*20160820*" /stext=" 22:.+((SYSTEM_STATE.+slice.+state.+changed )|(ment ac)|(system.+state.+changed )|(\|lc)|(penalty)|(\[timeout)|(PRM\|1\|D)|(kpr)|(kdp))" /e /r /s</v>
      </c>
      <c r="AG112" s="1" t="str">
        <f t="shared" si="63"/>
        <v>EC</v>
      </c>
      <c r="AH112" s="104" t="str">
        <f t="shared" si="48"/>
        <v>"%USERPROFILE%\Documents\GitHub\eaglep3\Utilities\RefineRTDCRunTimes.py" --tripid 199-20 --locoid 4009 --swversion DE.1.0.7.0 --startMP 204:469 --initTime 2016-08-20T15:54:50 --startdatetime 2016-08-20T15:56:20 --delay 1 --endMP 204:233295 --enddatetime 2016-08-20T16:38:20 --enforcementcount 0</v>
      </c>
    </row>
    <row r="113" spans="1:34" x14ac:dyDescent="0.25">
      <c r="A113" s="40" t="s">
        <v>554</v>
      </c>
      <c r="B113" s="7">
        <v>4010</v>
      </c>
      <c r="C113" s="25" t="s">
        <v>116</v>
      </c>
      <c r="D113" s="25" t="s">
        <v>208</v>
      </c>
      <c r="E113" s="16">
        <v>42602.700115740743</v>
      </c>
      <c r="F113" s="16">
        <v>42602.700949074075</v>
      </c>
      <c r="G113" s="7">
        <v>1</v>
      </c>
      <c r="H113" s="16" t="s">
        <v>137</v>
      </c>
      <c r="I113" s="16">
        <v>42602.734074074076</v>
      </c>
      <c r="J113" s="7">
        <v>0</v>
      </c>
      <c r="K113" s="141" t="str">
        <f t="shared" si="52"/>
        <v>4009/4010</v>
      </c>
      <c r="L113" s="25" t="str">
        <f>VLOOKUP(A113,'Trips&amp;Operators'!$C$1:$E$10000,3,FALSE)</f>
        <v>WEBSTER</v>
      </c>
      <c r="M113" s="6">
        <f t="shared" si="53"/>
        <v>3.312500000174623E-2</v>
      </c>
      <c r="N113" s="7">
        <f t="shared" si="50"/>
        <v>47.700000002514571</v>
      </c>
      <c r="O113" s="7"/>
      <c r="P113" s="7"/>
      <c r="Q113" s="26"/>
      <c r="R113" s="26"/>
      <c r="S113" s="38">
        <f t="shared" si="49"/>
        <v>1</v>
      </c>
      <c r="T113" s="53" t="str">
        <f t="shared" si="54"/>
        <v>Southbound</v>
      </c>
      <c r="U113" s="13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15:48:10-0600',mode:absolute,to:'2016-08-20 18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3" s="55" t="str">
        <f t="shared" si="56"/>
        <v>N</v>
      </c>
      <c r="X113" s="128">
        <f t="shared" si="51"/>
        <v>1</v>
      </c>
      <c r="Y113" s="70">
        <f t="shared" si="57"/>
        <v>23.299099999999999</v>
      </c>
      <c r="Z113" s="70">
        <f t="shared" si="58"/>
        <v>1.47E-2</v>
      </c>
      <c r="AA113" s="70">
        <f t="shared" si="59"/>
        <v>23.284399999999998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60"/>
        <v>0200-20</v>
      </c>
      <c r="AE113" s="103" t="str">
        <f t="shared" si="61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113" s="100" t="str">
        <f t="shared" si="62"/>
        <v>"C:\Program Files (x86)\AstroGrep\AstroGrep.exe" /spath="%USERPROFILE%\AppData\Local\Temp\OnboardLogs" /stypes="*4010*20160820*" /stext=" 23:.+((SYSTEM_STATE.+slice.+state.+changed )|(ment ac)|(system.+state.+changed )|(\|lc)|(penalty)|(\[timeout)|(PRM\|1\|D)|(kpr)|(kdp))" /e /r /s</v>
      </c>
      <c r="AG113" s="1" t="str">
        <f t="shared" si="63"/>
        <v>EC</v>
      </c>
      <c r="AH113" s="104" t="str">
        <f t="shared" si="48"/>
        <v>"%USERPROFILE%\Documents\GitHub\eaglep3\Utilities\RefineRTDCRunTimes.py" --tripid 200-20 --locoid 4010 --swversion DE.1.0.7.0 --startMP 204:232991 --initTime 2016-08-20T16:48:10 --startdatetime 2016-08-20T16:49:22 --delay 1 --endMP 204:147 --enddatetime 2016-08-20T17:37:04 --enforcementcount 0</v>
      </c>
    </row>
    <row r="114" spans="1:34" x14ac:dyDescent="0.25">
      <c r="A114" s="40" t="s">
        <v>555</v>
      </c>
      <c r="B114" s="7">
        <v>4018</v>
      </c>
      <c r="C114" s="25" t="s">
        <v>116</v>
      </c>
      <c r="D114" s="25" t="s">
        <v>194</v>
      </c>
      <c r="E114" s="16">
        <v>42602.673726851855</v>
      </c>
      <c r="F114" s="16">
        <v>42602.674826388888</v>
      </c>
      <c r="G114" s="7">
        <v>1</v>
      </c>
      <c r="H114" s="16" t="s">
        <v>211</v>
      </c>
      <c r="I114" s="16">
        <v>42602.70244212963</v>
      </c>
      <c r="J114" s="7">
        <v>0</v>
      </c>
      <c r="K114" s="141" t="str">
        <f t="shared" si="52"/>
        <v>4017/4018</v>
      </c>
      <c r="L114" s="25" t="str">
        <f>VLOOKUP(A114,'Trips&amp;Operators'!$C$1:$E$10000,3,FALSE)</f>
        <v>STEWART</v>
      </c>
      <c r="M114" s="6">
        <f t="shared" si="53"/>
        <v>2.7615740742476191E-2</v>
      </c>
      <c r="N114" s="7">
        <f t="shared" si="50"/>
        <v>39.766666669165716</v>
      </c>
      <c r="O114" s="7"/>
      <c r="P114" s="7"/>
      <c r="Q114" s="26"/>
      <c r="R114" s="26"/>
      <c r="S114" s="38">
        <f t="shared" si="49"/>
        <v>1</v>
      </c>
      <c r="T114" s="53" t="str">
        <f t="shared" si="54"/>
        <v>NorthBound</v>
      </c>
      <c r="U114" s="13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15:10:10-0600',mode:absolute,to:'2016-08-20 17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4" s="55" t="str">
        <f t="shared" si="56"/>
        <v>N</v>
      </c>
      <c r="X114" s="128">
        <f t="shared" si="51"/>
        <v>1</v>
      </c>
      <c r="Y114" s="70">
        <f t="shared" si="57"/>
        <v>4.7500000000000001E-2</v>
      </c>
      <c r="Z114" s="70">
        <f t="shared" si="58"/>
        <v>23.331399999999999</v>
      </c>
      <c r="AA114" s="70">
        <f t="shared" si="59"/>
        <v>23.283899999999999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60"/>
        <v>0201-20</v>
      </c>
      <c r="AE114" s="103" t="str">
        <f t="shared" si="61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114" s="100" t="str">
        <f t="shared" si="62"/>
        <v>"C:\Program Files (x86)\AstroGrep\AstroGrep.exe" /spath="%USERPROFILE%\AppData\Local\Temp\OnboardLogs" /stypes="*4018*20160820*" /stext=" 22:.+((SYSTEM_STATE.+slice.+state.+changed )|(ment ac)|(system.+state.+changed )|(\|lc)|(penalty)|(\[timeout)|(PRM\|1\|D)|(kpr)|(kdp))" /e /r /s</v>
      </c>
      <c r="AG114" s="1" t="str">
        <f t="shared" si="63"/>
        <v>EC</v>
      </c>
      <c r="AH114" s="104" t="str">
        <f t="shared" si="48"/>
        <v>"%USERPROFILE%\Documents\GitHub\eaglep3\Utilities\RefineRTDCRunTimes.py" --tripid 201-20 --locoid 4018 --swversion DE.1.0.7.0 --startMP 204:475 --initTime 2016-08-20T16:10:10 --startdatetime 2016-08-20T16:11:45 --delay 1 --endMP 204:233314 --enddatetime 2016-08-20T16:51:31 --enforcementcount 0</v>
      </c>
    </row>
    <row r="115" spans="1:34" s="24" customFormat="1" x14ac:dyDescent="0.25">
      <c r="A115" s="40" t="s">
        <v>556</v>
      </c>
      <c r="B115" s="7">
        <v>4017</v>
      </c>
      <c r="C115" s="25" t="s">
        <v>116</v>
      </c>
      <c r="D115" s="25" t="s">
        <v>361</v>
      </c>
      <c r="E115" s="16">
        <v>42602.713518518518</v>
      </c>
      <c r="F115" s="16">
        <v>42602.71471064815</v>
      </c>
      <c r="G115" s="7">
        <v>1</v>
      </c>
      <c r="H115" s="16" t="s">
        <v>391</v>
      </c>
      <c r="I115" s="16">
        <v>42602.743449074071</v>
      </c>
      <c r="J115" s="7">
        <v>0</v>
      </c>
      <c r="K115" s="141" t="str">
        <f t="shared" si="52"/>
        <v>4017/4018</v>
      </c>
      <c r="L115" s="25" t="str">
        <f>VLOOKUP(A115,'Trips&amp;Operators'!$C$1:$E$10000,3,FALSE)</f>
        <v>STEWART</v>
      </c>
      <c r="M115" s="6">
        <f t="shared" si="53"/>
        <v>2.8738425920892041E-2</v>
      </c>
      <c r="N115" s="7">
        <f t="shared" si="50"/>
        <v>41.383333326084539</v>
      </c>
      <c r="O115" s="7"/>
      <c r="P115" s="7"/>
      <c r="Q115" s="26"/>
      <c r="R115" s="26"/>
      <c r="S115" s="38">
        <f t="shared" si="49"/>
        <v>1</v>
      </c>
      <c r="T115" s="53" t="str">
        <f t="shared" si="54"/>
        <v>Southbound</v>
      </c>
      <c r="U115" s="13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16:07:28-0600',mode:absolute,to:'2016-08-20 18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5" s="55" t="str">
        <f t="shared" si="56"/>
        <v>N</v>
      </c>
      <c r="X115" s="128">
        <f t="shared" si="51"/>
        <v>1</v>
      </c>
      <c r="Y115" s="70">
        <f t="shared" si="57"/>
        <v>23.299600000000002</v>
      </c>
      <c r="Z115" s="70">
        <f t="shared" si="58"/>
        <v>1.6299999999999999E-2</v>
      </c>
      <c r="AA115" s="70">
        <f t="shared" si="59"/>
        <v>23.283300000000001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60"/>
        <v>0202-20</v>
      </c>
      <c r="AE115" s="103" t="str">
        <f t="shared" si="61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115" s="100" t="str">
        <f t="shared" si="62"/>
        <v>"C:\Program Files (x86)\AstroGrep\AstroGrep.exe" /spath="%USERPROFILE%\AppData\Local\Temp\OnboardLogs" /stypes="*4017*20160820*" /stext=" 23:.+((SYSTEM_STATE.+slice.+state.+changed )|(ment ac)|(system.+state.+changed )|(\|lc)|(penalty)|(\[timeout)|(PRM\|1\|D)|(kpr)|(kdp))" /e /r /s</v>
      </c>
      <c r="AG115" s="1" t="str">
        <f t="shared" si="63"/>
        <v>EC</v>
      </c>
      <c r="AH115" s="104" t="str">
        <f t="shared" si="48"/>
        <v>"%USERPROFILE%\Documents\GitHub\eaglep3\Utilities\RefineRTDCRunTimes.py" --tripid 202-20 --locoid 4017 --swversion DE.1.0.7.0 --startMP 204:232996 --initTime 2016-08-20T17:07:28 --startdatetime 2016-08-20T17:09:11 --delay 1 --endMP 204:163 --enddatetime 2016-08-20T17:50:34 --enforcementcount 0</v>
      </c>
    </row>
    <row r="116" spans="1:34" x14ac:dyDescent="0.25">
      <c r="A116" s="40" t="s">
        <v>557</v>
      </c>
      <c r="B116" s="7">
        <v>4031</v>
      </c>
      <c r="C116" s="25" t="s">
        <v>116</v>
      </c>
      <c r="D116" s="25" t="s">
        <v>158</v>
      </c>
      <c r="E116" s="16">
        <v>42602.682962962965</v>
      </c>
      <c r="F116" s="16">
        <v>42602.683877314812</v>
      </c>
      <c r="G116" s="7">
        <v>1</v>
      </c>
      <c r="H116" s="16" t="s">
        <v>558</v>
      </c>
      <c r="I116" s="16">
        <v>42602.713368055556</v>
      </c>
      <c r="J116" s="7">
        <v>0</v>
      </c>
      <c r="K116" s="141" t="str">
        <f t="shared" si="52"/>
        <v>4031/4032</v>
      </c>
      <c r="L116" s="25" t="str">
        <f>VLOOKUP(A116,'Trips&amp;Operators'!$C$1:$E$10000,3,FALSE)</f>
        <v>BARTLETT</v>
      </c>
      <c r="M116" s="6">
        <f t="shared" si="53"/>
        <v>2.9490740744222421E-2</v>
      </c>
      <c r="N116" s="7">
        <f t="shared" si="50"/>
        <v>42.466666671680287</v>
      </c>
      <c r="O116" s="7"/>
      <c r="P116" s="7"/>
      <c r="Q116" s="26"/>
      <c r="R116" s="26"/>
      <c r="S116" s="38">
        <f t="shared" si="49"/>
        <v>1</v>
      </c>
      <c r="T116" s="53" t="str">
        <f t="shared" si="54"/>
        <v>NorthBound</v>
      </c>
      <c r="U116" s="13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15:23:28-0600',mode:absolute,to:'2016-08-20 18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6" s="55" t="str">
        <f t="shared" si="56"/>
        <v>N</v>
      </c>
      <c r="X116" s="128">
        <f t="shared" si="51"/>
        <v>1</v>
      </c>
      <c r="Y116" s="70">
        <f t="shared" si="57"/>
        <v>4.4200000000000003E-2</v>
      </c>
      <c r="Z116" s="70">
        <f t="shared" si="58"/>
        <v>23.332100000000001</v>
      </c>
      <c r="AA116" s="70">
        <f t="shared" si="59"/>
        <v>23.2879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60"/>
        <v>0203-20</v>
      </c>
      <c r="AE116" s="103" t="str">
        <f t="shared" si="61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116" s="100" t="str">
        <f t="shared" si="62"/>
        <v>"C:\Program Files (x86)\AstroGrep\AstroGrep.exe" /spath="%USERPROFILE%\AppData\Local\Temp\OnboardLogs" /stypes="*4031*20160820*" /stext=" 23:.+((SYSTEM_STATE.+slice.+state.+changed )|(ment ac)|(system.+state.+changed )|(\|lc)|(penalty)|(\[timeout)|(PRM\|1\|D)|(kpr)|(kdp))" /e /r /s</v>
      </c>
      <c r="AG116" s="1" t="str">
        <f t="shared" si="63"/>
        <v>EC</v>
      </c>
      <c r="AH116" s="104" t="str">
        <f t="shared" si="48"/>
        <v>"%USERPROFILE%\Documents\GitHub\eaglep3\Utilities\RefineRTDCRunTimes.py" --tripid 203-20 --locoid 4031 --swversion DE.1.0.7.0 --startMP 204:442 --initTime 2016-08-20T16:23:28 --startdatetime 2016-08-20T16:24:47 --delay 1 --endMP 204:233321 --enddatetime 2016-08-20T17:07:15 --enforcementcount 0</v>
      </c>
    </row>
    <row r="117" spans="1:34" x14ac:dyDescent="0.25">
      <c r="A117" s="40" t="s">
        <v>559</v>
      </c>
      <c r="B117" s="7">
        <v>4032</v>
      </c>
      <c r="C117" s="25" t="s">
        <v>116</v>
      </c>
      <c r="D117" s="25" t="s">
        <v>542</v>
      </c>
      <c r="E117" s="16">
        <v>42602.715798611112</v>
      </c>
      <c r="F117" s="16">
        <v>42602.716585648152</v>
      </c>
      <c r="G117" s="7">
        <v>1</v>
      </c>
      <c r="H117" s="16" t="s">
        <v>238</v>
      </c>
      <c r="I117" s="16">
        <v>42602.754872685182</v>
      </c>
      <c r="J117" s="7">
        <v>0</v>
      </c>
      <c r="K117" s="141" t="str">
        <f t="shared" si="52"/>
        <v>4031/4032</v>
      </c>
      <c r="L117" s="25" t="str">
        <f>VLOOKUP(A117,'Trips&amp;Operators'!$C$1:$E$10000,3,FALSE)</f>
        <v>BARTLETT</v>
      </c>
      <c r="M117" s="6">
        <f t="shared" si="53"/>
        <v>3.8287037030386273E-2</v>
      </c>
      <c r="N117" s="7">
        <f t="shared" si="50"/>
        <v>55.133333323756233</v>
      </c>
      <c r="O117" s="7"/>
      <c r="P117" s="7"/>
      <c r="Q117" s="26"/>
      <c r="R117" s="26"/>
      <c r="S117" s="38">
        <f t="shared" si="49"/>
        <v>1</v>
      </c>
      <c r="T117" s="53" t="str">
        <f t="shared" si="54"/>
        <v>Southbound</v>
      </c>
      <c r="U117" s="13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16:10:45-0600',mode:absolute,to:'2016-08-20 19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17" s="55" t="str">
        <f t="shared" si="56"/>
        <v>N</v>
      </c>
      <c r="X117" s="128">
        <f t="shared" si="51"/>
        <v>1</v>
      </c>
      <c r="Y117" s="70">
        <f t="shared" si="57"/>
        <v>23.302700000000002</v>
      </c>
      <c r="Z117" s="70">
        <f t="shared" si="58"/>
        <v>1.6E-2</v>
      </c>
      <c r="AA117" s="70">
        <f t="shared" si="59"/>
        <v>23.286700000000003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60"/>
        <v>0204-20</v>
      </c>
      <c r="AE117" s="103" t="str">
        <f t="shared" si="61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117" s="100" t="str">
        <f t="shared" si="62"/>
        <v>"C:\Program Files (x86)\AstroGrep\AstroGrep.exe" /spath="%USERPROFILE%\AppData\Local\Temp\OnboardLogs" /stypes="*4032*20160821*" /stext=" 00:.+((SYSTEM_STATE.+slice.+state.+changed )|(ment ac)|(system.+state.+changed )|(\|lc)|(penalty)|(\[timeout)|(PRM\|1\|D)|(kpr)|(kdp))" /e /r /s</v>
      </c>
      <c r="AG117" s="1" t="str">
        <f t="shared" si="63"/>
        <v>EC</v>
      </c>
      <c r="AH117" s="104" t="str">
        <f t="shared" si="48"/>
        <v>"%USERPROFILE%\Documents\GitHub\eaglep3\Utilities\RefineRTDCRunTimes.py" --tripid 204-20 --locoid 4032 --swversion DE.1.0.7.0 --startMP 204:233027 --initTime 2016-08-20T17:10:45 --startdatetime 2016-08-20T17:11:53 --delay 1 --endMP 204:160 --enddatetime 2016-08-20T18:07:01 --enforcementcount 0</v>
      </c>
    </row>
    <row r="118" spans="1:34" x14ac:dyDescent="0.25">
      <c r="A118" s="40" t="s">
        <v>560</v>
      </c>
      <c r="B118" s="7">
        <v>4007</v>
      </c>
      <c r="C118" s="25" t="s">
        <v>116</v>
      </c>
      <c r="D118" s="25" t="s">
        <v>375</v>
      </c>
      <c r="E118" s="16">
        <v>42602.694606481484</v>
      </c>
      <c r="F118" s="16">
        <v>42602.695821759262</v>
      </c>
      <c r="G118" s="7">
        <v>1</v>
      </c>
      <c r="H118" s="16" t="s">
        <v>561</v>
      </c>
      <c r="I118" s="16">
        <v>42602.723981481482</v>
      </c>
      <c r="J118" s="7">
        <v>0</v>
      </c>
      <c r="K118" s="141" t="str">
        <f t="shared" si="52"/>
        <v>4007/4008</v>
      </c>
      <c r="L118" s="25" t="str">
        <f>VLOOKUP(A118,'Trips&amp;Operators'!$C$1:$E$10000,3,FALSE)</f>
        <v>MOSES</v>
      </c>
      <c r="M118" s="6">
        <f t="shared" si="53"/>
        <v>2.8159722220152617E-2</v>
      </c>
      <c r="N118" s="7">
        <f t="shared" si="50"/>
        <v>40.549999997019768</v>
      </c>
      <c r="O118" s="7"/>
      <c r="P118" s="7"/>
      <c r="Q118" s="26"/>
      <c r="R118" s="26"/>
      <c r="S118" s="38">
        <f t="shared" si="49"/>
        <v>1</v>
      </c>
      <c r="T118" s="53" t="str">
        <f t="shared" si="54"/>
        <v>NorthBound</v>
      </c>
      <c r="U118" s="13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15:40:14-0600',mode:absolute,to:'2016-08-20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8" s="55" t="str">
        <f t="shared" si="56"/>
        <v>N</v>
      </c>
      <c r="X118" s="128">
        <f t="shared" si="51"/>
        <v>1</v>
      </c>
      <c r="Y118" s="70">
        <f t="shared" si="57"/>
        <v>4.3999999999999997E-2</v>
      </c>
      <c r="Z118" s="70">
        <f t="shared" si="58"/>
        <v>23.337599999999998</v>
      </c>
      <c r="AA118" s="70">
        <f t="shared" si="59"/>
        <v>23.293599999999998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60"/>
        <v>0205-20</v>
      </c>
      <c r="AE118" s="103" t="str">
        <f t="shared" si="61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118" s="100" t="str">
        <f t="shared" si="62"/>
        <v>"C:\Program Files (x86)\AstroGrep\AstroGrep.exe" /spath="%USERPROFILE%\AppData\Local\Temp\OnboardLogs" /stypes="*4007*20160820*" /stext=" 23:.+((SYSTEM_STATE.+slice.+state.+changed )|(ment ac)|(system.+state.+changed )|(\|lc)|(penalty)|(\[timeout)|(PRM\|1\|D)|(kpr)|(kdp))" /e /r /s</v>
      </c>
      <c r="AG118" s="1" t="str">
        <f t="shared" si="63"/>
        <v>EC</v>
      </c>
      <c r="AH118" s="104" t="str">
        <f t="shared" si="48"/>
        <v>"%USERPROFILE%\Documents\GitHub\eaglep3\Utilities\RefineRTDCRunTimes.py" --tripid 205-20 --locoid 4007 --swversion DE.1.0.7.0 --startMP 204:440 --initTime 2016-08-20T16:40:14 --startdatetime 2016-08-20T16:41:59 --delay 1 --endMP 204:233376 --enddatetime 2016-08-20T17:22:32 --enforcementcount 0</v>
      </c>
    </row>
    <row r="119" spans="1:34" x14ac:dyDescent="0.25">
      <c r="A119" s="40" t="s">
        <v>562</v>
      </c>
      <c r="B119" s="7">
        <v>4008</v>
      </c>
      <c r="C119" s="25" t="s">
        <v>116</v>
      </c>
      <c r="D119" s="25" t="s">
        <v>563</v>
      </c>
      <c r="E119" s="16">
        <v>42602.735046296293</v>
      </c>
      <c r="F119" s="16">
        <v>42602.735706018517</v>
      </c>
      <c r="G119" s="7">
        <v>0</v>
      </c>
      <c r="H119" s="16" t="s">
        <v>222</v>
      </c>
      <c r="I119" s="16">
        <v>42602.767094907409</v>
      </c>
      <c r="J119" s="7">
        <v>0</v>
      </c>
      <c r="K119" s="141" t="str">
        <f t="shared" si="52"/>
        <v>4007/4008</v>
      </c>
      <c r="L119" s="25" t="str">
        <f>VLOOKUP(A119,'Trips&amp;Operators'!$C$1:$E$10000,3,FALSE)</f>
        <v>MOSES</v>
      </c>
      <c r="M119" s="6">
        <f t="shared" si="53"/>
        <v>3.1388888892251998E-2</v>
      </c>
      <c r="N119" s="7">
        <f t="shared" si="50"/>
        <v>45.200000004842877</v>
      </c>
      <c r="O119" s="7"/>
      <c r="P119" s="7"/>
      <c r="Q119" s="26"/>
      <c r="R119" s="26"/>
      <c r="S119" s="38">
        <f t="shared" si="49"/>
        <v>1</v>
      </c>
      <c r="T119" s="53" t="str">
        <f t="shared" si="54"/>
        <v>Southbound</v>
      </c>
      <c r="U119" s="13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16:38:28-0600',mode:absolute,to:'2016-08-20 19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9" s="55" t="str">
        <f t="shared" si="56"/>
        <v>N</v>
      </c>
      <c r="X119" s="128">
        <f t="shared" si="51"/>
        <v>1</v>
      </c>
      <c r="Y119" s="70">
        <f t="shared" si="57"/>
        <v>23.302600000000002</v>
      </c>
      <c r="Z119" s="70">
        <f t="shared" si="58"/>
        <v>1.38E-2</v>
      </c>
      <c r="AA119" s="70">
        <f t="shared" si="59"/>
        <v>23.288800000000002</v>
      </c>
      <c r="AB119" s="67">
        <f>VLOOKUP(A119,Enforcements!$C$7:$J$24,8,0)</f>
        <v>48048</v>
      </c>
      <c r="AC119" s="63" t="str">
        <f>VLOOKUP(A119,Enforcements!$C$7:$E$24,3,0)</f>
        <v>GRADE CROSSING</v>
      </c>
      <c r="AD119" s="64" t="str">
        <f t="shared" si="60"/>
        <v>0206-20</v>
      </c>
      <c r="AE119" s="103" t="str">
        <f t="shared" si="61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119" s="100" t="str">
        <f t="shared" si="62"/>
        <v>"C:\Program Files (x86)\AstroGrep\AstroGrep.exe" /spath="%USERPROFILE%\AppData\Local\Temp\OnboardLogs" /stypes="*4008*20160821*" /stext=" 00:.+((SYSTEM_STATE.+slice.+state.+changed )|(ment ac)|(system.+state.+changed )|(\|lc)|(penalty)|(\[timeout)|(PRM\|1\|D)|(kpr)|(kdp))" /e /r /s</v>
      </c>
      <c r="AG119" s="1" t="str">
        <f t="shared" si="63"/>
        <v>EC</v>
      </c>
      <c r="AH119" s="104" t="str">
        <f t="shared" si="48"/>
        <v>"%USERPROFILE%\Documents\GitHub\eaglep3\Utilities\RefineRTDCRunTimes.py" --tripid 206-20 --locoid 4008 --swversion DE.1.0.7.0 --startMP 204:233026 --initTime 2016-08-20T17:38:28 --startdatetime 2016-08-20T17:39:25 --delay 0 --endMP 204:138 --enddatetime 2016-08-20T18:24:37 --enforcementcount 0</v>
      </c>
    </row>
    <row r="120" spans="1:34" x14ac:dyDescent="0.25">
      <c r="A120" s="40" t="s">
        <v>564</v>
      </c>
      <c r="B120" s="7">
        <v>4003</v>
      </c>
      <c r="C120" s="25" t="s">
        <v>116</v>
      </c>
      <c r="D120" s="25" t="s">
        <v>331</v>
      </c>
      <c r="E120" s="16">
        <v>42602.703634259262</v>
      </c>
      <c r="F120" s="16">
        <v>42602.704652777778</v>
      </c>
      <c r="G120" s="7">
        <v>1</v>
      </c>
      <c r="H120" s="16" t="s">
        <v>565</v>
      </c>
      <c r="I120" s="16">
        <v>42602.734583333331</v>
      </c>
      <c r="J120" s="7">
        <v>0</v>
      </c>
      <c r="K120" s="141" t="str">
        <f t="shared" si="52"/>
        <v>4003/4004</v>
      </c>
      <c r="L120" s="25" t="str">
        <f>VLOOKUP(A120,'Trips&amp;Operators'!$C$1:$E$10000,3,FALSE)</f>
        <v>SHOOK</v>
      </c>
      <c r="M120" s="6">
        <f t="shared" si="53"/>
        <v>2.9930555552709848E-2</v>
      </c>
      <c r="N120" s="7">
        <f t="shared" si="50"/>
        <v>43.099999995902181</v>
      </c>
      <c r="O120" s="7"/>
      <c r="P120" s="7"/>
      <c r="Q120" s="26"/>
      <c r="R120" s="26"/>
      <c r="S120" s="38">
        <f t="shared" si="49"/>
        <v>1</v>
      </c>
      <c r="T120" s="53" t="str">
        <f t="shared" si="54"/>
        <v>NorthBound</v>
      </c>
      <c r="U120" s="13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15:53:14-0600',mode:absolute,to:'2016-08-20 18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20" s="55" t="str">
        <f t="shared" si="56"/>
        <v>N</v>
      </c>
      <c r="X120" s="128">
        <f t="shared" si="51"/>
        <v>1</v>
      </c>
      <c r="Y120" s="70">
        <f t="shared" si="57"/>
        <v>4.5999999999999999E-2</v>
      </c>
      <c r="Z120" s="70">
        <f t="shared" si="58"/>
        <v>23.3383</v>
      </c>
      <c r="AA120" s="70">
        <f t="shared" si="59"/>
        <v>23.292300000000001</v>
      </c>
      <c r="AB120" s="67">
        <f>VLOOKUP(A120,Enforcements!$C$7:$J$24,8,0)</f>
        <v>17867</v>
      </c>
      <c r="AC120" s="63" t="str">
        <f>VLOOKUP(A120,Enforcements!$C$7:$E$24,3,0)</f>
        <v>PERMANENT SPEED RESTRICTION</v>
      </c>
      <c r="AD120" s="64" t="str">
        <f t="shared" si="60"/>
        <v>0207-20</v>
      </c>
      <c r="AE120" s="103" t="str">
        <f t="shared" si="61"/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AF120" s="100" t="str">
        <f t="shared" si="62"/>
        <v>"C:\Program Files (x86)\AstroGrep\AstroGrep.exe" /spath="%USERPROFILE%\AppData\Local\Temp\OnboardLogs" /stypes="*4003*20160820*" /stext=" 23:.+((SYSTEM_STATE.+slice.+state.+changed )|(ment ac)|(system.+state.+changed )|(\|lc)|(penalty)|(\[timeout)|(PRM\|1\|D)|(kpr)|(kdp))" /e /r /s</v>
      </c>
      <c r="AG120" s="1" t="str">
        <f t="shared" si="63"/>
        <v>EC</v>
      </c>
      <c r="AH120" s="104" t="str">
        <f t="shared" si="48"/>
        <v>"%USERPROFILE%\Documents\GitHub\eaglep3\Utilities\RefineRTDCRunTimes.py" --tripid 207-20 --locoid 4003 --swversion DE.1.0.7.0 --startMP 204:460 --initTime 2016-08-20T16:53:14 --startdatetime 2016-08-20T16:54:42 --delay 1 --endMP 204:233383 --enddatetime 2016-08-20T17:37:48 --enforcementcount 0</v>
      </c>
    </row>
    <row r="121" spans="1:34" s="24" customFormat="1" x14ac:dyDescent="0.25">
      <c r="A121" s="40" t="s">
        <v>566</v>
      </c>
      <c r="B121" s="7">
        <v>4004</v>
      </c>
      <c r="C121" s="25" t="s">
        <v>116</v>
      </c>
      <c r="D121" s="25" t="s">
        <v>567</v>
      </c>
      <c r="E121" s="16">
        <v>42602.742442129631</v>
      </c>
      <c r="F121" s="16">
        <v>42602.743425925924</v>
      </c>
      <c r="G121" s="7">
        <v>1</v>
      </c>
      <c r="H121" s="16" t="s">
        <v>238</v>
      </c>
      <c r="I121" s="16">
        <v>42602.774421296293</v>
      </c>
      <c r="J121" s="7">
        <v>0</v>
      </c>
      <c r="K121" s="141" t="str">
        <f t="shared" si="52"/>
        <v>4003/4004</v>
      </c>
      <c r="L121" s="25" t="str">
        <f>VLOOKUP(A121,'Trips&amp;Operators'!$C$1:$E$10000,3,FALSE)</f>
        <v>SHOOK</v>
      </c>
      <c r="M121" s="6">
        <f t="shared" si="53"/>
        <v>3.0995370369055308E-2</v>
      </c>
      <c r="N121" s="7">
        <f t="shared" si="50"/>
        <v>44.633333331439644</v>
      </c>
      <c r="O121" s="7"/>
      <c r="P121" s="7"/>
      <c r="Q121" s="26"/>
      <c r="R121" s="26"/>
      <c r="S121" s="38">
        <f t="shared" si="49"/>
        <v>1</v>
      </c>
      <c r="T121" s="53" t="str">
        <f t="shared" si="54"/>
        <v>Southbound</v>
      </c>
      <c r="U121" s="13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16:49:07-0600',mode:absolute,to:'2016-08-20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21" s="55" t="str">
        <f t="shared" si="56"/>
        <v>N</v>
      </c>
      <c r="X121" s="128">
        <f t="shared" si="51"/>
        <v>1</v>
      </c>
      <c r="Y121" s="70">
        <f t="shared" si="57"/>
        <v>23.306999999999999</v>
      </c>
      <c r="Z121" s="70">
        <f t="shared" si="58"/>
        <v>1.6E-2</v>
      </c>
      <c r="AA121" s="70">
        <f t="shared" si="59"/>
        <v>23.291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60"/>
        <v>0208-20</v>
      </c>
      <c r="AE121" s="103" t="str">
        <f t="shared" si="61"/>
        <v>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 &amp; 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</v>
      </c>
      <c r="AF121" s="100" t="str">
        <f t="shared" si="62"/>
        <v>"C:\Program Files (x86)\AstroGrep\AstroGrep.exe" /spath="%USERPROFILE%\AppData\Local\Temp\OnboardLogs" /stypes="*4004*20160821*" /stext=" 00:.+((SYSTEM_STATE.+slice.+state.+changed )|(ment ac)|(system.+state.+changed )|(\|lc)|(penalty)|(\[timeout)|(PRM\|1\|D)|(kpr)|(kdp))" /e /r /s</v>
      </c>
      <c r="AG121" s="1" t="str">
        <f t="shared" si="63"/>
        <v>EC</v>
      </c>
      <c r="AH121" s="104" t="str">
        <f t="shared" si="48"/>
        <v>"%USERPROFILE%\Documents\GitHub\eaglep3\Utilities\RefineRTDCRunTimes.py" --tripid 208-20 --locoid 4004 --swversion DE.1.0.7.0 --startMP 204:233070 --initTime 2016-08-20T17:49:07 --startdatetime 2016-08-20T17:50:32 --delay 1 --endMP 204:160 --enddatetime 2016-08-20T18:35:10 --enforcementcount 0</v>
      </c>
    </row>
    <row r="122" spans="1:34" x14ac:dyDescent="0.25">
      <c r="A122" s="40" t="s">
        <v>568</v>
      </c>
      <c r="B122" s="7">
        <v>4027</v>
      </c>
      <c r="C122" s="25" t="s">
        <v>116</v>
      </c>
      <c r="D122" s="25" t="s">
        <v>138</v>
      </c>
      <c r="E122" s="16">
        <v>42602.713842592595</v>
      </c>
      <c r="F122" s="16">
        <v>42602.71497685185</v>
      </c>
      <c r="G122" s="7">
        <v>1</v>
      </c>
      <c r="H122" s="16" t="s">
        <v>569</v>
      </c>
      <c r="I122" s="16">
        <v>42602.743622685186</v>
      </c>
      <c r="J122" s="7">
        <v>0</v>
      </c>
      <c r="K122" s="141" t="str">
        <f t="shared" si="52"/>
        <v>4027/4028</v>
      </c>
      <c r="L122" s="25" t="str">
        <f>VLOOKUP(A122,'Trips&amp;Operators'!$C$1:$E$10000,3,FALSE)</f>
        <v>BRUDER</v>
      </c>
      <c r="M122" s="6">
        <f t="shared" si="53"/>
        <v>2.8645833335758653E-2</v>
      </c>
      <c r="N122" s="7">
        <f t="shared" si="50"/>
        <v>41.25000000349246</v>
      </c>
      <c r="O122" s="7"/>
      <c r="P122" s="7"/>
      <c r="Q122" s="26"/>
      <c r="R122" s="26"/>
      <c r="S122" s="38">
        <f t="shared" si="49"/>
        <v>1</v>
      </c>
      <c r="T122" s="53" t="str">
        <f t="shared" si="54"/>
        <v>NorthBound</v>
      </c>
      <c r="U122" s="13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16:07:56-0600',mode:absolute,to:'2016-08-20 18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2" s="55" t="str">
        <f t="shared" si="56"/>
        <v>N</v>
      </c>
      <c r="X122" s="128">
        <f t="shared" si="51"/>
        <v>1</v>
      </c>
      <c r="Y122" s="70">
        <f t="shared" si="57"/>
        <v>4.53E-2</v>
      </c>
      <c r="Z122" s="70">
        <f t="shared" si="58"/>
        <v>23.328199999999999</v>
      </c>
      <c r="AA122" s="70">
        <f t="shared" si="59"/>
        <v>23.282899999999998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60"/>
        <v>0209-20</v>
      </c>
      <c r="AE122" s="103" t="str">
        <f t="shared" si="61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122" s="100" t="str">
        <f t="shared" si="62"/>
        <v>"C:\Program Files (x86)\AstroGrep\AstroGrep.exe" /spath="%USERPROFILE%\AppData\Local\Temp\OnboardLogs" /stypes="*4027*20160820*" /stext=" 23:.+((SYSTEM_STATE.+slice.+state.+changed )|(ment ac)|(system.+state.+changed )|(\|lc)|(penalty)|(\[timeout)|(PRM\|1\|D)|(kpr)|(kdp))" /e /r /s</v>
      </c>
      <c r="AG122" s="1" t="str">
        <f t="shared" si="63"/>
        <v>EC</v>
      </c>
      <c r="AH122" s="104" t="str">
        <f t="shared" si="48"/>
        <v>"%USERPROFILE%\Documents\GitHub\eaglep3\Utilities\RefineRTDCRunTimes.py" --tripid 209-20 --locoid 4027 --swversion DE.1.0.7.0 --startMP 204:453 --initTime 2016-08-20T17:07:56 --startdatetime 2016-08-20T17:09:34 --delay 1 --endMP 204:233282 --enddatetime 2016-08-20T17:50:49 --enforcementcount 0</v>
      </c>
    </row>
    <row r="123" spans="1:34" s="24" customFormat="1" x14ac:dyDescent="0.25">
      <c r="A123" s="40" t="s">
        <v>570</v>
      </c>
      <c r="B123" s="7">
        <v>4028</v>
      </c>
      <c r="C123" s="25" t="s">
        <v>116</v>
      </c>
      <c r="D123" s="25" t="s">
        <v>210</v>
      </c>
      <c r="E123" s="16">
        <v>42602.753379629627</v>
      </c>
      <c r="F123" s="16">
        <v>42602.754062499997</v>
      </c>
      <c r="G123" s="7">
        <v>0</v>
      </c>
      <c r="H123" s="16" t="s">
        <v>91</v>
      </c>
      <c r="I123" s="16">
        <v>42602.788634259261</v>
      </c>
      <c r="J123" s="7">
        <v>0</v>
      </c>
      <c r="K123" s="141" t="str">
        <f t="shared" si="52"/>
        <v>4027/4028</v>
      </c>
      <c r="L123" s="25" t="str">
        <f>VLOOKUP(A123,'Trips&amp;Operators'!$C$1:$E$10000,3,FALSE)</f>
        <v>BRUDER</v>
      </c>
      <c r="M123" s="6">
        <f t="shared" si="53"/>
        <v>3.4571759264508728E-2</v>
      </c>
      <c r="N123" s="7">
        <f t="shared" si="50"/>
        <v>49.783333340892568</v>
      </c>
      <c r="O123" s="7"/>
      <c r="P123" s="7"/>
      <c r="Q123" s="26"/>
      <c r="R123" s="26"/>
      <c r="S123" s="38">
        <f t="shared" si="49"/>
        <v>1</v>
      </c>
      <c r="T123" s="53" t="str">
        <f t="shared" si="54"/>
        <v>Southbound</v>
      </c>
      <c r="U123" s="13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17:04:52-0600',mode:absolute,to:'2016-08-20 19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3" s="55" t="str">
        <f t="shared" si="56"/>
        <v>N</v>
      </c>
      <c r="X123" s="128">
        <f t="shared" si="51"/>
        <v>1</v>
      </c>
      <c r="Y123" s="70">
        <f t="shared" si="57"/>
        <v>23.2973</v>
      </c>
      <c r="Z123" s="70">
        <f t="shared" si="58"/>
        <v>1.43E-2</v>
      </c>
      <c r="AA123" s="70">
        <f t="shared" si="59"/>
        <v>23.283000000000001</v>
      </c>
      <c r="AB123" s="67">
        <f>VLOOKUP(A123,Enforcements!$C$7:$J$24,8,0)</f>
        <v>58301</v>
      </c>
      <c r="AC123" s="63" t="str">
        <f>VLOOKUP(A123,Enforcements!$C$7:$E$24,3,0)</f>
        <v>GRADE CROSSING</v>
      </c>
      <c r="AD123" s="64" t="str">
        <f t="shared" si="60"/>
        <v>0210-20</v>
      </c>
      <c r="AE123" s="103" t="str">
        <f t="shared" si="61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123" s="100" t="str">
        <f t="shared" si="62"/>
        <v>"C:\Program Files (x86)\AstroGrep\AstroGrep.exe" /spath="%USERPROFILE%\AppData\Local\Temp\OnboardLogs" /stypes="*4028*20160821*" /stext=" 00:.+((SYSTEM_STATE.+slice.+state.+changed )|(ment ac)|(system.+state.+changed )|(\|lc)|(penalty)|(\[timeout)|(PRM\|1\|D)|(kpr)|(kdp))" /e /r /s</v>
      </c>
      <c r="AG123" s="1" t="str">
        <f t="shared" si="63"/>
        <v>EC</v>
      </c>
      <c r="AH123" s="104" t="str">
        <f t="shared" si="48"/>
        <v>"%USERPROFILE%\Documents\GitHub\eaglep3\Utilities\RefineRTDCRunTimes.py" --tripid 210-20 --locoid 4028 --swversion DE.1.0.7.0 --startMP 204:232973 --initTime 2016-08-20T18:04:52 --startdatetime 2016-08-20T18:05:51 --delay 0 --endMP 204:143 --enddatetime 2016-08-20T18:55:38 --enforcementcount 0</v>
      </c>
    </row>
    <row r="124" spans="1:34" x14ac:dyDescent="0.25">
      <c r="A124" s="40" t="s">
        <v>571</v>
      </c>
      <c r="B124" s="7">
        <v>4044</v>
      </c>
      <c r="C124" s="25" t="s">
        <v>116</v>
      </c>
      <c r="D124" s="25" t="s">
        <v>138</v>
      </c>
      <c r="E124" s="16">
        <v>42602.724907407406</v>
      </c>
      <c r="F124" s="16">
        <v>42602.729062500002</v>
      </c>
      <c r="G124" s="7">
        <v>5</v>
      </c>
      <c r="H124" s="16" t="s">
        <v>572</v>
      </c>
      <c r="I124" s="16">
        <v>42602.754895833335</v>
      </c>
      <c r="J124" s="7">
        <v>0</v>
      </c>
      <c r="K124" s="141" t="str">
        <f t="shared" si="52"/>
        <v>4043/4044</v>
      </c>
      <c r="L124" s="25" t="str">
        <f>VLOOKUP(A124,'Trips&amp;Operators'!$C$1:$E$10000,3,FALSE)</f>
        <v>MAYBERRY</v>
      </c>
      <c r="M124" s="6">
        <f t="shared" si="53"/>
        <v>2.5833333333139308E-2</v>
      </c>
      <c r="N124" s="7">
        <f t="shared" si="50"/>
        <v>37.199999999720603</v>
      </c>
      <c r="O124" s="7"/>
      <c r="P124" s="7"/>
      <c r="Q124" s="26"/>
      <c r="R124" s="26"/>
      <c r="S124" s="38">
        <f t="shared" si="49"/>
        <v>1</v>
      </c>
      <c r="T124" s="53" t="str">
        <f t="shared" si="54"/>
        <v>NorthBound</v>
      </c>
      <c r="U124" s="13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16:23:52-0600',mode:absolute,to:'2016-08-20 19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4" s="55" t="str">
        <f t="shared" si="56"/>
        <v>N</v>
      </c>
      <c r="X124" s="128">
        <f t="shared" si="51"/>
        <v>1</v>
      </c>
      <c r="Y124" s="70">
        <f t="shared" si="57"/>
        <v>4.53E-2</v>
      </c>
      <c r="Z124" s="70">
        <f t="shared" si="58"/>
        <v>23.328299999999999</v>
      </c>
      <c r="AA124" s="70">
        <f t="shared" si="59"/>
        <v>23.282999999999998</v>
      </c>
      <c r="AB124" s="67">
        <f>VLOOKUP(A124,Enforcements!$C$7:$J$24,8,0)</f>
        <v>81738</v>
      </c>
      <c r="AC124" s="63" t="str">
        <f>VLOOKUP(A124,Enforcements!$C$7:$E$24,3,0)</f>
        <v>SIGNAL</v>
      </c>
      <c r="AD124" s="64" t="str">
        <f t="shared" si="60"/>
        <v>0211-20</v>
      </c>
      <c r="AE124" s="103" t="str">
        <f t="shared" si="61"/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AF124" s="100" t="str">
        <f t="shared" si="62"/>
        <v>"C:\Program Files (x86)\AstroGrep\AstroGrep.exe" /spath="%USERPROFILE%\AppData\Local\Temp\OnboardLogs" /stypes="*4044*20160821*" /stext=" 00:.+((SYSTEM_STATE.+slice.+state.+changed )|(ment ac)|(system.+state.+changed )|(\|lc)|(penalty)|(\[timeout)|(PRM\|1\|D)|(kpr)|(kdp))" /e /r /s</v>
      </c>
      <c r="AG124" s="1" t="str">
        <f t="shared" si="63"/>
        <v>EC</v>
      </c>
      <c r="AH124" s="104" t="str">
        <f t="shared" si="48"/>
        <v>"%USERPROFILE%\Documents\GitHub\eaglep3\Utilities\RefineRTDCRunTimes.py" --tripid 211-20 --locoid 4044 --swversion DE.1.0.7.0 --startMP 204:453 --initTime 2016-08-20T17:23:52 --startdatetime 2016-08-20T17:29:51 --delay 5 --endMP 204:233283 --enddatetime 2016-08-20T18:07:03 --enforcementcount 0</v>
      </c>
    </row>
    <row r="125" spans="1:34" x14ac:dyDescent="0.25">
      <c r="A125" s="40" t="s">
        <v>573</v>
      </c>
      <c r="B125" s="7">
        <v>4043</v>
      </c>
      <c r="C125" s="25" t="s">
        <v>116</v>
      </c>
      <c r="D125" s="25" t="s">
        <v>574</v>
      </c>
      <c r="E125" s="16">
        <v>42602.760439814818</v>
      </c>
      <c r="F125" s="16">
        <v>42602.761979166666</v>
      </c>
      <c r="G125" s="7">
        <v>2</v>
      </c>
      <c r="H125" s="16" t="s">
        <v>575</v>
      </c>
      <c r="I125" s="16">
        <v>42602.797939814816</v>
      </c>
      <c r="J125" s="7">
        <v>0</v>
      </c>
      <c r="K125" s="141" t="str">
        <f t="shared" si="52"/>
        <v>4043/4044</v>
      </c>
      <c r="L125" s="25" t="str">
        <f>VLOOKUP(A125,'Trips&amp;Operators'!$C$1:$E$10000,3,FALSE)</f>
        <v>MAYBERRY</v>
      </c>
      <c r="M125" s="6">
        <f t="shared" si="53"/>
        <v>3.5960648150648922E-2</v>
      </c>
      <c r="N125" s="7">
        <f t="shared" si="50"/>
        <v>51.783333336934447</v>
      </c>
      <c r="O125" s="7"/>
      <c r="P125" s="7"/>
      <c r="Q125" s="26"/>
      <c r="R125" s="26"/>
      <c r="S125" s="38">
        <f t="shared" si="49"/>
        <v>1</v>
      </c>
      <c r="T125" s="53" t="str">
        <f t="shared" si="54"/>
        <v>Southbound</v>
      </c>
      <c r="U125" s="13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17:15:02-0600',mode:absolute,to:'2016-08-20 20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5" s="55" t="str">
        <f t="shared" si="56"/>
        <v>N</v>
      </c>
      <c r="X125" s="128">
        <f t="shared" si="51"/>
        <v>1</v>
      </c>
      <c r="Y125" s="70">
        <f t="shared" si="57"/>
        <v>23.297000000000001</v>
      </c>
      <c r="Z125" s="70">
        <f t="shared" si="58"/>
        <v>1.7999999999999999E-2</v>
      </c>
      <c r="AA125" s="70">
        <f t="shared" si="59"/>
        <v>23.279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60"/>
        <v>0212-20</v>
      </c>
      <c r="AE125" s="103" t="str">
        <f t="shared" si="61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125" s="100" t="str">
        <f t="shared" si="62"/>
        <v>"C:\Program Files (x86)\AstroGrep\AstroGrep.exe" /spath="%USERPROFILE%\AppData\Local\Temp\OnboardLogs" /stypes="*4043*20160821*" /stext=" 01:.+((SYSTEM_STATE.+slice.+state.+changed )|(ment ac)|(system.+state.+changed )|(\|lc)|(penalty)|(\[timeout)|(PRM\|1\|D)|(kpr)|(kdp))" /e /r /s</v>
      </c>
      <c r="AG125" s="1" t="str">
        <f t="shared" si="63"/>
        <v>EC</v>
      </c>
      <c r="AH125" s="104" t="str">
        <f t="shared" si="48"/>
        <v>"%USERPROFILE%\Documents\GitHub\eaglep3\Utilities\RefineRTDCRunTimes.py" --tripid 212-20 --locoid 4043 --swversion DE.1.0.7.0 --startMP 204:232970 --initTime 2016-08-20T18:15:02 --startdatetime 2016-08-20T18:17:15 --delay 2 --endMP 204:180 --enddatetime 2016-08-20T19:09:02 --enforcementcount 0</v>
      </c>
    </row>
    <row r="126" spans="1:34" x14ac:dyDescent="0.25">
      <c r="A126" s="40" t="s">
        <v>576</v>
      </c>
      <c r="B126" s="7">
        <v>4009</v>
      </c>
      <c r="C126" s="25" t="s">
        <v>116</v>
      </c>
      <c r="D126" s="25" t="s">
        <v>146</v>
      </c>
      <c r="E126" s="16">
        <v>42602.736273148148</v>
      </c>
      <c r="F126" s="16">
        <v>42602.73746527778</v>
      </c>
      <c r="G126" s="7">
        <v>1</v>
      </c>
      <c r="H126" s="16" t="s">
        <v>268</v>
      </c>
      <c r="I126" s="16">
        <v>42602.764004629629</v>
      </c>
      <c r="J126" s="7">
        <v>0</v>
      </c>
      <c r="K126" s="141" t="str">
        <f t="shared" si="52"/>
        <v>4009/4010</v>
      </c>
      <c r="L126" s="25" t="str">
        <f>VLOOKUP(A126,'Trips&amp;Operators'!$C$1:$E$10000,3,FALSE)</f>
        <v>NEWELL</v>
      </c>
      <c r="M126" s="6">
        <f t="shared" si="53"/>
        <v>2.6539351849351078E-2</v>
      </c>
      <c r="N126" s="7">
        <f t="shared" si="50"/>
        <v>38.216666663065553</v>
      </c>
      <c r="O126" s="7"/>
      <c r="P126" s="7"/>
      <c r="Q126" s="26"/>
      <c r="R126" s="26"/>
      <c r="S126" s="38">
        <f t="shared" si="49"/>
        <v>1</v>
      </c>
      <c r="T126" s="53" t="str">
        <f t="shared" si="54"/>
        <v>NorthBound</v>
      </c>
      <c r="U126" s="13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16:40:14-0600',mode:absolute,to:'2016-08-20 19:20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6" s="55" t="str">
        <f t="shared" si="56"/>
        <v>N</v>
      </c>
      <c r="X126" s="128">
        <f t="shared" si="51"/>
        <v>1</v>
      </c>
      <c r="Y126" s="70">
        <f t="shared" si="57"/>
        <v>4.58E-2</v>
      </c>
      <c r="Z126" s="70">
        <f t="shared" si="58"/>
        <v>23.331800000000001</v>
      </c>
      <c r="AA126" s="70">
        <f t="shared" si="59"/>
        <v>23.286000000000001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60"/>
        <v>0213-20</v>
      </c>
      <c r="AE126" s="103" t="str">
        <f t="shared" si="61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26" s="100" t="str">
        <f t="shared" si="62"/>
        <v>"C:\Program Files (x86)\AstroGrep\AstroGrep.exe" /spath="%USERPROFILE%\AppData\Local\Temp\OnboardLogs" /stypes="*4009*20160821*" /stext=" 00:.+((SYSTEM_STATE.+slice.+state.+changed )|(ment ac)|(system.+state.+changed )|(\|lc)|(penalty)|(\[timeout)|(PRM\|1\|D)|(kpr)|(kdp))" /e /r /s</v>
      </c>
      <c r="AG126" s="1" t="str">
        <f t="shared" si="63"/>
        <v>EC</v>
      </c>
      <c r="AH126" s="104" t="str">
        <f t="shared" si="48"/>
        <v>"%USERPROFILE%\Documents\GitHub\eaglep3\Utilities\RefineRTDCRunTimes.py" --tripid 213-20 --locoid 4009 --swversion DE.1.0.7.0 --startMP 204:458 --initTime 2016-08-20T17:40:14 --startdatetime 2016-08-20T17:41:57 --delay 1 --endMP 204:233318 --enddatetime 2016-08-20T18:20:10 --enforcementcount 0</v>
      </c>
    </row>
    <row r="127" spans="1:34" x14ac:dyDescent="0.25">
      <c r="A127" s="40" t="s">
        <v>577</v>
      </c>
      <c r="B127" s="7">
        <v>4010</v>
      </c>
      <c r="C127" s="25" t="s">
        <v>116</v>
      </c>
      <c r="D127" s="25" t="s">
        <v>209</v>
      </c>
      <c r="E127" s="16">
        <v>42602.766064814816</v>
      </c>
      <c r="F127" s="16">
        <v>42602.767430555556</v>
      </c>
      <c r="G127" s="7">
        <v>1</v>
      </c>
      <c r="H127" s="16" t="s">
        <v>193</v>
      </c>
      <c r="I127" s="16">
        <v>42602.80804398148</v>
      </c>
      <c r="J127" s="7">
        <v>0</v>
      </c>
      <c r="K127" s="141" t="str">
        <f t="shared" si="52"/>
        <v>4009/4010</v>
      </c>
      <c r="L127" s="25" t="str">
        <f>VLOOKUP(A127,'Trips&amp;Operators'!$C$1:$E$10000,3,FALSE)</f>
        <v>NEWELL</v>
      </c>
      <c r="M127" s="6">
        <f t="shared" si="53"/>
        <v>4.0613425924675539E-2</v>
      </c>
      <c r="N127" s="7">
        <f t="shared" si="50"/>
        <v>58.483333331532776</v>
      </c>
      <c r="O127" s="7"/>
      <c r="P127" s="7"/>
      <c r="Q127" s="26"/>
      <c r="R127" s="26"/>
      <c r="S127" s="38">
        <f t="shared" si="49"/>
        <v>1</v>
      </c>
      <c r="T127" s="53" t="str">
        <f t="shared" si="54"/>
        <v>Southbound</v>
      </c>
      <c r="U127" s="13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17:23:08-0600',mode:absolute,to:'2016-08-20 20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7" s="55" t="str">
        <f t="shared" si="56"/>
        <v>N</v>
      </c>
      <c r="X127" s="128">
        <f t="shared" si="51"/>
        <v>1</v>
      </c>
      <c r="Y127" s="70">
        <f t="shared" si="57"/>
        <v>23.298999999999999</v>
      </c>
      <c r="Z127" s="70">
        <f t="shared" si="58"/>
        <v>1.52E-2</v>
      </c>
      <c r="AA127" s="70">
        <f t="shared" si="59"/>
        <v>23.283799999999999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60"/>
        <v>0214-20</v>
      </c>
      <c r="AE127" s="103" t="str">
        <f t="shared" si="61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127" s="100" t="str">
        <f t="shared" si="62"/>
        <v>"C:\Program Files (x86)\AstroGrep\AstroGrep.exe" /spath="%USERPROFILE%\AppData\Local\Temp\OnboardLogs" /stypes="*4010*20160821*" /stext=" 01:.+((SYSTEM_STATE.+slice.+state.+changed )|(ment ac)|(system.+state.+changed )|(\|lc)|(penalty)|(\[timeout)|(PRM\|1\|D)|(kpr)|(kdp))" /e /r /s</v>
      </c>
      <c r="AG127" s="1" t="str">
        <f t="shared" si="63"/>
        <v>EC</v>
      </c>
      <c r="AH127" s="104" t="str">
        <f t="shared" si="48"/>
        <v>"%USERPROFILE%\Documents\GitHub\eaglep3\Utilities\RefineRTDCRunTimes.py" --tripid 214-20 --locoid 4010 --swversion DE.1.0.7.0 --startMP 204:232990 --initTime 2016-08-20T18:23:08 --startdatetime 2016-08-20T18:25:06 --delay 1 --endMP 204:152 --enddatetime 2016-08-20T19:23:35 --enforcementcount 0</v>
      </c>
    </row>
    <row r="128" spans="1:34" x14ac:dyDescent="0.25">
      <c r="A128" s="40" t="s">
        <v>578</v>
      </c>
      <c r="B128" s="7">
        <v>4018</v>
      </c>
      <c r="C128" s="25" t="s">
        <v>116</v>
      </c>
      <c r="D128" s="25" t="s">
        <v>138</v>
      </c>
      <c r="E128" s="16">
        <v>42602.746493055558</v>
      </c>
      <c r="F128" s="16">
        <v>42602.748229166667</v>
      </c>
      <c r="G128" s="7">
        <v>2</v>
      </c>
      <c r="H128" s="16" t="s">
        <v>143</v>
      </c>
      <c r="I128" s="16">
        <v>42602.776053240741</v>
      </c>
      <c r="J128" s="7">
        <v>0</v>
      </c>
      <c r="K128" s="141" t="str">
        <f t="shared" si="52"/>
        <v>4017/4018</v>
      </c>
      <c r="L128" s="25" t="str">
        <f>VLOOKUP(A128,'Trips&amp;Operators'!$C$1:$E$10000,3,FALSE)</f>
        <v>WEBSTER</v>
      </c>
      <c r="M128" s="6">
        <f t="shared" si="53"/>
        <v>2.7824074073578231E-2</v>
      </c>
      <c r="N128" s="7">
        <f t="shared" si="50"/>
        <v>40.066666665952653</v>
      </c>
      <c r="O128" s="7"/>
      <c r="P128" s="7"/>
      <c r="Q128" s="26"/>
      <c r="R128" s="26"/>
      <c r="S128" s="38">
        <f t="shared" si="49"/>
        <v>1</v>
      </c>
      <c r="T128" s="53" t="str">
        <f t="shared" si="54"/>
        <v>NorthBound</v>
      </c>
      <c r="U128" s="13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16:54:57-0600',mode:absolute,to:'2016-08-20 19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8" s="55" t="str">
        <f t="shared" si="56"/>
        <v>N</v>
      </c>
      <c r="X128" s="128">
        <f t="shared" si="51"/>
        <v>1</v>
      </c>
      <c r="Y128" s="70">
        <f t="shared" si="57"/>
        <v>4.53E-2</v>
      </c>
      <c r="Z128" s="70">
        <f t="shared" si="58"/>
        <v>23.331199999999999</v>
      </c>
      <c r="AA128" s="70">
        <f t="shared" si="59"/>
        <v>23.285899999999998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60"/>
        <v>0215-20</v>
      </c>
      <c r="AE128" s="103" t="str">
        <f t="shared" si="61"/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AF128" s="100" t="str">
        <f t="shared" si="62"/>
        <v>"C:\Program Files (x86)\AstroGrep\AstroGrep.exe" /spath="%USERPROFILE%\AppData\Local\Temp\OnboardLogs" /stypes="*4018*20160821*" /stext=" 00:.+((SYSTEM_STATE.+slice.+state.+changed )|(ment ac)|(system.+state.+changed )|(\|lc)|(penalty)|(\[timeout)|(PRM\|1\|D)|(kpr)|(kdp))" /e /r /s</v>
      </c>
      <c r="AG128" s="1" t="str">
        <f t="shared" si="63"/>
        <v>EC</v>
      </c>
      <c r="AH128" s="104" t="str">
        <f t="shared" si="48"/>
        <v>"%USERPROFILE%\Documents\GitHub\eaglep3\Utilities\RefineRTDCRunTimes.py" --tripid 215-20 --locoid 4018 --swversion DE.1.0.7.0 --startMP 204:453 --initTime 2016-08-20T17:54:57 --startdatetime 2016-08-20T17:57:27 --delay 2 --endMP 204:233312 --enddatetime 2016-08-20T18:37:31 --enforcementcount 0</v>
      </c>
    </row>
    <row r="129" spans="1:34" s="24" customFormat="1" x14ac:dyDescent="0.25">
      <c r="A129" s="40" t="s">
        <v>579</v>
      </c>
      <c r="B129" s="7">
        <v>4017</v>
      </c>
      <c r="C129" s="25" t="s">
        <v>116</v>
      </c>
      <c r="D129" s="25" t="s">
        <v>240</v>
      </c>
      <c r="E129" s="16">
        <v>42602.786921296298</v>
      </c>
      <c r="F129" s="16">
        <v>42602.788807870369</v>
      </c>
      <c r="G129" s="7">
        <v>2</v>
      </c>
      <c r="H129" s="16" t="s">
        <v>147</v>
      </c>
      <c r="I129" s="16">
        <v>42602.820393518516</v>
      </c>
      <c r="J129" s="7">
        <v>0</v>
      </c>
      <c r="K129" s="141" t="str">
        <f t="shared" si="52"/>
        <v>4017/4018</v>
      </c>
      <c r="L129" s="25" t="str">
        <f>VLOOKUP(A129,'Trips&amp;Operators'!$C$1:$E$10000,3,FALSE)</f>
        <v>WEBSTER</v>
      </c>
      <c r="M129" s="6">
        <f t="shared" si="53"/>
        <v>3.1585648146574385E-2</v>
      </c>
      <c r="N129" s="7">
        <f t="shared" si="50"/>
        <v>45.483333331067115</v>
      </c>
      <c r="O129" s="7"/>
      <c r="P129" s="7"/>
      <c r="Q129" s="26"/>
      <c r="R129" s="26"/>
      <c r="S129" s="38">
        <f t="shared" ref="S129:S135" si="64">SUM(U129:U129)/IF(AG129="EC",12,1)</f>
        <v>1</v>
      </c>
      <c r="T129" s="53" t="str">
        <f t="shared" si="54"/>
        <v>Southbound</v>
      </c>
      <c r="U129" s="13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17:53:10-0600',mode:absolute,to:'2016-08-20 20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9" s="55" t="str">
        <f t="shared" si="56"/>
        <v>N</v>
      </c>
      <c r="X129" s="128">
        <f t="shared" si="51"/>
        <v>1</v>
      </c>
      <c r="Y129" s="70">
        <f t="shared" si="57"/>
        <v>23.3</v>
      </c>
      <c r="Z129" s="70">
        <f t="shared" si="58"/>
        <v>4.6699999999999998E-2</v>
      </c>
      <c r="AA129" s="70">
        <f t="shared" si="59"/>
        <v>23.253299999999999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60"/>
        <v>0216-20</v>
      </c>
      <c r="AE129" s="103" t="str">
        <f t="shared" si="61"/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AF129" s="100" t="str">
        <f t="shared" si="62"/>
        <v>"C:\Program Files (x86)\AstroGrep\AstroGrep.exe" /spath="%USERPROFILE%\AppData\Local\Temp\OnboardLogs" /stypes="*4017*20160821*" /stext=" 01:.+((SYSTEM_STATE.+slice.+state.+changed )|(ment ac)|(system.+state.+changed )|(\|lc)|(penalty)|(\[timeout)|(PRM\|1\|D)|(kpr)|(kdp))" /e /r /s</v>
      </c>
      <c r="AG129" s="1" t="str">
        <f t="shared" si="63"/>
        <v>EC</v>
      </c>
      <c r="AH129" s="104" t="str">
        <f t="shared" si="48"/>
        <v>"%USERPROFILE%\Documents\GitHub\eaglep3\Utilities\RefineRTDCRunTimes.py" --tripid 216-20 --locoid 4017 --swversion DE.1.0.7.0 --startMP 204:233000 --initTime 2016-08-20T18:53:10 --startdatetime 2016-08-20T18:55:53 --delay 2 --endMP 204:467 --enddatetime 2016-08-20T19:41:22 --enforcementcount 0</v>
      </c>
    </row>
    <row r="130" spans="1:34" x14ac:dyDescent="0.25">
      <c r="A130" s="40" t="s">
        <v>580</v>
      </c>
      <c r="B130" s="7">
        <v>4031</v>
      </c>
      <c r="C130" s="25" t="s">
        <v>116</v>
      </c>
      <c r="D130" s="25" t="s">
        <v>165</v>
      </c>
      <c r="E130" s="16">
        <v>42602.760104166664</v>
      </c>
      <c r="F130" s="16">
        <v>42602.760891203703</v>
      </c>
      <c r="G130" s="7">
        <v>1</v>
      </c>
      <c r="H130" s="16" t="s">
        <v>213</v>
      </c>
      <c r="I130" s="16">
        <v>42602.786585648151</v>
      </c>
      <c r="J130" s="7">
        <v>0</v>
      </c>
      <c r="K130" s="141" t="str">
        <f t="shared" si="52"/>
        <v>4031/4032</v>
      </c>
      <c r="L130" s="25" t="str">
        <f>VLOOKUP(A130,'Trips&amp;Operators'!$C$1:$E$10000,3,FALSE)</f>
        <v>CHANDLER</v>
      </c>
      <c r="M130" s="6">
        <f t="shared" si="53"/>
        <v>2.5694444448163267E-2</v>
      </c>
      <c r="N130" s="7">
        <f t="shared" si="50"/>
        <v>37.000000005355105</v>
      </c>
      <c r="O130" s="7"/>
      <c r="P130" s="7"/>
      <c r="Q130" s="26"/>
      <c r="R130" s="26"/>
      <c r="S130" s="38">
        <f t="shared" si="64"/>
        <v>1</v>
      </c>
      <c r="T130" s="53" t="str">
        <f t="shared" si="54"/>
        <v>NorthBound</v>
      </c>
      <c r="U130" s="13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17:14:33-0600',mode:absolute,to:'2016-08-20 19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0" s="55" t="str">
        <f t="shared" si="56"/>
        <v>N</v>
      </c>
      <c r="X130" s="128">
        <f t="shared" si="51"/>
        <v>1</v>
      </c>
      <c r="Y130" s="70">
        <f t="shared" si="57"/>
        <v>4.5100000000000001E-2</v>
      </c>
      <c r="Z130" s="70">
        <f t="shared" si="58"/>
        <v>23.3322</v>
      </c>
      <c r="AA130" s="70">
        <f t="shared" si="59"/>
        <v>23.287099999999999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60"/>
        <v>0217-20</v>
      </c>
      <c r="AE130" s="103" t="str">
        <f t="shared" si="61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130" s="100" t="str">
        <f t="shared" si="62"/>
        <v>"C:\Program Files (x86)\AstroGrep\AstroGrep.exe" /spath="%USERPROFILE%\AppData\Local\Temp\OnboardLogs" /stypes="*4031*20160821*" /stext=" 00:.+((SYSTEM_STATE.+slice.+state.+changed )|(ment ac)|(system.+state.+changed )|(\|lc)|(penalty)|(\[timeout)|(PRM\|1\|D)|(kpr)|(kdp))" /e /r /s</v>
      </c>
      <c r="AG130" s="1" t="str">
        <f t="shared" si="63"/>
        <v>EC</v>
      </c>
      <c r="AH130" s="104" t="str">
        <f t="shared" si="48"/>
        <v>"%USERPROFILE%\Documents\GitHub\eaglep3\Utilities\RefineRTDCRunTimes.py" --tripid 217-20 --locoid 4031 --swversion DE.1.0.7.0 --startMP 204:451 --initTime 2016-08-20T18:14:33 --startdatetime 2016-08-20T18:15:41 --delay 1 --endMP 204:233322 --enddatetime 2016-08-20T18:52:41 --enforcementcount 0</v>
      </c>
    </row>
    <row r="131" spans="1:34" x14ac:dyDescent="0.25">
      <c r="A131" s="40" t="s">
        <v>581</v>
      </c>
      <c r="B131" s="7">
        <v>4032</v>
      </c>
      <c r="C131" s="25" t="s">
        <v>116</v>
      </c>
      <c r="D131" s="25" t="s">
        <v>225</v>
      </c>
      <c r="E131" s="16">
        <v>42602.796527777777</v>
      </c>
      <c r="F131" s="16">
        <v>42602.797569444447</v>
      </c>
      <c r="G131" s="7">
        <v>1</v>
      </c>
      <c r="H131" s="16" t="s">
        <v>221</v>
      </c>
      <c r="I131" s="16">
        <v>42602.83016203704</v>
      </c>
      <c r="J131" s="7">
        <v>0</v>
      </c>
      <c r="K131" s="141" t="str">
        <f t="shared" si="52"/>
        <v>4031/4032</v>
      </c>
      <c r="L131" s="25" t="str">
        <f>VLOOKUP(A131,'Trips&amp;Operators'!$C$1:$E$10000,3,FALSE)</f>
        <v>CHANDLER</v>
      </c>
      <c r="M131" s="6">
        <f t="shared" si="53"/>
        <v>3.2592592593573499E-2</v>
      </c>
      <c r="N131" s="7">
        <f t="shared" si="50"/>
        <v>46.933333334745839</v>
      </c>
      <c r="O131" s="7"/>
      <c r="P131" s="7"/>
      <c r="Q131" s="26"/>
      <c r="R131" s="26"/>
      <c r="S131" s="38">
        <f t="shared" si="64"/>
        <v>1</v>
      </c>
      <c r="T131" s="53" t="str">
        <f t="shared" si="54"/>
        <v>Southbound</v>
      </c>
      <c r="U131" s="13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18:07:00-0600',mode:absolute,to:'2016-08-20 20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1" s="55" t="str">
        <f t="shared" si="56"/>
        <v>N</v>
      </c>
      <c r="X131" s="128">
        <f t="shared" si="51"/>
        <v>1</v>
      </c>
      <c r="Y131" s="70">
        <f t="shared" si="57"/>
        <v>23.298200000000001</v>
      </c>
      <c r="Z131" s="70">
        <f t="shared" si="58"/>
        <v>1.4500000000000001E-2</v>
      </c>
      <c r="AA131" s="70">
        <f t="shared" si="59"/>
        <v>23.2837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60"/>
        <v>0218-20</v>
      </c>
      <c r="AE131" s="103" t="str">
        <f t="shared" si="61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131" s="100" t="str">
        <f t="shared" si="62"/>
        <v>"C:\Program Files (x86)\AstroGrep\AstroGrep.exe" /spath="%USERPROFILE%\AppData\Local\Temp\OnboardLogs" /stypes="*4032*20160821*" /stext=" 01:.+((SYSTEM_STATE.+slice.+state.+changed )|(ment ac)|(system.+state.+changed )|(\|lc)|(penalty)|(\[timeout)|(PRM\|1\|D)|(kpr)|(kdp))" /e /r /s</v>
      </c>
      <c r="AG131" s="1" t="str">
        <f t="shared" si="63"/>
        <v>EC</v>
      </c>
      <c r="AH131" s="104" t="str">
        <f t="shared" si="48"/>
        <v>"%USERPROFILE%\Documents\GitHub\eaglep3\Utilities\RefineRTDCRunTimes.py" --tripid 218-20 --locoid 4032 --swversion DE.1.0.7.0 --startMP 204:232982 --initTime 2016-08-20T19:07:00 --startdatetime 2016-08-20T19:08:30 --delay 1 --endMP 204:145 --enddatetime 2016-08-20T19:55:26 --enforcementcount 0</v>
      </c>
    </row>
    <row r="132" spans="1:34" x14ac:dyDescent="0.25">
      <c r="A132" s="40" t="s">
        <v>582</v>
      </c>
      <c r="B132" s="7">
        <v>4007</v>
      </c>
      <c r="C132" s="25" t="s">
        <v>116</v>
      </c>
      <c r="D132" s="25" t="s">
        <v>138</v>
      </c>
      <c r="E132" s="16">
        <v>42602.769976851851</v>
      </c>
      <c r="F132" s="16">
        <v>42602.771377314813</v>
      </c>
      <c r="G132" s="7">
        <v>2</v>
      </c>
      <c r="H132" s="16" t="s">
        <v>157</v>
      </c>
      <c r="I132" s="16">
        <v>42602.798993055556</v>
      </c>
      <c r="J132" s="7">
        <v>0</v>
      </c>
      <c r="K132" s="141" t="str">
        <f t="shared" si="52"/>
        <v>4007/4008</v>
      </c>
      <c r="L132" s="25" t="str">
        <f>VLOOKUP(A132,'Trips&amp;Operators'!$C$1:$E$10000,3,FALSE)</f>
        <v>STAMBAUGH</v>
      </c>
      <c r="M132" s="6">
        <f t="shared" si="53"/>
        <v>2.7615740742476191E-2</v>
      </c>
      <c r="N132" s="7">
        <f t="shared" si="50"/>
        <v>39.766666669165716</v>
      </c>
      <c r="O132" s="7"/>
      <c r="P132" s="7"/>
      <c r="Q132" s="26"/>
      <c r="R132" s="26"/>
      <c r="S132" s="38">
        <f t="shared" si="64"/>
        <v>1</v>
      </c>
      <c r="T132" s="53" t="str">
        <f t="shared" si="54"/>
        <v>NorthBound</v>
      </c>
      <c r="U132" s="13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17:28:46-0600',mode:absolute,to:'2016-08-20 20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32" s="55" t="str">
        <f t="shared" si="56"/>
        <v>N</v>
      </c>
      <c r="X132" s="128">
        <f t="shared" si="51"/>
        <v>1</v>
      </c>
      <c r="Y132" s="70">
        <f t="shared" si="57"/>
        <v>4.53E-2</v>
      </c>
      <c r="Z132" s="70">
        <f t="shared" si="58"/>
        <v>23.33</v>
      </c>
      <c r="AA132" s="70">
        <f t="shared" si="59"/>
        <v>23.284699999999997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60"/>
        <v>0219-20</v>
      </c>
      <c r="AE132" s="103" t="str">
        <f t="shared" si="61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132" s="100" t="str">
        <f t="shared" si="62"/>
        <v>"C:\Program Files (x86)\AstroGrep\AstroGrep.exe" /spath="%USERPROFILE%\AppData\Local\Temp\OnboardLogs" /stypes="*4007*20160821*" /stext=" 01:.+((SYSTEM_STATE.+slice.+state.+changed )|(ment ac)|(system.+state.+changed )|(\|lc)|(penalty)|(\[timeout)|(PRM\|1\|D)|(kpr)|(kdp))" /e /r /s</v>
      </c>
      <c r="AG132" s="1" t="str">
        <f t="shared" si="63"/>
        <v>EC</v>
      </c>
      <c r="AH132" s="104" t="str">
        <f t="shared" si="48"/>
        <v>"%USERPROFILE%\Documents\GitHub\eaglep3\Utilities\RefineRTDCRunTimes.py" --tripid 219-20 --locoid 4007 --swversion DE.1.0.7.0 --startMP 204:453 --initTime 2016-08-20T18:28:46 --startdatetime 2016-08-20T18:30:47 --delay 2 --endMP 204:233300 --enddatetime 2016-08-20T19:10:33 --enforcementcount 0</v>
      </c>
    </row>
    <row r="133" spans="1:34" x14ac:dyDescent="0.25">
      <c r="A133" s="40" t="s">
        <v>583</v>
      </c>
      <c r="B133" s="7">
        <v>4008</v>
      </c>
      <c r="C133" s="25" t="s">
        <v>116</v>
      </c>
      <c r="D133" s="25" t="s">
        <v>140</v>
      </c>
      <c r="E133" s="16">
        <v>42602.807696759257</v>
      </c>
      <c r="F133" s="16">
        <v>42602.808657407404</v>
      </c>
      <c r="G133" s="7">
        <v>1</v>
      </c>
      <c r="H133" s="16" t="s">
        <v>584</v>
      </c>
      <c r="I133" s="16">
        <v>42602.838206018518</v>
      </c>
      <c r="J133" s="7">
        <v>0</v>
      </c>
      <c r="K133" s="141" t="str">
        <f t="shared" si="52"/>
        <v>4007/4008</v>
      </c>
      <c r="L133" s="25" t="str">
        <f>VLOOKUP(A133,'Trips&amp;Operators'!$C$1:$E$10000,3,FALSE)</f>
        <v>STAMBAUGH</v>
      </c>
      <c r="M133" s="6">
        <f t="shared" si="53"/>
        <v>2.9548611113568768E-2</v>
      </c>
      <c r="N133" s="7">
        <f t="shared" si="50"/>
        <v>42.550000003539026</v>
      </c>
      <c r="O133" s="7"/>
      <c r="P133" s="7"/>
      <c r="Q133" s="26"/>
      <c r="R133" s="26"/>
      <c r="S133" s="38">
        <f t="shared" si="64"/>
        <v>1</v>
      </c>
      <c r="T133" s="53" t="str">
        <f t="shared" si="54"/>
        <v>Southbound</v>
      </c>
      <c r="U133" s="13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18:23:05-0600',mode:absolute,to:'2016-08-20 21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3" s="55" t="str">
        <f t="shared" si="56"/>
        <v>N</v>
      </c>
      <c r="X133" s="128">
        <f t="shared" si="51"/>
        <v>1</v>
      </c>
      <c r="Y133" s="70">
        <f t="shared" si="57"/>
        <v>23.299399999999999</v>
      </c>
      <c r="Z133" s="70">
        <f t="shared" si="58"/>
        <v>2.1399999999999999E-2</v>
      </c>
      <c r="AA133" s="70">
        <f t="shared" si="59"/>
        <v>23.277999999999999</v>
      </c>
      <c r="AB133" s="67">
        <f>VLOOKUP(A133,Enforcements!$C$7:$J$24,8,0)</f>
        <v>1</v>
      </c>
      <c r="AC133" s="63" t="str">
        <f>VLOOKUP(A133,Enforcements!$C$7:$E$24,3,0)</f>
        <v>TRACK WARRANT AUTHORITY</v>
      </c>
      <c r="AD133" s="64" t="str">
        <f t="shared" si="60"/>
        <v>0220-20</v>
      </c>
      <c r="AE133" s="103" t="str">
        <f t="shared" si="61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133" s="100" t="str">
        <f t="shared" si="62"/>
        <v>"C:\Program Files (x86)\AstroGrep\AstroGrep.exe" /spath="%USERPROFILE%\AppData\Local\Temp\OnboardLogs" /stypes="*4008*20160821*" /stext=" 02:.+((SYSTEM_STATE.+slice.+state.+changed )|(ment ac)|(system.+state.+changed )|(\|lc)|(penalty)|(\[timeout)|(PRM\|1\|D)|(kpr)|(kdp))" /e /r /s</v>
      </c>
      <c r="AG133" s="1" t="str">
        <f t="shared" si="63"/>
        <v>EC</v>
      </c>
      <c r="AH133" s="104" t="str">
        <f t="shared" si="48"/>
        <v>"%USERPROFILE%\Documents\GitHub\eaglep3\Utilities\RefineRTDCRunTimes.py" --tripid 220-20 --locoid 4008 --swversion DE.1.0.7.0 --startMP 204:232994 --initTime 2016-08-20T19:23:05 --startdatetime 2016-08-20T19:24:28 --delay 1 --endMP 204:214 --enddatetime 2016-08-20T20:07:01 --enforcementcount 0</v>
      </c>
    </row>
    <row r="134" spans="1:34" x14ac:dyDescent="0.25">
      <c r="A134" s="40" t="s">
        <v>585</v>
      </c>
      <c r="B134" s="7">
        <v>4027</v>
      </c>
      <c r="C134" s="25" t="s">
        <v>116</v>
      </c>
      <c r="D134" s="25" t="s">
        <v>349</v>
      </c>
      <c r="E134" s="16">
        <v>42602.789351851854</v>
      </c>
      <c r="F134" s="16">
        <v>42602.791481481479</v>
      </c>
      <c r="G134" s="7">
        <v>3</v>
      </c>
      <c r="H134" s="16" t="s">
        <v>191</v>
      </c>
      <c r="I134" s="16">
        <v>42602.818298611113</v>
      </c>
      <c r="J134" s="7">
        <v>0</v>
      </c>
      <c r="K134" s="141" t="str">
        <f t="shared" si="52"/>
        <v>4027/4028</v>
      </c>
      <c r="L134" s="25" t="str">
        <f>VLOOKUP(A134,'Trips&amp;Operators'!$C$1:$E$10000,3,FALSE)</f>
        <v>LEVIN</v>
      </c>
      <c r="M134" s="6">
        <f t="shared" si="53"/>
        <v>2.6817129633855075E-2</v>
      </c>
      <c r="N134" s="7">
        <f t="shared" si="50"/>
        <v>38.616666672751307</v>
      </c>
      <c r="O134" s="7"/>
      <c r="P134" s="7"/>
      <c r="Q134" s="26"/>
      <c r="R134" s="26"/>
      <c r="S134" s="38">
        <f t="shared" si="64"/>
        <v>1</v>
      </c>
      <c r="T134" s="53" t="str">
        <f t="shared" si="54"/>
        <v>NorthBound</v>
      </c>
      <c r="U134" s="13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17:56:40-0600',mode:absolute,to:'2016-08-20 20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4" s="55" t="str">
        <f t="shared" si="56"/>
        <v>N</v>
      </c>
      <c r="X134" s="128">
        <f t="shared" si="51"/>
        <v>1</v>
      </c>
      <c r="Y134" s="70">
        <f t="shared" si="57"/>
        <v>4.6600000000000003E-2</v>
      </c>
      <c r="Z134" s="70">
        <f t="shared" si="58"/>
        <v>23.329499999999999</v>
      </c>
      <c r="AA134" s="70">
        <f t="shared" si="59"/>
        <v>23.282899999999998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60"/>
        <v>0221-20</v>
      </c>
      <c r="AE134" s="103" t="str">
        <f t="shared" si="61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134" s="100" t="str">
        <f t="shared" si="62"/>
        <v>"C:\Program Files (x86)\AstroGrep\AstroGrep.exe" /spath="%USERPROFILE%\AppData\Local\Temp\OnboardLogs" /stypes="*4027*20160821*" /stext=" 01:.+((SYSTEM_STATE.+slice.+state.+changed )|(ment ac)|(system.+state.+changed )|(\|lc)|(penalty)|(\[timeout)|(PRM\|1\|D)|(kpr)|(kdp))" /e /r /s</v>
      </c>
      <c r="AG134" s="1" t="str">
        <f t="shared" si="63"/>
        <v>EC</v>
      </c>
      <c r="AH134" s="104" t="str">
        <f t="shared" si="48"/>
        <v>"%USERPROFILE%\Documents\GitHub\eaglep3\Utilities\RefineRTDCRunTimes.py" --tripid 221-20 --locoid 4027 --swversion DE.1.0.7.0 --startMP 204:466 --initTime 2016-08-20T18:56:40 --startdatetime 2016-08-20T18:59:44 --delay 3 --endMP 204:233295 --enddatetime 2016-08-20T19:38:21 --enforcementcount 0</v>
      </c>
    </row>
    <row r="135" spans="1:34" x14ac:dyDescent="0.25">
      <c r="A135" s="40" t="s">
        <v>586</v>
      </c>
      <c r="B135" s="7">
        <v>4028</v>
      </c>
      <c r="C135" s="25" t="s">
        <v>116</v>
      </c>
      <c r="D135" s="25" t="s">
        <v>255</v>
      </c>
      <c r="E135" s="16">
        <v>42602.824131944442</v>
      </c>
      <c r="F135" s="16">
        <v>42602.825266203705</v>
      </c>
      <c r="G135" s="7">
        <v>1</v>
      </c>
      <c r="H135" s="16" t="s">
        <v>91</v>
      </c>
      <c r="I135" s="16">
        <v>42602.858923611115</v>
      </c>
      <c r="J135" s="7">
        <v>0</v>
      </c>
      <c r="K135" s="141" t="str">
        <f t="shared" si="52"/>
        <v>4027/4028</v>
      </c>
      <c r="L135" s="25" t="str">
        <f>VLOOKUP(A135,'Trips&amp;Operators'!$C$1:$E$10000,3,FALSE)</f>
        <v>LEVIN</v>
      </c>
      <c r="M135" s="6">
        <f t="shared" si="53"/>
        <v>3.365740740991896E-2</v>
      </c>
      <c r="N135" s="7">
        <f t="shared" si="50"/>
        <v>48.466666670283303</v>
      </c>
      <c r="O135" s="7"/>
      <c r="P135" s="7"/>
      <c r="Q135" s="26"/>
      <c r="R135" s="26"/>
      <c r="S135" s="38">
        <f t="shared" si="64"/>
        <v>1</v>
      </c>
      <c r="T135" s="53" t="str">
        <f t="shared" si="54"/>
        <v>Southbound</v>
      </c>
      <c r="U135" s="13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18:46:45-0600',mode:absolute,to:'2016-08-20 21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35" s="55" t="str">
        <f t="shared" si="56"/>
        <v>N</v>
      </c>
      <c r="X135" s="128">
        <f t="shared" si="51"/>
        <v>1</v>
      </c>
      <c r="Y135" s="70">
        <f t="shared" si="57"/>
        <v>23.297499999999999</v>
      </c>
      <c r="Z135" s="70">
        <f t="shared" si="58"/>
        <v>1.43E-2</v>
      </c>
      <c r="AA135" s="70">
        <f t="shared" si="59"/>
        <v>23.283200000000001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60"/>
        <v>0222-20</v>
      </c>
      <c r="AE135" s="103" t="str">
        <f t="shared" si="61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135" s="100" t="str">
        <f t="shared" si="62"/>
        <v>"C:\Program Files (x86)\AstroGrep\AstroGrep.exe" /spath="%USERPROFILE%\AppData\Local\Temp\OnboardLogs" /stypes="*4028*20160821*" /stext=" 02:.+((SYSTEM_STATE.+slice.+state.+changed )|(ment ac)|(system.+state.+changed )|(\|lc)|(penalty)|(\[timeout)|(PRM\|1\|D)|(kpr)|(kdp))" /e /r /s</v>
      </c>
      <c r="AG135" s="1" t="str">
        <f t="shared" si="63"/>
        <v>EC</v>
      </c>
      <c r="AH135" s="104" t="str">
        <f t="shared" si="48"/>
        <v>"%USERPROFILE%\Documents\GitHub\eaglep3\Utilities\RefineRTDCRunTimes.py" --tripid 222-20 --locoid 4028 --swversion DE.1.0.7.0 --startMP 204:232975 --initTime 2016-08-20T19:46:45 --startdatetime 2016-08-20T19:48:23 --delay 1 --endMP 204:143 --enddatetime 2016-08-20T20:36:51 --enforcementcount 0</v>
      </c>
    </row>
    <row r="136" spans="1:34" x14ac:dyDescent="0.25">
      <c r="A136" s="40" t="s">
        <v>587</v>
      </c>
      <c r="B136" s="7">
        <v>4009</v>
      </c>
      <c r="C136" s="25" t="s">
        <v>116</v>
      </c>
      <c r="D136" s="25" t="s">
        <v>588</v>
      </c>
      <c r="E136" s="16">
        <v>42602.809548611112</v>
      </c>
      <c r="F136" s="16">
        <v>42602.810532407406</v>
      </c>
      <c r="G136" s="7">
        <v>1</v>
      </c>
      <c r="H136" s="16" t="s">
        <v>589</v>
      </c>
      <c r="I136" s="16">
        <v>42602.820254629631</v>
      </c>
      <c r="J136" s="7">
        <v>0</v>
      </c>
      <c r="K136" s="141" t="str">
        <f t="shared" si="52"/>
        <v>4009/4010</v>
      </c>
      <c r="L136" s="25" t="str">
        <f>VLOOKUP(A136,'Trips&amp;Operators'!$C$1:$E$10000,3,FALSE)</f>
        <v>NEWELL</v>
      </c>
      <c r="M136" s="6">
        <f t="shared" si="53"/>
        <v>9.7222222248092294E-3</v>
      </c>
      <c r="N136" s="7"/>
      <c r="O136" s="7"/>
      <c r="P136" s="7">
        <f>24*60*SUM($M136:$M137)</f>
        <v>41.499999999068677</v>
      </c>
      <c r="Q136" s="26"/>
      <c r="R136" s="26" t="s">
        <v>207</v>
      </c>
      <c r="S136" s="38">
        <f>SUM(U136:U137)/IF(AG136="EC",12,1)</f>
        <v>0.58333333333333337</v>
      </c>
      <c r="T136" s="53" t="str">
        <f t="shared" si="54"/>
        <v>NorthBound</v>
      </c>
      <c r="U136" s="13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4</v>
      </c>
      <c r="V136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18:25:45-0600',mode:absolute,to:'2016-08-20 20:41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6" s="55" t="str">
        <f t="shared" si="56"/>
        <v>Y</v>
      </c>
      <c r="X136" s="128">
        <f t="shared" si="51"/>
        <v>1</v>
      </c>
      <c r="Y136" s="70">
        <f t="shared" si="57"/>
        <v>4.3299999999999998E-2</v>
      </c>
      <c r="Z136" s="70">
        <f t="shared" si="58"/>
        <v>4.6534000000000004</v>
      </c>
      <c r="AA136" s="70">
        <f t="shared" si="59"/>
        <v>4.6101000000000001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60"/>
        <v>0223-20</v>
      </c>
      <c r="AE136" s="103" t="str">
        <f t="shared" si="61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36" s="100" t="str">
        <f t="shared" si="62"/>
        <v>"C:\Program Files (x86)\AstroGrep\AstroGrep.exe" /spath="%USERPROFILE%\AppData\Local\Temp\OnboardLogs" /stypes="*4009*20160821*" /stext=" 01:.+((SYSTEM_STATE.+slice.+state.+changed )|(ment ac)|(system.+state.+changed )|(\|lc)|(penalty)|(\[timeout)|(PRM\|1\|D)|(kpr)|(kdp))" /e /r /s</v>
      </c>
      <c r="AG136" s="1" t="str">
        <f t="shared" si="63"/>
        <v>EC</v>
      </c>
      <c r="AH136" s="104" t="str">
        <f t="shared" si="48"/>
        <v>"%USERPROFILE%\Documents\GitHub\eaglep3\Utilities\RefineRTDCRunTimes.py" --tripid 223-20 --locoid 4009 --swversion DE.1.0.7.0 --startMP 204:433 --initTime 2016-08-20T19:25:45 --startdatetime 2016-08-20T19:27:10 --delay 1 --endMP 204:46534 --enddatetime 2016-08-20T19:41:10 --enforcementcount 0</v>
      </c>
    </row>
    <row r="137" spans="1:34" x14ac:dyDescent="0.25">
      <c r="A137" s="40" t="s">
        <v>587</v>
      </c>
      <c r="B137" s="7">
        <v>4009</v>
      </c>
      <c r="C137" s="25" t="s">
        <v>116</v>
      </c>
      <c r="D137" s="25" t="s">
        <v>590</v>
      </c>
      <c r="E137" s="16">
        <v>42602.824976851851</v>
      </c>
      <c r="F137" s="16">
        <v>42602.825798611113</v>
      </c>
      <c r="G137" s="7">
        <v>1</v>
      </c>
      <c r="H137" s="16" t="s">
        <v>591</v>
      </c>
      <c r="I137" s="16">
        <v>42602.844895833332</v>
      </c>
      <c r="J137" s="7">
        <v>0</v>
      </c>
      <c r="K137" s="141" t="str">
        <f t="shared" si="52"/>
        <v>4009/4010</v>
      </c>
      <c r="L137" s="25" t="str">
        <f>VLOOKUP(A137,'Trips&amp;Operators'!$C$1:$E$10000,3,FALSE)</f>
        <v>NEWELL</v>
      </c>
      <c r="M137" s="6">
        <f t="shared" si="53"/>
        <v>1.9097222218988463E-2</v>
      </c>
      <c r="N137" s="7"/>
      <c r="O137" s="7"/>
      <c r="P137" s="7"/>
      <c r="Q137" s="26"/>
      <c r="R137" s="26"/>
      <c r="S137" s="38"/>
      <c r="T137" s="53" t="str">
        <f t="shared" si="54"/>
        <v>NorthBound</v>
      </c>
      <c r="U137" s="13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3</v>
      </c>
      <c r="V137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18:47:58-0600',mode:absolute,to:'2016-08-20 21:16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7" s="55" t="str">
        <f t="shared" si="56"/>
        <v>Y</v>
      </c>
      <c r="X137" s="128">
        <f t="shared" si="51"/>
        <v>0</v>
      </c>
      <c r="Y137" s="70">
        <f t="shared" si="57"/>
        <v>6.4691999999999998</v>
      </c>
      <c r="Z137" s="70">
        <f t="shared" si="58"/>
        <v>23.3337</v>
      </c>
      <c r="AA137" s="70">
        <f t="shared" si="59"/>
        <v>16.8645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60"/>
        <v>0223-20</v>
      </c>
      <c r="AE137" s="103" t="str">
        <f t="shared" si="61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37" s="100" t="str">
        <f t="shared" si="62"/>
        <v>"C:\Program Files (x86)\AstroGrep\AstroGrep.exe" /spath="%USERPROFILE%\AppData\Local\Temp\OnboardLogs" /stypes="*4009*20160821*" /stext=" 02:.+((SYSTEM_STATE.+slice.+state.+changed )|(ment ac)|(system.+state.+changed )|(\|lc)|(penalty)|(\[timeout)|(PRM\|1\|D)|(kpr)|(kdp))" /e /r /s</v>
      </c>
      <c r="AG137" s="1" t="str">
        <f t="shared" si="63"/>
        <v>EC</v>
      </c>
      <c r="AH137" s="104" t="str">
        <f t="shared" si="48"/>
        <v>"%USERPROFILE%\Documents\GitHub\eaglep3\Utilities\RefineRTDCRunTimes.py" --tripid 223-20 --locoid 4009 --swversion DE.1.0.7.0 --startMP 204:64692 --initTime 2016-08-20T19:47:58 --startdatetime 2016-08-20T19:49:09 --delay 1 --endMP 204:233337 --enddatetime 2016-08-20T20:16:39 --enforcementcount 0</v>
      </c>
    </row>
    <row r="138" spans="1:34" x14ac:dyDescent="0.25">
      <c r="A138" s="40" t="s">
        <v>592</v>
      </c>
      <c r="B138" s="7">
        <v>4010</v>
      </c>
      <c r="C138" s="25" t="s">
        <v>116</v>
      </c>
      <c r="D138" s="25" t="s">
        <v>361</v>
      </c>
      <c r="E138" s="16">
        <v>42602.84648148148</v>
      </c>
      <c r="F138" s="16">
        <v>42602.847303240742</v>
      </c>
      <c r="G138" s="7">
        <v>1</v>
      </c>
      <c r="H138" s="16" t="s">
        <v>193</v>
      </c>
      <c r="I138" s="16">
        <v>42602.880057870374</v>
      </c>
      <c r="J138" s="7">
        <v>0</v>
      </c>
      <c r="K138" s="141" t="str">
        <f t="shared" si="52"/>
        <v>4009/4010</v>
      </c>
      <c r="L138" s="25" t="str">
        <f>VLOOKUP(A138,'Trips&amp;Operators'!$C$1:$E$10000,3,FALSE)</f>
        <v>NEWELL</v>
      </c>
      <c r="M138" s="6">
        <f t="shared" si="53"/>
        <v>3.2754629632108845E-2</v>
      </c>
      <c r="N138" s="7">
        <f t="shared" ref="N138:N185" si="65">24*60*SUM($M138:$M138)</f>
        <v>47.166666670236737</v>
      </c>
      <c r="O138" s="7"/>
      <c r="P138" s="7"/>
      <c r="Q138" s="26"/>
      <c r="R138" s="26"/>
      <c r="S138" s="38">
        <f t="shared" ref="S138:S169" si="66">SUM(U138:U138)/IF(AG138="EC",12,1)</f>
        <v>1</v>
      </c>
      <c r="T138" s="53" t="str">
        <f t="shared" si="54"/>
        <v>Southbound</v>
      </c>
      <c r="U138" s="13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19:18:56-0600',mode:absolute,to:'2016-08-20 22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8" s="55" t="str">
        <f t="shared" si="56"/>
        <v>N</v>
      </c>
      <c r="X138" s="128">
        <f t="shared" si="51"/>
        <v>1</v>
      </c>
      <c r="Y138" s="70">
        <f t="shared" si="57"/>
        <v>23.299600000000002</v>
      </c>
      <c r="Z138" s="70">
        <f t="shared" si="58"/>
        <v>1.52E-2</v>
      </c>
      <c r="AA138" s="70">
        <f t="shared" si="59"/>
        <v>23.284400000000002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60"/>
        <v>0224-20</v>
      </c>
      <c r="AE138" s="103" t="str">
        <f t="shared" si="61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138" s="100" t="str">
        <f t="shared" si="62"/>
        <v>"C:\Program Files (x86)\AstroGrep\AstroGrep.exe" /spath="%USERPROFILE%\AppData\Local\Temp\OnboardLogs" /stypes="*4010*20160821*" /stext=" 03:.+((SYSTEM_STATE.+slice.+state.+changed )|(ment ac)|(system.+state.+changed )|(\|lc)|(penalty)|(\[timeout)|(PRM\|1\|D)|(kpr)|(kdp))" /e /r /s</v>
      </c>
      <c r="AG138" s="1" t="str">
        <f t="shared" si="63"/>
        <v>EC</v>
      </c>
      <c r="AH138" s="104" t="str">
        <f t="shared" si="48"/>
        <v>"%USERPROFILE%\Documents\GitHub\eaglep3\Utilities\RefineRTDCRunTimes.py" --tripid 224-20 --locoid 4010 --swversion DE.1.0.7.0 --startMP 204:232996 --initTime 2016-08-20T20:18:56 --startdatetime 2016-08-20T20:20:07 --delay 1 --endMP 204:152 --enddatetime 2016-08-20T21:07:17 --enforcementcount 0</v>
      </c>
    </row>
    <row r="139" spans="1:34" x14ac:dyDescent="0.25">
      <c r="A139" s="40" t="s">
        <v>593</v>
      </c>
      <c r="B139" s="7">
        <v>4031</v>
      </c>
      <c r="C139" s="25" t="s">
        <v>116</v>
      </c>
      <c r="D139" s="25" t="s">
        <v>331</v>
      </c>
      <c r="E139" s="16">
        <v>42602.832569444443</v>
      </c>
      <c r="F139" s="16">
        <v>42602.833333333336</v>
      </c>
      <c r="G139" s="7">
        <v>1</v>
      </c>
      <c r="H139" s="16" t="s">
        <v>150</v>
      </c>
      <c r="I139" s="16">
        <v>42602.860150462962</v>
      </c>
      <c r="J139" s="7">
        <v>0</v>
      </c>
      <c r="K139" s="141" t="str">
        <f t="shared" si="52"/>
        <v>4031/4032</v>
      </c>
      <c r="L139" s="25" t="str">
        <f>VLOOKUP(A139,'Trips&amp;Operators'!$C$1:$E$10000,3,FALSE)</f>
        <v>CHANDLER</v>
      </c>
      <c r="M139" s="6">
        <f t="shared" si="53"/>
        <v>2.6817129626579117E-2</v>
      </c>
      <c r="N139" s="7">
        <f t="shared" si="65"/>
        <v>38.616666662273929</v>
      </c>
      <c r="O139" s="7"/>
      <c r="P139" s="7"/>
      <c r="Q139" s="26"/>
      <c r="R139" s="26"/>
      <c r="S139" s="38">
        <f t="shared" si="66"/>
        <v>1</v>
      </c>
      <c r="T139" s="53" t="str">
        <f t="shared" si="54"/>
        <v>NorthBound</v>
      </c>
      <c r="U139" s="13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18:58:54-0600',mode:absolute,to:'2016-08-20 21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9" s="55" t="str">
        <f t="shared" si="56"/>
        <v>N</v>
      </c>
      <c r="X139" s="128">
        <f t="shared" si="51"/>
        <v>1</v>
      </c>
      <c r="Y139" s="70">
        <f t="shared" si="57"/>
        <v>4.5999999999999999E-2</v>
      </c>
      <c r="Z139" s="70">
        <f t="shared" si="58"/>
        <v>23.331</v>
      </c>
      <c r="AA139" s="70">
        <f t="shared" si="59"/>
        <v>23.285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60"/>
        <v>0225-20</v>
      </c>
      <c r="AE139" s="103" t="str">
        <f t="shared" si="61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139" s="100" t="str">
        <f t="shared" si="62"/>
        <v>"C:\Program Files (x86)\AstroGrep\AstroGrep.exe" /spath="%USERPROFILE%\AppData\Local\Temp\OnboardLogs" /stypes="*4031*20160821*" /stext=" 02:.+((SYSTEM_STATE.+slice.+state.+changed )|(ment ac)|(system.+state.+changed )|(\|lc)|(penalty)|(\[timeout)|(PRM\|1\|D)|(kpr)|(kdp))" /e /r /s</v>
      </c>
      <c r="AG139" s="1" t="str">
        <f t="shared" si="63"/>
        <v>EC</v>
      </c>
      <c r="AH139" s="104" t="str">
        <f t="shared" si="48"/>
        <v>"%USERPROFILE%\Documents\GitHub\eaglep3\Utilities\RefineRTDCRunTimes.py" --tripid 225-20 --locoid 4031 --swversion DE.1.0.7.0 --startMP 204:460 --initTime 2016-08-20T19:58:54 --startdatetime 2016-08-20T20:00:00 --delay 1 --endMP 204:233310 --enddatetime 2016-08-20T20:38:37 --enforcementcount 0</v>
      </c>
    </row>
    <row r="140" spans="1:34" x14ac:dyDescent="0.25">
      <c r="A140" s="40" t="s">
        <v>594</v>
      </c>
      <c r="B140" s="7">
        <v>4032</v>
      </c>
      <c r="C140" s="25" t="s">
        <v>116</v>
      </c>
      <c r="D140" s="25" t="s">
        <v>140</v>
      </c>
      <c r="E140" s="16">
        <v>42602.87159722222</v>
      </c>
      <c r="F140" s="16">
        <v>42602.872708333336</v>
      </c>
      <c r="G140" s="7">
        <v>1</v>
      </c>
      <c r="H140" s="16" t="s">
        <v>595</v>
      </c>
      <c r="I140" s="16">
        <v>42602.899560185186</v>
      </c>
      <c r="J140" s="7">
        <v>0</v>
      </c>
      <c r="K140" s="141" t="str">
        <f t="shared" si="52"/>
        <v>4031/4032</v>
      </c>
      <c r="L140" s="25" t="str">
        <f>VLOOKUP(A140,'Trips&amp;Operators'!$C$1:$E$10000,3,FALSE)</f>
        <v>CHANDLER</v>
      </c>
      <c r="M140" s="6">
        <f t="shared" si="53"/>
        <v>2.6851851849642117E-2</v>
      </c>
      <c r="N140" s="7">
        <f t="shared" si="65"/>
        <v>38.666666663484648</v>
      </c>
      <c r="O140" s="7"/>
      <c r="P140" s="7"/>
      <c r="Q140" s="26"/>
      <c r="R140" s="26"/>
      <c r="S140" s="38">
        <f t="shared" si="66"/>
        <v>1</v>
      </c>
      <c r="T140" s="53" t="str">
        <f t="shared" si="54"/>
        <v>Southbound</v>
      </c>
      <c r="U140" s="13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0" t="str">
        <f t="shared" si="55"/>
        <v>https://search-rtdc-monitor-bjffxe2xuh6vdkpspy63sjmuny.us-east-1.es.amazonaws.com/_plugin/kibana/#/discover/Steve-Slow-Train-Analysis-(2080s-and-2083s)?_g=(refreshInterval:(display:Off,section:0,value:0),time:(from:'2016-08-20 19:55:06-0600',mode:absolute,to:'2016-08-20 22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0" s="55" t="str">
        <f t="shared" si="56"/>
        <v>N</v>
      </c>
      <c r="X140" s="128">
        <f t="shared" ref="X140:X150" si="67">VALUE(LEFT(AD140,4))-VALUE(LEFT(AD139,4))</f>
        <v>1</v>
      </c>
      <c r="Y140" s="70">
        <f t="shared" si="57"/>
        <v>23.299399999999999</v>
      </c>
      <c r="Z140" s="70">
        <f t="shared" si="58"/>
        <v>2.5600000000000001E-2</v>
      </c>
      <c r="AA140" s="70">
        <f t="shared" si="59"/>
        <v>23.273799999999998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60"/>
        <v>0226-20</v>
      </c>
      <c r="AE140" s="103" t="str">
        <f t="shared" si="61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140" s="100" t="str">
        <f t="shared" si="62"/>
        <v>"C:\Program Files (x86)\AstroGrep\AstroGrep.exe" /spath="%USERPROFILE%\AppData\Local\Temp\OnboardLogs" /stypes="*4032*20160821*" /stext=" 03:.+((SYSTEM_STATE.+slice.+state.+changed )|(ment ac)|(system.+state.+changed )|(\|lc)|(penalty)|(\[timeout)|(PRM\|1\|D)|(kpr)|(kdp))" /e /r /s</v>
      </c>
      <c r="AG140" s="1" t="str">
        <f t="shared" si="63"/>
        <v>EC</v>
      </c>
      <c r="AH140" s="104" t="str">
        <f t="shared" si="48"/>
        <v>"%USERPROFILE%\Documents\GitHub\eaglep3\Utilities\RefineRTDCRunTimes.py" --tripid 226-20 --locoid 4032 --swversion DE.1.0.7.0 --startMP 204:232994 --initTime 2016-08-20T20:55:06 --startdatetime 2016-08-20T20:56:42 --delay 1 --endMP 204:256 --enddatetime 2016-08-20T21:35:22 --enforcementcount 0</v>
      </c>
    </row>
    <row r="141" spans="1:34" x14ac:dyDescent="0.25">
      <c r="A141" s="40" t="s">
        <v>596</v>
      </c>
      <c r="B141" s="7">
        <v>4007</v>
      </c>
      <c r="C141" s="25" t="s">
        <v>116</v>
      </c>
      <c r="D141" s="25" t="s">
        <v>597</v>
      </c>
      <c r="E141" s="16">
        <v>42602.849282407406</v>
      </c>
      <c r="F141" s="16">
        <v>42602.850243055553</v>
      </c>
      <c r="G141" s="7">
        <v>1</v>
      </c>
      <c r="H141" s="16" t="s">
        <v>369</v>
      </c>
      <c r="I141" s="16">
        <v>42602.879976851851</v>
      </c>
      <c r="J141" s="7">
        <v>0</v>
      </c>
      <c r="K141" s="141" t="str">
        <f t="shared" ref="K141:K172" si="68">IF(ISEVEN(B141),(B141-1)&amp;"/"&amp;B141,B141&amp;"/"&amp;(B141+1))</f>
        <v>4007/4008</v>
      </c>
      <c r="L141" s="25" t="str">
        <f>VLOOKUP(A141,'Trips&amp;Operators'!$C$1:$E$10000,3,FALSE)</f>
        <v>STAMBAUGH</v>
      </c>
      <c r="M141" s="6">
        <f t="shared" ref="M141:M172" si="69">I141-F141</f>
        <v>2.973379629838746E-2</v>
      </c>
      <c r="N141" s="7">
        <f t="shared" si="65"/>
        <v>42.816666669677943</v>
      </c>
      <c r="O141" s="7"/>
      <c r="P141" s="7"/>
      <c r="Q141" s="26"/>
      <c r="R141" s="26"/>
      <c r="S141" s="38">
        <f t="shared" si="66"/>
        <v>1</v>
      </c>
      <c r="T141" s="53" t="str">
        <f t="shared" ref="T141:T172" si="70">IF(ISEVEN(LEFT(AD141,4)),"Southbound","NorthBound")</f>
        <v>NorthBound</v>
      </c>
      <c r="U141" s="13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0" t="str">
        <f t="shared" ref="V141:V172" si="7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https://search-rtdc-monitor-bjffxe2xuh6vdkpspy63sjmuny.us-east-1.es.amazonaws.com/_plugin/kibana/#/discover/Steve-Slow-Train-Analysis-(2080s-and-2083s)?_g=(refreshInterval:(display:Off,section:0,value:0),time:(from:'2016-08-20 19:22:58-0600',mode:absolute,to:'2016-08-20 22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1" s="55" t="str">
        <f t="shared" ref="W141:W172" si="72">IF(AA141&lt;IF(AG141="EC",23,5.65),"Y","N")</f>
        <v>N</v>
      </c>
      <c r="X141" s="128">
        <f t="shared" si="67"/>
        <v>1</v>
      </c>
      <c r="Y141" s="70">
        <f t="shared" ref="Y141:Y172" si="73">RIGHT(D141,LEN(D141)-4)/10000</f>
        <v>5.3900000000000003E-2</v>
      </c>
      <c r="Z141" s="70">
        <f t="shared" ref="Z141:Z172" si="74">RIGHT(H141,LEN(H141)-4)/10000</f>
        <v>23.333100000000002</v>
      </c>
      <c r="AA141" s="70">
        <f t="shared" ref="AA141:AA172" si="75">ABS(Z141-Y141)</f>
        <v>23.279200000000003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ref="AD141:AD172" si="76">IF(LEN(A141)=6,"0"&amp;A141,A141)</f>
        <v>0227-20</v>
      </c>
      <c r="AE141" s="103" t="str">
        <f t="shared" ref="AE141:AE172" si="7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141" s="100" t="str">
        <f t="shared" ref="AF141:AF172" si="78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/stypes="*4007*20160821*" /stext=" 03:.+((SYSTEM_STATE.+slice.+state.+changed )|(ment ac)|(system.+state.+changed )|(\|lc)|(penalty)|(\[timeout)|(PRM\|1\|D)|(kpr)|(kdp))" /e /r /s</v>
      </c>
      <c r="AG141" s="1" t="str">
        <f t="shared" ref="AG141:AG172" si="79">IFERROR(IF(VALUE(LEFT(AD141,2))&lt;=2,"EC",IF(OR(VALUE(LEFT(AD141,2))=8,VALUE(LEFT(AD141,2))=18),"NW","Other")),"Other")</f>
        <v>EC</v>
      </c>
      <c r="AH141" s="104" t="str">
        <f t="shared" ref="AH141:AH201" si="8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227-20 --locoid 4007 --swversion DE.1.0.7.0 --startMP 204:539 --initTime 2016-08-20T20:22:58 --startdatetime 2016-08-20T20:24:21 --delay 1 --endMP 204:233331 --enddatetime 2016-08-20T21:07:10 --enforcementcount 0</v>
      </c>
    </row>
    <row r="142" spans="1:34" x14ac:dyDescent="0.25">
      <c r="A142" s="40" t="s">
        <v>598</v>
      </c>
      <c r="B142" s="7">
        <v>4008</v>
      </c>
      <c r="C142" s="25" t="s">
        <v>116</v>
      </c>
      <c r="D142" s="25" t="s">
        <v>599</v>
      </c>
      <c r="E142" s="16">
        <v>42602.890555555554</v>
      </c>
      <c r="F142" s="16">
        <v>42602.891192129631</v>
      </c>
      <c r="G142" s="7">
        <v>0</v>
      </c>
      <c r="H142" s="16" t="s">
        <v>221</v>
      </c>
      <c r="I142" s="16">
        <v>42602.921388888892</v>
      </c>
      <c r="J142" s="7">
        <v>0</v>
      </c>
      <c r="K142" s="141" t="str">
        <f t="shared" si="68"/>
        <v>4007/4008</v>
      </c>
      <c r="L142" s="25" t="str">
        <f>VLOOKUP(A142,'Trips&amp;Operators'!$C$1:$E$10000,3,FALSE)</f>
        <v>STAMBAUGH</v>
      </c>
      <c r="M142" s="6">
        <f t="shared" si="69"/>
        <v>3.0196759260434192E-2</v>
      </c>
      <c r="N142" s="7">
        <f t="shared" si="65"/>
        <v>43.483333335025236</v>
      </c>
      <c r="O142" s="7"/>
      <c r="P142" s="7"/>
      <c r="Q142" s="26"/>
      <c r="R142" s="26"/>
      <c r="S142" s="38">
        <f t="shared" si="66"/>
        <v>1</v>
      </c>
      <c r="T142" s="53" t="str">
        <f t="shared" si="70"/>
        <v>Southbound</v>
      </c>
      <c r="U142" s="13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20:22:24-0600',mode:absolute,to:'2016-08-20 23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2" s="55" t="str">
        <f t="shared" si="72"/>
        <v>N</v>
      </c>
      <c r="X142" s="128">
        <f t="shared" si="67"/>
        <v>1</v>
      </c>
      <c r="Y142" s="70">
        <f t="shared" si="73"/>
        <v>23.302099999999999</v>
      </c>
      <c r="Z142" s="70">
        <f t="shared" si="74"/>
        <v>1.4500000000000001E-2</v>
      </c>
      <c r="AA142" s="70">
        <f t="shared" si="75"/>
        <v>23.287599999999998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76"/>
        <v>0228-20</v>
      </c>
      <c r="AE142" s="103" t="str">
        <f t="shared" si="77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142" s="100" t="str">
        <f t="shared" si="78"/>
        <v>"C:\Program Files (x86)\AstroGrep\AstroGrep.exe" /spath="%USERPROFILE%\AppData\Local\Temp\OnboardLogs" /stypes="*4008*20160821*" /stext=" 04:.+((SYSTEM_STATE.+slice.+state.+changed )|(ment ac)|(system.+state.+changed )|(\|lc)|(penalty)|(\[timeout)|(PRM\|1\|D)|(kpr)|(kdp))" /e /r /s</v>
      </c>
      <c r="AG142" s="1" t="str">
        <f t="shared" si="79"/>
        <v>EC</v>
      </c>
      <c r="AH142" s="104" t="str">
        <f t="shared" si="80"/>
        <v>"%USERPROFILE%\Documents\GitHub\eaglep3\Utilities\RefineRTDCRunTimes.py" --tripid 228-20 --locoid 4008 --swversion DE.1.0.7.0 --startMP 204:233021 --initTime 2016-08-20T21:22:24 --startdatetime 2016-08-20T21:23:19 --delay 0 --endMP 204:145 --enddatetime 2016-08-20T22:06:48 --enforcementcount 0</v>
      </c>
    </row>
    <row r="143" spans="1:34" x14ac:dyDescent="0.25">
      <c r="A143" s="40" t="s">
        <v>600</v>
      </c>
      <c r="B143" s="7">
        <v>4027</v>
      </c>
      <c r="C143" s="25" t="s">
        <v>116</v>
      </c>
      <c r="D143" s="25" t="s">
        <v>192</v>
      </c>
      <c r="E143" s="16">
        <v>42602.873333333337</v>
      </c>
      <c r="F143" s="16">
        <v>42602.874259259261</v>
      </c>
      <c r="G143" s="7">
        <v>1</v>
      </c>
      <c r="H143" s="16" t="s">
        <v>227</v>
      </c>
      <c r="I143" s="16">
        <v>42602.901180555556</v>
      </c>
      <c r="J143" s="7">
        <v>0</v>
      </c>
      <c r="K143" s="141" t="str">
        <f t="shared" si="68"/>
        <v>4027/4028</v>
      </c>
      <c r="L143" s="25" t="str">
        <f>VLOOKUP(A143,'Trips&amp;Operators'!$C$1:$E$10000,3,FALSE)</f>
        <v>LEVIN</v>
      </c>
      <c r="M143" s="6">
        <f t="shared" si="69"/>
        <v>2.6921296295768116E-2</v>
      </c>
      <c r="N143" s="7">
        <f t="shared" si="65"/>
        <v>38.766666665906087</v>
      </c>
      <c r="O143" s="7"/>
      <c r="P143" s="7"/>
      <c r="Q143" s="26"/>
      <c r="R143" s="26"/>
      <c r="S143" s="38">
        <f t="shared" si="66"/>
        <v>1</v>
      </c>
      <c r="T143" s="53" t="str">
        <f t="shared" si="70"/>
        <v>NorthBound</v>
      </c>
      <c r="U143" s="13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19:57:36-0600',mode:absolute,to:'2016-08-20 22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43" s="55" t="str">
        <f t="shared" si="72"/>
        <v>N</v>
      </c>
      <c r="X143" s="128">
        <f t="shared" si="67"/>
        <v>1</v>
      </c>
      <c r="Y143" s="70">
        <f t="shared" si="73"/>
        <v>4.4600000000000001E-2</v>
      </c>
      <c r="Z143" s="70">
        <f t="shared" si="74"/>
        <v>23.330200000000001</v>
      </c>
      <c r="AA143" s="70">
        <f t="shared" si="75"/>
        <v>23.285600000000002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76"/>
        <v>0229-20</v>
      </c>
      <c r="AE143" s="103" t="str">
        <f t="shared" si="77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143" s="100" t="str">
        <f t="shared" si="78"/>
        <v>"C:\Program Files (x86)\AstroGrep\AstroGrep.exe" /spath="%USERPROFILE%\AppData\Local\Temp\OnboardLogs" /stypes="*4027*20160821*" /stext=" 03:.+((SYSTEM_STATE.+slice.+state.+changed )|(ment ac)|(system.+state.+changed )|(\|lc)|(penalty)|(\[timeout)|(PRM\|1\|D)|(kpr)|(kdp))" /e /r /s</v>
      </c>
      <c r="AG143" s="1" t="str">
        <f t="shared" si="79"/>
        <v>EC</v>
      </c>
      <c r="AH143" s="104" t="str">
        <f t="shared" si="80"/>
        <v>"%USERPROFILE%\Documents\GitHub\eaglep3\Utilities\RefineRTDCRunTimes.py" --tripid 229-20 --locoid 4027 --swversion DE.1.0.7.0 --startMP 204:446 --initTime 2016-08-20T20:57:36 --startdatetime 2016-08-20T20:58:56 --delay 1 --endMP 204:233302 --enddatetime 2016-08-20T21:37:42 --enforcementcount 0</v>
      </c>
    </row>
    <row r="144" spans="1:34" x14ac:dyDescent="0.25">
      <c r="A144" s="40" t="s">
        <v>601</v>
      </c>
      <c r="B144" s="7">
        <v>4028</v>
      </c>
      <c r="C144" s="25" t="s">
        <v>116</v>
      </c>
      <c r="D144" s="25" t="s">
        <v>140</v>
      </c>
      <c r="E144" s="16">
        <v>42602.910914351851</v>
      </c>
      <c r="F144" s="16">
        <v>42602.911678240744</v>
      </c>
      <c r="G144" s="7">
        <v>1</v>
      </c>
      <c r="H144" s="16" t="s">
        <v>534</v>
      </c>
      <c r="I144" s="16">
        <v>42602.940601851849</v>
      </c>
      <c r="J144" s="7">
        <v>0</v>
      </c>
      <c r="K144" s="141" t="str">
        <f t="shared" si="68"/>
        <v>4027/4028</v>
      </c>
      <c r="L144" s="25" t="str">
        <f>VLOOKUP(A144,'Trips&amp;Operators'!$C$1:$E$10000,3,FALSE)</f>
        <v>LEVIN</v>
      </c>
      <c r="M144" s="6">
        <f t="shared" si="69"/>
        <v>2.8923611105710734E-2</v>
      </c>
      <c r="N144" s="7">
        <f t="shared" si="65"/>
        <v>41.649999992223457</v>
      </c>
      <c r="O144" s="7"/>
      <c r="P144" s="7"/>
      <c r="Q144" s="26"/>
      <c r="R144" s="26"/>
      <c r="S144" s="38">
        <f t="shared" si="66"/>
        <v>1</v>
      </c>
      <c r="T144" s="53" t="str">
        <f t="shared" si="70"/>
        <v>Southbound</v>
      </c>
      <c r="U144" s="13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20:51:43-0600',mode:absolute,to:'2016-08-20 23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4" s="55" t="str">
        <f t="shared" si="72"/>
        <v>N</v>
      </c>
      <c r="X144" s="128">
        <f t="shared" si="67"/>
        <v>1</v>
      </c>
      <c r="Y144" s="70">
        <f t="shared" si="73"/>
        <v>23.299399999999999</v>
      </c>
      <c r="Z144" s="70">
        <f t="shared" si="74"/>
        <v>1.3599999999999999E-2</v>
      </c>
      <c r="AA144" s="70">
        <f t="shared" si="75"/>
        <v>23.285799999999998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76"/>
        <v>0230-20</v>
      </c>
      <c r="AE144" s="103" t="str">
        <f t="shared" si="77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144" s="100" t="str">
        <f t="shared" si="78"/>
        <v>"C:\Program Files (x86)\AstroGrep\AstroGrep.exe" /spath="%USERPROFILE%\AppData\Local\Temp\OnboardLogs" /stypes="*4028*20160821*" /stext=" 04:.+((SYSTEM_STATE.+slice.+state.+changed )|(ment ac)|(system.+state.+changed )|(\|lc)|(penalty)|(\[timeout)|(PRM\|1\|D)|(kpr)|(kdp))" /e /r /s</v>
      </c>
      <c r="AG144" s="1" t="str">
        <f t="shared" si="79"/>
        <v>EC</v>
      </c>
      <c r="AH144" s="104" t="str">
        <f t="shared" si="80"/>
        <v>"%USERPROFILE%\Documents\GitHub\eaglep3\Utilities\RefineRTDCRunTimes.py" --tripid 230-20 --locoid 4028 --swversion DE.1.0.7.0 --startMP 204:232994 --initTime 2016-08-20T21:51:43 --startdatetime 2016-08-20T21:52:49 --delay 1 --endMP 204:136 --enddatetime 2016-08-20T22:34:28 --enforcementcount 0</v>
      </c>
    </row>
    <row r="145" spans="1:34" x14ac:dyDescent="0.25">
      <c r="A145" s="40" t="s">
        <v>602</v>
      </c>
      <c r="B145" s="7">
        <v>4009</v>
      </c>
      <c r="C145" s="25" t="s">
        <v>116</v>
      </c>
      <c r="D145" s="25" t="s">
        <v>381</v>
      </c>
      <c r="E145" s="16">
        <v>42602.883275462962</v>
      </c>
      <c r="F145" s="16">
        <v>42602.883935185186</v>
      </c>
      <c r="G145" s="7">
        <v>0</v>
      </c>
      <c r="H145" s="16" t="s">
        <v>603</v>
      </c>
      <c r="I145" s="16">
        <v>42602.921180555553</v>
      </c>
      <c r="J145" s="7">
        <v>0</v>
      </c>
      <c r="K145" s="141" t="str">
        <f t="shared" si="68"/>
        <v>4009/4010</v>
      </c>
      <c r="L145" s="25" t="str">
        <f>VLOOKUP(A145,'Trips&amp;Operators'!$C$1:$E$10000,3,FALSE)</f>
        <v>NEWELL</v>
      </c>
      <c r="M145" s="6">
        <f t="shared" si="69"/>
        <v>3.7245370367600117E-2</v>
      </c>
      <c r="N145" s="7">
        <f t="shared" si="65"/>
        <v>53.633333329344168</v>
      </c>
      <c r="O145" s="7"/>
      <c r="P145" s="7"/>
      <c r="Q145" s="26"/>
      <c r="R145" s="26"/>
      <c r="S145" s="38">
        <f t="shared" si="66"/>
        <v>1</v>
      </c>
      <c r="T145" s="53" t="str">
        <f t="shared" si="70"/>
        <v>NorthBound</v>
      </c>
      <c r="U145" s="13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20:11:55-0600',mode:absolute,to:'2016-08-20 23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5" s="55" t="str">
        <f t="shared" si="72"/>
        <v>N</v>
      </c>
      <c r="X145" s="128">
        <f t="shared" si="67"/>
        <v>1</v>
      </c>
      <c r="Y145" s="70">
        <f t="shared" si="73"/>
        <v>4.7300000000000002E-2</v>
      </c>
      <c r="Z145" s="70">
        <f t="shared" si="74"/>
        <v>23.331099999999999</v>
      </c>
      <c r="AA145" s="70">
        <f t="shared" si="75"/>
        <v>23.283799999999999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76"/>
        <v>0231-20</v>
      </c>
      <c r="AE145" s="103" t="str">
        <f t="shared" si="77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45" s="100" t="str">
        <f t="shared" si="78"/>
        <v>"C:\Program Files (x86)\AstroGrep\AstroGrep.exe" /spath="%USERPROFILE%\AppData\Local\Temp\OnboardLogs" /stypes="*4009*20160821*" /stext=" 04:.+((SYSTEM_STATE.+slice.+state.+changed )|(ment ac)|(system.+state.+changed )|(\|lc)|(penalty)|(\[timeout)|(PRM\|1\|D)|(kpr)|(kdp))" /e /r /s</v>
      </c>
      <c r="AG145" s="1" t="str">
        <f t="shared" si="79"/>
        <v>EC</v>
      </c>
      <c r="AH145" s="104" t="str">
        <f t="shared" si="80"/>
        <v>"%USERPROFILE%\Documents\GitHub\eaglep3\Utilities\RefineRTDCRunTimes.py" --tripid 231-20 --locoid 4009 --swversion DE.1.0.7.0 --startMP 204:473 --initTime 2016-08-20T21:11:55 --startdatetime 2016-08-20T21:12:52 --delay 0 --endMP 204:233311 --enddatetime 2016-08-20T22:06:30 --enforcementcount 0</v>
      </c>
    </row>
    <row r="146" spans="1:34" x14ac:dyDescent="0.25">
      <c r="A146" s="40" t="s">
        <v>604</v>
      </c>
      <c r="B146" s="7">
        <v>4010</v>
      </c>
      <c r="C146" s="25" t="s">
        <v>116</v>
      </c>
      <c r="D146" s="25" t="s">
        <v>61</v>
      </c>
      <c r="E146" s="16">
        <v>42602.922546296293</v>
      </c>
      <c r="F146" s="16">
        <v>42602.923321759263</v>
      </c>
      <c r="G146" s="7">
        <v>1</v>
      </c>
      <c r="H146" s="16" t="s">
        <v>193</v>
      </c>
      <c r="I146" s="16">
        <v>42602.964224537034</v>
      </c>
      <c r="J146" s="7">
        <v>0</v>
      </c>
      <c r="K146" s="141" t="str">
        <f t="shared" si="68"/>
        <v>4009/4010</v>
      </c>
      <c r="L146" s="25" t="str">
        <f>VLOOKUP(A146,'Trips&amp;Operators'!$C$1:$E$10000,3,FALSE)</f>
        <v>NEWELL</v>
      </c>
      <c r="M146" s="6">
        <f t="shared" si="69"/>
        <v>4.0902777771407273E-2</v>
      </c>
      <c r="N146" s="7">
        <f t="shared" si="65"/>
        <v>58.899999990826473</v>
      </c>
      <c r="O146" s="7"/>
      <c r="P146" s="7"/>
      <c r="Q146" s="26"/>
      <c r="R146" s="26"/>
      <c r="S146" s="38">
        <f t="shared" si="66"/>
        <v>1</v>
      </c>
      <c r="T146" s="53" t="str">
        <f t="shared" si="70"/>
        <v>Southbound</v>
      </c>
      <c r="U146" s="13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21:08:28-0600',mode:absolute,to:'2016-08-21 00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6" s="55" t="str">
        <f t="shared" si="72"/>
        <v>N</v>
      </c>
      <c r="X146" s="128">
        <f t="shared" si="67"/>
        <v>1</v>
      </c>
      <c r="Y146" s="70">
        <f t="shared" si="73"/>
        <v>23.297699999999999</v>
      </c>
      <c r="Z146" s="70">
        <f t="shared" si="74"/>
        <v>1.52E-2</v>
      </c>
      <c r="AA146" s="70">
        <f t="shared" si="75"/>
        <v>23.282499999999999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76"/>
        <v>0232-20</v>
      </c>
      <c r="AE146" s="103" t="str">
        <f t="shared" si="77"/>
        <v>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 &amp; 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</v>
      </c>
      <c r="AF146" s="100" t="str">
        <f t="shared" si="78"/>
        <v>"C:\Program Files (x86)\AstroGrep\AstroGrep.exe" /spath="%USERPROFILE%\AppData\Local\Temp\OnboardLogs" /stypes="*4010*20160821*" /stext=" 05:.+((SYSTEM_STATE.+slice.+state.+changed )|(ment ac)|(system.+state.+changed )|(\|lc)|(penalty)|(\[timeout)|(PRM\|1\|D)|(kpr)|(kdp))" /e /r /s</v>
      </c>
      <c r="AG146" s="1" t="str">
        <f t="shared" si="79"/>
        <v>EC</v>
      </c>
      <c r="AH146" s="104" t="str">
        <f t="shared" si="80"/>
        <v>"%USERPROFILE%\Documents\GitHub\eaglep3\Utilities\RefineRTDCRunTimes.py" --tripid 232-20 --locoid 4010 --swversion DE.1.0.7.0 --startMP 204:232977 --initTime 2016-08-20T22:08:28 --startdatetime 2016-08-20T22:09:35 --delay 1 --endMP 204:152 --enddatetime 2016-08-20T23:08:29 --enforcementcount 0</v>
      </c>
    </row>
    <row r="147" spans="1:34" x14ac:dyDescent="0.25">
      <c r="A147" s="40" t="s">
        <v>605</v>
      </c>
      <c r="B147" s="7">
        <v>4031</v>
      </c>
      <c r="C147" s="25" t="s">
        <v>116</v>
      </c>
      <c r="D147" s="25" t="s">
        <v>290</v>
      </c>
      <c r="E147" s="16">
        <v>42602.915300925924</v>
      </c>
      <c r="F147" s="16">
        <v>42602.91642361111</v>
      </c>
      <c r="G147" s="7">
        <v>1</v>
      </c>
      <c r="H147" s="16" t="s">
        <v>139</v>
      </c>
      <c r="I147" s="16">
        <v>42602.943645833337</v>
      </c>
      <c r="J147" s="7">
        <v>0</v>
      </c>
      <c r="K147" s="141" t="str">
        <f t="shared" si="68"/>
        <v>4031/4032</v>
      </c>
      <c r="L147" s="25" t="str">
        <f>VLOOKUP(A147,'Trips&amp;Operators'!$C$1:$E$10000,3,FALSE)</f>
        <v>CHANDLER</v>
      </c>
      <c r="M147" s="6">
        <f t="shared" si="69"/>
        <v>2.7222222226555459E-2</v>
      </c>
      <c r="N147" s="7">
        <f t="shared" si="65"/>
        <v>39.200000006239861</v>
      </c>
      <c r="O147" s="7"/>
      <c r="P147" s="7"/>
      <c r="Q147" s="26"/>
      <c r="R147" s="26"/>
      <c r="S147" s="38">
        <f t="shared" si="66"/>
        <v>1</v>
      </c>
      <c r="T147" s="53" t="str">
        <f t="shared" si="70"/>
        <v>NorthBound</v>
      </c>
      <c r="U147" s="13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20:58:02-0600',mode:absolute,to:'2016-08-20 23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7" s="55" t="str">
        <f t="shared" si="72"/>
        <v>N</v>
      </c>
      <c r="X147" s="128">
        <f t="shared" si="67"/>
        <v>1</v>
      </c>
      <c r="Y147" s="70">
        <f t="shared" si="73"/>
        <v>5.5100000000000003E-2</v>
      </c>
      <c r="Z147" s="70">
        <f t="shared" si="74"/>
        <v>23.328900000000001</v>
      </c>
      <c r="AA147" s="70">
        <f t="shared" si="75"/>
        <v>23.273800000000001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76"/>
        <v>0233-20</v>
      </c>
      <c r="AE147" s="103" t="str">
        <f t="shared" si="77"/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AF147" s="100" t="str">
        <f t="shared" si="78"/>
        <v>"C:\Program Files (x86)\AstroGrep\AstroGrep.exe" /spath="%USERPROFILE%\AppData\Local\Temp\OnboardLogs" /stypes="*4031*20160821*" /stext=" 04:.+((SYSTEM_STATE.+slice.+state.+changed )|(ment ac)|(system.+state.+changed )|(\|lc)|(penalty)|(\[timeout)|(PRM\|1\|D)|(kpr)|(kdp))" /e /r /s</v>
      </c>
      <c r="AG147" s="1" t="str">
        <f t="shared" si="79"/>
        <v>EC</v>
      </c>
      <c r="AH147" s="104" t="str">
        <f t="shared" si="80"/>
        <v>"%USERPROFILE%\Documents\GitHub\eaglep3\Utilities\RefineRTDCRunTimes.py" --tripid 233-20 --locoid 4031 --swversion DE.1.0.7.0 --startMP 204:551 --initTime 2016-08-20T21:58:02 --startdatetime 2016-08-20T21:59:39 --delay 1 --endMP 204:233289 --enddatetime 2016-08-20T22:38:51 --enforcementcount 0</v>
      </c>
    </row>
    <row r="148" spans="1:34" x14ac:dyDescent="0.25">
      <c r="A148" s="40" t="s">
        <v>606</v>
      </c>
      <c r="B148" s="7">
        <v>4032</v>
      </c>
      <c r="C148" s="25" t="s">
        <v>116</v>
      </c>
      <c r="D148" s="25" t="s">
        <v>351</v>
      </c>
      <c r="E148" s="16">
        <v>42602.953657407408</v>
      </c>
      <c r="F148" s="16">
        <v>42602.954571759263</v>
      </c>
      <c r="G148" s="7">
        <v>1</v>
      </c>
      <c r="H148" s="16" t="s">
        <v>204</v>
      </c>
      <c r="I148" s="16">
        <v>42602.985023148147</v>
      </c>
      <c r="J148" s="7">
        <v>0</v>
      </c>
      <c r="K148" s="141" t="str">
        <f t="shared" si="68"/>
        <v>4031/4032</v>
      </c>
      <c r="L148" s="25" t="str">
        <f>VLOOKUP(A148,'Trips&amp;Operators'!$C$1:$E$10000,3,FALSE)</f>
        <v>CHANDLER</v>
      </c>
      <c r="M148" s="6">
        <f t="shared" si="69"/>
        <v>3.0451388884102926E-2</v>
      </c>
      <c r="N148" s="7">
        <f t="shared" si="65"/>
        <v>43.849999993108213</v>
      </c>
      <c r="O148" s="7"/>
      <c r="P148" s="7"/>
      <c r="Q148" s="26"/>
      <c r="R148" s="26"/>
      <c r="S148" s="38">
        <f t="shared" si="66"/>
        <v>1</v>
      </c>
      <c r="T148" s="53" t="str">
        <f t="shared" si="70"/>
        <v>Southbound</v>
      </c>
      <c r="U148" s="13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21:53:16-0600',mode:absolute,to:'2016-08-21 00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8" s="55" t="str">
        <f t="shared" si="72"/>
        <v>N</v>
      </c>
      <c r="X148" s="128">
        <f t="shared" si="67"/>
        <v>1</v>
      </c>
      <c r="Y148" s="70">
        <f t="shared" si="73"/>
        <v>23.296099999999999</v>
      </c>
      <c r="Z148" s="70">
        <f t="shared" si="74"/>
        <v>1.61E-2</v>
      </c>
      <c r="AA148" s="70">
        <f t="shared" si="75"/>
        <v>23.279999999999998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76"/>
        <v>0234-20</v>
      </c>
      <c r="AE148" s="103" t="str">
        <f t="shared" si="77"/>
        <v>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 &amp; 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</v>
      </c>
      <c r="AF148" s="100" t="str">
        <f t="shared" si="78"/>
        <v>"C:\Program Files (x86)\AstroGrep\AstroGrep.exe" /spath="%USERPROFILE%\AppData\Local\Temp\OnboardLogs" /stypes="*4032*20160821*" /stext=" 05:.+((SYSTEM_STATE.+slice.+state.+changed )|(ment ac)|(system.+state.+changed )|(\|lc)|(penalty)|(\[timeout)|(PRM\|1\|D)|(kpr)|(kdp))" /e /r /s</v>
      </c>
      <c r="AG148" s="1" t="str">
        <f t="shared" si="79"/>
        <v>EC</v>
      </c>
      <c r="AH148" s="104" t="str">
        <f t="shared" si="80"/>
        <v>"%USERPROFILE%\Documents\GitHub\eaglep3\Utilities\RefineRTDCRunTimes.py" --tripid 234-20 --locoid 4032 --swversion DE.1.0.7.0 --startMP 204:232961 --initTime 2016-08-20T22:53:16 --startdatetime 2016-08-20T22:54:35 --delay 1 --endMP 204:161 --enddatetime 2016-08-20T23:38:26 --enforcementcount 0</v>
      </c>
    </row>
    <row r="149" spans="1:34" x14ac:dyDescent="0.25">
      <c r="A149" s="40" t="s">
        <v>607</v>
      </c>
      <c r="B149" s="7">
        <v>4007</v>
      </c>
      <c r="C149" s="25" t="s">
        <v>116</v>
      </c>
      <c r="D149" s="25" t="s">
        <v>608</v>
      </c>
      <c r="E149" s="16">
        <v>42602.936435185184</v>
      </c>
      <c r="F149" s="16">
        <v>42602.937951388885</v>
      </c>
      <c r="G149" s="7">
        <v>2</v>
      </c>
      <c r="H149" s="16" t="s">
        <v>609</v>
      </c>
      <c r="I149" s="16">
        <v>42602.964212962965</v>
      </c>
      <c r="J149" s="7">
        <v>0</v>
      </c>
      <c r="K149" s="141" t="str">
        <f t="shared" si="68"/>
        <v>4007/4008</v>
      </c>
      <c r="L149" s="25" t="str">
        <f>VLOOKUP(A149,'Trips&amp;Operators'!$C$1:$E$10000,3,FALSE)</f>
        <v>STAMBAUGH</v>
      </c>
      <c r="M149" s="6">
        <f t="shared" si="69"/>
        <v>2.6261574079398997E-2</v>
      </c>
      <c r="N149" s="7">
        <f t="shared" si="65"/>
        <v>37.816666674334556</v>
      </c>
      <c r="O149" s="7"/>
      <c r="P149" s="7"/>
      <c r="Q149" s="26"/>
      <c r="R149" s="26"/>
      <c r="S149" s="38">
        <f t="shared" si="66"/>
        <v>1</v>
      </c>
      <c r="T149" s="53" t="str">
        <f t="shared" si="70"/>
        <v>NorthBound</v>
      </c>
      <c r="U149" s="13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21:28:28-0600',mode:absolute,to:'2016-08-21 00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9" s="55" t="str">
        <f t="shared" si="72"/>
        <v>N</v>
      </c>
      <c r="X149" s="128">
        <f t="shared" si="67"/>
        <v>1</v>
      </c>
      <c r="Y149" s="70">
        <f t="shared" si="73"/>
        <v>4.3099999999999999E-2</v>
      </c>
      <c r="Z149" s="70">
        <f t="shared" si="74"/>
        <v>23.331600000000002</v>
      </c>
      <c r="AA149" s="70">
        <f t="shared" si="75"/>
        <v>23.288500000000003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76"/>
        <v>0235-20</v>
      </c>
      <c r="AE149" s="103" t="str">
        <f t="shared" si="77"/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AF149" s="100" t="str">
        <f t="shared" si="78"/>
        <v>"C:\Program Files (x86)\AstroGrep\AstroGrep.exe" /spath="%USERPROFILE%\AppData\Local\Temp\OnboardLogs" /stypes="*4007*20160821*" /stext=" 05:.+((SYSTEM_STATE.+slice.+state.+changed )|(ment ac)|(system.+state.+changed )|(\|lc)|(penalty)|(\[timeout)|(PRM\|1\|D)|(kpr)|(kdp))" /e /r /s</v>
      </c>
      <c r="AG149" s="1" t="str">
        <f t="shared" si="79"/>
        <v>EC</v>
      </c>
      <c r="AH149" s="104" t="str">
        <f t="shared" si="80"/>
        <v>"%USERPROFILE%\Documents\GitHub\eaglep3\Utilities\RefineRTDCRunTimes.py" --tripid 235-20 --locoid 4007 --swversion DE.1.0.7.0 --startMP 204:431 --initTime 2016-08-20T22:28:28 --startdatetime 2016-08-20T22:30:39 --delay 2 --endMP 204:233316 --enddatetime 2016-08-20T23:08:28 --enforcementcount 0</v>
      </c>
    </row>
    <row r="150" spans="1:34" x14ac:dyDescent="0.25">
      <c r="A150" s="40" t="s">
        <v>610</v>
      </c>
      <c r="B150" s="7">
        <v>4008</v>
      </c>
      <c r="C150" s="25" t="s">
        <v>116</v>
      </c>
      <c r="D150" s="25" t="s">
        <v>214</v>
      </c>
      <c r="E150" s="16">
        <v>42602.973738425928</v>
      </c>
      <c r="F150" s="16">
        <v>42602.974432870367</v>
      </c>
      <c r="G150" s="7">
        <v>1</v>
      </c>
      <c r="H150" s="16" t="s">
        <v>193</v>
      </c>
      <c r="I150" s="16">
        <v>42603.00712962963</v>
      </c>
      <c r="J150" s="7">
        <v>0</v>
      </c>
      <c r="K150" s="141" t="str">
        <f t="shared" si="68"/>
        <v>4007/4008</v>
      </c>
      <c r="L150" s="25" t="str">
        <f>VLOOKUP(A150,'Trips&amp;Operators'!$C$1:$E$10000,3,FALSE)</f>
        <v>STAMBAUGH</v>
      </c>
      <c r="M150" s="6">
        <f t="shared" si="69"/>
        <v>3.2696759262762498E-2</v>
      </c>
      <c r="N150" s="7">
        <f t="shared" si="65"/>
        <v>47.083333338377997</v>
      </c>
      <c r="O150" s="7"/>
      <c r="P150" s="7"/>
      <c r="Q150" s="26"/>
      <c r="R150" s="26"/>
      <c r="S150" s="38">
        <f t="shared" si="66"/>
        <v>1</v>
      </c>
      <c r="T150" s="53" t="str">
        <f t="shared" si="70"/>
        <v>Southbound</v>
      </c>
      <c r="U150" s="13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22:22:11-0600',mode:absolute,to:'2016-08-21 01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0" s="55" t="str">
        <f t="shared" si="72"/>
        <v>N</v>
      </c>
      <c r="X150" s="128">
        <f t="shared" si="67"/>
        <v>1</v>
      </c>
      <c r="Y150" s="70">
        <f t="shared" si="73"/>
        <v>23.297999999999998</v>
      </c>
      <c r="Z150" s="70">
        <f t="shared" si="74"/>
        <v>1.52E-2</v>
      </c>
      <c r="AA150" s="70">
        <f t="shared" si="75"/>
        <v>23.282799999999998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76"/>
        <v>0236-20</v>
      </c>
      <c r="AE150" s="103" t="str">
        <f t="shared" si="77"/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AF150" s="100" t="str">
        <f t="shared" si="78"/>
        <v>"C:\Program Files (x86)\AstroGrep\AstroGrep.exe" /spath="%USERPROFILE%\AppData\Local\Temp\OnboardLogs" /stypes="*4008*20160821*" /stext=" 06:.+((SYSTEM_STATE.+slice.+state.+changed )|(ment ac)|(system.+state.+changed )|(\|lc)|(penalty)|(\[timeout)|(PRM\|1\|D)|(kpr)|(kdp))" /e /r /s</v>
      </c>
      <c r="AG150" s="1" t="str">
        <f t="shared" si="79"/>
        <v>EC</v>
      </c>
      <c r="AH150" s="104" t="str">
        <f t="shared" si="80"/>
        <v>"%USERPROFILE%\Documents\GitHub\eaglep3\Utilities\RefineRTDCRunTimes.py" --tripid 236-20 --locoid 4008 --swversion DE.1.0.7.0 --startMP 204:232980 --initTime 2016-08-20T23:22:11 --startdatetime 2016-08-20T23:23:11 --delay 1 --endMP 204:152 --enddatetime 2016-08-21T00:10:16 --enforcementcount 0</v>
      </c>
    </row>
    <row r="151" spans="1:34" x14ac:dyDescent="0.25">
      <c r="A151" s="40" t="s">
        <v>611</v>
      </c>
      <c r="B151" s="7">
        <v>4027</v>
      </c>
      <c r="C151" s="25" t="s">
        <v>116</v>
      </c>
      <c r="D151" s="25" t="s">
        <v>331</v>
      </c>
      <c r="E151" s="16">
        <v>42602.949849537035</v>
      </c>
      <c r="F151" s="16">
        <v>42602.950821759259</v>
      </c>
      <c r="G151" s="7">
        <v>1</v>
      </c>
      <c r="H151" s="16" t="s">
        <v>195</v>
      </c>
      <c r="I151" s="16">
        <v>42602.985023148147</v>
      </c>
      <c r="J151" s="7">
        <v>0</v>
      </c>
      <c r="K151" s="141" t="str">
        <f t="shared" si="68"/>
        <v>4027/4028</v>
      </c>
      <c r="L151" s="25" t="str">
        <f>VLOOKUP(A151,'Trips&amp;Operators'!$C$1:$E$10000,3,FALSE)</f>
        <v>LEVIN</v>
      </c>
      <c r="M151" s="6">
        <f t="shared" si="69"/>
        <v>3.4201388887595385E-2</v>
      </c>
      <c r="N151" s="7">
        <f t="shared" si="65"/>
        <v>49.249999998137355</v>
      </c>
      <c r="O151" s="7"/>
      <c r="P151" s="7"/>
      <c r="Q151" s="26"/>
      <c r="R151" s="26"/>
      <c r="S151" s="38">
        <f t="shared" si="66"/>
        <v>1</v>
      </c>
      <c r="T151" s="53" t="str">
        <f t="shared" si="70"/>
        <v>NorthBound</v>
      </c>
      <c r="U151" s="13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21:47:47-0600',mode:absolute,to:'2016-08-21 00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1" s="55" t="str">
        <f t="shared" si="72"/>
        <v>N</v>
      </c>
      <c r="X151" s="128">
        <f t="shared" ref="X151:X167" si="81">VALUE(LEFT(AD151,4))-VALUE(LEFT(AD150,4))</f>
        <v>1</v>
      </c>
      <c r="Y151" s="70">
        <f t="shared" si="73"/>
        <v>4.5999999999999999E-2</v>
      </c>
      <c r="Z151" s="70">
        <f t="shared" si="74"/>
        <v>23.330500000000001</v>
      </c>
      <c r="AA151" s="70">
        <f t="shared" si="75"/>
        <v>23.284500000000001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76"/>
        <v>0237-20</v>
      </c>
      <c r="AE151" s="103" t="str">
        <f t="shared" si="77"/>
        <v>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 &amp; 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</v>
      </c>
      <c r="AF151" s="100" t="str">
        <f t="shared" si="78"/>
        <v>"C:\Program Files (x86)\AstroGrep\AstroGrep.exe" /spath="%USERPROFILE%\AppData\Local\Temp\OnboardLogs" /stypes="*4027*20160821*" /stext=" 05:.+((SYSTEM_STATE.+slice.+state.+changed )|(ment ac)|(system.+state.+changed )|(\|lc)|(penalty)|(\[timeout)|(PRM\|1\|D)|(kpr)|(kdp))" /e /r /s</v>
      </c>
      <c r="AG151" s="1" t="str">
        <f t="shared" si="79"/>
        <v>EC</v>
      </c>
      <c r="AH151" s="104" t="str">
        <f t="shared" si="80"/>
        <v>"%USERPROFILE%\Documents\GitHub\eaglep3\Utilities\RefineRTDCRunTimes.py" --tripid 237-20 --locoid 4027 --swversion DE.1.0.7.0 --startMP 204:460 --initTime 2016-08-20T22:47:47 --startdatetime 2016-08-20T22:49:11 --delay 1 --endMP 204:233305 --enddatetime 2016-08-20T23:38:26 --enforcementcount 0</v>
      </c>
    </row>
    <row r="152" spans="1:34" x14ac:dyDescent="0.25">
      <c r="A152" s="40" t="s">
        <v>612</v>
      </c>
      <c r="B152" s="7">
        <v>4028</v>
      </c>
      <c r="C152" s="25" t="s">
        <v>116</v>
      </c>
      <c r="D152" s="25" t="s">
        <v>225</v>
      </c>
      <c r="E152" s="16">
        <v>42602.98946759259</v>
      </c>
      <c r="F152" s="16">
        <v>42602.990289351852</v>
      </c>
      <c r="G152" s="7">
        <v>1</v>
      </c>
      <c r="H152" s="16" t="s">
        <v>167</v>
      </c>
      <c r="I152" s="16">
        <v>42603.024421296293</v>
      </c>
      <c r="J152" s="7">
        <v>0</v>
      </c>
      <c r="K152" s="141" t="str">
        <f t="shared" si="68"/>
        <v>4027/4028</v>
      </c>
      <c r="L152" s="25" t="str">
        <f>VLOOKUP(A152,'Trips&amp;Operators'!$C$1:$E$10000,3,FALSE)</f>
        <v>LEVIN</v>
      </c>
      <c r="M152" s="6">
        <f t="shared" si="69"/>
        <v>3.4131944441469386E-2</v>
      </c>
      <c r="N152" s="7">
        <f t="shared" si="65"/>
        <v>49.149999995715916</v>
      </c>
      <c r="O152" s="7"/>
      <c r="P152" s="7"/>
      <c r="Q152" s="26"/>
      <c r="R152" s="26"/>
      <c r="S152" s="38">
        <f t="shared" si="66"/>
        <v>1</v>
      </c>
      <c r="T152" s="53" t="str">
        <f t="shared" si="70"/>
        <v>Southbound</v>
      </c>
      <c r="U152" s="13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22:44:50-0600',mode:absolute,to:'2016-08-21 01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2" s="55" t="str">
        <f t="shared" si="72"/>
        <v>N</v>
      </c>
      <c r="X152" s="128">
        <f t="shared" si="81"/>
        <v>1</v>
      </c>
      <c r="Y152" s="70">
        <f t="shared" si="73"/>
        <v>23.298200000000001</v>
      </c>
      <c r="Z152" s="70">
        <f t="shared" si="74"/>
        <v>1.54E-2</v>
      </c>
      <c r="AA152" s="70">
        <f t="shared" si="75"/>
        <v>23.282800000000002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76"/>
        <v>0238-20</v>
      </c>
      <c r="AE152" s="103" t="str">
        <f t="shared" si="77"/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AF152" s="100" t="str">
        <f t="shared" si="78"/>
        <v>"C:\Program Files (x86)\AstroGrep\AstroGrep.exe" /spath="%USERPROFILE%\AppData\Local\Temp\OnboardLogs" /stypes="*4028*20160821*" /stext=" 06:.+((SYSTEM_STATE.+slice.+state.+changed )|(ment ac)|(system.+state.+changed )|(\|lc)|(penalty)|(\[timeout)|(PRM\|1\|D)|(kpr)|(kdp))" /e /r /s</v>
      </c>
      <c r="AG152" s="1" t="str">
        <f t="shared" si="79"/>
        <v>EC</v>
      </c>
      <c r="AH152" s="104" t="str">
        <f t="shared" si="80"/>
        <v>"%USERPROFILE%\Documents\GitHub\eaglep3\Utilities\RefineRTDCRunTimes.py" --tripid 238-20 --locoid 4028 --swversion DE.1.0.7.0 --startMP 204:232982 --initTime 2016-08-20T23:44:50 --startdatetime 2016-08-20T23:46:01 --delay 1 --endMP 204:154 --enddatetime 2016-08-21T00:35:10 --enforcementcount 0</v>
      </c>
    </row>
    <row r="153" spans="1:34" x14ac:dyDescent="0.25">
      <c r="A153" s="40" t="s">
        <v>613</v>
      </c>
      <c r="B153" s="7">
        <v>4009</v>
      </c>
      <c r="C153" s="25" t="s">
        <v>116</v>
      </c>
      <c r="D153" s="25" t="s">
        <v>381</v>
      </c>
      <c r="E153" s="16">
        <v>42602.978043981479</v>
      </c>
      <c r="F153" s="16">
        <v>42602.978993055556</v>
      </c>
      <c r="G153" s="7">
        <v>1</v>
      </c>
      <c r="H153" s="16" t="s">
        <v>211</v>
      </c>
      <c r="I153" s="16">
        <v>42603.004699074074</v>
      </c>
      <c r="J153" s="7">
        <v>0</v>
      </c>
      <c r="K153" s="141" t="str">
        <f t="shared" si="68"/>
        <v>4009/4010</v>
      </c>
      <c r="L153" s="25" t="str">
        <f>VLOOKUP(A153,'Trips&amp;Operators'!$C$1:$E$10000,3,FALSE)</f>
        <v>NEWELL</v>
      </c>
      <c r="M153" s="6">
        <f t="shared" si="69"/>
        <v>2.5706018517666962E-2</v>
      </c>
      <c r="N153" s="7">
        <f t="shared" si="65"/>
        <v>37.016666665440425</v>
      </c>
      <c r="O153" s="7"/>
      <c r="P153" s="7"/>
      <c r="Q153" s="26"/>
      <c r="R153" s="26"/>
      <c r="S153" s="38">
        <f t="shared" si="66"/>
        <v>1</v>
      </c>
      <c r="T153" s="53" t="str">
        <f t="shared" si="70"/>
        <v>NorthBound</v>
      </c>
      <c r="U153" s="13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22:28:23-0600',mode:absolute,to:'2016-08-21 01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3" s="55" t="str">
        <f t="shared" si="72"/>
        <v>N</v>
      </c>
      <c r="X153" s="128">
        <f t="shared" si="81"/>
        <v>1</v>
      </c>
      <c r="Y153" s="70">
        <f t="shared" si="73"/>
        <v>4.7300000000000002E-2</v>
      </c>
      <c r="Z153" s="70">
        <f t="shared" si="74"/>
        <v>23.331399999999999</v>
      </c>
      <c r="AA153" s="70">
        <f t="shared" si="75"/>
        <v>23.284099999999999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76"/>
        <v>0239-20</v>
      </c>
      <c r="AE153" s="103" t="str">
        <f t="shared" si="77"/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AF153" s="100" t="str">
        <f t="shared" si="78"/>
        <v>"C:\Program Files (x86)\AstroGrep\AstroGrep.exe" /spath="%USERPROFILE%\AppData\Local\Temp\OnboardLogs" /stypes="*4009*20160821*" /stext=" 06:.+((SYSTEM_STATE.+slice.+state.+changed )|(ment ac)|(system.+state.+changed )|(\|lc)|(penalty)|(\[timeout)|(PRM\|1\|D)|(kpr)|(kdp))" /e /r /s</v>
      </c>
      <c r="AG153" s="1" t="str">
        <f t="shared" si="79"/>
        <v>EC</v>
      </c>
      <c r="AH153" s="104" t="str">
        <f t="shared" si="80"/>
        <v>"%USERPROFILE%\Documents\GitHub\eaglep3\Utilities\RefineRTDCRunTimes.py" --tripid 239-20 --locoid 4009 --swversion DE.1.0.7.0 --startMP 204:473 --initTime 2016-08-20T23:28:23 --startdatetime 2016-08-20T23:29:45 --delay 1 --endMP 204:233314 --enddatetime 2016-08-21T00:06:46 --enforcementcount 0</v>
      </c>
    </row>
    <row r="154" spans="1:34" x14ac:dyDescent="0.25">
      <c r="A154" s="40" t="s">
        <v>614</v>
      </c>
      <c r="B154" s="7">
        <v>4010</v>
      </c>
      <c r="C154" s="25" t="s">
        <v>116</v>
      </c>
      <c r="D154" s="25" t="s">
        <v>367</v>
      </c>
      <c r="E154" s="16">
        <v>42603.014490740738</v>
      </c>
      <c r="F154" s="16">
        <v>42603.015416666669</v>
      </c>
      <c r="G154" s="7">
        <v>1</v>
      </c>
      <c r="H154" s="16" t="s">
        <v>204</v>
      </c>
      <c r="I154" s="16">
        <v>42603.046770833331</v>
      </c>
      <c r="J154" s="7">
        <v>0</v>
      </c>
      <c r="K154" s="141" t="str">
        <f t="shared" si="68"/>
        <v>4009/4010</v>
      </c>
      <c r="L154" s="25" t="str">
        <f>VLOOKUP(A154,'Trips&amp;Operators'!$C$1:$E$10000,3,FALSE)</f>
        <v>NEWELL</v>
      </c>
      <c r="M154" s="6">
        <f t="shared" si="69"/>
        <v>3.1354166661913041E-2</v>
      </c>
      <c r="N154" s="7">
        <f t="shared" si="65"/>
        <v>45.149999993154779</v>
      </c>
      <c r="O154" s="7"/>
      <c r="P154" s="7"/>
      <c r="Q154" s="26"/>
      <c r="R154" s="26"/>
      <c r="S154" s="38">
        <f t="shared" si="66"/>
        <v>1</v>
      </c>
      <c r="T154" s="53" t="str">
        <f t="shared" si="70"/>
        <v>Southbound</v>
      </c>
      <c r="U154" s="13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23:20:52-0600',mode:absolute,to:'2016-08-21 02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4" s="55" t="str">
        <f t="shared" si="72"/>
        <v>N</v>
      </c>
      <c r="X154" s="128">
        <f t="shared" si="81"/>
        <v>1</v>
      </c>
      <c r="Y154" s="70">
        <f t="shared" si="73"/>
        <v>23.2986</v>
      </c>
      <c r="Z154" s="70">
        <f t="shared" si="74"/>
        <v>1.61E-2</v>
      </c>
      <c r="AA154" s="70">
        <f t="shared" si="75"/>
        <v>23.282499999999999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76"/>
        <v>0240-20</v>
      </c>
      <c r="AE154" s="103" t="str">
        <f t="shared" si="77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154" s="100" t="str">
        <f t="shared" si="78"/>
        <v>"C:\Program Files (x86)\AstroGrep\AstroGrep.exe" /spath="%USERPROFILE%\AppData\Local\Temp\OnboardLogs" /stypes="*4010*20160821*" /stext=" 07:.+((SYSTEM_STATE.+slice.+state.+changed )|(ment ac)|(system.+state.+changed )|(\|lc)|(penalty)|(\[timeout)|(PRM\|1\|D)|(kpr)|(kdp))" /e /r /s</v>
      </c>
      <c r="AG154" s="1" t="str">
        <f t="shared" si="79"/>
        <v>EC</v>
      </c>
      <c r="AH154" s="104" t="str">
        <f t="shared" si="80"/>
        <v>"%USERPROFILE%\Documents\GitHub\eaglep3\Utilities\RefineRTDCRunTimes.py" --tripid 240-20 --locoid 4010 --swversion DE.1.0.7.0 --startMP 204:232986 --initTime 2016-08-21T00:20:52 --startdatetime 2016-08-21T00:22:12 --delay 1 --endMP 204:161 --enddatetime 2016-08-21T01:07:21 --enforcementcount 0</v>
      </c>
    </row>
    <row r="155" spans="1:34" x14ac:dyDescent="0.25">
      <c r="A155" s="40" t="s">
        <v>615</v>
      </c>
      <c r="B155" s="7">
        <v>4031</v>
      </c>
      <c r="C155" s="25" t="s">
        <v>116</v>
      </c>
      <c r="D155" s="25" t="s">
        <v>194</v>
      </c>
      <c r="E155" s="16">
        <v>42602.999363425923</v>
      </c>
      <c r="F155" s="16">
        <v>42603.000254629631</v>
      </c>
      <c r="G155" s="7">
        <v>1</v>
      </c>
      <c r="H155" s="16" t="s">
        <v>569</v>
      </c>
      <c r="I155" s="16">
        <v>42603.027361111112</v>
      </c>
      <c r="J155" s="7">
        <v>0</v>
      </c>
      <c r="K155" s="141" t="str">
        <f t="shared" si="68"/>
        <v>4031/4032</v>
      </c>
      <c r="L155" s="25" t="str">
        <f>VLOOKUP(A155,'Trips&amp;Operators'!$C$1:$E$10000,3,FALSE)</f>
        <v>CHANDLER</v>
      </c>
      <c r="M155" s="6">
        <f t="shared" si="69"/>
        <v>2.7106481480586808E-2</v>
      </c>
      <c r="N155" s="7">
        <f t="shared" si="65"/>
        <v>39.033333332045004</v>
      </c>
      <c r="O155" s="7"/>
      <c r="P155" s="7"/>
      <c r="Q155" s="26"/>
      <c r="R155" s="26"/>
      <c r="S155" s="38">
        <f t="shared" si="66"/>
        <v>1</v>
      </c>
      <c r="T155" s="53" t="str">
        <f t="shared" si="70"/>
        <v>NorthBound</v>
      </c>
      <c r="U155" s="13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22:59:05-0600',mode:absolute,to:'2016-08-21 01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5" s="55" t="str">
        <f t="shared" si="72"/>
        <v>N</v>
      </c>
      <c r="X155" s="128">
        <f t="shared" si="81"/>
        <v>1</v>
      </c>
      <c r="Y155" s="70">
        <f t="shared" si="73"/>
        <v>4.7500000000000001E-2</v>
      </c>
      <c r="Z155" s="70">
        <f t="shared" si="74"/>
        <v>23.328199999999999</v>
      </c>
      <c r="AA155" s="70">
        <f t="shared" si="75"/>
        <v>23.2807</v>
      </c>
      <c r="AB155" s="67">
        <f>VLOOKUP(A155,Enforcements!$C$7:$J$24,8,0)</f>
        <v>63069</v>
      </c>
      <c r="AC155" s="63" t="str">
        <f>VLOOKUP(A155,Enforcements!$C$7:$E$24,3,0)</f>
        <v>GRADE CROSSING</v>
      </c>
      <c r="AD155" s="64" t="str">
        <f t="shared" si="76"/>
        <v>0241-20</v>
      </c>
      <c r="AE155" s="103" t="str">
        <f t="shared" si="77"/>
        <v>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 &amp; aws s3 cp s3://rtdc.mdm.uploadarchive/RTDC4031/2016-08-22/ "%USERPROFILE%\AppData\Local\Temp\OnboardLogs"\RTDC4031\2016-08-22 --recursive &amp; "%USERPROFILE%\Documents\GitHub\mrs-test-scripts\Headless Mode &amp; Sideloading\WalkAndUnGZ.bat" "%USERPROFILE%\AppData\Local\Temp\OnboardLogs"\RTDC4031\2016-08-22</v>
      </c>
      <c r="AF155" s="100" t="str">
        <f t="shared" si="78"/>
        <v>"C:\Program Files (x86)\AstroGrep\AstroGrep.exe" /spath="%USERPROFILE%\AppData\Local\Temp\OnboardLogs" /stypes="*4031*20160821*" /stext=" 06:.+((SYSTEM_STATE.+slice.+state.+changed )|(ment ac)|(system.+state.+changed )|(\|lc)|(penalty)|(\[timeout)|(PRM\|1\|D)|(kpr)|(kdp))" /e /r /s</v>
      </c>
      <c r="AG155" s="1" t="str">
        <f t="shared" si="79"/>
        <v>EC</v>
      </c>
      <c r="AH155" s="104" t="str">
        <f t="shared" si="80"/>
        <v>"%USERPROFILE%\Documents\GitHub\eaglep3\Utilities\RefineRTDCRunTimes.py" --tripid 241-20 --locoid 4031 --swversion DE.1.0.7.0 --startMP 204:475 --initTime 2016-08-20T23:59:05 --startdatetime 2016-08-21T00:00:22 --delay 1 --endMP 204:233282 --enddatetime 2016-08-21T00:39:24 --enforcementcount 0</v>
      </c>
    </row>
    <row r="156" spans="1:34" x14ac:dyDescent="0.25">
      <c r="A156" s="40" t="s">
        <v>616</v>
      </c>
      <c r="B156" s="7">
        <v>4032</v>
      </c>
      <c r="C156" s="25" t="s">
        <v>116</v>
      </c>
      <c r="D156" s="25" t="s">
        <v>168</v>
      </c>
      <c r="E156" s="16">
        <v>42603.03765046296</v>
      </c>
      <c r="F156" s="16">
        <v>42603.038368055553</v>
      </c>
      <c r="G156" s="7">
        <v>1</v>
      </c>
      <c r="H156" s="16" t="s">
        <v>163</v>
      </c>
      <c r="I156" s="16">
        <v>42603.06863425926</v>
      </c>
      <c r="J156" s="7">
        <v>0</v>
      </c>
      <c r="K156" s="141" t="str">
        <f t="shared" si="68"/>
        <v>4031/4032</v>
      </c>
      <c r="L156" s="25" t="str">
        <f>VLOOKUP(A156,'Trips&amp;Operators'!$C$1:$E$10000,3,FALSE)</f>
        <v>CHANDLER</v>
      </c>
      <c r="M156" s="6">
        <f t="shared" si="69"/>
        <v>3.0266203706560191E-2</v>
      </c>
      <c r="N156" s="7">
        <f t="shared" si="65"/>
        <v>43.583333337446675</v>
      </c>
      <c r="O156" s="7"/>
      <c r="P156" s="7"/>
      <c r="Q156" s="26"/>
      <c r="R156" s="26"/>
      <c r="S156" s="38">
        <f t="shared" si="66"/>
        <v>1</v>
      </c>
      <c r="T156" s="53" t="str">
        <f t="shared" si="70"/>
        <v>Southbound</v>
      </c>
      <c r="U156" s="13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23:54:13-0600',mode:absolute,to:'2016-08-21 02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6" s="55" t="str">
        <f t="shared" si="72"/>
        <v>N</v>
      </c>
      <c r="X156" s="128">
        <f t="shared" si="81"/>
        <v>1</v>
      </c>
      <c r="Y156" s="70">
        <f t="shared" si="73"/>
        <v>23.296500000000002</v>
      </c>
      <c r="Z156" s="70">
        <f t="shared" si="74"/>
        <v>1.5599999999999999E-2</v>
      </c>
      <c r="AA156" s="70">
        <f t="shared" si="75"/>
        <v>23.280900000000003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76"/>
        <v>0242-20</v>
      </c>
      <c r="AE156" s="103" t="str">
        <f t="shared" si="77"/>
        <v>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 &amp; aws s3 cp s3://rtdc.mdm.uploadarchive/RTDC4032/2016-08-22/ "%USERPROFILE%\AppData\Local\Temp\OnboardLogs"\RTDC4032\2016-08-22 --recursive &amp; "%USERPROFILE%\Documents\GitHub\mrs-test-scripts\Headless Mode &amp; Sideloading\WalkAndUnGZ.bat" "%USERPROFILE%\AppData\Local\Temp\OnboardLogs"\RTDC4032\2016-08-22</v>
      </c>
      <c r="AF156" s="100" t="str">
        <f t="shared" si="78"/>
        <v>"C:\Program Files (x86)\AstroGrep\AstroGrep.exe" /spath="%USERPROFILE%\AppData\Local\Temp\OnboardLogs" /stypes="*4032*20160821*" /stext=" 07:.+((SYSTEM_STATE.+slice.+state.+changed )|(ment ac)|(system.+state.+changed )|(\|lc)|(penalty)|(\[timeout)|(PRM\|1\|D)|(kpr)|(kdp))" /e /r /s</v>
      </c>
      <c r="AG156" s="1" t="str">
        <f t="shared" si="79"/>
        <v>EC</v>
      </c>
      <c r="AH156" s="104" t="str">
        <f t="shared" si="80"/>
        <v>"%USERPROFILE%\Documents\GitHub\eaglep3\Utilities\RefineRTDCRunTimes.py" --tripid 242-20 --locoid 4032 --swversion DE.1.0.7.0 --startMP 204:232965 --initTime 2016-08-21T00:54:13 --startdatetime 2016-08-21T00:55:15 --delay 1 --endMP 204:156 --enddatetime 2016-08-21T01:38:50 --enforcementcount 0</v>
      </c>
    </row>
    <row r="157" spans="1:34" s="24" customFormat="1" x14ac:dyDescent="0.25">
      <c r="A157" s="40" t="s">
        <v>617</v>
      </c>
      <c r="B157" s="7">
        <v>4007</v>
      </c>
      <c r="C157" s="25" t="s">
        <v>116</v>
      </c>
      <c r="D157" s="25" t="s">
        <v>267</v>
      </c>
      <c r="E157" s="16">
        <v>42603.015416666669</v>
      </c>
      <c r="F157" s="16">
        <v>42603.01635416667</v>
      </c>
      <c r="G157" s="7">
        <v>1</v>
      </c>
      <c r="H157" s="16" t="s">
        <v>603</v>
      </c>
      <c r="I157" s="16">
        <v>42603.048819444448</v>
      </c>
      <c r="J157" s="7">
        <v>0</v>
      </c>
      <c r="K157" s="141" t="str">
        <f t="shared" si="68"/>
        <v>4007/4008</v>
      </c>
      <c r="L157" s="25" t="str">
        <f>VLOOKUP(A157,'Trips&amp;Operators'!$C$1:$E$10000,3,FALSE)</f>
        <v>STAMBAUGH</v>
      </c>
      <c r="M157" s="6">
        <f t="shared" si="69"/>
        <v>3.2465277778101154E-2</v>
      </c>
      <c r="N157" s="7">
        <f t="shared" si="65"/>
        <v>46.750000000465661</v>
      </c>
      <c r="O157" s="7"/>
      <c r="P157" s="7"/>
      <c r="Q157" s="26"/>
      <c r="R157" s="26"/>
      <c r="S157" s="38">
        <f t="shared" si="66"/>
        <v>1</v>
      </c>
      <c r="T157" s="53" t="str">
        <f t="shared" si="70"/>
        <v>NorthBound</v>
      </c>
      <c r="U157" s="13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23:22:12-0600',mode:absolute,to:'2016-08-21 02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7" s="55" t="str">
        <f t="shared" si="72"/>
        <v>N</v>
      </c>
      <c r="X157" s="128">
        <f t="shared" si="81"/>
        <v>1</v>
      </c>
      <c r="Y157" s="70">
        <f t="shared" si="73"/>
        <v>4.8000000000000001E-2</v>
      </c>
      <c r="Z157" s="70">
        <f t="shared" si="74"/>
        <v>23.331099999999999</v>
      </c>
      <c r="AA157" s="70">
        <f t="shared" si="75"/>
        <v>23.283100000000001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76"/>
        <v>0243-20</v>
      </c>
      <c r="AE157" s="103" t="str">
        <f t="shared" si="77"/>
        <v>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 &amp; 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</v>
      </c>
      <c r="AF157" s="100" t="str">
        <f t="shared" si="78"/>
        <v>"C:\Program Files (x86)\AstroGrep\AstroGrep.exe" /spath="%USERPROFILE%\AppData\Local\Temp\OnboardLogs" /stypes="*4007*20160821*" /stext=" 07:.+((SYSTEM_STATE.+slice.+state.+changed )|(ment ac)|(system.+state.+changed )|(\|lc)|(penalty)|(\[timeout)|(PRM\|1\|D)|(kpr)|(kdp))" /e /r /s</v>
      </c>
      <c r="AG157" s="1" t="str">
        <f t="shared" si="79"/>
        <v>EC</v>
      </c>
      <c r="AH157" s="104" t="str">
        <f t="shared" si="80"/>
        <v>"%USERPROFILE%\Documents\GitHub\eaglep3\Utilities\RefineRTDCRunTimes.py" --tripid 243-20 --locoid 4007 --swversion DE.1.0.7.0 --startMP 204:480 --initTime 2016-08-21T00:22:12 --startdatetime 2016-08-21T00:23:33 --delay 1 --endMP 204:233311 --enddatetime 2016-08-21T01:10:18 --enforcementcount 0</v>
      </c>
    </row>
    <row r="158" spans="1:34" x14ac:dyDescent="0.25">
      <c r="A158" s="40" t="s">
        <v>618</v>
      </c>
      <c r="B158" s="7">
        <v>4008</v>
      </c>
      <c r="C158" s="25" t="s">
        <v>116</v>
      </c>
      <c r="D158" s="25" t="s">
        <v>214</v>
      </c>
      <c r="E158" s="16">
        <v>42603.057175925926</v>
      </c>
      <c r="F158" s="16">
        <v>42603.05810185185</v>
      </c>
      <c r="G158" s="7">
        <v>1</v>
      </c>
      <c r="H158" s="16" t="s">
        <v>619</v>
      </c>
      <c r="I158" s="16">
        <v>42603.089328703703</v>
      </c>
      <c r="J158" s="7">
        <v>0</v>
      </c>
      <c r="K158" s="141" t="str">
        <f t="shared" si="68"/>
        <v>4007/4008</v>
      </c>
      <c r="L158" s="25" t="str">
        <f>VLOOKUP(A158,'Trips&amp;Operators'!$C$1:$E$10000,3,FALSE)</f>
        <v>STAMBAUGH</v>
      </c>
      <c r="M158" s="6">
        <f t="shared" si="69"/>
        <v>3.1226851853716653E-2</v>
      </c>
      <c r="N158" s="7">
        <f t="shared" si="65"/>
        <v>44.96666666935198</v>
      </c>
      <c r="O158" s="7"/>
      <c r="P158" s="7"/>
      <c r="Q158" s="26"/>
      <c r="R158" s="26"/>
      <c r="S158" s="38">
        <f t="shared" si="66"/>
        <v>1</v>
      </c>
      <c r="T158" s="53" t="str">
        <f t="shared" si="70"/>
        <v>Southbound</v>
      </c>
      <c r="U158" s="13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https://search-rtdc-monitor-bjffxe2xuh6vdkpspy63sjmuny.us-east-1.es.amazonaws.com/_plugin/kibana/#/discover/Steve-Slow-Train-Analysis-(2080s-and-2083s)?_g=(refreshInterval:(display:Off,section:0,value:0),time:(from:'2016-08-21 00:22:20-0600',mode:absolute,to:'2016-08-21 03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8" s="55" t="str">
        <f t="shared" si="72"/>
        <v>N</v>
      </c>
      <c r="X158" s="128">
        <f t="shared" si="81"/>
        <v>1</v>
      </c>
      <c r="Y158" s="70">
        <f t="shared" si="73"/>
        <v>23.297999999999998</v>
      </c>
      <c r="Z158" s="70">
        <f t="shared" si="74"/>
        <v>1.89E-2</v>
      </c>
      <c r="AA158" s="70">
        <f t="shared" si="75"/>
        <v>23.2791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76"/>
        <v>0244-20</v>
      </c>
      <c r="AE158" s="103" t="str">
        <f t="shared" si="77"/>
        <v>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 &amp; 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</v>
      </c>
      <c r="AF158" s="100" t="str">
        <f t="shared" si="78"/>
        <v>"C:\Program Files (x86)\AstroGrep\AstroGrep.exe" /spath="%USERPROFILE%\AppData\Local\Temp\OnboardLogs" /stypes="*4008*20160821*" /stext=" 08:.+((SYSTEM_STATE.+slice.+state.+changed )|(ment ac)|(system.+state.+changed )|(\|lc)|(penalty)|(\[timeout)|(PRM\|1\|D)|(kpr)|(kdp))" /e /r /s</v>
      </c>
      <c r="AG158" s="1" t="str">
        <f t="shared" si="79"/>
        <v>EC</v>
      </c>
      <c r="AH158" s="104" t="str">
        <f t="shared" si="80"/>
        <v>"%USERPROFILE%\Documents\GitHub\eaglep3\Utilities\RefineRTDCRunTimes.py" --tripid 244-20 --locoid 4008 --swversion DE.1.0.7.0 --startMP 204:232980 --initTime 2016-08-21T01:22:20 --startdatetime 2016-08-21T01:23:40 --delay 1 --endMP 204:189 --enddatetime 2016-08-21T02:08:38 --enforcementcount 0</v>
      </c>
    </row>
    <row r="159" spans="1:34" x14ac:dyDescent="0.25">
      <c r="A159" s="40" t="s">
        <v>620</v>
      </c>
      <c r="B159" s="7">
        <v>4027</v>
      </c>
      <c r="C159" s="25" t="s">
        <v>116</v>
      </c>
      <c r="D159" s="25" t="s">
        <v>192</v>
      </c>
      <c r="E159" s="16">
        <v>42603.036863425928</v>
      </c>
      <c r="F159" s="16">
        <v>42603.037870370368</v>
      </c>
      <c r="G159" s="7">
        <v>1</v>
      </c>
      <c r="H159" s="16" t="s">
        <v>195</v>
      </c>
      <c r="I159" s="16">
        <v>42603.067488425928</v>
      </c>
      <c r="J159" s="7">
        <v>0</v>
      </c>
      <c r="K159" s="141" t="str">
        <f t="shared" si="68"/>
        <v>4027/4028</v>
      </c>
      <c r="L159" s="25" t="str">
        <f>VLOOKUP(A159,'Trips&amp;Operators'!$C$1:$E$10000,3,FALSE)</f>
        <v>LEVIN</v>
      </c>
      <c r="M159" s="6">
        <f t="shared" si="69"/>
        <v>2.9618055559694767E-2</v>
      </c>
      <c r="N159" s="7">
        <f t="shared" si="65"/>
        <v>42.650000005960464</v>
      </c>
      <c r="O159" s="7"/>
      <c r="P159" s="7"/>
      <c r="Q159" s="26"/>
      <c r="R159" s="26"/>
      <c r="S159" s="38">
        <f t="shared" si="66"/>
        <v>1</v>
      </c>
      <c r="T159" s="53" t="str">
        <f t="shared" si="70"/>
        <v>NorthBound</v>
      </c>
      <c r="U159" s="13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23:53:05-0600',mode:absolute,to:'2016-08-21 02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9" s="55" t="str">
        <f t="shared" si="72"/>
        <v>N</v>
      </c>
      <c r="X159" s="128">
        <f t="shared" si="81"/>
        <v>1</v>
      </c>
      <c r="Y159" s="70">
        <f t="shared" si="73"/>
        <v>4.4600000000000001E-2</v>
      </c>
      <c r="Z159" s="70">
        <f t="shared" si="74"/>
        <v>23.330500000000001</v>
      </c>
      <c r="AA159" s="70">
        <f t="shared" si="75"/>
        <v>23.285900000000002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76"/>
        <v>0245-20</v>
      </c>
      <c r="AE159" s="103" t="str">
        <f t="shared" si="77"/>
        <v>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 &amp; 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</v>
      </c>
      <c r="AF159" s="100" t="str">
        <f t="shared" si="78"/>
        <v>"C:\Program Files (x86)\AstroGrep\AstroGrep.exe" /spath="%USERPROFILE%\AppData\Local\Temp\OnboardLogs" /stypes="*4027*20160821*" /stext=" 07:.+((SYSTEM_STATE.+slice.+state.+changed )|(ment ac)|(system.+state.+changed )|(\|lc)|(penalty)|(\[timeout)|(PRM\|1\|D)|(kpr)|(kdp))" /e /r /s</v>
      </c>
      <c r="AG159" s="1" t="str">
        <f t="shared" si="79"/>
        <v>EC</v>
      </c>
      <c r="AH159" s="104" t="str">
        <f t="shared" si="80"/>
        <v>"%USERPROFILE%\Documents\GitHub\eaglep3\Utilities\RefineRTDCRunTimes.py" --tripid 245-20 --locoid 4027 --swversion DE.1.0.7.0 --startMP 204:446 --initTime 2016-08-21T00:53:05 --startdatetime 2016-08-21T00:54:32 --delay 1 --endMP 204:233305 --enddatetime 2016-08-21T01:37:11 --enforcementcount 0</v>
      </c>
    </row>
    <row r="160" spans="1:34" x14ac:dyDescent="0.25">
      <c r="A160" s="40" t="s">
        <v>621</v>
      </c>
      <c r="B160" s="7">
        <v>4028</v>
      </c>
      <c r="C160" s="25" t="s">
        <v>116</v>
      </c>
      <c r="D160" s="25" t="s">
        <v>356</v>
      </c>
      <c r="E160" s="16">
        <v>42603.075243055559</v>
      </c>
      <c r="F160" s="16">
        <v>42603.075995370367</v>
      </c>
      <c r="G160" s="7">
        <v>1</v>
      </c>
      <c r="H160" s="16" t="s">
        <v>137</v>
      </c>
      <c r="I160" s="16">
        <v>42603.106817129628</v>
      </c>
      <c r="J160" s="7">
        <v>0</v>
      </c>
      <c r="K160" s="141" t="str">
        <f t="shared" si="68"/>
        <v>4027/4028</v>
      </c>
      <c r="L160" s="25" t="str">
        <f>VLOOKUP(A160,'Trips&amp;Operators'!$C$1:$E$10000,3,FALSE)</f>
        <v>LEVIN</v>
      </c>
      <c r="M160" s="6">
        <f t="shared" si="69"/>
        <v>3.0821759261016268E-2</v>
      </c>
      <c r="N160" s="7">
        <f t="shared" si="65"/>
        <v>44.383333335863426</v>
      </c>
      <c r="O160" s="7"/>
      <c r="P160" s="7"/>
      <c r="Q160" s="26"/>
      <c r="R160" s="26"/>
      <c r="S160" s="38">
        <f t="shared" si="66"/>
        <v>1</v>
      </c>
      <c r="T160" s="53" t="str">
        <f t="shared" si="70"/>
        <v>Southbound</v>
      </c>
      <c r="U160" s="13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https://search-rtdc-monitor-bjffxe2xuh6vdkpspy63sjmuny.us-east-1.es.amazonaws.com/_plugin/kibana/#/discover/Steve-Slow-Train-Analysis-(2080s-and-2083s)?_g=(refreshInterval:(display:Off,section:0,value:0),time:(from:'2016-08-21 00:48:21-0600',mode:absolute,to:'2016-08-21 03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60" s="55" t="str">
        <f t="shared" si="72"/>
        <v>N</v>
      </c>
      <c r="X160" s="128">
        <f t="shared" si="81"/>
        <v>1</v>
      </c>
      <c r="Y160" s="70">
        <f t="shared" si="73"/>
        <v>23.299199999999999</v>
      </c>
      <c r="Z160" s="70">
        <f t="shared" si="74"/>
        <v>1.47E-2</v>
      </c>
      <c r="AA160" s="70">
        <f t="shared" si="75"/>
        <v>23.284499999999998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76"/>
        <v>0246-20</v>
      </c>
      <c r="AE160" s="103" t="str">
        <f t="shared" si="77"/>
        <v>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 &amp; aws s3 cp s3://rtdc.mdm.uploadarchive/RTDC4028/2016-08-22/ "%USERPROFILE%\AppData\Local\Temp\OnboardLogs"\RTDC4028\2016-08-22 --recursive &amp; "%USERPROFILE%\Documents\GitHub\mrs-test-scripts\Headless Mode &amp; Sideloading\WalkAndUnGZ.bat" "%USERPROFILE%\AppData\Local\Temp\OnboardLogs"\RTDC4028\2016-08-22</v>
      </c>
      <c r="AF160" s="100" t="str">
        <f t="shared" si="78"/>
        <v>"C:\Program Files (x86)\AstroGrep\AstroGrep.exe" /spath="%USERPROFILE%\AppData\Local\Temp\OnboardLogs" /stypes="*4028*20160821*" /stext=" 08:.+((SYSTEM_STATE.+slice.+state.+changed )|(ment ac)|(system.+state.+changed )|(\|lc)|(penalty)|(\[timeout)|(PRM\|1\|D)|(kpr)|(kdp))" /e /r /s</v>
      </c>
      <c r="AG160" s="1" t="str">
        <f t="shared" si="79"/>
        <v>EC</v>
      </c>
      <c r="AH160" s="104" t="str">
        <f t="shared" si="80"/>
        <v>"%USERPROFILE%\Documents\GitHub\eaglep3\Utilities\RefineRTDCRunTimes.py" --tripid 246-20 --locoid 4028 --swversion DE.1.0.7.0 --startMP 204:232992 --initTime 2016-08-21T01:48:21 --startdatetime 2016-08-21T01:49:26 --delay 1 --endMP 204:147 --enddatetime 2016-08-21T02:33:49 --enforcementcount 0</v>
      </c>
    </row>
    <row r="161" spans="1:34" s="24" customFormat="1" x14ac:dyDescent="0.25">
      <c r="A161" s="40" t="s">
        <v>438</v>
      </c>
      <c r="B161" s="7">
        <v>4026</v>
      </c>
      <c r="C161" s="25" t="s">
        <v>116</v>
      </c>
      <c r="D161" s="25" t="s">
        <v>439</v>
      </c>
      <c r="E161" s="16">
        <v>42602.231608796297</v>
      </c>
      <c r="F161" s="16">
        <v>42602.232870370368</v>
      </c>
      <c r="G161" s="7">
        <v>1</v>
      </c>
      <c r="H161" s="16" t="s">
        <v>293</v>
      </c>
      <c r="I161" s="16">
        <v>42602.245844907404</v>
      </c>
      <c r="J161" s="7">
        <v>0</v>
      </c>
      <c r="K161" s="141" t="str">
        <f t="shared" si="68"/>
        <v>4025/4026</v>
      </c>
      <c r="L161" s="25" t="str">
        <f>VLOOKUP(A161,'Trips&amp;Operators'!$C$1:$E$10000,3,FALSE)</f>
        <v>YORK</v>
      </c>
      <c r="M161" s="6">
        <f t="shared" si="69"/>
        <v>1.2974537035916001E-2</v>
      </c>
      <c r="N161" s="7">
        <f t="shared" si="65"/>
        <v>18.683333331719041</v>
      </c>
      <c r="O161" s="7"/>
      <c r="P161" s="7"/>
      <c r="Q161" s="26"/>
      <c r="R161" s="26"/>
      <c r="S161" s="38">
        <f t="shared" si="66"/>
        <v>1</v>
      </c>
      <c r="T161" s="53" t="str">
        <f t="shared" si="70"/>
        <v>Southbound</v>
      </c>
      <c r="U161" s="13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04:33:31-0600',mode:absolute,to:'2016-08-20 06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1" s="55" t="str">
        <f t="shared" si="72"/>
        <v>N</v>
      </c>
      <c r="X161" s="128">
        <f t="shared" si="81"/>
        <v>1554</v>
      </c>
      <c r="Y161" s="70">
        <f t="shared" si="73"/>
        <v>5.8638000000000003</v>
      </c>
      <c r="Z161" s="70">
        <f t="shared" si="74"/>
        <v>7.85E-2</v>
      </c>
      <c r="AA161" s="70">
        <f t="shared" si="75"/>
        <v>5.7853000000000003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76"/>
        <v>1800-20</v>
      </c>
      <c r="AE161" s="103" t="str">
        <f t="shared" si="77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61" s="100" t="str">
        <f t="shared" si="78"/>
        <v>"C:\Program Files (x86)\AstroGrep\AstroGrep.exe" /spath="%USERPROFILE%\AppData\Local\Temp\OnboardLogs" /stypes="*4026*20160820*" /stext=" 11:.+((SYSTEM_STATE.+slice.+state.+changed )|(ment ac)|(system.+state.+changed )|(\|lc)|(penalty)|(\[timeout)|(PRM\|1\|D)|(kpr)|(kdp))" /e /r /s</v>
      </c>
      <c r="AG161" s="1" t="str">
        <f t="shared" si="79"/>
        <v>NW</v>
      </c>
      <c r="AH161" s="104" t="str">
        <f t="shared" si="80"/>
        <v>"%USERPROFILE%\Documents\GitHub\eaglep3\Utilities\RefineRTDCRunTimes.py" --tripid 1800-20 --locoid 4026 --swversion DE.1.0.7.0 --startMP 300:58638 --initTime 2016-08-20T05:33:31 --startdatetime 2016-08-20T05:35:20 --delay 1 --endMP 204:785 --enddatetime 2016-08-20T05:54:01 --enforcementcount 0</v>
      </c>
    </row>
    <row r="162" spans="1:34" x14ac:dyDescent="0.25">
      <c r="A162" s="40" t="s">
        <v>440</v>
      </c>
      <c r="B162" s="7">
        <v>4025</v>
      </c>
      <c r="C162" s="25" t="s">
        <v>116</v>
      </c>
      <c r="D162" s="25" t="s">
        <v>441</v>
      </c>
      <c r="E162" s="16">
        <v>42602.246678240743</v>
      </c>
      <c r="F162" s="16">
        <v>42602.247511574074</v>
      </c>
      <c r="G162" s="7">
        <v>1</v>
      </c>
      <c r="H162" s="16" t="s">
        <v>297</v>
      </c>
      <c r="I162" s="16">
        <v>42602.273761574077</v>
      </c>
      <c r="J162" s="7">
        <v>0</v>
      </c>
      <c r="K162" s="141" t="str">
        <f t="shared" si="68"/>
        <v>4025/4026</v>
      </c>
      <c r="L162" s="25" t="str">
        <f>VLOOKUP(A162,'Trips&amp;Operators'!$C$1:$E$10000,3,FALSE)</f>
        <v>YORK</v>
      </c>
      <c r="M162" s="6">
        <f t="shared" si="69"/>
        <v>2.6250000002619345E-2</v>
      </c>
      <c r="N162" s="7">
        <f t="shared" si="65"/>
        <v>37.800000003771856</v>
      </c>
      <c r="O162" s="7"/>
      <c r="P162" s="7"/>
      <c r="Q162" s="26"/>
      <c r="R162" s="26"/>
      <c r="S162" s="38">
        <f t="shared" si="66"/>
        <v>1</v>
      </c>
      <c r="T162" s="53" t="str">
        <f t="shared" si="70"/>
        <v>NorthBound</v>
      </c>
      <c r="U162" s="13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04:55:13-0600',mode:absolute,to:'2016-08-20 07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62" s="55" t="str">
        <f t="shared" si="72"/>
        <v>N</v>
      </c>
      <c r="X162" s="128">
        <f t="shared" si="81"/>
        <v>1</v>
      </c>
      <c r="Y162" s="70">
        <f t="shared" si="73"/>
        <v>0.10970000000000001</v>
      </c>
      <c r="Z162" s="70">
        <f t="shared" si="74"/>
        <v>5.8928000000000003</v>
      </c>
      <c r="AA162" s="70">
        <f t="shared" si="75"/>
        <v>5.7831000000000001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76"/>
        <v>1801-20</v>
      </c>
      <c r="AE162" s="103" t="str">
        <f t="shared" si="77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62" s="100" t="str">
        <f t="shared" si="78"/>
        <v>"C:\Program Files (x86)\AstroGrep\AstroGrep.exe" /spath="%USERPROFILE%\AppData\Local\Temp\OnboardLogs" /stypes="*4025*20160820*" /stext=" 12:.+((SYSTEM_STATE.+slice.+state.+changed )|(ment ac)|(system.+state.+changed )|(\|lc)|(penalty)|(\[timeout)|(PRM\|1\|D)|(kpr)|(kdp))" /e /r /s</v>
      </c>
      <c r="AG162" s="1" t="str">
        <f t="shared" si="79"/>
        <v>NW</v>
      </c>
      <c r="AH162" s="104" t="str">
        <f t="shared" si="80"/>
        <v>"%USERPROFILE%\Documents\GitHub\eaglep3\Utilities\RefineRTDCRunTimes.py" --tripid 1801-20 --locoid 4025 --swversion DE.1.0.7.0 --startMP 204:1097 --initTime 2016-08-20T05:55:13 --startdatetime 2016-08-20T05:56:25 --delay 1 --endMP 300:58928 --enddatetime 2016-08-20T06:34:13 --enforcementcount 0</v>
      </c>
    </row>
    <row r="163" spans="1:34" s="24" customFormat="1" x14ac:dyDescent="0.25">
      <c r="A163" s="40" t="s">
        <v>442</v>
      </c>
      <c r="B163" s="7">
        <v>4026</v>
      </c>
      <c r="C163" s="25" t="s">
        <v>116</v>
      </c>
      <c r="D163" s="25" t="s">
        <v>296</v>
      </c>
      <c r="E163" s="16">
        <v>42602.274942129632</v>
      </c>
      <c r="F163" s="16">
        <v>42602.275682870371</v>
      </c>
      <c r="G163" s="7">
        <v>1</v>
      </c>
      <c r="H163" s="16" t="s">
        <v>248</v>
      </c>
      <c r="I163" s="16">
        <v>42602.287905092591</v>
      </c>
      <c r="J163" s="7">
        <v>0</v>
      </c>
      <c r="K163" s="141" t="str">
        <f t="shared" si="68"/>
        <v>4025/4026</v>
      </c>
      <c r="L163" s="25" t="str">
        <f>VLOOKUP(A163,'Trips&amp;Operators'!$C$1:$E$10000,3,FALSE)</f>
        <v>YORK</v>
      </c>
      <c r="M163" s="6">
        <f t="shared" si="69"/>
        <v>1.2222222219861578E-2</v>
      </c>
      <c r="N163" s="7">
        <f t="shared" si="65"/>
        <v>17.599999996600673</v>
      </c>
      <c r="O163" s="7"/>
      <c r="P163" s="7"/>
      <c r="Q163" s="26"/>
      <c r="R163" s="26"/>
      <c r="S163" s="38">
        <f t="shared" si="66"/>
        <v>1</v>
      </c>
      <c r="T163" s="53" t="str">
        <f t="shared" si="70"/>
        <v>Southbound</v>
      </c>
      <c r="U163" s="13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05:35:55-0600',mode:absolute,to:'2016-08-20 07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3" s="55" t="str">
        <f t="shared" si="72"/>
        <v>N</v>
      </c>
      <c r="X163" s="128">
        <f t="shared" si="81"/>
        <v>1</v>
      </c>
      <c r="Y163" s="70">
        <f t="shared" si="73"/>
        <v>5.8615000000000004</v>
      </c>
      <c r="Z163" s="70">
        <f t="shared" si="74"/>
        <v>7.6100000000000001E-2</v>
      </c>
      <c r="AA163" s="70">
        <f t="shared" si="75"/>
        <v>5.7854000000000001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76"/>
        <v>1802-20</v>
      </c>
      <c r="AE163" s="103" t="str">
        <f t="shared" si="77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63" s="100" t="str">
        <f t="shared" si="78"/>
        <v>"C:\Program Files (x86)\AstroGrep\AstroGrep.exe" /spath="%USERPROFILE%\AppData\Local\Temp\OnboardLogs" /stypes="*4026*20160820*" /stext=" 12:.+((SYSTEM_STATE.+slice.+state.+changed )|(ment ac)|(system.+state.+changed )|(\|lc)|(penalty)|(\[timeout)|(PRM\|1\|D)|(kpr)|(kdp))" /e /r /s</v>
      </c>
      <c r="AG163" s="1" t="str">
        <f t="shared" si="79"/>
        <v>NW</v>
      </c>
      <c r="AH163" s="104" t="str">
        <f t="shared" si="80"/>
        <v>"%USERPROFILE%\Documents\GitHub\eaglep3\Utilities\RefineRTDCRunTimes.py" --tripid 1802-20 --locoid 4026 --swversion DE.1.0.7.0 --startMP 300:58615 --initTime 2016-08-20T06:35:55 --startdatetime 2016-08-20T06:36:59 --delay 1 --endMP 204:761 --enddatetime 2016-08-20T06:54:35 --enforcementcount 0</v>
      </c>
    </row>
    <row r="164" spans="1:34" x14ac:dyDescent="0.25">
      <c r="A164" s="40" t="s">
        <v>443</v>
      </c>
      <c r="B164" s="7">
        <v>4025</v>
      </c>
      <c r="C164" s="25" t="s">
        <v>116</v>
      </c>
      <c r="D164" s="25" t="s">
        <v>444</v>
      </c>
      <c r="E164" s="16">
        <v>42602.288622685184</v>
      </c>
      <c r="F164" s="16">
        <v>42602.289259259262</v>
      </c>
      <c r="G164" s="7">
        <v>0</v>
      </c>
      <c r="H164" s="16" t="s">
        <v>292</v>
      </c>
      <c r="I164" s="16">
        <v>42602.316365740742</v>
      </c>
      <c r="J164" s="7">
        <v>0</v>
      </c>
      <c r="K164" s="141" t="str">
        <f t="shared" si="68"/>
        <v>4025/4026</v>
      </c>
      <c r="L164" s="25" t="str">
        <f>VLOOKUP(A164,'Trips&amp;Operators'!$C$1:$E$10000,3,FALSE)</f>
        <v>YORK</v>
      </c>
      <c r="M164" s="6">
        <f t="shared" si="69"/>
        <v>2.7106481480586808E-2</v>
      </c>
      <c r="N164" s="7">
        <f t="shared" si="65"/>
        <v>39.033333332045004</v>
      </c>
      <c r="O164" s="7"/>
      <c r="P164" s="7"/>
      <c r="Q164" s="26"/>
      <c r="R164" s="26"/>
      <c r="S164" s="38">
        <f t="shared" si="66"/>
        <v>1</v>
      </c>
      <c r="T164" s="53" t="str">
        <f t="shared" si="70"/>
        <v>NorthBound</v>
      </c>
      <c r="U164" s="13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05:55:37-0600',mode:absolute,to:'2016-08-20 08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64" s="55" t="str">
        <f t="shared" si="72"/>
        <v>N</v>
      </c>
      <c r="X164" s="128">
        <f t="shared" si="81"/>
        <v>1</v>
      </c>
      <c r="Y164" s="70">
        <f t="shared" si="73"/>
        <v>0.106</v>
      </c>
      <c r="Z164" s="70">
        <f t="shared" si="74"/>
        <v>5.8939000000000004</v>
      </c>
      <c r="AA164" s="70">
        <f t="shared" si="75"/>
        <v>5.7879000000000005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76"/>
        <v>1803-20</v>
      </c>
      <c r="AE164" s="103" t="str">
        <f t="shared" si="77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64" s="100" t="str">
        <f t="shared" si="78"/>
        <v>"C:\Program Files (x86)\AstroGrep\AstroGrep.exe" /spath="%USERPROFILE%\AppData\Local\Temp\OnboardLogs" /stypes="*4025*20160820*" /stext=" 13:.+((SYSTEM_STATE.+slice.+state.+changed )|(ment ac)|(system.+state.+changed )|(\|lc)|(penalty)|(\[timeout)|(PRM\|1\|D)|(kpr)|(kdp))" /e /r /s</v>
      </c>
      <c r="AG164" s="1" t="str">
        <f t="shared" si="79"/>
        <v>NW</v>
      </c>
      <c r="AH164" s="104" t="str">
        <f t="shared" si="80"/>
        <v>"%USERPROFILE%\Documents\GitHub\eaglep3\Utilities\RefineRTDCRunTimes.py" --tripid 1803-20 --locoid 4025 --swversion DE.1.0.7.0 --startMP 204:1060 --initTime 2016-08-20T06:55:37 --startdatetime 2016-08-20T06:56:32 --delay 0 --endMP 300:58939 --enddatetime 2016-08-20T07:35:34 --enforcementcount 0</v>
      </c>
    </row>
    <row r="165" spans="1:34" s="24" customFormat="1" x14ac:dyDescent="0.25">
      <c r="A165" s="40" t="s">
        <v>445</v>
      </c>
      <c r="B165" s="7">
        <v>4026</v>
      </c>
      <c r="C165" s="25" t="s">
        <v>116</v>
      </c>
      <c r="D165" s="25" t="s">
        <v>446</v>
      </c>
      <c r="E165" s="16">
        <v>42602.31759259259</v>
      </c>
      <c r="F165" s="16">
        <v>42602.31832175926</v>
      </c>
      <c r="G165" s="7">
        <v>1</v>
      </c>
      <c r="H165" s="16" t="s">
        <v>447</v>
      </c>
      <c r="I165" s="16">
        <v>42602.32949074074</v>
      </c>
      <c r="J165" s="7">
        <v>0</v>
      </c>
      <c r="K165" s="141" t="str">
        <f t="shared" si="68"/>
        <v>4025/4026</v>
      </c>
      <c r="L165" s="25" t="str">
        <f>VLOOKUP(A165,'Trips&amp;Operators'!$C$1:$E$10000,3,FALSE)</f>
        <v>YORK</v>
      </c>
      <c r="M165" s="6">
        <f t="shared" si="69"/>
        <v>1.116898148029577E-2</v>
      </c>
      <c r="N165" s="7">
        <f t="shared" si="65"/>
        <v>16.083333331625909</v>
      </c>
      <c r="O165" s="7"/>
      <c r="P165" s="7"/>
      <c r="Q165" s="26"/>
      <c r="R165" s="26"/>
      <c r="S165" s="38">
        <f t="shared" si="66"/>
        <v>1</v>
      </c>
      <c r="T165" s="53" t="str">
        <f t="shared" si="70"/>
        <v>Southbound</v>
      </c>
      <c r="U165" s="13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06:37:20-0600',mode:absolute,to:'2016-08-20 08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5" s="55" t="str">
        <f t="shared" si="72"/>
        <v>N</v>
      </c>
      <c r="X165" s="128">
        <f t="shared" si="81"/>
        <v>1</v>
      </c>
      <c r="Y165" s="70">
        <f t="shared" si="73"/>
        <v>5.8632</v>
      </c>
      <c r="Z165" s="70">
        <f t="shared" si="74"/>
        <v>7.9000000000000001E-2</v>
      </c>
      <c r="AA165" s="70">
        <f t="shared" si="75"/>
        <v>5.7842000000000002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76"/>
        <v>1804-20</v>
      </c>
      <c r="AE165" s="103" t="str">
        <f t="shared" si="77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65" s="100" t="str">
        <f t="shared" si="78"/>
        <v>"C:\Program Files (x86)\AstroGrep\AstroGrep.exe" /spath="%USERPROFILE%\AppData\Local\Temp\OnboardLogs" /stypes="*4026*20160820*" /stext=" 13:.+((SYSTEM_STATE.+slice.+state.+changed )|(ment ac)|(system.+state.+changed )|(\|lc)|(penalty)|(\[timeout)|(PRM\|1\|D)|(kpr)|(kdp))" /e /r /s</v>
      </c>
      <c r="AG165" s="1" t="str">
        <f t="shared" si="79"/>
        <v>NW</v>
      </c>
      <c r="AH165" s="104" t="str">
        <f t="shared" si="80"/>
        <v>"%USERPROFILE%\Documents\GitHub\eaglep3\Utilities\RefineRTDCRunTimes.py" --tripid 1804-20 --locoid 4026 --swversion DE.1.0.7.0 --startMP 300:58632 --initTime 2016-08-20T07:37:20 --startdatetime 2016-08-20T07:38:23 --delay 1 --endMP 204:790 --enddatetime 2016-08-20T07:54:28 --enforcementcount 0</v>
      </c>
    </row>
    <row r="166" spans="1:34" s="24" customFormat="1" x14ac:dyDescent="0.25">
      <c r="A166" s="40" t="s">
        <v>448</v>
      </c>
      <c r="B166" s="7">
        <v>4025</v>
      </c>
      <c r="C166" s="25" t="s">
        <v>116</v>
      </c>
      <c r="D166" s="25" t="s">
        <v>449</v>
      </c>
      <c r="E166" s="16">
        <v>42602.340983796297</v>
      </c>
      <c r="F166" s="16">
        <v>42602.341643518521</v>
      </c>
      <c r="G166" s="7">
        <v>0</v>
      </c>
      <c r="H166" s="16" t="s">
        <v>450</v>
      </c>
      <c r="I166" s="16">
        <v>42602.356909722221</v>
      </c>
      <c r="J166" s="7">
        <v>0</v>
      </c>
      <c r="K166" s="141" t="str">
        <f t="shared" si="68"/>
        <v>4025/4026</v>
      </c>
      <c r="L166" s="25" t="str">
        <f>VLOOKUP(A166,'Trips&amp;Operators'!$C$1:$E$10000,3,FALSE)</f>
        <v>YORK</v>
      </c>
      <c r="M166" s="6">
        <f t="shared" si="69"/>
        <v>1.526620369986631E-2</v>
      </c>
      <c r="N166" s="7">
        <f t="shared" si="65"/>
        <v>21.983333327807486</v>
      </c>
      <c r="O166" s="7"/>
      <c r="P166" s="7"/>
      <c r="Q166" s="26"/>
      <c r="R166" s="26"/>
      <c r="S166" s="38">
        <f t="shared" si="66"/>
        <v>1</v>
      </c>
      <c r="T166" s="53" t="str">
        <f t="shared" si="70"/>
        <v>NorthBound</v>
      </c>
      <c r="U166" s="13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07:11:01-0600',mode:absolute,to:'2016-08-20 09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66" s="55" t="str">
        <f t="shared" si="72"/>
        <v>N</v>
      </c>
      <c r="X166" s="128">
        <f t="shared" si="81"/>
        <v>1</v>
      </c>
      <c r="Y166" s="70">
        <f t="shared" si="73"/>
        <v>0.1069</v>
      </c>
      <c r="Z166" s="70">
        <f t="shared" si="74"/>
        <v>5.8944000000000001</v>
      </c>
      <c r="AA166" s="70">
        <f t="shared" si="75"/>
        <v>5.7874999999999996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76"/>
        <v>1805-20</v>
      </c>
      <c r="AE166" s="103" t="str">
        <f t="shared" si="77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66" s="100" t="str">
        <f t="shared" si="78"/>
        <v>"C:\Program Files (x86)\AstroGrep\AstroGrep.exe" /spath="%USERPROFILE%\AppData\Local\Temp\OnboardLogs" /stypes="*4025*20160820*" /stext=" 14:.+((SYSTEM_STATE.+slice.+state.+changed )|(ment ac)|(system.+state.+changed )|(\|lc)|(penalty)|(\[timeout)|(PRM\|1\|D)|(kpr)|(kdp))" /e /r /s</v>
      </c>
      <c r="AG166" s="1" t="str">
        <f t="shared" si="79"/>
        <v>NW</v>
      </c>
      <c r="AH166" s="104" t="str">
        <f t="shared" si="80"/>
        <v>"%USERPROFILE%\Documents\GitHub\eaglep3\Utilities\RefineRTDCRunTimes.py" --tripid 1805-20 --locoid 4025 --swversion DE.1.0.7.0 --startMP 204:1069 --initTime 2016-08-20T08:11:01 --startdatetime 2016-08-20T08:11:58 --delay 0 --endMP 300:58944 --enddatetime 2016-08-20T08:33:57 --enforcementcount 0</v>
      </c>
    </row>
    <row r="167" spans="1:34" x14ac:dyDescent="0.25">
      <c r="A167" s="40" t="s">
        <v>451</v>
      </c>
      <c r="B167" s="7">
        <v>4026</v>
      </c>
      <c r="C167" s="25" t="s">
        <v>116</v>
      </c>
      <c r="D167" s="25" t="s">
        <v>452</v>
      </c>
      <c r="E167" s="16">
        <v>42602.357592592591</v>
      </c>
      <c r="F167" s="16">
        <v>42602.358402777776</v>
      </c>
      <c r="G167" s="7">
        <v>1</v>
      </c>
      <c r="H167" s="16" t="s">
        <v>453</v>
      </c>
      <c r="I167" s="16">
        <v>42602.412557870368</v>
      </c>
      <c r="J167" s="7">
        <v>0</v>
      </c>
      <c r="K167" s="141" t="str">
        <f t="shared" si="68"/>
        <v>4025/4026</v>
      </c>
      <c r="L167" s="25" t="str">
        <f>VLOOKUP(A167,'Trips&amp;Operators'!$C$1:$E$10000,3,FALSE)</f>
        <v>YORK</v>
      </c>
      <c r="M167" s="6">
        <f t="shared" si="69"/>
        <v>5.415509259182727E-2</v>
      </c>
      <c r="N167" s="7">
        <f t="shared" si="65"/>
        <v>77.983333332231268</v>
      </c>
      <c r="O167" s="7"/>
      <c r="P167" s="7"/>
      <c r="Q167" s="26"/>
      <c r="R167" s="26"/>
      <c r="S167" s="38">
        <f t="shared" si="66"/>
        <v>1</v>
      </c>
      <c r="T167" s="53" t="str">
        <f t="shared" si="70"/>
        <v>Southbound</v>
      </c>
      <c r="U167" s="13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07:34:56-0600',mode:absolute,to:'2016-08-20 10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7" s="55" t="str">
        <f t="shared" si="72"/>
        <v>N</v>
      </c>
      <c r="X167" s="128">
        <f t="shared" si="81"/>
        <v>1</v>
      </c>
      <c r="Y167" s="70">
        <f t="shared" si="73"/>
        <v>5.8630000000000004</v>
      </c>
      <c r="Z167" s="70">
        <f t="shared" si="74"/>
        <v>7.8700000000000006E-2</v>
      </c>
      <c r="AA167" s="70">
        <f t="shared" si="75"/>
        <v>5.7843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76"/>
        <v>1806-20</v>
      </c>
      <c r="AE167" s="103" t="str">
        <f t="shared" si="77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67" s="100" t="str">
        <f t="shared" si="78"/>
        <v>"C:\Program Files (x86)\AstroGrep\AstroGrep.exe" /spath="%USERPROFILE%\AppData\Local\Temp\OnboardLogs" /stypes="*4026*20160820*" /stext=" 15:.+((SYSTEM_STATE.+slice.+state.+changed )|(ment ac)|(system.+state.+changed )|(\|lc)|(penalty)|(\[timeout)|(PRM\|1\|D)|(kpr)|(kdp))" /e /r /s</v>
      </c>
      <c r="AG167" s="1" t="str">
        <f t="shared" si="79"/>
        <v>NW</v>
      </c>
      <c r="AH167" s="104" t="str">
        <f t="shared" si="80"/>
        <v>"%USERPROFILE%\Documents\GitHub\eaglep3\Utilities\RefineRTDCRunTimes.py" --tripid 1806-20 --locoid 4026 --swversion DE.1.0.7.0 --startMP 300:58630 --initTime 2016-08-20T08:34:56 --startdatetime 2016-08-20T08:36:06 --delay 1 --endMP 204:787 --enddatetime 2016-08-20T09:54:05 --enforcementcount 0</v>
      </c>
    </row>
    <row r="168" spans="1:34" x14ac:dyDescent="0.25">
      <c r="A168" s="40" t="s">
        <v>454</v>
      </c>
      <c r="B168" s="7">
        <v>4025</v>
      </c>
      <c r="C168" s="25" t="s">
        <v>116</v>
      </c>
      <c r="D168" s="25" t="s">
        <v>249</v>
      </c>
      <c r="E168" s="16">
        <v>42602.372858796298</v>
      </c>
      <c r="F168" s="16">
        <v>42602.373611111114</v>
      </c>
      <c r="G168" s="7">
        <v>1</v>
      </c>
      <c r="H168" s="16" t="s">
        <v>455</v>
      </c>
      <c r="I168" s="16">
        <v>42602.399155092593</v>
      </c>
      <c r="J168" s="7">
        <v>0</v>
      </c>
      <c r="K168" s="141" t="str">
        <f t="shared" si="68"/>
        <v>4025/4026</v>
      </c>
      <c r="L168" s="25" t="str">
        <f>VLOOKUP(A168,'Trips&amp;Operators'!$C$1:$E$10000,3,FALSE)</f>
        <v>YORK</v>
      </c>
      <c r="M168" s="6">
        <f t="shared" si="69"/>
        <v>2.5543981479131617E-2</v>
      </c>
      <c r="N168" s="7">
        <f t="shared" si="65"/>
        <v>36.783333329949528</v>
      </c>
      <c r="O168" s="7"/>
      <c r="P168" s="7"/>
      <c r="Q168" s="26"/>
      <c r="R168" s="26"/>
      <c r="S168" s="38">
        <f t="shared" si="66"/>
        <v>1</v>
      </c>
      <c r="T168" s="53" t="str">
        <f t="shared" si="70"/>
        <v>NorthBound</v>
      </c>
      <c r="U168" s="13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07:56:55-0600',mode:absolute,to:'2016-08-20 10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68" s="55" t="str">
        <f t="shared" si="72"/>
        <v>N</v>
      </c>
      <c r="X168" s="128">
        <f t="shared" ref="X168:X174" si="82">VALUE(LEFT(AD168,4))-VALUE(LEFT(AD167,4))</f>
        <v>1</v>
      </c>
      <c r="Y168" s="70">
        <f t="shared" si="73"/>
        <v>0.1053</v>
      </c>
      <c r="Z168" s="70">
        <f t="shared" si="74"/>
        <v>5.8948</v>
      </c>
      <c r="AA168" s="70">
        <f t="shared" si="75"/>
        <v>5.7895000000000003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76"/>
        <v>1807-20</v>
      </c>
      <c r="AE168" s="103" t="str">
        <f t="shared" si="77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68" s="100" t="str">
        <f t="shared" si="78"/>
        <v>"C:\Program Files (x86)\AstroGrep\AstroGrep.exe" /spath="%USERPROFILE%\AppData\Local\Temp\OnboardLogs" /stypes="*4025*20160820*" /stext=" 15:.+((SYSTEM_STATE.+slice.+state.+changed )|(ment ac)|(system.+state.+changed )|(\|lc)|(penalty)|(\[timeout)|(PRM\|1\|D)|(kpr)|(kdp))" /e /r /s</v>
      </c>
      <c r="AG168" s="1" t="str">
        <f t="shared" si="79"/>
        <v>NW</v>
      </c>
      <c r="AH168" s="104" t="str">
        <f t="shared" si="80"/>
        <v>"%USERPROFILE%\Documents\GitHub\eaglep3\Utilities\RefineRTDCRunTimes.py" --tripid 1807-20 --locoid 4025 --swversion DE.1.0.7.0 --startMP 204:1053 --initTime 2016-08-20T08:56:55 --startdatetime 2016-08-20T08:58:00 --delay 1 --endMP 300:58948 --enddatetime 2016-08-20T09:34:47 --enforcementcount 0</v>
      </c>
    </row>
    <row r="169" spans="1:34" s="24" customFormat="1" x14ac:dyDescent="0.25">
      <c r="A169" s="40" t="s">
        <v>456</v>
      </c>
      <c r="B169" s="7">
        <v>4026</v>
      </c>
      <c r="C169" s="25" t="s">
        <v>116</v>
      </c>
      <c r="D169" s="25" t="s">
        <v>457</v>
      </c>
      <c r="E169" s="16">
        <v>42602.400081018517</v>
      </c>
      <c r="F169" s="16">
        <v>42602.400983796295</v>
      </c>
      <c r="G169" s="7">
        <v>1</v>
      </c>
      <c r="H169" s="16" t="s">
        <v>453</v>
      </c>
      <c r="I169" s="16">
        <v>42602.412557870368</v>
      </c>
      <c r="J169" s="7">
        <v>0</v>
      </c>
      <c r="K169" s="141" t="str">
        <f t="shared" si="68"/>
        <v>4025/4026</v>
      </c>
      <c r="L169" s="25" t="str">
        <f>VLOOKUP(A169,'Trips&amp;Operators'!$C$1:$E$10000,3,FALSE)</f>
        <v>YORK</v>
      </c>
      <c r="M169" s="6">
        <f t="shared" si="69"/>
        <v>1.1574074072996154E-2</v>
      </c>
      <c r="N169" s="7">
        <f t="shared" si="65"/>
        <v>16.666666665114462</v>
      </c>
      <c r="O169" s="7"/>
      <c r="P169" s="7"/>
      <c r="Q169" s="26"/>
      <c r="R169" s="26"/>
      <c r="S169" s="38">
        <f t="shared" si="66"/>
        <v>1</v>
      </c>
      <c r="T169" s="53" t="str">
        <f t="shared" si="70"/>
        <v>Southbound</v>
      </c>
      <c r="U169" s="13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08:36:07-0600',mode:absolute,to:'2016-08-20 10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9" s="55" t="str">
        <f t="shared" si="72"/>
        <v>N</v>
      </c>
      <c r="X169" s="128">
        <f t="shared" si="82"/>
        <v>1</v>
      </c>
      <c r="Y169" s="70">
        <f t="shared" si="73"/>
        <v>5.8634000000000004</v>
      </c>
      <c r="Z169" s="70">
        <f t="shared" si="74"/>
        <v>7.8700000000000006E-2</v>
      </c>
      <c r="AA169" s="70">
        <f t="shared" si="75"/>
        <v>5.7847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76"/>
        <v>1808-20</v>
      </c>
      <c r="AE169" s="103" t="str">
        <f t="shared" si="77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69" s="100" t="str">
        <f t="shared" si="78"/>
        <v>"C:\Program Files (x86)\AstroGrep\AstroGrep.exe" /spath="%USERPROFILE%\AppData\Local\Temp\OnboardLogs" /stypes="*4026*20160820*" /stext=" 15:.+((SYSTEM_STATE.+slice.+state.+changed )|(ment ac)|(system.+state.+changed )|(\|lc)|(penalty)|(\[timeout)|(PRM\|1\|D)|(kpr)|(kdp))" /e /r /s</v>
      </c>
      <c r="AG169" s="1" t="str">
        <f t="shared" si="79"/>
        <v>NW</v>
      </c>
      <c r="AH169" s="104" t="str">
        <f t="shared" si="80"/>
        <v>"%USERPROFILE%\Documents\GitHub\eaglep3\Utilities\RefineRTDCRunTimes.py" --tripid 1808-20 --locoid 4026 --swversion DE.1.0.7.0 --startMP 300:58634 --initTime 2016-08-20T09:36:07 --startdatetime 2016-08-20T09:37:25 --delay 1 --endMP 204:787 --enddatetime 2016-08-20T09:54:05 --enforcementcount 0</v>
      </c>
    </row>
    <row r="170" spans="1:34" x14ac:dyDescent="0.25">
      <c r="A170" s="40" t="s">
        <v>458</v>
      </c>
      <c r="B170" s="7">
        <v>4025</v>
      </c>
      <c r="C170" s="25" t="s">
        <v>116</v>
      </c>
      <c r="D170" s="25" t="s">
        <v>459</v>
      </c>
      <c r="E170" s="16">
        <v>42602.413530092592</v>
      </c>
      <c r="F170" s="16">
        <v>42602.4141087963</v>
      </c>
      <c r="G170" s="7">
        <v>0</v>
      </c>
      <c r="H170" s="16" t="s">
        <v>292</v>
      </c>
      <c r="I170" s="16">
        <v>42602.440520833334</v>
      </c>
      <c r="J170" s="7">
        <v>0</v>
      </c>
      <c r="K170" s="141" t="str">
        <f t="shared" si="68"/>
        <v>4025/4026</v>
      </c>
      <c r="L170" s="25" t="str">
        <f>VLOOKUP(A170,'Trips&amp;Operators'!$C$1:$E$10000,3,FALSE)</f>
        <v>YORK</v>
      </c>
      <c r="M170" s="6">
        <f t="shared" si="69"/>
        <v>2.6412037033878732E-2</v>
      </c>
      <c r="N170" s="7">
        <f t="shared" si="65"/>
        <v>38.033333328785375</v>
      </c>
      <c r="O170" s="7"/>
      <c r="P170" s="7"/>
      <c r="Q170" s="26"/>
      <c r="R170" s="26"/>
      <c r="S170" s="38">
        <f t="shared" ref="S170:S204" si="83">SUM(U170:U170)/IF(AG170="EC",12,1)</f>
        <v>1</v>
      </c>
      <c r="T170" s="53" t="str">
        <f t="shared" si="70"/>
        <v>NorthBound</v>
      </c>
      <c r="U170" s="13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08:55:29-0600',mode:absolute,to:'2016-08-20 11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0" s="55" t="str">
        <f t="shared" si="72"/>
        <v>N</v>
      </c>
      <c r="X170" s="128">
        <f t="shared" si="82"/>
        <v>1</v>
      </c>
      <c r="Y170" s="70">
        <f t="shared" si="73"/>
        <v>0.1076</v>
      </c>
      <c r="Z170" s="70">
        <f t="shared" si="74"/>
        <v>5.8939000000000004</v>
      </c>
      <c r="AA170" s="70">
        <f t="shared" si="75"/>
        <v>5.7863000000000007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76"/>
        <v>1809-20</v>
      </c>
      <c r="AE170" s="103" t="str">
        <f t="shared" si="77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70" s="100" t="str">
        <f t="shared" si="78"/>
        <v>"C:\Program Files (x86)\AstroGrep\AstroGrep.exe" /spath="%USERPROFILE%\AppData\Local\Temp\OnboardLogs" /stypes="*4025*20160820*" /stext=" 16:.+((SYSTEM_STATE.+slice.+state.+changed )|(ment ac)|(system.+state.+changed )|(\|lc)|(penalty)|(\[timeout)|(PRM\|1\|D)|(kpr)|(kdp))" /e /r /s</v>
      </c>
      <c r="AG170" s="1" t="str">
        <f t="shared" si="79"/>
        <v>NW</v>
      </c>
      <c r="AH170" s="104" t="str">
        <f t="shared" si="80"/>
        <v>"%USERPROFILE%\Documents\GitHub\eaglep3\Utilities\RefineRTDCRunTimes.py" --tripid 1809-20 --locoid 4025 --swversion DE.1.0.7.0 --startMP 204:1076 --initTime 2016-08-20T09:55:29 --startdatetime 2016-08-20T09:56:19 --delay 0 --endMP 300:58939 --enddatetime 2016-08-20T10:34:21 --enforcementcount 0</v>
      </c>
    </row>
    <row r="171" spans="1:34" x14ac:dyDescent="0.25">
      <c r="A171" s="40" t="s">
        <v>461</v>
      </c>
      <c r="B171" s="7">
        <v>4026</v>
      </c>
      <c r="C171" s="25" t="s">
        <v>116</v>
      </c>
      <c r="D171" s="25" t="s">
        <v>295</v>
      </c>
      <c r="E171" s="16">
        <v>42602.442384259259</v>
      </c>
      <c r="F171" s="16">
        <v>42602.444050925929</v>
      </c>
      <c r="G171" s="7">
        <v>2</v>
      </c>
      <c r="H171" s="16" t="s">
        <v>462</v>
      </c>
      <c r="I171" s="16">
        <v>42602.454085648147</v>
      </c>
      <c r="J171" s="7">
        <v>0</v>
      </c>
      <c r="K171" s="141" t="str">
        <f t="shared" si="68"/>
        <v>4025/4026</v>
      </c>
      <c r="L171" s="25" t="str">
        <f>VLOOKUP(A171,'Trips&amp;Operators'!$C$1:$E$10000,3,FALSE)</f>
        <v>YORK</v>
      </c>
      <c r="M171" s="6">
        <f t="shared" si="69"/>
        <v>1.003472221782431E-2</v>
      </c>
      <c r="N171" s="7">
        <f t="shared" si="65"/>
        <v>14.449999993667006</v>
      </c>
      <c r="O171" s="7"/>
      <c r="P171" s="7"/>
      <c r="Q171" s="26"/>
      <c r="R171" s="26"/>
      <c r="S171" s="38">
        <f t="shared" si="83"/>
        <v>1</v>
      </c>
      <c r="T171" s="53" t="str">
        <f t="shared" si="70"/>
        <v>Southbound</v>
      </c>
      <c r="U171" s="13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09:37:02-0600',mode:absolute,to:'2016-08-20 11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1" s="55" t="str">
        <f t="shared" si="72"/>
        <v>N</v>
      </c>
      <c r="X171" s="128">
        <f t="shared" si="82"/>
        <v>1</v>
      </c>
      <c r="Y171" s="70">
        <f t="shared" si="73"/>
        <v>5.8619000000000003</v>
      </c>
      <c r="Z171" s="70">
        <f t="shared" si="74"/>
        <v>8.0100000000000005E-2</v>
      </c>
      <c r="AA171" s="70">
        <f t="shared" si="75"/>
        <v>5.7818000000000005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76"/>
        <v>1810-20</v>
      </c>
      <c r="AE171" s="103" t="str">
        <f t="shared" si="77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71" s="100" t="str">
        <f t="shared" si="78"/>
        <v>"C:\Program Files (x86)\AstroGrep\AstroGrep.exe" /spath="%USERPROFILE%\AppData\Local\Temp\OnboardLogs" /stypes="*4026*20160820*" /stext=" 16:.+((SYSTEM_STATE.+slice.+state.+changed )|(ment ac)|(system.+state.+changed )|(\|lc)|(penalty)|(\[timeout)|(PRM\|1\|D)|(kpr)|(kdp))" /e /r /s</v>
      </c>
      <c r="AG171" s="1" t="str">
        <f t="shared" si="79"/>
        <v>NW</v>
      </c>
      <c r="AH171" s="104" t="str">
        <f t="shared" si="80"/>
        <v>"%USERPROFILE%\Documents\GitHub\eaglep3\Utilities\RefineRTDCRunTimes.py" --tripid 1810-20 --locoid 4026 --swversion DE.1.0.7.0 --startMP 300:58619 --initTime 2016-08-20T10:37:02 --startdatetime 2016-08-20T10:39:26 --delay 2 --endMP 204:801 --enddatetime 2016-08-20T10:53:53 --enforcementcount 0</v>
      </c>
    </row>
    <row r="172" spans="1:34" x14ac:dyDescent="0.25">
      <c r="A172" s="40" t="s">
        <v>463</v>
      </c>
      <c r="B172" s="7">
        <v>4025</v>
      </c>
      <c r="C172" s="25" t="s">
        <v>116</v>
      </c>
      <c r="D172" s="25" t="s">
        <v>464</v>
      </c>
      <c r="E172" s="16">
        <v>42602.454965277779</v>
      </c>
      <c r="F172" s="16">
        <v>42602.455740740741</v>
      </c>
      <c r="G172" s="7">
        <v>1</v>
      </c>
      <c r="H172" s="16" t="s">
        <v>465</v>
      </c>
      <c r="I172" s="16">
        <v>42602.482592592591</v>
      </c>
      <c r="J172" s="7">
        <v>0</v>
      </c>
      <c r="K172" s="141" t="str">
        <f t="shared" si="68"/>
        <v>4025/4026</v>
      </c>
      <c r="L172" s="25" t="str">
        <f>VLOOKUP(A172,'Trips&amp;Operators'!$C$1:$E$10000,3,FALSE)</f>
        <v>YORK</v>
      </c>
      <c r="M172" s="6">
        <f t="shared" si="69"/>
        <v>2.6851851849642117E-2</v>
      </c>
      <c r="N172" s="7">
        <f t="shared" si="65"/>
        <v>38.666666663484648</v>
      </c>
      <c r="O172" s="7"/>
      <c r="P172" s="7"/>
      <c r="Q172" s="26"/>
      <c r="R172" s="26"/>
      <c r="S172" s="38">
        <f t="shared" si="83"/>
        <v>1</v>
      </c>
      <c r="T172" s="53" t="str">
        <f t="shared" si="70"/>
        <v>NorthBound</v>
      </c>
      <c r="U172" s="13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0" t="str">
        <f t="shared" si="71"/>
        <v>https://search-rtdc-monitor-bjffxe2xuh6vdkpspy63sjmuny.us-east-1.es.amazonaws.com/_plugin/kibana/#/discover/Steve-Slow-Train-Analysis-(2080s-and-2083s)?_g=(refreshInterval:(display:Off,section:0,value:0),time:(from:'2016-08-20 09:55:09-0600',mode:absolute,to:'2016-08-20 12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2" s="55" t="str">
        <f t="shared" si="72"/>
        <v>N</v>
      </c>
      <c r="X172" s="128">
        <f t="shared" si="82"/>
        <v>1</v>
      </c>
      <c r="Y172" s="70">
        <f t="shared" si="73"/>
        <v>0.1109</v>
      </c>
      <c r="Z172" s="70">
        <f t="shared" si="74"/>
        <v>5.8930999999999996</v>
      </c>
      <c r="AA172" s="70">
        <f t="shared" si="75"/>
        <v>5.7821999999999996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76"/>
        <v>1811-20</v>
      </c>
      <c r="AE172" s="103" t="str">
        <f t="shared" si="77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72" s="100" t="str">
        <f t="shared" si="78"/>
        <v>"C:\Program Files (x86)\AstroGrep\AstroGrep.exe" /spath="%USERPROFILE%\AppData\Local\Temp\OnboardLogs" /stypes="*4025*20160820*" /stext=" 17:.+((SYSTEM_STATE.+slice.+state.+changed )|(ment ac)|(system.+state.+changed )|(\|lc)|(penalty)|(\[timeout)|(PRM\|1\|D)|(kpr)|(kdp))" /e /r /s</v>
      </c>
      <c r="AG172" s="1" t="str">
        <f t="shared" si="79"/>
        <v>NW</v>
      </c>
      <c r="AH172" s="104" t="str">
        <f t="shared" si="80"/>
        <v>"%USERPROFILE%\Documents\GitHub\eaglep3\Utilities\RefineRTDCRunTimes.py" --tripid 1811-20 --locoid 4025 --swversion DE.1.0.7.0 --startMP 204:1109 --initTime 2016-08-20T10:55:09 --startdatetime 2016-08-20T10:56:16 --delay 1 --endMP 300:58931 --enddatetime 2016-08-20T11:34:56 --enforcementcount 0</v>
      </c>
    </row>
    <row r="173" spans="1:34" x14ac:dyDescent="0.25">
      <c r="A173" s="40" t="s">
        <v>466</v>
      </c>
      <c r="B173" s="7">
        <v>4026</v>
      </c>
      <c r="C173" s="25" t="s">
        <v>116</v>
      </c>
      <c r="D173" s="25" t="s">
        <v>295</v>
      </c>
      <c r="E173" s="16">
        <v>42602.483414351853</v>
      </c>
      <c r="F173" s="16">
        <v>42602.484178240738</v>
      </c>
      <c r="G173" s="7">
        <v>1</v>
      </c>
      <c r="H173" s="16" t="s">
        <v>462</v>
      </c>
      <c r="I173" s="16">
        <v>42602.495555555557</v>
      </c>
      <c r="J173" s="7">
        <v>0</v>
      </c>
      <c r="K173" s="141" t="str">
        <f t="shared" ref="K173:K204" si="84">IF(ISEVEN(B173),(B173-1)&amp;"/"&amp;B173,B173&amp;"/"&amp;(B173+1))</f>
        <v>4025/4026</v>
      </c>
      <c r="L173" s="25" t="str">
        <f>VLOOKUP(A173,'Trips&amp;Operators'!$C$1:$E$10000,3,FALSE)</f>
        <v>YORK</v>
      </c>
      <c r="M173" s="6">
        <f t="shared" ref="M173:M204" si="85">I173-F173</f>
        <v>1.1377314818673767E-2</v>
      </c>
      <c r="N173" s="7">
        <f t="shared" si="65"/>
        <v>16.383333338890225</v>
      </c>
      <c r="O173" s="7"/>
      <c r="P173" s="7"/>
      <c r="Q173" s="26"/>
      <c r="R173" s="26"/>
      <c r="S173" s="38">
        <f t="shared" si="83"/>
        <v>1</v>
      </c>
      <c r="T173" s="53" t="str">
        <f t="shared" ref="T173:T204" si="86">IF(ISEVEN(LEFT(AD173,4)),"Southbound","NorthBound")</f>
        <v>Southbound</v>
      </c>
      <c r="U173" s="13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0" t="str">
        <f t="shared" ref="V173:V204" si="87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https://search-rtdc-monitor-bjffxe2xuh6vdkpspy63sjmuny.us-east-1.es.amazonaws.com/_plugin/kibana/#/discover/Steve-Slow-Train-Analysis-(2080s-and-2083s)?_g=(refreshInterval:(display:Off,section:0,value:0),time:(from:'2016-08-20 10:36:07-0600',mode:absolute,to:'2016-08-20 12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3" s="55" t="str">
        <f t="shared" ref="W173:W204" si="88">IF(AA173&lt;IF(AG173="EC",23,5.65),"Y","N")</f>
        <v>N</v>
      </c>
      <c r="X173" s="128">
        <f t="shared" si="82"/>
        <v>1</v>
      </c>
      <c r="Y173" s="70">
        <f t="shared" ref="Y173:Y204" si="89">RIGHT(D173,LEN(D173)-4)/10000</f>
        <v>5.8619000000000003</v>
      </c>
      <c r="Z173" s="70">
        <f t="shared" ref="Z173:Z184" si="90">RIGHT(H173,LEN(H173)-4)/10000</f>
        <v>8.0100000000000005E-2</v>
      </c>
      <c r="AA173" s="70">
        <f t="shared" ref="AA173:AA204" si="91">ABS(Z173-Y173)</f>
        <v>5.7818000000000005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ref="AD173:AD204" si="92">IF(LEN(A173)=6,"0"&amp;A173,A173)</f>
        <v>1812-20</v>
      </c>
      <c r="AE173" s="103" t="str">
        <f t="shared" ref="AE173:AE204" si="93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73" s="100" t="str">
        <f t="shared" ref="AF173:AF204" si="94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/stypes="*4026*20160820*" /stext=" 17:.+((SYSTEM_STATE.+slice.+state.+changed )|(ment ac)|(system.+state.+changed )|(\|lc)|(penalty)|(\[timeout)|(PRM\|1\|D)|(kpr)|(kdp))" /e /r /s</v>
      </c>
      <c r="AG173" s="1" t="str">
        <f t="shared" ref="AG173:AG204" si="95">IFERROR(IF(VALUE(LEFT(AD173,2))&lt;=2,"EC",IF(OR(VALUE(LEFT(AD173,2))=8,VALUE(LEFT(AD173,2))=18),"NW","Other")),"Other")</f>
        <v>NW</v>
      </c>
      <c r="AH173" s="104" t="str">
        <f t="shared" si="80"/>
        <v>"%USERPROFILE%\Documents\GitHub\eaglep3\Utilities\RefineRTDCRunTimes.py" --tripid 1812-20 --locoid 4026 --swversion DE.1.0.7.0 --startMP 300:58619 --initTime 2016-08-20T11:36:07 --startdatetime 2016-08-20T11:37:13 --delay 1 --endMP 204:801 --enddatetime 2016-08-20T11:53:36 --enforcementcount 0</v>
      </c>
    </row>
    <row r="174" spans="1:34" x14ac:dyDescent="0.25">
      <c r="A174" s="40" t="s">
        <v>467</v>
      </c>
      <c r="B174" s="7">
        <v>4025</v>
      </c>
      <c r="C174" s="25" t="s">
        <v>116</v>
      </c>
      <c r="D174" s="25" t="s">
        <v>468</v>
      </c>
      <c r="E174" s="16">
        <v>42602.496388888889</v>
      </c>
      <c r="F174" s="16">
        <v>42602.497210648151</v>
      </c>
      <c r="G174" s="7">
        <v>1</v>
      </c>
      <c r="H174" s="16" t="s">
        <v>469</v>
      </c>
      <c r="I174" s="16">
        <v>42602.525034722225</v>
      </c>
      <c r="J174" s="7">
        <v>0</v>
      </c>
      <c r="K174" s="141" t="str">
        <f t="shared" si="84"/>
        <v>4025/4026</v>
      </c>
      <c r="L174" s="25" t="str">
        <f>VLOOKUP(A174,'Trips&amp;Operators'!$C$1:$E$10000,3,FALSE)</f>
        <v>YORK</v>
      </c>
      <c r="M174" s="6">
        <f t="shared" si="85"/>
        <v>2.7824074073578231E-2</v>
      </c>
      <c r="N174" s="7">
        <f t="shared" si="65"/>
        <v>40.066666665952653</v>
      </c>
      <c r="O174" s="7"/>
      <c r="P174" s="7"/>
      <c r="Q174" s="26"/>
      <c r="R174" s="26"/>
      <c r="S174" s="38">
        <f t="shared" si="83"/>
        <v>1</v>
      </c>
      <c r="T174" s="53" t="str">
        <f t="shared" si="86"/>
        <v>NorthBound</v>
      </c>
      <c r="U174" s="13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10:54:48-0600',mode:absolute,to:'2016-08-20 13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4" s="55" t="str">
        <f t="shared" si="88"/>
        <v>N</v>
      </c>
      <c r="X174" s="128">
        <f t="shared" si="82"/>
        <v>1</v>
      </c>
      <c r="Y174" s="70">
        <f t="shared" si="89"/>
        <v>0.1105</v>
      </c>
      <c r="Z174" s="70">
        <f t="shared" si="90"/>
        <v>5.8924000000000003</v>
      </c>
      <c r="AA174" s="70">
        <f t="shared" si="91"/>
        <v>5.7819000000000003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92"/>
        <v>1813-20</v>
      </c>
      <c r="AE174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74" s="100" t="str">
        <f t="shared" si="94"/>
        <v>"C:\Program Files (x86)\AstroGrep\AstroGrep.exe" /spath="%USERPROFILE%\AppData\Local\Temp\OnboardLogs" /stypes="*4025*20160820*" /stext=" 18:.+((SYSTEM_STATE.+slice.+state.+changed )|(ment ac)|(system.+state.+changed )|(\|lc)|(penalty)|(\[timeout)|(PRM\|1\|D)|(kpr)|(kdp))" /e /r /s</v>
      </c>
      <c r="AG174" s="1" t="str">
        <f t="shared" si="95"/>
        <v>NW</v>
      </c>
      <c r="AH174" s="104" t="str">
        <f t="shared" si="80"/>
        <v>"%USERPROFILE%\Documents\GitHub\eaglep3\Utilities\RefineRTDCRunTimes.py" --tripid 1813-20 --locoid 4025 --swversion DE.1.0.7.0 --startMP 204:1105 --initTime 2016-08-20T11:54:48 --startdatetime 2016-08-20T11:55:59 --delay 1 --endMP 300:58924 --enddatetime 2016-08-20T12:36:03 --enforcementcount 0</v>
      </c>
    </row>
    <row r="175" spans="1:34" x14ac:dyDescent="0.25">
      <c r="A175" s="40" t="s">
        <v>470</v>
      </c>
      <c r="B175" s="7">
        <v>4026</v>
      </c>
      <c r="C175" s="25" t="s">
        <v>116</v>
      </c>
      <c r="D175" s="25" t="s">
        <v>471</v>
      </c>
      <c r="E175" s="16">
        <v>42602.526064814818</v>
      </c>
      <c r="F175" s="16">
        <v>42602.526782407411</v>
      </c>
      <c r="G175" s="7">
        <v>1</v>
      </c>
      <c r="H175" s="16" t="s">
        <v>472</v>
      </c>
      <c r="I175" s="16">
        <v>42602.537546296298</v>
      </c>
      <c r="J175" s="7">
        <v>0</v>
      </c>
      <c r="K175" s="141" t="str">
        <f t="shared" si="84"/>
        <v>4025/4026</v>
      </c>
      <c r="L175" s="25" t="str">
        <f>VLOOKUP(A175,'Trips&amp;Operators'!$C$1:$E$10000,3,FALSE)</f>
        <v>YORK</v>
      </c>
      <c r="M175" s="6">
        <f t="shared" si="85"/>
        <v>1.0763888887595385E-2</v>
      </c>
      <c r="N175" s="7">
        <f t="shared" si="65"/>
        <v>15.499999998137355</v>
      </c>
      <c r="O175" s="7"/>
      <c r="P175" s="7"/>
      <c r="Q175" s="26"/>
      <c r="R175" s="26"/>
      <c r="S175" s="38">
        <f t="shared" si="83"/>
        <v>1</v>
      </c>
      <c r="T175" s="53" t="str">
        <f t="shared" si="86"/>
        <v>Southbound</v>
      </c>
      <c r="U175" s="13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11:37:32-0600',mode:absolute,to:'2016-08-20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5" s="55" t="str">
        <f t="shared" si="88"/>
        <v>N</v>
      </c>
      <c r="X175" s="128">
        <f t="shared" ref="X175:X181" si="96">VALUE(LEFT(AD175,4))-VALUE(LEFT(AD174,4))</f>
        <v>1</v>
      </c>
      <c r="Y175" s="70">
        <f t="shared" si="89"/>
        <v>5.8609</v>
      </c>
      <c r="Z175" s="70">
        <f t="shared" si="90"/>
        <v>8.1500000000000003E-2</v>
      </c>
      <c r="AA175" s="70">
        <f t="shared" si="91"/>
        <v>5.7793999999999999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92"/>
        <v>1814-20</v>
      </c>
      <c r="AE175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75" s="100" t="str">
        <f t="shared" si="94"/>
        <v>"C:\Program Files (x86)\AstroGrep\AstroGrep.exe" /spath="%USERPROFILE%\AppData\Local\Temp\OnboardLogs" /stypes="*4026*20160820*" /stext=" 18:.+((SYSTEM_STATE.+slice.+state.+changed )|(ment ac)|(system.+state.+changed )|(\|lc)|(penalty)|(\[timeout)|(PRM\|1\|D)|(kpr)|(kdp))" /e /r /s</v>
      </c>
      <c r="AG175" s="1" t="str">
        <f t="shared" si="95"/>
        <v>NW</v>
      </c>
      <c r="AH175" s="104" t="str">
        <f t="shared" si="80"/>
        <v>"%USERPROFILE%\Documents\GitHub\eaglep3\Utilities\RefineRTDCRunTimes.py" --tripid 1814-20 --locoid 4026 --swversion DE.1.0.7.0 --startMP 300:58609 --initTime 2016-08-20T12:37:32 --startdatetime 2016-08-20T12:38:34 --delay 1 --endMP 204:815 --enddatetime 2016-08-20T12:54:04 --enforcementcount 0</v>
      </c>
    </row>
    <row r="176" spans="1:34" x14ac:dyDescent="0.25">
      <c r="A176" s="40" t="s">
        <v>473</v>
      </c>
      <c r="B176" s="7">
        <v>4025</v>
      </c>
      <c r="C176" s="25" t="s">
        <v>116</v>
      </c>
      <c r="D176" s="25" t="s">
        <v>474</v>
      </c>
      <c r="E176" s="16">
        <v>42602.538622685184</v>
      </c>
      <c r="F176" s="16">
        <v>42602.539490740739</v>
      </c>
      <c r="G176" s="7">
        <v>1</v>
      </c>
      <c r="H176" s="16" t="s">
        <v>465</v>
      </c>
      <c r="I176" s="16">
        <v>42602.565393518518</v>
      </c>
      <c r="J176" s="7">
        <v>0</v>
      </c>
      <c r="K176" s="141" t="str">
        <f t="shared" si="84"/>
        <v>4025/4026</v>
      </c>
      <c r="L176" s="25" t="str">
        <f>VLOOKUP(A176,'Trips&amp;Operators'!$C$1:$E$10000,3,FALSE)</f>
        <v>YORK</v>
      </c>
      <c r="M176" s="6">
        <f t="shared" si="85"/>
        <v>2.5902777779265307E-2</v>
      </c>
      <c r="N176" s="7">
        <f t="shared" si="65"/>
        <v>37.300000002142042</v>
      </c>
      <c r="O176" s="7"/>
      <c r="P176" s="7"/>
      <c r="Q176" s="26"/>
      <c r="R176" s="26"/>
      <c r="S176" s="38">
        <f t="shared" si="83"/>
        <v>1</v>
      </c>
      <c r="T176" s="53" t="str">
        <f t="shared" si="86"/>
        <v>NorthBound</v>
      </c>
      <c r="U176" s="13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11:55:37-0600',mode:absolute,to:'2016-08-20 14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6" s="55" t="str">
        <f t="shared" si="88"/>
        <v>N</v>
      </c>
      <c r="X176" s="128">
        <f t="shared" si="96"/>
        <v>1</v>
      </c>
      <c r="Y176" s="70">
        <f t="shared" si="89"/>
        <v>0.1118</v>
      </c>
      <c r="Z176" s="70">
        <f t="shared" si="90"/>
        <v>5.8930999999999996</v>
      </c>
      <c r="AA176" s="70">
        <f t="shared" si="91"/>
        <v>5.7812999999999999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92"/>
        <v>1815-20</v>
      </c>
      <c r="AE176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76" s="100" t="str">
        <f t="shared" si="94"/>
        <v>"C:\Program Files (x86)\AstroGrep\AstroGrep.exe" /spath="%USERPROFILE%\AppData\Local\Temp\OnboardLogs" /stypes="*4025*20160820*" /stext=" 19:.+((SYSTEM_STATE.+slice.+state.+changed )|(ment ac)|(system.+state.+changed )|(\|lc)|(penalty)|(\[timeout)|(PRM\|1\|D)|(kpr)|(kdp))" /e /r /s</v>
      </c>
      <c r="AG176" s="1" t="str">
        <f t="shared" si="95"/>
        <v>NW</v>
      </c>
      <c r="AH176" s="104" t="str">
        <f t="shared" si="80"/>
        <v>"%USERPROFILE%\Documents\GitHub\eaglep3\Utilities\RefineRTDCRunTimes.py" --tripid 1815-20 --locoid 4025 --swversion DE.1.0.7.0 --startMP 204:1118 --initTime 2016-08-20T12:55:37 --startdatetime 2016-08-20T12:56:52 --delay 1 --endMP 300:58931 --enddatetime 2016-08-20T13:34:10 --enforcementcount 0</v>
      </c>
    </row>
    <row r="177" spans="1:34" x14ac:dyDescent="0.25">
      <c r="A177" s="40" t="s">
        <v>475</v>
      </c>
      <c r="B177" s="7">
        <v>4026</v>
      </c>
      <c r="C177" s="25" t="s">
        <v>116</v>
      </c>
      <c r="D177" s="25" t="s">
        <v>476</v>
      </c>
      <c r="E177" s="16">
        <v>42602.566805555558</v>
      </c>
      <c r="F177" s="16">
        <v>42602.56763888889</v>
      </c>
      <c r="G177" s="7">
        <v>1</v>
      </c>
      <c r="H177" s="16" t="s">
        <v>300</v>
      </c>
      <c r="I177" s="16">
        <v>42602.578865740739</v>
      </c>
      <c r="J177" s="7">
        <v>0</v>
      </c>
      <c r="K177" s="141" t="str">
        <f t="shared" si="84"/>
        <v>4025/4026</v>
      </c>
      <c r="L177" s="25" t="str">
        <f>VLOOKUP(A177,'Trips&amp;Operators'!$C$1:$E$10000,3,FALSE)</f>
        <v>YORK</v>
      </c>
      <c r="M177" s="6">
        <f t="shared" si="85"/>
        <v>1.1226851849642117E-2</v>
      </c>
      <c r="N177" s="7">
        <f t="shared" si="65"/>
        <v>16.166666663484648</v>
      </c>
      <c r="O177" s="7"/>
      <c r="P177" s="7"/>
      <c r="Q177" s="26"/>
      <c r="R177" s="26"/>
      <c r="S177" s="38">
        <f t="shared" si="83"/>
        <v>1</v>
      </c>
      <c r="T177" s="53" t="str">
        <f t="shared" si="86"/>
        <v>Southbound</v>
      </c>
      <c r="U177" s="13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12:36:12-0600',mode:absolute,to:'2016-08-20 14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7" s="55" t="str">
        <f t="shared" si="88"/>
        <v>N</v>
      </c>
      <c r="X177" s="128">
        <f t="shared" si="96"/>
        <v>1</v>
      </c>
      <c r="Y177" s="70">
        <f t="shared" si="89"/>
        <v>5.8623000000000003</v>
      </c>
      <c r="Z177" s="70">
        <f t="shared" si="90"/>
        <v>8.4099999999999994E-2</v>
      </c>
      <c r="AA177" s="70">
        <f t="shared" si="91"/>
        <v>5.7782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92"/>
        <v>1816-20</v>
      </c>
      <c r="AE177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77" s="100" t="str">
        <f t="shared" si="94"/>
        <v>"C:\Program Files (x86)\AstroGrep\AstroGrep.exe" /spath="%USERPROFILE%\AppData\Local\Temp\OnboardLogs" /stypes="*4026*20160820*" /stext=" 19:.+((SYSTEM_STATE.+slice.+state.+changed )|(ment ac)|(system.+state.+changed )|(\|lc)|(penalty)|(\[timeout)|(PRM\|1\|D)|(kpr)|(kdp))" /e /r /s</v>
      </c>
      <c r="AG177" s="1" t="str">
        <f t="shared" si="95"/>
        <v>NW</v>
      </c>
      <c r="AH177" s="104" t="str">
        <f t="shared" si="80"/>
        <v>"%USERPROFILE%\Documents\GitHub\eaglep3\Utilities\RefineRTDCRunTimes.py" --tripid 1816-20 --locoid 4026 --swversion DE.1.0.7.0 --startMP 300:58623 --initTime 2016-08-20T13:36:12 --startdatetime 2016-08-20T13:37:24 --delay 1 --endMP 204:841 --enddatetime 2016-08-20T13:53:34 --enforcementcount 0</v>
      </c>
    </row>
    <row r="178" spans="1:34" x14ac:dyDescent="0.25">
      <c r="A178" s="40" t="s">
        <v>477</v>
      </c>
      <c r="B178" s="7">
        <v>4025</v>
      </c>
      <c r="C178" s="25" t="s">
        <v>116</v>
      </c>
      <c r="D178" s="25" t="s">
        <v>478</v>
      </c>
      <c r="E178" s="16">
        <v>42602.593912037039</v>
      </c>
      <c r="F178" s="16">
        <v>42602.595219907409</v>
      </c>
      <c r="G178" s="7">
        <v>1</v>
      </c>
      <c r="H178" s="16" t="s">
        <v>479</v>
      </c>
      <c r="I178" s="16">
        <v>42602.607997685183</v>
      </c>
      <c r="J178" s="7">
        <v>0</v>
      </c>
      <c r="K178" s="141" t="str">
        <f t="shared" si="84"/>
        <v>4025/4026</v>
      </c>
      <c r="L178" s="25" t="str">
        <f>VLOOKUP(A178,'Trips&amp;Operators'!$C$1:$E$10000,3,FALSE)</f>
        <v>SANTIZO</v>
      </c>
      <c r="M178" s="6">
        <f t="shared" si="85"/>
        <v>1.2777777774317656E-2</v>
      </c>
      <c r="N178" s="7">
        <f t="shared" si="65"/>
        <v>18.399999995017424</v>
      </c>
      <c r="O178" s="7"/>
      <c r="P178" s="7"/>
      <c r="Q178" s="26"/>
      <c r="R178" s="26"/>
      <c r="S178" s="38">
        <f t="shared" si="83"/>
        <v>1</v>
      </c>
      <c r="T178" s="53" t="str">
        <f t="shared" si="86"/>
        <v>NorthBound</v>
      </c>
      <c r="U178" s="13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13:15:14-0600',mode:absolute,to:'2016-08-20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8" s="55" t="str">
        <f t="shared" si="88"/>
        <v>N</v>
      </c>
      <c r="X178" s="128">
        <f t="shared" si="96"/>
        <v>1</v>
      </c>
      <c r="Y178" s="70">
        <f t="shared" si="89"/>
        <v>0.1135</v>
      </c>
      <c r="Z178" s="70">
        <f t="shared" si="90"/>
        <v>5.8933</v>
      </c>
      <c r="AA178" s="70">
        <f t="shared" si="91"/>
        <v>5.7797999999999998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92"/>
        <v>1817-20</v>
      </c>
      <c r="AE178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78" s="100" t="str">
        <f t="shared" si="94"/>
        <v>"C:\Program Files (x86)\AstroGrep\AstroGrep.exe" /spath="%USERPROFILE%\AppData\Local\Temp\OnboardLogs" /stypes="*4025*20160820*" /stext=" 20:.+((SYSTEM_STATE.+slice.+state.+changed )|(ment ac)|(system.+state.+changed )|(\|lc)|(penalty)|(\[timeout)|(PRM\|1\|D)|(kpr)|(kdp))" /e /r /s</v>
      </c>
      <c r="AG178" s="1" t="str">
        <f t="shared" si="95"/>
        <v>NW</v>
      </c>
      <c r="AH178" s="104" t="str">
        <f t="shared" si="80"/>
        <v>"%USERPROFILE%\Documents\GitHub\eaglep3\Utilities\RefineRTDCRunTimes.py" --tripid 1817-20 --locoid 4025 --swversion DE.1.0.7.0 --startMP 204:1135 --initTime 2016-08-20T14:15:14 --startdatetime 2016-08-20T14:17:07 --delay 1 --endMP 300:58933 --enddatetime 2016-08-20T14:35:31 --enforcementcount 0</v>
      </c>
    </row>
    <row r="179" spans="1:34" x14ac:dyDescent="0.25">
      <c r="A179" s="40" t="s">
        <v>480</v>
      </c>
      <c r="B179" s="7">
        <v>4026</v>
      </c>
      <c r="C179" s="25" t="s">
        <v>116</v>
      </c>
      <c r="D179" s="25" t="s">
        <v>298</v>
      </c>
      <c r="E179" s="16">
        <v>42602.608611111114</v>
      </c>
      <c r="F179" s="16">
        <v>42602.609675925924</v>
      </c>
      <c r="G179" s="7">
        <v>1</v>
      </c>
      <c r="H179" s="16" t="s">
        <v>481</v>
      </c>
      <c r="I179" s="16">
        <v>42602.622060185182</v>
      </c>
      <c r="J179" s="7">
        <v>0</v>
      </c>
      <c r="K179" s="141" t="str">
        <f t="shared" si="84"/>
        <v>4025/4026</v>
      </c>
      <c r="L179" s="25" t="str">
        <f>VLOOKUP(A179,'Trips&amp;Operators'!$C$1:$E$10000,3,FALSE)</f>
        <v>SANTIZO</v>
      </c>
      <c r="M179" s="6">
        <f t="shared" si="85"/>
        <v>1.2384259258396924E-2</v>
      </c>
      <c r="N179" s="7">
        <f t="shared" si="65"/>
        <v>17.83333333209157</v>
      </c>
      <c r="O179" s="7"/>
      <c r="P179" s="7"/>
      <c r="Q179" s="26"/>
      <c r="R179" s="26"/>
      <c r="S179" s="38">
        <f t="shared" si="83"/>
        <v>1</v>
      </c>
      <c r="T179" s="53" t="str">
        <f t="shared" si="86"/>
        <v>Southbound</v>
      </c>
      <c r="U179" s="13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13:36:24-0600',mode:absolute,to:'2016-08-20 15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79" s="55" t="str">
        <f t="shared" si="88"/>
        <v>N</v>
      </c>
      <c r="X179" s="128">
        <f t="shared" si="96"/>
        <v>1</v>
      </c>
      <c r="Y179" s="70">
        <f t="shared" si="89"/>
        <v>5.8611000000000004</v>
      </c>
      <c r="Z179" s="70">
        <f t="shared" si="90"/>
        <v>7.3800000000000004E-2</v>
      </c>
      <c r="AA179" s="70">
        <f t="shared" si="91"/>
        <v>5.7873000000000001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92"/>
        <v>1818-20</v>
      </c>
      <c r="AE179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79" s="100" t="str">
        <f t="shared" si="94"/>
        <v>"C:\Program Files (x86)\AstroGrep\AstroGrep.exe" /spath="%USERPROFILE%\AppData\Local\Temp\OnboardLogs" /stypes="*4026*20160820*" /stext=" 20:.+((SYSTEM_STATE.+slice.+state.+changed )|(ment ac)|(system.+state.+changed )|(\|lc)|(penalty)|(\[timeout)|(PRM\|1\|D)|(kpr)|(kdp))" /e /r /s</v>
      </c>
      <c r="AG179" s="1" t="str">
        <f t="shared" si="95"/>
        <v>NW</v>
      </c>
      <c r="AH179" s="104" t="str">
        <f t="shared" si="80"/>
        <v>"%USERPROFILE%\Documents\GitHub\eaglep3\Utilities\RefineRTDCRunTimes.py" --tripid 1818-20 --locoid 4026 --swversion DE.1.0.7.0 --startMP 300:58611 --initTime 2016-08-20T14:36:24 --startdatetime 2016-08-20T14:37:56 --delay 1 --endMP 204:738 --enddatetime 2016-08-20T14:55:46 --enforcementcount 0</v>
      </c>
    </row>
    <row r="180" spans="1:34" x14ac:dyDescent="0.25">
      <c r="A180" s="40" t="s">
        <v>482</v>
      </c>
      <c r="B180" s="7">
        <v>4025</v>
      </c>
      <c r="C180" s="25" t="s">
        <v>116</v>
      </c>
      <c r="D180" s="25" t="s">
        <v>483</v>
      </c>
      <c r="E180" s="16">
        <v>42602.623611111114</v>
      </c>
      <c r="F180" s="16">
        <v>42602.624525462961</v>
      </c>
      <c r="G180" s="7">
        <v>1</v>
      </c>
      <c r="H180" s="16" t="s">
        <v>294</v>
      </c>
      <c r="I180" s="16">
        <v>42602.650266203702</v>
      </c>
      <c r="J180" s="7">
        <v>0</v>
      </c>
      <c r="K180" s="141" t="str">
        <f t="shared" si="84"/>
        <v>4025/4026</v>
      </c>
      <c r="L180" s="25" t="str">
        <f>VLOOKUP(A180,'Trips&amp;Operators'!$C$1:$E$10000,3,FALSE)</f>
        <v>SANTIZO</v>
      </c>
      <c r="M180" s="6">
        <f t="shared" si="85"/>
        <v>2.5740740740729962E-2</v>
      </c>
      <c r="N180" s="7">
        <f t="shared" si="65"/>
        <v>37.066666666651145</v>
      </c>
      <c r="O180" s="7"/>
      <c r="P180" s="7"/>
      <c r="Q180" s="26"/>
      <c r="R180" s="26"/>
      <c r="S180" s="38">
        <f t="shared" si="83"/>
        <v>1</v>
      </c>
      <c r="T180" s="53" t="str">
        <f t="shared" si="86"/>
        <v>NorthBound</v>
      </c>
      <c r="U180" s="13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13:58:00-0600',mode:absolute,to:'2016-08-20 16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0" s="55" t="str">
        <f t="shared" si="88"/>
        <v>N</v>
      </c>
      <c r="X180" s="128">
        <f t="shared" si="96"/>
        <v>1</v>
      </c>
      <c r="Y180" s="70">
        <f t="shared" si="89"/>
        <v>0.1016</v>
      </c>
      <c r="Z180" s="70">
        <f t="shared" si="90"/>
        <v>5.8936999999999999</v>
      </c>
      <c r="AA180" s="70">
        <f t="shared" si="91"/>
        <v>5.7920999999999996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92"/>
        <v>1819-20</v>
      </c>
      <c r="AE180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80" s="100" t="str">
        <f t="shared" si="94"/>
        <v>"C:\Program Files (x86)\AstroGrep\AstroGrep.exe" /spath="%USERPROFILE%\AppData\Local\Temp\OnboardLogs" /stypes="*4025*20160820*" /stext=" 21:.+((SYSTEM_STATE.+slice.+state.+changed )|(ment ac)|(system.+state.+changed )|(\|lc)|(penalty)|(\[timeout)|(PRM\|1\|D)|(kpr)|(kdp))" /e /r /s</v>
      </c>
      <c r="AG180" s="1" t="str">
        <f t="shared" si="95"/>
        <v>NW</v>
      </c>
      <c r="AH180" s="104" t="str">
        <f t="shared" si="80"/>
        <v>"%USERPROFILE%\Documents\GitHub\eaglep3\Utilities\RefineRTDCRunTimes.py" --tripid 1819-20 --locoid 4025 --swversion DE.1.0.7.0 --startMP 204:1016 --initTime 2016-08-20T14:58:00 --startdatetime 2016-08-20T14:59:19 --delay 1 --endMP 300:58937 --enddatetime 2016-08-20T15:36:23 --enforcementcount 0</v>
      </c>
    </row>
    <row r="181" spans="1:34" x14ac:dyDescent="0.25">
      <c r="A181" s="40" t="s">
        <v>485</v>
      </c>
      <c r="B181" s="7">
        <v>4026</v>
      </c>
      <c r="C181" s="25" t="s">
        <v>116</v>
      </c>
      <c r="D181" s="25" t="s">
        <v>295</v>
      </c>
      <c r="E181" s="16">
        <v>42602.650949074072</v>
      </c>
      <c r="F181" s="16">
        <v>42602.651863425926</v>
      </c>
      <c r="G181" s="7">
        <v>1</v>
      </c>
      <c r="H181" s="16" t="s">
        <v>486</v>
      </c>
      <c r="I181" s="16">
        <v>42602.664560185185</v>
      </c>
      <c r="J181" s="7">
        <v>0</v>
      </c>
      <c r="K181" s="141" t="str">
        <f t="shared" si="84"/>
        <v>4025/4026</v>
      </c>
      <c r="L181" s="25" t="str">
        <f>VLOOKUP(A181,'Trips&amp;Operators'!$C$1:$E$10000,3,FALSE)</f>
        <v>SANTIZO</v>
      </c>
      <c r="M181" s="6">
        <f t="shared" si="85"/>
        <v>1.2696759258687962E-2</v>
      </c>
      <c r="N181" s="7">
        <f t="shared" si="65"/>
        <v>18.283333332510665</v>
      </c>
      <c r="O181" s="7"/>
      <c r="P181" s="7"/>
      <c r="Q181" s="26"/>
      <c r="R181" s="26"/>
      <c r="S181" s="38">
        <f t="shared" si="83"/>
        <v>1</v>
      </c>
      <c r="T181" s="53" t="str">
        <f t="shared" si="86"/>
        <v>Southbound</v>
      </c>
      <c r="U181" s="13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14:37:22-0600',mode:absolute,to:'2016-08-20 16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1" s="55" t="str">
        <f t="shared" si="88"/>
        <v>N</v>
      </c>
      <c r="X181" s="128">
        <f t="shared" si="96"/>
        <v>1</v>
      </c>
      <c r="Y181" s="70">
        <f t="shared" si="89"/>
        <v>5.8619000000000003</v>
      </c>
      <c r="Z181" s="70">
        <f t="shared" si="90"/>
        <v>7.4800000000000005E-2</v>
      </c>
      <c r="AA181" s="70">
        <f t="shared" si="91"/>
        <v>5.7871000000000006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92"/>
        <v>1820-20</v>
      </c>
      <c r="AE181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81" s="100" t="str">
        <f t="shared" si="94"/>
        <v>"C:\Program Files (x86)\AstroGrep\AstroGrep.exe" /spath="%USERPROFILE%\AppData\Local\Temp\OnboardLogs" /stypes="*4026*20160820*" /stext=" 21:.+((SYSTEM_STATE.+slice.+state.+changed )|(ment ac)|(system.+state.+changed )|(\|lc)|(penalty)|(\[timeout)|(PRM\|1\|D)|(kpr)|(kdp))" /e /r /s</v>
      </c>
      <c r="AG181" s="1" t="str">
        <f t="shared" si="95"/>
        <v>NW</v>
      </c>
      <c r="AH181" s="104" t="str">
        <f t="shared" si="80"/>
        <v>"%USERPROFILE%\Documents\GitHub\eaglep3\Utilities\RefineRTDCRunTimes.py" --tripid 1820-20 --locoid 4026 --swversion DE.1.0.7.0 --startMP 300:58619 --initTime 2016-08-20T15:37:22 --startdatetime 2016-08-20T15:38:41 --delay 1 --endMP 204:748 --enddatetime 2016-08-20T15:56:58 --enforcementcount 0</v>
      </c>
    </row>
    <row r="182" spans="1:34" x14ac:dyDescent="0.25">
      <c r="A182" s="40" t="s">
        <v>487</v>
      </c>
      <c r="B182" s="7">
        <v>4025</v>
      </c>
      <c r="C182" s="25" t="s">
        <v>116</v>
      </c>
      <c r="D182" s="25" t="s">
        <v>488</v>
      </c>
      <c r="E182" s="16">
        <v>42602.666342592594</v>
      </c>
      <c r="F182" s="16">
        <v>42602.667210648149</v>
      </c>
      <c r="G182" s="7">
        <v>1</v>
      </c>
      <c r="H182" s="16" t="s">
        <v>489</v>
      </c>
      <c r="I182" s="16">
        <v>42602.69122685185</v>
      </c>
      <c r="J182" s="7">
        <v>0</v>
      </c>
      <c r="K182" s="141" t="str">
        <f t="shared" si="84"/>
        <v>4025/4026</v>
      </c>
      <c r="L182" s="25" t="str">
        <f>VLOOKUP(A182,'Trips&amp;Operators'!$C$1:$E$10000,3,FALSE)</f>
        <v>SANTIZO</v>
      </c>
      <c r="M182" s="6">
        <f t="shared" si="85"/>
        <v>2.4016203700739425E-2</v>
      </c>
      <c r="N182" s="7">
        <f t="shared" si="65"/>
        <v>34.583333329064772</v>
      </c>
      <c r="O182" s="7"/>
      <c r="P182" s="7"/>
      <c r="Q182" s="26"/>
      <c r="R182" s="26"/>
      <c r="S182" s="38">
        <f t="shared" si="83"/>
        <v>1</v>
      </c>
      <c r="T182" s="53" t="str">
        <f t="shared" si="86"/>
        <v>NorthBound</v>
      </c>
      <c r="U182" s="13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14:59:32-0600',mode:absolute,to:'2016-08-20 17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2" s="55" t="str">
        <f t="shared" si="88"/>
        <v>N</v>
      </c>
      <c r="X182" s="128">
        <f t="shared" ref="X182:X204" si="97">VALUE(LEFT(AD182,4))-VALUE(LEFT(AD181,4))</f>
        <v>1</v>
      </c>
      <c r="Y182" s="70">
        <f t="shared" si="89"/>
        <v>0.10440000000000001</v>
      </c>
      <c r="Z182" s="70">
        <f t="shared" si="90"/>
        <v>5.8887999999999998</v>
      </c>
      <c r="AA182" s="70">
        <f t="shared" si="91"/>
        <v>5.7843999999999998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92"/>
        <v>1821-20</v>
      </c>
      <c r="AE182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82" s="100" t="str">
        <f t="shared" si="94"/>
        <v>"C:\Program Files (x86)\AstroGrep\AstroGrep.exe" /spath="%USERPROFILE%\AppData\Local\Temp\OnboardLogs" /stypes="*4025*20160820*" /stext=" 22:.+((SYSTEM_STATE.+slice.+state.+changed )|(ment ac)|(system.+state.+changed )|(\|lc)|(penalty)|(\[timeout)|(PRM\|1\|D)|(kpr)|(kdp))" /e /r /s</v>
      </c>
      <c r="AG182" s="1" t="str">
        <f t="shared" si="95"/>
        <v>NW</v>
      </c>
      <c r="AH182" s="104" t="str">
        <f t="shared" si="80"/>
        <v>"%USERPROFILE%\Documents\GitHub\eaglep3\Utilities\RefineRTDCRunTimes.py" --tripid 1821-20 --locoid 4025 --swversion DE.1.0.7.0 --startMP 204:1044 --initTime 2016-08-20T15:59:32 --startdatetime 2016-08-20T16:00:47 --delay 1 --endMP 300:58888 --enddatetime 2016-08-20T16:35:22 --enforcementcount 0</v>
      </c>
    </row>
    <row r="183" spans="1:34" x14ac:dyDescent="0.25">
      <c r="A183" s="40" t="s">
        <v>490</v>
      </c>
      <c r="B183" s="7">
        <v>4026</v>
      </c>
      <c r="C183" s="25" t="s">
        <v>116</v>
      </c>
      <c r="D183" s="25" t="s">
        <v>491</v>
      </c>
      <c r="E183" s="16">
        <v>42602.691944444443</v>
      </c>
      <c r="F183" s="16">
        <v>42602.692754629628</v>
      </c>
      <c r="G183" s="7">
        <v>1</v>
      </c>
      <c r="H183" s="16" t="s">
        <v>299</v>
      </c>
      <c r="I183" s="16">
        <v>42602.706863425927</v>
      </c>
      <c r="J183" s="7">
        <v>0</v>
      </c>
      <c r="K183" s="141" t="str">
        <f t="shared" si="84"/>
        <v>4025/4026</v>
      </c>
      <c r="L183" s="25" t="str">
        <f>VLOOKUP(A183,'Trips&amp;Operators'!$C$1:$E$10000,3,FALSE)</f>
        <v>SANTIZO</v>
      </c>
      <c r="M183" s="6">
        <f t="shared" si="85"/>
        <v>1.410879629838746E-2</v>
      </c>
      <c r="N183" s="7">
        <f t="shared" si="65"/>
        <v>20.316666669677943</v>
      </c>
      <c r="O183" s="7"/>
      <c r="P183" s="7"/>
      <c r="Q183" s="26"/>
      <c r="R183" s="26"/>
      <c r="S183" s="38">
        <f t="shared" si="83"/>
        <v>1</v>
      </c>
      <c r="T183" s="53" t="str">
        <f t="shared" si="86"/>
        <v>Southbound</v>
      </c>
      <c r="U183" s="13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15:36:24-0600',mode:absolute,to:'2016-08-20 17:57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3" s="55" t="str">
        <f t="shared" si="88"/>
        <v>N</v>
      </c>
      <c r="X183" s="128">
        <f t="shared" si="97"/>
        <v>1</v>
      </c>
      <c r="Y183" s="70">
        <f t="shared" si="89"/>
        <v>5.8582999999999998</v>
      </c>
      <c r="Z183" s="70">
        <f t="shared" si="90"/>
        <v>7.4700000000000003E-2</v>
      </c>
      <c r="AA183" s="70">
        <f t="shared" si="91"/>
        <v>5.7835999999999999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92"/>
        <v>1822-20</v>
      </c>
      <c r="AE183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83" s="100" t="str">
        <f t="shared" si="94"/>
        <v>"C:\Program Files (x86)\AstroGrep\AstroGrep.exe" /spath="%USERPROFILE%\AppData\Local\Temp\OnboardLogs" /stypes="*4026*20160820*" /stext=" 22:.+((SYSTEM_STATE.+slice.+state.+changed )|(ment ac)|(system.+state.+changed )|(\|lc)|(penalty)|(\[timeout)|(PRM\|1\|D)|(kpr)|(kdp))" /e /r /s</v>
      </c>
      <c r="AG183" s="1" t="str">
        <f t="shared" si="95"/>
        <v>NW</v>
      </c>
      <c r="AH183" s="104" t="str">
        <f t="shared" si="80"/>
        <v>"%USERPROFILE%\Documents\GitHub\eaglep3\Utilities\RefineRTDCRunTimes.py" --tripid 1822-20 --locoid 4026 --swversion DE.1.0.7.0 --startMP 300:58583 --initTime 2016-08-20T16:36:24 --startdatetime 2016-08-20T16:37:34 --delay 1 --endMP 204:747 --enddatetime 2016-08-20T16:57:53 --enforcementcount 0</v>
      </c>
    </row>
    <row r="184" spans="1:34" x14ac:dyDescent="0.25">
      <c r="A184" s="40" t="s">
        <v>492</v>
      </c>
      <c r="B184" s="7">
        <v>4025</v>
      </c>
      <c r="C184" s="25" t="s">
        <v>116</v>
      </c>
      <c r="D184" s="25" t="s">
        <v>493</v>
      </c>
      <c r="E184" s="16">
        <v>42602.709050925929</v>
      </c>
      <c r="F184" s="16">
        <v>42602.709918981483</v>
      </c>
      <c r="G184" s="7">
        <v>1</v>
      </c>
      <c r="H184" s="16" t="s">
        <v>494</v>
      </c>
      <c r="I184" s="16">
        <v>42602.732789351852</v>
      </c>
      <c r="J184" s="7">
        <v>0</v>
      </c>
      <c r="K184" s="141" t="str">
        <f t="shared" si="84"/>
        <v>4025/4026</v>
      </c>
      <c r="L184" s="25" t="str">
        <f>VLOOKUP(A184,'Trips&amp;Operators'!$C$1:$E$10000,3,FALSE)</f>
        <v>SANTIZO</v>
      </c>
      <c r="M184" s="6">
        <f t="shared" si="85"/>
        <v>2.287037036876427E-2</v>
      </c>
      <c r="N184" s="7">
        <f t="shared" si="65"/>
        <v>32.933333331020549</v>
      </c>
      <c r="O184" s="7"/>
      <c r="P184" s="7"/>
      <c r="Q184" s="26"/>
      <c r="R184" s="26"/>
      <c r="S184" s="38">
        <f t="shared" si="83"/>
        <v>1</v>
      </c>
      <c r="T184" s="53" t="str">
        <f t="shared" si="86"/>
        <v>NorthBound</v>
      </c>
      <c r="U184" s="13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16:01:02-0600',mode:absolute,to:'2016-08-20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4" s="55" t="str">
        <f t="shared" si="88"/>
        <v>N</v>
      </c>
      <c r="X184" s="128">
        <f t="shared" si="97"/>
        <v>1</v>
      </c>
      <c r="Y184" s="70">
        <f t="shared" si="89"/>
        <v>0.1027</v>
      </c>
      <c r="Z184" s="70">
        <f t="shared" si="90"/>
        <v>5.8898999999999999</v>
      </c>
      <c r="AA184" s="70">
        <f t="shared" si="91"/>
        <v>5.7872000000000003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92"/>
        <v>1823-20</v>
      </c>
      <c r="AE184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84" s="100" t="str">
        <f t="shared" si="94"/>
        <v>"C:\Program Files (x86)\AstroGrep\AstroGrep.exe" /spath="%USERPROFILE%\AppData\Local\Temp\OnboardLogs" /stypes="*4025*20160820*" /stext=" 23:.+((SYSTEM_STATE.+slice.+state.+changed )|(ment ac)|(system.+state.+changed )|(\|lc)|(penalty)|(\[timeout)|(PRM\|1\|D)|(kpr)|(kdp))" /e /r /s</v>
      </c>
      <c r="AG184" s="1" t="str">
        <f t="shared" si="95"/>
        <v>NW</v>
      </c>
      <c r="AH184" s="104" t="str">
        <f t="shared" si="80"/>
        <v>"%USERPROFILE%\Documents\GitHub\eaglep3\Utilities\RefineRTDCRunTimes.py" --tripid 1823-20 --locoid 4025 --swversion DE.1.0.7.0 --startMP 204:1027 --initTime 2016-08-20T17:01:02 --startdatetime 2016-08-20T17:02:17 --delay 1 --endMP 300:58899 --enddatetime 2016-08-20T17:35:13 --enforcementcount 0</v>
      </c>
    </row>
    <row r="185" spans="1:34" x14ac:dyDescent="0.25">
      <c r="A185" s="40" t="s">
        <v>495</v>
      </c>
      <c r="B185" s="7">
        <v>4026</v>
      </c>
      <c r="C185" s="25" t="s">
        <v>116</v>
      </c>
      <c r="D185" s="25" t="s">
        <v>496</v>
      </c>
      <c r="E185" s="16">
        <v>42602.73369212963</v>
      </c>
      <c r="F185" s="16">
        <v>42602.734953703701</v>
      </c>
      <c r="G185" s="7">
        <v>1</v>
      </c>
      <c r="H185" s="16" t="s">
        <v>497</v>
      </c>
      <c r="I185" s="16">
        <v>42602.746481481481</v>
      </c>
      <c r="J185" s="7"/>
      <c r="K185" s="141" t="str">
        <f t="shared" si="84"/>
        <v>4025/4026</v>
      </c>
      <c r="L185" s="25" t="str">
        <f>VLOOKUP(A185,'Trips&amp;Operators'!$C$1:$E$10000,3,FALSE)</f>
        <v>SANTIZO</v>
      </c>
      <c r="M185" s="6">
        <f t="shared" si="85"/>
        <v>1.152777778042946E-2</v>
      </c>
      <c r="N185" s="7">
        <f t="shared" si="65"/>
        <v>16.600000003818423</v>
      </c>
      <c r="O185" s="7"/>
      <c r="P185" s="7"/>
      <c r="Q185" s="26"/>
      <c r="R185" s="26"/>
      <c r="S185" s="38">
        <f t="shared" si="83"/>
        <v>1</v>
      </c>
      <c r="T185" s="53" t="str">
        <f t="shared" si="86"/>
        <v>Southbound</v>
      </c>
      <c r="U185" s="13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16:36:31-0600',mode:absolute,to:'2016-08-20 18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5" s="55" t="str">
        <f t="shared" si="88"/>
        <v>N</v>
      </c>
      <c r="X185" s="128">
        <f t="shared" si="97"/>
        <v>1</v>
      </c>
      <c r="Y185" s="70">
        <f t="shared" si="89"/>
        <v>5.8577000000000004</v>
      </c>
      <c r="Z185" s="70">
        <v>7.0000000000000007E-2</v>
      </c>
      <c r="AA185" s="70">
        <f t="shared" si="91"/>
        <v>5.7877000000000001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92"/>
        <v>1824-20</v>
      </c>
      <c r="AE185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85" s="100" t="str">
        <f t="shared" si="94"/>
        <v>"C:\Program Files (x86)\AstroGrep\AstroGrep.exe" /spath="%USERPROFILE%\AppData\Local\Temp\OnboardLogs" /stypes="*4026*20160820*" /stext=" 23:.+((SYSTEM_STATE.+slice.+state.+changed )|(ment ac)|(system.+state.+changed )|(\|lc)|(penalty)|(\[timeout)|(PRM\|1\|D)|(kpr)|(kdp))" /e /r /s</v>
      </c>
      <c r="AG185" s="1" t="str">
        <f t="shared" si="95"/>
        <v>NW</v>
      </c>
      <c r="AH185" s="104" t="str">
        <f t="shared" si="80"/>
        <v xml:space="preserve">"%USERPROFILE%\Documents\GitHub\eaglep3\Utilities\RefineRTDCRunTimes.py" --tripid 1824-20 --locoid 4026 --swversion DE.1.0.7.0 --startMP 300:58577 --initTime 2016-08-20T17:36:31 --startdatetime 2016-08-20T17:38:20 --delay 1 --endMP 300:48153 --enddatetime 2016-08-20T17:54:56 --enforcementcount </v>
      </c>
    </row>
    <row r="186" spans="1:34" x14ac:dyDescent="0.25">
      <c r="A186" s="40" t="s">
        <v>498</v>
      </c>
      <c r="B186" s="7">
        <v>4025</v>
      </c>
      <c r="C186" s="25" t="s">
        <v>116</v>
      </c>
      <c r="D186" s="25" t="s">
        <v>499</v>
      </c>
      <c r="E186" s="16">
        <v>42602.748136574075</v>
      </c>
      <c r="F186" s="16">
        <v>42602.748900462961</v>
      </c>
      <c r="G186" s="7">
        <v>1</v>
      </c>
      <c r="H186" s="16" t="s">
        <v>500</v>
      </c>
      <c r="I186" s="16">
        <v>42602.770358796297</v>
      </c>
      <c r="J186" s="7">
        <v>0</v>
      </c>
      <c r="K186" s="141" t="str">
        <f t="shared" si="84"/>
        <v>4025/4026</v>
      </c>
      <c r="L186" s="25" t="str">
        <f>VLOOKUP(A186,'Trips&amp;Operators'!$C$1:$E$10000,3,FALSE)</f>
        <v>SANTIZO</v>
      </c>
      <c r="M186" s="6">
        <f t="shared" si="85"/>
        <v>2.1458333336340729E-2</v>
      </c>
      <c r="N186" s="7"/>
      <c r="O186" s="7"/>
      <c r="P186" s="7">
        <f>24*60*SUM($M186:$M186)</f>
        <v>30.90000000433065</v>
      </c>
      <c r="Q186" s="26"/>
      <c r="R186" s="26" t="s">
        <v>312</v>
      </c>
      <c r="S186" s="38">
        <f t="shared" si="83"/>
        <v>1</v>
      </c>
      <c r="T186" s="53" t="str">
        <f t="shared" si="86"/>
        <v>NorthBound</v>
      </c>
      <c r="U186" s="13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16:57:19-0600',mode:absolute,to:'2016-08-20 19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6" s="55" t="str">
        <f t="shared" si="88"/>
        <v>Y</v>
      </c>
      <c r="X186" s="128">
        <f t="shared" si="97"/>
        <v>1</v>
      </c>
      <c r="Y186" s="70">
        <f t="shared" si="89"/>
        <v>0.1013</v>
      </c>
      <c r="Z186" s="70">
        <f t="shared" ref="Z186:Z204" si="98">RIGHT(H186,LEN(H186)-4)/10000</f>
        <v>2.2603</v>
      </c>
      <c r="AA186" s="70">
        <f t="shared" si="91"/>
        <v>2.1589999999999998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92"/>
        <v>1825-20</v>
      </c>
      <c r="AE186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86" s="100" t="str">
        <f t="shared" si="94"/>
        <v>"C:\Program Files (x86)\AstroGrep\AstroGrep.exe" /spath="%USERPROFILE%\AppData\Local\Temp\OnboardLogs" /stypes="*4025*20160821*" /stext=" 00:.+((SYSTEM_STATE.+slice.+state.+changed )|(ment ac)|(system.+state.+changed )|(\|lc)|(penalty)|(\[timeout)|(PRM\|1\|D)|(kpr)|(kdp))" /e /r /s</v>
      </c>
      <c r="AG186" s="1" t="str">
        <f t="shared" si="95"/>
        <v>NW</v>
      </c>
      <c r="AH186" s="104" t="str">
        <f t="shared" si="80"/>
        <v>"%USERPROFILE%\Documents\GitHub\eaglep3\Utilities\RefineRTDCRunTimes.py" --tripid 1825-20 --locoid 4025 --swversion DE.1.0.7.0 --startMP 204:1013 --initTime 2016-08-20T17:57:19 --startdatetime 2016-08-20T17:58:25 --delay 1 --endMP 300:22603 --enddatetime 2016-08-20T18:29:19 --enforcementcount 0</v>
      </c>
    </row>
    <row r="187" spans="1:34" x14ac:dyDescent="0.25">
      <c r="A187" s="40" t="s">
        <v>501</v>
      </c>
      <c r="B187" s="7">
        <v>4026</v>
      </c>
      <c r="C187" s="25" t="s">
        <v>116</v>
      </c>
      <c r="D187" s="25" t="s">
        <v>502</v>
      </c>
      <c r="E187" s="16">
        <v>42602.777222222219</v>
      </c>
      <c r="F187" s="16">
        <v>42602.778113425928</v>
      </c>
      <c r="G187" s="7">
        <v>1</v>
      </c>
      <c r="H187" s="16" t="s">
        <v>503</v>
      </c>
      <c r="I187" s="16">
        <v>42602.788726851853</v>
      </c>
      <c r="J187" s="7">
        <v>0</v>
      </c>
      <c r="K187" s="141" t="str">
        <f t="shared" si="84"/>
        <v>4025/4026</v>
      </c>
      <c r="L187" s="25" t="str">
        <f>VLOOKUP(A187,'Trips&amp;Operators'!$C$1:$E$10000,3,FALSE)</f>
        <v>SANTIZO</v>
      </c>
      <c r="M187" s="6">
        <f t="shared" si="85"/>
        <v>1.0613425925839692E-2</v>
      </c>
      <c r="N187" s="7">
        <f t="shared" ref="N187:N204" si="99">24*60*SUM($M187:$M187)</f>
        <v>15.283333333209157</v>
      </c>
      <c r="O187" s="7"/>
      <c r="P187" s="7"/>
      <c r="Q187" s="26"/>
      <c r="R187" s="26"/>
      <c r="S187" s="38">
        <f t="shared" si="83"/>
        <v>1</v>
      </c>
      <c r="T187" s="53" t="str">
        <f t="shared" si="86"/>
        <v>Southbound</v>
      </c>
      <c r="U187" s="13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17:39:12-0600',mode:absolute,to:'2016-08-20 19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7" s="55" t="str">
        <f t="shared" si="88"/>
        <v>N</v>
      </c>
      <c r="X187" s="128">
        <f t="shared" si="97"/>
        <v>1</v>
      </c>
      <c r="Y187" s="70">
        <f t="shared" si="89"/>
        <v>5.8604000000000003</v>
      </c>
      <c r="Z187" s="70">
        <f t="shared" si="98"/>
        <v>7.0099999999999996E-2</v>
      </c>
      <c r="AA187" s="70">
        <f t="shared" si="91"/>
        <v>5.7903000000000002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92"/>
        <v>1826-20</v>
      </c>
      <c r="AE187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87" s="100" t="str">
        <f t="shared" si="94"/>
        <v>"C:\Program Files (x86)\AstroGrep\AstroGrep.exe" /spath="%USERPROFILE%\AppData\Local\Temp\OnboardLogs" /stypes="*4026*20160821*" /stext=" 00:.+((SYSTEM_STATE.+slice.+state.+changed )|(ment ac)|(system.+state.+changed )|(\|lc)|(penalty)|(\[timeout)|(PRM\|1\|D)|(kpr)|(kdp))" /e /r /s</v>
      </c>
      <c r="AG187" s="1" t="str">
        <f t="shared" si="95"/>
        <v>NW</v>
      </c>
      <c r="AH187" s="104" t="str">
        <f t="shared" si="80"/>
        <v>"%USERPROFILE%\Documents\GitHub\eaglep3\Utilities\RefineRTDCRunTimes.py" --tripid 1826-20 --locoid 4026 --swversion DE.1.0.7.0 --startMP 300:58604 --initTime 2016-08-20T18:39:12 --startdatetime 2016-08-20T18:40:29 --delay 1 --endMP 204:701 --enddatetime 2016-08-20T18:55:46 --enforcementcount 0</v>
      </c>
    </row>
    <row r="188" spans="1:34" x14ac:dyDescent="0.25">
      <c r="A188" s="40" t="s">
        <v>504</v>
      </c>
      <c r="B188" s="7">
        <v>4025</v>
      </c>
      <c r="C188" s="25" t="s">
        <v>116</v>
      </c>
      <c r="D188" s="25" t="s">
        <v>505</v>
      </c>
      <c r="E188" s="16">
        <v>42602.789884259262</v>
      </c>
      <c r="F188" s="16">
        <v>42602.79074074074</v>
      </c>
      <c r="G188" s="7">
        <v>1</v>
      </c>
      <c r="H188" s="16" t="s">
        <v>506</v>
      </c>
      <c r="I188" s="16">
        <v>42602.81689814815</v>
      </c>
      <c r="J188" s="7">
        <v>0</v>
      </c>
      <c r="K188" s="141" t="str">
        <f t="shared" si="84"/>
        <v>4025/4026</v>
      </c>
      <c r="L188" s="25" t="str">
        <f>VLOOKUP(A188,'Trips&amp;Operators'!$C$1:$E$10000,3,FALSE)</f>
        <v>SANTIZO</v>
      </c>
      <c r="M188" s="6">
        <f t="shared" si="85"/>
        <v>2.6157407410209998E-2</v>
      </c>
      <c r="N188" s="7">
        <f t="shared" si="99"/>
        <v>37.666666670702398</v>
      </c>
      <c r="O188" s="7"/>
      <c r="P188" s="7"/>
      <c r="Q188" s="26"/>
      <c r="R188" s="26"/>
      <c r="S188" s="38">
        <f t="shared" si="83"/>
        <v>1</v>
      </c>
      <c r="T188" s="53" t="str">
        <f t="shared" si="86"/>
        <v>NorthBound</v>
      </c>
      <c r="U188" s="13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17:57:26-0600',mode:absolute,to:'2016-08-20 20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88" s="55" t="str">
        <f t="shared" si="88"/>
        <v>N</v>
      </c>
      <c r="X188" s="128">
        <f t="shared" si="97"/>
        <v>1</v>
      </c>
      <c r="Y188" s="70">
        <f t="shared" si="89"/>
        <v>0.1004</v>
      </c>
      <c r="Z188" s="70">
        <f t="shared" si="98"/>
        <v>5.8895999999999997</v>
      </c>
      <c r="AA188" s="70">
        <f t="shared" si="91"/>
        <v>5.7892000000000001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92"/>
        <v>1827-20</v>
      </c>
      <c r="AE188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88" s="100" t="str">
        <f t="shared" si="94"/>
        <v>"C:\Program Files (x86)\AstroGrep\AstroGrep.exe" /spath="%USERPROFILE%\AppData\Local\Temp\OnboardLogs" /stypes="*4025*20160821*" /stext=" 01:.+((SYSTEM_STATE.+slice.+state.+changed )|(ment ac)|(system.+state.+changed )|(\|lc)|(penalty)|(\[timeout)|(PRM\|1\|D)|(kpr)|(kdp))" /e /r /s</v>
      </c>
      <c r="AG188" s="1" t="str">
        <f t="shared" si="95"/>
        <v>NW</v>
      </c>
      <c r="AH188" s="104" t="str">
        <f t="shared" si="80"/>
        <v>"%USERPROFILE%\Documents\GitHub\eaglep3\Utilities\RefineRTDCRunTimes.py" --tripid 1827-20 --locoid 4025 --swversion DE.1.0.7.0 --startMP 204:1004 --initTime 2016-08-20T18:57:26 --startdatetime 2016-08-20T18:58:40 --delay 1 --endMP 300:58896 --enddatetime 2016-08-20T19:36:20 --enforcementcount 0</v>
      </c>
    </row>
    <row r="189" spans="1:34" x14ac:dyDescent="0.25">
      <c r="A189" s="40" t="s">
        <v>507</v>
      </c>
      <c r="B189" s="7">
        <v>4026</v>
      </c>
      <c r="C189" s="25" t="s">
        <v>116</v>
      </c>
      <c r="D189" s="25" t="s">
        <v>496</v>
      </c>
      <c r="E189" s="16">
        <v>42602.817986111113</v>
      </c>
      <c r="F189" s="16">
        <v>42602.818784722222</v>
      </c>
      <c r="G189" s="7">
        <v>1</v>
      </c>
      <c r="H189" s="16" t="s">
        <v>508</v>
      </c>
      <c r="I189" s="16">
        <v>42602.831458333334</v>
      </c>
      <c r="J189" s="7">
        <v>0</v>
      </c>
      <c r="K189" s="141" t="str">
        <f t="shared" si="84"/>
        <v>4025/4026</v>
      </c>
      <c r="L189" s="25" t="str">
        <f>VLOOKUP(A189,'Trips&amp;Operators'!$C$1:$E$10000,3,FALSE)</f>
        <v>SANTIZO</v>
      </c>
      <c r="M189" s="6">
        <f t="shared" si="85"/>
        <v>1.2673611112404615E-2</v>
      </c>
      <c r="N189" s="7">
        <f t="shared" si="99"/>
        <v>18.250000001862645</v>
      </c>
      <c r="O189" s="7"/>
      <c r="P189" s="7"/>
      <c r="Q189" s="26"/>
      <c r="R189" s="26"/>
      <c r="S189" s="38">
        <f t="shared" si="83"/>
        <v>1</v>
      </c>
      <c r="T189" s="53" t="str">
        <f t="shared" si="86"/>
        <v>Southbound</v>
      </c>
      <c r="U189" s="13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18:37:54-0600',mode:absolute,to:'2016-08-20 20:57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89" s="55" t="str">
        <f t="shared" si="88"/>
        <v>N</v>
      </c>
      <c r="X189" s="128">
        <f t="shared" si="97"/>
        <v>1</v>
      </c>
      <c r="Y189" s="70">
        <f t="shared" si="89"/>
        <v>5.8577000000000004</v>
      </c>
      <c r="Z189" s="70">
        <f t="shared" si="98"/>
        <v>7.3300000000000004E-2</v>
      </c>
      <c r="AA189" s="70">
        <f t="shared" si="91"/>
        <v>5.7844000000000007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92"/>
        <v>1828-20</v>
      </c>
      <c r="AE189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89" s="100" t="str">
        <f t="shared" si="94"/>
        <v>"C:\Program Files (x86)\AstroGrep\AstroGrep.exe" /spath="%USERPROFILE%\AppData\Local\Temp\OnboardLogs" /stypes="*4026*20160821*" /stext=" 01:.+((SYSTEM_STATE.+slice.+state.+changed )|(ment ac)|(system.+state.+changed )|(\|lc)|(penalty)|(\[timeout)|(PRM\|1\|D)|(kpr)|(kdp))" /e /r /s</v>
      </c>
      <c r="AG189" s="1" t="str">
        <f t="shared" si="95"/>
        <v>NW</v>
      </c>
      <c r="AH189" s="104" t="str">
        <f t="shared" si="80"/>
        <v>"%USERPROFILE%\Documents\GitHub\eaglep3\Utilities\RefineRTDCRunTimes.py" --tripid 1828-20 --locoid 4026 --swversion DE.1.0.7.0 --startMP 300:58577 --initTime 2016-08-20T19:37:54 --startdatetime 2016-08-20T19:39:03 --delay 1 --endMP 204:733 --enddatetime 2016-08-20T19:57:18 --enforcementcount 0</v>
      </c>
    </row>
    <row r="190" spans="1:34" x14ac:dyDescent="0.25">
      <c r="A190" s="40" t="s">
        <v>509</v>
      </c>
      <c r="B190" s="7">
        <v>4025</v>
      </c>
      <c r="C190" s="25" t="s">
        <v>116</v>
      </c>
      <c r="D190" s="25" t="s">
        <v>510</v>
      </c>
      <c r="E190" s="16">
        <v>42602.832615740743</v>
      </c>
      <c r="F190" s="16">
        <v>42602.833425925928</v>
      </c>
      <c r="G190" s="7">
        <v>1</v>
      </c>
      <c r="H190" s="16" t="s">
        <v>511</v>
      </c>
      <c r="I190" s="16">
        <v>42602.858506944445</v>
      </c>
      <c r="J190" s="7">
        <v>0</v>
      </c>
      <c r="K190" s="141" t="str">
        <f t="shared" si="84"/>
        <v>4025/4026</v>
      </c>
      <c r="L190" s="25" t="str">
        <f>VLOOKUP(A190,'Trips&amp;Operators'!$C$1:$E$10000,3,FALSE)</f>
        <v>SANTIZO</v>
      </c>
      <c r="M190" s="6">
        <f t="shared" si="85"/>
        <v>2.5081018517084885E-2</v>
      </c>
      <c r="N190" s="7">
        <f t="shared" si="99"/>
        <v>36.116666664602235</v>
      </c>
      <c r="O190" s="7"/>
      <c r="P190" s="7"/>
      <c r="Q190" s="26"/>
      <c r="R190" s="26"/>
      <c r="S190" s="38">
        <f t="shared" si="83"/>
        <v>1</v>
      </c>
      <c r="T190" s="53" t="str">
        <f t="shared" si="86"/>
        <v>NorthBound</v>
      </c>
      <c r="U190" s="13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18:58:58-0600',mode:absolute,to:'2016-08-20 21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0" s="55" t="str">
        <f t="shared" si="88"/>
        <v>N</v>
      </c>
      <c r="X190" s="128">
        <f t="shared" si="97"/>
        <v>1</v>
      </c>
      <c r="Y190" s="70">
        <f t="shared" si="89"/>
        <v>0.10249999999999999</v>
      </c>
      <c r="Z190" s="70">
        <f t="shared" si="98"/>
        <v>5.8822000000000001</v>
      </c>
      <c r="AA190" s="70">
        <f t="shared" si="91"/>
        <v>5.7797000000000001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92"/>
        <v>1829-20</v>
      </c>
      <c r="AE190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90" s="100" t="str">
        <f t="shared" si="94"/>
        <v>"C:\Program Files (x86)\AstroGrep\AstroGrep.exe" /spath="%USERPROFILE%\AppData\Local\Temp\OnboardLogs" /stypes="*4025*20160821*" /stext=" 02:.+((SYSTEM_STATE.+slice.+state.+changed )|(ment ac)|(system.+state.+changed )|(\|lc)|(penalty)|(\[timeout)|(PRM\|1\|D)|(kpr)|(kdp))" /e /r /s</v>
      </c>
      <c r="AG190" s="1" t="str">
        <f t="shared" si="95"/>
        <v>NW</v>
      </c>
      <c r="AH190" s="104" t="str">
        <f t="shared" si="80"/>
        <v>"%USERPROFILE%\Documents\GitHub\eaglep3\Utilities\RefineRTDCRunTimes.py" --tripid 1829-20 --locoid 4025 --swversion DE.1.0.7.0 --startMP 204:1025 --initTime 2016-08-20T19:58:58 --startdatetime 2016-08-20T20:00:08 --delay 1 --endMP 300:58822 --enddatetime 2016-08-20T20:36:15 --enforcementcount 0</v>
      </c>
    </row>
    <row r="191" spans="1:34" x14ac:dyDescent="0.25">
      <c r="A191" s="40" t="s">
        <v>513</v>
      </c>
      <c r="B191" s="7">
        <v>4026</v>
      </c>
      <c r="C191" s="25" t="s">
        <v>116</v>
      </c>
      <c r="D191" s="25" t="s">
        <v>514</v>
      </c>
      <c r="E191" s="16">
        <v>42602.860648148147</v>
      </c>
      <c r="F191" s="16">
        <v>42602.861504629633</v>
      </c>
      <c r="G191" s="7">
        <v>1</v>
      </c>
      <c r="H191" s="16" t="s">
        <v>515</v>
      </c>
      <c r="I191" s="16">
        <v>42602.874085648145</v>
      </c>
      <c r="J191" s="7">
        <v>0</v>
      </c>
      <c r="K191" s="141" t="str">
        <f t="shared" si="84"/>
        <v>4025/4026</v>
      </c>
      <c r="L191" s="25" t="str">
        <f>VLOOKUP(A191,'Trips&amp;Operators'!$C$1:$E$10000,3,FALSE)</f>
        <v>SANTIZO</v>
      </c>
      <c r="M191" s="6">
        <f t="shared" si="85"/>
        <v>1.2581018512719311E-2</v>
      </c>
      <c r="N191" s="7">
        <f t="shared" si="99"/>
        <v>18.116666658315808</v>
      </c>
      <c r="O191" s="7"/>
      <c r="P191" s="7"/>
      <c r="Q191" s="26"/>
      <c r="R191" s="26"/>
      <c r="S191" s="38">
        <f t="shared" si="83"/>
        <v>1</v>
      </c>
      <c r="T191" s="53" t="str">
        <f t="shared" si="86"/>
        <v>Southbound</v>
      </c>
      <c r="U191" s="13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19:39:20-0600',mode:absolute,to:'2016-08-20 21:58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91" s="55" t="str">
        <f t="shared" si="88"/>
        <v>N</v>
      </c>
      <c r="X191" s="128">
        <f t="shared" si="97"/>
        <v>1</v>
      </c>
      <c r="Y191" s="70">
        <f t="shared" si="89"/>
        <v>5.8533999999999997</v>
      </c>
      <c r="Z191" s="70">
        <f t="shared" si="98"/>
        <v>7.4999999999999997E-2</v>
      </c>
      <c r="AA191" s="70">
        <f t="shared" si="91"/>
        <v>5.7783999999999995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92"/>
        <v>1830-20</v>
      </c>
      <c r="AE191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91" s="100" t="str">
        <f t="shared" si="94"/>
        <v>"C:\Program Files (x86)\AstroGrep\AstroGrep.exe" /spath="%USERPROFILE%\AppData\Local\Temp\OnboardLogs" /stypes="*4026*20160821*" /stext=" 02:.+((SYSTEM_STATE.+slice.+state.+changed )|(ment ac)|(system.+state.+changed )|(\|lc)|(penalty)|(\[timeout)|(PRM\|1\|D)|(kpr)|(kdp))" /e /r /s</v>
      </c>
      <c r="AG191" s="1" t="str">
        <f t="shared" si="95"/>
        <v>NW</v>
      </c>
      <c r="AH191" s="104" t="str">
        <f t="shared" si="80"/>
        <v>"%USERPROFILE%\Documents\GitHub\eaglep3\Utilities\RefineRTDCRunTimes.py" --tripid 1830-20 --locoid 4026 --swversion DE.1.0.7.0 --startMP 300:58534 --initTime 2016-08-20T20:39:20 --startdatetime 2016-08-20T20:40:34 --delay 1 --endMP 204:750 --enddatetime 2016-08-20T20:58:41 --enforcementcount 0</v>
      </c>
    </row>
    <row r="192" spans="1:34" x14ac:dyDescent="0.25">
      <c r="A192" s="40" t="s">
        <v>516</v>
      </c>
      <c r="B192" s="7">
        <v>4025</v>
      </c>
      <c r="C192" s="25" t="s">
        <v>116</v>
      </c>
      <c r="D192" s="25" t="s">
        <v>517</v>
      </c>
      <c r="E192" s="16">
        <v>42602.876585648148</v>
      </c>
      <c r="F192" s="16">
        <v>42602.877337962964</v>
      </c>
      <c r="G192" s="7">
        <v>1</v>
      </c>
      <c r="H192" s="16" t="s">
        <v>518</v>
      </c>
      <c r="I192" s="16">
        <v>42602.900231481479</v>
      </c>
      <c r="J192" s="7">
        <v>0</v>
      </c>
      <c r="K192" s="141" t="str">
        <f t="shared" si="84"/>
        <v>4025/4026</v>
      </c>
      <c r="L192" s="25" t="str">
        <f>VLOOKUP(A192,'Trips&amp;Operators'!$C$1:$E$10000,3,FALSE)</f>
        <v>SANTIZO</v>
      </c>
      <c r="M192" s="6">
        <f t="shared" si="85"/>
        <v>2.2893518515047617E-2</v>
      </c>
      <c r="N192" s="7">
        <f t="shared" si="99"/>
        <v>32.966666661668569</v>
      </c>
      <c r="O192" s="7"/>
      <c r="P192" s="7"/>
      <c r="Q192" s="26"/>
      <c r="R192" s="26"/>
      <c r="S192" s="38">
        <f t="shared" si="83"/>
        <v>1</v>
      </c>
      <c r="T192" s="53" t="str">
        <f t="shared" si="86"/>
        <v>NorthBound</v>
      </c>
      <c r="U192" s="13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20:02:17-0600',mode:absolute,to:'2016-08-20 22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2" s="55" t="str">
        <f t="shared" si="88"/>
        <v>N</v>
      </c>
      <c r="X192" s="128">
        <f t="shared" si="97"/>
        <v>1</v>
      </c>
      <c r="Y192" s="70">
        <f t="shared" si="89"/>
        <v>0.10349999999999999</v>
      </c>
      <c r="Z192" s="70">
        <f t="shared" si="98"/>
        <v>5.8861999999999997</v>
      </c>
      <c r="AA192" s="70">
        <f t="shared" si="91"/>
        <v>5.7826999999999993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92"/>
        <v>1831-20</v>
      </c>
      <c r="AE192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92" s="100" t="str">
        <f t="shared" si="94"/>
        <v>"C:\Program Files (x86)\AstroGrep\AstroGrep.exe" /spath="%USERPROFILE%\AppData\Local\Temp\OnboardLogs" /stypes="*4025*20160821*" /stext=" 03:.+((SYSTEM_STATE.+slice.+state.+changed )|(ment ac)|(system.+state.+changed )|(\|lc)|(penalty)|(\[timeout)|(PRM\|1\|D)|(kpr)|(kdp))" /e /r /s</v>
      </c>
      <c r="AG192" s="1" t="str">
        <f t="shared" si="95"/>
        <v>NW</v>
      </c>
      <c r="AH192" s="104" t="str">
        <f t="shared" si="80"/>
        <v>"%USERPROFILE%\Documents\GitHub\eaglep3\Utilities\RefineRTDCRunTimes.py" --tripid 1831-20 --locoid 4025 --swversion DE.1.0.7.0 --startMP 204:1035 --initTime 2016-08-20T21:02:17 --startdatetime 2016-08-20T21:03:22 --delay 1 --endMP 300:58862 --enddatetime 2016-08-20T21:36:20 --enforcementcount 0</v>
      </c>
    </row>
    <row r="193" spans="1:34" x14ac:dyDescent="0.25">
      <c r="A193" s="40" t="s">
        <v>519</v>
      </c>
      <c r="B193" s="7">
        <v>4026</v>
      </c>
      <c r="C193" s="25" t="s">
        <v>116</v>
      </c>
      <c r="D193" s="25" t="s">
        <v>520</v>
      </c>
      <c r="E193" s="16">
        <v>42602.900960648149</v>
      </c>
      <c r="F193" s="16">
        <v>42602.901909722219</v>
      </c>
      <c r="G193" s="7">
        <v>1</v>
      </c>
      <c r="H193" s="16" t="s">
        <v>521</v>
      </c>
      <c r="I193" s="16">
        <v>42602.915393518517</v>
      </c>
      <c r="J193" s="7">
        <v>0</v>
      </c>
      <c r="K193" s="141" t="str">
        <f t="shared" si="84"/>
        <v>4025/4026</v>
      </c>
      <c r="L193" s="25" t="str">
        <f>VLOOKUP(A193,'Trips&amp;Operators'!$C$1:$E$10000,3,FALSE)</f>
        <v>SANTIZO</v>
      </c>
      <c r="M193" s="6">
        <f t="shared" si="85"/>
        <v>1.3483796297805384E-2</v>
      </c>
      <c r="N193" s="7">
        <f t="shared" si="99"/>
        <v>19.416666668839753</v>
      </c>
      <c r="O193" s="7"/>
      <c r="P193" s="7"/>
      <c r="Q193" s="26"/>
      <c r="R193" s="26"/>
      <c r="S193" s="38">
        <f t="shared" si="83"/>
        <v>1</v>
      </c>
      <c r="T193" s="53" t="str">
        <f t="shared" si="86"/>
        <v>Southbound</v>
      </c>
      <c r="U193" s="13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20:37:23-0600',mode:absolute,to:'2016-08-20 22:58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93" s="55" t="str">
        <f t="shared" si="88"/>
        <v>N</v>
      </c>
      <c r="X193" s="128">
        <f t="shared" si="97"/>
        <v>1</v>
      </c>
      <c r="Y193" s="70">
        <f t="shared" si="89"/>
        <v>5.8540000000000001</v>
      </c>
      <c r="Z193" s="70">
        <f t="shared" si="98"/>
        <v>6.6299999999999998E-2</v>
      </c>
      <c r="AA193" s="70">
        <f t="shared" si="91"/>
        <v>5.7877000000000001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92"/>
        <v>1832-20</v>
      </c>
      <c r="AE193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193" s="100" t="str">
        <f t="shared" si="94"/>
        <v>"C:\Program Files (x86)\AstroGrep\AstroGrep.exe" /spath="%USERPROFILE%\AppData\Local\Temp\OnboardLogs" /stypes="*4026*20160821*" /stext=" 03:.+((SYSTEM_STATE.+slice.+state.+changed )|(ment ac)|(system.+state.+changed )|(\|lc)|(penalty)|(\[timeout)|(PRM\|1\|D)|(kpr)|(kdp))" /e /r /s</v>
      </c>
      <c r="AG193" s="1" t="str">
        <f t="shared" si="95"/>
        <v>NW</v>
      </c>
      <c r="AH193" s="104" t="str">
        <f t="shared" si="80"/>
        <v>"%USERPROFILE%\Documents\GitHub\eaglep3\Utilities\RefineRTDCRunTimes.py" --tripid 1832-20 --locoid 4026 --swversion DE.1.0.7.0 --startMP 300:58540 --initTime 2016-08-20T21:37:23 --startdatetime 2016-08-20T21:38:45 --delay 1 --endMP 204:663 --enddatetime 2016-08-20T21:58:10 --enforcementcount 0</v>
      </c>
    </row>
    <row r="194" spans="1:34" x14ac:dyDescent="0.25">
      <c r="A194" s="40" t="s">
        <v>522</v>
      </c>
      <c r="B194" s="7">
        <v>4025</v>
      </c>
      <c r="C194" s="25" t="s">
        <v>116</v>
      </c>
      <c r="D194" s="25" t="s">
        <v>523</v>
      </c>
      <c r="E194" s="16">
        <v>42602.926979166667</v>
      </c>
      <c r="F194" s="16">
        <v>42602.928148148145</v>
      </c>
      <c r="G194" s="7">
        <v>1</v>
      </c>
      <c r="H194" s="16" t="s">
        <v>524</v>
      </c>
      <c r="I194" s="16">
        <v>42602.941967592589</v>
      </c>
      <c r="J194" s="7">
        <v>0</v>
      </c>
      <c r="K194" s="141" t="str">
        <f t="shared" si="84"/>
        <v>4025/4026</v>
      </c>
      <c r="L194" s="25" t="str">
        <f>VLOOKUP(A194,'Trips&amp;Operators'!$C$1:$E$10000,3,FALSE)</f>
        <v>SANTIZO</v>
      </c>
      <c r="M194" s="6">
        <f t="shared" si="85"/>
        <v>1.3819444444379769E-2</v>
      </c>
      <c r="N194" s="7">
        <f t="shared" si="99"/>
        <v>19.899999999906868</v>
      </c>
      <c r="O194" s="7"/>
      <c r="P194" s="7"/>
      <c r="Q194" s="26"/>
      <c r="R194" s="26"/>
      <c r="S194" s="38">
        <f t="shared" si="83"/>
        <v>1</v>
      </c>
      <c r="T194" s="53" t="str">
        <f t="shared" si="86"/>
        <v>NorthBound</v>
      </c>
      <c r="U194" s="13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21:14:51-0600',mode:absolute,to:'2016-08-20 23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4" s="55" t="str">
        <f t="shared" si="88"/>
        <v>N</v>
      </c>
      <c r="X194" s="128">
        <f t="shared" si="97"/>
        <v>1</v>
      </c>
      <c r="Y194" s="70">
        <f t="shared" si="89"/>
        <v>9.6199999999999994E-2</v>
      </c>
      <c r="Z194" s="70">
        <f t="shared" si="98"/>
        <v>5.8864999999999998</v>
      </c>
      <c r="AA194" s="70">
        <f t="shared" si="91"/>
        <v>5.7903000000000002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92"/>
        <v>1833-20</v>
      </c>
      <c r="AE194" s="103" t="str">
        <f t="shared" si="93"/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AF194" s="100" t="str">
        <f t="shared" si="94"/>
        <v>"C:\Program Files (x86)\AstroGrep\AstroGrep.exe" /spath="%USERPROFILE%\AppData\Local\Temp\OnboardLogs" /stypes="*4025*20160821*" /stext=" 04:.+((SYSTEM_STATE.+slice.+state.+changed )|(ment ac)|(system.+state.+changed )|(\|lc)|(penalty)|(\[timeout)|(PRM\|1\|D)|(kpr)|(kdp))" /e /r /s</v>
      </c>
      <c r="AG194" s="1" t="str">
        <f t="shared" si="95"/>
        <v>NW</v>
      </c>
      <c r="AH194" s="104" t="str">
        <f t="shared" si="80"/>
        <v>"%USERPROFILE%\Documents\GitHub\eaglep3\Utilities\RefineRTDCRunTimes.py" --tripid 1833-20 --locoid 4025 --swversion DE.1.0.7.0 --startMP 204:962 --initTime 2016-08-20T22:14:51 --startdatetime 2016-08-20T22:16:32 --delay 1 --endMP 300:58865 --enddatetime 2016-08-20T22:36:26 --enforcementcount 0</v>
      </c>
    </row>
    <row r="195" spans="1:34" x14ac:dyDescent="0.25">
      <c r="A195" s="40" t="s">
        <v>622</v>
      </c>
      <c r="B195" s="7">
        <v>4043</v>
      </c>
      <c r="C195" s="25" t="s">
        <v>116</v>
      </c>
      <c r="D195" s="25" t="s">
        <v>623</v>
      </c>
      <c r="E195" s="16">
        <v>42602.123807870368</v>
      </c>
      <c r="F195" s="16">
        <v>42602.125416666669</v>
      </c>
      <c r="G195" s="7">
        <v>2</v>
      </c>
      <c r="H195" s="16" t="s">
        <v>478</v>
      </c>
      <c r="I195" s="16">
        <v>42602.134756944448</v>
      </c>
      <c r="J195" s="7">
        <v>0</v>
      </c>
      <c r="K195" s="141" t="str">
        <f t="shared" si="84"/>
        <v>4043/4044</v>
      </c>
      <c r="L195" s="25" t="str">
        <f>VLOOKUP(A195,'Trips&amp;Operators'!$C$1:$E$10000,3,FALSE)</f>
        <v>MAELZER</v>
      </c>
      <c r="M195" s="6">
        <f t="shared" si="85"/>
        <v>9.340277778392192E-3</v>
      </c>
      <c r="N195" s="7">
        <f t="shared" si="99"/>
        <v>13.450000000884756</v>
      </c>
      <c r="O195" s="7"/>
      <c r="P195" s="7"/>
      <c r="Q195" s="26"/>
      <c r="R195" s="26"/>
      <c r="S195" s="38">
        <f t="shared" si="83"/>
        <v>1</v>
      </c>
      <c r="T195" s="53" t="str">
        <f t="shared" si="86"/>
        <v>Southbound</v>
      </c>
      <c r="U195" s="13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01:58:17-0600',mode:absolute,to:'2016-08-20 04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95" s="55" t="str">
        <f t="shared" si="88"/>
        <v>Y</v>
      </c>
      <c r="X195" s="128">
        <f t="shared" si="97"/>
        <v>-1531</v>
      </c>
      <c r="Y195" s="70">
        <f t="shared" si="89"/>
        <v>2.3146</v>
      </c>
      <c r="Z195" s="70">
        <f t="shared" si="98"/>
        <v>0.1135</v>
      </c>
      <c r="AA195" s="70">
        <f t="shared" si="91"/>
        <v>2.2010999999999998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92"/>
        <v>0302-20</v>
      </c>
      <c r="AE195" s="103" t="str">
        <f t="shared" si="93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195" s="100" t="str">
        <f t="shared" si="94"/>
        <v>"C:\Program Files (x86)\AstroGrep\AstroGrep.exe" /spath="%USERPROFILE%\AppData\Local\Temp\OnboardLogs" /stypes="*4043*20160820*" /stext=" 09:.+((SYSTEM_STATE.+slice.+state.+changed )|(ment ac)|(system.+state.+changed )|(\|lc)|(penalty)|(\[timeout)|(PRM\|1\|D)|(kpr)|(kdp))" /e /r /s</v>
      </c>
      <c r="AG195" s="1" t="str">
        <f t="shared" si="95"/>
        <v>Other</v>
      </c>
      <c r="AH195" s="104" t="str">
        <f t="shared" si="80"/>
        <v>"%USERPROFILE%\Documents\GitHub\eaglep3\Utilities\RefineRTDCRunTimes.py" --tripid 302-20 --locoid 4043 --swversion DE.1.0.7.0 --startMP 300:23146 --initTime 2016-08-20T02:58:17 --startdatetime 2016-08-20T03:00:36 --delay 2 --endMP 204:1135 --enddatetime 2016-08-20T03:14:03 --enforcementcount 0</v>
      </c>
    </row>
    <row r="196" spans="1:34" x14ac:dyDescent="0.25">
      <c r="A196" s="40" t="s">
        <v>622</v>
      </c>
      <c r="B196" s="7">
        <v>4043</v>
      </c>
      <c r="C196" s="25" t="s">
        <v>116</v>
      </c>
      <c r="D196" s="25" t="s">
        <v>624</v>
      </c>
      <c r="E196" s="16">
        <v>42602.118854166663</v>
      </c>
      <c r="F196" s="16">
        <v>42602.120833333334</v>
      </c>
      <c r="G196" s="7">
        <v>2</v>
      </c>
      <c r="H196" s="16" t="s">
        <v>625</v>
      </c>
      <c r="I196" s="16">
        <v>42602.123043981483</v>
      </c>
      <c r="J196" s="7">
        <v>0</v>
      </c>
      <c r="K196" s="141" t="str">
        <f t="shared" si="84"/>
        <v>4043/4044</v>
      </c>
      <c r="L196" s="25" t="str">
        <f>VLOOKUP(A196,'Trips&amp;Operators'!$C$1:$E$10000,3,FALSE)</f>
        <v>MAELZER</v>
      </c>
      <c r="M196" s="6">
        <f t="shared" si="85"/>
        <v>2.2106481483206153E-3</v>
      </c>
      <c r="N196" s="7">
        <f t="shared" si="99"/>
        <v>3.183333333581686</v>
      </c>
      <c r="O196" s="7"/>
      <c r="P196" s="7"/>
      <c r="Q196" s="26"/>
      <c r="R196" s="26"/>
      <c r="S196" s="38">
        <f t="shared" si="83"/>
        <v>0</v>
      </c>
      <c r="T196" s="53" t="str">
        <f t="shared" si="86"/>
        <v>Southbound</v>
      </c>
      <c r="U196" s="13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01:51:09-0600',mode:absolute,to:'2016-08-20 03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96" s="55" t="str">
        <f t="shared" si="88"/>
        <v>Y</v>
      </c>
      <c r="X196" s="128">
        <f t="shared" si="97"/>
        <v>0</v>
      </c>
      <c r="Y196" s="70">
        <f t="shared" si="89"/>
        <v>2.5124</v>
      </c>
      <c r="Z196" s="70">
        <f t="shared" si="98"/>
        <v>2.4535999999999998</v>
      </c>
      <c r="AA196" s="70">
        <f t="shared" si="91"/>
        <v>5.8800000000000185E-2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92"/>
        <v>0302-20</v>
      </c>
      <c r="AE196" s="103" t="str">
        <f t="shared" si="93"/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AF196" s="100" t="str">
        <f t="shared" si="94"/>
        <v>"C:\Program Files (x86)\AstroGrep\AstroGrep.exe" /spath="%USERPROFILE%\AppData\Local\Temp\OnboardLogs" /stypes="*4043*20160820*" /stext=" 08:.+((SYSTEM_STATE.+slice.+state.+changed )|(ment ac)|(system.+state.+changed )|(\|lc)|(penalty)|(\[timeout)|(PRM\|1\|D)|(kpr)|(kdp))" /e /r /s</v>
      </c>
      <c r="AG196" s="1" t="str">
        <f t="shared" si="95"/>
        <v>Other</v>
      </c>
      <c r="AH196" s="104" t="str">
        <f t="shared" si="80"/>
        <v>"%USERPROFILE%\Documents\GitHub\eaglep3\Utilities\RefineRTDCRunTimes.py" --tripid 302-20 --locoid 4043 --swversion DE.1.0.7.0 --startMP 300:25124 --initTime 2016-08-20T02:51:09 --startdatetime 2016-08-20T02:54:00 --delay 2 --endMP 300:24536 --enddatetime 2016-08-20T02:57:11 --enforcementcount 0</v>
      </c>
    </row>
    <row r="197" spans="1:34" x14ac:dyDescent="0.25">
      <c r="A197" s="40" t="s">
        <v>626</v>
      </c>
      <c r="B197" s="7">
        <v>4031</v>
      </c>
      <c r="C197" s="25" t="s">
        <v>116</v>
      </c>
      <c r="D197" s="25" t="s">
        <v>194</v>
      </c>
      <c r="E197" s="16">
        <v>42603.070925925924</v>
      </c>
      <c r="F197" s="16">
        <v>42603.07203703704</v>
      </c>
      <c r="G197" s="7">
        <v>1</v>
      </c>
      <c r="H197" s="16" t="s">
        <v>627</v>
      </c>
      <c r="I197" s="16">
        <v>42603.079189814816</v>
      </c>
      <c r="J197" s="7">
        <v>0</v>
      </c>
      <c r="K197" s="141" t="str">
        <f t="shared" si="84"/>
        <v>4031/4032</v>
      </c>
      <c r="L197" s="25" t="str">
        <f>VLOOKUP(A197,'Trips&amp;Operators'!$C$1:$E$10000,3,FALSE)</f>
        <v>CHANDLER</v>
      </c>
      <c r="M197" s="6">
        <f t="shared" si="85"/>
        <v>7.1527777763549238E-3</v>
      </c>
      <c r="N197" s="7">
        <f t="shared" si="99"/>
        <v>10.29999999795109</v>
      </c>
      <c r="O197" s="7"/>
      <c r="P197" s="7"/>
      <c r="Q197" s="26"/>
      <c r="R197" s="26"/>
      <c r="S197" s="38">
        <f t="shared" si="83"/>
        <v>1</v>
      </c>
      <c r="T197" s="53" t="str">
        <f t="shared" si="86"/>
        <v>NorthBound</v>
      </c>
      <c r="U197" s="13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https://search-rtdc-monitor-bjffxe2xuh6vdkpspy63sjmuny.us-east-1.es.amazonaws.com/_plugin/kibana/#/discover/Steve-Slow-Train-Analysis-(2080s-and-2083s)?_g=(refreshInterval:(display:Off,section:0,value:0),time:(from:'2016-08-21 00:42:08-0600',mode:absolute,to:'2016-08-21 02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97" s="55" t="str">
        <f t="shared" si="88"/>
        <v>Y</v>
      </c>
      <c r="X197" s="128">
        <f t="shared" si="97"/>
        <v>9</v>
      </c>
      <c r="Y197" s="70">
        <f t="shared" si="89"/>
        <v>4.7500000000000001E-2</v>
      </c>
      <c r="Z197" s="70">
        <f t="shared" si="98"/>
        <v>2.2843</v>
      </c>
      <c r="AA197" s="70">
        <f t="shared" si="91"/>
        <v>2.2368000000000001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92"/>
        <v>0311-20</v>
      </c>
      <c r="AE197" s="103" t="str">
        <f t="shared" si="93"/>
        <v>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 &amp; aws s3 cp s3://rtdc.mdm.uploadarchive/RTDC4031/2016-08-22/ "%USERPROFILE%\AppData\Local\Temp\OnboardLogs"\RTDC4031\2016-08-22 --recursive &amp; "%USERPROFILE%\Documents\GitHub\mrs-test-scripts\Headless Mode &amp; Sideloading\WalkAndUnGZ.bat" "%USERPROFILE%\AppData\Local\Temp\OnboardLogs"\RTDC4031\2016-08-22</v>
      </c>
      <c r="AF197" s="100" t="str">
        <f t="shared" si="94"/>
        <v>"C:\Program Files (x86)\AstroGrep\AstroGrep.exe" /spath="%USERPROFILE%\AppData\Local\Temp\OnboardLogs" /stypes="*4031*20160821*" /stext=" 07:.+((SYSTEM_STATE.+slice.+state.+changed )|(ment ac)|(system.+state.+changed )|(\|lc)|(penalty)|(\[timeout)|(PRM\|1\|D)|(kpr)|(kdp))" /e /r /s</v>
      </c>
      <c r="AG197" s="1" t="str">
        <f t="shared" si="95"/>
        <v>Other</v>
      </c>
      <c r="AH197" s="104" t="str">
        <f t="shared" si="80"/>
        <v>"%USERPROFILE%\Documents\GitHub\eaglep3\Utilities\RefineRTDCRunTimes.py" --tripid 311-20 --locoid 4031 --swversion DE.1.0.7.0 --startMP 204:475 --initTime 2016-08-21T01:42:08 --startdatetime 2016-08-21T01:43:44 --delay 1 --endMP 300:22843 --enddatetime 2016-08-21T01:54:02 --enforcementcount 0</v>
      </c>
    </row>
    <row r="198" spans="1:34" x14ac:dyDescent="0.25">
      <c r="A198" s="40" t="s">
        <v>286</v>
      </c>
      <c r="B198" s="7">
        <v>4020</v>
      </c>
      <c r="C198" s="25" t="s">
        <v>116</v>
      </c>
      <c r="D198" s="25" t="s">
        <v>287</v>
      </c>
      <c r="E198" s="16">
        <v>42602.10261574074</v>
      </c>
      <c r="F198" s="16">
        <v>42602.104687500003</v>
      </c>
      <c r="G198" s="7">
        <v>2</v>
      </c>
      <c r="H198" s="16" t="s">
        <v>288</v>
      </c>
      <c r="I198" s="16">
        <v>42602.110659722224</v>
      </c>
      <c r="J198" s="7">
        <v>0</v>
      </c>
      <c r="K198" s="141" t="str">
        <f t="shared" si="84"/>
        <v>4019/4020</v>
      </c>
      <c r="L198" s="25" t="str">
        <f>VLOOKUP(A198,'Trips&amp;Operators'!$C$1:$E$10000,3,FALSE)</f>
        <v>OUN</v>
      </c>
      <c r="M198" s="6">
        <f t="shared" si="85"/>
        <v>5.9722222213167697E-3</v>
      </c>
      <c r="N198" s="7">
        <f t="shared" si="99"/>
        <v>8.5999999986961484</v>
      </c>
      <c r="O198" s="7"/>
      <c r="P198" s="7"/>
      <c r="Q198" s="26"/>
      <c r="R198" s="26"/>
      <c r="S198" s="38">
        <f t="shared" si="83"/>
        <v>1</v>
      </c>
      <c r="T198" s="53" t="str">
        <f t="shared" si="86"/>
        <v>NorthBound</v>
      </c>
      <c r="U198" s="13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01:27:46-0600',mode:absolute,to:'2016-08-20 03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8" s="55" t="str">
        <f t="shared" si="88"/>
        <v>Y</v>
      </c>
      <c r="X198" s="128">
        <f t="shared" si="97"/>
        <v>2</v>
      </c>
      <c r="Y198" s="70">
        <f t="shared" si="89"/>
        <v>0.1208</v>
      </c>
      <c r="Z198" s="70">
        <f t="shared" si="98"/>
        <v>2.2629000000000001</v>
      </c>
      <c r="AA198" s="70">
        <f t="shared" si="91"/>
        <v>2.1421000000000001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92"/>
        <v>0313-19</v>
      </c>
      <c r="AE198" s="103" t="str">
        <f t="shared" si="93"/>
        <v>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 &amp; 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</v>
      </c>
      <c r="AF198" s="100" t="str">
        <f t="shared" si="94"/>
        <v>"C:\Program Files (x86)\AstroGrep\AstroGrep.exe" /spath="%USERPROFILE%\AppData\Local\Temp\OnboardLogs" /stypes="*4020*20160820*" /stext=" 08:.+((SYSTEM_STATE.+slice.+state.+changed )|(ment ac)|(system.+state.+changed )|(\|lc)|(penalty)|(\[timeout)|(PRM\|1\|D)|(kpr)|(kdp))" /e /r /s</v>
      </c>
      <c r="AG198" s="1" t="str">
        <f t="shared" si="95"/>
        <v>Other</v>
      </c>
      <c r="AH198" s="104" t="str">
        <f t="shared" si="80"/>
        <v>"%USERPROFILE%\Documents\GitHub\eaglep3\Utilities\RefineRTDCRunTimes.py" --tripid 313-19 --locoid 4020 --swversion DE.1.0.7.0 --startMP 204:1208 --initTime 2016-08-20T02:27:46 --startdatetime 2016-08-20T02:30:45 --delay 2 --endMP 300:22629 --enddatetime 2016-08-20T02:39:21 --enforcementcount 0</v>
      </c>
    </row>
    <row r="199" spans="1:34" x14ac:dyDescent="0.25">
      <c r="A199" s="40" t="s">
        <v>286</v>
      </c>
      <c r="B199" s="7">
        <v>4020</v>
      </c>
      <c r="C199" s="25" t="s">
        <v>116</v>
      </c>
      <c r="D199" s="25" t="s">
        <v>216</v>
      </c>
      <c r="E199" s="16">
        <v>42602.089907407404</v>
      </c>
      <c r="F199" s="16">
        <v>42602.09134259259</v>
      </c>
      <c r="G199" s="7">
        <v>2</v>
      </c>
      <c r="H199" s="16" t="s">
        <v>254</v>
      </c>
      <c r="I199" s="16">
        <v>42602.094965277778</v>
      </c>
      <c r="J199" s="7">
        <v>0</v>
      </c>
      <c r="K199" s="141" t="str">
        <f t="shared" si="84"/>
        <v>4019/4020</v>
      </c>
      <c r="L199" s="25" t="str">
        <f>VLOOKUP(A199,'Trips&amp;Operators'!$C$1:$E$10000,3,FALSE)</f>
        <v>OUN</v>
      </c>
      <c r="M199" s="6">
        <f t="shared" si="85"/>
        <v>3.6226851880201139E-3</v>
      </c>
      <c r="N199" s="7">
        <f t="shared" si="99"/>
        <v>5.216666670748964</v>
      </c>
      <c r="O199" s="7"/>
      <c r="P199" s="7"/>
      <c r="Q199" s="26"/>
      <c r="R199" s="26"/>
      <c r="S199" s="38">
        <f t="shared" si="83"/>
        <v>0</v>
      </c>
      <c r="T199" s="53" t="str">
        <f t="shared" si="86"/>
        <v>NorthBound</v>
      </c>
      <c r="U199" s="13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01:09:28-0600',mode:absolute,to:'2016-08-20 03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9" s="55" t="str">
        <f t="shared" si="88"/>
        <v>Y</v>
      </c>
      <c r="X199" s="128">
        <f t="shared" si="97"/>
        <v>0</v>
      </c>
      <c r="Y199" s="70">
        <f t="shared" si="89"/>
        <v>4.7100000000000003E-2</v>
      </c>
      <c r="Z199" s="70">
        <f t="shared" si="98"/>
        <v>7.2300000000000003E-2</v>
      </c>
      <c r="AA199" s="70">
        <f t="shared" si="91"/>
        <v>2.52E-2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92"/>
        <v>0313-19</v>
      </c>
      <c r="AE199" s="103" t="str">
        <f t="shared" si="93"/>
        <v>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 &amp; 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</v>
      </c>
      <c r="AF199" s="100" t="str">
        <f t="shared" si="94"/>
        <v>"C:\Program Files (x86)\AstroGrep\AstroGrep.exe" /spath="%USERPROFILE%\AppData\Local\Temp\OnboardLogs" /stypes="*4020*20160820*" /stext=" 08:.+((SYSTEM_STATE.+slice.+state.+changed )|(ment ac)|(system.+state.+changed )|(\|lc)|(penalty)|(\[timeout)|(PRM\|1\|D)|(kpr)|(kdp))" /e /r /s</v>
      </c>
      <c r="AG199" s="1" t="str">
        <f t="shared" si="95"/>
        <v>Other</v>
      </c>
      <c r="AH199" s="104" t="str">
        <f t="shared" si="80"/>
        <v>"%USERPROFILE%\Documents\GitHub\eaglep3\Utilities\RefineRTDCRunTimes.py" --tripid 313-19 --locoid 4020 --swversion DE.1.0.7.0 --startMP 204:471 --initTime 2016-08-20T02:09:28 --startdatetime 2016-08-20T02:11:32 --delay 2 --endMP 204:723 --enddatetime 2016-08-20T02:16:45 --enforcementcount 0</v>
      </c>
    </row>
    <row r="200" spans="1:34" x14ac:dyDescent="0.25">
      <c r="A200" s="40" t="s">
        <v>628</v>
      </c>
      <c r="B200" s="7">
        <v>4007</v>
      </c>
      <c r="C200" s="25" t="s">
        <v>116</v>
      </c>
      <c r="D200" s="25" t="s">
        <v>551</v>
      </c>
      <c r="E200" s="16">
        <v>42603.091157407405</v>
      </c>
      <c r="F200" s="16">
        <v>42603.092245370368</v>
      </c>
      <c r="G200" s="7">
        <v>1</v>
      </c>
      <c r="H200" s="16" t="s">
        <v>247</v>
      </c>
      <c r="I200" s="16">
        <v>42603.098240740743</v>
      </c>
      <c r="J200" s="7">
        <v>0</v>
      </c>
      <c r="K200" s="141" t="str">
        <f t="shared" si="84"/>
        <v>4007/4008</v>
      </c>
      <c r="L200" s="25" t="str">
        <f>VLOOKUP(A200,'Trips&amp;Operators'!$C$1:$E$10000,3,FALSE)</f>
        <v>STAMBAUGH</v>
      </c>
      <c r="M200" s="6">
        <f t="shared" si="85"/>
        <v>5.9953703748760745E-3</v>
      </c>
      <c r="N200" s="7">
        <f t="shared" si="99"/>
        <v>8.6333333398215473</v>
      </c>
      <c r="O200" s="7"/>
      <c r="P200" s="7"/>
      <c r="Q200" s="26"/>
      <c r="R200" s="26"/>
      <c r="S200" s="38">
        <f t="shared" si="83"/>
        <v>1</v>
      </c>
      <c r="T200" s="53" t="str">
        <f t="shared" si="86"/>
        <v>NorthBound</v>
      </c>
      <c r="U200" s="13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https://search-rtdc-monitor-bjffxe2xuh6vdkpspy63sjmuny.us-east-1.es.amazonaws.com/_plugin/kibana/#/discover/Steve-Slow-Train-Analysis-(2080s-and-2083s)?_g=(refreshInterval:(display:Off,section:0,value:0),time:(from:'2016-08-21 01:11:16-0600',mode:absolute,to:'2016-08-21 03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0" s="55" t="str">
        <f t="shared" si="88"/>
        <v>Y</v>
      </c>
      <c r="X200" s="128">
        <f t="shared" si="97"/>
        <v>0</v>
      </c>
      <c r="Y200" s="70">
        <f t="shared" si="89"/>
        <v>4.82E-2</v>
      </c>
      <c r="Z200" s="70">
        <f t="shared" si="98"/>
        <v>2.3308</v>
      </c>
      <c r="AA200" s="70">
        <f t="shared" si="91"/>
        <v>2.2826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92"/>
        <v>0313-20</v>
      </c>
      <c r="AE200" s="103" t="str">
        <f t="shared" si="93"/>
        <v>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 &amp; 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</v>
      </c>
      <c r="AF200" s="100" t="str">
        <f t="shared" si="94"/>
        <v>"C:\Program Files (x86)\AstroGrep\AstroGrep.exe" /spath="%USERPROFILE%\AppData\Local\Temp\OnboardLogs" /stypes="*4007*20160821*" /stext=" 08:.+((SYSTEM_STATE.+slice.+state.+changed )|(ment ac)|(system.+state.+changed )|(\|lc)|(penalty)|(\[timeout)|(PRM\|1\|D)|(kpr)|(kdp))" /e /r /s</v>
      </c>
      <c r="AG200" s="1" t="str">
        <f t="shared" si="95"/>
        <v>Other</v>
      </c>
      <c r="AH200" s="104" t="str">
        <f t="shared" si="80"/>
        <v>"%USERPROFILE%\Documents\GitHub\eaglep3\Utilities\RefineRTDCRunTimes.py" --tripid 313-20 --locoid 4007 --swversion DE.1.0.7.0 --startMP 204:482 --initTime 2016-08-21T02:11:16 --startdatetime 2016-08-21T02:12:50 --delay 1 --endMP 300:23308 --enddatetime 2016-08-21T02:21:28 --enforcementcount 0</v>
      </c>
    </row>
    <row r="201" spans="1:34" x14ac:dyDescent="0.25">
      <c r="A201" s="40" t="s">
        <v>289</v>
      </c>
      <c r="B201" s="7">
        <v>4002</v>
      </c>
      <c r="C201" s="25" t="s">
        <v>116</v>
      </c>
      <c r="D201" s="25" t="s">
        <v>290</v>
      </c>
      <c r="E201" s="16">
        <v>42602.108946759261</v>
      </c>
      <c r="F201" s="16">
        <v>42602.109826388885</v>
      </c>
      <c r="G201" s="7">
        <v>1</v>
      </c>
      <c r="H201" s="16" t="s">
        <v>291</v>
      </c>
      <c r="I201" s="16">
        <v>42602.117719907408</v>
      </c>
      <c r="J201" s="7">
        <v>0</v>
      </c>
      <c r="K201" s="141" t="str">
        <f t="shared" si="84"/>
        <v>4001/4002</v>
      </c>
      <c r="L201" s="25" t="str">
        <f>VLOOKUP(A201,'Trips&amp;Operators'!$C$1:$E$10000,3,FALSE)</f>
        <v>LEVIN</v>
      </c>
      <c r="M201" s="6">
        <f t="shared" si="85"/>
        <v>7.8935185229056515E-3</v>
      </c>
      <c r="N201" s="7">
        <f t="shared" si="99"/>
        <v>11.366666672984138</v>
      </c>
      <c r="O201" s="7"/>
      <c r="P201" s="7"/>
      <c r="Q201" s="26"/>
      <c r="R201" s="26"/>
      <c r="S201" s="38">
        <f t="shared" si="83"/>
        <v>1</v>
      </c>
      <c r="T201" s="53" t="str">
        <f t="shared" si="86"/>
        <v>NorthBound</v>
      </c>
      <c r="U201" s="13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01:36:53-0600',mode:absolute,to:'2016-08-20 03:49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1" s="55" t="str">
        <f t="shared" si="88"/>
        <v>Y</v>
      </c>
      <c r="X201" s="128">
        <f t="shared" si="97"/>
        <v>2</v>
      </c>
      <c r="Y201" s="70">
        <f t="shared" si="89"/>
        <v>5.5100000000000003E-2</v>
      </c>
      <c r="Z201" s="70">
        <f t="shared" si="98"/>
        <v>2.3304</v>
      </c>
      <c r="AA201" s="70">
        <f t="shared" si="91"/>
        <v>2.2753000000000001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92"/>
        <v>0315-19</v>
      </c>
      <c r="AE201" s="103" t="str">
        <f t="shared" si="93"/>
        <v>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 &amp; 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</v>
      </c>
      <c r="AF201" s="100" t="str">
        <f t="shared" si="94"/>
        <v>"C:\Program Files (x86)\AstroGrep\AstroGrep.exe" /spath="%USERPROFILE%\AppData\Local\Temp\OnboardLogs" /stypes="*4002*20160820*" /stext=" 08:.+((SYSTEM_STATE.+slice.+state.+changed )|(ment ac)|(system.+state.+changed )|(\|lc)|(penalty)|(\[timeout)|(PRM\|1\|D)|(kpr)|(kdp))" /e /r /s</v>
      </c>
      <c r="AG201" s="1" t="str">
        <f t="shared" si="95"/>
        <v>Other</v>
      </c>
      <c r="AH201" s="104" t="str">
        <f t="shared" si="80"/>
        <v>"%USERPROFILE%\Documents\GitHub\eaglep3\Utilities\RefineRTDCRunTimes.py" --tripid 315-19 --locoid 4002 --swversion DE.1.0.7.0 --startMP 204:551 --initTime 2016-08-20T02:36:53 --startdatetime 2016-08-20T02:38:09 --delay 1 --endMP 300:23304 --enddatetime 2016-08-20T02:49:31 --enforcementcount 0</v>
      </c>
    </row>
    <row r="202" spans="1:34" x14ac:dyDescent="0.25">
      <c r="A202" s="40" t="s">
        <v>629</v>
      </c>
      <c r="B202" s="7">
        <v>4027</v>
      </c>
      <c r="C202" s="25" t="s">
        <v>116</v>
      </c>
      <c r="D202" s="25" t="s">
        <v>375</v>
      </c>
      <c r="E202" s="16">
        <v>42603.109189814815</v>
      </c>
      <c r="F202" s="16">
        <v>42603.109884259262</v>
      </c>
      <c r="G202" s="7">
        <v>1</v>
      </c>
      <c r="H202" s="16" t="s">
        <v>291</v>
      </c>
      <c r="I202" s="16">
        <v>42603.116875</v>
      </c>
      <c r="J202" s="7">
        <v>0</v>
      </c>
      <c r="K202" s="141" t="str">
        <f t="shared" si="84"/>
        <v>4027/4028</v>
      </c>
      <c r="L202" s="25" t="str">
        <f>VLOOKUP(A202,'Trips&amp;Operators'!$C$1:$E$10000,3,FALSE)</f>
        <v>LEVIN</v>
      </c>
      <c r="M202" s="6">
        <f t="shared" si="85"/>
        <v>6.9907407378195785E-3</v>
      </c>
      <c r="N202" s="7">
        <f t="shared" si="99"/>
        <v>10.066666662460193</v>
      </c>
      <c r="O202" s="7"/>
      <c r="P202" s="7"/>
      <c r="Q202" s="26"/>
      <c r="R202" s="26"/>
      <c r="S202" s="38">
        <f t="shared" si="83"/>
        <v>1</v>
      </c>
      <c r="T202" s="53" t="str">
        <f t="shared" si="86"/>
        <v>NorthBound</v>
      </c>
      <c r="U202" s="13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https://search-rtdc-monitor-bjffxe2xuh6vdkpspy63sjmuny.us-east-1.es.amazonaws.com/_plugin/kibana/#/discover/Steve-Slow-Train-Analysis-(2080s-and-2083s)?_g=(refreshInterval:(display:Off,section:0,value:0),time:(from:'2016-08-21 01:37:14-0600',mode:absolute,to:'2016-08-21 03:48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2" s="55" t="str">
        <f t="shared" si="88"/>
        <v>Y</v>
      </c>
      <c r="X202" s="128">
        <f t="shared" si="97"/>
        <v>0</v>
      </c>
      <c r="Y202" s="70">
        <f t="shared" si="89"/>
        <v>4.3999999999999997E-2</v>
      </c>
      <c r="Z202" s="70">
        <f t="shared" si="98"/>
        <v>2.3304</v>
      </c>
      <c r="AA202" s="70">
        <f t="shared" si="91"/>
        <v>2.2864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92"/>
        <v>0315-20</v>
      </c>
      <c r="AE202" s="103" t="str">
        <f t="shared" si="93"/>
        <v>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 &amp; 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</v>
      </c>
      <c r="AF202" s="100" t="str">
        <f t="shared" si="94"/>
        <v>"C:\Program Files (x86)\AstroGrep\AstroGrep.exe" /spath="%USERPROFILE%\AppData\Local\Temp\OnboardLogs" /stypes="*4027*20160821*" /stext=" 08:.+((SYSTEM_STATE.+slice.+state.+changed )|(ment ac)|(system.+state.+changed )|(\|lc)|(penalty)|(\[timeout)|(PRM\|1\|D)|(kpr)|(kdp))" /e /r /s</v>
      </c>
      <c r="AG202" s="1" t="str">
        <f t="shared" si="95"/>
        <v>Other</v>
      </c>
      <c r="AH202" s="104" t="str">
        <f t="shared" ref="AH202:AH204" si="10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</f>
        <v>"%USERPROFILE%\Documents\GitHub\eaglep3\Utilities\RefineRTDCRunTimes.py" --tripid 315-20 --locoid 4027 --swversion DE.1.0.7.0 --startMP 204:440 --initTime 2016-08-21T02:37:14 --startdatetime 2016-08-21T02:38:14 --delay 1 --endMP 300:23304 --enddatetime 2016-08-21T02:48:18 --enforcementcount 0</v>
      </c>
    </row>
    <row r="203" spans="1:34" x14ac:dyDescent="0.25">
      <c r="A203" s="40" t="s">
        <v>535</v>
      </c>
      <c r="B203" s="7">
        <v>4026</v>
      </c>
      <c r="C203" s="25" t="s">
        <v>116</v>
      </c>
      <c r="D203" s="25" t="s">
        <v>536</v>
      </c>
      <c r="E203" s="16">
        <v>42602.943391203706</v>
      </c>
      <c r="F203" s="16">
        <v>42602.944166666668</v>
      </c>
      <c r="G203" s="7">
        <v>1</v>
      </c>
      <c r="H203" s="16" t="s">
        <v>537</v>
      </c>
      <c r="I203" s="16">
        <v>42602.951145833336</v>
      </c>
      <c r="J203" s="7">
        <v>0</v>
      </c>
      <c r="K203" s="141" t="str">
        <f t="shared" si="84"/>
        <v>4025/4026</v>
      </c>
      <c r="L203" s="25" t="str">
        <f>VLOOKUP(A203,'Trips&amp;Operators'!$C$1:$E$10000,3,FALSE)</f>
        <v>SANTIZO</v>
      </c>
      <c r="M203" s="6">
        <f t="shared" si="85"/>
        <v>6.9791666683158837E-3</v>
      </c>
      <c r="N203" s="7">
        <f t="shared" si="99"/>
        <v>10.050000002374873</v>
      </c>
      <c r="O203" s="7"/>
      <c r="P203" s="7"/>
      <c r="Q203" s="26"/>
      <c r="R203" s="26"/>
      <c r="S203" s="38">
        <f t="shared" si="83"/>
        <v>0</v>
      </c>
      <c r="T203" s="53" t="str">
        <f t="shared" si="86"/>
        <v>Southbound</v>
      </c>
      <c r="U203" s="13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21:38:29-0600',mode:absolute,to:'2016-08-20 23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3" s="55" t="str">
        <f t="shared" si="88"/>
        <v>Y</v>
      </c>
      <c r="X203" s="128">
        <f t="shared" si="97"/>
        <v>1587</v>
      </c>
      <c r="Y203" s="70">
        <f t="shared" si="89"/>
        <v>5.8559000000000001</v>
      </c>
      <c r="Z203" s="70">
        <f t="shared" si="98"/>
        <v>2.1676000000000002</v>
      </c>
      <c r="AA203" s="70">
        <f t="shared" si="91"/>
        <v>3.6882999999999999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92"/>
        <v>1902-20</v>
      </c>
      <c r="AE203" s="103" t="str">
        <f t="shared" si="93"/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AF203" s="100" t="str">
        <f t="shared" si="94"/>
        <v>"C:\Program Files (x86)\AstroGrep\AstroGrep.exe" /spath="%USERPROFILE%\AppData\Local\Temp\OnboardLogs" /stypes="*4026*20160821*" /stext=" 04:.+((SYSTEM_STATE.+slice.+state.+changed )|(ment ac)|(system.+state.+changed )|(\|lc)|(penalty)|(\[timeout)|(PRM\|1\|D)|(kpr)|(kdp))" /e /r /s</v>
      </c>
      <c r="AG203" s="1" t="str">
        <f t="shared" si="95"/>
        <v>Other</v>
      </c>
      <c r="AH203" s="104" t="str">
        <f t="shared" si="100"/>
        <v>"%USERPROFILE%\Documents\GitHub\eaglep3\Utilities\RefineRTDCRunTimes.py" --tripid 1902-20 --locoid 4026 --swversion DE.1.0.7.0 --startMP 300:58559 --initTime 2016-08-20T22:38:29 --startdatetime 2016-08-20T22:39:36 --delay 1 --endMP 300:21676 --enddatetime 2016-08-20T22:49:39 --enforcementcount 0</v>
      </c>
    </row>
    <row r="204" spans="1:34" x14ac:dyDescent="0.25">
      <c r="A204" s="40" t="s">
        <v>630</v>
      </c>
      <c r="B204" s="7">
        <v>4013</v>
      </c>
      <c r="C204" s="25" t="s">
        <v>116</v>
      </c>
      <c r="D204" s="25" t="s">
        <v>631</v>
      </c>
      <c r="E204" s="16">
        <v>42602.769618055558</v>
      </c>
      <c r="F204" s="16">
        <v>42602.770891203705</v>
      </c>
      <c r="G204" s="7">
        <v>1</v>
      </c>
      <c r="H204" s="16" t="s">
        <v>632</v>
      </c>
      <c r="I204" s="16">
        <v>42602.772453703707</v>
      </c>
      <c r="J204" s="7">
        <v>0</v>
      </c>
      <c r="K204" s="141" t="str">
        <f t="shared" si="84"/>
        <v>4013/4014</v>
      </c>
      <c r="L204" s="25" t="str">
        <f>VLOOKUP(A204,'Trips&amp;Operators'!$C$1:$E$10000,3,FALSE)</f>
        <v>LEVIN</v>
      </c>
      <c r="M204" s="6">
        <f t="shared" si="85"/>
        <v>1.5625000014551915E-3</v>
      </c>
      <c r="N204" s="7">
        <f t="shared" si="99"/>
        <v>2.2500000020954758</v>
      </c>
      <c r="O204" s="7"/>
      <c r="P204" s="7"/>
      <c r="Q204" s="26"/>
      <c r="R204" s="26"/>
      <c r="S204" s="38">
        <f t="shared" si="83"/>
        <v>0</v>
      </c>
      <c r="T204" s="53" t="e">
        <f t="shared" si="86"/>
        <v>#VALUE!</v>
      </c>
      <c r="U204" s="13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10" t="str">
        <f t="shared" si="87"/>
        <v>https://search-rtdc-monitor-bjffxe2xuh6vdkpspy63sjmuny.us-east-1.es.amazonaws.com/_plugin/kibana/#/discover/Steve-Slow-Train-Analysis-(2080s-and-2083s)?_g=(refreshInterval:(display:Off,section:0,value:0),time:(from:'2016-08-20 17:28:15-0600',mode:absolute,to:'2016-08-20 19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4" s="55" t="str">
        <f t="shared" si="88"/>
        <v>Y</v>
      </c>
      <c r="X204" s="128" t="e">
        <f t="shared" si="97"/>
        <v>#VALUE!</v>
      </c>
      <c r="Y204" s="70">
        <f t="shared" si="89"/>
        <v>2.4388000000000001</v>
      </c>
      <c r="Z204" s="70">
        <f t="shared" si="98"/>
        <v>2.3873000000000002</v>
      </c>
      <c r="AA204" s="70">
        <f t="shared" si="91"/>
        <v>5.1499999999999879E-2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92"/>
        <v>66-20</v>
      </c>
      <c r="AE204" s="103" t="str">
        <f t="shared" si="93"/>
        <v>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 &amp; aws s3 cp s3://rtdc.mdm.uploadarchive/RTDC4013/2016-08-21/ "%USERPROFILE%\AppData\Local\Temp\OnboardLogs"\RTDC4013\2016-08-21 --recursive &amp; "%USERPROFILE%\Documents\GitHub\mrs-test-scripts\Headless Mode &amp; Sideloading\WalkAndUnGZ.bat" "%USERPROFILE%\AppData\Local\Temp\OnboardLogs"\RTDC4013\2016-08-21</v>
      </c>
      <c r="AF204" s="100" t="str">
        <f t="shared" si="94"/>
        <v>"C:\Program Files (x86)\AstroGrep\AstroGrep.exe" /spath="%USERPROFILE%\AppData\Local\Temp\OnboardLogs" /stypes="*4013*20160821*" /stext=" 00:.+((SYSTEM_STATE.+slice.+state.+changed )|(ment ac)|(system.+state.+changed )|(\|lc)|(penalty)|(\[timeout)|(PRM\|1\|D)|(kpr)|(kdp))" /e /r /s</v>
      </c>
      <c r="AG204" s="1" t="str">
        <f t="shared" si="95"/>
        <v>Other</v>
      </c>
      <c r="AH204" s="104" t="str">
        <f t="shared" si="100"/>
        <v>"%USERPROFILE%\Documents\GitHub\eaglep3\Utilities\RefineRTDCRunTimes.py" --tripid 66-20 --locoid 4013 --swversion DE.1.0.7.0 --startMP 300:24388 --initTime 2016-08-20T18:28:15 --startdatetime 2016-08-20T18:30:05 --delay 1 --endMP 300:23873 --enddatetime 2016-08-20T18:32:20 --enforcementcount 0</v>
      </c>
    </row>
    <row r="205" spans="1:34" x14ac:dyDescent="0.25">
      <c r="A205" s="40"/>
      <c r="B205" s="7"/>
      <c r="C205" s="25"/>
      <c r="D205" s="25"/>
      <c r="E205" s="16"/>
      <c r="F205" s="16"/>
      <c r="G205" s="7"/>
      <c r="H205" s="16"/>
      <c r="I205" s="16"/>
      <c r="J205" s="7"/>
      <c r="K205" s="141"/>
      <c r="L205" s="25"/>
      <c r="M205" s="6"/>
      <c r="N205" s="7"/>
      <c r="O205" s="7"/>
      <c r="P205" s="7"/>
      <c r="Q205" s="26"/>
      <c r="R205" s="26"/>
      <c r="S205" s="38"/>
      <c r="T205" s="53"/>
      <c r="U205" s="134"/>
      <c r="V205" s="110"/>
      <c r="W205" s="55"/>
      <c r="X205" s="128"/>
      <c r="Y205" s="70"/>
      <c r="Z205" s="70"/>
      <c r="AA205" s="70"/>
      <c r="AB205" s="67"/>
      <c r="AC205" s="63"/>
      <c r="AD205" s="64"/>
      <c r="AE205" s="103"/>
      <c r="AF205" s="100"/>
      <c r="AG205" s="1"/>
    </row>
    <row r="206" spans="1:34" x14ac:dyDescent="0.25">
      <c r="A206" s="40"/>
      <c r="B206" s="7"/>
      <c r="C206" s="25"/>
      <c r="D206" s="25"/>
      <c r="E206" s="16"/>
      <c r="F206" s="16"/>
      <c r="G206" s="7"/>
      <c r="H206" s="16"/>
      <c r="I206" s="16"/>
      <c r="J206" s="7"/>
      <c r="K206" s="141"/>
      <c r="L206" s="25"/>
      <c r="M206" s="6"/>
      <c r="N206" s="7"/>
      <c r="O206" s="7"/>
      <c r="P206" s="7"/>
      <c r="Q206" s="26"/>
      <c r="R206" s="26"/>
      <c r="S206" s="38"/>
      <c r="T206" s="53"/>
      <c r="U206" s="134"/>
      <c r="V206" s="110"/>
      <c r="W206" s="55"/>
      <c r="X206" s="128"/>
      <c r="Y206" s="70"/>
      <c r="Z206" s="70"/>
      <c r="AA206" s="70"/>
      <c r="AB206" s="67"/>
      <c r="AC206" s="63"/>
      <c r="AD206" s="64"/>
      <c r="AE206" s="103"/>
      <c r="AF206" s="100"/>
      <c r="AG206" s="1"/>
    </row>
    <row r="207" spans="1:34" x14ac:dyDescent="0.25">
      <c r="A207" s="40"/>
      <c r="B207" s="7"/>
      <c r="C207" s="25"/>
      <c r="D207" s="25"/>
      <c r="E207" s="16"/>
      <c r="F207" s="16"/>
      <c r="G207" s="7"/>
      <c r="H207" s="16"/>
      <c r="I207" s="16"/>
      <c r="J207" s="7"/>
      <c r="K207" s="141"/>
      <c r="L207" s="25"/>
      <c r="M207" s="6"/>
      <c r="N207" s="7"/>
      <c r="O207" s="7"/>
      <c r="P207" s="7"/>
      <c r="Q207" s="26"/>
      <c r="R207" s="26"/>
      <c r="S207" s="38"/>
      <c r="T207" s="53"/>
      <c r="U207" s="134"/>
      <c r="V207" s="110"/>
      <c r="W207" s="55"/>
      <c r="X207" s="128"/>
      <c r="Y207" s="70"/>
      <c r="Z207" s="70"/>
      <c r="AA207" s="70"/>
      <c r="AB207" s="67"/>
      <c r="AC207" s="63"/>
      <c r="AD207" s="64"/>
      <c r="AE207" s="103"/>
      <c r="AF207" s="100"/>
      <c r="AG207" s="1"/>
    </row>
    <row r="208" spans="1:34" x14ac:dyDescent="0.25">
      <c r="A208" s="40"/>
      <c r="B208" s="7"/>
      <c r="C208" s="25"/>
      <c r="D208" s="25"/>
      <c r="E208" s="16"/>
      <c r="F208" s="16"/>
      <c r="G208" s="7"/>
      <c r="H208" s="16"/>
      <c r="I208" s="16"/>
      <c r="J208" s="7"/>
      <c r="K208" s="141"/>
      <c r="L208" s="25"/>
      <c r="M208" s="6"/>
      <c r="N208" s="7"/>
      <c r="O208" s="7"/>
      <c r="P208" s="7"/>
      <c r="Q208" s="26"/>
      <c r="R208" s="26"/>
      <c r="S208" s="38"/>
      <c r="T208" s="53"/>
      <c r="U208" s="134"/>
      <c r="V208" s="110"/>
      <c r="W208" s="55"/>
      <c r="X208" s="128"/>
      <c r="Y208" s="70"/>
      <c r="Z208" s="70"/>
      <c r="AA208" s="70"/>
      <c r="AB208" s="67"/>
      <c r="AC208" s="63"/>
      <c r="AD208" s="64"/>
      <c r="AE208" s="103"/>
      <c r="AF208" s="100"/>
      <c r="AG208" s="1"/>
    </row>
    <row r="209" spans="1:33" x14ac:dyDescent="0.25">
      <c r="A209" s="40"/>
      <c r="B209" s="7"/>
      <c r="C209" s="25"/>
      <c r="D209" s="25"/>
      <c r="E209" s="16"/>
      <c r="F209" s="16"/>
      <c r="G209" s="7"/>
      <c r="H209" s="16"/>
      <c r="I209" s="16"/>
      <c r="J209" s="7"/>
      <c r="K209" s="141"/>
      <c r="L209" s="25"/>
      <c r="M209" s="6"/>
      <c r="N209" s="7"/>
      <c r="O209" s="7"/>
      <c r="P209" s="7"/>
      <c r="Q209" s="26"/>
      <c r="R209" s="26"/>
      <c r="S209" s="38"/>
      <c r="T209" s="53"/>
      <c r="U209" s="134"/>
      <c r="V209" s="110"/>
      <c r="W209" s="55"/>
      <c r="X209" s="128"/>
      <c r="Y209" s="70"/>
      <c r="Z209" s="70"/>
      <c r="AA209" s="70"/>
      <c r="AB209" s="67"/>
      <c r="AC209" s="63"/>
      <c r="AD209" s="64"/>
      <c r="AE209" s="103"/>
      <c r="AF209" s="100"/>
      <c r="AG209" s="1"/>
    </row>
    <row r="210" spans="1:33" x14ac:dyDescent="0.25">
      <c r="A210" s="40"/>
      <c r="B210" s="7"/>
      <c r="C210" s="25"/>
      <c r="D210" s="25"/>
      <c r="E210" s="16"/>
      <c r="F210" s="16"/>
      <c r="G210" s="7"/>
      <c r="H210" s="16"/>
      <c r="I210" s="16"/>
      <c r="J210" s="7"/>
      <c r="K210" s="141"/>
      <c r="L210" s="25"/>
      <c r="M210" s="6"/>
      <c r="N210" s="7"/>
      <c r="O210" s="7"/>
      <c r="P210" s="7"/>
      <c r="Q210" s="26"/>
      <c r="R210" s="26"/>
      <c r="S210" s="38"/>
      <c r="T210" s="53"/>
      <c r="U210" s="134"/>
      <c r="V210" s="110"/>
      <c r="W210" s="55"/>
      <c r="X210" s="128"/>
      <c r="Y210" s="70"/>
      <c r="Z210" s="70"/>
      <c r="AA210" s="70"/>
      <c r="AB210" s="67"/>
      <c r="AC210" s="63"/>
      <c r="AD210" s="64"/>
      <c r="AE210" s="103"/>
      <c r="AF210" s="100"/>
      <c r="AG210" s="1"/>
    </row>
    <row r="211" spans="1:33" x14ac:dyDescent="0.25">
      <c r="A211" s="40"/>
      <c r="B211" s="7"/>
      <c r="C211" s="25"/>
      <c r="D211" s="25"/>
      <c r="E211" s="16"/>
      <c r="F211" s="16"/>
      <c r="G211" s="7"/>
      <c r="H211" s="16"/>
      <c r="I211" s="16"/>
      <c r="J211" s="7"/>
      <c r="K211" s="141"/>
      <c r="L211" s="25"/>
      <c r="M211" s="6"/>
      <c r="N211" s="7"/>
      <c r="O211" s="7"/>
      <c r="P211" s="7"/>
      <c r="Q211" s="26"/>
      <c r="R211" s="26"/>
      <c r="S211" s="38"/>
      <c r="T211" s="53"/>
      <c r="U211" s="134"/>
      <c r="V211" s="110"/>
      <c r="W211" s="55"/>
      <c r="X211" s="128"/>
      <c r="Y211" s="70"/>
      <c r="Z211" s="70"/>
      <c r="AA211" s="70"/>
      <c r="AB211" s="67"/>
      <c r="AC211" s="63"/>
      <c r="AD211" s="64"/>
      <c r="AE211" s="103"/>
      <c r="AF211" s="100"/>
      <c r="AG211" s="1"/>
    </row>
    <row r="212" spans="1:33" x14ac:dyDescent="0.25">
      <c r="A212" s="40"/>
      <c r="B212" s="7"/>
      <c r="C212" s="25"/>
      <c r="D212" s="25"/>
      <c r="E212" s="16"/>
      <c r="F212" s="16"/>
      <c r="G212" s="7"/>
      <c r="H212" s="16"/>
      <c r="I212" s="16"/>
      <c r="J212" s="7"/>
      <c r="K212" s="141"/>
      <c r="L212" s="25"/>
      <c r="M212" s="6"/>
      <c r="N212" s="7"/>
      <c r="O212" s="7"/>
      <c r="P212" s="7"/>
      <c r="Q212" s="26"/>
      <c r="R212" s="26"/>
      <c r="S212" s="38"/>
      <c r="T212" s="53"/>
      <c r="U212" s="134"/>
      <c r="V212" s="110"/>
      <c r="W212" s="55"/>
      <c r="X212" s="128"/>
      <c r="Y212" s="70"/>
      <c r="Z212" s="70"/>
      <c r="AA212" s="70"/>
      <c r="AB212" s="67"/>
      <c r="AC212" s="63"/>
      <c r="AD212" s="64"/>
      <c r="AE212" s="103"/>
      <c r="AF212" s="100"/>
      <c r="AG212" s="1"/>
    </row>
    <row r="213" spans="1:33" x14ac:dyDescent="0.25">
      <c r="A213" s="40"/>
      <c r="B213" s="7"/>
      <c r="C213" s="25"/>
      <c r="D213" s="25"/>
      <c r="E213" s="16"/>
      <c r="F213" s="16"/>
      <c r="G213" s="7"/>
      <c r="H213" s="16"/>
      <c r="I213" s="16"/>
      <c r="J213" s="7"/>
      <c r="K213" s="141"/>
      <c r="L213" s="25"/>
      <c r="M213" s="6"/>
      <c r="N213" s="7"/>
      <c r="O213" s="7"/>
      <c r="P213" s="7"/>
      <c r="Q213" s="26"/>
      <c r="R213" s="26"/>
      <c r="S213" s="38"/>
      <c r="T213" s="53"/>
      <c r="U213" s="134"/>
      <c r="V213" s="110"/>
      <c r="W213" s="55"/>
      <c r="X213" s="128"/>
      <c r="Y213" s="70"/>
      <c r="Z213" s="70"/>
      <c r="AA213" s="70"/>
      <c r="AB213" s="67"/>
      <c r="AC213" s="63"/>
      <c r="AD213" s="64"/>
      <c r="AE213" s="103"/>
      <c r="AF213" s="100"/>
      <c r="AG213" s="1"/>
    </row>
    <row r="214" spans="1:33" x14ac:dyDescent="0.25">
      <c r="A214" s="40"/>
      <c r="B214" s="7"/>
      <c r="C214" s="25"/>
      <c r="D214" s="25"/>
      <c r="E214" s="16"/>
      <c r="F214" s="16"/>
      <c r="G214" s="7"/>
      <c r="H214" s="16"/>
      <c r="I214" s="16"/>
      <c r="J214" s="7"/>
      <c r="K214" s="141"/>
      <c r="L214" s="25"/>
      <c r="M214" s="6"/>
      <c r="N214" s="7"/>
      <c r="O214" s="7"/>
      <c r="P214" s="7"/>
      <c r="Q214" s="26"/>
      <c r="R214" s="26"/>
      <c r="S214" s="38"/>
      <c r="T214" s="53"/>
      <c r="U214" s="134"/>
      <c r="V214" s="110"/>
      <c r="W214" s="55"/>
      <c r="X214" s="128"/>
      <c r="Y214" s="70"/>
      <c r="Z214" s="70"/>
      <c r="AA214" s="70"/>
      <c r="AB214" s="67"/>
      <c r="AC214" s="63"/>
      <c r="AD214" s="64"/>
      <c r="AE214" s="103"/>
      <c r="AF214" s="100"/>
      <c r="AG214" s="1"/>
    </row>
    <row r="215" spans="1:33" x14ac:dyDescent="0.25">
      <c r="A215" s="40"/>
      <c r="B215" s="7"/>
      <c r="C215" s="25"/>
      <c r="D215" s="25"/>
      <c r="E215" s="16"/>
      <c r="F215" s="16"/>
      <c r="G215" s="7"/>
      <c r="H215" s="16"/>
      <c r="I215" s="16"/>
      <c r="J215" s="7"/>
      <c r="K215" s="141"/>
      <c r="L215" s="25"/>
      <c r="M215" s="6"/>
      <c r="N215" s="7"/>
      <c r="O215" s="7"/>
      <c r="P215" s="7"/>
      <c r="Q215" s="26"/>
      <c r="R215" s="26"/>
      <c r="S215" s="38"/>
      <c r="T215" s="53"/>
      <c r="U215" s="134"/>
      <c r="V215" s="110"/>
      <c r="W215" s="55"/>
      <c r="X215" s="128"/>
      <c r="Y215" s="70"/>
      <c r="Z215" s="70"/>
      <c r="AA215" s="70"/>
      <c r="AB215" s="67"/>
      <c r="AC215" s="63"/>
      <c r="AD215" s="64"/>
      <c r="AE215" s="103"/>
      <c r="AF215" s="100"/>
      <c r="AG215" s="1"/>
    </row>
    <row r="216" spans="1:33" x14ac:dyDescent="0.25">
      <c r="A216" s="40"/>
      <c r="B216" s="7"/>
      <c r="C216" s="25"/>
      <c r="D216" s="25"/>
      <c r="E216" s="16"/>
      <c r="F216" s="16"/>
      <c r="G216" s="7"/>
      <c r="H216" s="16"/>
      <c r="I216" s="16"/>
      <c r="J216" s="7"/>
      <c r="K216" s="141"/>
      <c r="L216" s="25"/>
      <c r="M216" s="6"/>
      <c r="N216" s="7"/>
      <c r="O216" s="7"/>
      <c r="P216" s="7"/>
      <c r="Q216" s="26"/>
      <c r="R216" s="26"/>
      <c r="S216" s="38"/>
      <c r="T216" s="53"/>
      <c r="U216" s="134"/>
      <c r="V216" s="110"/>
      <c r="W216" s="55"/>
      <c r="X216" s="128"/>
      <c r="Y216" s="70"/>
      <c r="Z216" s="70"/>
      <c r="AA216" s="70"/>
      <c r="AB216" s="67"/>
      <c r="AC216" s="63"/>
      <c r="AD216" s="64"/>
      <c r="AE216" s="103"/>
      <c r="AF216" s="100"/>
      <c r="AG216" s="1"/>
    </row>
    <row r="217" spans="1:33" x14ac:dyDescent="0.25">
      <c r="A217" s="40"/>
      <c r="B217" s="7"/>
      <c r="C217" s="25"/>
      <c r="D217" s="25"/>
      <c r="E217" s="16"/>
      <c r="F217" s="16"/>
      <c r="G217" s="7"/>
      <c r="H217" s="16"/>
      <c r="I217" s="16"/>
      <c r="J217" s="7"/>
      <c r="K217" s="141"/>
      <c r="L217" s="25"/>
      <c r="M217" s="6"/>
      <c r="N217" s="7"/>
      <c r="O217" s="7"/>
      <c r="P217" s="7"/>
      <c r="Q217" s="26"/>
      <c r="R217" s="26"/>
      <c r="S217" s="38"/>
      <c r="T217" s="53"/>
      <c r="U217" s="134"/>
      <c r="V217" s="110"/>
      <c r="W217" s="55"/>
      <c r="X217" s="128"/>
      <c r="Y217" s="70"/>
      <c r="Z217" s="70"/>
      <c r="AA217" s="70"/>
      <c r="AB217" s="67"/>
      <c r="AC217" s="63"/>
      <c r="AD217" s="64"/>
      <c r="AE217" s="103"/>
      <c r="AF217" s="100"/>
      <c r="AG217" s="1"/>
    </row>
    <row r="218" spans="1:33" x14ac:dyDescent="0.25">
      <c r="A218" s="40"/>
      <c r="B218" s="7"/>
      <c r="C218" s="25"/>
      <c r="D218" s="25"/>
      <c r="E218" s="16"/>
      <c r="F218" s="16"/>
      <c r="G218" s="7"/>
      <c r="H218" s="16"/>
      <c r="I218" s="16"/>
      <c r="J218" s="7"/>
      <c r="K218" s="141"/>
      <c r="L218" s="25"/>
      <c r="M218" s="6"/>
      <c r="N218" s="7"/>
      <c r="O218" s="7"/>
      <c r="P218" s="7"/>
      <c r="Q218" s="26"/>
      <c r="R218" s="26"/>
      <c r="S218" s="38"/>
      <c r="T218" s="53"/>
      <c r="U218" s="134"/>
      <c r="V218" s="110"/>
      <c r="W218" s="55"/>
      <c r="X218" s="128"/>
      <c r="Y218" s="70"/>
      <c r="Z218" s="70"/>
      <c r="AA218" s="70"/>
      <c r="AB218" s="67"/>
      <c r="AC218" s="63"/>
      <c r="AD218" s="64"/>
      <c r="AE218" s="103"/>
      <c r="AF218" s="100"/>
      <c r="AG218" s="1"/>
    </row>
    <row r="219" spans="1:33" x14ac:dyDescent="0.25">
      <c r="A219" s="40"/>
      <c r="B219" s="7"/>
      <c r="C219" s="25"/>
      <c r="D219" s="25"/>
      <c r="E219" s="16"/>
      <c r="F219" s="16"/>
      <c r="G219" s="7"/>
      <c r="H219" s="16"/>
      <c r="I219" s="16"/>
      <c r="J219" s="7"/>
      <c r="K219" s="141"/>
      <c r="L219" s="25"/>
      <c r="M219" s="6"/>
      <c r="N219" s="7"/>
      <c r="O219" s="7"/>
      <c r="P219" s="7"/>
      <c r="Q219" s="26"/>
      <c r="R219" s="26"/>
      <c r="S219" s="38"/>
      <c r="T219" s="53"/>
      <c r="U219" s="134"/>
      <c r="V219" s="110"/>
      <c r="W219" s="55"/>
      <c r="X219" s="128"/>
      <c r="Y219" s="70"/>
      <c r="Z219" s="70"/>
      <c r="AA219" s="70"/>
      <c r="AB219" s="67"/>
      <c r="AC219" s="63"/>
      <c r="AD219" s="64"/>
      <c r="AE219" s="103"/>
      <c r="AF219" s="100"/>
      <c r="AG219" s="1"/>
    </row>
  </sheetData>
  <autoFilter ref="A12:AG21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259" operator="equal">
      <formula>"Y"</formula>
    </cfRule>
  </conditionalFormatting>
  <conditionalFormatting sqref="X13:X1048576">
    <cfRule type="cellIs" dxfId="10" priority="242" operator="greaterThan">
      <formula>1</formula>
    </cfRule>
  </conditionalFormatting>
  <conditionalFormatting sqref="X12:X1048576">
    <cfRule type="cellIs" dxfId="9" priority="239" operator="equal">
      <formula>0</formula>
    </cfRule>
  </conditionalFormatting>
  <conditionalFormatting sqref="A13:S219">
    <cfRule type="expression" dxfId="8" priority="235">
      <formula>$O13&gt;0</formula>
    </cfRule>
  </conditionalFormatting>
  <conditionalFormatting sqref="A13:S219">
    <cfRule type="expression" dxfId="7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5"/>
  <sheetViews>
    <sheetView tabSelected="1" topLeftCell="A4" workbookViewId="0">
      <selection activeCell="N18" sqref="A18:N2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2" customWidth="1"/>
    <col min="14" max="14" width="30.7109375" customWidth="1"/>
    <col min="15" max="15" width="5" hidden="1" customWidth="1"/>
    <col min="16" max="16" width="5.7109375" style="101" customWidth="1"/>
    <col min="17" max="17" width="5.7109375" style="115" customWidth="1"/>
    <col min="18" max="18" width="6" style="98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2"/>
      <c r="P1" s="101"/>
      <c r="Q1" s="115"/>
      <c r="R1" s="98"/>
      <c r="T1" s="51"/>
    </row>
    <row r="2" spans="1:22" s="24" customFormat="1" x14ac:dyDescent="0.25">
      <c r="A2" s="8"/>
      <c r="F2" s="2"/>
      <c r="G2" s="2"/>
      <c r="H2" s="2"/>
      <c r="J2" s="2"/>
      <c r="K2" s="142" t="s">
        <v>89</v>
      </c>
      <c r="L2" s="143"/>
      <c r="M2" s="144">
        <f>COUNTIF($M$7:$M$411,"=Y")</f>
        <v>3</v>
      </c>
      <c r="N2" s="145"/>
      <c r="P2" s="101"/>
      <c r="Q2" s="115"/>
      <c r="R2" s="98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6" t="s">
        <v>90</v>
      </c>
      <c r="L3" s="147"/>
      <c r="M3" s="148">
        <f>COUNTA($M$7:$M$411)-M2</f>
        <v>26</v>
      </c>
      <c r="N3" s="145"/>
      <c r="P3" s="101"/>
      <c r="Q3" s="115"/>
      <c r="R3" s="98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2"/>
      <c r="P4" s="101"/>
      <c r="Q4" s="115"/>
      <c r="R4" s="98"/>
      <c r="T4" s="51"/>
    </row>
    <row r="5" spans="1:22" s="12" customFormat="1" ht="15" customHeight="1" x14ac:dyDescent="0.25">
      <c r="A5" s="149" t="str">
        <f>"Eagle P3 Braking Events - "&amp;TEXT(Variables!$A$2,"YYYY-mm-dd")</f>
        <v>Eagle P3 Braking Events - 2016-08-20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3"/>
      <c r="P5" s="112"/>
      <c r="Q5" s="116"/>
      <c r="R5" s="119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39" t="s">
        <v>27</v>
      </c>
      <c r="N6" s="73" t="s">
        <v>24</v>
      </c>
      <c r="O6" s="53"/>
      <c r="P6" s="113" t="s">
        <v>103</v>
      </c>
      <c r="Q6" s="117" t="s">
        <v>62</v>
      </c>
      <c r="R6" s="120" t="s">
        <v>102</v>
      </c>
      <c r="S6" s="73" t="s">
        <v>97</v>
      </c>
      <c r="T6" s="75" t="s">
        <v>98</v>
      </c>
      <c r="U6" s="53" t="s">
        <v>110</v>
      </c>
      <c r="V6" s="53" t="s">
        <v>113</v>
      </c>
    </row>
    <row r="7" spans="1:22" s="1" customFormat="1" x14ac:dyDescent="0.25">
      <c r="A7" s="39">
        <v>42602.600081018521</v>
      </c>
      <c r="B7" s="34" t="s">
        <v>199</v>
      </c>
      <c r="C7" s="34" t="s">
        <v>526</v>
      </c>
      <c r="D7" s="34" t="s">
        <v>114</v>
      </c>
      <c r="E7" s="34" t="s">
        <v>197</v>
      </c>
      <c r="F7" s="50">
        <v>0</v>
      </c>
      <c r="G7" s="50">
        <v>297</v>
      </c>
      <c r="H7" s="50">
        <v>33144</v>
      </c>
      <c r="I7" s="34" t="s">
        <v>198</v>
      </c>
      <c r="J7" s="50">
        <v>33137</v>
      </c>
      <c r="K7" s="34" t="s">
        <v>52</v>
      </c>
      <c r="L7" s="96" t="str">
        <f>VLOOKUP(C7,'Trips&amp;Operators'!$C$1:$E$9999,3,0)</f>
        <v>WEBSTER</v>
      </c>
      <c r="M7" s="140" t="s">
        <v>88</v>
      </c>
      <c r="N7" s="10" t="s">
        <v>310</v>
      </c>
      <c r="O7" s="34"/>
      <c r="P7" s="114" t="str">
        <f>VLOOKUP(C7,'Train Runs'!$A$13:$AE$9994,31,0)</f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Q7" s="118" t="str">
        <f>VLOOKUP(C7,'Train Runs'!$A$13:$AE$9994,22,0)</f>
        <v>https://search-rtdc-monitor-bjffxe2xuh6vdkpspy63sjmuny.us-east-1.es.amazonaws.com/_plugin/kibana/#/discover/Steve-Slow-Train-Analysis-(2080s-and-2083s)?_g=(refreshInterval:(display:Off,section:0,value:0),time:(from:'2016-08-20 13:09:06-0600',mode:absolute,to:'2016-08-20 15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7" s="121" t="str">
        <f t="shared" ref="R7:R35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/stypes="*4009*201608202*" /stext=" 20:.+((SYSTEM_STATE.+slice.+state.+changed )|(ment ac)|(system.+state.+changed )|(\|lc)|(penalty)|(\[timeout)|(PRM\|1\|D)|(kpr)|(kdp))" /e /r /s</v>
      </c>
      <c r="S7" s="9" t="str">
        <f t="shared" ref="S7:S35" si="1">MID(B7,13,4)</f>
        <v>4009</v>
      </c>
      <c r="T7" s="39">
        <f t="shared" ref="T7:T35" si="2">A7+6/24</f>
        <v>42602.850081018521</v>
      </c>
      <c r="U7" s="53" t="str">
        <f t="shared" ref="U7:U35" si="3">IF(VALUE(LEFT(IF(LEN(C7)=6,"0"&amp;C7,C7),2))&lt;=2,"EC",IF(OR(VALUE(LEFT(IF(LEN(C7)=6,"0"&amp;C7,C7),2))=8,VALUE(LEFT(IF(LEN(C7)=6,"0"&amp;C7,C7),2))=18),"NW","Other"))</f>
        <v>EC</v>
      </c>
      <c r="V7" s="53" t="str">
        <f t="shared" ref="V7:V35" si="4">IF(AND(E7="TRACK WARRANT AUTHORITY",G7&lt;10),"OMIT","KEEP")</f>
        <v>KEEP</v>
      </c>
    </row>
    <row r="8" spans="1:22" s="1" customFormat="1" x14ac:dyDescent="0.25">
      <c r="A8" s="39">
        <v>42602.756516203706</v>
      </c>
      <c r="B8" s="34" t="s">
        <v>185</v>
      </c>
      <c r="C8" s="34" t="s">
        <v>562</v>
      </c>
      <c r="D8" s="34" t="s">
        <v>49</v>
      </c>
      <c r="E8" s="34" t="s">
        <v>197</v>
      </c>
      <c r="F8" s="50">
        <v>0</v>
      </c>
      <c r="G8" s="50">
        <v>446</v>
      </c>
      <c r="H8" s="50">
        <v>48520</v>
      </c>
      <c r="I8" s="34" t="s">
        <v>198</v>
      </c>
      <c r="J8" s="50">
        <v>48048</v>
      </c>
      <c r="K8" s="34" t="s">
        <v>53</v>
      </c>
      <c r="L8" s="96" t="str">
        <f>VLOOKUP(C8,'Trips&amp;Operators'!$C$1:$E$9999,3,0)</f>
        <v>MOSES</v>
      </c>
      <c r="M8" s="140" t="s">
        <v>88</v>
      </c>
      <c r="N8" s="10" t="s">
        <v>310</v>
      </c>
      <c r="O8" s="34"/>
      <c r="P8" s="114" t="str">
        <f>VLOOKUP(C8,'Train Runs'!$A$13:$AE$9994,31,0)</f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Q8" s="118" t="str">
        <f>VLOOKUP(C8,'Train Runs'!$A$13:$AE$9994,22,0)</f>
        <v>https://search-rtdc-monitor-bjffxe2xuh6vdkpspy63sjmuny.us-east-1.es.amazonaws.com/_plugin/kibana/#/discover/Steve-Slow-Train-Analysis-(2080s-and-2083s)?_g=(refreshInterval:(display:Off,section:0,value:0),time:(from:'2016-08-20 16:38:28-0600',mode:absolute,to:'2016-08-20 19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8" s="121" t="str">
        <f t="shared" si="0"/>
        <v>"C:\Program Files (x86)\AstroGrep\AstroGrep.exe" /spath="%USERPROFILE%\AppData\Local\Temp\OnboardLogs" /stypes="*4008*201608210*" /stext=" 00:.+((SYSTEM_STATE.+slice.+state.+changed )|(ment ac)|(system.+state.+changed )|(\|lc)|(penalty)|(\[timeout)|(PRM\|1\|D)|(kpr)|(kdp))" /e /r /s</v>
      </c>
      <c r="S8" s="9" t="str">
        <f t="shared" si="1"/>
        <v>4008</v>
      </c>
      <c r="T8" s="39">
        <f t="shared" si="2"/>
        <v>42603.006516203706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42602.778715277775</v>
      </c>
      <c r="B9" s="34" t="s">
        <v>159</v>
      </c>
      <c r="C9" s="34" t="s">
        <v>570</v>
      </c>
      <c r="D9" s="34" t="s">
        <v>49</v>
      </c>
      <c r="E9" s="34" t="s">
        <v>197</v>
      </c>
      <c r="F9" s="50">
        <v>0</v>
      </c>
      <c r="G9" s="50">
        <v>119</v>
      </c>
      <c r="H9" s="50">
        <v>58821</v>
      </c>
      <c r="I9" s="34" t="s">
        <v>198</v>
      </c>
      <c r="J9" s="50">
        <v>58301</v>
      </c>
      <c r="K9" s="34" t="s">
        <v>53</v>
      </c>
      <c r="L9" s="96" t="str">
        <f>VLOOKUP(C9,'Trips&amp;Operators'!$C$1:$E$9999,3,0)</f>
        <v>BRUDER</v>
      </c>
      <c r="M9" s="140" t="s">
        <v>88</v>
      </c>
      <c r="N9" s="10" t="s">
        <v>311</v>
      </c>
      <c r="O9" s="34"/>
      <c r="P9" s="114" t="str">
        <f>VLOOKUP(C9,'Train Runs'!$A$13:$AE$9994,31,0)</f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Q9" s="118" t="str">
        <f>VLOOKUP(C9,'Train Runs'!$A$13:$AE$9994,22,0)</f>
        <v>https://search-rtdc-monitor-bjffxe2xuh6vdkpspy63sjmuny.us-east-1.es.amazonaws.com/_plugin/kibana/#/discover/Steve-Slow-Train-Analysis-(2080s-and-2083s)?_g=(refreshInterval:(display:Off,section:0,value:0),time:(from:'2016-08-20 17:04:52-0600',mode:absolute,to:'2016-08-20 19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" s="121" t="str">
        <f t="shared" si="0"/>
        <v>"C:\Program Files (x86)\AstroGrep\AstroGrep.exe" /spath="%USERPROFILE%\AppData\Local\Temp\OnboardLogs" /stypes="*4028*201608210*" /stext=" 00:.+((SYSTEM_STATE.+slice.+state.+changed )|(ment ac)|(system.+state.+changed )|(\|lc)|(penalty)|(\[timeout)|(PRM\|1\|D)|(kpr)|(kdp))" /e /r /s</v>
      </c>
      <c r="S9" s="9" t="str">
        <f t="shared" si="1"/>
        <v>4028</v>
      </c>
      <c r="T9" s="39">
        <f t="shared" si="2"/>
        <v>42603.028715277775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42603.010462962964</v>
      </c>
      <c r="B10" s="34" t="s">
        <v>117</v>
      </c>
      <c r="C10" s="34" t="s">
        <v>615</v>
      </c>
      <c r="D10" s="34" t="s">
        <v>49</v>
      </c>
      <c r="E10" s="34" t="s">
        <v>197</v>
      </c>
      <c r="F10" s="50">
        <v>0</v>
      </c>
      <c r="G10" s="50">
        <v>378</v>
      </c>
      <c r="H10" s="50">
        <v>62638</v>
      </c>
      <c r="I10" s="34" t="s">
        <v>198</v>
      </c>
      <c r="J10" s="50">
        <v>63069</v>
      </c>
      <c r="K10" s="34" t="s">
        <v>52</v>
      </c>
      <c r="L10" s="96" t="str">
        <f>VLOOKUP(C10,'Trips&amp;Operators'!$C$1:$E$9999,3,0)</f>
        <v>CHANDLER</v>
      </c>
      <c r="M10" s="140" t="s">
        <v>88</v>
      </c>
      <c r="N10" s="10" t="s">
        <v>310</v>
      </c>
      <c r="O10" s="34"/>
      <c r="P10" s="114" t="str">
        <f>VLOOKUP(C10,'Train Runs'!$A$13:$AE$9994,31,0)</f>
        <v>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 &amp; aws s3 cp s3://rtdc.mdm.uploadarchive/RTDC4031/2016-08-22/ "%USERPROFILE%\AppData\Local\Temp\OnboardLogs"\RTDC4031\2016-08-22 --recursive &amp; "%USERPROFILE%\Documents\GitHub\mrs-test-scripts\Headless Mode &amp; Sideloading\WalkAndUnGZ.bat" "%USERPROFILE%\AppData\Local\Temp\OnboardLogs"\RTDC4031\2016-08-22</v>
      </c>
      <c r="Q10" s="118" t="str">
        <f>VLOOKUP(C10,'Train Runs'!$A$13:$AE$9994,22,0)</f>
        <v>https://search-rtdc-monitor-bjffxe2xuh6vdkpspy63sjmuny.us-east-1.es.amazonaws.com/_plugin/kibana/#/discover/Steve-Slow-Train-Analysis-(2080s-and-2083s)?_g=(refreshInterval:(display:Off,section:0,value:0),time:(from:'2016-08-20 22:59:05-0600',mode:absolute,to:'2016-08-21 01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0" s="121" t="str">
        <f t="shared" si="0"/>
        <v>"C:\Program Files (x86)\AstroGrep\AstroGrep.exe" /spath="%USERPROFILE%\AppData\Local\Temp\OnboardLogs" /stypes="*4031*201608210*" /stext=" 06:.+((SYSTEM_STATE.+slice.+state.+changed )|(ment ac)|(system.+state.+changed )|(\|lc)|(penalty)|(\[timeout)|(PRM\|1\|D)|(kpr)|(kdp))" /e /r /s</v>
      </c>
      <c r="S10" s="9" t="str">
        <f t="shared" si="1"/>
        <v>4031</v>
      </c>
      <c r="T10" s="39">
        <f t="shared" si="2"/>
        <v>42603.260462962964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42602.711087962962</v>
      </c>
      <c r="B11" s="34" t="s">
        <v>304</v>
      </c>
      <c r="C11" s="34" t="s">
        <v>564</v>
      </c>
      <c r="D11" s="34" t="s">
        <v>49</v>
      </c>
      <c r="E11" s="34" t="s">
        <v>56</v>
      </c>
      <c r="F11" s="50">
        <v>400</v>
      </c>
      <c r="G11" s="50">
        <v>561</v>
      </c>
      <c r="H11" s="50">
        <v>15353</v>
      </c>
      <c r="I11" s="34" t="s">
        <v>57</v>
      </c>
      <c r="J11" s="50">
        <v>17867</v>
      </c>
      <c r="K11" s="34" t="s">
        <v>52</v>
      </c>
      <c r="L11" s="96" t="str">
        <f>VLOOKUP(C11,'Trips&amp;Operators'!$C$1:$E$9999,3,0)</f>
        <v>SHOOK</v>
      </c>
      <c r="M11" s="140" t="s">
        <v>88</v>
      </c>
      <c r="N11" s="10"/>
      <c r="O11" s="34"/>
      <c r="P11" s="114" t="str">
        <f>VLOOKUP(C11,'Train Runs'!$A$13:$AE$9994,31,0)</f>
        <v>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 &amp; 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</v>
      </c>
      <c r="Q11" s="118" t="str">
        <f>VLOOKUP(C11,'Train Runs'!$A$13:$AE$9994,22,0)</f>
        <v>https://search-rtdc-monitor-bjffxe2xuh6vdkpspy63sjmuny.us-east-1.es.amazonaws.com/_plugin/kibana/#/discover/Steve-Slow-Train-Analysis-(2080s-and-2083s)?_g=(refreshInterval:(display:Off,section:0,value:0),time:(from:'2016-08-20 15:53:14-0600',mode:absolute,to:'2016-08-20 18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11" s="121" t="str">
        <f t="shared" si="0"/>
        <v>"C:\Program Files (x86)\AstroGrep\AstroGrep.exe" /spath="%USERPROFILE%\AppData\Local\Temp\OnboardLogs" /stypes="*4003*201608202*" /stext=" 23:.+((SYSTEM_STATE.+slice.+state.+changed )|(ment ac)|(system.+state.+changed )|(\|lc)|(penalty)|(\[timeout)|(PRM\|1\|D)|(kpr)|(kdp))" /e /r /s</v>
      </c>
      <c r="S11" s="9" t="str">
        <f t="shared" si="1"/>
        <v>4003</v>
      </c>
      <c r="T11" s="39">
        <f t="shared" si="2"/>
        <v>42602.961087962962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42602.572743055556</v>
      </c>
      <c r="B12" s="34" t="s">
        <v>196</v>
      </c>
      <c r="C12" s="34" t="s">
        <v>422</v>
      </c>
      <c r="D12" s="34" t="s">
        <v>49</v>
      </c>
      <c r="E12" s="34" t="s">
        <v>56</v>
      </c>
      <c r="F12" s="50">
        <v>300</v>
      </c>
      <c r="G12" s="50">
        <v>455</v>
      </c>
      <c r="H12" s="50">
        <v>23475</v>
      </c>
      <c r="I12" s="34" t="s">
        <v>57</v>
      </c>
      <c r="J12" s="50">
        <v>21848</v>
      </c>
      <c r="K12" s="34" t="s">
        <v>53</v>
      </c>
      <c r="L12" s="96" t="str">
        <f>VLOOKUP(C12,'Trips&amp;Operators'!$C$1:$E$9999,3,0)</f>
        <v>MAYBERRY</v>
      </c>
      <c r="M12" s="140" t="s">
        <v>88</v>
      </c>
      <c r="N12" s="10"/>
      <c r="O12" s="34"/>
      <c r="P12" s="114" t="str">
        <f>VLOOKUP(C12,'Train Runs'!$A$13:$AE$9994,31,0)</f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Q12" s="118" t="str">
        <f>VLOOKUP(C12,'Train Runs'!$A$13:$AE$9994,22,0)</f>
        <v>https://search-rtdc-monitor-bjffxe2xuh6vdkpspy63sjmuny.us-east-1.es.amazonaws.com/_plugin/kibana/#/discover/Steve-Slow-Train-Analysis-(2080s-and-2083s)?_g=(refreshInterval:(display:Off,section:0,value:0),time:(from:'2016-08-20 12:08:07-0600',mode:absolute,to:'2016-08-20 14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2" s="121" t="str">
        <f t="shared" si="0"/>
        <v>"C:\Program Files (x86)\AstroGrep\AstroGrep.exe" /spath="%USERPROFILE%\AppData\Local\Temp\OnboardLogs" /stypes="*4043*201608201*" /stext=" 19:.+((SYSTEM_STATE.+slice.+state.+changed )|(ment ac)|(system.+state.+changed )|(\|lc)|(penalty)|(\[timeout)|(PRM\|1\|D)|(kpr)|(kdp))" /e /r /s</v>
      </c>
      <c r="S12" s="9" t="str">
        <f t="shared" si="1"/>
        <v>4043</v>
      </c>
      <c r="T12" s="39">
        <f t="shared" si="2"/>
        <v>42602.822743055556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42602.255902777775</v>
      </c>
      <c r="B13" s="34" t="s">
        <v>303</v>
      </c>
      <c r="C13" s="34" t="s">
        <v>341</v>
      </c>
      <c r="D13" s="34" t="s">
        <v>49</v>
      </c>
      <c r="E13" s="34" t="s">
        <v>56</v>
      </c>
      <c r="F13" s="50">
        <v>400</v>
      </c>
      <c r="G13" s="50">
        <v>554</v>
      </c>
      <c r="H13" s="50">
        <v>115656</v>
      </c>
      <c r="I13" s="34" t="s">
        <v>57</v>
      </c>
      <c r="J13" s="50">
        <v>116838</v>
      </c>
      <c r="K13" s="34" t="s">
        <v>52</v>
      </c>
      <c r="L13" s="96" t="str">
        <f>VLOOKUP(C13,'Trips&amp;Operators'!$C$1:$E$9999,3,0)</f>
        <v>MALAVE</v>
      </c>
      <c r="M13" s="140" t="s">
        <v>88</v>
      </c>
      <c r="N13" s="10"/>
      <c r="O13" s="34"/>
      <c r="P13" s="114" t="str">
        <f>VLOOKUP(C13,'Train Runs'!$A$13:$AE$9994,31,0)</f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Q13" s="118" t="str">
        <f>VLOOKUP(C13,'Train Runs'!$A$13:$AE$9994,22,0)</f>
        <v>https://search-rtdc-monitor-bjffxe2xuh6vdkpspy63sjmuny.us-east-1.es.amazonaws.com/_plugin/kibana/#/discover/Steve-Slow-Train-Analysis-(2080s-and-2083s)?_g=(refreshInterval:(display:Off,section:0,value:0),time:(from:'2016-08-20 04:36:23-0600',mode:absolute,to:'2016-08-20 07:23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3" s="121" t="str">
        <f t="shared" si="0"/>
        <v>"C:\Program Files (x86)\AstroGrep\AstroGrep.exe" /spath="%USERPROFILE%\AppData\Local\Temp\OnboardLogs" /stypes="*4018*201608201*" /stext=" 12:.+((SYSTEM_STATE.+slice.+state.+changed )|(ment ac)|(system.+state.+changed )|(\|lc)|(penalty)|(\[timeout)|(PRM\|1\|D)|(kpr)|(kdp))" /e /r /s</v>
      </c>
      <c r="S13" s="9" t="str">
        <f t="shared" si="1"/>
        <v>4018</v>
      </c>
      <c r="T13" s="39">
        <f t="shared" si="2"/>
        <v>42602.505902777775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42602.328333333331</v>
      </c>
      <c r="B14" s="34" t="s">
        <v>303</v>
      </c>
      <c r="C14" s="34" t="s">
        <v>362</v>
      </c>
      <c r="D14" s="34" t="s">
        <v>114</v>
      </c>
      <c r="E14" s="34" t="s">
        <v>56</v>
      </c>
      <c r="F14" s="50">
        <v>400</v>
      </c>
      <c r="G14" s="50">
        <v>456</v>
      </c>
      <c r="H14" s="50">
        <v>119779</v>
      </c>
      <c r="I14" s="34" t="s">
        <v>57</v>
      </c>
      <c r="J14" s="50">
        <v>116838</v>
      </c>
      <c r="K14" s="34" t="s">
        <v>52</v>
      </c>
      <c r="L14" s="96" t="str">
        <f>VLOOKUP(C14,'Trips&amp;Operators'!$C$1:$E$9999,3,0)</f>
        <v>MALAVE</v>
      </c>
      <c r="M14" s="140" t="s">
        <v>88</v>
      </c>
      <c r="N14" s="10"/>
      <c r="O14" s="34"/>
      <c r="P14" s="114" t="str">
        <f>VLOOKUP(C14,'Train Runs'!$A$13:$AE$9994,31,0)</f>
        <v>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 &amp; 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</v>
      </c>
      <c r="Q14" s="118" t="str">
        <f>VLOOKUP(C14,'Train Runs'!$A$13:$AE$9994,22,0)</f>
        <v>https://search-rtdc-monitor-bjffxe2xuh6vdkpspy63sjmuny.us-east-1.es.amazonaws.com/_plugin/kibana/#/discover/Steve-Slow-Train-Analysis-(2080s-and-2083s)?_g=(refreshInterval:(display:Off,section:0,value:0),time:(from:'2016-08-20 06:23:29-0600',mode:absolute,to:'2016-08-20 09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4" s="121" t="str">
        <f t="shared" si="0"/>
        <v>"C:\Program Files (x86)\AstroGrep\AstroGrep.exe" /spath="%USERPROFILE%\AppData\Local\Temp\OnboardLogs" /stypes="*4018*201608201*" /stext=" 13:.+((SYSTEM_STATE.+slice.+state.+changed )|(ment ac)|(system.+state.+changed )|(\|lc)|(penalty)|(\[timeout)|(PRM\|1\|D)|(kpr)|(kdp))" /e /r /s</v>
      </c>
      <c r="S14" s="9" t="str">
        <f t="shared" si="1"/>
        <v>4018</v>
      </c>
      <c r="T14" s="39">
        <f t="shared" si="2"/>
        <v>42602.578333333331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42602.604224537034</v>
      </c>
      <c r="B15" s="34" t="s">
        <v>236</v>
      </c>
      <c r="C15" s="34" t="s">
        <v>512</v>
      </c>
      <c r="D15" s="34" t="s">
        <v>114</v>
      </c>
      <c r="E15" s="34" t="s">
        <v>56</v>
      </c>
      <c r="F15" s="50">
        <v>700</v>
      </c>
      <c r="G15" s="50">
        <v>752</v>
      </c>
      <c r="H15" s="50">
        <v>173637</v>
      </c>
      <c r="I15" s="34" t="s">
        <v>57</v>
      </c>
      <c r="J15" s="50">
        <v>161962</v>
      </c>
      <c r="K15" s="34" t="s">
        <v>52</v>
      </c>
      <c r="L15" s="96" t="str">
        <f>VLOOKUP(C15,'Trips&amp;Operators'!$C$1:$E$9999,3,0)</f>
        <v>MAYBERRY</v>
      </c>
      <c r="M15" s="140" t="s">
        <v>88</v>
      </c>
      <c r="N15" s="10"/>
      <c r="O15" s="34"/>
      <c r="P15" s="114" t="str">
        <f>VLOOKUP(C15,'Train Runs'!$A$13:$AE$9994,31,0)</f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Q15" s="118" t="str">
        <f>VLOOKUP(C15,'Train Runs'!$A$13:$AE$9994,22,0)</f>
        <v>https://search-rtdc-monitor-bjffxe2xuh6vdkpspy63sjmuny.us-east-1.es.amazonaws.com/_plugin/kibana/#/discover/Steve-Slow-Train-Analysis-(2080s-and-2083s)?_g=(refreshInterval:(display:Off,section:0,value:0),time:(from:'2016-08-20 12:51:31-0600',mode:absolute,to:'2016-08-20 15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5" s="121" t="str">
        <f t="shared" si="0"/>
        <v>"C:\Program Files (x86)\AstroGrep\AstroGrep.exe" /spath="%USERPROFILE%\AppData\Local\Temp\OnboardLogs" /stypes="*4044*201608202*" /stext=" 20:.+((SYSTEM_STATE.+slice.+state.+changed )|(ment ac)|(system.+state.+changed )|(\|lc)|(penalty)|(\[timeout)|(PRM\|1\|D)|(kpr)|(kdp))" /e /r /s</v>
      </c>
      <c r="S15" s="9" t="str">
        <f t="shared" si="1"/>
        <v>4044</v>
      </c>
      <c r="T15" s="39">
        <f t="shared" si="2"/>
        <v>42602.854224537034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42602.468333333331</v>
      </c>
      <c r="B16" s="34" t="s">
        <v>159</v>
      </c>
      <c r="C16" s="34" t="s">
        <v>399</v>
      </c>
      <c r="D16" s="34" t="s">
        <v>114</v>
      </c>
      <c r="E16" s="34" t="s">
        <v>56</v>
      </c>
      <c r="F16" s="50">
        <v>550</v>
      </c>
      <c r="G16" s="50">
        <v>602</v>
      </c>
      <c r="H16" s="50">
        <v>222274</v>
      </c>
      <c r="I16" s="34" t="s">
        <v>57</v>
      </c>
      <c r="J16" s="50">
        <v>224578</v>
      </c>
      <c r="K16" s="34" t="s">
        <v>53</v>
      </c>
      <c r="L16" s="96" t="str">
        <f>VLOOKUP(C16,'Trips&amp;Operators'!$C$1:$E$9999,3,0)</f>
        <v>GEBRETEKLE</v>
      </c>
      <c r="M16" s="140" t="s">
        <v>88</v>
      </c>
      <c r="N16" s="10"/>
      <c r="O16" s="34"/>
      <c r="P16" s="114" t="str">
        <f>VLOOKUP(C16,'Train Runs'!$A$13:$AE$9994,31,0)</f>
        <v>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 &amp; aws s3 cp s3://rtdc.mdm.uploadarchive/RTDC4028/2016-08-21/ "%USERPROFILE%\AppData\Local\Temp\OnboardLogs"\RTDC4028\2016-08-21 --recursive &amp; "%USERPROFILE%\Documents\GitHub\mrs-test-scripts\Headless Mode &amp; Sideloading\WalkAndUnGZ.bat" "%USERPROFILE%\AppData\Local\Temp\OnboardLogs"\RTDC4028\2016-08-21</v>
      </c>
      <c r="Q16" s="118" t="str">
        <f>VLOOKUP(C16,'Train Runs'!$A$13:$AE$9994,22,0)</f>
        <v>https://search-rtdc-monitor-bjffxe2xuh6vdkpspy63sjmuny.us-east-1.es.amazonaws.com/_plugin/kibana/#/discover/Steve-Slow-Train-Analysis-(2080s-and-2083s)?_g=(refreshInterval:(display:Off,section:0,value:0),time:(from:'2016-08-20 10:02:36-0600',mode:absolute,to:'2016-08-20 12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6" s="121" t="str">
        <f t="shared" si="0"/>
        <v>"C:\Program Files (x86)\AstroGrep\AstroGrep.exe" /spath="%USERPROFILE%\AppData\Local\Temp\OnboardLogs" /stypes="*4028*201608201*" /stext=" 17:.+((SYSTEM_STATE.+slice.+state.+changed )|(ment ac)|(system.+state.+changed )|(\|lc)|(penalty)|(\[timeout)|(PRM\|1\|D)|(kpr)|(kdp))" /e /r /s</v>
      </c>
      <c r="S16" s="9" t="str">
        <f t="shared" si="1"/>
        <v>4028</v>
      </c>
      <c r="T16" s="39">
        <f t="shared" si="2"/>
        <v>42602.718333333331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42602.468113425923</v>
      </c>
      <c r="B17" s="34" t="s">
        <v>236</v>
      </c>
      <c r="C17" s="34" t="s">
        <v>401</v>
      </c>
      <c r="D17" s="34" t="s">
        <v>49</v>
      </c>
      <c r="E17" s="34" t="s">
        <v>56</v>
      </c>
      <c r="F17" s="50">
        <v>350</v>
      </c>
      <c r="G17" s="50">
        <v>407</v>
      </c>
      <c r="H17" s="50">
        <v>224315</v>
      </c>
      <c r="I17" s="34" t="s">
        <v>57</v>
      </c>
      <c r="J17" s="50">
        <v>224581</v>
      </c>
      <c r="K17" s="34" t="s">
        <v>52</v>
      </c>
      <c r="L17" s="96" t="str">
        <f>VLOOKUP(C17,'Trips&amp;Operators'!$C$1:$E$9999,3,0)</f>
        <v>MAYBERRY</v>
      </c>
      <c r="M17" s="140" t="s">
        <v>88</v>
      </c>
      <c r="N17" s="10"/>
      <c r="O17" s="34"/>
      <c r="P17" s="114" t="str">
        <f>VLOOKUP(C17,'Train Runs'!$A$13:$AE$9994,31,0)</f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Q17" s="118" t="str">
        <f>VLOOKUP(C17,'Train Runs'!$A$13:$AE$9994,22,0)</f>
        <v>https://search-rtdc-monitor-bjffxe2xuh6vdkpspy63sjmuny.us-east-1.es.amazonaws.com/_plugin/kibana/#/discover/Steve-Slow-Train-Analysis-(2080s-and-2083s)?_g=(refreshInterval:(display:Off,section:0,value:0),time:(from:'2016-08-20 09:23:23-0600',mode:absolute,to:'2016-08-20 12:17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7" s="121" t="str">
        <f t="shared" si="0"/>
        <v>"C:\Program Files (x86)\AstroGrep\AstroGrep.exe" /spath="%USERPROFILE%\AppData\Local\Temp\OnboardLogs" /stypes="*4044*201608201*" /stext=" 17:.+((SYSTEM_STATE.+slice.+state.+changed )|(ment ac)|(system.+state.+changed )|(\|lc)|(penalty)|(\[timeout)|(PRM\|1\|D)|(kpr)|(kdp))" /e /r /s</v>
      </c>
      <c r="S17" s="9" t="str">
        <f t="shared" si="1"/>
        <v>4044</v>
      </c>
      <c r="T17" s="39">
        <f t="shared" si="2"/>
        <v>42602.718113425923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42602.691736111112</v>
      </c>
      <c r="B18" s="34" t="s">
        <v>199</v>
      </c>
      <c r="C18" s="34" t="s">
        <v>553</v>
      </c>
      <c r="D18" s="34" t="s">
        <v>49</v>
      </c>
      <c r="E18" s="34" t="s">
        <v>56</v>
      </c>
      <c r="F18" s="50">
        <v>150</v>
      </c>
      <c r="G18" s="50">
        <v>311</v>
      </c>
      <c r="H18" s="50">
        <v>229317</v>
      </c>
      <c r="I18" s="34" t="s">
        <v>57</v>
      </c>
      <c r="J18" s="50">
        <v>230436</v>
      </c>
      <c r="K18" s="34" t="s">
        <v>52</v>
      </c>
      <c r="L18" s="96" t="str">
        <f>VLOOKUP(C18,'Trips&amp;Operators'!$C$1:$E$9999,3,0)</f>
        <v>WEBSTER</v>
      </c>
      <c r="M18" s="140" t="s">
        <v>88</v>
      </c>
      <c r="N18" s="10"/>
      <c r="O18" s="34"/>
      <c r="P18" s="114" t="str">
        <f>VLOOKUP(C18,'Train Runs'!$A$13:$AE$9994,31,0)</f>
        <v>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 &amp; 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</v>
      </c>
      <c r="Q18" s="118" t="str">
        <f>VLOOKUP(C18,'Train Runs'!$A$13:$AE$9994,22,0)</f>
        <v>https://search-rtdc-monitor-bjffxe2xuh6vdkpspy63sjmuny.us-east-1.es.amazonaws.com/_plugin/kibana/#/discover/Steve-Slow-Train-Analysis-(2080s-and-2083s)?_g=(refreshInterval:(display:Off,section:0,value:0),time:(from:'2016-08-20 14:54:50-0600',mode:absolute,to:'2016-08-20 17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8" s="121" t="str">
        <f t="shared" si="0"/>
        <v>"C:\Program Files (x86)\AstroGrep\AstroGrep.exe" /spath="%USERPROFILE%\AppData\Local\Temp\OnboardLogs" /stypes="*4009*201608202*" /stext=" 22:.+((SYSTEM_STATE.+slice.+state.+changed )|(ment ac)|(system.+state.+changed )|(\|lc)|(penalty)|(\[timeout)|(PRM\|1\|D)|(kpr)|(kdp))" /e /r /s</v>
      </c>
      <c r="S18" s="9" t="str">
        <f t="shared" si="1"/>
        <v>4009</v>
      </c>
      <c r="T18" s="39">
        <f t="shared" si="2"/>
        <v>42602.941736111112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42602.444421296299</v>
      </c>
      <c r="B19" s="34" t="s">
        <v>236</v>
      </c>
      <c r="C19" s="34" t="s">
        <v>401</v>
      </c>
      <c r="D19" s="34" t="s">
        <v>114</v>
      </c>
      <c r="E19" s="34" t="s">
        <v>54</v>
      </c>
      <c r="F19" s="50">
        <v>200</v>
      </c>
      <c r="G19" s="50">
        <v>262</v>
      </c>
      <c r="H19" s="50">
        <v>20525</v>
      </c>
      <c r="I19" s="34" t="s">
        <v>55</v>
      </c>
      <c r="J19" s="50">
        <v>10800</v>
      </c>
      <c r="K19" s="34" t="s">
        <v>52</v>
      </c>
      <c r="L19" s="96" t="str">
        <f>VLOOKUP(C19,'Trips&amp;Operators'!$C$1:$E$9999,3,0)</f>
        <v>MAYBERRY</v>
      </c>
      <c r="M19" s="140" t="s">
        <v>87</v>
      </c>
      <c r="N19" s="10" t="s">
        <v>207</v>
      </c>
      <c r="O19" s="34"/>
      <c r="P19" s="114" t="str">
        <f>VLOOKUP(C19,'Train Runs'!$A$13:$AE$9994,31,0)</f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Q19" s="118" t="str">
        <f>VLOOKUP(C19,'Train Runs'!$A$13:$AE$9994,22,0)</f>
        <v>https://search-rtdc-monitor-bjffxe2xuh6vdkpspy63sjmuny.us-east-1.es.amazonaws.com/_plugin/kibana/#/discover/Steve-Slow-Train-Analysis-(2080s-and-2083s)?_g=(refreshInterval:(display:Off,section:0,value:0),time:(from:'2016-08-20 09:23:23-0600',mode:absolute,to:'2016-08-20 12:17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9" s="121" t="str">
        <f t="shared" si="0"/>
        <v>"C:\Program Files (x86)\AstroGrep\AstroGrep.exe" /spath="%USERPROFILE%\AppData\Local\Temp\OnboardLogs" /stypes="*4044*201608201*" /stext=" 16:.+((SYSTEM_STATE.+slice.+state.+changed )|(ment ac)|(system.+state.+changed )|(\|lc)|(penalty)|(\[timeout)|(PRM\|1\|D)|(kpr)|(kdp))" /e /r /s</v>
      </c>
      <c r="S19" s="9" t="str">
        <f t="shared" si="1"/>
        <v>4044</v>
      </c>
      <c r="T19" s="39">
        <f t="shared" si="2"/>
        <v>42602.694421296299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42602.74082175926</v>
      </c>
      <c r="B20" s="34" t="s">
        <v>236</v>
      </c>
      <c r="C20" s="34" t="s">
        <v>571</v>
      </c>
      <c r="D20" s="34" t="s">
        <v>49</v>
      </c>
      <c r="E20" s="34" t="s">
        <v>54</v>
      </c>
      <c r="F20" s="50">
        <v>0</v>
      </c>
      <c r="G20" s="50">
        <v>551</v>
      </c>
      <c r="H20" s="50">
        <v>78712</v>
      </c>
      <c r="I20" s="34" t="s">
        <v>55</v>
      </c>
      <c r="J20" s="50">
        <v>81738</v>
      </c>
      <c r="K20" s="34" t="s">
        <v>52</v>
      </c>
      <c r="L20" s="96" t="str">
        <f>VLOOKUP(C20,'Trips&amp;Operators'!$C$1:$E$9999,3,0)</f>
        <v>MAYBERRY</v>
      </c>
      <c r="M20" s="140" t="s">
        <v>87</v>
      </c>
      <c r="N20" s="10" t="s">
        <v>649</v>
      </c>
      <c r="O20" s="34"/>
      <c r="P20" s="114" t="str">
        <f>VLOOKUP(C20,'Train Runs'!$A$13:$AE$9994,31,0)</f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Q20" s="118" t="str">
        <f>VLOOKUP(C20,'Train Runs'!$A$13:$AE$9994,22,0)</f>
        <v>https://search-rtdc-monitor-bjffxe2xuh6vdkpspy63sjmuny.us-east-1.es.amazonaws.com/_plugin/kibana/#/discover/Steve-Slow-Train-Analysis-(2080s-and-2083s)?_g=(refreshInterval:(display:Off,section:0,value:0),time:(from:'2016-08-20 16:23:52-0600',mode:absolute,to:'2016-08-20 19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20" s="121" t="str">
        <f t="shared" si="0"/>
        <v>"C:\Program Files (x86)\AstroGrep\AstroGrep.exe" /spath="%USERPROFILE%\AppData\Local\Temp\OnboardLogs" /stypes="*4044*201608202*" /stext=" 23:.+((SYSTEM_STATE.+slice.+state.+changed )|(ment ac)|(system.+state.+changed )|(\|lc)|(penalty)|(\[timeout)|(PRM\|1\|D)|(kpr)|(kdp))" /e /r /s</v>
      </c>
      <c r="S20" s="9" t="str">
        <f t="shared" si="1"/>
        <v>4044</v>
      </c>
      <c r="T20" s="39">
        <f t="shared" si="2"/>
        <v>42602.99082175926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42602.354907407411</v>
      </c>
      <c r="B21" s="34" t="s">
        <v>302</v>
      </c>
      <c r="C21" s="34" t="s">
        <v>363</v>
      </c>
      <c r="D21" s="34" t="s">
        <v>49</v>
      </c>
      <c r="E21" s="34" t="s">
        <v>54</v>
      </c>
      <c r="F21" s="50">
        <v>0</v>
      </c>
      <c r="G21" s="50">
        <v>552</v>
      </c>
      <c r="H21" s="50">
        <v>194936</v>
      </c>
      <c r="I21" s="34" t="s">
        <v>55</v>
      </c>
      <c r="J21" s="50">
        <v>191723</v>
      </c>
      <c r="K21" s="34" t="s">
        <v>53</v>
      </c>
      <c r="L21" s="96" t="str">
        <f>VLOOKUP(C21,'Trips&amp;Operators'!$C$1:$E$9999,3,0)</f>
        <v>MALAVE</v>
      </c>
      <c r="M21" s="140" t="s">
        <v>88</v>
      </c>
      <c r="N21" s="10" t="s">
        <v>313</v>
      </c>
      <c r="O21" s="34"/>
      <c r="P21" s="114" t="str">
        <f>VLOOKUP(C21,'Train Runs'!$A$13:$AE$9994,31,0)</f>
        <v>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 &amp; 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</v>
      </c>
      <c r="Q21" s="118" t="str">
        <f>VLOOKUP(C21,'Train Runs'!$A$13:$AE$9994,22,0)</f>
        <v>https://search-rtdc-monitor-bjffxe2xuh6vdkpspy63sjmuny.us-east-1.es.amazonaws.com/_plugin/kibana/#/discover/Steve-Slow-Train-Analysis-(2080s-and-2083s)?_g=(refreshInterval:(display:Off,section:0,value:0),time:(from:'2016-08-20 07:24:08-0600',mode:absolute,to:'2016-08-20 10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1" s="121" t="str">
        <f t="shared" si="0"/>
        <v>"C:\Program Files (x86)\AstroGrep\AstroGrep.exe" /spath="%USERPROFILE%\AppData\Local\Temp\OnboardLogs" /stypes="*4017*201608201*" /stext=" 14:.+((SYSTEM_STATE.+slice.+state.+changed )|(ment ac)|(system.+state.+changed )|(\|lc)|(penalty)|(\[timeout)|(PRM\|1\|D)|(kpr)|(kdp))" /e /r /s</v>
      </c>
      <c r="S21" s="9" t="str">
        <f t="shared" si="1"/>
        <v>4017</v>
      </c>
      <c r="T21" s="39">
        <f t="shared" si="2"/>
        <v>42602.604907407411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42602.553657407407</v>
      </c>
      <c r="B22" s="34" t="s">
        <v>196</v>
      </c>
      <c r="C22" s="34" t="s">
        <v>422</v>
      </c>
      <c r="D22" s="34" t="s">
        <v>49</v>
      </c>
      <c r="E22" s="34" t="s">
        <v>54</v>
      </c>
      <c r="F22" s="50">
        <v>0</v>
      </c>
      <c r="G22" s="50">
        <v>520</v>
      </c>
      <c r="H22" s="50">
        <v>194786</v>
      </c>
      <c r="I22" s="34" t="s">
        <v>55</v>
      </c>
      <c r="J22" s="50">
        <v>191723</v>
      </c>
      <c r="K22" s="34" t="s">
        <v>53</v>
      </c>
      <c r="L22" s="96" t="str">
        <f>VLOOKUP(C22,'Trips&amp;Operators'!$C$1:$E$9999,3,0)</f>
        <v>MAYBERRY</v>
      </c>
      <c r="M22" s="140" t="s">
        <v>88</v>
      </c>
      <c r="N22" s="10" t="s">
        <v>313</v>
      </c>
      <c r="O22" s="34"/>
      <c r="P22" s="114" t="str">
        <f>VLOOKUP(C22,'Train Runs'!$A$13:$AE$9994,31,0)</f>
        <v>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 &amp; 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</v>
      </c>
      <c r="Q22" s="118" t="str">
        <f>VLOOKUP(C22,'Train Runs'!$A$13:$AE$9994,22,0)</f>
        <v>https://search-rtdc-monitor-bjffxe2xuh6vdkpspy63sjmuny.us-east-1.es.amazonaws.com/_plugin/kibana/#/discover/Steve-Slow-Train-Analysis-(2080s-and-2083s)?_g=(refreshInterval:(display:Off,section:0,value:0),time:(from:'2016-08-20 12:08:07-0600',mode:absolute,to:'2016-08-20 14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2" s="121" t="str">
        <f t="shared" si="0"/>
        <v>"C:\Program Files (x86)\AstroGrep\AstroGrep.exe" /spath="%USERPROFILE%\AppData\Local\Temp\OnboardLogs" /stypes="*4043*201608201*" /stext=" 19:.+((SYSTEM_STATE.+slice.+state.+changed )|(ment ac)|(system.+state.+changed )|(\|lc)|(penalty)|(\[timeout)|(PRM\|1\|D)|(kpr)|(kdp))" /e /r /s</v>
      </c>
      <c r="S22" s="9" t="str">
        <f t="shared" si="1"/>
        <v>4043</v>
      </c>
      <c r="T22" s="39">
        <f t="shared" si="2"/>
        <v>42602.803657407407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42602.243935185186</v>
      </c>
      <c r="B23" s="34" t="s">
        <v>152</v>
      </c>
      <c r="C23" s="34" t="s">
        <v>325</v>
      </c>
      <c r="D23" s="34" t="s">
        <v>49</v>
      </c>
      <c r="E23" s="34" t="s">
        <v>50</v>
      </c>
      <c r="F23" s="50">
        <v>0</v>
      </c>
      <c r="G23" s="50">
        <v>39</v>
      </c>
      <c r="H23" s="50">
        <v>139</v>
      </c>
      <c r="I23" s="34" t="s">
        <v>51</v>
      </c>
      <c r="J23" s="50">
        <v>1</v>
      </c>
      <c r="K23" s="34" t="s">
        <v>53</v>
      </c>
      <c r="L23" s="96" t="str">
        <f>VLOOKUP(C23,'Trips&amp;Operators'!$C$1:$E$9999,3,0)</f>
        <v>ACKERMAN</v>
      </c>
      <c r="M23" s="140" t="s">
        <v>88</v>
      </c>
      <c r="N23" s="10"/>
      <c r="O23" s="34"/>
      <c r="P23" s="114" t="str">
        <f>VLOOKUP(C23,'Train Runs'!$A$13:$AE$9994,31,0)</f>
        <v>aws s3 cp s3://rtdc.mdm.uploadarchive/RTDC4037/2016-08-20/ "%USERPROFILE%\AppData\Local\Temp\OnboardLogs"\RTDC4037\2016-08-20 --recursive &amp; "%USERPROFILE%\Documents\GitHub\mrs-test-scripts\Headless Mode &amp; Sideloading\WalkAndUnGZ.bat" "%USERPROFILE%\AppData\Local\Temp\OnboardLogs"\RTDC4037\2016-08-20 &amp; 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</v>
      </c>
      <c r="Q23" s="118" t="str">
        <f>VLOOKUP(C23,'Train Runs'!$A$13:$AE$9994,22,0)</f>
        <v>https://search-rtdc-monitor-bjffxe2xuh6vdkpspy63sjmuny.us-east-1.es.amazonaws.com/_plugin/kibana/#/discover/Steve-Slow-Train-Analysis-(2080s-and-2083s)?_g=(refreshInterval:(display:Off,section:0,value:0),time:(from:'2016-08-20 04:07:48-0600',mode:absolute,to:'2016-08-20 06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21" t="str">
        <f t="shared" si="0"/>
        <v>"C:\Program Files (x86)\AstroGrep\AstroGrep.exe" /spath="%USERPROFILE%\AppData\Local\Temp\OnboardLogs" /stypes="*4037*201608201*" /stext=" 11:.+((SYSTEM_STATE.+slice.+state.+changed )|(ment ac)|(system.+state.+changed )|(\|lc)|(penalty)|(\[timeout)|(PRM\|1\|D)|(kpr)|(kdp))" /e /r /s</v>
      </c>
      <c r="S23" s="9" t="str">
        <f t="shared" si="1"/>
        <v>4037</v>
      </c>
      <c r="T23" s="39">
        <f t="shared" si="2"/>
        <v>42602.493935185186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42602.838055555556</v>
      </c>
      <c r="B24" s="34" t="s">
        <v>185</v>
      </c>
      <c r="C24" s="34" t="s">
        <v>583</v>
      </c>
      <c r="D24" s="34" t="s">
        <v>49</v>
      </c>
      <c r="E24" s="34" t="s">
        <v>50</v>
      </c>
      <c r="F24" s="50">
        <v>0</v>
      </c>
      <c r="G24" s="50">
        <v>78</v>
      </c>
      <c r="H24" s="50">
        <v>267</v>
      </c>
      <c r="I24" s="34" t="s">
        <v>51</v>
      </c>
      <c r="J24" s="50">
        <v>1</v>
      </c>
      <c r="K24" s="34" t="s">
        <v>53</v>
      </c>
      <c r="L24" s="96" t="str">
        <f>VLOOKUP(C24,'Trips&amp;Operators'!$C$1:$E$9999,3,0)</f>
        <v>STAMBAUGH</v>
      </c>
      <c r="M24" s="140" t="s">
        <v>88</v>
      </c>
      <c r="N24" s="10"/>
      <c r="O24" s="34"/>
      <c r="P24" s="114" t="str">
        <f>VLOOKUP(C24,'Train Runs'!$A$13:$AE$9994,31,0)</f>
        <v>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 &amp; aws s3 cp s3://rtdc.mdm.uploadarchive/RTDC4008/2016-08-21/ "%USERPROFILE%\AppData\Local\Temp\OnboardLogs"\RTDC4008\2016-08-21 --recursive &amp; "%USERPROFILE%\Documents\GitHub\mrs-test-scripts\Headless Mode &amp; Sideloading\WalkAndUnGZ.bat" "%USERPROFILE%\AppData\Local\Temp\OnboardLogs"\RTDC4008\2016-08-21</v>
      </c>
      <c r="Q24" s="118" t="str">
        <f>VLOOKUP(C24,'Train Runs'!$A$13:$AE$9994,22,0)</f>
        <v>https://search-rtdc-monitor-bjffxe2xuh6vdkpspy63sjmuny.us-east-1.es.amazonaws.com/_plugin/kibana/#/discover/Steve-Slow-Train-Analysis-(2080s-and-2083s)?_g=(refreshInterval:(display:Off,section:0,value:0),time:(from:'2016-08-20 18:23:05-0600',mode:absolute,to:'2016-08-20 21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4" s="121" t="str">
        <f t="shared" si="0"/>
        <v>"C:\Program Files (x86)\AstroGrep\AstroGrep.exe" /spath="%USERPROFILE%\AppData\Local\Temp\OnboardLogs" /stypes="*4008*201608210*" /stext=" 02:.+((SYSTEM_STATE.+slice.+state.+changed )|(ment ac)|(system.+state.+changed )|(\|lc)|(penalty)|(\[timeout)|(PRM\|1\|D)|(kpr)|(kdp))" /e /r /s</v>
      </c>
      <c r="S24" s="9" t="str">
        <f t="shared" si="1"/>
        <v>4008</v>
      </c>
      <c r="T24" s="39">
        <f t="shared" si="2"/>
        <v>42603.088055555556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42602.504895833335</v>
      </c>
      <c r="B25" s="34" t="s">
        <v>233</v>
      </c>
      <c r="C25" s="34" t="s">
        <v>410</v>
      </c>
      <c r="D25" s="34" t="s">
        <v>49</v>
      </c>
      <c r="E25" s="34" t="s">
        <v>50</v>
      </c>
      <c r="F25" s="50">
        <v>0</v>
      </c>
      <c r="G25" s="50">
        <v>100</v>
      </c>
      <c r="H25" s="50">
        <v>233091</v>
      </c>
      <c r="I25" s="34" t="s">
        <v>51</v>
      </c>
      <c r="J25" s="50">
        <v>233491</v>
      </c>
      <c r="K25" s="34" t="s">
        <v>52</v>
      </c>
      <c r="L25" s="96" t="str">
        <f>VLOOKUP(C25,'Trips&amp;Operators'!$C$1:$E$9999,3,0)</f>
        <v>MOSES</v>
      </c>
      <c r="M25" s="140" t="s">
        <v>88</v>
      </c>
      <c r="N25" s="10"/>
      <c r="O25" s="34"/>
      <c r="P25" s="114" t="str">
        <f>VLOOKUP(C25,'Train Runs'!$A$13:$AE$9994,31,0)</f>
        <v>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 &amp; 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</v>
      </c>
      <c r="Q25" s="118" t="str">
        <f>VLOOKUP(C25,'Train Runs'!$A$13:$AE$9994,22,0)</f>
        <v>https://search-rtdc-monitor-bjffxe2xuh6vdkpspy63sjmuny.us-east-1.es.amazonaws.com/_plugin/kibana/#/discover/Steve-Slow-Train-Analysis-(2080s-and-2083s)?_g=(refreshInterval:(display:Off,section:0,value:0),time:(from:'2016-08-20 10:27:29-0600',mode:absolute,to:'2016-08-20 13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25" s="121" t="str">
        <f t="shared" si="0"/>
        <v>"C:\Program Files (x86)\AstroGrep\AstroGrep.exe" /spath="%USERPROFILE%\AppData\Local\Temp\OnboardLogs" /stypes="*4007*201608201*" /stext=" 18:.+((SYSTEM_STATE.+slice.+state.+changed )|(ment ac)|(system.+state.+changed )|(\|lc)|(penalty)|(\[timeout)|(PRM\|1\|D)|(kpr)|(kdp))" /e /r /s</v>
      </c>
      <c r="S25" s="9" t="str">
        <f t="shared" si="1"/>
        <v>4007</v>
      </c>
      <c r="T25" s="39">
        <f t="shared" si="2"/>
        <v>42602.754895833335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42602.567523148151</v>
      </c>
      <c r="B26" s="34" t="s">
        <v>117</v>
      </c>
      <c r="C26" s="34" t="s">
        <v>428</v>
      </c>
      <c r="D26" s="34" t="s">
        <v>49</v>
      </c>
      <c r="E26" s="34" t="s">
        <v>50</v>
      </c>
      <c r="F26" s="50">
        <v>0</v>
      </c>
      <c r="G26" s="50">
        <v>64</v>
      </c>
      <c r="H26" s="50">
        <v>233266</v>
      </c>
      <c r="I26" s="34" t="s">
        <v>51</v>
      </c>
      <c r="J26" s="50">
        <v>233491</v>
      </c>
      <c r="K26" s="34" t="s">
        <v>52</v>
      </c>
      <c r="L26" s="96" t="str">
        <f>VLOOKUP(C26,'Trips&amp;Operators'!$C$1:$E$9999,3,0)</f>
        <v>BARTLETT</v>
      </c>
      <c r="M26" s="140" t="s">
        <v>88</v>
      </c>
      <c r="N26" s="10"/>
      <c r="O26" s="34"/>
      <c r="P26" s="114" t="str">
        <f>VLOOKUP(C26,'Train Runs'!$A$13:$AE$9994,31,0)</f>
        <v>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 &amp; aws s3 cp s3://rtdc.mdm.uploadarchive/RTDC4031/2016-08-21/ "%USERPROFILE%\AppData\Local\Temp\OnboardLogs"\RTDC4031\2016-08-21 --recursive &amp; "%USERPROFILE%\Documents\GitHub\mrs-test-scripts\Headless Mode &amp; Sideloading\WalkAndUnGZ.bat" "%USERPROFILE%\AppData\Local\Temp\OnboardLogs"\RTDC4031\2016-08-21</v>
      </c>
      <c r="Q26" s="118" t="str">
        <f>VLOOKUP(C26,'Train Runs'!$A$13:$AE$9994,22,0)</f>
        <v>https://search-rtdc-monitor-bjffxe2xuh6vdkpspy63sjmuny.us-east-1.es.amazonaws.com/_plugin/kibana/#/discover/Steve-Slow-Train-Analysis-(2080s-and-2083s)?_g=(refreshInterval:(display:Off,section:0,value:0),time:(from:'2016-08-20 11:53:33-0600',mode:absolute,to:'2016-08-20 14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6" s="121" t="str">
        <f t="shared" si="0"/>
        <v>"C:\Program Files (x86)\AstroGrep\AstroGrep.exe" /spath="%USERPROFILE%\AppData\Local\Temp\OnboardLogs" /stypes="*4031*201608201*" /stext=" 19:.+((SYSTEM_STATE.+slice.+state.+changed )|(ment ac)|(system.+state.+changed )|(\|lc)|(penalty)|(\[timeout)|(PRM\|1\|D)|(kpr)|(kdp))" /e /r /s</v>
      </c>
      <c r="S26" s="9" t="str">
        <f t="shared" si="1"/>
        <v>4031</v>
      </c>
      <c r="T26" s="39">
        <f t="shared" si="2"/>
        <v>42602.817523148151</v>
      </c>
      <c r="U26" s="53" t="str">
        <f t="shared" si="3"/>
        <v>EC</v>
      </c>
      <c r="V26" s="53" t="str">
        <f t="shared" si="4"/>
        <v>KEEP</v>
      </c>
      <c r="W26" s="24"/>
    </row>
    <row r="27" spans="1:24" x14ac:dyDescent="0.25">
      <c r="A27" s="39">
        <v>42602.681307870371</v>
      </c>
      <c r="B27" s="34" t="s">
        <v>236</v>
      </c>
      <c r="C27" s="34" t="s">
        <v>550</v>
      </c>
      <c r="D27" s="34" t="s">
        <v>49</v>
      </c>
      <c r="E27" s="34" t="s">
        <v>50</v>
      </c>
      <c r="F27" s="50">
        <v>0</v>
      </c>
      <c r="G27" s="50">
        <v>54</v>
      </c>
      <c r="H27" s="50">
        <v>233282</v>
      </c>
      <c r="I27" s="34" t="s">
        <v>51</v>
      </c>
      <c r="J27" s="50">
        <v>233491</v>
      </c>
      <c r="K27" s="34" t="s">
        <v>52</v>
      </c>
      <c r="L27" s="96" t="str">
        <f>VLOOKUP(C27,'Trips&amp;Operators'!$C$1:$E$9999,3,0)</f>
        <v>MAYBERRY</v>
      </c>
      <c r="M27" s="140" t="s">
        <v>88</v>
      </c>
      <c r="N27" s="10"/>
      <c r="O27" s="34"/>
      <c r="P27" s="114" t="str">
        <f>VLOOKUP(C27,'Train Runs'!$A$13:$AE$9994,31,0)</f>
        <v>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 &amp; 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</v>
      </c>
      <c r="Q27" s="118" t="str">
        <f>VLOOKUP(C27,'Train Runs'!$A$13:$AE$9994,22,0)</f>
        <v>https://search-rtdc-monitor-bjffxe2xuh6vdkpspy63sjmuny.us-east-1.es.amazonaws.com/_plugin/kibana/#/discover/Steve-Slow-Train-Analysis-(2080s-and-2083s)?_g=(refreshInterval:(display:Off,section:0,value:0),time:(from:'2016-08-20 14:37:10-0600',mode:absolute,to:'2016-08-20 17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27" s="121" t="str">
        <f t="shared" si="0"/>
        <v>"C:\Program Files (x86)\AstroGrep\AstroGrep.exe" /spath="%USERPROFILE%\AppData\Local\Temp\OnboardLogs" /stypes="*4044*201608202*" /stext=" 22:.+((SYSTEM_STATE.+slice.+state.+changed )|(ment ac)|(system.+state.+changed )|(\|lc)|(penalty)|(\[timeout)|(PRM\|1\|D)|(kpr)|(kdp))" /e /r /s</v>
      </c>
      <c r="S27" s="9" t="str">
        <f t="shared" si="1"/>
        <v>4044</v>
      </c>
      <c r="T27" s="39">
        <f t="shared" si="2"/>
        <v>42602.931307870371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42602.768576388888</v>
      </c>
      <c r="B28" s="34" t="s">
        <v>232</v>
      </c>
      <c r="C28" s="34" t="s">
        <v>498</v>
      </c>
      <c r="D28" s="34" t="s">
        <v>114</v>
      </c>
      <c r="E28" s="34" t="s">
        <v>56</v>
      </c>
      <c r="F28" s="50">
        <v>500</v>
      </c>
      <c r="G28" s="50">
        <v>552</v>
      </c>
      <c r="H28" s="50">
        <v>16206</v>
      </c>
      <c r="I28" s="34" t="s">
        <v>57</v>
      </c>
      <c r="J28" s="50">
        <v>14402</v>
      </c>
      <c r="K28" s="34" t="s">
        <v>52</v>
      </c>
      <c r="L28" s="96" t="str">
        <f>VLOOKUP(C28,'Trips&amp;Operators'!$C$1:$E$9999,3,0)</f>
        <v>SANTIZO</v>
      </c>
      <c r="M28" s="140" t="s">
        <v>88</v>
      </c>
      <c r="N28" s="10"/>
      <c r="O28" s="34"/>
      <c r="P28" s="114" t="str">
        <f>VLOOKUP(C28,'Train Runs'!$A$13:$AE$9994,31,0)</f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Q28" s="118" t="str">
        <f>VLOOKUP(C28,'Train Runs'!$A$13:$AE$9994,22,0)</f>
        <v>https://search-rtdc-monitor-bjffxe2xuh6vdkpspy63sjmuny.us-east-1.es.amazonaws.com/_plugin/kibana/#/discover/Steve-Slow-Train-Analysis-(2080s-and-2083s)?_g=(refreshInterval:(display:Off,section:0,value:0),time:(from:'2016-08-20 16:57:19-0600',mode:absolute,to:'2016-08-20 19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8" s="121" t="str">
        <f t="shared" si="0"/>
        <v>"C:\Program Files (x86)\AstroGrep\AstroGrep.exe" /spath="%USERPROFILE%\AppData\Local\Temp\OnboardLogs" /stypes="*4025*201608210*" /stext=" 00:.+((SYSTEM_STATE.+slice.+state.+changed )|(ment ac)|(system.+state.+changed )|(\|lc)|(penalty)|(\[timeout)|(PRM\|1\|D)|(kpr)|(kdp))" /e /r /s</v>
      </c>
      <c r="S28" s="9" t="str">
        <f t="shared" si="1"/>
        <v>4025</v>
      </c>
      <c r="T28" s="39">
        <f t="shared" si="2"/>
        <v>42603.018576388888</v>
      </c>
      <c r="U28" s="53" t="str">
        <f t="shared" si="3"/>
        <v>NW</v>
      </c>
      <c r="V28" s="53" t="str">
        <f t="shared" si="4"/>
        <v>KEEP</v>
      </c>
      <c r="W28" s="24"/>
    </row>
    <row r="29" spans="1:24" x14ac:dyDescent="0.25">
      <c r="A29" s="39">
        <v>42602.281608796293</v>
      </c>
      <c r="B29" s="34" t="s">
        <v>230</v>
      </c>
      <c r="C29" s="34" t="s">
        <v>442</v>
      </c>
      <c r="D29" s="34" t="s">
        <v>49</v>
      </c>
      <c r="E29" s="34" t="s">
        <v>56</v>
      </c>
      <c r="F29" s="50">
        <v>400</v>
      </c>
      <c r="G29" s="50">
        <v>454</v>
      </c>
      <c r="H29" s="50">
        <v>44824</v>
      </c>
      <c r="I29" s="34" t="s">
        <v>57</v>
      </c>
      <c r="J29" s="50">
        <v>43595</v>
      </c>
      <c r="K29" s="34" t="s">
        <v>53</v>
      </c>
      <c r="L29" s="96" t="str">
        <f>VLOOKUP(C29,'Trips&amp;Operators'!$C$1:$E$9999,3,0)</f>
        <v>YORK</v>
      </c>
      <c r="M29" s="140" t="s">
        <v>88</v>
      </c>
      <c r="N29" s="10"/>
      <c r="O29" s="34"/>
      <c r="P29" s="114" t="str">
        <f>VLOOKUP(C29,'Train Runs'!$A$13:$AE$9994,31,0)</f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Q29" s="118" t="str">
        <f>VLOOKUP(C29,'Train Runs'!$A$13:$AE$9994,22,0)</f>
        <v>https://search-rtdc-monitor-bjffxe2xuh6vdkpspy63sjmuny.us-east-1.es.amazonaws.com/_plugin/kibana/#/discover/Steve-Slow-Train-Analysis-(2080s-and-2083s)?_g=(refreshInterval:(display:Off,section:0,value:0),time:(from:'2016-08-20 05:35:55-0600',mode:absolute,to:'2016-08-20 07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9" s="121" t="str">
        <f t="shared" si="0"/>
        <v>"C:\Program Files (x86)\AstroGrep\AstroGrep.exe" /spath="%USERPROFILE%\AppData\Local\Temp\OnboardLogs" /stypes="*4026*201608201*" /stext=" 12:.+((SYSTEM_STATE.+slice.+state.+changed )|(ment ac)|(system.+state.+changed )|(\|lc)|(penalty)|(\[timeout)|(PRM\|1\|D)|(kpr)|(kdp))" /e /r /s</v>
      </c>
      <c r="S29" s="9" t="str">
        <f t="shared" si="1"/>
        <v>4026</v>
      </c>
      <c r="T29" s="39">
        <f t="shared" si="2"/>
        <v>42602.531608796293</v>
      </c>
      <c r="U29" s="53" t="str">
        <f t="shared" si="3"/>
        <v>NW</v>
      </c>
      <c r="V29" s="53" t="str">
        <f t="shared" si="4"/>
        <v>KEEP</v>
      </c>
      <c r="W29" s="24"/>
      <c r="X29" s="24"/>
    </row>
    <row r="30" spans="1:24" x14ac:dyDescent="0.25">
      <c r="A30" s="39">
        <v>42602.655312499999</v>
      </c>
      <c r="B30" s="34" t="s">
        <v>230</v>
      </c>
      <c r="C30" s="34" t="s">
        <v>485</v>
      </c>
      <c r="D30" s="34" t="s">
        <v>114</v>
      </c>
      <c r="E30" s="34" t="s">
        <v>56</v>
      </c>
      <c r="F30" s="50">
        <v>150</v>
      </c>
      <c r="G30" s="50">
        <v>201</v>
      </c>
      <c r="H30" s="50">
        <v>56927</v>
      </c>
      <c r="I30" s="34" t="s">
        <v>57</v>
      </c>
      <c r="J30" s="50">
        <v>59050</v>
      </c>
      <c r="K30" s="34" t="s">
        <v>53</v>
      </c>
      <c r="L30" s="96" t="str">
        <f>VLOOKUP(C30,'Trips&amp;Operators'!$C$1:$E$9999,3,0)</f>
        <v>SANTIZO</v>
      </c>
      <c r="M30" s="140" t="s">
        <v>88</v>
      </c>
      <c r="N30" s="10"/>
      <c r="O30" s="34"/>
      <c r="P30" s="114" t="str">
        <f>VLOOKUP(C30,'Train Runs'!$A$13:$AE$9994,31,0)</f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Q30" s="118" t="str">
        <f>VLOOKUP(C30,'Train Runs'!$A$13:$AE$9994,22,0)</f>
        <v>https://search-rtdc-monitor-bjffxe2xuh6vdkpspy63sjmuny.us-east-1.es.amazonaws.com/_plugin/kibana/#/discover/Steve-Slow-Train-Analysis-(2080s-and-2083s)?_g=(refreshInterval:(display:Off,section:0,value:0),time:(from:'2016-08-20 14:37:22-0600',mode:absolute,to:'2016-08-20 16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0" s="121" t="str">
        <f t="shared" si="0"/>
        <v>"C:\Program Files (x86)\AstroGrep\AstroGrep.exe" /spath="%USERPROFILE%\AppData\Local\Temp\OnboardLogs" /stypes="*4026*201608202*" /stext=" 21:.+((SYSTEM_STATE.+slice.+state.+changed )|(ment ac)|(system.+state.+changed )|(\|lc)|(penalty)|(\[timeout)|(PRM\|1\|D)|(kpr)|(kdp))" /e /r /s</v>
      </c>
      <c r="S30" s="9" t="str">
        <f t="shared" si="1"/>
        <v>4026</v>
      </c>
      <c r="T30" s="39">
        <f t="shared" si="2"/>
        <v>42602.905312499999</v>
      </c>
      <c r="U30" s="53" t="str">
        <f t="shared" si="3"/>
        <v>NW</v>
      </c>
      <c r="V30" s="53" t="str">
        <f t="shared" si="4"/>
        <v>KEEP</v>
      </c>
      <c r="W30" s="24"/>
      <c r="X30" s="24"/>
    </row>
    <row r="31" spans="1:24" x14ac:dyDescent="0.25">
      <c r="A31" s="39">
        <v>42602.769907407404</v>
      </c>
      <c r="B31" s="34" t="s">
        <v>232</v>
      </c>
      <c r="C31" s="34" t="s">
        <v>498</v>
      </c>
      <c r="D31" s="34" t="s">
        <v>49</v>
      </c>
      <c r="E31" s="34" t="s">
        <v>633</v>
      </c>
      <c r="F31" s="50">
        <v>0</v>
      </c>
      <c r="G31" s="50">
        <v>282</v>
      </c>
      <c r="H31" s="50">
        <v>22015</v>
      </c>
      <c r="I31" s="34" t="s">
        <v>634</v>
      </c>
      <c r="J31" s="50">
        <v>22314</v>
      </c>
      <c r="K31" s="34" t="s">
        <v>52</v>
      </c>
      <c r="L31" s="96" t="str">
        <f>VLOOKUP(C31,'Trips&amp;Operators'!$C$1:$E$9999,3,0)</f>
        <v>SANTIZO</v>
      </c>
      <c r="M31" s="140" t="s">
        <v>87</v>
      </c>
      <c r="N31" s="10" t="s">
        <v>312</v>
      </c>
      <c r="O31" s="34"/>
      <c r="P31" s="114" t="str">
        <f>VLOOKUP(C31,'Train Runs'!$A$13:$AE$9994,31,0)</f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Q31" s="118" t="str">
        <f>VLOOKUP(C31,'Train Runs'!$A$13:$AE$9994,22,0)</f>
        <v>https://search-rtdc-monitor-bjffxe2xuh6vdkpspy63sjmuny.us-east-1.es.amazonaws.com/_plugin/kibana/#/discover/Steve-Slow-Train-Analysis-(2080s-and-2083s)?_g=(refreshInterval:(display:Off,section:0,value:0),time:(from:'2016-08-20 16:57:19-0600',mode:absolute,to:'2016-08-20 19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1" s="121" t="str">
        <f t="shared" si="0"/>
        <v>"C:\Program Files (x86)\AstroGrep\AstroGrep.exe" /spath="%USERPROFILE%\AppData\Local\Temp\OnboardLogs" /stypes="*4025*201608210*" /stext=" 00:.+((SYSTEM_STATE.+slice.+state.+changed )|(ment ac)|(system.+state.+changed )|(\|lc)|(penalty)|(\[timeout)|(PRM\|1\|D)|(kpr)|(kdp))" /e /r /s</v>
      </c>
      <c r="S31" s="9" t="str">
        <f t="shared" si="1"/>
        <v>4025</v>
      </c>
      <c r="T31" s="39">
        <f t="shared" si="2"/>
        <v>42603.019907407404</v>
      </c>
      <c r="U31" s="53" t="str">
        <f t="shared" si="3"/>
        <v>NW</v>
      </c>
      <c r="V31" s="53" t="str">
        <f t="shared" si="4"/>
        <v>KEEP</v>
      </c>
      <c r="W31" s="24"/>
    </row>
    <row r="32" spans="1:24" ht="15" customHeight="1" x14ac:dyDescent="0.25">
      <c r="A32" s="39">
        <v>42602.873981481483</v>
      </c>
      <c r="B32" s="34" t="s">
        <v>230</v>
      </c>
      <c r="C32" s="34" t="s">
        <v>513</v>
      </c>
      <c r="D32" s="34" t="s">
        <v>49</v>
      </c>
      <c r="E32" s="34" t="s">
        <v>50</v>
      </c>
      <c r="F32" s="50">
        <v>0</v>
      </c>
      <c r="G32" s="50">
        <v>44</v>
      </c>
      <c r="H32" s="50">
        <v>738</v>
      </c>
      <c r="I32" s="34" t="s">
        <v>51</v>
      </c>
      <c r="J32" s="50">
        <v>575</v>
      </c>
      <c r="K32" s="34" t="s">
        <v>53</v>
      </c>
      <c r="L32" s="96" t="str">
        <f>VLOOKUP(C32,'Trips&amp;Operators'!$C$1:$E$9999,3,0)</f>
        <v>SANTIZO</v>
      </c>
      <c r="M32" s="140" t="s">
        <v>88</v>
      </c>
      <c r="N32" s="10"/>
      <c r="O32" s="34"/>
      <c r="P32" s="114" t="str">
        <f>VLOOKUP(C32,'Train Runs'!$A$13:$AE$9994,31,0)</f>
        <v>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 &amp; 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</v>
      </c>
      <c r="Q32" s="118" t="str">
        <f>VLOOKUP(C32,'Train Runs'!$A$13:$AE$9994,22,0)</f>
        <v>https://search-rtdc-monitor-bjffxe2xuh6vdkpspy63sjmuny.us-east-1.es.amazonaws.com/_plugin/kibana/#/discover/Steve-Slow-Train-Analysis-(2080s-and-2083s)?_g=(refreshInterval:(display:Off,section:0,value:0),time:(from:'2016-08-20 19:39:20-0600',mode:absolute,to:'2016-08-20 21:58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2" s="121" t="str">
        <f t="shared" si="0"/>
        <v>"C:\Program Files (x86)\AstroGrep\AstroGrep.exe" /spath="%USERPROFILE%\AppData\Local\Temp\OnboardLogs" /stypes="*4026*201608210*" /stext=" 02:.+((SYSTEM_STATE.+slice.+state.+changed )|(ment ac)|(system.+state.+changed )|(\|lc)|(penalty)|(\[timeout)|(PRM\|1\|D)|(kpr)|(kdp))" /e /r /s</v>
      </c>
      <c r="S32" s="9" t="str">
        <f t="shared" si="1"/>
        <v>4026</v>
      </c>
      <c r="T32" s="39">
        <f t="shared" si="2"/>
        <v>42603.123981481483</v>
      </c>
      <c r="U32" s="53" t="str">
        <f t="shared" si="3"/>
        <v>NW</v>
      </c>
      <c r="V32" s="53" t="str">
        <f t="shared" si="4"/>
        <v>KEEP</v>
      </c>
    </row>
    <row r="33" spans="1:23" x14ac:dyDescent="0.25">
      <c r="A33" s="39">
        <v>42602.649467592593</v>
      </c>
      <c r="B33" s="34" t="s">
        <v>232</v>
      </c>
      <c r="C33" s="34" t="s">
        <v>482</v>
      </c>
      <c r="D33" s="34" t="s">
        <v>49</v>
      </c>
      <c r="E33" s="34" t="s">
        <v>50</v>
      </c>
      <c r="F33" s="50">
        <v>0</v>
      </c>
      <c r="G33" s="50">
        <v>104</v>
      </c>
      <c r="H33" s="50">
        <v>58581</v>
      </c>
      <c r="I33" s="34" t="s">
        <v>51</v>
      </c>
      <c r="J33" s="50">
        <v>59048</v>
      </c>
      <c r="K33" s="34" t="s">
        <v>52</v>
      </c>
      <c r="L33" s="96" t="str">
        <f>VLOOKUP(C33,'Trips&amp;Operators'!$C$1:$E$9999,3,0)</f>
        <v>SANTIZO</v>
      </c>
      <c r="M33" s="140" t="s">
        <v>88</v>
      </c>
      <c r="N33" s="10"/>
      <c r="O33" s="34"/>
      <c r="P33" s="114" t="str">
        <f>VLOOKUP(C33,'Train Runs'!$A$13:$AE$9994,31,0)</f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Q33" s="118" t="str">
        <f>VLOOKUP(C33,'Train Runs'!$A$13:$AE$9994,22,0)</f>
        <v>https://search-rtdc-monitor-bjffxe2xuh6vdkpspy63sjmuny.us-east-1.es.amazonaws.com/_plugin/kibana/#/discover/Steve-Slow-Train-Analysis-(2080s-and-2083s)?_g=(refreshInterval:(display:Off,section:0,value:0),time:(from:'2016-08-20 13:58:00-0600',mode:absolute,to:'2016-08-20 16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3" s="121" t="str">
        <f t="shared" si="0"/>
        <v>"C:\Program Files (x86)\AstroGrep\AstroGrep.exe" /spath="%USERPROFILE%\AppData\Local\Temp\OnboardLogs" /stypes="*4025*201608202*" /stext=" 21:.+((SYSTEM_STATE.+slice.+state.+changed )|(ment ac)|(system.+state.+changed )|(\|lc)|(penalty)|(\[timeout)|(PRM\|1\|D)|(kpr)|(kdp))" /e /r /s</v>
      </c>
      <c r="S33" s="9" t="str">
        <f t="shared" si="1"/>
        <v>4025</v>
      </c>
      <c r="T33" s="39">
        <f t="shared" si="2"/>
        <v>42602.899467592593</v>
      </c>
      <c r="U33" s="53" t="str">
        <f t="shared" si="3"/>
        <v>NW</v>
      </c>
      <c r="V33" s="53" t="str">
        <f t="shared" si="4"/>
        <v>KEEP</v>
      </c>
    </row>
    <row r="34" spans="1:23" x14ac:dyDescent="0.25">
      <c r="A34" s="39">
        <v>42602.857870370368</v>
      </c>
      <c r="B34" s="34" t="s">
        <v>232</v>
      </c>
      <c r="C34" s="34" t="s">
        <v>509</v>
      </c>
      <c r="D34" s="34" t="s">
        <v>49</v>
      </c>
      <c r="E34" s="34" t="s">
        <v>50</v>
      </c>
      <c r="F34" s="50">
        <v>0</v>
      </c>
      <c r="G34" s="50">
        <v>93</v>
      </c>
      <c r="H34" s="50">
        <v>58670</v>
      </c>
      <c r="I34" s="34" t="s">
        <v>51</v>
      </c>
      <c r="J34" s="50">
        <v>59048</v>
      </c>
      <c r="K34" s="34" t="s">
        <v>52</v>
      </c>
      <c r="L34" s="96" t="str">
        <f>VLOOKUP(C34,'Trips&amp;Operators'!$C$1:$E$9999,3,0)</f>
        <v>SANTIZO</v>
      </c>
      <c r="M34" s="140" t="s">
        <v>88</v>
      </c>
      <c r="N34" s="10"/>
      <c r="O34" s="34"/>
      <c r="P34" s="114" t="str">
        <f>VLOOKUP(C34,'Train Runs'!$A$13:$AE$9994,31,0)</f>
        <v>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 &amp; 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</v>
      </c>
      <c r="Q34" s="118" t="str">
        <f>VLOOKUP(C34,'Train Runs'!$A$13:$AE$9994,22,0)</f>
        <v>https://search-rtdc-monitor-bjffxe2xuh6vdkpspy63sjmuny.us-east-1.es.amazonaws.com/_plugin/kibana/#/discover/Steve-Slow-Train-Analysis-(2080s-and-2083s)?_g=(refreshInterval:(display:Off,section:0,value:0),time:(from:'2016-08-20 18:58:58-0600',mode:absolute,to:'2016-08-20 21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4" s="121" t="str">
        <f t="shared" si="0"/>
        <v>"C:\Program Files (x86)\AstroGrep\AstroGrep.exe" /spath="%USERPROFILE%\AppData\Local\Temp\OnboardLogs" /stypes="*4025*201608210*" /stext=" 02:.+((SYSTEM_STATE.+slice.+state.+changed )|(ment ac)|(system.+state.+changed )|(\|lc)|(penalty)|(\[timeout)|(PRM\|1\|D)|(kpr)|(kdp))" /e /r /s</v>
      </c>
      <c r="S34" s="9" t="str">
        <f t="shared" si="1"/>
        <v>4025</v>
      </c>
      <c r="T34" s="39">
        <f t="shared" si="2"/>
        <v>42603.107870370368</v>
      </c>
      <c r="U34" s="53" t="str">
        <f t="shared" si="3"/>
        <v>NW</v>
      </c>
      <c r="V34" s="53" t="str">
        <f t="shared" si="4"/>
        <v>KEEP</v>
      </c>
    </row>
    <row r="35" spans="1:23" x14ac:dyDescent="0.25">
      <c r="A35" s="39">
        <v>42602.771527777775</v>
      </c>
      <c r="B35" s="34" t="s">
        <v>92</v>
      </c>
      <c r="C35" s="34" t="s">
        <v>630</v>
      </c>
      <c r="D35" s="34" t="s">
        <v>114</v>
      </c>
      <c r="E35" s="34" t="s">
        <v>54</v>
      </c>
      <c r="F35" s="50">
        <v>0</v>
      </c>
      <c r="G35" s="50">
        <v>103</v>
      </c>
      <c r="H35" s="50">
        <v>24015</v>
      </c>
      <c r="I35" s="34" t="s">
        <v>55</v>
      </c>
      <c r="J35" s="50">
        <v>24235</v>
      </c>
      <c r="K35" s="34" t="s">
        <v>53</v>
      </c>
      <c r="L35" s="96" t="str">
        <f>VLOOKUP(C35,'Trips&amp;Operators'!$C$1:$E$9999,3,0)</f>
        <v>LEVIN</v>
      </c>
      <c r="M35" s="140" t="s">
        <v>88</v>
      </c>
      <c r="N35" s="10"/>
      <c r="O35" s="34"/>
      <c r="P35" s="114" t="str">
        <f>VLOOKUP(C35,'Train Runs'!$A$13:$AE$9994,31,0)</f>
        <v>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 &amp; aws s3 cp s3://rtdc.mdm.uploadarchive/RTDC4013/2016-08-21/ "%USERPROFILE%\AppData\Local\Temp\OnboardLogs"\RTDC4013\2016-08-21 --recursive &amp; "%USERPROFILE%\Documents\GitHub\mrs-test-scripts\Headless Mode &amp; Sideloading\WalkAndUnGZ.bat" "%USERPROFILE%\AppData\Local\Temp\OnboardLogs"\RTDC4013\2016-08-21</v>
      </c>
      <c r="Q35" s="118" t="str">
        <f>VLOOKUP(C35,'Train Runs'!$A$13:$AE$9994,22,0)</f>
        <v>https://search-rtdc-monitor-bjffxe2xuh6vdkpspy63sjmuny.us-east-1.es.amazonaws.com/_plugin/kibana/#/discover/Steve-Slow-Train-Analysis-(2080s-and-2083s)?_g=(refreshInterval:(display:Off,section:0,value:0),time:(from:'2016-08-20 17:28:15-0600',mode:absolute,to:'2016-08-20 19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5" s="121" t="str">
        <f t="shared" si="0"/>
        <v>"C:\Program Files (x86)\AstroGrep\AstroGrep.exe" /spath="%USERPROFILE%\AppData\Local\Temp\OnboardLogs" /stypes="*4013*201608210*" /stext=" 00:.+((SYSTEM_STATE.+slice.+state.+changed )|(ment ac)|(system.+state.+changed )|(\|lc)|(penalty)|(\[timeout)|(PRM\|1\|D)|(kpr)|(kdp))" /e /r /s</v>
      </c>
      <c r="S35" s="9" t="str">
        <f t="shared" si="1"/>
        <v>4013</v>
      </c>
      <c r="T35" s="39">
        <f t="shared" si="2"/>
        <v>42603.021527777775</v>
      </c>
      <c r="U35" s="53" t="str">
        <f t="shared" si="3"/>
        <v>Other</v>
      </c>
      <c r="V35" s="53" t="str">
        <f t="shared" si="4"/>
        <v>KEEP</v>
      </c>
    </row>
    <row r="36" spans="1:23" x14ac:dyDescent="0.25">
      <c r="A36" s="39"/>
      <c r="B36" s="34"/>
      <c r="C36" s="34"/>
      <c r="D36" s="34"/>
      <c r="E36" s="34"/>
      <c r="F36" s="50"/>
      <c r="G36" s="50"/>
      <c r="H36" s="50"/>
      <c r="I36" s="34"/>
      <c r="J36" s="50"/>
      <c r="K36" s="34"/>
      <c r="L36" s="96"/>
      <c r="M36" s="140"/>
      <c r="N36" s="10"/>
      <c r="O36" s="34"/>
      <c r="P36" s="114"/>
      <c r="Q36" s="118"/>
      <c r="R36" s="121"/>
      <c r="S36" s="9"/>
      <c r="T36" s="39"/>
      <c r="U36" s="53"/>
      <c r="V36" s="53"/>
    </row>
    <row r="37" spans="1:23" x14ac:dyDescent="0.25">
      <c r="A37" s="39"/>
      <c r="B37" s="34"/>
      <c r="C37" s="34"/>
      <c r="D37" s="34"/>
      <c r="E37" s="34"/>
      <c r="F37" s="50"/>
      <c r="G37" s="50"/>
      <c r="H37" s="50"/>
      <c r="I37" s="34"/>
      <c r="J37" s="50"/>
      <c r="K37" s="34"/>
      <c r="L37" s="96"/>
      <c r="M37" s="140"/>
      <c r="N37" s="10"/>
      <c r="O37" s="34"/>
      <c r="P37" s="114"/>
      <c r="Q37" s="118"/>
      <c r="R37" s="121"/>
      <c r="S37" s="9"/>
      <c r="T37" s="39"/>
      <c r="U37" s="53"/>
      <c r="V37" s="53"/>
    </row>
    <row r="38" spans="1:23" x14ac:dyDescent="0.25">
      <c r="A38" s="39"/>
      <c r="B38" s="34"/>
      <c r="C38" s="34"/>
      <c r="D38" s="34"/>
      <c r="E38" s="34"/>
      <c r="F38" s="50"/>
      <c r="G38" s="50"/>
      <c r="H38" s="50"/>
      <c r="I38" s="34"/>
      <c r="J38" s="50"/>
      <c r="K38" s="34"/>
      <c r="L38" s="96"/>
      <c r="M38" s="140"/>
      <c r="N38" s="10"/>
      <c r="O38" s="34"/>
      <c r="P38" s="114"/>
      <c r="Q38" s="118"/>
      <c r="R38" s="121"/>
      <c r="S38" s="9"/>
      <c r="T38" s="39"/>
      <c r="U38" s="53"/>
      <c r="V38" s="53"/>
    </row>
    <row r="39" spans="1:23" x14ac:dyDescent="0.25">
      <c r="A39" s="39"/>
      <c r="B39" s="34"/>
      <c r="C39" s="34"/>
      <c r="D39" s="34"/>
      <c r="E39" s="34"/>
      <c r="F39" s="50"/>
      <c r="G39" s="50"/>
      <c r="H39" s="50"/>
      <c r="I39" s="34"/>
      <c r="J39" s="50"/>
      <c r="K39" s="34"/>
      <c r="L39" s="96"/>
      <c r="M39" s="140"/>
      <c r="N39" s="10"/>
      <c r="O39" s="34"/>
      <c r="P39" s="114"/>
      <c r="Q39" s="118"/>
      <c r="R39" s="121"/>
      <c r="S39" s="9"/>
      <c r="T39" s="39"/>
      <c r="U39" s="53"/>
      <c r="V39" s="53"/>
    </row>
    <row r="40" spans="1:23" x14ac:dyDescent="0.25">
      <c r="A40" s="39"/>
      <c r="B40" s="34"/>
      <c r="C40" s="34"/>
      <c r="D40" s="34"/>
      <c r="E40" s="34"/>
      <c r="F40" s="50"/>
      <c r="G40" s="50"/>
      <c r="H40" s="50"/>
      <c r="I40" s="34"/>
      <c r="J40" s="50"/>
      <c r="K40" s="34"/>
      <c r="L40" s="96"/>
      <c r="M40" s="140"/>
      <c r="N40" s="10"/>
      <c r="O40" s="34"/>
      <c r="P40" s="114"/>
      <c r="Q40" s="118"/>
      <c r="R40" s="121"/>
      <c r="S40" s="9"/>
      <c r="T40" s="39"/>
      <c r="U40" s="53"/>
      <c r="V40" s="53"/>
    </row>
    <row r="41" spans="1:23" ht="15" customHeight="1" x14ac:dyDescent="0.25">
      <c r="A41" s="39"/>
      <c r="B41" s="34"/>
      <c r="C41" s="34"/>
      <c r="D41" s="34"/>
      <c r="E41" s="34"/>
      <c r="F41" s="50"/>
      <c r="G41" s="50"/>
      <c r="H41" s="50"/>
      <c r="I41" s="34"/>
      <c r="J41" s="50"/>
      <c r="K41" s="34"/>
      <c r="L41" s="96"/>
      <c r="M41" s="140"/>
      <c r="N41" s="10"/>
      <c r="O41" s="34"/>
      <c r="P41" s="114"/>
      <c r="Q41" s="118"/>
      <c r="R41" s="121"/>
      <c r="S41" s="9"/>
      <c r="T41" s="39"/>
      <c r="U41" s="53"/>
      <c r="V41" s="53"/>
    </row>
    <row r="42" spans="1:23" x14ac:dyDescent="0.25">
      <c r="A42" s="39"/>
      <c r="B42" s="34"/>
      <c r="C42" s="34"/>
      <c r="D42" s="34"/>
      <c r="E42" s="34"/>
      <c r="F42" s="50"/>
      <c r="G42" s="50"/>
      <c r="H42" s="50"/>
      <c r="I42" s="34"/>
      <c r="J42" s="50"/>
      <c r="K42" s="34"/>
      <c r="L42" s="96"/>
      <c r="M42" s="140"/>
      <c r="N42" s="10"/>
      <c r="O42" s="34"/>
      <c r="P42" s="114"/>
      <c r="Q42" s="118"/>
      <c r="R42" s="121"/>
      <c r="S42" s="9"/>
      <c r="T42" s="39"/>
      <c r="U42" s="53"/>
      <c r="V42" s="53"/>
    </row>
    <row r="43" spans="1:23" ht="15" customHeight="1" x14ac:dyDescent="0.25">
      <c r="A43" s="39"/>
      <c r="B43" s="34"/>
      <c r="C43" s="34"/>
      <c r="D43" s="34"/>
      <c r="E43" s="34"/>
      <c r="F43" s="50"/>
      <c r="G43" s="50"/>
      <c r="H43" s="50"/>
      <c r="I43" s="34"/>
      <c r="J43" s="50"/>
      <c r="K43" s="34"/>
      <c r="L43" s="96"/>
      <c r="M43" s="140"/>
      <c r="N43" s="10"/>
      <c r="O43" s="34"/>
      <c r="P43" s="114"/>
      <c r="Q43" s="118"/>
      <c r="R43" s="121"/>
      <c r="S43" s="9"/>
      <c r="T43" s="39"/>
      <c r="U43" s="53"/>
      <c r="V43" s="53"/>
    </row>
    <row r="44" spans="1:23" x14ac:dyDescent="0.25">
      <c r="A44" s="39"/>
      <c r="B44" s="34"/>
      <c r="C44" s="34"/>
      <c r="D44" s="34"/>
      <c r="E44" s="34"/>
      <c r="F44" s="50"/>
      <c r="G44" s="50"/>
      <c r="H44" s="50"/>
      <c r="I44" s="34"/>
      <c r="J44" s="50"/>
      <c r="K44" s="34"/>
      <c r="L44" s="96"/>
      <c r="M44" s="140"/>
      <c r="N44" s="10"/>
      <c r="O44" s="34"/>
      <c r="P44" s="114"/>
      <c r="Q44" s="118"/>
      <c r="R44" s="121"/>
      <c r="S44" s="9"/>
      <c r="T44" s="39"/>
      <c r="U44" s="53"/>
      <c r="V44" s="53"/>
      <c r="W44" s="24"/>
    </row>
    <row r="45" spans="1:23" x14ac:dyDescent="0.25">
      <c r="A45" s="39"/>
      <c r="B45" s="34"/>
      <c r="C45" s="34"/>
      <c r="D45" s="34"/>
      <c r="E45" s="34"/>
      <c r="F45" s="50"/>
      <c r="G45" s="50"/>
      <c r="H45" s="50"/>
      <c r="I45" s="34"/>
      <c r="J45" s="50"/>
      <c r="K45" s="34"/>
      <c r="L45" s="96"/>
      <c r="M45" s="140"/>
      <c r="N45" s="10"/>
      <c r="O45" s="34"/>
      <c r="P45" s="114"/>
      <c r="Q45" s="118"/>
      <c r="R45" s="121"/>
      <c r="S45" s="9"/>
      <c r="T45" s="39"/>
      <c r="U45" s="53"/>
      <c r="V45" s="53"/>
      <c r="W45" s="24"/>
    </row>
    <row r="46" spans="1:23" x14ac:dyDescent="0.25">
      <c r="A46" s="39"/>
      <c r="B46" s="34"/>
      <c r="C46" s="34"/>
      <c r="D46" s="34"/>
      <c r="E46" s="34"/>
      <c r="F46" s="50"/>
      <c r="G46" s="50"/>
      <c r="H46" s="50"/>
      <c r="I46" s="34"/>
      <c r="J46" s="50"/>
      <c r="K46" s="34"/>
      <c r="L46" s="96"/>
      <c r="M46" s="140"/>
      <c r="N46" s="10"/>
      <c r="O46" s="34"/>
      <c r="P46" s="114"/>
      <c r="Q46" s="118"/>
      <c r="R46" s="121"/>
      <c r="S46" s="9"/>
      <c r="T46" s="39"/>
      <c r="U46" s="53"/>
      <c r="V46" s="53"/>
      <c r="W46" s="24"/>
    </row>
    <row r="47" spans="1:23" ht="15" customHeight="1" x14ac:dyDescent="0.25">
      <c r="A47" s="39"/>
      <c r="B47" s="34"/>
      <c r="C47" s="34"/>
      <c r="D47" s="34"/>
      <c r="E47" s="34"/>
      <c r="F47" s="50"/>
      <c r="G47" s="50"/>
      <c r="H47" s="50"/>
      <c r="I47" s="34"/>
      <c r="J47" s="50"/>
      <c r="K47" s="34"/>
      <c r="L47" s="96"/>
      <c r="M47" s="140"/>
      <c r="N47" s="10"/>
      <c r="O47" s="34"/>
      <c r="P47" s="114"/>
      <c r="Q47" s="118"/>
      <c r="R47" s="121"/>
      <c r="S47" s="9"/>
      <c r="T47" s="39"/>
      <c r="U47" s="53"/>
      <c r="V47" s="53"/>
    </row>
    <row r="48" spans="1:23" x14ac:dyDescent="0.25">
      <c r="A48" s="39"/>
      <c r="B48" s="34"/>
      <c r="C48" s="34"/>
      <c r="D48" s="34"/>
      <c r="E48" s="34"/>
      <c r="F48" s="50"/>
      <c r="G48" s="50"/>
      <c r="H48" s="50"/>
      <c r="I48" s="34"/>
      <c r="J48" s="50"/>
      <c r="K48" s="34"/>
      <c r="L48" s="96"/>
      <c r="M48" s="140"/>
      <c r="N48" s="10"/>
      <c r="O48" s="34"/>
      <c r="P48" s="114"/>
      <c r="Q48" s="118"/>
      <c r="R48" s="121"/>
      <c r="S48" s="9"/>
      <c r="T48" s="39"/>
      <c r="U48" s="53"/>
      <c r="V48" s="53"/>
    </row>
    <row r="49" spans="1:22" x14ac:dyDescent="0.25">
      <c r="A49" s="39"/>
      <c r="B49" s="34"/>
      <c r="C49" s="34"/>
      <c r="D49" s="34"/>
      <c r="E49" s="34"/>
      <c r="F49" s="50"/>
      <c r="G49" s="50"/>
      <c r="H49" s="50"/>
      <c r="I49" s="34"/>
      <c r="J49" s="50"/>
      <c r="K49" s="34"/>
      <c r="L49" s="96"/>
      <c r="M49" s="140"/>
      <c r="N49" s="10"/>
      <c r="O49" s="34"/>
      <c r="P49" s="114"/>
      <c r="Q49" s="118"/>
      <c r="R49" s="121"/>
      <c r="S49" s="9"/>
      <c r="T49" s="39"/>
      <c r="U49" s="53"/>
      <c r="V49" s="53"/>
    </row>
    <row r="50" spans="1:22" x14ac:dyDescent="0.25">
      <c r="A50" s="39"/>
      <c r="B50" s="34"/>
      <c r="C50" s="34"/>
      <c r="D50" s="34"/>
      <c r="E50" s="34"/>
      <c r="F50" s="50"/>
      <c r="G50" s="50"/>
      <c r="H50" s="50"/>
      <c r="I50" s="34"/>
      <c r="J50" s="50"/>
      <c r="K50" s="34"/>
      <c r="L50" s="96"/>
      <c r="M50" s="140"/>
      <c r="N50" s="10"/>
      <c r="O50" s="34"/>
      <c r="P50" s="114"/>
      <c r="Q50" s="118"/>
      <c r="R50" s="121"/>
      <c r="S50" s="9"/>
      <c r="T50" s="39"/>
      <c r="U50" s="53"/>
      <c r="V50" s="53"/>
    </row>
    <row r="51" spans="1:22" x14ac:dyDescent="0.25">
      <c r="A51" s="39"/>
      <c r="B51" s="34"/>
      <c r="C51" s="34"/>
      <c r="D51" s="34"/>
      <c r="E51" s="34"/>
      <c r="F51" s="50"/>
      <c r="G51" s="50"/>
      <c r="H51" s="50"/>
      <c r="I51" s="34"/>
      <c r="J51" s="50"/>
      <c r="K51" s="34"/>
      <c r="L51" s="96"/>
      <c r="M51" s="140"/>
      <c r="N51" s="10"/>
      <c r="O51" s="34"/>
      <c r="P51" s="114"/>
      <c r="Q51" s="118"/>
      <c r="R51" s="121"/>
      <c r="S51" s="9"/>
      <c r="T51" s="39"/>
      <c r="U51" s="53"/>
      <c r="V51" s="53"/>
    </row>
    <row r="52" spans="1:22" x14ac:dyDescent="0.25">
      <c r="A52" s="39"/>
      <c r="B52" s="34"/>
      <c r="C52" s="34"/>
      <c r="D52" s="34"/>
      <c r="E52" s="34"/>
      <c r="F52" s="50"/>
      <c r="G52" s="50"/>
      <c r="H52" s="50"/>
      <c r="I52" s="34"/>
      <c r="J52" s="50"/>
      <c r="K52" s="34"/>
      <c r="L52" s="96"/>
      <c r="M52" s="140"/>
      <c r="N52" s="10"/>
      <c r="O52" s="34"/>
      <c r="P52" s="114"/>
      <c r="Q52" s="118"/>
      <c r="R52" s="121"/>
      <c r="S52" s="9"/>
      <c r="T52" s="39"/>
      <c r="U52" s="53"/>
      <c r="V52" s="53"/>
    </row>
    <row r="53" spans="1:22" x14ac:dyDescent="0.25">
      <c r="A53" s="39"/>
      <c r="B53" s="34"/>
      <c r="C53" s="34"/>
      <c r="D53" s="34"/>
      <c r="E53" s="34"/>
      <c r="F53" s="50"/>
      <c r="G53" s="50"/>
      <c r="H53" s="50"/>
      <c r="I53" s="34"/>
      <c r="J53" s="50"/>
      <c r="K53" s="34"/>
      <c r="L53" s="96"/>
      <c r="M53" s="140"/>
      <c r="N53" s="10"/>
      <c r="O53" s="34"/>
      <c r="P53" s="114"/>
      <c r="Q53" s="118"/>
      <c r="R53" s="121"/>
      <c r="S53" s="9"/>
      <c r="T53" s="39"/>
      <c r="U53" s="53"/>
      <c r="V53" s="53"/>
    </row>
    <row r="54" spans="1:22" x14ac:dyDescent="0.25">
      <c r="A54" s="39"/>
      <c r="B54" s="34"/>
      <c r="C54" s="34"/>
      <c r="D54" s="34"/>
      <c r="E54" s="34"/>
      <c r="F54" s="50"/>
      <c r="G54" s="50"/>
      <c r="H54" s="50"/>
      <c r="I54" s="34"/>
      <c r="J54" s="50"/>
      <c r="K54" s="34"/>
      <c r="L54" s="96"/>
      <c r="M54" s="140"/>
      <c r="N54" s="10"/>
      <c r="O54" s="34"/>
      <c r="P54" s="114"/>
      <c r="Q54" s="118"/>
      <c r="R54" s="121"/>
      <c r="S54" s="9"/>
      <c r="T54" s="39"/>
      <c r="U54" s="53"/>
      <c r="V54" s="53"/>
    </row>
    <row r="55" spans="1:22" x14ac:dyDescent="0.25">
      <c r="A55" s="39"/>
      <c r="B55" s="34"/>
      <c r="C55" s="34"/>
      <c r="D55" s="34"/>
      <c r="E55" s="34"/>
      <c r="F55" s="50"/>
      <c r="G55" s="50"/>
      <c r="H55" s="50"/>
      <c r="I55" s="34"/>
      <c r="J55" s="50"/>
      <c r="K55" s="34"/>
      <c r="L55" s="96"/>
      <c r="M55" s="140"/>
      <c r="N55" s="10"/>
      <c r="O55" s="34"/>
      <c r="P55" s="114"/>
      <c r="Q55" s="118"/>
      <c r="R55" s="121"/>
      <c r="S55" s="9"/>
      <c r="T55" s="39"/>
      <c r="U55" s="53"/>
      <c r="V55" s="53"/>
    </row>
    <row r="56" spans="1:22" x14ac:dyDescent="0.25">
      <c r="A56" s="39"/>
      <c r="B56" s="34"/>
      <c r="C56" s="34"/>
      <c r="D56" s="34"/>
      <c r="E56" s="34"/>
      <c r="F56" s="50"/>
      <c r="G56" s="50"/>
      <c r="H56" s="50"/>
      <c r="I56" s="34"/>
      <c r="J56" s="50"/>
      <c r="K56" s="34"/>
      <c r="L56" s="96"/>
      <c r="M56" s="140"/>
      <c r="N56" s="10"/>
      <c r="O56" s="34"/>
      <c r="P56" s="114"/>
      <c r="Q56" s="118"/>
      <c r="R56" s="121"/>
      <c r="S56" s="9"/>
      <c r="T56" s="39"/>
      <c r="U56" s="53"/>
      <c r="V56" s="53"/>
    </row>
    <row r="57" spans="1:22" x14ac:dyDescent="0.25">
      <c r="A57" s="39"/>
      <c r="B57" s="34"/>
      <c r="C57" s="34"/>
      <c r="D57" s="34"/>
      <c r="E57" s="34"/>
      <c r="F57" s="50"/>
      <c r="G57" s="50"/>
      <c r="H57" s="50"/>
      <c r="I57" s="34"/>
      <c r="J57" s="50"/>
      <c r="K57" s="34"/>
      <c r="L57" s="96"/>
      <c r="M57" s="140"/>
      <c r="N57" s="10"/>
      <c r="O57" s="34"/>
      <c r="P57" s="114"/>
      <c r="Q57" s="118"/>
      <c r="R57" s="121"/>
      <c r="S57" s="9"/>
      <c r="T57" s="39"/>
      <c r="U57" s="53"/>
      <c r="V57" s="53"/>
    </row>
    <row r="58" spans="1:22" x14ac:dyDescent="0.25">
      <c r="A58" s="39"/>
      <c r="B58" s="34"/>
      <c r="C58" s="34"/>
      <c r="D58" s="34"/>
      <c r="E58" s="34"/>
      <c r="F58" s="50"/>
      <c r="G58" s="50"/>
      <c r="H58" s="50"/>
      <c r="I58" s="34"/>
      <c r="J58" s="50"/>
      <c r="K58" s="34"/>
      <c r="L58" s="96"/>
      <c r="M58" s="140"/>
      <c r="N58" s="10"/>
      <c r="O58" s="34"/>
      <c r="P58" s="114"/>
      <c r="Q58" s="118"/>
      <c r="R58" s="121"/>
      <c r="S58" s="9"/>
      <c r="T58" s="39"/>
      <c r="U58" s="53"/>
      <c r="V58" s="53"/>
    </row>
    <row r="59" spans="1:22" x14ac:dyDescent="0.25">
      <c r="A59" s="39"/>
      <c r="B59" s="34"/>
      <c r="C59" s="34"/>
      <c r="D59" s="34"/>
      <c r="E59" s="34"/>
      <c r="F59" s="50"/>
      <c r="G59" s="50"/>
      <c r="H59" s="50"/>
      <c r="I59" s="34"/>
      <c r="J59" s="50"/>
      <c r="K59" s="34"/>
      <c r="L59" s="96"/>
      <c r="M59" s="140"/>
      <c r="N59" s="10"/>
      <c r="O59" s="34"/>
      <c r="P59" s="114"/>
      <c r="Q59" s="118"/>
      <c r="R59" s="121"/>
      <c r="S59" s="9"/>
      <c r="T59" s="39"/>
      <c r="U59" s="53"/>
      <c r="V59" s="53"/>
    </row>
    <row r="60" spans="1:22" x14ac:dyDescent="0.25">
      <c r="A60" s="39"/>
      <c r="B60" s="34"/>
      <c r="C60" s="34"/>
      <c r="D60" s="34"/>
      <c r="E60" s="34"/>
      <c r="F60" s="50"/>
      <c r="G60" s="50"/>
      <c r="H60" s="50"/>
      <c r="I60" s="34"/>
      <c r="J60" s="50"/>
      <c r="K60" s="34"/>
      <c r="L60" s="96"/>
      <c r="M60" s="140"/>
      <c r="N60" s="10"/>
      <c r="O60" s="34"/>
      <c r="P60" s="114"/>
      <c r="Q60" s="118"/>
      <c r="R60" s="121"/>
      <c r="S60" s="9"/>
      <c r="T60" s="39"/>
      <c r="U60" s="53"/>
      <c r="V60" s="53"/>
    </row>
    <row r="61" spans="1:22" x14ac:dyDescent="0.25">
      <c r="A61" s="39"/>
      <c r="B61" s="34"/>
      <c r="C61" s="34"/>
      <c r="D61" s="34"/>
      <c r="E61" s="34"/>
      <c r="F61" s="50"/>
      <c r="G61" s="50"/>
      <c r="H61" s="50"/>
      <c r="I61" s="34"/>
      <c r="J61" s="50"/>
      <c r="K61" s="34"/>
      <c r="L61" s="96"/>
      <c r="M61" s="140"/>
      <c r="N61" s="10"/>
      <c r="O61" s="34"/>
      <c r="P61" s="114"/>
      <c r="Q61" s="118"/>
      <c r="R61" s="121"/>
      <c r="S61" s="9"/>
      <c r="T61" s="39"/>
      <c r="U61" s="53"/>
      <c r="V61" s="53"/>
    </row>
    <row r="62" spans="1:22" x14ac:dyDescent="0.25">
      <c r="A62" s="39"/>
      <c r="B62" s="34"/>
      <c r="C62" s="34"/>
      <c r="D62" s="34"/>
      <c r="E62" s="34"/>
      <c r="F62" s="50"/>
      <c r="G62" s="50"/>
      <c r="H62" s="50"/>
      <c r="I62" s="34"/>
      <c r="J62" s="50"/>
      <c r="K62" s="34"/>
      <c r="L62" s="96"/>
      <c r="M62" s="140"/>
      <c r="N62" s="10"/>
      <c r="O62" s="34"/>
      <c r="P62" s="114"/>
      <c r="Q62" s="118"/>
      <c r="R62" s="121"/>
      <c r="S62" s="9"/>
      <c r="T62" s="39"/>
      <c r="U62" s="53"/>
      <c r="V62" s="53"/>
    </row>
    <row r="63" spans="1:22" x14ac:dyDescent="0.25">
      <c r="A63" s="39"/>
      <c r="B63" s="34"/>
      <c r="C63" s="34"/>
      <c r="D63" s="34"/>
      <c r="E63" s="34"/>
      <c r="F63" s="50"/>
      <c r="G63" s="50"/>
      <c r="H63" s="50"/>
      <c r="I63" s="34"/>
      <c r="J63" s="50"/>
      <c r="K63" s="34"/>
      <c r="L63" s="96"/>
      <c r="M63" s="140"/>
      <c r="N63" s="10"/>
      <c r="O63" s="34"/>
      <c r="P63" s="114"/>
      <c r="Q63" s="118"/>
      <c r="R63" s="121"/>
      <c r="S63" s="9"/>
      <c r="T63" s="39"/>
      <c r="U63" s="53"/>
      <c r="V63" s="53"/>
    </row>
    <row r="64" spans="1:22" x14ac:dyDescent="0.25">
      <c r="A64" s="39"/>
      <c r="B64" s="34"/>
      <c r="C64" s="34"/>
      <c r="D64" s="34"/>
      <c r="E64" s="34"/>
      <c r="F64" s="50"/>
      <c r="G64" s="50"/>
      <c r="H64" s="50"/>
      <c r="I64" s="34"/>
      <c r="J64" s="50"/>
      <c r="K64" s="34"/>
      <c r="L64" s="96"/>
      <c r="M64" s="140"/>
      <c r="N64" s="10"/>
      <c r="O64" s="34"/>
      <c r="P64" s="114"/>
      <c r="Q64" s="118"/>
      <c r="R64" s="121"/>
      <c r="S64" s="9"/>
      <c r="T64" s="39"/>
      <c r="U64" s="53"/>
      <c r="V64" s="53"/>
    </row>
    <row r="65" spans="1:22" x14ac:dyDescent="0.25">
      <c r="A65" s="39"/>
      <c r="B65" s="34"/>
      <c r="C65" s="34"/>
      <c r="D65" s="34"/>
      <c r="E65" s="34"/>
      <c r="F65" s="50"/>
      <c r="G65" s="50"/>
      <c r="H65" s="50"/>
      <c r="I65" s="34"/>
      <c r="J65" s="50"/>
      <c r="K65" s="34"/>
      <c r="L65" s="96"/>
      <c r="M65" s="140"/>
      <c r="N65" s="10"/>
      <c r="O65" s="34"/>
      <c r="P65" s="114"/>
      <c r="Q65" s="118"/>
      <c r="R65" s="121"/>
      <c r="S65" s="9"/>
      <c r="T65" s="39"/>
      <c r="U65" s="53"/>
      <c r="V65" s="53"/>
    </row>
    <row r="66" spans="1:22" x14ac:dyDescent="0.25">
      <c r="A66" s="39"/>
      <c r="B66" s="34"/>
      <c r="C66" s="34"/>
      <c r="D66" s="34"/>
      <c r="E66" s="34"/>
      <c r="F66" s="50"/>
      <c r="G66" s="50"/>
      <c r="H66" s="50"/>
      <c r="I66" s="34"/>
      <c r="J66" s="50"/>
      <c r="K66" s="34"/>
      <c r="L66" s="96"/>
      <c r="M66" s="140"/>
      <c r="N66" s="10"/>
      <c r="O66" s="34"/>
      <c r="P66" s="114"/>
      <c r="Q66" s="118"/>
      <c r="R66" s="121"/>
      <c r="S66" s="9"/>
      <c r="T66" s="39"/>
      <c r="U66" s="53"/>
      <c r="V66" s="53"/>
    </row>
    <row r="67" spans="1:22" x14ac:dyDescent="0.25">
      <c r="A67" s="39"/>
      <c r="B67" s="34"/>
      <c r="C67" s="34"/>
      <c r="D67" s="34"/>
      <c r="E67" s="34"/>
      <c r="F67" s="50"/>
      <c r="G67" s="50"/>
      <c r="H67" s="50"/>
      <c r="I67" s="34"/>
      <c r="J67" s="50"/>
      <c r="K67" s="34"/>
      <c r="L67" s="96"/>
      <c r="M67" s="140"/>
      <c r="N67" s="10"/>
      <c r="O67" s="34"/>
      <c r="P67" s="114"/>
      <c r="Q67" s="118"/>
      <c r="R67" s="121"/>
      <c r="S67" s="9"/>
      <c r="T67" s="39"/>
      <c r="U67" s="53"/>
      <c r="V67" s="53"/>
    </row>
    <row r="68" spans="1:22" x14ac:dyDescent="0.25">
      <c r="A68" s="39"/>
      <c r="B68" s="34"/>
      <c r="C68" s="34"/>
      <c r="D68" s="34"/>
      <c r="E68" s="34"/>
      <c r="F68" s="50"/>
      <c r="G68" s="50"/>
      <c r="H68" s="50"/>
      <c r="I68" s="34"/>
      <c r="J68" s="50"/>
      <c r="K68" s="34"/>
      <c r="L68" s="96"/>
      <c r="M68" s="140"/>
      <c r="N68" s="10"/>
      <c r="O68" s="34"/>
      <c r="P68" s="114"/>
      <c r="Q68" s="118"/>
      <c r="R68" s="121"/>
      <c r="S68" s="9"/>
      <c r="T68" s="39"/>
      <c r="U68" s="53"/>
      <c r="V68" s="53"/>
    </row>
    <row r="69" spans="1:22" x14ac:dyDescent="0.25">
      <c r="A69" s="39"/>
      <c r="B69" s="34"/>
      <c r="C69" s="34"/>
      <c r="D69" s="34"/>
      <c r="E69" s="34"/>
      <c r="F69" s="50"/>
      <c r="G69" s="50"/>
      <c r="H69" s="50"/>
      <c r="I69" s="34"/>
      <c r="J69" s="50"/>
      <c r="K69" s="34"/>
      <c r="L69" s="96"/>
      <c r="M69" s="140"/>
      <c r="N69" s="10"/>
      <c r="O69" s="34"/>
      <c r="P69" s="114"/>
      <c r="Q69" s="118"/>
      <c r="R69" s="121"/>
      <c r="S69" s="9"/>
      <c r="T69" s="39"/>
      <c r="U69" s="53"/>
      <c r="V69" s="53"/>
    </row>
    <row r="70" spans="1:22" x14ac:dyDescent="0.25">
      <c r="A70" s="39"/>
      <c r="B70" s="34"/>
      <c r="C70" s="34"/>
      <c r="D70" s="34"/>
      <c r="E70" s="34"/>
      <c r="F70" s="50"/>
      <c r="G70" s="50"/>
      <c r="H70" s="50"/>
      <c r="I70" s="34"/>
      <c r="J70" s="50"/>
      <c r="K70" s="34"/>
      <c r="L70" s="96"/>
      <c r="M70" s="140"/>
      <c r="N70" s="10"/>
      <c r="O70" s="34"/>
      <c r="P70" s="114"/>
      <c r="Q70" s="118"/>
      <c r="R70" s="121"/>
      <c r="S70" s="9"/>
      <c r="T70" s="39"/>
      <c r="U70" s="53"/>
      <c r="V70" s="53"/>
    </row>
    <row r="71" spans="1:22" x14ac:dyDescent="0.25">
      <c r="A71" s="39"/>
      <c r="B71" s="34"/>
      <c r="C71" s="34"/>
      <c r="D71" s="34"/>
      <c r="E71" s="34"/>
      <c r="F71" s="50"/>
      <c r="G71" s="50"/>
      <c r="H71" s="50"/>
      <c r="I71" s="34"/>
      <c r="J71" s="50"/>
      <c r="K71" s="34"/>
      <c r="L71" s="96"/>
      <c r="M71" s="140"/>
      <c r="N71" s="10"/>
      <c r="O71" s="34"/>
      <c r="P71" s="114"/>
      <c r="Q71" s="118"/>
      <c r="R71" s="121"/>
      <c r="S71" s="9"/>
      <c r="T71" s="39"/>
      <c r="U71" s="53"/>
      <c r="V71" s="53"/>
    </row>
    <row r="72" spans="1:22" x14ac:dyDescent="0.25">
      <c r="A72" s="39"/>
      <c r="B72" s="34"/>
      <c r="C72" s="34"/>
      <c r="D72" s="34"/>
      <c r="E72" s="34"/>
      <c r="F72" s="50"/>
      <c r="G72" s="50"/>
      <c r="H72" s="50"/>
      <c r="I72" s="34"/>
      <c r="J72" s="50"/>
      <c r="K72" s="34"/>
      <c r="L72" s="96"/>
      <c r="M72" s="140"/>
      <c r="N72" s="10"/>
      <c r="O72" s="34"/>
      <c r="P72" s="114"/>
      <c r="Q72" s="118"/>
      <c r="R72" s="121"/>
      <c r="S72" s="9"/>
      <c r="T72" s="39"/>
      <c r="U72" s="53"/>
      <c r="V72" s="53"/>
    </row>
    <row r="73" spans="1:22" x14ac:dyDescent="0.25">
      <c r="A73" s="39"/>
      <c r="B73" s="34"/>
      <c r="C73" s="34"/>
      <c r="D73" s="34"/>
      <c r="E73" s="34"/>
      <c r="F73" s="50"/>
      <c r="G73" s="50"/>
      <c r="H73" s="50"/>
      <c r="I73" s="34"/>
      <c r="J73" s="50"/>
      <c r="K73" s="34"/>
      <c r="L73" s="96"/>
      <c r="M73" s="140"/>
      <c r="N73" s="10"/>
      <c r="O73" s="34"/>
      <c r="P73" s="114"/>
      <c r="Q73" s="118"/>
      <c r="R73" s="121"/>
      <c r="S73" s="9"/>
      <c r="T73" s="39"/>
      <c r="U73" s="53"/>
      <c r="V73" s="53"/>
    </row>
    <row r="74" spans="1:22" x14ac:dyDescent="0.25">
      <c r="A74" s="39"/>
      <c r="B74" s="34"/>
      <c r="C74" s="34"/>
      <c r="D74" s="34"/>
      <c r="E74" s="34"/>
      <c r="F74" s="50"/>
      <c r="G74" s="50"/>
      <c r="H74" s="50"/>
      <c r="I74" s="34"/>
      <c r="J74" s="50"/>
      <c r="K74" s="34"/>
      <c r="L74" s="96"/>
      <c r="M74" s="140"/>
      <c r="N74" s="10"/>
      <c r="O74" s="34"/>
      <c r="P74" s="114"/>
      <c r="Q74" s="118"/>
      <c r="R74" s="121"/>
      <c r="S74" s="9"/>
      <c r="T74" s="39"/>
      <c r="U74" s="53"/>
      <c r="V74" s="53"/>
    </row>
    <row r="75" spans="1:22" x14ac:dyDescent="0.25">
      <c r="B75" s="24"/>
      <c r="C75" s="24"/>
      <c r="D75" s="24"/>
      <c r="E75" s="24"/>
      <c r="I75" s="24"/>
      <c r="K75" s="24"/>
    </row>
  </sheetData>
  <autoFilter ref="A6:V74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5" priority="14" operator="equal">
      <formula>"Y"</formula>
    </cfRule>
  </conditionalFormatting>
  <conditionalFormatting sqref="A7:N74">
    <cfRule type="expression" dxfId="4" priority="7">
      <formula>$M7="Y"</formula>
    </cfRule>
  </conditionalFormatting>
  <conditionalFormatting sqref="M2:M3">
    <cfRule type="cellIs" dxfId="3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2"/>
  <sheetViews>
    <sheetView workbookViewId="0">
      <selection activeCell="D13" sqref="D13"/>
    </sheetView>
  </sheetViews>
  <sheetFormatPr defaultRowHeight="15" x14ac:dyDescent="0.25"/>
  <cols>
    <col min="1" max="1" width="9.140625" style="71" customWidth="1"/>
    <col min="2" max="2" width="8" style="138" bestFit="1" customWidth="1"/>
    <col min="3" max="3" width="9.85546875" style="129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0" t="str">
        <f>"Trips that did not appear in PTC Data "&amp;TEXT(Variables!$A$2,"YYYY-mm-dd")</f>
        <v>Trips that did not appear in PTC Data 2016-08-20</v>
      </c>
      <c r="B1" s="150"/>
      <c r="C1" s="150"/>
      <c r="D1" s="150"/>
      <c r="E1" s="150"/>
    </row>
    <row r="2" spans="1:10" s="27" customFormat="1" ht="45" x14ac:dyDescent="0.25">
      <c r="A2" s="111" t="s">
        <v>65</v>
      </c>
      <c r="B2" s="135" t="s">
        <v>66</v>
      </c>
      <c r="C2" s="136" t="s">
        <v>67</v>
      </c>
      <c r="D2" s="27" t="s">
        <v>63</v>
      </c>
      <c r="E2" s="27" t="s">
        <v>64</v>
      </c>
      <c r="F2" s="27" t="s">
        <v>68</v>
      </c>
      <c r="G2" s="32" t="s">
        <v>69</v>
      </c>
      <c r="H2" s="32" t="s">
        <v>125</v>
      </c>
    </row>
    <row r="3" spans="1:10" x14ac:dyDescent="0.25">
      <c r="A3" s="40"/>
      <c r="B3" s="137"/>
      <c r="C3" s="137"/>
      <c r="D3" s="53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40"/>
      <c r="B4" s="137"/>
      <c r="C4" s="137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ref="H4:H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B5" s="122"/>
      <c r="C5" s="122"/>
      <c r="D5" s="32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B6" s="122"/>
      <c r="C6" s="122"/>
      <c r="E6" s="25"/>
      <c r="F6" s="25"/>
      <c r="G6" s="33"/>
      <c r="H6" s="32"/>
      <c r="I6" s="24"/>
      <c r="J6" s="24"/>
    </row>
    <row r="7" spans="1:10" x14ac:dyDescent="0.25">
      <c r="B7" s="122"/>
      <c r="C7" s="122"/>
      <c r="E7" s="25"/>
      <c r="F7" s="25"/>
      <c r="G7" s="33"/>
      <c r="H7" s="32"/>
      <c r="I7" s="24"/>
      <c r="J7" s="24"/>
    </row>
    <row r="8" spans="1:10" x14ac:dyDescent="0.25">
      <c r="B8" s="122"/>
      <c r="C8" s="122"/>
      <c r="H8" s="24"/>
      <c r="I8" s="24"/>
      <c r="J8" s="24"/>
    </row>
    <row r="9" spans="1:10" x14ac:dyDescent="0.25">
      <c r="B9" s="122"/>
      <c r="C9" s="122"/>
      <c r="H9" s="24"/>
      <c r="I9" s="24"/>
      <c r="J9" s="24"/>
    </row>
    <row r="10" spans="1:10" x14ac:dyDescent="0.25">
      <c r="B10" s="122"/>
      <c r="C10" s="122"/>
      <c r="H10" s="24"/>
      <c r="I10" s="24"/>
      <c r="J10" s="24"/>
    </row>
    <row r="11" spans="1:10" x14ac:dyDescent="0.25">
      <c r="B11" s="122"/>
      <c r="C11" s="122"/>
      <c r="H11" s="24"/>
      <c r="I11" s="24"/>
      <c r="J11" s="24"/>
    </row>
    <row r="12" spans="1:10" x14ac:dyDescent="0.25">
      <c r="B12" s="122"/>
      <c r="C12" s="122"/>
      <c r="H12" s="24"/>
      <c r="I12" s="24"/>
      <c r="J12" s="24"/>
    </row>
    <row r="13" spans="1:10" x14ac:dyDescent="0.25">
      <c r="B13" s="122"/>
      <c r="C13" s="122"/>
      <c r="H13" s="24"/>
      <c r="I13" s="24"/>
      <c r="J13" s="24"/>
    </row>
    <row r="14" spans="1:10" x14ac:dyDescent="0.25">
      <c r="B14" s="122"/>
      <c r="C14" s="122"/>
      <c r="H14" s="24"/>
      <c r="I14" s="24"/>
      <c r="J14" s="24"/>
    </row>
    <row r="15" spans="1:10" x14ac:dyDescent="0.25">
      <c r="B15" s="122"/>
      <c r="C15" s="122"/>
      <c r="H15" s="24"/>
      <c r="I15" s="24"/>
      <c r="J15" s="24"/>
    </row>
    <row r="16" spans="1:10" x14ac:dyDescent="0.25">
      <c r="B16" s="122"/>
      <c r="C16" s="122"/>
      <c r="H16" s="24"/>
      <c r="I16" s="24"/>
      <c r="J16" s="24"/>
    </row>
    <row r="17" spans="2:10" x14ac:dyDescent="0.25">
      <c r="B17" s="122"/>
      <c r="C17" s="122"/>
      <c r="H17" s="24"/>
      <c r="I17" s="24"/>
      <c r="J17" s="24"/>
    </row>
    <row r="18" spans="2:10" x14ac:dyDescent="0.25">
      <c r="B18" s="122"/>
      <c r="C18" s="122"/>
      <c r="H18" s="24"/>
      <c r="I18" s="24"/>
      <c r="J18" s="24"/>
    </row>
    <row r="19" spans="2:10" x14ac:dyDescent="0.25">
      <c r="B19" s="122"/>
      <c r="C19" s="122"/>
      <c r="H19" s="24"/>
      <c r="I19" s="24"/>
      <c r="J19" s="24"/>
    </row>
    <row r="20" spans="2:10" x14ac:dyDescent="0.25">
      <c r="B20" s="122"/>
      <c r="C20" s="122"/>
      <c r="H20" s="24"/>
      <c r="I20" s="24"/>
      <c r="J20" s="24"/>
    </row>
    <row r="21" spans="2:10" x14ac:dyDescent="0.25">
      <c r="B21" s="122"/>
      <c r="C21" s="122"/>
      <c r="H21" s="24"/>
      <c r="I21" s="24"/>
      <c r="J21" s="24"/>
    </row>
    <row r="22" spans="2:10" x14ac:dyDescent="0.25">
      <c r="B22" s="122"/>
      <c r="C22" s="122"/>
      <c r="H22" s="24"/>
      <c r="I22" s="24"/>
      <c r="J22" s="24"/>
    </row>
    <row r="23" spans="2:10" x14ac:dyDescent="0.25">
      <c r="B23" s="122"/>
      <c r="C23" s="122"/>
      <c r="H23" s="24"/>
      <c r="I23" s="24"/>
      <c r="J23" s="24"/>
    </row>
    <row r="24" spans="2:10" x14ac:dyDescent="0.25">
      <c r="B24" s="122"/>
      <c r="C24" s="122"/>
      <c r="H24" s="24"/>
      <c r="I24" s="24"/>
      <c r="J24" s="24"/>
    </row>
    <row r="25" spans="2:10" x14ac:dyDescent="0.25">
      <c r="B25" s="122"/>
      <c r="C25" s="122"/>
      <c r="H25" s="24"/>
      <c r="I25" s="24"/>
      <c r="J25" s="24"/>
    </row>
    <row r="26" spans="2:10" x14ac:dyDescent="0.25">
      <c r="B26" s="122"/>
      <c r="C26" s="122"/>
      <c r="H26" s="24"/>
      <c r="I26" s="24"/>
      <c r="J26" s="24"/>
    </row>
    <row r="27" spans="2:10" x14ac:dyDescent="0.25">
      <c r="B27" s="122"/>
      <c r="C27" s="122"/>
      <c r="H27" s="24"/>
      <c r="I27" s="24"/>
      <c r="J27" s="24"/>
    </row>
    <row r="28" spans="2:10" x14ac:dyDescent="0.25">
      <c r="B28" s="122"/>
      <c r="C28" s="122"/>
      <c r="H28" s="24"/>
      <c r="I28" s="24"/>
      <c r="J28" s="24"/>
    </row>
    <row r="29" spans="2:10" x14ac:dyDescent="0.25">
      <c r="B29" s="122"/>
      <c r="C29" s="122"/>
      <c r="H29" s="24"/>
      <c r="I29" s="24"/>
      <c r="J29" s="24"/>
    </row>
    <row r="30" spans="2:10" x14ac:dyDescent="0.25">
      <c r="B30" s="122"/>
      <c r="C30" s="122"/>
      <c r="H30" s="24"/>
      <c r="I30" s="24"/>
      <c r="J30" s="24"/>
    </row>
    <row r="31" spans="2:10" x14ac:dyDescent="0.25">
      <c r="B31" s="122"/>
      <c r="C31" s="122"/>
      <c r="H31" s="24"/>
      <c r="I31" s="24"/>
      <c r="J31" s="24"/>
    </row>
    <row r="32" spans="2:10" x14ac:dyDescent="0.25">
      <c r="B32" s="122"/>
      <c r="C32" s="122"/>
      <c r="H32" s="24"/>
      <c r="I32" s="24"/>
      <c r="J32" s="24"/>
    </row>
    <row r="33" spans="2:10" x14ac:dyDescent="0.25">
      <c r="B33" s="122"/>
      <c r="C33" s="122"/>
      <c r="H33" s="24"/>
      <c r="I33" s="24"/>
      <c r="J33" s="24"/>
    </row>
    <row r="34" spans="2:10" x14ac:dyDescent="0.25">
      <c r="B34" s="122"/>
      <c r="C34" s="122"/>
      <c r="H34" s="24"/>
      <c r="I34" s="24"/>
      <c r="J34" s="24"/>
    </row>
    <row r="35" spans="2:10" x14ac:dyDescent="0.25">
      <c r="B35" s="122"/>
      <c r="C35" s="122"/>
      <c r="H35" s="24"/>
      <c r="I35" s="24"/>
      <c r="J35" s="24"/>
    </row>
    <row r="36" spans="2:10" x14ac:dyDescent="0.25">
      <c r="B36" s="122"/>
      <c r="C36" s="122"/>
      <c r="H36" s="24"/>
      <c r="I36" s="24"/>
      <c r="J36" s="24"/>
    </row>
    <row r="37" spans="2:10" x14ac:dyDescent="0.25">
      <c r="B37" s="122"/>
      <c r="C37" s="122"/>
      <c r="H37" s="24"/>
      <c r="I37" s="24"/>
      <c r="J37" s="24"/>
    </row>
    <row r="38" spans="2:10" x14ac:dyDescent="0.25">
      <c r="B38" s="122"/>
      <c r="C38" s="122"/>
      <c r="H38" s="24"/>
      <c r="I38" s="24"/>
      <c r="J38" s="24"/>
    </row>
    <row r="39" spans="2:10" x14ac:dyDescent="0.25">
      <c r="B39" s="122"/>
      <c r="C39" s="122"/>
      <c r="H39" s="24"/>
      <c r="I39" s="24"/>
      <c r="J39" s="24"/>
    </row>
    <row r="40" spans="2:10" x14ac:dyDescent="0.25">
      <c r="B40" s="122"/>
      <c r="C40" s="122"/>
      <c r="H40" s="24"/>
      <c r="I40" s="24"/>
      <c r="J40" s="24"/>
    </row>
    <row r="41" spans="2:10" x14ac:dyDescent="0.25">
      <c r="B41" s="122"/>
      <c r="C41" s="122"/>
      <c r="H41" s="24"/>
      <c r="I41" s="24"/>
      <c r="J41" s="24"/>
    </row>
    <row r="42" spans="2:10" x14ac:dyDescent="0.25">
      <c r="B42" s="122"/>
      <c r="C42" s="122"/>
      <c r="H42" s="24"/>
      <c r="I42" s="24"/>
      <c r="J42" s="24"/>
    </row>
    <row r="43" spans="2:10" x14ac:dyDescent="0.25">
      <c r="B43" s="122"/>
      <c r="C43" s="122"/>
      <c r="H43" s="24"/>
      <c r="I43" s="24"/>
      <c r="J43" s="24"/>
    </row>
    <row r="44" spans="2:10" x14ac:dyDescent="0.25">
      <c r="B44" s="122"/>
      <c r="C44" s="122"/>
      <c r="H44" s="24"/>
      <c r="I44" s="24"/>
      <c r="J44" s="24"/>
    </row>
    <row r="45" spans="2:10" x14ac:dyDescent="0.25">
      <c r="B45" s="122"/>
      <c r="C45" s="122"/>
      <c r="H45" s="24"/>
      <c r="I45" s="24"/>
      <c r="J45" s="24"/>
    </row>
    <row r="46" spans="2:10" x14ac:dyDescent="0.25">
      <c r="B46" s="122"/>
      <c r="C46" s="122"/>
      <c r="H46" s="24"/>
      <c r="I46" s="24"/>
      <c r="J46" s="24"/>
    </row>
    <row r="47" spans="2:10" x14ac:dyDescent="0.25">
      <c r="B47" s="122"/>
      <c r="C47" s="122"/>
      <c r="H47" s="24"/>
      <c r="I47" s="24"/>
      <c r="J47" s="24"/>
    </row>
    <row r="48" spans="2:10" x14ac:dyDescent="0.25">
      <c r="B48" s="122"/>
      <c r="C48" s="122"/>
      <c r="H48" s="24"/>
      <c r="I48" s="24"/>
      <c r="J48" s="24"/>
    </row>
    <row r="49" spans="2:10" x14ac:dyDescent="0.25">
      <c r="B49" s="122"/>
      <c r="C49" s="122"/>
      <c r="H49" s="24"/>
      <c r="I49" s="24"/>
      <c r="J49" s="24"/>
    </row>
    <row r="50" spans="2:10" x14ac:dyDescent="0.25">
      <c r="B50" s="122"/>
      <c r="C50" s="122"/>
      <c r="H50" s="24"/>
      <c r="I50" s="24"/>
      <c r="J50" s="24"/>
    </row>
    <row r="51" spans="2:10" x14ac:dyDescent="0.25">
      <c r="B51" s="122"/>
      <c r="C51" s="122"/>
      <c r="H51" s="24"/>
      <c r="I51" s="24"/>
      <c r="J51" s="24"/>
    </row>
    <row r="52" spans="2:10" x14ac:dyDescent="0.25">
      <c r="B52" s="122"/>
      <c r="C52" s="122"/>
      <c r="H52" s="24"/>
      <c r="I52" s="24"/>
      <c r="J52" s="24"/>
    </row>
    <row r="53" spans="2:10" x14ac:dyDescent="0.25">
      <c r="B53" s="122"/>
      <c r="C53" s="122"/>
      <c r="H53" s="24"/>
      <c r="I53" s="24"/>
      <c r="J53" s="24"/>
    </row>
    <row r="54" spans="2:10" x14ac:dyDescent="0.25">
      <c r="B54" s="122"/>
      <c r="C54" s="122"/>
      <c r="H54" s="24"/>
      <c r="I54" s="24"/>
      <c r="J54" s="24"/>
    </row>
    <row r="55" spans="2:10" x14ac:dyDescent="0.25">
      <c r="B55" s="122"/>
      <c r="C55" s="122"/>
      <c r="H55" s="24"/>
      <c r="I55" s="24"/>
      <c r="J55" s="24"/>
    </row>
    <row r="56" spans="2:10" x14ac:dyDescent="0.25">
      <c r="B56" s="122"/>
      <c r="C56" s="122"/>
      <c r="H56" s="24"/>
      <c r="I56" s="24"/>
      <c r="J56" s="24"/>
    </row>
    <row r="57" spans="2:10" x14ac:dyDescent="0.25">
      <c r="B57" s="122"/>
      <c r="C57" s="122"/>
      <c r="H57" s="24"/>
      <c r="I57" s="24"/>
      <c r="J57" s="24"/>
    </row>
    <row r="58" spans="2:10" x14ac:dyDescent="0.25">
      <c r="B58" s="122"/>
      <c r="C58" s="122"/>
      <c r="H58" s="24"/>
      <c r="I58" s="24"/>
      <c r="J58" s="24"/>
    </row>
    <row r="59" spans="2:10" x14ac:dyDescent="0.25">
      <c r="B59" s="122"/>
      <c r="C59" s="122"/>
      <c r="H59" s="24"/>
      <c r="I59" s="24"/>
      <c r="J59" s="24"/>
    </row>
    <row r="60" spans="2:10" x14ac:dyDescent="0.25">
      <c r="B60" s="122"/>
      <c r="C60" s="122"/>
      <c r="H60" s="24"/>
      <c r="I60" s="24"/>
      <c r="J60" s="24"/>
    </row>
    <row r="61" spans="2:10" x14ac:dyDescent="0.25">
      <c r="B61" s="122"/>
      <c r="C61" s="122"/>
      <c r="H61" s="24"/>
      <c r="I61" s="24"/>
      <c r="J61" s="24"/>
    </row>
    <row r="62" spans="2:10" x14ac:dyDescent="0.25">
      <c r="B62" s="122"/>
      <c r="C62" s="122"/>
      <c r="H62" s="24"/>
      <c r="I62" s="24"/>
      <c r="J62" s="24"/>
    </row>
    <row r="63" spans="2:10" x14ac:dyDescent="0.25">
      <c r="B63" s="122"/>
      <c r="C63" s="122"/>
      <c r="H63" s="24"/>
      <c r="I63" s="24"/>
      <c r="J63" s="24"/>
    </row>
    <row r="64" spans="2:10" x14ac:dyDescent="0.25">
      <c r="B64" s="122"/>
      <c r="C64" s="122"/>
      <c r="H64" s="24"/>
      <c r="I64" s="24"/>
      <c r="J64" s="24"/>
    </row>
    <row r="65" spans="2:10" x14ac:dyDescent="0.25">
      <c r="B65" s="122"/>
      <c r="C65" s="122"/>
      <c r="H65" s="24"/>
      <c r="I65" s="24"/>
      <c r="J65" s="24"/>
    </row>
    <row r="66" spans="2:10" x14ac:dyDescent="0.25">
      <c r="B66" s="122"/>
      <c r="C66" s="122"/>
      <c r="H66" s="24"/>
      <c r="I66" s="24"/>
      <c r="J66" s="24"/>
    </row>
    <row r="67" spans="2:10" x14ac:dyDescent="0.25">
      <c r="B67" s="122"/>
      <c r="C67" s="122"/>
      <c r="H67" s="24"/>
      <c r="I67" s="24"/>
      <c r="J67" s="24"/>
    </row>
    <row r="68" spans="2:10" x14ac:dyDescent="0.25">
      <c r="B68" s="122"/>
      <c r="C68" s="122"/>
      <c r="H68" s="24"/>
      <c r="I68" s="24"/>
      <c r="J68" s="24"/>
    </row>
    <row r="69" spans="2:10" x14ac:dyDescent="0.25">
      <c r="B69" s="122"/>
      <c r="C69" s="122"/>
      <c r="H69" s="24"/>
      <c r="I69" s="24"/>
      <c r="J69" s="24"/>
    </row>
    <row r="70" spans="2:10" x14ac:dyDescent="0.25">
      <c r="B70" s="122"/>
      <c r="C70" s="122"/>
      <c r="H70" s="24"/>
      <c r="I70" s="24"/>
      <c r="J70" s="24"/>
    </row>
    <row r="71" spans="2:10" x14ac:dyDescent="0.25">
      <c r="B71" s="122"/>
      <c r="C71" s="122"/>
      <c r="H71" s="24"/>
      <c r="I71" s="24"/>
      <c r="J71" s="24"/>
    </row>
    <row r="72" spans="2:10" x14ac:dyDescent="0.25">
      <c r="B72" s="122"/>
      <c r="C72" s="122"/>
      <c r="H72" s="24"/>
      <c r="I72" s="24"/>
      <c r="J72" s="24"/>
    </row>
    <row r="73" spans="2:10" x14ac:dyDescent="0.25">
      <c r="B73" s="122"/>
      <c r="C73" s="122"/>
      <c r="H73" s="24"/>
      <c r="I73" s="24"/>
      <c r="J73" s="24"/>
    </row>
    <row r="74" spans="2:10" x14ac:dyDescent="0.25">
      <c r="B74" s="122"/>
      <c r="C74" s="122"/>
      <c r="H74" s="24"/>
      <c r="I74" s="24"/>
      <c r="J74" s="24"/>
    </row>
    <row r="75" spans="2:10" x14ac:dyDescent="0.25">
      <c r="B75" s="122"/>
      <c r="C75" s="122"/>
      <c r="H75" s="24"/>
      <c r="I75" s="24"/>
      <c r="J75" s="24"/>
    </row>
    <row r="76" spans="2:10" x14ac:dyDescent="0.25">
      <c r="B76" s="122"/>
      <c r="C76" s="122"/>
      <c r="H76" s="24"/>
      <c r="I76" s="24"/>
      <c r="J76" s="24"/>
    </row>
    <row r="77" spans="2:10" x14ac:dyDescent="0.25">
      <c r="B77" s="122"/>
      <c r="C77" s="122"/>
      <c r="H77" s="24"/>
      <c r="I77" s="24"/>
      <c r="J77" s="24"/>
    </row>
    <row r="78" spans="2:10" x14ac:dyDescent="0.25">
      <c r="B78" s="122"/>
      <c r="C78" s="122"/>
      <c r="H78" s="24"/>
      <c r="I78" s="24"/>
      <c r="J78" s="24"/>
    </row>
    <row r="79" spans="2:10" x14ac:dyDescent="0.25">
      <c r="B79" s="122"/>
      <c r="C79" s="122"/>
      <c r="H79" s="24"/>
      <c r="I79" s="24"/>
      <c r="J79" s="24"/>
    </row>
    <row r="80" spans="2:10" x14ac:dyDescent="0.25">
      <c r="B80" s="122"/>
      <c r="C80" s="122"/>
      <c r="H80" s="24"/>
      <c r="I80" s="24"/>
      <c r="J80" s="24"/>
    </row>
    <row r="81" spans="2:10" x14ac:dyDescent="0.25">
      <c r="B81" s="122"/>
      <c r="C81" s="122"/>
      <c r="H81" s="24"/>
      <c r="I81" s="24"/>
      <c r="J81" s="24"/>
    </row>
    <row r="82" spans="2:10" x14ac:dyDescent="0.25">
      <c r="B82" s="122"/>
      <c r="C82" s="122"/>
      <c r="H82" s="24"/>
      <c r="I82" s="24"/>
      <c r="J82" s="24"/>
    </row>
    <row r="83" spans="2:10" x14ac:dyDescent="0.25">
      <c r="B83" s="122"/>
      <c r="C83" s="122"/>
      <c r="H83" s="24"/>
      <c r="I83" s="24"/>
      <c r="J83" s="24"/>
    </row>
    <row r="84" spans="2:10" x14ac:dyDescent="0.25">
      <c r="B84" s="122"/>
      <c r="C84" s="122"/>
      <c r="H84" s="24"/>
      <c r="I84" s="24"/>
      <c r="J84" s="24"/>
    </row>
    <row r="85" spans="2:10" x14ac:dyDescent="0.25">
      <c r="B85" s="122"/>
      <c r="C85" s="122"/>
      <c r="H85" s="24"/>
      <c r="I85" s="24"/>
      <c r="J85" s="24"/>
    </row>
    <row r="86" spans="2:10" x14ac:dyDescent="0.25">
      <c r="B86" s="122"/>
      <c r="C86" s="122"/>
      <c r="H86" s="24"/>
      <c r="I86" s="24"/>
      <c r="J86" s="24"/>
    </row>
    <row r="87" spans="2:10" x14ac:dyDescent="0.25">
      <c r="B87" s="122"/>
      <c r="C87" s="122"/>
      <c r="H87" s="24"/>
      <c r="I87" s="24"/>
      <c r="J87" s="24"/>
    </row>
    <row r="88" spans="2:10" x14ac:dyDescent="0.25">
      <c r="B88" s="122"/>
      <c r="C88" s="122"/>
      <c r="H88" s="24"/>
      <c r="I88" s="24"/>
      <c r="J88" s="24"/>
    </row>
    <row r="89" spans="2:10" x14ac:dyDescent="0.25">
      <c r="B89" s="122"/>
      <c r="C89" s="122"/>
      <c r="H89" s="24"/>
      <c r="I89" s="24"/>
      <c r="J89" s="24"/>
    </row>
    <row r="90" spans="2:10" x14ac:dyDescent="0.25">
      <c r="B90" s="122"/>
      <c r="C90" s="122"/>
      <c r="H90" s="24"/>
      <c r="I90" s="24"/>
      <c r="J90" s="24"/>
    </row>
    <row r="91" spans="2:10" x14ac:dyDescent="0.25">
      <c r="B91" s="122"/>
      <c r="C91" s="122"/>
      <c r="H91" s="24"/>
      <c r="I91" s="24"/>
      <c r="J91" s="24"/>
    </row>
    <row r="92" spans="2:10" x14ac:dyDescent="0.25">
      <c r="B92" s="122"/>
      <c r="C92" s="122"/>
      <c r="H92" s="24"/>
      <c r="I92" s="24"/>
      <c r="J92" s="24"/>
    </row>
    <row r="93" spans="2:10" x14ac:dyDescent="0.25">
      <c r="B93" s="122"/>
      <c r="C93" s="122"/>
      <c r="H93" s="24"/>
      <c r="I93" s="24"/>
      <c r="J93" s="24"/>
    </row>
    <row r="94" spans="2:10" x14ac:dyDescent="0.25">
      <c r="B94" s="122"/>
      <c r="C94" s="122"/>
      <c r="H94" s="24"/>
      <c r="I94" s="24"/>
      <c r="J94" s="24"/>
    </row>
    <row r="95" spans="2:10" x14ac:dyDescent="0.25">
      <c r="B95" s="122"/>
      <c r="C95" s="122"/>
      <c r="H95" s="24"/>
      <c r="I95" s="24"/>
      <c r="J95" s="24"/>
    </row>
    <row r="96" spans="2:10" x14ac:dyDescent="0.25">
      <c r="B96" s="122"/>
      <c r="C96" s="122"/>
      <c r="H96" s="24"/>
      <c r="I96" s="24"/>
      <c r="J96" s="24"/>
    </row>
    <row r="97" spans="2:10" x14ac:dyDescent="0.25">
      <c r="B97" s="122"/>
      <c r="C97" s="122"/>
      <c r="H97" s="24"/>
      <c r="I97" s="24"/>
      <c r="J97" s="24"/>
    </row>
    <row r="98" spans="2:10" x14ac:dyDescent="0.25">
      <c r="B98" s="122"/>
      <c r="C98" s="122"/>
      <c r="H98" s="24"/>
      <c r="I98" s="24"/>
      <c r="J98" s="24"/>
    </row>
    <row r="99" spans="2:10" x14ac:dyDescent="0.25">
      <c r="B99" s="122"/>
      <c r="C99" s="122"/>
      <c r="H99" s="24"/>
      <c r="I99" s="24"/>
      <c r="J99" s="24"/>
    </row>
    <row r="100" spans="2:10" x14ac:dyDescent="0.25">
      <c r="B100" s="122"/>
      <c r="C100" s="122"/>
      <c r="H100" s="24"/>
      <c r="I100" s="24"/>
      <c r="J100" s="24"/>
    </row>
    <row r="101" spans="2:10" x14ac:dyDescent="0.25">
      <c r="B101" s="122"/>
      <c r="C101" s="122"/>
      <c r="H101" s="24"/>
      <c r="I101" s="24"/>
      <c r="J101" s="24"/>
    </row>
    <row r="102" spans="2:10" x14ac:dyDescent="0.25">
      <c r="H102" s="24"/>
      <c r="I102" s="24"/>
      <c r="J102" s="24"/>
    </row>
  </sheetData>
  <autoFilter ref="A2:H2"/>
  <mergeCells count="1">
    <mergeCell ref="A1:E1"/>
  </mergeCells>
  <conditionalFormatting sqref="A3:A4">
    <cfRule type="expression" dxfId="2" priority="3">
      <formula>$O3&gt;0</formula>
    </cfRule>
  </conditionalFormatting>
  <conditionalFormatting sqref="A3:A4">
    <cfRule type="expression" dxfId="1" priority="2">
      <formula>$P3&gt;0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EA03FC-6265-46A3-B2A7-060032ACB64E}">
            <xm:f>IF($AG3="EC",$N3&gt;Variables!$C$2,$N3&gt;Variables!$D$2)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A3:A4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42602.033460648148</v>
      </c>
      <c r="B1" s="24" t="s">
        <v>217</v>
      </c>
      <c r="C1" s="24" t="s">
        <v>282</v>
      </c>
      <c r="D1" s="24">
        <v>1300000</v>
      </c>
      <c r="E1" s="24" t="s">
        <v>148</v>
      </c>
      <c r="F1" s="24" t="str">
        <f>B1</f>
        <v>rtdc.l.rtdc.4002:itc</v>
      </c>
      <c r="G1" s="8">
        <f>A1</f>
        <v>42602.033460648148</v>
      </c>
    </row>
    <row r="2" spans="1:7" x14ac:dyDescent="0.25">
      <c r="A2" s="8">
        <v>42602.036608796298</v>
      </c>
      <c r="B2" s="24" t="s">
        <v>231</v>
      </c>
      <c r="C2" s="24" t="s">
        <v>279</v>
      </c>
      <c r="D2" s="24">
        <v>1800000</v>
      </c>
      <c r="E2" s="24" t="s">
        <v>206</v>
      </c>
      <c r="F2" s="24" t="str">
        <f t="shared" ref="F2:F65" si="0">B2</f>
        <v>rtdc.l.rtdc.4041:itc</v>
      </c>
      <c r="G2" s="8">
        <f t="shared" ref="G2:G65" si="1">A2</f>
        <v>42602.036608796298</v>
      </c>
    </row>
    <row r="3" spans="1:7" x14ac:dyDescent="0.25">
      <c r="A3" s="8">
        <v>42602.04959490741</v>
      </c>
      <c r="B3" s="24" t="s">
        <v>115</v>
      </c>
      <c r="C3" s="24" t="s">
        <v>284</v>
      </c>
      <c r="D3" s="24">
        <v>2100000</v>
      </c>
      <c r="E3" s="24" t="s">
        <v>144</v>
      </c>
      <c r="F3" s="24" t="str">
        <f t="shared" si="0"/>
        <v>rtdc.l.rtdc.4014:itc</v>
      </c>
      <c r="G3" s="8">
        <f t="shared" si="1"/>
        <v>42602.04959490741</v>
      </c>
    </row>
    <row r="4" spans="1:7" x14ac:dyDescent="0.25">
      <c r="A4" s="8">
        <v>42602.052037037036</v>
      </c>
      <c r="B4" s="24" t="s">
        <v>187</v>
      </c>
      <c r="C4" s="24" t="s">
        <v>281</v>
      </c>
      <c r="D4" s="24">
        <v>2110000</v>
      </c>
      <c r="E4" s="24" t="s">
        <v>205</v>
      </c>
      <c r="F4" s="24" t="str">
        <f t="shared" si="0"/>
        <v>rtdc.l.rtdc.4019:itc</v>
      </c>
      <c r="G4" s="8">
        <f t="shared" si="1"/>
        <v>42602.052037037036</v>
      </c>
    </row>
    <row r="5" spans="1:7" x14ac:dyDescent="0.25">
      <c r="A5" s="8">
        <v>42602.071122685185</v>
      </c>
      <c r="B5" s="24" t="s">
        <v>160</v>
      </c>
      <c r="C5" s="24" t="s">
        <v>285</v>
      </c>
      <c r="D5" s="24">
        <v>1800000</v>
      </c>
      <c r="E5" s="24" t="s">
        <v>206</v>
      </c>
      <c r="F5" s="24" t="str">
        <f t="shared" si="0"/>
        <v>rtdc.l.rtdc.4042:itc</v>
      </c>
      <c r="G5" s="8">
        <f t="shared" si="1"/>
        <v>42602.071122685185</v>
      </c>
    </row>
    <row r="6" spans="1:7" x14ac:dyDescent="0.25">
      <c r="A6" s="8">
        <v>42602.075162037036</v>
      </c>
      <c r="B6" s="24" t="s">
        <v>218</v>
      </c>
      <c r="C6" s="24" t="s">
        <v>283</v>
      </c>
      <c r="D6" s="24">
        <v>1300000</v>
      </c>
      <c r="E6" s="24" t="s">
        <v>148</v>
      </c>
      <c r="F6" s="24" t="str">
        <f t="shared" si="0"/>
        <v>rtdc.l.rtdc.4001:itc</v>
      </c>
      <c r="G6" s="8">
        <f t="shared" si="1"/>
        <v>42602.075162037036</v>
      </c>
    </row>
    <row r="7" spans="1:7" x14ac:dyDescent="0.25">
      <c r="A7" s="8">
        <v>42602.090532407405</v>
      </c>
      <c r="B7" s="24" t="s">
        <v>186</v>
      </c>
      <c r="C7" s="24" t="s">
        <v>286</v>
      </c>
      <c r="D7" s="24">
        <v>2110000</v>
      </c>
      <c r="E7" s="24" t="s">
        <v>205</v>
      </c>
      <c r="F7" s="24" t="str">
        <f t="shared" si="0"/>
        <v>rtdc.l.rtdc.4020:itc</v>
      </c>
      <c r="G7" s="8">
        <f t="shared" si="1"/>
        <v>42602.090532407405</v>
      </c>
    </row>
    <row r="8" spans="1:7" x14ac:dyDescent="0.25">
      <c r="A8" s="8">
        <v>42602.102951388886</v>
      </c>
      <c r="B8" s="24" t="s">
        <v>186</v>
      </c>
      <c r="C8" s="24" t="s">
        <v>286</v>
      </c>
      <c r="D8" s="24">
        <v>2110000</v>
      </c>
      <c r="E8" s="24" t="s">
        <v>205</v>
      </c>
      <c r="F8" s="24" t="str">
        <f t="shared" si="0"/>
        <v>rtdc.l.rtdc.4020:itc</v>
      </c>
      <c r="G8" s="8">
        <f t="shared" si="1"/>
        <v>42602.102951388886</v>
      </c>
    </row>
    <row r="9" spans="1:7" ht="15.75" thickBot="1" x14ac:dyDescent="0.3">
      <c r="A9" s="28">
        <v>42602.109270833331</v>
      </c>
      <c r="B9" s="24" t="s">
        <v>217</v>
      </c>
      <c r="C9" s="24" t="s">
        <v>289</v>
      </c>
      <c r="D9" s="24">
        <v>1300000</v>
      </c>
      <c r="E9" s="24" t="s">
        <v>148</v>
      </c>
      <c r="F9" s="24" t="str">
        <f t="shared" si="0"/>
        <v>rtdc.l.rtdc.4002:itc</v>
      </c>
      <c r="G9" s="8">
        <f t="shared" si="1"/>
        <v>42602.109270833331</v>
      </c>
    </row>
    <row r="10" spans="1:7" x14ac:dyDescent="0.25">
      <c r="A10" s="8">
        <v>42602.119328703702</v>
      </c>
      <c r="B10" s="24" t="s">
        <v>196</v>
      </c>
      <c r="C10" s="24" t="s">
        <v>622</v>
      </c>
      <c r="D10" s="24">
        <v>2010000</v>
      </c>
      <c r="E10" s="24" t="s">
        <v>234</v>
      </c>
      <c r="F10" s="24" t="str">
        <f t="shared" si="0"/>
        <v>rtdc.l.rtdc.4043:itc</v>
      </c>
      <c r="G10" s="8">
        <f t="shared" si="1"/>
        <v>42602.119328703702</v>
      </c>
    </row>
    <row r="11" spans="1:7" x14ac:dyDescent="0.25">
      <c r="A11" s="8">
        <v>42602.123981481483</v>
      </c>
      <c r="B11" s="24" t="s">
        <v>196</v>
      </c>
      <c r="C11" s="24" t="s">
        <v>622</v>
      </c>
      <c r="D11" s="24">
        <v>2010000</v>
      </c>
      <c r="E11" s="24" t="s">
        <v>234</v>
      </c>
      <c r="F11" s="24" t="str">
        <f t="shared" si="0"/>
        <v>rtdc.l.rtdc.4043:itc</v>
      </c>
      <c r="G11" s="8">
        <f t="shared" si="1"/>
        <v>42602.123981481483</v>
      </c>
    </row>
    <row r="12" spans="1:7" x14ac:dyDescent="0.25">
      <c r="A12" s="8">
        <v>42602.143310185187</v>
      </c>
      <c r="B12" s="24" t="s">
        <v>95</v>
      </c>
      <c r="C12" s="24" t="s">
        <v>314</v>
      </c>
      <c r="D12" s="24">
        <v>2010000</v>
      </c>
      <c r="E12" s="24" t="s">
        <v>234</v>
      </c>
      <c r="F12" s="24" t="str">
        <f t="shared" si="0"/>
        <v>rtdc.l.rtdc.4027:itc</v>
      </c>
      <c r="G12" s="8">
        <f t="shared" si="1"/>
        <v>42602.143310185187</v>
      </c>
    </row>
    <row r="13" spans="1:7" x14ac:dyDescent="0.25">
      <c r="A13" s="8">
        <v>42602.159837962965</v>
      </c>
      <c r="B13" s="24" t="s">
        <v>199</v>
      </c>
      <c r="C13" s="24" t="s">
        <v>318</v>
      </c>
      <c r="D13" s="24">
        <v>1310000</v>
      </c>
      <c r="E13" s="24" t="s">
        <v>250</v>
      </c>
      <c r="F13" s="24" t="str">
        <f t="shared" si="0"/>
        <v>rtdc.l.rtdc.4009:itc</v>
      </c>
      <c r="G13" s="8">
        <f t="shared" si="1"/>
        <v>42602.159837962965</v>
      </c>
    </row>
    <row r="14" spans="1:7" x14ac:dyDescent="0.25">
      <c r="A14" s="8">
        <v>42602.172488425924</v>
      </c>
      <c r="B14" s="24" t="s">
        <v>196</v>
      </c>
      <c r="C14" s="24" t="s">
        <v>316</v>
      </c>
      <c r="D14" s="24">
        <v>2010000</v>
      </c>
      <c r="E14" s="24" t="s">
        <v>234</v>
      </c>
      <c r="F14" s="24" t="str">
        <f t="shared" si="0"/>
        <v>rtdc.l.rtdc.4043:itc</v>
      </c>
      <c r="G14" s="8">
        <f t="shared" si="1"/>
        <v>42602.172488425924</v>
      </c>
    </row>
    <row r="15" spans="1:7" x14ac:dyDescent="0.25">
      <c r="A15" s="8">
        <v>42602.177048611113</v>
      </c>
      <c r="B15" s="24" t="s">
        <v>185</v>
      </c>
      <c r="C15" s="24" t="s">
        <v>635</v>
      </c>
      <c r="D15" s="24">
        <v>1990000</v>
      </c>
      <c r="E15" s="24" t="s">
        <v>306</v>
      </c>
      <c r="F15" s="24" t="str">
        <f t="shared" si="0"/>
        <v>rtdc.l.rtdc.4008:itc</v>
      </c>
      <c r="G15" s="8">
        <f t="shared" si="1"/>
        <v>42602.177048611113</v>
      </c>
    </row>
    <row r="16" spans="1:7" x14ac:dyDescent="0.25">
      <c r="A16" s="8">
        <v>42602.182719907411</v>
      </c>
      <c r="B16" s="24" t="s">
        <v>117</v>
      </c>
      <c r="C16" s="24" t="s">
        <v>322</v>
      </c>
      <c r="D16" s="24">
        <v>1260000</v>
      </c>
      <c r="E16" s="24" t="s">
        <v>636</v>
      </c>
      <c r="F16" s="24" t="str">
        <f t="shared" si="0"/>
        <v>rtdc.l.rtdc.4031:itc</v>
      </c>
      <c r="G16" s="8">
        <f t="shared" si="1"/>
        <v>42602.182719907411</v>
      </c>
    </row>
    <row r="17" spans="1:7" x14ac:dyDescent="0.25">
      <c r="A17" s="8">
        <v>42602.187916666669</v>
      </c>
      <c r="B17" s="24" t="s">
        <v>233</v>
      </c>
      <c r="C17" s="24" t="s">
        <v>327</v>
      </c>
      <c r="D17" s="24">
        <v>1990000</v>
      </c>
      <c r="E17" s="24" t="s">
        <v>306</v>
      </c>
      <c r="F17" s="24" t="str">
        <f t="shared" si="0"/>
        <v>rtdc.l.rtdc.4007:itc</v>
      </c>
      <c r="G17" s="8">
        <f t="shared" si="1"/>
        <v>42602.187916666669</v>
      </c>
    </row>
    <row r="18" spans="1:7" x14ac:dyDescent="0.25">
      <c r="A18" s="8">
        <v>42602.190659722219</v>
      </c>
      <c r="B18" s="24" t="s">
        <v>302</v>
      </c>
      <c r="C18" s="24" t="s">
        <v>320</v>
      </c>
      <c r="D18" s="24">
        <v>1310000</v>
      </c>
      <c r="E18" s="24" t="s">
        <v>250</v>
      </c>
      <c r="F18" s="24" t="str">
        <f t="shared" si="0"/>
        <v>rtdc.l.rtdc.4017:itc</v>
      </c>
      <c r="G18" s="8">
        <f t="shared" si="1"/>
        <v>42602.190659722219</v>
      </c>
    </row>
    <row r="19" spans="1:7" x14ac:dyDescent="0.25">
      <c r="A19" s="8">
        <v>42602.191932870373</v>
      </c>
      <c r="B19" s="24" t="s">
        <v>302</v>
      </c>
      <c r="C19" s="24" t="s">
        <v>320</v>
      </c>
      <c r="D19" s="24">
        <v>1310000</v>
      </c>
      <c r="E19" s="24" t="s">
        <v>250</v>
      </c>
      <c r="F19" s="24" t="str">
        <f t="shared" si="0"/>
        <v>rtdc.l.rtdc.4017:itc</v>
      </c>
      <c r="G19" s="8">
        <f t="shared" si="1"/>
        <v>42602.191932870373</v>
      </c>
    </row>
    <row r="20" spans="1:7" x14ac:dyDescent="0.25">
      <c r="A20" s="8">
        <v>42602.196053240739</v>
      </c>
      <c r="B20" s="24" t="s">
        <v>304</v>
      </c>
      <c r="C20" s="24" t="s">
        <v>330</v>
      </c>
      <c r="D20" s="24">
        <v>2030000</v>
      </c>
      <c r="E20" s="24" t="s">
        <v>637</v>
      </c>
      <c r="F20" s="24" t="str">
        <f t="shared" si="0"/>
        <v>rtdc.l.rtdc.4003:itc</v>
      </c>
      <c r="G20" s="8">
        <f t="shared" si="1"/>
        <v>42602.196053240739</v>
      </c>
    </row>
    <row r="21" spans="1:7" x14ac:dyDescent="0.25">
      <c r="A21" s="8">
        <v>42602.206608796296</v>
      </c>
      <c r="B21" s="24" t="s">
        <v>95</v>
      </c>
      <c r="C21" s="24" t="s">
        <v>333</v>
      </c>
      <c r="D21" s="24">
        <v>1100000</v>
      </c>
      <c r="E21" s="24" t="s">
        <v>251</v>
      </c>
      <c r="F21" s="24" t="str">
        <f t="shared" si="0"/>
        <v>rtdc.l.rtdc.4027:itc</v>
      </c>
      <c r="G21" s="8">
        <f t="shared" si="1"/>
        <v>42602.206608796296</v>
      </c>
    </row>
    <row r="22" spans="1:7" x14ac:dyDescent="0.25">
      <c r="A22" s="30">
        <v>42602.213078703702</v>
      </c>
      <c r="B22" s="24" t="s">
        <v>152</v>
      </c>
      <c r="C22" s="24" t="s">
        <v>325</v>
      </c>
      <c r="D22" s="24">
        <v>1260000</v>
      </c>
      <c r="E22" s="24" t="s">
        <v>636</v>
      </c>
      <c r="F22" s="24" t="str">
        <f t="shared" si="0"/>
        <v>rtdc.l.rtdc.4037:itc</v>
      </c>
      <c r="G22" s="8">
        <f t="shared" si="1"/>
        <v>42602.213078703702</v>
      </c>
    </row>
    <row r="23" spans="1:7" x14ac:dyDescent="0.25">
      <c r="A23" s="8">
        <v>42602.214212962965</v>
      </c>
      <c r="B23" s="24" t="s">
        <v>152</v>
      </c>
      <c r="C23" s="24" t="s">
        <v>325</v>
      </c>
      <c r="D23" s="24">
        <v>1260000</v>
      </c>
      <c r="E23" s="24" t="s">
        <v>636</v>
      </c>
      <c r="F23" s="24" t="str">
        <f t="shared" si="0"/>
        <v>rtdc.l.rtdc.4037:itc</v>
      </c>
      <c r="G23" s="8">
        <f t="shared" si="1"/>
        <v>42602.214212962965</v>
      </c>
    </row>
    <row r="24" spans="1:7" x14ac:dyDescent="0.25">
      <c r="A24" s="8">
        <v>42602.215312499997</v>
      </c>
      <c r="B24" s="24" t="s">
        <v>236</v>
      </c>
      <c r="C24" s="24" t="s">
        <v>336</v>
      </c>
      <c r="D24" s="24">
        <v>2010000</v>
      </c>
      <c r="E24" s="24" t="s">
        <v>234</v>
      </c>
      <c r="F24" s="24" t="str">
        <f t="shared" si="0"/>
        <v>rtdc.l.rtdc.4044:itc</v>
      </c>
      <c r="G24" s="8">
        <f t="shared" si="1"/>
        <v>42602.215312499997</v>
      </c>
    </row>
    <row r="25" spans="1:7" x14ac:dyDescent="0.25">
      <c r="A25" s="8">
        <v>42602.225046296298</v>
      </c>
      <c r="B25" s="24" t="s">
        <v>185</v>
      </c>
      <c r="C25" s="24" t="s">
        <v>329</v>
      </c>
      <c r="D25" s="24">
        <v>1990000</v>
      </c>
      <c r="E25" s="24" t="s">
        <v>306</v>
      </c>
      <c r="F25" s="24" t="str">
        <f t="shared" si="0"/>
        <v>rtdc.l.rtdc.4008:itc</v>
      </c>
      <c r="G25" s="8">
        <f t="shared" si="1"/>
        <v>42602.225046296298</v>
      </c>
    </row>
    <row r="26" spans="1:7" x14ac:dyDescent="0.25">
      <c r="A26" s="8">
        <v>42602.230833333335</v>
      </c>
      <c r="B26" s="24" t="s">
        <v>199</v>
      </c>
      <c r="C26" s="24" t="s">
        <v>338</v>
      </c>
      <c r="D26" s="24">
        <v>1740000</v>
      </c>
      <c r="E26" s="24" t="s">
        <v>638</v>
      </c>
      <c r="F26" s="24" t="str">
        <f t="shared" si="0"/>
        <v>rtdc.l.rtdc.4009:itc</v>
      </c>
      <c r="G26" s="8">
        <f t="shared" si="1"/>
        <v>42602.230833333335</v>
      </c>
    </row>
    <row r="27" spans="1:7" x14ac:dyDescent="0.25">
      <c r="A27" s="8">
        <v>42602.232407407406</v>
      </c>
      <c r="B27" s="24" t="s">
        <v>230</v>
      </c>
      <c r="C27" s="24" t="s">
        <v>438</v>
      </c>
      <c r="D27" s="24">
        <v>1830000</v>
      </c>
      <c r="E27" s="24" t="s">
        <v>639</v>
      </c>
      <c r="F27" s="24" t="str">
        <f t="shared" si="0"/>
        <v>rtdc.l.rtdc.4026:itc</v>
      </c>
      <c r="G27" s="8">
        <f t="shared" si="1"/>
        <v>42602.232407407406</v>
      </c>
    </row>
    <row r="28" spans="1:7" x14ac:dyDescent="0.25">
      <c r="A28" s="8">
        <v>42602.234120370369</v>
      </c>
      <c r="B28" s="24" t="s">
        <v>303</v>
      </c>
      <c r="C28" s="24" t="s">
        <v>341</v>
      </c>
      <c r="D28" s="24">
        <v>1310000</v>
      </c>
      <c r="E28" s="24" t="s">
        <v>250</v>
      </c>
      <c r="F28" s="24" t="str">
        <f t="shared" si="0"/>
        <v>rtdc.l.rtdc.4018:itc</v>
      </c>
      <c r="G28" s="8">
        <f t="shared" si="1"/>
        <v>42602.234120370369</v>
      </c>
    </row>
    <row r="29" spans="1:7" x14ac:dyDescent="0.25">
      <c r="A29" s="8">
        <v>42602.235821759263</v>
      </c>
      <c r="B29" s="24" t="s">
        <v>305</v>
      </c>
      <c r="C29" s="24" t="s">
        <v>332</v>
      </c>
      <c r="D29" s="24">
        <v>2030000</v>
      </c>
      <c r="E29" s="24" t="s">
        <v>637</v>
      </c>
      <c r="F29" s="24" t="str">
        <f t="shared" si="0"/>
        <v>rtdc.l.rtdc.4004:itc</v>
      </c>
      <c r="G29" s="8">
        <f t="shared" si="1"/>
        <v>42602.235821759263</v>
      </c>
    </row>
    <row r="30" spans="1:7" x14ac:dyDescent="0.25">
      <c r="A30" s="8">
        <v>42602.244293981479</v>
      </c>
      <c r="B30" s="24" t="s">
        <v>159</v>
      </c>
      <c r="C30" s="24" t="s">
        <v>335</v>
      </c>
      <c r="D30" s="24">
        <v>1100000</v>
      </c>
      <c r="E30" s="24" t="s">
        <v>251</v>
      </c>
      <c r="F30" s="24" t="str">
        <f t="shared" si="0"/>
        <v>rtdc.l.rtdc.4028:itc</v>
      </c>
      <c r="G30" s="8">
        <f t="shared" si="1"/>
        <v>42602.244293981479</v>
      </c>
    </row>
    <row r="31" spans="1:7" x14ac:dyDescent="0.25">
      <c r="A31" s="8">
        <v>42602.247118055559</v>
      </c>
      <c r="B31" s="24" t="s">
        <v>232</v>
      </c>
      <c r="C31" s="24" t="s">
        <v>440</v>
      </c>
      <c r="D31" s="24">
        <v>1830000</v>
      </c>
      <c r="E31" s="24" t="s">
        <v>639</v>
      </c>
      <c r="F31" s="24" t="str">
        <f t="shared" si="0"/>
        <v>rtdc.l.rtdc.4025:itc</v>
      </c>
      <c r="G31" s="8">
        <f t="shared" si="1"/>
        <v>42602.247118055559</v>
      </c>
    </row>
    <row r="32" spans="1:7" x14ac:dyDescent="0.25">
      <c r="A32" s="8">
        <v>42602.248495370368</v>
      </c>
      <c r="B32" s="24" t="s">
        <v>117</v>
      </c>
      <c r="C32" s="24" t="s">
        <v>343</v>
      </c>
      <c r="D32" s="24">
        <v>1260000</v>
      </c>
      <c r="E32" s="24" t="s">
        <v>636</v>
      </c>
      <c r="F32" s="24" t="str">
        <f t="shared" si="0"/>
        <v>rtdc.l.rtdc.4031:itc</v>
      </c>
      <c r="G32" s="8">
        <f t="shared" si="1"/>
        <v>42602.248495370368</v>
      </c>
    </row>
    <row r="33" spans="1:7" x14ac:dyDescent="0.25">
      <c r="A33" s="8">
        <v>42602.252685185187</v>
      </c>
      <c r="B33" s="24" t="s">
        <v>196</v>
      </c>
      <c r="C33" s="24" t="s">
        <v>337</v>
      </c>
      <c r="D33" s="24">
        <v>2010000</v>
      </c>
      <c r="E33" s="24" t="s">
        <v>234</v>
      </c>
      <c r="F33" s="24" t="str">
        <f t="shared" si="0"/>
        <v>rtdc.l.rtdc.4043:itc</v>
      </c>
      <c r="G33" s="8">
        <f t="shared" si="1"/>
        <v>42602.252685185187</v>
      </c>
    </row>
    <row r="34" spans="1:7" x14ac:dyDescent="0.25">
      <c r="A34" s="8">
        <v>42602.254826388889</v>
      </c>
      <c r="B34" s="24" t="s">
        <v>117</v>
      </c>
      <c r="C34" s="24" t="s">
        <v>343</v>
      </c>
      <c r="D34" s="24">
        <v>1260000</v>
      </c>
      <c r="E34" s="24" t="s">
        <v>636</v>
      </c>
      <c r="F34" s="24" t="str">
        <f t="shared" si="0"/>
        <v>rtdc.l.rtdc.4031:itc</v>
      </c>
      <c r="G34" s="8">
        <f t="shared" si="1"/>
        <v>42602.254826388889</v>
      </c>
    </row>
    <row r="35" spans="1:7" x14ac:dyDescent="0.25">
      <c r="A35" s="8">
        <v>42602.256990740738</v>
      </c>
      <c r="B35" s="24" t="s">
        <v>233</v>
      </c>
      <c r="C35" s="24" t="s">
        <v>348</v>
      </c>
      <c r="D35" s="24">
        <v>1990000</v>
      </c>
      <c r="E35" s="24" t="s">
        <v>306</v>
      </c>
      <c r="F35" s="24" t="str">
        <f t="shared" si="0"/>
        <v>rtdc.l.rtdc.4007:itc</v>
      </c>
      <c r="G35" s="8">
        <f t="shared" si="1"/>
        <v>42602.256990740738</v>
      </c>
    </row>
    <row r="36" spans="1:7" x14ac:dyDescent="0.25">
      <c r="A36" s="8">
        <v>42602.265405092592</v>
      </c>
      <c r="B36" s="24" t="s">
        <v>200</v>
      </c>
      <c r="C36" s="24" t="s">
        <v>340</v>
      </c>
      <c r="D36" s="24">
        <v>1740000</v>
      </c>
      <c r="E36" s="24" t="s">
        <v>638</v>
      </c>
      <c r="F36" s="24" t="str">
        <f t="shared" si="0"/>
        <v>rtdc.l.rtdc.4010:itc</v>
      </c>
      <c r="G36" s="8">
        <f t="shared" si="1"/>
        <v>42602.265405092592</v>
      </c>
    </row>
    <row r="37" spans="1:7" x14ac:dyDescent="0.25">
      <c r="A37" s="8">
        <v>42602.268738425926</v>
      </c>
      <c r="B37" s="24" t="s">
        <v>304</v>
      </c>
      <c r="C37" s="24" t="s">
        <v>352</v>
      </c>
      <c r="D37" s="24">
        <v>2030000</v>
      </c>
      <c r="E37" s="24" t="s">
        <v>637</v>
      </c>
      <c r="F37" s="24" t="str">
        <f t="shared" si="0"/>
        <v>rtdc.l.rtdc.4003:itc</v>
      </c>
      <c r="G37" s="8">
        <f t="shared" si="1"/>
        <v>42602.268738425926</v>
      </c>
    </row>
    <row r="38" spans="1:7" x14ac:dyDescent="0.25">
      <c r="A38" s="8">
        <v>42602.275254629632</v>
      </c>
      <c r="B38" s="24" t="s">
        <v>230</v>
      </c>
      <c r="C38" s="24" t="s">
        <v>442</v>
      </c>
      <c r="D38" s="24">
        <v>1830000</v>
      </c>
      <c r="E38" s="24" t="s">
        <v>639</v>
      </c>
      <c r="F38" s="24" t="str">
        <f t="shared" si="0"/>
        <v>rtdc.l.rtdc.4026:itc</v>
      </c>
      <c r="G38" s="8">
        <f t="shared" si="1"/>
        <v>42602.275254629632</v>
      </c>
    </row>
    <row r="39" spans="1:7" x14ac:dyDescent="0.25">
      <c r="A39" s="8">
        <v>42602.277499999997</v>
      </c>
      <c r="B39" s="24" t="s">
        <v>302</v>
      </c>
      <c r="C39" s="24" t="s">
        <v>342</v>
      </c>
      <c r="D39" s="24">
        <v>1310000</v>
      </c>
      <c r="E39" s="24" t="s">
        <v>250</v>
      </c>
      <c r="F39" s="24" t="str">
        <f t="shared" si="0"/>
        <v>rtdc.l.rtdc.4017:itc</v>
      </c>
      <c r="G39" s="8">
        <f t="shared" si="1"/>
        <v>42602.277499999997</v>
      </c>
    </row>
    <row r="40" spans="1:7" x14ac:dyDescent="0.25">
      <c r="A40" s="8">
        <v>42602.278136574074</v>
      </c>
      <c r="B40" s="29" t="s">
        <v>95</v>
      </c>
      <c r="C40" s="24" t="s">
        <v>354</v>
      </c>
      <c r="D40" s="24">
        <v>1100000</v>
      </c>
      <c r="E40" s="24" t="s">
        <v>251</v>
      </c>
      <c r="F40" s="24" t="str">
        <f t="shared" si="0"/>
        <v>rtdc.l.rtdc.4027:itc</v>
      </c>
      <c r="G40" s="8">
        <f t="shared" si="1"/>
        <v>42602.278136574074</v>
      </c>
    </row>
    <row r="41" spans="1:7" x14ac:dyDescent="0.25">
      <c r="A41" s="8">
        <v>42602.284722222219</v>
      </c>
      <c r="B41" s="24" t="s">
        <v>118</v>
      </c>
      <c r="C41" s="24" t="s">
        <v>347</v>
      </c>
      <c r="D41" s="24">
        <v>1260000</v>
      </c>
      <c r="E41" s="24" t="s">
        <v>636</v>
      </c>
      <c r="F41" s="24" t="str">
        <f t="shared" si="0"/>
        <v>rtdc.l.rtdc.4032:itc</v>
      </c>
      <c r="G41" s="8">
        <f t="shared" si="1"/>
        <v>42602.284722222219</v>
      </c>
    </row>
    <row r="42" spans="1:7" x14ac:dyDescent="0.25">
      <c r="A42" s="8">
        <v>42602.288124999999</v>
      </c>
      <c r="B42" s="24" t="s">
        <v>236</v>
      </c>
      <c r="C42" s="24" t="s">
        <v>357</v>
      </c>
      <c r="D42" s="24">
        <v>2010000</v>
      </c>
      <c r="E42" s="24" t="s">
        <v>234</v>
      </c>
      <c r="F42" s="24" t="str">
        <f t="shared" si="0"/>
        <v>rtdc.l.rtdc.4044:itc</v>
      </c>
      <c r="G42" s="8">
        <f t="shared" si="1"/>
        <v>42602.288124999999</v>
      </c>
    </row>
    <row r="43" spans="1:7" x14ac:dyDescent="0.25">
      <c r="A43" s="8">
        <v>42602.288923611108</v>
      </c>
      <c r="B43" s="24" t="s">
        <v>232</v>
      </c>
      <c r="C43" s="24" t="s">
        <v>443</v>
      </c>
      <c r="D43" s="24">
        <v>1830000</v>
      </c>
      <c r="E43" s="24" t="s">
        <v>639</v>
      </c>
      <c r="F43" s="24" t="str">
        <f t="shared" si="0"/>
        <v>rtdc.l.rtdc.4025:itc</v>
      </c>
      <c r="G43" s="8">
        <f t="shared" si="1"/>
        <v>42602.288923611108</v>
      </c>
    </row>
    <row r="44" spans="1:7" x14ac:dyDescent="0.25">
      <c r="A44" s="8">
        <v>42602.293078703704</v>
      </c>
      <c r="B44" s="24" t="s">
        <v>185</v>
      </c>
      <c r="C44" s="24" t="s">
        <v>350</v>
      </c>
      <c r="D44" s="24">
        <v>1990000</v>
      </c>
      <c r="E44" s="24" t="s">
        <v>306</v>
      </c>
      <c r="F44" s="24" t="str">
        <f t="shared" si="0"/>
        <v>rtdc.l.rtdc.4008:itc</v>
      </c>
      <c r="G44" s="8">
        <f t="shared" si="1"/>
        <v>42602.293078703704</v>
      </c>
    </row>
    <row r="45" spans="1:7" x14ac:dyDescent="0.25">
      <c r="A45" s="8">
        <v>42602.297789351855</v>
      </c>
      <c r="B45" s="24" t="s">
        <v>199</v>
      </c>
      <c r="C45" s="24" t="s">
        <v>359</v>
      </c>
      <c r="D45" s="24">
        <v>1740000</v>
      </c>
      <c r="E45" s="24" t="s">
        <v>638</v>
      </c>
      <c r="F45" s="24" t="str">
        <f t="shared" si="0"/>
        <v>rtdc.l.rtdc.4009:itc</v>
      </c>
      <c r="G45" s="8">
        <f t="shared" si="1"/>
        <v>42602.297789351855</v>
      </c>
    </row>
    <row r="46" spans="1:7" x14ac:dyDescent="0.25">
      <c r="A46" s="8">
        <v>42602.301990740743</v>
      </c>
      <c r="B46" s="24" t="s">
        <v>305</v>
      </c>
      <c r="C46" s="24" t="s">
        <v>353</v>
      </c>
      <c r="D46" s="24">
        <v>2030000</v>
      </c>
      <c r="E46" s="24" t="s">
        <v>637</v>
      </c>
      <c r="F46" s="24" t="str">
        <f t="shared" si="0"/>
        <v>rtdc.l.rtdc.4004:itc</v>
      </c>
      <c r="G46" s="8">
        <f t="shared" si="1"/>
        <v>42602.301990740743</v>
      </c>
    </row>
    <row r="47" spans="1:7" x14ac:dyDescent="0.25">
      <c r="A47" s="8">
        <v>42602.30846064815</v>
      </c>
      <c r="B47" s="24" t="s">
        <v>303</v>
      </c>
      <c r="C47" s="24" t="s">
        <v>362</v>
      </c>
      <c r="D47" s="24">
        <v>1310000</v>
      </c>
      <c r="E47" s="24" t="s">
        <v>250</v>
      </c>
      <c r="F47" s="24" t="str">
        <f t="shared" si="0"/>
        <v>rtdc.l.rtdc.4018:itc</v>
      </c>
      <c r="G47" s="8">
        <f t="shared" si="1"/>
        <v>42602.30846064815</v>
      </c>
    </row>
    <row r="48" spans="1:7" x14ac:dyDescent="0.25">
      <c r="A48" s="8">
        <v>42602.31527777778</v>
      </c>
      <c r="B48" s="24" t="s">
        <v>159</v>
      </c>
      <c r="C48" s="24" t="s">
        <v>355</v>
      </c>
      <c r="D48" s="24">
        <v>1100000</v>
      </c>
      <c r="E48" s="24" t="s">
        <v>251</v>
      </c>
      <c r="F48" s="24" t="str">
        <f t="shared" si="0"/>
        <v>rtdc.l.rtdc.4028:itc</v>
      </c>
      <c r="G48" s="8">
        <f t="shared" si="1"/>
        <v>42602.31527777778</v>
      </c>
    </row>
    <row r="49" spans="1:7" x14ac:dyDescent="0.25">
      <c r="A49" s="8">
        <v>42602.317928240744</v>
      </c>
      <c r="B49" s="24" t="s">
        <v>230</v>
      </c>
      <c r="C49" s="24" t="s">
        <v>445</v>
      </c>
      <c r="D49" s="24">
        <v>1830000</v>
      </c>
      <c r="E49" s="24" t="s">
        <v>639</v>
      </c>
      <c r="F49" s="24" t="str">
        <f t="shared" si="0"/>
        <v>rtdc.l.rtdc.4026:itc</v>
      </c>
      <c r="G49" s="8">
        <f t="shared" si="1"/>
        <v>42602.317928240744</v>
      </c>
    </row>
    <row r="50" spans="1:7" x14ac:dyDescent="0.25">
      <c r="A50" s="8">
        <v>42602.319074074076</v>
      </c>
      <c r="B50" s="24" t="s">
        <v>117</v>
      </c>
      <c r="C50" s="24" t="s">
        <v>364</v>
      </c>
      <c r="D50" s="24">
        <v>1260000</v>
      </c>
      <c r="E50" s="24" t="s">
        <v>636</v>
      </c>
      <c r="F50" s="24" t="str">
        <f t="shared" si="0"/>
        <v>rtdc.l.rtdc.4031:itc</v>
      </c>
      <c r="G50" s="8">
        <f t="shared" si="1"/>
        <v>42602.319074074076</v>
      </c>
    </row>
    <row r="51" spans="1:7" x14ac:dyDescent="0.25">
      <c r="A51" s="8">
        <v>42602.322245370371</v>
      </c>
      <c r="B51" s="24" t="s">
        <v>196</v>
      </c>
      <c r="C51" s="24" t="s">
        <v>358</v>
      </c>
      <c r="D51" s="24">
        <v>2010000</v>
      </c>
      <c r="E51" s="24" t="s">
        <v>234</v>
      </c>
      <c r="F51" s="24" t="str">
        <f t="shared" si="0"/>
        <v>rtdc.l.rtdc.4043:itc</v>
      </c>
      <c r="G51" s="8">
        <f t="shared" si="1"/>
        <v>42602.322245370371</v>
      </c>
    </row>
    <row r="52" spans="1:7" x14ac:dyDescent="0.25">
      <c r="A52" s="8">
        <v>42602.328321759262</v>
      </c>
      <c r="B52" s="24" t="s">
        <v>233</v>
      </c>
      <c r="C52" s="24" t="s">
        <v>368</v>
      </c>
      <c r="D52" s="24">
        <v>1990000</v>
      </c>
      <c r="E52" s="24" t="s">
        <v>306</v>
      </c>
      <c r="F52" s="24" t="str">
        <f t="shared" si="0"/>
        <v>rtdc.l.rtdc.4007:itc</v>
      </c>
      <c r="G52" s="8">
        <f t="shared" si="1"/>
        <v>42602.328321759262</v>
      </c>
    </row>
    <row r="53" spans="1:7" x14ac:dyDescent="0.25">
      <c r="A53" s="8">
        <v>42602.331747685188</v>
      </c>
      <c r="B53" s="24" t="s">
        <v>200</v>
      </c>
      <c r="C53" s="24" t="s">
        <v>360</v>
      </c>
      <c r="D53" s="24">
        <v>1740000</v>
      </c>
      <c r="E53" s="24" t="s">
        <v>638</v>
      </c>
      <c r="F53" s="24" t="str">
        <f t="shared" si="0"/>
        <v>rtdc.l.rtdc.4010:itc</v>
      </c>
      <c r="G53" s="8">
        <f t="shared" si="1"/>
        <v>42602.331747685188</v>
      </c>
    </row>
    <row r="54" spans="1:7" x14ac:dyDescent="0.25">
      <c r="A54" s="8">
        <v>42602.338252314818</v>
      </c>
      <c r="B54" s="24" t="s">
        <v>304</v>
      </c>
      <c r="C54" s="24" t="s">
        <v>371</v>
      </c>
      <c r="D54" s="24">
        <v>2030000</v>
      </c>
      <c r="E54" s="24" t="s">
        <v>637</v>
      </c>
      <c r="F54" s="24" t="str">
        <f t="shared" si="0"/>
        <v>rtdc.l.rtdc.4003:itc</v>
      </c>
      <c r="G54" s="8">
        <f t="shared" si="1"/>
        <v>42602.338252314818</v>
      </c>
    </row>
    <row r="55" spans="1:7" x14ac:dyDescent="0.25">
      <c r="A55" s="8">
        <v>42602.341284722221</v>
      </c>
      <c r="B55" s="24" t="s">
        <v>232</v>
      </c>
      <c r="C55" s="24" t="s">
        <v>448</v>
      </c>
      <c r="D55" s="24">
        <v>1830000</v>
      </c>
      <c r="E55" s="24" t="s">
        <v>639</v>
      </c>
      <c r="F55" s="24" t="str">
        <f t="shared" si="0"/>
        <v>rtdc.l.rtdc.4025:itc</v>
      </c>
      <c r="G55" s="8">
        <f t="shared" si="1"/>
        <v>42602.341284722221</v>
      </c>
    </row>
    <row r="56" spans="1:7" x14ac:dyDescent="0.25">
      <c r="A56" s="8">
        <v>42602.349907407406</v>
      </c>
      <c r="B56" s="24" t="s">
        <v>95</v>
      </c>
      <c r="C56" s="24" t="s">
        <v>374</v>
      </c>
      <c r="D56" s="24">
        <v>1100000</v>
      </c>
      <c r="E56" s="24" t="s">
        <v>251</v>
      </c>
      <c r="F56" s="24" t="str">
        <f t="shared" si="0"/>
        <v>rtdc.l.rtdc.4027:itc</v>
      </c>
      <c r="G56" s="8">
        <f t="shared" si="1"/>
        <v>42602.349907407406</v>
      </c>
    </row>
    <row r="57" spans="1:7" x14ac:dyDescent="0.25">
      <c r="A57" s="8">
        <v>42602.35050925926</v>
      </c>
      <c r="B57" s="24" t="s">
        <v>302</v>
      </c>
      <c r="C57" s="24" t="s">
        <v>363</v>
      </c>
      <c r="D57" s="24">
        <v>1310000</v>
      </c>
      <c r="E57" s="24" t="s">
        <v>250</v>
      </c>
      <c r="F57" s="24" t="str">
        <f t="shared" si="0"/>
        <v>rtdc.l.rtdc.4017:itc</v>
      </c>
      <c r="G57" s="8">
        <f t="shared" si="1"/>
        <v>42602.35050925926</v>
      </c>
    </row>
    <row r="58" spans="1:7" x14ac:dyDescent="0.25">
      <c r="A58" s="8">
        <v>42602.356180555558</v>
      </c>
      <c r="B58" s="24" t="s">
        <v>118</v>
      </c>
      <c r="C58" s="24" t="s">
        <v>366</v>
      </c>
      <c r="D58" s="24">
        <v>1260000</v>
      </c>
      <c r="E58" s="24" t="s">
        <v>636</v>
      </c>
      <c r="F58" s="24" t="str">
        <f t="shared" si="0"/>
        <v>rtdc.l.rtdc.4032:itc</v>
      </c>
      <c r="G58" s="8">
        <f t="shared" si="1"/>
        <v>42602.356180555558</v>
      </c>
    </row>
    <row r="59" spans="1:7" x14ac:dyDescent="0.25">
      <c r="A59" s="8">
        <v>42602.357905092591</v>
      </c>
      <c r="B59" s="24" t="s">
        <v>230</v>
      </c>
      <c r="C59" s="24" t="s">
        <v>451</v>
      </c>
      <c r="D59" s="24">
        <v>1830000</v>
      </c>
      <c r="E59" s="24" t="s">
        <v>639</v>
      </c>
      <c r="F59" s="24" t="str">
        <f t="shared" si="0"/>
        <v>rtdc.l.rtdc.4026:itc</v>
      </c>
      <c r="G59" s="8">
        <f t="shared" si="1"/>
        <v>42602.357905092591</v>
      </c>
    </row>
    <row r="60" spans="1:7" x14ac:dyDescent="0.25">
      <c r="A60" s="8">
        <v>42602.359814814816</v>
      </c>
      <c r="B60" s="24" t="s">
        <v>236</v>
      </c>
      <c r="C60" s="24" t="s">
        <v>378</v>
      </c>
      <c r="D60" s="24">
        <v>2010000</v>
      </c>
      <c r="E60" s="24" t="s">
        <v>234</v>
      </c>
      <c r="F60" s="24" t="str">
        <f t="shared" si="0"/>
        <v>rtdc.l.rtdc.4044:itc</v>
      </c>
      <c r="G60" s="8">
        <f t="shared" si="1"/>
        <v>42602.359814814816</v>
      </c>
    </row>
    <row r="61" spans="1:7" x14ac:dyDescent="0.25">
      <c r="A61" s="8">
        <v>42602.367696759262</v>
      </c>
      <c r="B61" s="24" t="s">
        <v>185</v>
      </c>
      <c r="C61" s="24" t="s">
        <v>370</v>
      </c>
      <c r="D61" s="24">
        <v>1990000</v>
      </c>
      <c r="E61" s="24" t="s">
        <v>306</v>
      </c>
      <c r="F61" s="24" t="str">
        <f t="shared" si="0"/>
        <v>rtdc.l.rtdc.4008:itc</v>
      </c>
      <c r="G61" s="8">
        <f t="shared" si="1"/>
        <v>42602.367696759262</v>
      </c>
    </row>
    <row r="62" spans="1:7" x14ac:dyDescent="0.25">
      <c r="A62" s="8">
        <v>42602.369780092595</v>
      </c>
      <c r="B62" s="24" t="s">
        <v>199</v>
      </c>
      <c r="C62" s="24" t="s">
        <v>380</v>
      </c>
      <c r="D62" s="24">
        <v>1740000</v>
      </c>
      <c r="E62" s="24" t="s">
        <v>638</v>
      </c>
      <c r="F62" s="24" t="str">
        <f t="shared" si="0"/>
        <v>rtdc.l.rtdc.4009:itc</v>
      </c>
      <c r="G62" s="8">
        <f t="shared" si="1"/>
        <v>42602.369780092595</v>
      </c>
    </row>
    <row r="63" spans="1:7" x14ac:dyDescent="0.25">
      <c r="A63" s="8">
        <v>42602.373148148145</v>
      </c>
      <c r="B63" s="24" t="s">
        <v>232</v>
      </c>
      <c r="C63" s="24" t="s">
        <v>454</v>
      </c>
      <c r="D63" s="24">
        <v>1830000</v>
      </c>
      <c r="E63" s="24" t="s">
        <v>639</v>
      </c>
      <c r="F63" s="24" t="str">
        <f t="shared" si="0"/>
        <v>rtdc.l.rtdc.4025:itc</v>
      </c>
      <c r="G63" s="8">
        <f t="shared" si="1"/>
        <v>42602.373148148145</v>
      </c>
    </row>
    <row r="64" spans="1:7" x14ac:dyDescent="0.25">
      <c r="A64" s="30">
        <v>42602.374652777777</v>
      </c>
      <c r="B64" s="24" t="s">
        <v>305</v>
      </c>
      <c r="C64" s="24" t="s">
        <v>373</v>
      </c>
      <c r="D64" s="24">
        <v>2030000</v>
      </c>
      <c r="E64" s="24" t="s">
        <v>637</v>
      </c>
      <c r="F64" s="24" t="str">
        <f t="shared" si="0"/>
        <v>rtdc.l.rtdc.4004:itc</v>
      </c>
      <c r="G64" s="8">
        <f t="shared" si="1"/>
        <v>42602.374652777777</v>
      </c>
    </row>
    <row r="65" spans="1:7" x14ac:dyDescent="0.25">
      <c r="A65" s="8">
        <v>42602.380046296297</v>
      </c>
      <c r="B65" s="24" t="s">
        <v>303</v>
      </c>
      <c r="C65" s="24" t="s">
        <v>386</v>
      </c>
      <c r="D65" s="24">
        <v>1310000</v>
      </c>
      <c r="E65" s="24" t="s">
        <v>250</v>
      </c>
      <c r="F65" s="24" t="str">
        <f t="shared" si="0"/>
        <v>rtdc.l.rtdc.4018:itc</v>
      </c>
      <c r="G65" s="8">
        <f t="shared" si="1"/>
        <v>42602.380046296297</v>
      </c>
    </row>
    <row r="66" spans="1:7" x14ac:dyDescent="0.25">
      <c r="A66" s="8">
        <v>42602.38826388889</v>
      </c>
      <c r="B66" s="24" t="s">
        <v>159</v>
      </c>
      <c r="C66" s="24" t="s">
        <v>376</v>
      </c>
      <c r="D66" s="24">
        <v>1100000</v>
      </c>
      <c r="E66" s="24" t="s">
        <v>251</v>
      </c>
      <c r="F66" s="24" t="str">
        <f t="shared" ref="F66:F129" si="2">B66</f>
        <v>rtdc.l.rtdc.4028:itc</v>
      </c>
      <c r="G66" s="8">
        <f t="shared" ref="G66:G129" si="3">A66</f>
        <v>42602.38826388889</v>
      </c>
    </row>
    <row r="67" spans="1:7" x14ac:dyDescent="0.25">
      <c r="A67" s="8">
        <v>42602.393368055556</v>
      </c>
      <c r="B67" s="24" t="s">
        <v>117</v>
      </c>
      <c r="C67" s="24" t="s">
        <v>388</v>
      </c>
      <c r="D67" s="24">
        <v>1340000</v>
      </c>
      <c r="E67" s="24" t="s">
        <v>640</v>
      </c>
      <c r="F67" s="24" t="str">
        <f t="shared" si="2"/>
        <v>rtdc.l.rtdc.4031:itc</v>
      </c>
      <c r="G67" s="8">
        <f t="shared" si="3"/>
        <v>42602.393368055556</v>
      </c>
    </row>
    <row r="68" spans="1:7" x14ac:dyDescent="0.25">
      <c r="A68" s="8">
        <v>42602.395011574074</v>
      </c>
      <c r="B68" s="24" t="s">
        <v>196</v>
      </c>
      <c r="C68" s="24" t="s">
        <v>379</v>
      </c>
      <c r="D68" s="24">
        <v>2010000</v>
      </c>
      <c r="E68" s="24" t="s">
        <v>234</v>
      </c>
      <c r="F68" s="24" t="str">
        <f t="shared" si="2"/>
        <v>rtdc.l.rtdc.4043:itc</v>
      </c>
      <c r="G68" s="8">
        <f t="shared" si="3"/>
        <v>42602.395011574074</v>
      </c>
    </row>
    <row r="69" spans="1:7" x14ac:dyDescent="0.25">
      <c r="A69" s="8">
        <v>42602.400520833333</v>
      </c>
      <c r="B69" s="24" t="s">
        <v>230</v>
      </c>
      <c r="C69" s="24" t="s">
        <v>456</v>
      </c>
      <c r="D69" s="24">
        <v>1830000</v>
      </c>
      <c r="E69" s="24" t="s">
        <v>639</v>
      </c>
      <c r="F69" s="24" t="str">
        <f t="shared" si="2"/>
        <v>rtdc.l.rtdc.4026:itc</v>
      </c>
      <c r="G69" s="8">
        <f t="shared" si="3"/>
        <v>42602.400520833333</v>
      </c>
    </row>
    <row r="70" spans="1:7" x14ac:dyDescent="0.25">
      <c r="A70" s="8">
        <v>42602.401770833334</v>
      </c>
      <c r="B70" s="24" t="s">
        <v>233</v>
      </c>
      <c r="C70" s="24" t="s">
        <v>392</v>
      </c>
      <c r="D70" s="24">
        <v>1990000</v>
      </c>
      <c r="E70" s="24" t="s">
        <v>306</v>
      </c>
      <c r="F70" s="24" t="str">
        <f t="shared" si="2"/>
        <v>rtdc.l.rtdc.4007:itc</v>
      </c>
      <c r="G70" s="8">
        <f t="shared" si="3"/>
        <v>42602.401770833334</v>
      </c>
    </row>
    <row r="71" spans="1:7" x14ac:dyDescent="0.25">
      <c r="A71" s="8">
        <v>42602.407465277778</v>
      </c>
      <c r="B71" s="24" t="s">
        <v>200</v>
      </c>
      <c r="C71" s="24" t="s">
        <v>383</v>
      </c>
      <c r="D71" s="24">
        <v>1740000</v>
      </c>
      <c r="E71" s="24" t="s">
        <v>638</v>
      </c>
      <c r="F71" s="24" t="str">
        <f t="shared" si="2"/>
        <v>rtdc.l.rtdc.4010:itc</v>
      </c>
      <c r="G71" s="8">
        <f t="shared" si="3"/>
        <v>42602.407465277778</v>
      </c>
    </row>
    <row r="72" spans="1:7" x14ac:dyDescent="0.25">
      <c r="A72" s="8">
        <v>42602.412800925929</v>
      </c>
      <c r="B72" s="24" t="s">
        <v>304</v>
      </c>
      <c r="C72" s="24" t="s">
        <v>395</v>
      </c>
      <c r="D72" s="24">
        <v>2030000</v>
      </c>
      <c r="E72" s="24" t="s">
        <v>637</v>
      </c>
      <c r="F72" s="24" t="str">
        <f t="shared" si="2"/>
        <v>rtdc.l.rtdc.4003:itc</v>
      </c>
      <c r="G72" s="8">
        <f t="shared" si="3"/>
        <v>42602.412800925929</v>
      </c>
    </row>
    <row r="73" spans="1:7" x14ac:dyDescent="0.25">
      <c r="A73" s="8">
        <v>42602.413831018515</v>
      </c>
      <c r="B73" s="24" t="s">
        <v>232</v>
      </c>
      <c r="C73" s="24" t="s">
        <v>458</v>
      </c>
      <c r="D73" s="24">
        <v>1830000</v>
      </c>
      <c r="E73" s="24" t="s">
        <v>639</v>
      </c>
      <c r="F73" s="24" t="str">
        <f t="shared" si="2"/>
        <v>rtdc.l.rtdc.4025:itc</v>
      </c>
      <c r="G73" s="8">
        <f t="shared" si="3"/>
        <v>42602.413831018515</v>
      </c>
    </row>
    <row r="74" spans="1:7" x14ac:dyDescent="0.25">
      <c r="A74" s="8">
        <v>42602.423368055555</v>
      </c>
      <c r="B74" s="24" t="s">
        <v>302</v>
      </c>
      <c r="C74" s="24" t="s">
        <v>387</v>
      </c>
      <c r="D74" s="24">
        <v>1310000</v>
      </c>
      <c r="E74" s="24" t="s">
        <v>250</v>
      </c>
      <c r="F74" s="24" t="str">
        <f t="shared" si="2"/>
        <v>rtdc.l.rtdc.4017:itc</v>
      </c>
      <c r="G74" s="8">
        <f t="shared" si="3"/>
        <v>42602.423368055555</v>
      </c>
    </row>
    <row r="75" spans="1:7" x14ac:dyDescent="0.25">
      <c r="A75" s="8">
        <v>42602.42428240741</v>
      </c>
      <c r="B75" s="24" t="s">
        <v>95</v>
      </c>
      <c r="C75" s="24" t="s">
        <v>398</v>
      </c>
      <c r="D75" s="24">
        <v>1100000</v>
      </c>
      <c r="E75" s="24" t="s">
        <v>251</v>
      </c>
      <c r="F75" s="24" t="str">
        <f t="shared" si="2"/>
        <v>rtdc.l.rtdc.4027:itc</v>
      </c>
      <c r="G75" s="8">
        <f t="shared" si="3"/>
        <v>42602.42428240741</v>
      </c>
    </row>
    <row r="76" spans="1:7" x14ac:dyDescent="0.25">
      <c r="A76" s="8">
        <v>42602.426157407404</v>
      </c>
      <c r="B76" s="24" t="s">
        <v>118</v>
      </c>
      <c r="C76" s="24" t="s">
        <v>390</v>
      </c>
      <c r="D76" s="24">
        <v>1340000</v>
      </c>
      <c r="E76" s="24" t="s">
        <v>640</v>
      </c>
      <c r="F76" s="24" t="str">
        <f t="shared" si="2"/>
        <v>rtdc.l.rtdc.4032:itc</v>
      </c>
      <c r="G76" s="8">
        <f t="shared" si="3"/>
        <v>42602.426157407404</v>
      </c>
    </row>
    <row r="77" spans="1:7" x14ac:dyDescent="0.25">
      <c r="A77" s="8">
        <v>42602.433680555558</v>
      </c>
      <c r="B77" s="24" t="s">
        <v>236</v>
      </c>
      <c r="C77" s="24" t="s">
        <v>401</v>
      </c>
      <c r="D77" s="24">
        <v>1520000</v>
      </c>
      <c r="E77" s="24" t="s">
        <v>308</v>
      </c>
      <c r="F77" s="24" t="str">
        <f t="shared" si="2"/>
        <v>rtdc.l.rtdc.4044:itc</v>
      </c>
      <c r="G77" s="8">
        <f t="shared" si="3"/>
        <v>42602.433680555558</v>
      </c>
    </row>
    <row r="78" spans="1:7" x14ac:dyDescent="0.25">
      <c r="A78" s="8">
        <v>42602.43953703704</v>
      </c>
      <c r="B78" s="24" t="s">
        <v>185</v>
      </c>
      <c r="C78" s="24" t="s">
        <v>393</v>
      </c>
      <c r="D78" s="24">
        <v>1990000</v>
      </c>
      <c r="E78" s="24" t="s">
        <v>306</v>
      </c>
      <c r="F78" s="24" t="str">
        <f t="shared" si="2"/>
        <v>rtdc.l.rtdc.4008:itc</v>
      </c>
      <c r="G78" s="8">
        <f t="shared" si="3"/>
        <v>42602.43953703704</v>
      </c>
    </row>
    <row r="79" spans="1:7" x14ac:dyDescent="0.25">
      <c r="A79" s="8">
        <v>42602.441828703704</v>
      </c>
      <c r="B79" s="24" t="s">
        <v>199</v>
      </c>
      <c r="C79" s="24" t="s">
        <v>403</v>
      </c>
      <c r="D79" s="24">
        <v>1740000</v>
      </c>
      <c r="E79" s="24" t="s">
        <v>638</v>
      </c>
      <c r="F79" s="24" t="str">
        <f t="shared" si="2"/>
        <v>rtdc.l.rtdc.4009:itc</v>
      </c>
      <c r="G79" s="8">
        <f t="shared" si="3"/>
        <v>42602.441828703704</v>
      </c>
    </row>
    <row r="80" spans="1:7" x14ac:dyDescent="0.25">
      <c r="A80" s="8">
        <v>42602.441863425927</v>
      </c>
      <c r="B80" s="24" t="s">
        <v>236</v>
      </c>
      <c r="C80" s="24" t="s">
        <v>401</v>
      </c>
      <c r="D80" s="24">
        <v>1520000</v>
      </c>
      <c r="E80" s="24" t="s">
        <v>308</v>
      </c>
      <c r="F80" s="24" t="str">
        <f t="shared" si="2"/>
        <v>rtdc.l.rtdc.4044:itc</v>
      </c>
      <c r="G80" s="8">
        <f t="shared" si="3"/>
        <v>42602.441863425927</v>
      </c>
    </row>
    <row r="81" spans="1:7" x14ac:dyDescent="0.25">
      <c r="A81" s="8">
        <v>42602.443668981483</v>
      </c>
      <c r="B81" s="24" t="s">
        <v>230</v>
      </c>
      <c r="C81" s="24" t="s">
        <v>461</v>
      </c>
      <c r="D81" s="24">
        <v>1830000</v>
      </c>
      <c r="E81" s="24" t="s">
        <v>639</v>
      </c>
      <c r="F81" s="24" t="str">
        <f t="shared" si="2"/>
        <v>rtdc.l.rtdc.4026:itc</v>
      </c>
      <c r="G81" s="8">
        <f t="shared" si="3"/>
        <v>42602.443668981483</v>
      </c>
    </row>
    <row r="82" spans="1:7" x14ac:dyDescent="0.25">
      <c r="A82" s="8">
        <v>42602.448865740742</v>
      </c>
      <c r="B82" s="24" t="s">
        <v>305</v>
      </c>
      <c r="C82" s="24" t="s">
        <v>397</v>
      </c>
      <c r="D82" s="24">
        <v>2030000</v>
      </c>
      <c r="E82" s="24" t="s">
        <v>637</v>
      </c>
      <c r="F82" s="24" t="str">
        <f t="shared" si="2"/>
        <v>rtdc.l.rtdc.4004:itc</v>
      </c>
      <c r="G82" s="8">
        <f t="shared" si="3"/>
        <v>42602.448865740742</v>
      </c>
    </row>
    <row r="83" spans="1:7" x14ac:dyDescent="0.25">
      <c r="A83" s="8">
        <v>42602.454652777778</v>
      </c>
      <c r="B83" s="24" t="s">
        <v>303</v>
      </c>
      <c r="C83" s="24" t="s">
        <v>405</v>
      </c>
      <c r="D83" s="24">
        <v>880000</v>
      </c>
      <c r="E83" s="24" t="s">
        <v>307</v>
      </c>
      <c r="F83" s="24" t="str">
        <f t="shared" si="2"/>
        <v>rtdc.l.rtdc.4018:itc</v>
      </c>
      <c r="G83" s="8">
        <f t="shared" si="3"/>
        <v>42602.454652777778</v>
      </c>
    </row>
    <row r="84" spans="1:7" x14ac:dyDescent="0.25">
      <c r="A84" s="8">
        <v>42602.455381944441</v>
      </c>
      <c r="B84" s="24" t="s">
        <v>232</v>
      </c>
      <c r="C84" s="24" t="s">
        <v>463</v>
      </c>
      <c r="D84" s="24">
        <v>1830000</v>
      </c>
      <c r="E84" s="24" t="s">
        <v>639</v>
      </c>
      <c r="F84" s="24" t="str">
        <f t="shared" si="2"/>
        <v>rtdc.l.rtdc.4025:itc</v>
      </c>
      <c r="G84" s="8">
        <f t="shared" si="3"/>
        <v>42602.455381944441</v>
      </c>
    </row>
    <row r="85" spans="1:7" x14ac:dyDescent="0.25">
      <c r="A85" s="8">
        <v>42602.460590277777</v>
      </c>
      <c r="B85" s="24" t="s">
        <v>159</v>
      </c>
      <c r="C85" s="24" t="s">
        <v>399</v>
      </c>
      <c r="D85" s="24">
        <v>1100000</v>
      </c>
      <c r="E85" s="24" t="s">
        <v>251</v>
      </c>
      <c r="F85" s="24" t="str">
        <f t="shared" si="2"/>
        <v>rtdc.l.rtdc.4028:itc</v>
      </c>
      <c r="G85" s="8">
        <f t="shared" si="3"/>
        <v>42602.460590277777</v>
      </c>
    </row>
    <row r="86" spans="1:7" x14ac:dyDescent="0.25">
      <c r="A86" s="8">
        <v>42602.464803240742</v>
      </c>
      <c r="B86" s="24" t="s">
        <v>117</v>
      </c>
      <c r="C86" s="24" t="s">
        <v>407</v>
      </c>
      <c r="D86" s="24">
        <v>1280000</v>
      </c>
      <c r="E86" s="24" t="s">
        <v>641</v>
      </c>
      <c r="F86" s="24" t="str">
        <f t="shared" si="2"/>
        <v>rtdc.l.rtdc.4031:itc</v>
      </c>
      <c r="G86" s="8">
        <f t="shared" si="3"/>
        <v>42602.464803240742</v>
      </c>
    </row>
    <row r="87" spans="1:7" x14ac:dyDescent="0.25">
      <c r="A87" s="8">
        <v>42602.474953703706</v>
      </c>
      <c r="B87" s="24" t="s">
        <v>196</v>
      </c>
      <c r="C87" s="24" t="s">
        <v>402</v>
      </c>
      <c r="D87" s="24">
        <v>1520000</v>
      </c>
      <c r="E87" s="24" t="s">
        <v>308</v>
      </c>
      <c r="F87" s="24" t="str">
        <f t="shared" si="2"/>
        <v>rtdc.l.rtdc.4043:itc</v>
      </c>
      <c r="G87" s="8">
        <f t="shared" si="3"/>
        <v>42602.474953703706</v>
      </c>
    </row>
    <row r="88" spans="1:7" x14ac:dyDescent="0.25">
      <c r="A88" s="8">
        <v>42602.478263888886</v>
      </c>
      <c r="B88" s="24" t="s">
        <v>233</v>
      </c>
      <c r="C88" s="24" t="s">
        <v>410</v>
      </c>
      <c r="D88" s="24">
        <v>2040000</v>
      </c>
      <c r="E88" s="24" t="s">
        <v>235</v>
      </c>
      <c r="F88" s="24" t="str">
        <f t="shared" si="2"/>
        <v>rtdc.l.rtdc.4007:itc</v>
      </c>
      <c r="G88" s="8">
        <f t="shared" si="3"/>
        <v>42602.478263888886</v>
      </c>
    </row>
    <row r="89" spans="1:7" x14ac:dyDescent="0.25">
      <c r="A89" s="8">
        <v>42602.478414351855</v>
      </c>
      <c r="B89" s="24" t="s">
        <v>200</v>
      </c>
      <c r="C89" s="24" t="s">
        <v>404</v>
      </c>
      <c r="D89" s="24">
        <v>1740000</v>
      </c>
      <c r="E89" s="24" t="s">
        <v>638</v>
      </c>
      <c r="F89" s="24" t="str">
        <f t="shared" si="2"/>
        <v>rtdc.l.rtdc.4010:itc</v>
      </c>
      <c r="G89" s="8">
        <f t="shared" si="3"/>
        <v>42602.478414351855</v>
      </c>
    </row>
    <row r="90" spans="1:7" x14ac:dyDescent="0.25">
      <c r="A90" s="8">
        <v>42602.483773148146</v>
      </c>
      <c r="B90" s="24" t="s">
        <v>230</v>
      </c>
      <c r="C90" s="24" t="s">
        <v>466</v>
      </c>
      <c r="D90" s="24">
        <v>1830000</v>
      </c>
      <c r="E90" s="24" t="s">
        <v>639</v>
      </c>
      <c r="F90" s="24" t="str">
        <f t="shared" si="2"/>
        <v>rtdc.l.rtdc.4026:itc</v>
      </c>
      <c r="G90" s="8">
        <f t="shared" si="3"/>
        <v>42602.483773148146</v>
      </c>
    </row>
    <row r="91" spans="1:7" x14ac:dyDescent="0.25">
      <c r="A91" s="8">
        <v>42602.484780092593</v>
      </c>
      <c r="B91" s="24" t="s">
        <v>304</v>
      </c>
      <c r="C91" s="24" t="s">
        <v>414</v>
      </c>
      <c r="D91" s="24">
        <v>2020000</v>
      </c>
      <c r="E91" s="24" t="s">
        <v>309</v>
      </c>
      <c r="F91" s="24" t="str">
        <f t="shared" si="2"/>
        <v>rtdc.l.rtdc.4003:itc</v>
      </c>
      <c r="G91" s="8">
        <f t="shared" si="3"/>
        <v>42602.484780092593</v>
      </c>
    </row>
    <row r="92" spans="1:7" x14ac:dyDescent="0.25">
      <c r="A92" s="8">
        <v>42602.496516203704</v>
      </c>
      <c r="B92" s="24" t="s">
        <v>302</v>
      </c>
      <c r="C92" s="24" t="s">
        <v>406</v>
      </c>
      <c r="D92" s="24">
        <v>880000</v>
      </c>
      <c r="E92" s="24" t="s">
        <v>307</v>
      </c>
      <c r="F92" s="24" t="str">
        <f t="shared" si="2"/>
        <v>rtdc.l.rtdc.4017:itc</v>
      </c>
      <c r="G92" s="8">
        <f t="shared" si="3"/>
        <v>42602.496516203704</v>
      </c>
    </row>
    <row r="93" spans="1:7" x14ac:dyDescent="0.25">
      <c r="A93" s="8">
        <v>42602.496805555558</v>
      </c>
      <c r="B93" s="24" t="s">
        <v>232</v>
      </c>
      <c r="C93" s="24" t="s">
        <v>467</v>
      </c>
      <c r="D93" s="24">
        <v>1830000</v>
      </c>
      <c r="E93" s="24" t="s">
        <v>639</v>
      </c>
      <c r="F93" s="24" t="str">
        <f t="shared" si="2"/>
        <v>rtdc.l.rtdc.4025:itc</v>
      </c>
      <c r="G93" s="8">
        <f t="shared" si="3"/>
        <v>42602.496805555558</v>
      </c>
    </row>
    <row r="94" spans="1:7" x14ac:dyDescent="0.25">
      <c r="A94" s="8">
        <v>42602.498101851852</v>
      </c>
      <c r="B94" s="24" t="s">
        <v>95</v>
      </c>
      <c r="C94" s="24" t="s">
        <v>419</v>
      </c>
      <c r="D94" s="24">
        <v>1770000</v>
      </c>
      <c r="E94" s="24" t="s">
        <v>642</v>
      </c>
      <c r="F94" s="24" t="str">
        <f t="shared" si="2"/>
        <v>rtdc.l.rtdc.4027:itc</v>
      </c>
      <c r="G94" s="8">
        <f t="shared" si="3"/>
        <v>42602.498101851852</v>
      </c>
    </row>
    <row r="95" spans="1:7" x14ac:dyDescent="0.25">
      <c r="A95" s="8">
        <v>42602.505567129629</v>
      </c>
      <c r="B95" s="24" t="s">
        <v>236</v>
      </c>
      <c r="C95" s="24" t="s">
        <v>421</v>
      </c>
      <c r="D95" s="24">
        <v>1520000</v>
      </c>
      <c r="E95" s="24" t="s">
        <v>308</v>
      </c>
      <c r="F95" s="24" t="str">
        <f t="shared" si="2"/>
        <v>rtdc.l.rtdc.4044:itc</v>
      </c>
      <c r="G95" s="8">
        <f t="shared" si="3"/>
        <v>42602.505567129629</v>
      </c>
    </row>
    <row r="96" spans="1:7" x14ac:dyDescent="0.25">
      <c r="A96" s="8">
        <v>42602.505844907406</v>
      </c>
      <c r="B96" s="24" t="s">
        <v>118</v>
      </c>
      <c r="C96" s="24" t="s">
        <v>408</v>
      </c>
      <c r="D96" s="24">
        <v>1280000</v>
      </c>
      <c r="E96" s="24" t="s">
        <v>641</v>
      </c>
      <c r="F96" s="24" t="str">
        <f t="shared" si="2"/>
        <v>rtdc.l.rtdc.4032:itc</v>
      </c>
      <c r="G96" s="8">
        <f t="shared" si="3"/>
        <v>42602.505844907406</v>
      </c>
    </row>
    <row r="97" spans="1:7" x14ac:dyDescent="0.25">
      <c r="A97" s="8">
        <v>42602.517094907409</v>
      </c>
      <c r="B97" s="24" t="s">
        <v>185</v>
      </c>
      <c r="C97" s="24" t="s">
        <v>412</v>
      </c>
      <c r="D97" s="24">
        <v>2040000</v>
      </c>
      <c r="E97" s="24" t="s">
        <v>235</v>
      </c>
      <c r="F97" s="24" t="str">
        <f t="shared" si="2"/>
        <v>rtdc.l.rtdc.4008:itc</v>
      </c>
      <c r="G97" s="8">
        <f t="shared" si="3"/>
        <v>42602.517094907409</v>
      </c>
    </row>
    <row r="98" spans="1:7" x14ac:dyDescent="0.25">
      <c r="A98" s="8">
        <v>42602.519629629627</v>
      </c>
      <c r="B98" s="24" t="s">
        <v>199</v>
      </c>
      <c r="C98" s="24" t="s">
        <v>423</v>
      </c>
      <c r="D98" s="24">
        <v>950000</v>
      </c>
      <c r="E98" s="24" t="s">
        <v>643</v>
      </c>
      <c r="F98" s="24" t="str">
        <f t="shared" si="2"/>
        <v>rtdc.l.rtdc.4009:itc</v>
      </c>
      <c r="G98" s="8">
        <f t="shared" si="3"/>
        <v>42602.519629629627</v>
      </c>
    </row>
    <row r="99" spans="1:7" x14ac:dyDescent="0.25">
      <c r="A99" s="8">
        <v>42602.523275462961</v>
      </c>
      <c r="B99" s="24" t="s">
        <v>305</v>
      </c>
      <c r="C99" s="24" t="s">
        <v>416</v>
      </c>
      <c r="D99" s="24">
        <v>2020000</v>
      </c>
      <c r="E99" s="24" t="s">
        <v>309</v>
      </c>
      <c r="F99" s="24" t="str">
        <f t="shared" si="2"/>
        <v>rtdc.l.rtdc.4004:itc</v>
      </c>
      <c r="G99" s="8">
        <f t="shared" si="3"/>
        <v>42602.523275462961</v>
      </c>
    </row>
    <row r="100" spans="1:7" x14ac:dyDescent="0.25">
      <c r="A100" s="8">
        <v>42602.526412037034</v>
      </c>
      <c r="B100" s="24" t="s">
        <v>230</v>
      </c>
      <c r="C100" s="24" t="s">
        <v>470</v>
      </c>
      <c r="D100" s="24">
        <v>1830000</v>
      </c>
      <c r="E100" s="24" t="s">
        <v>639</v>
      </c>
      <c r="F100" s="24" t="str">
        <f t="shared" si="2"/>
        <v>rtdc.l.rtdc.4026:itc</v>
      </c>
      <c r="G100" s="8">
        <f t="shared" si="3"/>
        <v>42602.526412037034</v>
      </c>
    </row>
    <row r="101" spans="1:7" x14ac:dyDescent="0.25">
      <c r="A101" s="8">
        <v>42602.528749999998</v>
      </c>
      <c r="B101" s="24" t="s">
        <v>303</v>
      </c>
      <c r="C101" s="24" t="s">
        <v>425</v>
      </c>
      <c r="D101" s="24">
        <v>880000</v>
      </c>
      <c r="E101" s="24" t="s">
        <v>307</v>
      </c>
      <c r="F101" s="24" t="str">
        <f t="shared" si="2"/>
        <v>rtdc.l.rtdc.4018:itc</v>
      </c>
      <c r="G101" s="8">
        <f t="shared" si="3"/>
        <v>42602.528749999998</v>
      </c>
    </row>
    <row r="102" spans="1:7" x14ac:dyDescent="0.25">
      <c r="A102" s="8">
        <v>42602.534074074072</v>
      </c>
      <c r="B102" s="24" t="s">
        <v>159</v>
      </c>
      <c r="C102" s="24" t="s">
        <v>420</v>
      </c>
      <c r="D102" s="24">
        <v>1770000</v>
      </c>
      <c r="E102" s="24" t="s">
        <v>642</v>
      </c>
      <c r="F102" s="24" t="str">
        <f t="shared" si="2"/>
        <v>rtdc.l.rtdc.4028:itc</v>
      </c>
      <c r="G102" s="8">
        <f t="shared" si="3"/>
        <v>42602.534074074072</v>
      </c>
    </row>
    <row r="103" spans="1:7" x14ac:dyDescent="0.25">
      <c r="A103" s="8">
        <v>42602.537743055553</v>
      </c>
      <c r="B103" s="24" t="s">
        <v>117</v>
      </c>
      <c r="C103" s="24" t="s">
        <v>428</v>
      </c>
      <c r="D103" s="24">
        <v>1280000</v>
      </c>
      <c r="E103" s="24" t="s">
        <v>641</v>
      </c>
      <c r="F103" s="24" t="str">
        <f t="shared" si="2"/>
        <v>rtdc.l.rtdc.4031:itc</v>
      </c>
      <c r="G103" s="8">
        <f t="shared" si="3"/>
        <v>42602.537743055553</v>
      </c>
    </row>
    <row r="104" spans="1:7" x14ac:dyDescent="0.25">
      <c r="A104" s="8">
        <v>42602.539143518516</v>
      </c>
      <c r="B104" s="24" t="s">
        <v>232</v>
      </c>
      <c r="C104" s="24" t="s">
        <v>473</v>
      </c>
      <c r="D104" s="24">
        <v>1830000</v>
      </c>
      <c r="E104" s="24" t="s">
        <v>639</v>
      </c>
      <c r="F104" s="24" t="str">
        <f t="shared" si="2"/>
        <v>rtdc.l.rtdc.4025:itc</v>
      </c>
      <c r="G104" s="8">
        <f t="shared" si="3"/>
        <v>42602.539143518516</v>
      </c>
    </row>
    <row r="105" spans="1:7" x14ac:dyDescent="0.25">
      <c r="A105" s="8">
        <v>42602.547731481478</v>
      </c>
      <c r="B105" s="24" t="s">
        <v>196</v>
      </c>
      <c r="C105" s="24" t="s">
        <v>422</v>
      </c>
      <c r="D105" s="24">
        <v>1520000</v>
      </c>
      <c r="E105" s="24" t="s">
        <v>308</v>
      </c>
      <c r="F105" s="24" t="str">
        <f t="shared" si="2"/>
        <v>rtdc.l.rtdc.4043:itc</v>
      </c>
      <c r="G105" s="8">
        <f t="shared" si="3"/>
        <v>42602.547731481478</v>
      </c>
    </row>
    <row r="106" spans="1:7" x14ac:dyDescent="0.25">
      <c r="A106" s="8">
        <v>42602.549687500003</v>
      </c>
      <c r="B106" s="24" t="s">
        <v>233</v>
      </c>
      <c r="C106" s="24" t="s">
        <v>431</v>
      </c>
      <c r="D106" s="24">
        <v>2040000</v>
      </c>
      <c r="E106" s="24" t="s">
        <v>235</v>
      </c>
      <c r="F106" s="24" t="str">
        <f t="shared" si="2"/>
        <v>rtdc.l.rtdc.4007:itc</v>
      </c>
      <c r="G106" s="8">
        <f t="shared" si="3"/>
        <v>42602.549687500003</v>
      </c>
    </row>
    <row r="107" spans="1:7" x14ac:dyDescent="0.25">
      <c r="A107" s="8">
        <v>42602.555254629631</v>
      </c>
      <c r="B107" s="24" t="s">
        <v>200</v>
      </c>
      <c r="C107" s="24" t="s">
        <v>424</v>
      </c>
      <c r="D107" s="24">
        <v>950000</v>
      </c>
      <c r="E107" s="24" t="s">
        <v>643</v>
      </c>
      <c r="F107" s="24" t="str">
        <f t="shared" si="2"/>
        <v>rtdc.l.rtdc.4010:itc</v>
      </c>
      <c r="G107" s="8">
        <f t="shared" si="3"/>
        <v>42602.555254629631</v>
      </c>
    </row>
    <row r="108" spans="1:7" x14ac:dyDescent="0.25">
      <c r="A108" s="8">
        <v>42602.558229166665</v>
      </c>
      <c r="B108" s="24" t="s">
        <v>304</v>
      </c>
      <c r="C108" s="24" t="s">
        <v>434</v>
      </c>
      <c r="D108" s="24">
        <v>2020000</v>
      </c>
      <c r="E108" s="24" t="s">
        <v>309</v>
      </c>
      <c r="F108" s="24" t="str">
        <f t="shared" si="2"/>
        <v>rtdc.l.rtdc.4003:itc</v>
      </c>
      <c r="G108" s="8">
        <f t="shared" si="3"/>
        <v>42602.558229166665</v>
      </c>
    </row>
    <row r="109" spans="1:7" x14ac:dyDescent="0.25">
      <c r="A109" s="8">
        <v>42602.567129629628</v>
      </c>
      <c r="B109" s="24" t="s">
        <v>230</v>
      </c>
      <c r="C109" s="24" t="s">
        <v>475</v>
      </c>
      <c r="D109" s="24">
        <v>1830000</v>
      </c>
      <c r="E109" s="24" t="s">
        <v>639</v>
      </c>
      <c r="F109" s="24" t="str">
        <f t="shared" si="2"/>
        <v>rtdc.l.rtdc.4026:itc</v>
      </c>
      <c r="G109" s="8">
        <f t="shared" si="3"/>
        <v>42602.567129629628</v>
      </c>
    </row>
    <row r="110" spans="1:7" x14ac:dyDescent="0.25">
      <c r="A110" s="8">
        <v>42602.568576388891</v>
      </c>
      <c r="B110" s="24" t="s">
        <v>302</v>
      </c>
      <c r="C110" s="24" t="s">
        <v>427</v>
      </c>
      <c r="D110" s="24">
        <v>880000</v>
      </c>
      <c r="E110" s="24" t="s">
        <v>307</v>
      </c>
      <c r="F110" s="24" t="str">
        <f t="shared" si="2"/>
        <v>rtdc.l.rtdc.4017:itc</v>
      </c>
      <c r="G110" s="8">
        <f t="shared" si="3"/>
        <v>42602.568576388891</v>
      </c>
    </row>
    <row r="111" spans="1:7" x14ac:dyDescent="0.25">
      <c r="A111" s="8">
        <v>42602.569537037038</v>
      </c>
      <c r="B111" s="24" t="s">
        <v>95</v>
      </c>
      <c r="C111" s="24" t="s">
        <v>460</v>
      </c>
      <c r="D111" s="24">
        <v>1770000</v>
      </c>
      <c r="E111" s="24" t="s">
        <v>642</v>
      </c>
      <c r="F111" s="24" t="str">
        <f t="shared" si="2"/>
        <v>rtdc.l.rtdc.4027:itc</v>
      </c>
      <c r="G111" s="8">
        <f t="shared" si="3"/>
        <v>42602.569537037038</v>
      </c>
    </row>
    <row r="112" spans="1:7" x14ac:dyDescent="0.25">
      <c r="A112" s="8">
        <v>42602.570543981485</v>
      </c>
      <c r="B112" s="24" t="s">
        <v>118</v>
      </c>
      <c r="C112" s="24" t="s">
        <v>430</v>
      </c>
      <c r="D112" s="24">
        <v>1280000</v>
      </c>
      <c r="E112" s="24" t="s">
        <v>641</v>
      </c>
      <c r="F112" s="24" t="str">
        <f t="shared" si="2"/>
        <v>rtdc.l.rtdc.4032:itc</v>
      </c>
      <c r="G112" s="8">
        <f t="shared" si="3"/>
        <v>42602.570543981485</v>
      </c>
    </row>
    <row r="113" spans="1:7" x14ac:dyDescent="0.25">
      <c r="A113" s="8">
        <v>42602.571273148147</v>
      </c>
      <c r="B113" s="24" t="s">
        <v>95</v>
      </c>
      <c r="C113" s="24" t="s">
        <v>460</v>
      </c>
      <c r="D113" s="24">
        <v>1770000</v>
      </c>
      <c r="E113" s="24" t="s">
        <v>642</v>
      </c>
      <c r="F113" s="24" t="str">
        <f t="shared" si="2"/>
        <v>rtdc.l.rtdc.4027:itc</v>
      </c>
      <c r="G113" s="8">
        <f t="shared" si="3"/>
        <v>42602.571273148147</v>
      </c>
    </row>
    <row r="114" spans="1:7" x14ac:dyDescent="0.25">
      <c r="A114" s="8">
        <v>42602.577997685185</v>
      </c>
      <c r="B114" s="24" t="s">
        <v>236</v>
      </c>
      <c r="C114" s="24" t="s">
        <v>512</v>
      </c>
      <c r="D114" s="24">
        <v>1520000</v>
      </c>
      <c r="E114" s="24" t="s">
        <v>308</v>
      </c>
      <c r="F114" s="24" t="str">
        <f t="shared" si="2"/>
        <v>rtdc.l.rtdc.4044:itc</v>
      </c>
      <c r="G114" s="8">
        <f t="shared" si="3"/>
        <v>42602.577997685185</v>
      </c>
    </row>
    <row r="115" spans="1:7" x14ac:dyDescent="0.25">
      <c r="A115" s="8">
        <v>42602.58902777778</v>
      </c>
      <c r="B115" s="24" t="s">
        <v>185</v>
      </c>
      <c r="C115" s="24" t="s">
        <v>432</v>
      </c>
      <c r="D115" s="24">
        <v>2040000</v>
      </c>
      <c r="E115" s="24" t="s">
        <v>235</v>
      </c>
      <c r="F115" s="24" t="str">
        <f t="shared" si="2"/>
        <v>rtdc.l.rtdc.4008:itc</v>
      </c>
      <c r="G115" s="8">
        <f t="shared" si="3"/>
        <v>42602.58902777778</v>
      </c>
    </row>
    <row r="116" spans="1:7" x14ac:dyDescent="0.25">
      <c r="A116" s="8">
        <v>42602.59002314815</v>
      </c>
      <c r="B116" s="24" t="s">
        <v>199</v>
      </c>
      <c r="C116" s="24" t="s">
        <v>526</v>
      </c>
      <c r="D116" s="24">
        <v>950000</v>
      </c>
      <c r="E116" s="24" t="s">
        <v>643</v>
      </c>
      <c r="F116" s="24" t="str">
        <f t="shared" si="2"/>
        <v>rtdc.l.rtdc.4009:itc</v>
      </c>
      <c r="G116" s="8">
        <f t="shared" si="3"/>
        <v>42602.59002314815</v>
      </c>
    </row>
    <row r="117" spans="1:7" x14ac:dyDescent="0.25">
      <c r="A117" s="8">
        <v>42602.594687500001</v>
      </c>
      <c r="B117" s="24" t="s">
        <v>232</v>
      </c>
      <c r="C117" s="24" t="s">
        <v>477</v>
      </c>
      <c r="D117" s="24">
        <v>1360000</v>
      </c>
      <c r="E117" s="24" t="s">
        <v>252</v>
      </c>
      <c r="F117" s="24" t="str">
        <f t="shared" si="2"/>
        <v>rtdc.l.rtdc.4025:itc</v>
      </c>
      <c r="G117" s="8">
        <f t="shared" si="3"/>
        <v>42602.594687500001</v>
      </c>
    </row>
    <row r="118" spans="1:7" x14ac:dyDescent="0.25">
      <c r="A118" s="8">
        <v>42602.598124999997</v>
      </c>
      <c r="B118" s="24" t="s">
        <v>305</v>
      </c>
      <c r="C118" s="24" t="s">
        <v>436</v>
      </c>
      <c r="D118" s="24">
        <v>2020000</v>
      </c>
      <c r="E118" s="24" t="s">
        <v>309</v>
      </c>
      <c r="F118" s="24" t="str">
        <f t="shared" si="2"/>
        <v>rtdc.l.rtdc.4004:itc</v>
      </c>
      <c r="G118" s="8">
        <f t="shared" si="3"/>
        <v>42602.598124999997</v>
      </c>
    </row>
    <row r="119" spans="1:7" x14ac:dyDescent="0.25">
      <c r="A119" s="8">
        <v>42602.602256944447</v>
      </c>
      <c r="B119" s="24" t="s">
        <v>303</v>
      </c>
      <c r="C119" s="24" t="s">
        <v>529</v>
      </c>
      <c r="D119" s="24">
        <v>880000</v>
      </c>
      <c r="E119" s="24" t="s">
        <v>307</v>
      </c>
      <c r="F119" s="24" t="str">
        <f t="shared" si="2"/>
        <v>rtdc.l.rtdc.4018:itc</v>
      </c>
      <c r="G119" s="8">
        <f t="shared" si="3"/>
        <v>42602.602256944447</v>
      </c>
    </row>
    <row r="120" spans="1:7" x14ac:dyDescent="0.25">
      <c r="A120" s="8">
        <v>42602.608356481483</v>
      </c>
      <c r="B120" s="24" t="s">
        <v>159</v>
      </c>
      <c r="C120" s="24" t="s">
        <v>484</v>
      </c>
      <c r="D120" s="24">
        <v>1770000</v>
      </c>
      <c r="E120" s="24" t="s">
        <v>642</v>
      </c>
      <c r="F120" s="24" t="str">
        <f t="shared" si="2"/>
        <v>rtdc.l.rtdc.4028:itc</v>
      </c>
      <c r="G120" s="8">
        <f t="shared" si="3"/>
        <v>42602.608356481483</v>
      </c>
    </row>
    <row r="121" spans="1:7" x14ac:dyDescent="0.25">
      <c r="A121" s="8">
        <v>42602.609270833331</v>
      </c>
      <c r="B121" s="24" t="s">
        <v>230</v>
      </c>
      <c r="C121" s="24" t="s">
        <v>480</v>
      </c>
      <c r="D121" s="24">
        <v>1360000</v>
      </c>
      <c r="E121" s="24" t="s">
        <v>252</v>
      </c>
      <c r="F121" s="24" t="str">
        <f t="shared" si="2"/>
        <v>rtdc.l.rtdc.4026:itc</v>
      </c>
      <c r="G121" s="8">
        <f t="shared" si="3"/>
        <v>42602.609270833331</v>
      </c>
    </row>
    <row r="122" spans="1:7" x14ac:dyDescent="0.25">
      <c r="A122" s="8">
        <v>42602.610115740739</v>
      </c>
      <c r="B122" s="29" t="s">
        <v>117</v>
      </c>
      <c r="C122" s="24" t="s">
        <v>532</v>
      </c>
      <c r="D122" s="24">
        <v>1280000</v>
      </c>
      <c r="E122" s="24" t="s">
        <v>641</v>
      </c>
      <c r="F122" s="24" t="str">
        <f t="shared" si="2"/>
        <v>rtdc.l.rtdc.4031:itc</v>
      </c>
      <c r="G122" s="8">
        <f t="shared" si="3"/>
        <v>42602.610115740739</v>
      </c>
    </row>
    <row r="123" spans="1:7" x14ac:dyDescent="0.25">
      <c r="A123" s="8">
        <v>42602.613553240742</v>
      </c>
      <c r="B123" s="24" t="s">
        <v>196</v>
      </c>
      <c r="C123" s="24" t="s">
        <v>525</v>
      </c>
      <c r="D123" s="24">
        <v>1520000</v>
      </c>
      <c r="E123" s="24" t="s">
        <v>308</v>
      </c>
      <c r="F123" s="24" t="str">
        <f t="shared" si="2"/>
        <v>rtdc.l.rtdc.4043:itc</v>
      </c>
      <c r="G123" s="8">
        <f t="shared" si="3"/>
        <v>42602.613553240742</v>
      </c>
    </row>
    <row r="124" spans="1:7" x14ac:dyDescent="0.25">
      <c r="A124" s="8">
        <v>42602.622870370367</v>
      </c>
      <c r="B124" s="24" t="s">
        <v>233</v>
      </c>
      <c r="C124" s="24" t="s">
        <v>538</v>
      </c>
      <c r="D124" s="24">
        <v>2040000</v>
      </c>
      <c r="E124" s="24" t="s">
        <v>235</v>
      </c>
      <c r="F124" s="24" t="str">
        <f t="shared" si="2"/>
        <v>rtdc.l.rtdc.4007:itc</v>
      </c>
      <c r="G124" s="8">
        <f t="shared" si="3"/>
        <v>42602.622870370367</v>
      </c>
    </row>
    <row r="125" spans="1:7" x14ac:dyDescent="0.25">
      <c r="A125" s="8">
        <v>42602.624074074076</v>
      </c>
      <c r="B125" s="24" t="s">
        <v>232</v>
      </c>
      <c r="C125" s="24" t="s">
        <v>482</v>
      </c>
      <c r="D125" s="24">
        <v>1360000</v>
      </c>
      <c r="E125" s="24" t="s">
        <v>252</v>
      </c>
      <c r="F125" s="24" t="str">
        <f t="shared" si="2"/>
        <v>rtdc.l.rtdc.4025:itc</v>
      </c>
      <c r="G125" s="8">
        <f t="shared" si="3"/>
        <v>42602.624074074076</v>
      </c>
    </row>
    <row r="126" spans="1:7" x14ac:dyDescent="0.25">
      <c r="A126" s="8">
        <v>42602.631041666667</v>
      </c>
      <c r="B126" s="24" t="s">
        <v>200</v>
      </c>
      <c r="C126" s="24" t="s">
        <v>528</v>
      </c>
      <c r="D126" s="24">
        <v>950000</v>
      </c>
      <c r="E126" s="24" t="s">
        <v>643</v>
      </c>
      <c r="F126" s="24" t="str">
        <f t="shared" si="2"/>
        <v>rtdc.l.rtdc.4010:itc</v>
      </c>
      <c r="G126" s="8">
        <f t="shared" si="3"/>
        <v>42602.631041666667</v>
      </c>
    </row>
    <row r="127" spans="1:7" x14ac:dyDescent="0.25">
      <c r="A127" s="8">
        <v>42602.631365740737</v>
      </c>
      <c r="B127" s="24" t="s">
        <v>304</v>
      </c>
      <c r="C127" s="24" t="s">
        <v>543</v>
      </c>
      <c r="D127" s="24">
        <v>2020000</v>
      </c>
      <c r="E127" s="24" t="s">
        <v>309</v>
      </c>
      <c r="F127" s="24" t="str">
        <f t="shared" si="2"/>
        <v>rtdc.l.rtdc.4003:itc</v>
      </c>
      <c r="G127" s="8">
        <f t="shared" si="3"/>
        <v>42602.631365740737</v>
      </c>
    </row>
    <row r="128" spans="1:7" x14ac:dyDescent="0.25">
      <c r="A128" s="8">
        <v>42602.641909722224</v>
      </c>
      <c r="B128" s="24" t="s">
        <v>302</v>
      </c>
      <c r="C128" s="24" t="s">
        <v>530</v>
      </c>
      <c r="D128" s="24">
        <v>880000</v>
      </c>
      <c r="E128" s="24" t="s">
        <v>307</v>
      </c>
      <c r="F128" s="24" t="str">
        <f t="shared" si="2"/>
        <v>rtdc.l.rtdc.4017:itc</v>
      </c>
      <c r="G128" s="8">
        <f t="shared" si="3"/>
        <v>42602.641909722224</v>
      </c>
    </row>
    <row r="129" spans="1:7" x14ac:dyDescent="0.25">
      <c r="A129" s="8">
        <v>42602.642071759263</v>
      </c>
      <c r="B129" s="24" t="s">
        <v>95</v>
      </c>
      <c r="C129" s="24" t="s">
        <v>547</v>
      </c>
      <c r="D129" s="24">
        <v>1770000</v>
      </c>
      <c r="E129" s="24" t="s">
        <v>642</v>
      </c>
      <c r="F129" s="24" t="str">
        <f t="shared" si="2"/>
        <v>rtdc.l.rtdc.4027:itc</v>
      </c>
      <c r="G129" s="8">
        <f t="shared" si="3"/>
        <v>42602.642071759263</v>
      </c>
    </row>
    <row r="130" spans="1:7" x14ac:dyDescent="0.25">
      <c r="A130" s="8">
        <v>42602.642708333333</v>
      </c>
      <c r="B130" s="24" t="s">
        <v>118</v>
      </c>
      <c r="C130" s="24" t="s">
        <v>533</v>
      </c>
      <c r="D130" s="24">
        <v>1280000</v>
      </c>
      <c r="E130" s="24" t="s">
        <v>641</v>
      </c>
      <c r="F130" s="24" t="str">
        <f t="shared" ref="F130:F193" si="4">B130</f>
        <v>rtdc.l.rtdc.4032:itc</v>
      </c>
      <c r="G130" s="8">
        <f t="shared" ref="G130:G193" si="5">A130</f>
        <v>42602.642708333333</v>
      </c>
    </row>
    <row r="131" spans="1:7" x14ac:dyDescent="0.25">
      <c r="A131" s="8">
        <v>42602.651319444441</v>
      </c>
      <c r="B131" s="24" t="s">
        <v>230</v>
      </c>
      <c r="C131" s="24" t="s">
        <v>485</v>
      </c>
      <c r="D131" s="24">
        <v>1360000</v>
      </c>
      <c r="E131" s="24" t="s">
        <v>252</v>
      </c>
      <c r="F131" s="24" t="str">
        <f t="shared" si="4"/>
        <v>rtdc.l.rtdc.4026:itc</v>
      </c>
      <c r="G131" s="8">
        <f t="shared" si="5"/>
        <v>42602.651319444441</v>
      </c>
    </row>
    <row r="132" spans="1:7" x14ac:dyDescent="0.25">
      <c r="A132" s="8">
        <v>42602.651458333334</v>
      </c>
      <c r="B132" s="24" t="s">
        <v>236</v>
      </c>
      <c r="C132" s="24" t="s">
        <v>550</v>
      </c>
      <c r="D132" s="24">
        <v>1520000</v>
      </c>
      <c r="E132" s="24" t="s">
        <v>308</v>
      </c>
      <c r="F132" s="24" t="str">
        <f t="shared" si="4"/>
        <v>rtdc.l.rtdc.4044:itc</v>
      </c>
      <c r="G132" s="8">
        <f t="shared" si="5"/>
        <v>42602.651458333334</v>
      </c>
    </row>
    <row r="133" spans="1:7" x14ac:dyDescent="0.25">
      <c r="A133" s="8">
        <v>42602.661851851852</v>
      </c>
      <c r="B133" s="24" t="s">
        <v>185</v>
      </c>
      <c r="C133" s="24" t="s">
        <v>541</v>
      </c>
      <c r="D133" s="24">
        <v>2040000</v>
      </c>
      <c r="E133" s="24" t="s">
        <v>235</v>
      </c>
      <c r="F133" s="24" t="str">
        <f t="shared" si="4"/>
        <v>rtdc.l.rtdc.4008:itc</v>
      </c>
      <c r="G133" s="8">
        <f t="shared" si="5"/>
        <v>42602.661851851852</v>
      </c>
    </row>
    <row r="134" spans="1:7" x14ac:dyDescent="0.25">
      <c r="A134" s="8">
        <v>42602.663460648146</v>
      </c>
      <c r="B134" s="24" t="s">
        <v>199</v>
      </c>
      <c r="C134" s="24" t="s">
        <v>553</v>
      </c>
      <c r="D134" s="24">
        <v>950000</v>
      </c>
      <c r="E134" s="24" t="s">
        <v>643</v>
      </c>
      <c r="F134" s="24" t="str">
        <f t="shared" si="4"/>
        <v>rtdc.l.rtdc.4009:itc</v>
      </c>
      <c r="G134" s="8">
        <f t="shared" si="5"/>
        <v>42602.663460648146</v>
      </c>
    </row>
    <row r="135" spans="1:7" x14ac:dyDescent="0.25">
      <c r="A135" s="8">
        <v>42602.66673611111</v>
      </c>
      <c r="B135" s="24" t="s">
        <v>232</v>
      </c>
      <c r="C135" s="24" t="s">
        <v>487</v>
      </c>
      <c r="D135" s="24">
        <v>1360000</v>
      </c>
      <c r="E135" s="24" t="s">
        <v>252</v>
      </c>
      <c r="F135" s="24" t="str">
        <f t="shared" si="4"/>
        <v>rtdc.l.rtdc.4025:itc</v>
      </c>
      <c r="G135" s="8">
        <f t="shared" si="5"/>
        <v>42602.66673611111</v>
      </c>
    </row>
    <row r="136" spans="1:7" x14ac:dyDescent="0.25">
      <c r="A136" s="8">
        <v>42602.66883101852</v>
      </c>
      <c r="B136" s="24" t="s">
        <v>305</v>
      </c>
      <c r="C136" s="24" t="s">
        <v>545</v>
      </c>
      <c r="D136" s="24">
        <v>2020000</v>
      </c>
      <c r="E136" s="24" t="s">
        <v>309</v>
      </c>
      <c r="F136" s="24" t="str">
        <f t="shared" si="4"/>
        <v>rtdc.l.rtdc.4004:itc</v>
      </c>
      <c r="G136" s="8">
        <f t="shared" si="5"/>
        <v>42602.66883101852</v>
      </c>
    </row>
    <row r="137" spans="1:7" x14ac:dyDescent="0.25">
      <c r="A137" s="8">
        <v>42602.674502314818</v>
      </c>
      <c r="B137" s="24" t="s">
        <v>303</v>
      </c>
      <c r="C137" s="24" t="s">
        <v>555</v>
      </c>
      <c r="D137" s="24">
        <v>880000</v>
      </c>
      <c r="E137" s="24" t="s">
        <v>307</v>
      </c>
      <c r="F137" s="24" t="str">
        <f t="shared" si="4"/>
        <v>rtdc.l.rtdc.4018:itc</v>
      </c>
      <c r="G137" s="8">
        <f t="shared" si="5"/>
        <v>42602.674502314818</v>
      </c>
    </row>
    <row r="138" spans="1:7" x14ac:dyDescent="0.25">
      <c r="A138" s="8">
        <v>42602.680023148147</v>
      </c>
      <c r="B138" s="24" t="s">
        <v>159</v>
      </c>
      <c r="C138" s="24" t="s">
        <v>548</v>
      </c>
      <c r="D138" s="24">
        <v>1770000</v>
      </c>
      <c r="E138" s="24" t="s">
        <v>642</v>
      </c>
      <c r="F138" s="24" t="str">
        <f t="shared" si="4"/>
        <v>rtdc.l.rtdc.4028:itc</v>
      </c>
      <c r="G138" s="8">
        <f t="shared" si="5"/>
        <v>42602.680023148147</v>
      </c>
    </row>
    <row r="139" spans="1:7" x14ac:dyDescent="0.25">
      <c r="A139" s="8">
        <v>42602.683495370373</v>
      </c>
      <c r="B139" s="24" t="s">
        <v>117</v>
      </c>
      <c r="C139" s="24" t="s">
        <v>557</v>
      </c>
      <c r="D139" s="24">
        <v>1280000</v>
      </c>
      <c r="E139" s="24" t="s">
        <v>641</v>
      </c>
      <c r="F139" s="24" t="str">
        <f t="shared" si="4"/>
        <v>rtdc.l.rtdc.4031:itc</v>
      </c>
      <c r="G139" s="8">
        <f t="shared" si="5"/>
        <v>42602.683495370373</v>
      </c>
    </row>
    <row r="140" spans="1:7" x14ac:dyDescent="0.25">
      <c r="A140" s="8">
        <v>42602.692326388889</v>
      </c>
      <c r="B140" s="24" t="s">
        <v>230</v>
      </c>
      <c r="C140" s="24" t="s">
        <v>490</v>
      </c>
      <c r="D140" s="24">
        <v>1360000</v>
      </c>
      <c r="E140" s="24" t="s">
        <v>252</v>
      </c>
      <c r="F140" s="24" t="str">
        <f t="shared" si="4"/>
        <v>rtdc.l.rtdc.4026:itc</v>
      </c>
      <c r="G140" s="8">
        <f t="shared" si="5"/>
        <v>42602.692326388889</v>
      </c>
    </row>
    <row r="141" spans="1:7" x14ac:dyDescent="0.25">
      <c r="A141" s="8">
        <v>42602.69290509259</v>
      </c>
      <c r="B141" s="24" t="s">
        <v>196</v>
      </c>
      <c r="C141" s="24" t="s">
        <v>552</v>
      </c>
      <c r="D141" s="24">
        <v>1520000</v>
      </c>
      <c r="E141" s="24" t="s">
        <v>308</v>
      </c>
      <c r="F141" s="24" t="str">
        <f t="shared" si="4"/>
        <v>rtdc.l.rtdc.4043:itc</v>
      </c>
      <c r="G141" s="8">
        <f t="shared" si="5"/>
        <v>42602.69290509259</v>
      </c>
    </row>
    <row r="142" spans="1:7" x14ac:dyDescent="0.25">
      <c r="A142" s="8">
        <v>42602.695162037038</v>
      </c>
      <c r="B142" s="24" t="s">
        <v>233</v>
      </c>
      <c r="C142" s="24" t="s">
        <v>560</v>
      </c>
      <c r="D142" s="24">
        <v>2040000</v>
      </c>
      <c r="E142" s="24" t="s">
        <v>235</v>
      </c>
      <c r="F142" s="24" t="str">
        <f t="shared" si="4"/>
        <v>rtdc.l.rtdc.4007:itc</v>
      </c>
      <c r="G142" s="8">
        <f t="shared" si="5"/>
        <v>42602.695162037038</v>
      </c>
    </row>
    <row r="143" spans="1:7" x14ac:dyDescent="0.25">
      <c r="A143" s="8">
        <v>42602.700509259259</v>
      </c>
      <c r="B143" s="24" t="s">
        <v>200</v>
      </c>
      <c r="C143" s="24" t="s">
        <v>554</v>
      </c>
      <c r="D143" s="24">
        <v>950000</v>
      </c>
      <c r="E143" s="24" t="s">
        <v>643</v>
      </c>
      <c r="F143" s="24" t="str">
        <f t="shared" si="4"/>
        <v>rtdc.l.rtdc.4010:itc</v>
      </c>
      <c r="G143" s="8">
        <f t="shared" si="5"/>
        <v>42602.700509259259</v>
      </c>
    </row>
    <row r="144" spans="1:7" x14ac:dyDescent="0.25">
      <c r="A144" s="8">
        <v>42602.704062500001</v>
      </c>
      <c r="B144" s="24" t="s">
        <v>304</v>
      </c>
      <c r="C144" s="24" t="s">
        <v>564</v>
      </c>
      <c r="D144" s="24">
        <v>2020000</v>
      </c>
      <c r="E144" s="24" t="s">
        <v>309</v>
      </c>
      <c r="F144" s="24" t="str">
        <f t="shared" si="4"/>
        <v>rtdc.l.rtdc.4003:itc</v>
      </c>
      <c r="G144" s="8">
        <f t="shared" si="5"/>
        <v>42602.704062500001</v>
      </c>
    </row>
    <row r="145" spans="1:7" x14ac:dyDescent="0.25">
      <c r="A145" s="8">
        <v>42602.709490740737</v>
      </c>
      <c r="B145" s="24" t="s">
        <v>232</v>
      </c>
      <c r="C145" s="24" t="s">
        <v>492</v>
      </c>
      <c r="D145" s="24">
        <v>1360000</v>
      </c>
      <c r="E145" s="24" t="s">
        <v>252</v>
      </c>
      <c r="F145" s="24" t="str">
        <f t="shared" si="4"/>
        <v>rtdc.l.rtdc.4025:itc</v>
      </c>
      <c r="G145" s="8">
        <f t="shared" si="5"/>
        <v>42602.709490740737</v>
      </c>
    </row>
    <row r="146" spans="1:7" x14ac:dyDescent="0.25">
      <c r="A146" s="8">
        <v>42602.714328703703</v>
      </c>
      <c r="B146" s="24" t="s">
        <v>302</v>
      </c>
      <c r="C146" s="24" t="s">
        <v>556</v>
      </c>
      <c r="D146" s="24">
        <v>880000</v>
      </c>
      <c r="E146" s="24" t="s">
        <v>307</v>
      </c>
      <c r="F146" s="24" t="str">
        <f t="shared" si="4"/>
        <v>rtdc.l.rtdc.4017:itc</v>
      </c>
      <c r="G146" s="8">
        <f t="shared" si="5"/>
        <v>42602.714328703703</v>
      </c>
    </row>
    <row r="147" spans="1:7" x14ac:dyDescent="0.25">
      <c r="A147" s="8">
        <v>42602.71434027778</v>
      </c>
      <c r="B147" s="24" t="s">
        <v>95</v>
      </c>
      <c r="C147" s="24" t="s">
        <v>568</v>
      </c>
      <c r="D147" s="24">
        <v>1770000</v>
      </c>
      <c r="E147" s="24" t="s">
        <v>642</v>
      </c>
      <c r="F147" s="24" t="str">
        <f t="shared" si="4"/>
        <v>rtdc.l.rtdc.4027:itc</v>
      </c>
      <c r="G147" s="8">
        <f t="shared" si="5"/>
        <v>42602.71434027778</v>
      </c>
    </row>
    <row r="148" spans="1:7" x14ac:dyDescent="0.25">
      <c r="A148" s="8">
        <v>42602.716180555559</v>
      </c>
      <c r="B148" s="24" t="s">
        <v>118</v>
      </c>
      <c r="C148" s="24" t="s">
        <v>559</v>
      </c>
      <c r="D148" s="24">
        <v>1280000</v>
      </c>
      <c r="E148" s="24" t="s">
        <v>641</v>
      </c>
      <c r="F148" s="24" t="str">
        <f t="shared" si="4"/>
        <v>rtdc.l.rtdc.4032:itc</v>
      </c>
      <c r="G148" s="8">
        <f t="shared" si="5"/>
        <v>42602.716180555559</v>
      </c>
    </row>
    <row r="149" spans="1:7" x14ac:dyDescent="0.25">
      <c r="A149" s="8">
        <v>42602.725335648145</v>
      </c>
      <c r="B149" s="24" t="s">
        <v>236</v>
      </c>
      <c r="C149" s="24" t="s">
        <v>571</v>
      </c>
      <c r="D149" s="24">
        <v>1520000</v>
      </c>
      <c r="E149" s="24" t="s">
        <v>308</v>
      </c>
      <c r="F149" s="24" t="str">
        <f t="shared" si="4"/>
        <v>rtdc.l.rtdc.4044:itc</v>
      </c>
      <c r="G149" s="8">
        <f t="shared" si="5"/>
        <v>42602.725335648145</v>
      </c>
    </row>
    <row r="150" spans="1:7" x14ac:dyDescent="0.25">
      <c r="A150" s="8">
        <v>42602.734097222223</v>
      </c>
      <c r="B150" s="24" t="s">
        <v>230</v>
      </c>
      <c r="C150" s="24" t="s">
        <v>495</v>
      </c>
      <c r="D150" s="24">
        <v>1360000</v>
      </c>
      <c r="E150" s="24" t="s">
        <v>252</v>
      </c>
      <c r="F150" s="24" t="str">
        <f t="shared" si="4"/>
        <v>rtdc.l.rtdc.4026:itc</v>
      </c>
      <c r="G150" s="8">
        <f t="shared" si="5"/>
        <v>42602.734097222223</v>
      </c>
    </row>
    <row r="151" spans="1:7" x14ac:dyDescent="0.25">
      <c r="A151" s="8">
        <v>42602.73537037037</v>
      </c>
      <c r="B151" s="24" t="s">
        <v>185</v>
      </c>
      <c r="C151" s="24" t="s">
        <v>562</v>
      </c>
      <c r="D151" s="24">
        <v>2040000</v>
      </c>
      <c r="E151" s="24" t="s">
        <v>235</v>
      </c>
      <c r="F151" s="24" t="str">
        <f t="shared" si="4"/>
        <v>rtdc.l.rtdc.4008:itc</v>
      </c>
      <c r="G151" s="8">
        <f t="shared" si="5"/>
        <v>42602.73537037037</v>
      </c>
    </row>
    <row r="152" spans="1:7" x14ac:dyDescent="0.25">
      <c r="A152" s="8">
        <v>42602.736863425926</v>
      </c>
      <c r="B152" s="24" t="s">
        <v>199</v>
      </c>
      <c r="C152" s="24" t="s">
        <v>576</v>
      </c>
      <c r="D152" s="24">
        <v>1810000</v>
      </c>
      <c r="E152" s="24" t="s">
        <v>253</v>
      </c>
      <c r="F152" s="24" t="str">
        <f t="shared" si="4"/>
        <v>rtdc.l.rtdc.4009:itc</v>
      </c>
      <c r="G152" s="8">
        <f t="shared" si="5"/>
        <v>42602.736863425926</v>
      </c>
    </row>
    <row r="153" spans="1:7" x14ac:dyDescent="0.25">
      <c r="A153" s="8">
        <v>42602.742858796293</v>
      </c>
      <c r="B153" s="24" t="s">
        <v>305</v>
      </c>
      <c r="C153" s="24" t="s">
        <v>566</v>
      </c>
      <c r="D153" s="24">
        <v>2020000</v>
      </c>
      <c r="E153" s="24" t="s">
        <v>309</v>
      </c>
      <c r="F153" s="24" t="str">
        <f t="shared" si="4"/>
        <v>rtdc.l.rtdc.4004:itc</v>
      </c>
      <c r="G153" s="8">
        <f t="shared" si="5"/>
        <v>42602.742858796293</v>
      </c>
    </row>
    <row r="154" spans="1:7" x14ac:dyDescent="0.25">
      <c r="A154" s="8">
        <v>42602.74759259259</v>
      </c>
      <c r="B154" s="24" t="s">
        <v>303</v>
      </c>
      <c r="C154" s="24" t="s">
        <v>578</v>
      </c>
      <c r="D154" s="24">
        <v>950000</v>
      </c>
      <c r="E154" s="24" t="s">
        <v>643</v>
      </c>
      <c r="F154" s="24" t="str">
        <f t="shared" si="4"/>
        <v>rtdc.l.rtdc.4018:itc</v>
      </c>
      <c r="G154" s="8">
        <f t="shared" si="5"/>
        <v>42602.74759259259</v>
      </c>
    </row>
    <row r="155" spans="1:7" x14ac:dyDescent="0.25">
      <c r="A155" s="8">
        <v>42602.748530092591</v>
      </c>
      <c r="B155" s="24" t="s">
        <v>232</v>
      </c>
      <c r="C155" s="24" t="s">
        <v>498</v>
      </c>
      <c r="D155" s="24">
        <v>1360000</v>
      </c>
      <c r="E155" s="24" t="s">
        <v>252</v>
      </c>
      <c r="F155" s="24" t="str">
        <f t="shared" si="4"/>
        <v>rtdc.l.rtdc.4025:itc</v>
      </c>
      <c r="G155" s="8">
        <f t="shared" si="5"/>
        <v>42602.748530092591</v>
      </c>
    </row>
    <row r="156" spans="1:7" x14ac:dyDescent="0.25">
      <c r="A156" s="8">
        <v>42602.753738425927</v>
      </c>
      <c r="B156" s="24" t="s">
        <v>159</v>
      </c>
      <c r="C156" s="24" t="s">
        <v>570</v>
      </c>
      <c r="D156" s="24">
        <v>1770000</v>
      </c>
      <c r="E156" s="24" t="s">
        <v>642</v>
      </c>
      <c r="F156" s="24" t="str">
        <f t="shared" si="4"/>
        <v>rtdc.l.rtdc.4028:itc</v>
      </c>
      <c r="G156" s="8">
        <f t="shared" si="5"/>
        <v>42602.753738425927</v>
      </c>
    </row>
    <row r="157" spans="1:7" x14ac:dyDescent="0.25">
      <c r="A157" s="8">
        <v>42602.760555555556</v>
      </c>
      <c r="B157" s="24" t="s">
        <v>117</v>
      </c>
      <c r="C157" s="24" t="s">
        <v>580</v>
      </c>
      <c r="D157" s="24">
        <v>1800000</v>
      </c>
      <c r="E157" s="24" t="s">
        <v>206</v>
      </c>
      <c r="F157" s="24" t="str">
        <f t="shared" si="4"/>
        <v>rtdc.l.rtdc.4031:itc</v>
      </c>
      <c r="G157" s="8">
        <f t="shared" si="5"/>
        <v>42602.760555555556</v>
      </c>
    </row>
    <row r="158" spans="1:7" x14ac:dyDescent="0.25">
      <c r="A158" s="8">
        <v>42602.761388888888</v>
      </c>
      <c r="B158" s="24" t="s">
        <v>196</v>
      </c>
      <c r="C158" s="24" t="s">
        <v>573</v>
      </c>
      <c r="D158" s="24">
        <v>1520000</v>
      </c>
      <c r="E158" s="24" t="s">
        <v>308</v>
      </c>
      <c r="F158" s="24" t="str">
        <f t="shared" si="4"/>
        <v>rtdc.l.rtdc.4043:itc</v>
      </c>
      <c r="G158" s="8">
        <f t="shared" si="5"/>
        <v>42602.761388888888</v>
      </c>
    </row>
    <row r="159" spans="1:7" x14ac:dyDescent="0.25">
      <c r="A159" s="8">
        <v>42602.766898148147</v>
      </c>
      <c r="B159" s="24" t="s">
        <v>200</v>
      </c>
      <c r="C159" s="24" t="s">
        <v>577</v>
      </c>
      <c r="D159" s="24">
        <v>1810000</v>
      </c>
      <c r="E159" s="24" t="s">
        <v>253</v>
      </c>
      <c r="F159" s="24" t="str">
        <f t="shared" si="4"/>
        <v>rtdc.l.rtdc.4010:itc</v>
      </c>
      <c r="G159" s="8">
        <f t="shared" si="5"/>
        <v>42602.766898148147</v>
      </c>
    </row>
    <row r="160" spans="1:7" x14ac:dyDescent="0.25">
      <c r="A160" s="8">
        <v>42602.770115740743</v>
      </c>
      <c r="B160" s="24" t="s">
        <v>92</v>
      </c>
      <c r="C160" s="24" t="s">
        <v>630</v>
      </c>
      <c r="D160" s="24">
        <v>1300000</v>
      </c>
      <c r="E160" s="24" t="s">
        <v>148</v>
      </c>
      <c r="F160" s="24" t="str">
        <f t="shared" si="4"/>
        <v>rtdc.l.rtdc.4013:itc</v>
      </c>
      <c r="G160" s="8">
        <f t="shared" si="5"/>
        <v>42602.770115740743</v>
      </c>
    </row>
    <row r="161" spans="1:7" x14ac:dyDescent="0.25">
      <c r="A161" s="8">
        <v>42602.770798611113</v>
      </c>
      <c r="B161" s="24" t="s">
        <v>233</v>
      </c>
      <c r="C161" s="24" t="s">
        <v>582</v>
      </c>
      <c r="D161" s="24">
        <v>2000000</v>
      </c>
      <c r="E161" s="24" t="s">
        <v>151</v>
      </c>
      <c r="F161" s="24" t="str">
        <f t="shared" si="4"/>
        <v>rtdc.l.rtdc.4007:itc</v>
      </c>
      <c r="G161" s="8">
        <f t="shared" si="5"/>
        <v>42602.770798611113</v>
      </c>
    </row>
    <row r="162" spans="1:7" x14ac:dyDescent="0.25">
      <c r="A162" s="8">
        <v>42602.777094907404</v>
      </c>
      <c r="B162" s="24" t="s">
        <v>304</v>
      </c>
      <c r="C162" s="24" t="s">
        <v>644</v>
      </c>
      <c r="D162" s="24">
        <v>2020000</v>
      </c>
      <c r="E162" s="24" t="s">
        <v>309</v>
      </c>
      <c r="F162" s="24" t="str">
        <f t="shared" si="4"/>
        <v>rtdc.l.rtdc.4003:itc</v>
      </c>
      <c r="G162" s="8">
        <f t="shared" si="5"/>
        <v>42602.777094907404</v>
      </c>
    </row>
    <row r="163" spans="1:7" x14ac:dyDescent="0.25">
      <c r="A163" s="8">
        <v>42602.777650462966</v>
      </c>
      <c r="B163" s="24" t="s">
        <v>230</v>
      </c>
      <c r="C163" s="24" t="s">
        <v>501</v>
      </c>
      <c r="D163" s="24">
        <v>1360000</v>
      </c>
      <c r="E163" s="24" t="s">
        <v>252</v>
      </c>
      <c r="F163" s="24" t="str">
        <f t="shared" si="4"/>
        <v>rtdc.l.rtdc.4026:itc</v>
      </c>
      <c r="G163" s="8">
        <f t="shared" si="5"/>
        <v>42602.777650462966</v>
      </c>
    </row>
    <row r="164" spans="1:7" x14ac:dyDescent="0.25">
      <c r="A164" s="8">
        <v>42602.788391203707</v>
      </c>
      <c r="B164" s="24" t="s">
        <v>302</v>
      </c>
      <c r="C164" s="24" t="s">
        <v>579</v>
      </c>
      <c r="D164" s="24">
        <v>950000</v>
      </c>
      <c r="E164" s="24" t="s">
        <v>643</v>
      </c>
      <c r="F164" s="24" t="str">
        <f t="shared" si="4"/>
        <v>rtdc.l.rtdc.4017:itc</v>
      </c>
      <c r="G164" s="8">
        <f t="shared" si="5"/>
        <v>42602.788391203707</v>
      </c>
    </row>
    <row r="165" spans="1:7" x14ac:dyDescent="0.25">
      <c r="A165" s="8">
        <v>42602.790300925924</v>
      </c>
      <c r="B165" s="24" t="s">
        <v>232</v>
      </c>
      <c r="C165" s="24" t="s">
        <v>504</v>
      </c>
      <c r="D165" s="24">
        <v>1360000</v>
      </c>
      <c r="E165" s="24" t="s">
        <v>252</v>
      </c>
      <c r="F165" s="24" t="str">
        <f t="shared" si="4"/>
        <v>rtdc.l.rtdc.4025:itc</v>
      </c>
      <c r="G165" s="8">
        <f t="shared" si="5"/>
        <v>42602.790300925924</v>
      </c>
    </row>
    <row r="166" spans="1:7" x14ac:dyDescent="0.25">
      <c r="A166" s="8">
        <v>42602.790868055556</v>
      </c>
      <c r="B166" s="24" t="s">
        <v>95</v>
      </c>
      <c r="C166" s="24" t="s">
        <v>585</v>
      </c>
      <c r="D166" s="24">
        <v>1300000</v>
      </c>
      <c r="E166" s="24" t="s">
        <v>148</v>
      </c>
      <c r="F166" s="24" t="str">
        <f t="shared" si="4"/>
        <v>rtdc.l.rtdc.4027:itc</v>
      </c>
      <c r="G166" s="8">
        <f t="shared" si="5"/>
        <v>42602.790868055556</v>
      </c>
    </row>
    <row r="167" spans="1:7" x14ac:dyDescent="0.25">
      <c r="A167" s="8">
        <v>42602.797233796293</v>
      </c>
      <c r="B167" s="24" t="s">
        <v>118</v>
      </c>
      <c r="C167" s="24" t="s">
        <v>581</v>
      </c>
      <c r="D167" s="24">
        <v>1800000</v>
      </c>
      <c r="E167" s="24" t="s">
        <v>206</v>
      </c>
      <c r="F167" s="24" t="str">
        <f t="shared" si="4"/>
        <v>rtdc.l.rtdc.4032:itc</v>
      </c>
      <c r="G167" s="8">
        <f t="shared" si="5"/>
        <v>42602.797233796293</v>
      </c>
    </row>
    <row r="168" spans="1:7" x14ac:dyDescent="0.25">
      <c r="A168" s="8">
        <v>42602.808240740742</v>
      </c>
      <c r="B168" s="24" t="s">
        <v>185</v>
      </c>
      <c r="C168" s="24" t="s">
        <v>583</v>
      </c>
      <c r="D168" s="24">
        <v>2000000</v>
      </c>
      <c r="E168" s="24" t="s">
        <v>151</v>
      </c>
      <c r="F168" s="24" t="str">
        <f t="shared" si="4"/>
        <v>rtdc.l.rtdc.4008:itc</v>
      </c>
      <c r="G168" s="8">
        <f t="shared" si="5"/>
        <v>42602.808240740742</v>
      </c>
    </row>
    <row r="169" spans="1:7" x14ac:dyDescent="0.25">
      <c r="A169" s="8">
        <v>42602.810185185182</v>
      </c>
      <c r="B169" s="24" t="s">
        <v>199</v>
      </c>
      <c r="C169" s="24" t="s">
        <v>587</v>
      </c>
      <c r="D169" s="24">
        <v>1810000</v>
      </c>
      <c r="E169" s="24" t="s">
        <v>253</v>
      </c>
      <c r="F169" s="24" t="str">
        <f t="shared" si="4"/>
        <v>rtdc.l.rtdc.4009:itc</v>
      </c>
      <c r="G169" s="8">
        <f t="shared" si="5"/>
        <v>42602.810185185182</v>
      </c>
    </row>
    <row r="170" spans="1:7" x14ac:dyDescent="0.25">
      <c r="A170" s="8">
        <v>42602.818414351852</v>
      </c>
      <c r="B170" s="24" t="s">
        <v>230</v>
      </c>
      <c r="C170" s="24" t="s">
        <v>507</v>
      </c>
      <c r="D170" s="24">
        <v>1360000</v>
      </c>
      <c r="E170" s="24" t="s">
        <v>252</v>
      </c>
      <c r="F170" s="24" t="str">
        <f t="shared" si="4"/>
        <v>rtdc.l.rtdc.4026:itc</v>
      </c>
      <c r="G170" s="8">
        <f t="shared" si="5"/>
        <v>42602.818414351852</v>
      </c>
    </row>
    <row r="171" spans="1:7" x14ac:dyDescent="0.25">
      <c r="A171" s="8">
        <v>42602.822754629633</v>
      </c>
      <c r="B171" s="24" t="s">
        <v>303</v>
      </c>
      <c r="C171" s="24" t="s">
        <v>645</v>
      </c>
      <c r="D171" s="24">
        <v>950000</v>
      </c>
      <c r="E171" s="24" t="s">
        <v>643</v>
      </c>
      <c r="F171" s="24" t="str">
        <f t="shared" si="4"/>
        <v>rtdc.l.rtdc.4018:itc</v>
      </c>
      <c r="G171" s="8">
        <f t="shared" si="5"/>
        <v>42602.822754629633</v>
      </c>
    </row>
    <row r="172" spans="1:7" x14ac:dyDescent="0.25">
      <c r="A172" s="8">
        <v>42602.82472222222</v>
      </c>
      <c r="B172" s="24" t="s">
        <v>159</v>
      </c>
      <c r="C172" s="24" t="s">
        <v>586</v>
      </c>
      <c r="D172" s="24">
        <v>1300000</v>
      </c>
      <c r="E172" s="24" t="s">
        <v>148</v>
      </c>
      <c r="F172" s="24" t="str">
        <f t="shared" si="4"/>
        <v>rtdc.l.rtdc.4028:itc</v>
      </c>
      <c r="G172" s="8">
        <f t="shared" si="5"/>
        <v>42602.82472222222</v>
      </c>
    </row>
    <row r="173" spans="1:7" x14ac:dyDescent="0.25">
      <c r="A173" s="8">
        <v>42602.825335648151</v>
      </c>
      <c r="B173" s="24" t="s">
        <v>199</v>
      </c>
      <c r="C173" s="24" t="s">
        <v>587</v>
      </c>
      <c r="D173" s="24">
        <v>1810000</v>
      </c>
      <c r="E173" s="24" t="s">
        <v>253</v>
      </c>
      <c r="F173" s="24" t="str">
        <f t="shared" si="4"/>
        <v>rtdc.l.rtdc.4009:itc</v>
      </c>
      <c r="G173" s="8">
        <f t="shared" si="5"/>
        <v>42602.825335648151</v>
      </c>
    </row>
    <row r="174" spans="1:7" x14ac:dyDescent="0.25">
      <c r="A174" s="8">
        <v>42602.828715277778</v>
      </c>
      <c r="B174" s="24" t="s">
        <v>236</v>
      </c>
      <c r="C174" s="24" t="s">
        <v>646</v>
      </c>
      <c r="D174" s="24">
        <v>730000</v>
      </c>
      <c r="E174" s="24" t="s">
        <v>647</v>
      </c>
      <c r="F174" s="24" t="str">
        <f t="shared" si="4"/>
        <v>rtdc.l.rtdc.4044:itc</v>
      </c>
      <c r="G174" s="8">
        <f t="shared" si="5"/>
        <v>42602.828715277778</v>
      </c>
    </row>
    <row r="175" spans="1:7" x14ac:dyDescent="0.25">
      <c r="A175" s="8">
        <v>42602.832881944443</v>
      </c>
      <c r="B175" s="24" t="s">
        <v>117</v>
      </c>
      <c r="C175" s="24" t="s">
        <v>593</v>
      </c>
      <c r="D175" s="24">
        <v>1800000</v>
      </c>
      <c r="E175" s="24" t="s">
        <v>206</v>
      </c>
      <c r="F175" s="24" t="str">
        <f t="shared" si="4"/>
        <v>rtdc.l.rtdc.4031:itc</v>
      </c>
      <c r="G175" s="8">
        <f t="shared" si="5"/>
        <v>42602.832881944443</v>
      </c>
    </row>
    <row r="176" spans="1:7" x14ac:dyDescent="0.25">
      <c r="A176" s="8">
        <v>42602.832986111112</v>
      </c>
      <c r="B176" s="24" t="s">
        <v>232</v>
      </c>
      <c r="C176" s="24" t="s">
        <v>509</v>
      </c>
      <c r="D176" s="24">
        <v>1360000</v>
      </c>
      <c r="E176" s="24" t="s">
        <v>252</v>
      </c>
      <c r="F176" s="24" t="str">
        <f t="shared" si="4"/>
        <v>rtdc.l.rtdc.4025:itc</v>
      </c>
      <c r="G176" s="8">
        <f t="shared" si="5"/>
        <v>42602.832986111112</v>
      </c>
    </row>
    <row r="177" spans="1:7" x14ac:dyDescent="0.25">
      <c r="A177" s="8">
        <v>42602.846863425926</v>
      </c>
      <c r="B177" s="24" t="s">
        <v>200</v>
      </c>
      <c r="C177" s="24" t="s">
        <v>592</v>
      </c>
      <c r="D177" s="24">
        <v>1810000</v>
      </c>
      <c r="E177" s="24" t="s">
        <v>253</v>
      </c>
      <c r="F177" s="24" t="str">
        <f t="shared" si="4"/>
        <v>rtdc.l.rtdc.4010:itc</v>
      </c>
      <c r="G177" s="8">
        <f t="shared" si="5"/>
        <v>42602.846863425926</v>
      </c>
    </row>
    <row r="178" spans="1:7" x14ac:dyDescent="0.25">
      <c r="A178" s="8">
        <v>42602.849756944444</v>
      </c>
      <c r="B178" s="24" t="s">
        <v>233</v>
      </c>
      <c r="C178" s="24" t="s">
        <v>596</v>
      </c>
      <c r="D178" s="24">
        <v>2000000</v>
      </c>
      <c r="E178" s="24" t="s">
        <v>151</v>
      </c>
      <c r="F178" s="24" t="str">
        <f t="shared" si="4"/>
        <v>rtdc.l.rtdc.4007:itc</v>
      </c>
      <c r="G178" s="8">
        <f t="shared" si="5"/>
        <v>42602.849756944444</v>
      </c>
    </row>
    <row r="179" spans="1:7" x14ac:dyDescent="0.25">
      <c r="A179" s="8">
        <v>42602.86105324074</v>
      </c>
      <c r="B179" s="24" t="s">
        <v>230</v>
      </c>
      <c r="C179" s="24" t="s">
        <v>513</v>
      </c>
      <c r="D179" s="24">
        <v>1360000</v>
      </c>
      <c r="E179" s="24" t="s">
        <v>252</v>
      </c>
      <c r="F179" s="24" t="str">
        <f t="shared" si="4"/>
        <v>rtdc.l.rtdc.4026:itc</v>
      </c>
      <c r="G179" s="8">
        <f t="shared" si="5"/>
        <v>42602.86105324074</v>
      </c>
    </row>
    <row r="180" spans="1:7" x14ac:dyDescent="0.25">
      <c r="A180" s="8">
        <v>42602.871793981481</v>
      </c>
      <c r="B180" s="24" t="s">
        <v>95</v>
      </c>
      <c r="C180" s="24" t="s">
        <v>601</v>
      </c>
      <c r="D180" s="24">
        <v>1300000</v>
      </c>
      <c r="E180" s="24" t="s">
        <v>148</v>
      </c>
      <c r="F180" s="24" t="str">
        <f t="shared" si="4"/>
        <v>rtdc.l.rtdc.4027:itc</v>
      </c>
      <c r="G180" s="8">
        <f t="shared" si="5"/>
        <v>42602.871793981481</v>
      </c>
    </row>
    <row r="181" spans="1:7" x14ac:dyDescent="0.25">
      <c r="A181" s="8">
        <v>42602.872129629628</v>
      </c>
      <c r="B181" s="24" t="s">
        <v>118</v>
      </c>
      <c r="C181" s="24" t="s">
        <v>594</v>
      </c>
      <c r="D181" s="24">
        <v>1800000</v>
      </c>
      <c r="E181" s="24" t="s">
        <v>206</v>
      </c>
      <c r="F181" s="24" t="str">
        <f t="shared" si="4"/>
        <v>rtdc.l.rtdc.4032:itc</v>
      </c>
      <c r="G181" s="8">
        <f t="shared" si="5"/>
        <v>42602.872129629628</v>
      </c>
    </row>
    <row r="182" spans="1:7" x14ac:dyDescent="0.25">
      <c r="A182" s="8">
        <v>42602.872581018521</v>
      </c>
      <c r="B182" s="24" t="s">
        <v>95</v>
      </c>
      <c r="C182" s="24" t="s">
        <v>601</v>
      </c>
      <c r="D182" s="24">
        <v>1300000</v>
      </c>
      <c r="E182" s="24" t="s">
        <v>148</v>
      </c>
      <c r="F182" s="24" t="str">
        <f t="shared" si="4"/>
        <v>rtdc.l.rtdc.4027:itc</v>
      </c>
      <c r="G182" s="8">
        <f t="shared" si="5"/>
        <v>42602.872581018521</v>
      </c>
    </row>
    <row r="183" spans="1:7" x14ac:dyDescent="0.25">
      <c r="A183" s="8">
        <v>42602.873182870368</v>
      </c>
      <c r="B183" s="24" t="s">
        <v>95</v>
      </c>
      <c r="C183" s="24" t="s">
        <v>601</v>
      </c>
      <c r="D183" s="24">
        <v>1300000</v>
      </c>
      <c r="E183" s="24" t="s">
        <v>148</v>
      </c>
      <c r="F183" s="24" t="str">
        <f t="shared" si="4"/>
        <v>rtdc.l.rtdc.4027:itc</v>
      </c>
      <c r="G183" s="8">
        <f t="shared" si="5"/>
        <v>42602.873182870368</v>
      </c>
    </row>
    <row r="184" spans="1:7" x14ac:dyDescent="0.25">
      <c r="A184" s="8">
        <v>42602.873703703706</v>
      </c>
      <c r="B184" s="24" t="s">
        <v>95</v>
      </c>
      <c r="C184" s="24" t="s">
        <v>600</v>
      </c>
      <c r="D184" s="24">
        <v>1300000</v>
      </c>
      <c r="E184" s="24" t="s">
        <v>148</v>
      </c>
      <c r="F184" s="24" t="str">
        <f t="shared" si="4"/>
        <v>rtdc.l.rtdc.4027:itc</v>
      </c>
      <c r="G184" s="8">
        <f t="shared" si="5"/>
        <v>42602.873703703706</v>
      </c>
    </row>
    <row r="185" spans="1:7" x14ac:dyDescent="0.25">
      <c r="A185" s="8">
        <v>42602.876932870371</v>
      </c>
      <c r="B185" s="24" t="s">
        <v>232</v>
      </c>
      <c r="C185" s="24" t="s">
        <v>516</v>
      </c>
      <c r="D185" s="24">
        <v>1360000</v>
      </c>
      <c r="E185" s="24" t="s">
        <v>252</v>
      </c>
      <c r="F185" s="24" t="str">
        <f t="shared" si="4"/>
        <v>rtdc.l.rtdc.4025:itc</v>
      </c>
      <c r="G185" s="8">
        <f t="shared" si="5"/>
        <v>42602.876932870371</v>
      </c>
    </row>
    <row r="186" spans="1:7" x14ac:dyDescent="0.25">
      <c r="A186" s="8">
        <v>42602.883622685185</v>
      </c>
      <c r="B186" s="24" t="s">
        <v>199</v>
      </c>
      <c r="C186" s="24" t="s">
        <v>602</v>
      </c>
      <c r="D186" s="24">
        <v>1810000</v>
      </c>
      <c r="E186" s="24" t="s">
        <v>253</v>
      </c>
      <c r="F186" s="24" t="str">
        <f t="shared" si="4"/>
        <v>rtdc.l.rtdc.4009:itc</v>
      </c>
      <c r="G186" s="8">
        <f t="shared" si="5"/>
        <v>42602.883622685185</v>
      </c>
    </row>
    <row r="187" spans="1:7" x14ac:dyDescent="0.25">
      <c r="A187" s="8">
        <v>42602.890868055554</v>
      </c>
      <c r="B187" s="24" t="s">
        <v>185</v>
      </c>
      <c r="C187" s="24" t="s">
        <v>598</v>
      </c>
      <c r="D187" s="24">
        <v>2000000</v>
      </c>
      <c r="E187" s="24" t="s">
        <v>151</v>
      </c>
      <c r="F187" s="24" t="str">
        <f t="shared" si="4"/>
        <v>rtdc.l.rtdc.4008:itc</v>
      </c>
      <c r="G187" s="8">
        <f t="shared" si="5"/>
        <v>42602.890868055554</v>
      </c>
    </row>
    <row r="188" spans="1:7" x14ac:dyDescent="0.25">
      <c r="A188" s="8">
        <v>42602.901539351849</v>
      </c>
      <c r="B188" s="24" t="s">
        <v>230</v>
      </c>
      <c r="C188" s="24" t="s">
        <v>519</v>
      </c>
      <c r="D188" s="24">
        <v>1360000</v>
      </c>
      <c r="E188" s="24" t="s">
        <v>252</v>
      </c>
      <c r="F188" s="24" t="str">
        <f t="shared" si="4"/>
        <v>rtdc.l.rtdc.4026:itc</v>
      </c>
      <c r="G188" s="8">
        <f t="shared" si="5"/>
        <v>42602.901539351849</v>
      </c>
    </row>
    <row r="189" spans="1:7" x14ac:dyDescent="0.25">
      <c r="A189" s="8">
        <v>42602.911365740743</v>
      </c>
      <c r="B189" s="24" t="s">
        <v>159</v>
      </c>
      <c r="C189" s="24" t="s">
        <v>601</v>
      </c>
      <c r="D189" s="24">
        <v>1300000</v>
      </c>
      <c r="E189" s="24" t="s">
        <v>148</v>
      </c>
      <c r="F189" s="24" t="str">
        <f t="shared" si="4"/>
        <v>rtdc.l.rtdc.4028:itc</v>
      </c>
      <c r="G189" s="8">
        <f t="shared" si="5"/>
        <v>42602.911365740743</v>
      </c>
    </row>
    <row r="190" spans="1:7" x14ac:dyDescent="0.25">
      <c r="A190" s="8">
        <v>42602.915821759256</v>
      </c>
      <c r="B190" s="24" t="s">
        <v>117</v>
      </c>
      <c r="C190" s="24" t="s">
        <v>605</v>
      </c>
      <c r="D190" s="24">
        <v>1800000</v>
      </c>
      <c r="E190" s="24" t="s">
        <v>206</v>
      </c>
      <c r="F190" s="24" t="str">
        <f t="shared" si="4"/>
        <v>rtdc.l.rtdc.4031:itc</v>
      </c>
      <c r="G190" s="8">
        <f t="shared" si="5"/>
        <v>42602.915821759256</v>
      </c>
    </row>
    <row r="191" spans="1:7" x14ac:dyDescent="0.25">
      <c r="A191" s="8">
        <v>42602.922939814816</v>
      </c>
      <c r="B191" s="24" t="s">
        <v>200</v>
      </c>
      <c r="C191" s="24" t="s">
        <v>604</v>
      </c>
      <c r="D191" s="24">
        <v>1810000</v>
      </c>
      <c r="E191" s="24" t="s">
        <v>253</v>
      </c>
      <c r="F191" s="24" t="str">
        <f t="shared" si="4"/>
        <v>rtdc.l.rtdc.4010:itc</v>
      </c>
      <c r="G191" s="8">
        <f t="shared" si="5"/>
        <v>42602.922939814816</v>
      </c>
    </row>
    <row r="192" spans="1:7" x14ac:dyDescent="0.25">
      <c r="A192" s="8">
        <v>42602.927627314813</v>
      </c>
      <c r="B192" s="24" t="s">
        <v>232</v>
      </c>
      <c r="C192" s="24" t="s">
        <v>522</v>
      </c>
      <c r="D192" s="24">
        <v>1360000</v>
      </c>
      <c r="E192" s="24" t="s">
        <v>252</v>
      </c>
      <c r="F192" s="24" t="str">
        <f t="shared" si="4"/>
        <v>rtdc.l.rtdc.4025:itc</v>
      </c>
      <c r="G192" s="8">
        <f t="shared" si="5"/>
        <v>42602.927627314813</v>
      </c>
    </row>
    <row r="193" spans="1:7" x14ac:dyDescent="0.25">
      <c r="A193" s="8">
        <v>42602.937152777777</v>
      </c>
      <c r="B193" s="24" t="s">
        <v>233</v>
      </c>
      <c r="C193" s="24" t="s">
        <v>607</v>
      </c>
      <c r="D193" s="24">
        <v>2000000</v>
      </c>
      <c r="E193" s="24" t="s">
        <v>151</v>
      </c>
      <c r="F193" s="24" t="str">
        <f t="shared" si="4"/>
        <v>rtdc.l.rtdc.4007:itc</v>
      </c>
      <c r="G193" s="8">
        <f t="shared" si="5"/>
        <v>42602.937152777777</v>
      </c>
    </row>
    <row r="194" spans="1:7" x14ac:dyDescent="0.25">
      <c r="A194" s="8">
        <v>42602.943043981482</v>
      </c>
      <c r="B194" s="24" t="s">
        <v>230</v>
      </c>
      <c r="C194" s="24" t="s">
        <v>535</v>
      </c>
      <c r="D194" s="24">
        <v>1360000</v>
      </c>
      <c r="E194" s="24" t="s">
        <v>252</v>
      </c>
      <c r="F194" s="24" t="str">
        <f t="shared" ref="F194:F235" si="6">B194</f>
        <v>rtdc.l.rtdc.4026:itc</v>
      </c>
      <c r="G194" s="8">
        <f t="shared" ref="G194:G235" si="7">A194</f>
        <v>42602.943043981482</v>
      </c>
    </row>
    <row r="195" spans="1:7" x14ac:dyDescent="0.25">
      <c r="A195" s="8">
        <v>42602.943726851852</v>
      </c>
      <c r="B195" s="24" t="s">
        <v>230</v>
      </c>
      <c r="C195" s="24" t="s">
        <v>535</v>
      </c>
      <c r="D195" s="24">
        <v>1360000</v>
      </c>
      <c r="E195" s="24" t="s">
        <v>252</v>
      </c>
      <c r="F195" s="24" t="str">
        <f t="shared" si="6"/>
        <v>rtdc.l.rtdc.4026:itc</v>
      </c>
      <c r="G195" s="8">
        <f t="shared" si="7"/>
        <v>42602.943726851852</v>
      </c>
    </row>
    <row r="196" spans="1:7" x14ac:dyDescent="0.25">
      <c r="A196" s="8">
        <v>42602.950243055559</v>
      </c>
      <c r="B196" s="24" t="s">
        <v>95</v>
      </c>
      <c r="C196" s="24" t="s">
        <v>611</v>
      </c>
      <c r="D196" s="24">
        <v>1300000</v>
      </c>
      <c r="E196" s="24" t="s">
        <v>148</v>
      </c>
      <c r="F196" s="24" t="str">
        <f t="shared" si="6"/>
        <v>rtdc.l.rtdc.4027:itc</v>
      </c>
      <c r="G196" s="8">
        <f t="shared" si="7"/>
        <v>42602.950243055559</v>
      </c>
    </row>
    <row r="197" spans="1:7" x14ac:dyDescent="0.25">
      <c r="A197" s="8">
        <v>42602.953981481478</v>
      </c>
      <c r="B197" s="24" t="s">
        <v>118</v>
      </c>
      <c r="C197" s="24" t="s">
        <v>606</v>
      </c>
      <c r="D197" s="24">
        <v>1800000</v>
      </c>
      <c r="E197" s="24" t="s">
        <v>206</v>
      </c>
      <c r="F197" s="24" t="str">
        <f t="shared" si="6"/>
        <v>rtdc.l.rtdc.4032:itc</v>
      </c>
      <c r="G197" s="8">
        <f t="shared" si="7"/>
        <v>42602.953981481478</v>
      </c>
    </row>
    <row r="198" spans="1:7" x14ac:dyDescent="0.25">
      <c r="A198" s="8">
        <v>42602.96806712963</v>
      </c>
      <c r="B198" s="24" t="s">
        <v>199</v>
      </c>
      <c r="C198" s="24" t="s">
        <v>613</v>
      </c>
      <c r="D198" s="24">
        <v>1810000</v>
      </c>
      <c r="E198" s="24" t="s">
        <v>253</v>
      </c>
      <c r="F198" s="24" t="str">
        <f t="shared" si="6"/>
        <v>rtdc.l.rtdc.4009:itc</v>
      </c>
      <c r="G198" s="8">
        <f t="shared" si="7"/>
        <v>42602.96806712963</v>
      </c>
    </row>
    <row r="199" spans="1:7" x14ac:dyDescent="0.25">
      <c r="A199" s="8">
        <v>42602.974108796298</v>
      </c>
      <c r="B199" s="24" t="s">
        <v>185</v>
      </c>
      <c r="C199" s="24" t="s">
        <v>610</v>
      </c>
      <c r="D199" s="24">
        <v>2000000</v>
      </c>
      <c r="E199" s="24" t="s">
        <v>151</v>
      </c>
      <c r="F199" s="24" t="str">
        <f t="shared" si="6"/>
        <v>rtdc.l.rtdc.4008:itc</v>
      </c>
      <c r="G199" s="8">
        <f t="shared" si="7"/>
        <v>42602.974108796298</v>
      </c>
    </row>
    <row r="200" spans="1:7" x14ac:dyDescent="0.25">
      <c r="A200" s="8">
        <v>42602.978425925925</v>
      </c>
      <c r="B200" s="24" t="s">
        <v>199</v>
      </c>
      <c r="C200" s="24" t="s">
        <v>613</v>
      </c>
      <c r="D200" s="24">
        <v>1810000</v>
      </c>
      <c r="E200" s="24" t="s">
        <v>253</v>
      </c>
      <c r="F200" s="24" t="str">
        <f t="shared" si="6"/>
        <v>rtdc.l.rtdc.4009:itc</v>
      </c>
      <c r="G200" s="8">
        <f t="shared" si="7"/>
        <v>42602.978425925925</v>
      </c>
    </row>
    <row r="201" spans="1:7" x14ac:dyDescent="0.25">
      <c r="A201" s="8">
        <v>42602.989895833336</v>
      </c>
      <c r="B201" s="24" t="s">
        <v>159</v>
      </c>
      <c r="C201" s="24" t="s">
        <v>612</v>
      </c>
      <c r="D201" s="24">
        <v>1300000</v>
      </c>
      <c r="E201" s="24" t="s">
        <v>148</v>
      </c>
      <c r="F201" s="24" t="str">
        <f t="shared" si="6"/>
        <v>rtdc.l.rtdc.4028:itc</v>
      </c>
      <c r="G201" s="8">
        <f t="shared" si="7"/>
        <v>42602.989895833336</v>
      </c>
    </row>
    <row r="202" spans="1:7" x14ac:dyDescent="0.25">
      <c r="A202" s="30">
        <v>42602.999768518515</v>
      </c>
      <c r="B202" s="24" t="s">
        <v>117</v>
      </c>
      <c r="C202" s="24" t="s">
        <v>615</v>
      </c>
      <c r="D202" s="24">
        <v>1800000</v>
      </c>
      <c r="E202" s="24" t="s">
        <v>206</v>
      </c>
      <c r="F202" s="24" t="str">
        <f t="shared" si="6"/>
        <v>rtdc.l.rtdc.4031:itc</v>
      </c>
      <c r="G202" s="8">
        <f t="shared" si="7"/>
        <v>42602.999768518515</v>
      </c>
    </row>
    <row r="203" spans="1:7" x14ac:dyDescent="0.25">
      <c r="A203" s="8">
        <v>42603.014988425923</v>
      </c>
      <c r="B203" s="24" t="s">
        <v>200</v>
      </c>
      <c r="C203" s="24" t="s">
        <v>614</v>
      </c>
      <c r="D203" s="24">
        <v>1810000</v>
      </c>
      <c r="E203" s="24" t="s">
        <v>253</v>
      </c>
      <c r="F203" s="24" t="str">
        <f t="shared" si="6"/>
        <v>rtdc.l.rtdc.4010:itc</v>
      </c>
      <c r="G203" s="8">
        <f t="shared" si="7"/>
        <v>42603.014988425923</v>
      </c>
    </row>
    <row r="204" spans="1:7" x14ac:dyDescent="0.25">
      <c r="A204" s="8">
        <v>42603.015717592592</v>
      </c>
      <c r="B204" s="24" t="s">
        <v>233</v>
      </c>
      <c r="C204" s="24" t="s">
        <v>617</v>
      </c>
      <c r="D204" s="24">
        <v>2000000</v>
      </c>
      <c r="E204" s="24" t="s">
        <v>151</v>
      </c>
      <c r="F204" s="24" t="str">
        <f t="shared" si="6"/>
        <v>rtdc.l.rtdc.4007:itc</v>
      </c>
      <c r="G204" s="8">
        <f t="shared" si="7"/>
        <v>42603.015717592592</v>
      </c>
    </row>
    <row r="205" spans="1:7" x14ac:dyDescent="0.25">
      <c r="A205" s="8">
        <v>42603.037256944444</v>
      </c>
      <c r="B205" s="24" t="s">
        <v>95</v>
      </c>
      <c r="C205" s="24" t="s">
        <v>620</v>
      </c>
      <c r="D205" s="24">
        <v>1300000</v>
      </c>
      <c r="E205" s="24" t="s">
        <v>148</v>
      </c>
      <c r="F205" s="24" t="str">
        <f t="shared" si="6"/>
        <v>rtdc.l.rtdc.4027:itc</v>
      </c>
      <c r="G205" s="8">
        <f t="shared" si="7"/>
        <v>42603.037256944444</v>
      </c>
    </row>
    <row r="206" spans="1:7" x14ac:dyDescent="0.25">
      <c r="A206" s="8">
        <v>42603.037997685184</v>
      </c>
      <c r="B206" s="24" t="s">
        <v>118</v>
      </c>
      <c r="C206" s="24" t="s">
        <v>616</v>
      </c>
      <c r="D206" s="24">
        <v>1800000</v>
      </c>
      <c r="E206" s="24" t="s">
        <v>206</v>
      </c>
      <c r="F206" s="24" t="str">
        <f t="shared" si="6"/>
        <v>rtdc.l.rtdc.4032:itc</v>
      </c>
      <c r="G206" s="8">
        <f t="shared" si="7"/>
        <v>42603.037997685184</v>
      </c>
    </row>
    <row r="207" spans="1:7" x14ac:dyDescent="0.25">
      <c r="A207" s="8">
        <v>42603.049178240741</v>
      </c>
      <c r="B207" s="24" t="s">
        <v>199</v>
      </c>
      <c r="C207" s="24" t="s">
        <v>648</v>
      </c>
      <c r="D207" s="24">
        <v>1810000</v>
      </c>
      <c r="E207" s="24" t="s">
        <v>253</v>
      </c>
      <c r="F207" s="24" t="str">
        <f t="shared" si="6"/>
        <v>rtdc.l.rtdc.4009:itc</v>
      </c>
      <c r="G207" s="8">
        <f t="shared" si="7"/>
        <v>42603.049178240741</v>
      </c>
    </row>
    <row r="208" spans="1:7" x14ac:dyDescent="0.25">
      <c r="A208" s="8">
        <v>42603.057685185187</v>
      </c>
      <c r="B208" s="24" t="s">
        <v>185</v>
      </c>
      <c r="C208" s="24" t="s">
        <v>618</v>
      </c>
      <c r="D208" s="24">
        <v>2000000</v>
      </c>
      <c r="E208" s="24" t="s">
        <v>151</v>
      </c>
      <c r="F208" s="24" t="str">
        <f t="shared" si="6"/>
        <v>rtdc.l.rtdc.4008:itc</v>
      </c>
      <c r="G208" s="8">
        <f t="shared" si="7"/>
        <v>42603.057685185187</v>
      </c>
    </row>
    <row r="209" spans="1:7" x14ac:dyDescent="0.25">
      <c r="A209" s="8">
        <v>42603.071226851855</v>
      </c>
      <c r="B209" s="24" t="s">
        <v>117</v>
      </c>
      <c r="C209" s="24" t="s">
        <v>626</v>
      </c>
      <c r="D209" s="24">
        <v>1800000</v>
      </c>
      <c r="E209" s="24" t="s">
        <v>206</v>
      </c>
      <c r="F209" s="24" t="str">
        <f t="shared" si="6"/>
        <v>rtdc.l.rtdc.4031:itc</v>
      </c>
      <c r="G209" s="8">
        <f t="shared" si="7"/>
        <v>42603.071226851855</v>
      </c>
    </row>
    <row r="210" spans="1:7" x14ac:dyDescent="0.25">
      <c r="A210" s="8">
        <v>42603.075578703705</v>
      </c>
      <c r="B210" s="24" t="s">
        <v>159</v>
      </c>
      <c r="C210" s="24" t="s">
        <v>621</v>
      </c>
      <c r="D210" s="24">
        <v>1300000</v>
      </c>
      <c r="E210" s="24" t="s">
        <v>148</v>
      </c>
      <c r="F210" s="24" t="str">
        <f t="shared" si="6"/>
        <v>rtdc.l.rtdc.4028:itc</v>
      </c>
      <c r="G210" s="8">
        <f t="shared" si="7"/>
        <v>42603.075578703705</v>
      </c>
    </row>
    <row r="211" spans="1:7" x14ac:dyDescent="0.25">
      <c r="A211" s="8">
        <v>42603.091666666667</v>
      </c>
      <c r="B211" s="24" t="s">
        <v>233</v>
      </c>
      <c r="C211" s="24" t="s">
        <v>628</v>
      </c>
      <c r="D211" s="24">
        <v>2000000</v>
      </c>
      <c r="E211" s="24" t="s">
        <v>151</v>
      </c>
      <c r="F211" s="24" t="str">
        <f t="shared" si="6"/>
        <v>rtdc.l.rtdc.4007:itc</v>
      </c>
      <c r="G211" s="8">
        <f t="shared" si="7"/>
        <v>42603.091666666667</v>
      </c>
    </row>
    <row r="212" spans="1:7" x14ac:dyDescent="0.25">
      <c r="A212" s="8">
        <v>42603.109490740739</v>
      </c>
      <c r="B212" s="24" t="s">
        <v>95</v>
      </c>
      <c r="C212" s="24" t="s">
        <v>629</v>
      </c>
      <c r="D212" s="24">
        <v>1300000</v>
      </c>
      <c r="E212" s="24" t="s">
        <v>148</v>
      </c>
      <c r="F212" s="24" t="str">
        <f t="shared" si="6"/>
        <v>rtdc.l.rtdc.4027:itc</v>
      </c>
      <c r="G212" s="8">
        <f t="shared" si="7"/>
        <v>42603.109490740739</v>
      </c>
    </row>
    <row r="213" spans="1:7" x14ac:dyDescent="0.25">
      <c r="B213" s="24"/>
      <c r="C213" s="24"/>
      <c r="D213" s="24"/>
      <c r="E213" s="24"/>
      <c r="F213" s="24">
        <f t="shared" si="6"/>
        <v>0</v>
      </c>
      <c r="G213" s="8">
        <f t="shared" si="7"/>
        <v>0</v>
      </c>
    </row>
    <row r="214" spans="1:7" x14ac:dyDescent="0.25">
      <c r="A214" s="8">
        <v>42601.929444444446</v>
      </c>
      <c r="B214" s="24" t="s">
        <v>92</v>
      </c>
      <c r="C214" s="24" t="s">
        <v>270</v>
      </c>
      <c r="D214" s="24">
        <v>2100000</v>
      </c>
      <c r="E214" s="24" t="s">
        <v>144</v>
      </c>
      <c r="F214" s="24" t="str">
        <f t="shared" si="6"/>
        <v>rtdc.l.rtdc.4013:itc</v>
      </c>
      <c r="G214" s="8">
        <f t="shared" si="7"/>
        <v>42601.929444444446</v>
      </c>
    </row>
    <row r="215" spans="1:7" x14ac:dyDescent="0.25">
      <c r="A215" s="8">
        <v>42601.932083333333</v>
      </c>
      <c r="B215" s="24" t="s">
        <v>186</v>
      </c>
      <c r="C215" s="24" t="s">
        <v>272</v>
      </c>
      <c r="D215" s="24">
        <v>2110000</v>
      </c>
      <c r="E215" s="24" t="s">
        <v>205</v>
      </c>
      <c r="F215" s="24" t="str">
        <f t="shared" si="6"/>
        <v>rtdc.l.rtdc.4020:itc</v>
      </c>
      <c r="G215" s="8">
        <f t="shared" si="7"/>
        <v>42601.932083333333</v>
      </c>
    </row>
    <row r="216" spans="1:7" x14ac:dyDescent="0.25">
      <c r="A216" s="8">
        <v>42601.943194444444</v>
      </c>
      <c r="B216" s="24" t="s">
        <v>305</v>
      </c>
      <c r="C216" s="24" t="s">
        <v>301</v>
      </c>
      <c r="D216" s="24">
        <v>1810000</v>
      </c>
      <c r="E216" s="24" t="s">
        <v>253</v>
      </c>
      <c r="F216" s="24" t="str">
        <f t="shared" si="6"/>
        <v>rtdc.l.rtdc.4004:itc</v>
      </c>
      <c r="G216" s="8">
        <f t="shared" si="7"/>
        <v>42601.943194444444</v>
      </c>
    </row>
    <row r="217" spans="1:7" x14ac:dyDescent="0.25">
      <c r="A217" s="8">
        <v>42601.950162037036</v>
      </c>
      <c r="B217" s="24" t="s">
        <v>217</v>
      </c>
      <c r="C217" s="24" t="s">
        <v>274</v>
      </c>
      <c r="D217" s="24">
        <v>1300000</v>
      </c>
      <c r="E217" s="24" t="s">
        <v>148</v>
      </c>
      <c r="F217" s="24" t="str">
        <f t="shared" si="6"/>
        <v>rtdc.l.rtdc.4002:itc</v>
      </c>
      <c r="G217" s="8">
        <f t="shared" si="7"/>
        <v>42601.950162037036</v>
      </c>
    </row>
    <row r="218" spans="1:7" x14ac:dyDescent="0.25">
      <c r="A218" s="8">
        <v>42601.956712962965</v>
      </c>
      <c r="B218" s="24" t="s">
        <v>231</v>
      </c>
      <c r="C218" s="24" t="s">
        <v>271</v>
      </c>
      <c r="D218" s="24">
        <v>1800000</v>
      </c>
      <c r="E218" s="24" t="s">
        <v>206</v>
      </c>
      <c r="F218" s="24" t="str">
        <f t="shared" si="6"/>
        <v>rtdc.l.rtdc.4041:itc</v>
      </c>
      <c r="G218" s="8">
        <f t="shared" si="7"/>
        <v>42601.956712962965</v>
      </c>
    </row>
    <row r="219" spans="1:7" x14ac:dyDescent="0.25">
      <c r="A219" s="8">
        <v>42601.969930555555</v>
      </c>
      <c r="B219" s="24" t="s">
        <v>115</v>
      </c>
      <c r="C219" s="24" t="s">
        <v>276</v>
      </c>
      <c r="D219" s="24">
        <v>2100000</v>
      </c>
      <c r="E219" s="24" t="s">
        <v>144</v>
      </c>
      <c r="F219" s="24" t="str">
        <f t="shared" si="6"/>
        <v>rtdc.l.rtdc.4014:itc</v>
      </c>
      <c r="G219" s="8">
        <f t="shared" si="7"/>
        <v>42601.969930555555</v>
      </c>
    </row>
    <row r="220" spans="1:7" x14ac:dyDescent="0.25">
      <c r="A220" s="8">
        <v>42601.97215277778</v>
      </c>
      <c r="B220" s="24" t="s">
        <v>187</v>
      </c>
      <c r="C220" s="24" t="s">
        <v>273</v>
      </c>
      <c r="D220" s="24">
        <v>2110000</v>
      </c>
      <c r="E220" s="24" t="s">
        <v>205</v>
      </c>
      <c r="F220" s="24" t="str">
        <f t="shared" si="6"/>
        <v>rtdc.l.rtdc.4019:itc</v>
      </c>
      <c r="G220" s="8">
        <f t="shared" si="7"/>
        <v>42601.97215277778</v>
      </c>
    </row>
    <row r="221" spans="1:7" x14ac:dyDescent="0.25">
      <c r="A221" s="8">
        <v>42601.992442129631</v>
      </c>
      <c r="B221" s="24" t="s">
        <v>218</v>
      </c>
      <c r="C221" s="24" t="s">
        <v>275</v>
      </c>
      <c r="D221" s="24">
        <v>1300000</v>
      </c>
      <c r="E221" s="24" t="s">
        <v>148</v>
      </c>
      <c r="F221" s="24" t="str">
        <f t="shared" si="6"/>
        <v>rtdc.l.rtdc.4001:itc</v>
      </c>
      <c r="G221" s="8">
        <f t="shared" si="7"/>
        <v>42601.992442129631</v>
      </c>
    </row>
    <row r="222" spans="1:7" x14ac:dyDescent="0.25">
      <c r="A222" s="8">
        <v>42601.997314814813</v>
      </c>
      <c r="B222" s="24" t="s">
        <v>160</v>
      </c>
      <c r="C222" s="24" t="s">
        <v>278</v>
      </c>
      <c r="D222" s="24">
        <v>1800000</v>
      </c>
      <c r="E222" s="24" t="s">
        <v>206</v>
      </c>
      <c r="F222" s="24" t="str">
        <f t="shared" si="6"/>
        <v>rtdc.l.rtdc.4042:itc</v>
      </c>
      <c r="G222" s="8">
        <f t="shared" si="7"/>
        <v>42601.997314814813</v>
      </c>
    </row>
    <row r="223" spans="1:7" x14ac:dyDescent="0.25">
      <c r="A223" s="8">
        <v>42602.009641203702</v>
      </c>
      <c r="B223" s="24" t="s">
        <v>92</v>
      </c>
      <c r="C223" s="24" t="s">
        <v>277</v>
      </c>
      <c r="D223" s="24">
        <v>2100000</v>
      </c>
      <c r="E223" s="24" t="s">
        <v>144</v>
      </c>
      <c r="F223" s="24" t="str">
        <f t="shared" si="6"/>
        <v>rtdc.l.rtdc.4013:itc</v>
      </c>
      <c r="G223" s="8">
        <f t="shared" si="7"/>
        <v>42602.009641203702</v>
      </c>
    </row>
    <row r="224" spans="1:7" x14ac:dyDescent="0.25">
      <c r="A224" s="8">
        <v>42602.015416666669</v>
      </c>
      <c r="B224" t="s">
        <v>186</v>
      </c>
      <c r="C224" t="s">
        <v>280</v>
      </c>
      <c r="D224">
        <v>2110000</v>
      </c>
      <c r="E224" t="s">
        <v>205</v>
      </c>
      <c r="F224" s="24" t="str">
        <f t="shared" si="6"/>
        <v>rtdc.l.rtdc.4020:itc</v>
      </c>
      <c r="G224" s="8">
        <f t="shared" si="7"/>
        <v>42602.015416666669</v>
      </c>
    </row>
    <row r="225" spans="1:7" x14ac:dyDescent="0.25">
      <c r="A225" s="8">
        <v>42602.033460648148</v>
      </c>
      <c r="B225" t="s">
        <v>217</v>
      </c>
      <c r="C225" t="s">
        <v>282</v>
      </c>
      <c r="D225">
        <v>1300000</v>
      </c>
      <c r="E225" t="s">
        <v>148</v>
      </c>
      <c r="F225" s="24" t="str">
        <f t="shared" si="6"/>
        <v>rtdc.l.rtdc.4002:itc</v>
      </c>
      <c r="G225" s="8">
        <f t="shared" si="7"/>
        <v>42602.033460648148</v>
      </c>
    </row>
    <row r="226" spans="1:7" x14ac:dyDescent="0.25">
      <c r="A226" s="8">
        <v>42602.036608796298</v>
      </c>
      <c r="B226" t="s">
        <v>231</v>
      </c>
      <c r="C226" t="s">
        <v>279</v>
      </c>
      <c r="D226">
        <v>1800000</v>
      </c>
      <c r="E226" t="s">
        <v>206</v>
      </c>
      <c r="F226" s="24" t="str">
        <f t="shared" si="6"/>
        <v>rtdc.l.rtdc.4041:itc</v>
      </c>
      <c r="G226" s="8">
        <f t="shared" si="7"/>
        <v>42602.036608796298</v>
      </c>
    </row>
    <row r="227" spans="1:7" x14ac:dyDescent="0.25">
      <c r="A227" s="8">
        <v>42602.04959490741</v>
      </c>
      <c r="B227" t="s">
        <v>115</v>
      </c>
      <c r="C227" t="s">
        <v>284</v>
      </c>
      <c r="D227">
        <v>2100000</v>
      </c>
      <c r="E227" t="s">
        <v>144</v>
      </c>
      <c r="F227" s="24" t="str">
        <f t="shared" si="6"/>
        <v>rtdc.l.rtdc.4014:itc</v>
      </c>
      <c r="G227" s="8">
        <f t="shared" si="7"/>
        <v>42602.04959490741</v>
      </c>
    </row>
    <row r="228" spans="1:7" x14ac:dyDescent="0.25">
      <c r="A228" s="8">
        <v>42602.052037037036</v>
      </c>
      <c r="B228" t="s">
        <v>187</v>
      </c>
      <c r="C228" t="s">
        <v>281</v>
      </c>
      <c r="D228">
        <v>2110000</v>
      </c>
      <c r="E228" t="s">
        <v>205</v>
      </c>
      <c r="F228" s="24" t="str">
        <f t="shared" si="6"/>
        <v>rtdc.l.rtdc.4019:itc</v>
      </c>
      <c r="G228" s="8">
        <f t="shared" si="7"/>
        <v>42602.052037037036</v>
      </c>
    </row>
    <row r="229" spans="1:7" x14ac:dyDescent="0.25">
      <c r="A229" s="8">
        <v>42602.071122685185</v>
      </c>
      <c r="B229" t="s">
        <v>160</v>
      </c>
      <c r="C229" t="s">
        <v>285</v>
      </c>
      <c r="D229">
        <v>1800000</v>
      </c>
      <c r="E229" t="s">
        <v>206</v>
      </c>
      <c r="F229" s="24" t="str">
        <f t="shared" si="6"/>
        <v>rtdc.l.rtdc.4042:itc</v>
      </c>
      <c r="G229" s="8">
        <f t="shared" si="7"/>
        <v>42602.071122685185</v>
      </c>
    </row>
    <row r="230" spans="1:7" x14ac:dyDescent="0.25">
      <c r="A230" s="8">
        <v>42602.075162037036</v>
      </c>
      <c r="B230" t="s">
        <v>218</v>
      </c>
      <c r="C230" t="s">
        <v>283</v>
      </c>
      <c r="D230">
        <v>1300000</v>
      </c>
      <c r="E230" t="s">
        <v>148</v>
      </c>
      <c r="F230" s="24" t="str">
        <f t="shared" si="6"/>
        <v>rtdc.l.rtdc.4001:itc</v>
      </c>
      <c r="G230" s="8">
        <f t="shared" si="7"/>
        <v>42602.075162037036</v>
      </c>
    </row>
    <row r="231" spans="1:7" x14ac:dyDescent="0.25">
      <c r="A231" s="8">
        <v>42602.090532407405</v>
      </c>
      <c r="B231" t="s">
        <v>186</v>
      </c>
      <c r="C231" t="s">
        <v>286</v>
      </c>
      <c r="D231">
        <v>2110000</v>
      </c>
      <c r="E231" t="s">
        <v>205</v>
      </c>
      <c r="F231" s="24" t="str">
        <f t="shared" si="6"/>
        <v>rtdc.l.rtdc.4020:itc</v>
      </c>
      <c r="G231" s="8">
        <f t="shared" si="7"/>
        <v>42602.090532407405</v>
      </c>
    </row>
    <row r="232" spans="1:7" x14ac:dyDescent="0.25">
      <c r="A232" s="8">
        <v>42602.102951388886</v>
      </c>
      <c r="B232" t="s">
        <v>186</v>
      </c>
      <c r="C232" t="s">
        <v>286</v>
      </c>
      <c r="D232">
        <v>2110000</v>
      </c>
      <c r="E232" t="s">
        <v>205</v>
      </c>
      <c r="F232" s="24" t="str">
        <f t="shared" si="6"/>
        <v>rtdc.l.rtdc.4020:itc</v>
      </c>
      <c r="G232" s="8">
        <f t="shared" si="7"/>
        <v>42602.102951388886</v>
      </c>
    </row>
    <row r="233" spans="1:7" x14ac:dyDescent="0.25">
      <c r="A233" s="8">
        <v>42602.109270833331</v>
      </c>
      <c r="B233" t="s">
        <v>217</v>
      </c>
      <c r="C233" t="s">
        <v>289</v>
      </c>
      <c r="D233">
        <v>1300000</v>
      </c>
      <c r="E233" t="s">
        <v>148</v>
      </c>
      <c r="F233" s="24" t="str">
        <f t="shared" si="6"/>
        <v>rtdc.l.rtdc.4002:itc</v>
      </c>
      <c r="G233" s="8">
        <f t="shared" si="7"/>
        <v>42602.109270833331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185</v>
      </c>
      <c r="C235" t="s">
        <v>184</v>
      </c>
      <c r="D235">
        <v>1460000</v>
      </c>
      <c r="E235" t="s">
        <v>188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118</v>
      </c>
      <c r="C236" t="s">
        <v>169</v>
      </c>
      <c r="D236">
        <v>2000000</v>
      </c>
      <c r="E236" t="s">
        <v>151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161</v>
      </c>
      <c r="C237" t="s">
        <v>171</v>
      </c>
      <c r="D237">
        <v>1300000</v>
      </c>
      <c r="E237" t="s">
        <v>148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93</v>
      </c>
      <c r="C238" t="s">
        <v>173</v>
      </c>
      <c r="D238">
        <v>1230000</v>
      </c>
      <c r="E238" t="s">
        <v>189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92</v>
      </c>
      <c r="C239" t="s">
        <v>170</v>
      </c>
      <c r="D239">
        <v>2100000</v>
      </c>
      <c r="E239" t="s">
        <v>144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152</v>
      </c>
      <c r="C240" t="s">
        <v>172</v>
      </c>
      <c r="D240">
        <v>1300000</v>
      </c>
      <c r="E240" t="s">
        <v>148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117</v>
      </c>
      <c r="C241" t="s">
        <v>175</v>
      </c>
      <c r="D241">
        <v>2000000</v>
      </c>
      <c r="E241" t="s">
        <v>151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94</v>
      </c>
      <c r="C242" t="s">
        <v>174</v>
      </c>
      <c r="D242">
        <v>1230000</v>
      </c>
      <c r="E242" t="s">
        <v>189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115</v>
      </c>
      <c r="C243" t="s">
        <v>177</v>
      </c>
      <c r="D243">
        <v>2100000</v>
      </c>
      <c r="E243" t="s">
        <v>144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161</v>
      </c>
      <c r="C244" t="s">
        <v>179</v>
      </c>
      <c r="D244">
        <v>1300000</v>
      </c>
      <c r="E244" t="s">
        <v>148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118</v>
      </c>
      <c r="C245" t="s">
        <v>176</v>
      </c>
      <c r="D245">
        <v>2000000</v>
      </c>
      <c r="E245" t="s">
        <v>151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93</v>
      </c>
      <c r="C246" t="s">
        <v>181</v>
      </c>
      <c r="D246">
        <v>1230000</v>
      </c>
      <c r="E246" t="s">
        <v>189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92</v>
      </c>
      <c r="C247" t="s">
        <v>178</v>
      </c>
      <c r="D247">
        <v>2100000</v>
      </c>
      <c r="E247" t="s">
        <v>144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117</v>
      </c>
      <c r="C248" t="s">
        <v>182</v>
      </c>
      <c r="D248">
        <v>2000000</v>
      </c>
      <c r="E248" t="s">
        <v>151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152</v>
      </c>
      <c r="C249" t="s">
        <v>180</v>
      </c>
      <c r="D249">
        <v>1300000</v>
      </c>
      <c r="E249" t="s">
        <v>148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115</v>
      </c>
      <c r="C250" t="s">
        <v>190</v>
      </c>
      <c r="D250">
        <v>2100000</v>
      </c>
      <c r="E250" t="s">
        <v>144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161</v>
      </c>
      <c r="C251" t="s">
        <v>183</v>
      </c>
      <c r="D251">
        <v>1300000</v>
      </c>
      <c r="E251" t="s">
        <v>148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7" t="s">
        <v>120</v>
      </c>
      <c r="D1" s="78" t="s">
        <v>121</v>
      </c>
      <c r="J1" s="35" t="s">
        <v>122</v>
      </c>
      <c r="K1" s="35" t="s">
        <v>73</v>
      </c>
      <c r="L1" s="35" t="s">
        <v>74</v>
      </c>
      <c r="O1" s="81" t="s">
        <v>123</v>
      </c>
    </row>
    <row r="2" spans="1:16" ht="15.75" thickBot="1" x14ac:dyDescent="0.3">
      <c r="A2" s="15">
        <v>42602</v>
      </c>
      <c r="B2" s="4"/>
      <c r="C2" s="79">
        <v>50</v>
      </c>
      <c r="D2" s="80">
        <v>25</v>
      </c>
      <c r="F2" t="s">
        <v>153</v>
      </c>
      <c r="J2" s="35"/>
      <c r="K2" s="35" t="s">
        <v>73</v>
      </c>
      <c r="L2" s="35" t="s">
        <v>74</v>
      </c>
    </row>
    <row r="3" spans="1:16" x14ac:dyDescent="0.25">
      <c r="F3" t="s">
        <v>58</v>
      </c>
      <c r="J3" s="36" t="s">
        <v>75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124</v>
      </c>
      <c r="P3" s="71">
        <f>AVERAGE(1.0714,1.1016)</f>
        <v>1.0865</v>
      </c>
    </row>
    <row r="4" spans="1:16" x14ac:dyDescent="0.25">
      <c r="F4" t="s">
        <v>59</v>
      </c>
      <c r="J4" s="36" t="s">
        <v>76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77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154</v>
      </c>
      <c r="J6" s="36" t="s">
        <v>78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155</v>
      </c>
      <c r="J7" s="36" t="s">
        <v>79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156</v>
      </c>
      <c r="J8" s="36" t="s">
        <v>80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81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82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83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84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85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86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99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100</v>
      </c>
      <c r="K19" s="37"/>
      <c r="L19" s="37"/>
      <c r="M19" s="71" t="s">
        <v>135</v>
      </c>
    </row>
    <row r="20" spans="10:13" x14ac:dyDescent="0.25">
      <c r="J20" t="s">
        <v>101</v>
      </c>
      <c r="M20" s="71" t="s">
        <v>219</v>
      </c>
    </row>
    <row r="21" spans="10:13" x14ac:dyDescent="0.25">
      <c r="J21" s="24" t="s">
        <v>104</v>
      </c>
      <c r="K21" s="24" t="s">
        <v>105</v>
      </c>
      <c r="M21" s="71" t="s">
        <v>105</v>
      </c>
    </row>
    <row r="22" spans="10:13" x14ac:dyDescent="0.25">
      <c r="J22" s="24" t="s">
        <v>106</v>
      </c>
      <c r="K22" s="24" t="s">
        <v>107</v>
      </c>
      <c r="M22" s="71" t="s">
        <v>134</v>
      </c>
    </row>
    <row r="23" spans="10:13" x14ac:dyDescent="0.25">
      <c r="J23" s="32" t="s">
        <v>109</v>
      </c>
      <c r="K23" s="24"/>
      <c r="M23" s="122">
        <v>-6</v>
      </c>
    </row>
    <row r="24" spans="10:13" x14ac:dyDescent="0.25">
      <c r="J24" s="24" t="s">
        <v>131</v>
      </c>
      <c r="K24" s="24"/>
      <c r="M24" s="71" t="s">
        <v>133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2016-08-22T16:03:16Z</dcterms:modified>
</cp:coreProperties>
</file>